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45976</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45976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45976</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45976</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45976</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45976</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45976</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45976</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45976</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50503-2023</t>
        </is>
      </c>
      <c r="B11" s="1" t="n">
        <v>45216</v>
      </c>
      <c r="C11" s="1" t="n">
        <v>45976</v>
      </c>
      <c r="D11" t="inlineStr">
        <is>
          <t>JÄMTLANDS LÄN</t>
        </is>
      </c>
      <c r="E11" t="inlineStr">
        <is>
          <t>BRÄCKE</t>
        </is>
      </c>
      <c r="F11" t="inlineStr">
        <is>
          <t>Naturvårdsverket</t>
        </is>
      </c>
      <c r="G11" t="n">
        <v>66.90000000000001</v>
      </c>
      <c r="H11" t="n">
        <v>1</v>
      </c>
      <c r="I11" t="n">
        <v>3</v>
      </c>
      <c r="J11" t="n">
        <v>14</v>
      </c>
      <c r="K11" t="n">
        <v>5</v>
      </c>
      <c r="L11" t="n">
        <v>0</v>
      </c>
      <c r="M11" t="n">
        <v>0</v>
      </c>
      <c r="N11" t="n">
        <v>0</v>
      </c>
      <c r="O11" t="n">
        <v>19</v>
      </c>
      <c r="P11" t="n">
        <v>5</v>
      </c>
      <c r="Q11" t="n">
        <v>23</v>
      </c>
      <c r="R1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1">
        <f>HYPERLINK("https://klasma.github.io/Logging_2305/artfynd/A 50503-2023 artfynd.xlsx", "A 50503-2023")</f>
        <v/>
      </c>
      <c r="T11">
        <f>HYPERLINK("https://klasma.github.io/Logging_2305/kartor/A 50503-2023 karta.png", "A 50503-2023")</f>
        <v/>
      </c>
      <c r="V11">
        <f>HYPERLINK("https://klasma.github.io/Logging_2305/klagomål/A 50503-2023 FSC-klagomål.docx", "A 50503-2023")</f>
        <v/>
      </c>
      <c r="W11">
        <f>HYPERLINK("https://klasma.github.io/Logging_2305/klagomålsmail/A 50503-2023 FSC-klagomål mail.docx", "A 50503-2023")</f>
        <v/>
      </c>
      <c r="X11">
        <f>HYPERLINK("https://klasma.github.io/Logging_2305/tillsyn/A 50503-2023 tillsynsbegäran.docx", "A 50503-2023")</f>
        <v/>
      </c>
      <c r="Y11">
        <f>HYPERLINK("https://klasma.github.io/Logging_2305/tillsynsmail/A 50503-2023 tillsynsbegäran mail.docx", "A 50503-2023")</f>
        <v/>
      </c>
      <c r="Z11">
        <f>HYPERLINK("https://klasma.github.io/Logging_2305/fåglar/A 50503-2023 prioriterade fågelarter.docx", "A 50503-2023")</f>
        <v/>
      </c>
    </row>
    <row r="12" ht="15" customHeight="1">
      <c r="A12" t="inlineStr">
        <is>
          <t>A 30780-2024</t>
        </is>
      </c>
      <c r="B12" s="1" t="n">
        <v>45496.95030092593</v>
      </c>
      <c r="C12" s="1" t="n">
        <v>45976</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49645-2023</t>
        </is>
      </c>
      <c r="B13" s="1" t="n">
        <v>45211</v>
      </c>
      <c r="C13" s="1" t="n">
        <v>45976</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43131-2023</t>
        </is>
      </c>
      <c r="B14" s="1" t="n">
        <v>45182</v>
      </c>
      <c r="C14" s="1" t="n">
        <v>45976</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34927-2023</t>
        </is>
      </c>
      <c r="B15" s="1" t="n">
        <v>45142</v>
      </c>
      <c r="C15" s="1" t="n">
        <v>45976</v>
      </c>
      <c r="D15" t="inlineStr">
        <is>
          <t>JÄMTLANDS LÄN</t>
        </is>
      </c>
      <c r="E15" t="inlineStr">
        <is>
          <t>BRÄCKE</t>
        </is>
      </c>
      <c r="G15" t="n">
        <v>11.5</v>
      </c>
      <c r="H15" t="n">
        <v>5</v>
      </c>
      <c r="I15" t="n">
        <v>10</v>
      </c>
      <c r="J15" t="n">
        <v>4</v>
      </c>
      <c r="K15" t="n">
        <v>5</v>
      </c>
      <c r="L15" t="n">
        <v>0</v>
      </c>
      <c r="M15" t="n">
        <v>0</v>
      </c>
      <c r="N15" t="n">
        <v>0</v>
      </c>
      <c r="O15" t="n">
        <v>9</v>
      </c>
      <c r="P15" t="n">
        <v>5</v>
      </c>
      <c r="Q15" t="n">
        <v>20</v>
      </c>
      <c r="R1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5">
        <f>HYPERLINK("https://klasma.github.io/Logging_2305/artfynd/A 34927-2023 artfynd.xlsx", "A 34927-2023")</f>
        <v/>
      </c>
      <c r="T15">
        <f>HYPERLINK("https://klasma.github.io/Logging_2305/kartor/A 34927-2023 karta.png", "A 34927-2023")</f>
        <v/>
      </c>
      <c r="U15">
        <f>HYPERLINK("https://klasma.github.io/Logging_2305/knärot/A 34927-2023 karta knärot.png", "A 34927-2023")</f>
        <v/>
      </c>
      <c r="V15">
        <f>HYPERLINK("https://klasma.github.io/Logging_2305/klagomål/A 34927-2023 FSC-klagomål.docx", "A 34927-2023")</f>
        <v/>
      </c>
      <c r="W15">
        <f>HYPERLINK("https://klasma.github.io/Logging_2305/klagomålsmail/A 34927-2023 FSC-klagomål mail.docx", "A 34927-2023")</f>
        <v/>
      </c>
      <c r="X15">
        <f>HYPERLINK("https://klasma.github.io/Logging_2305/tillsyn/A 34927-2023 tillsynsbegäran.docx", "A 34927-2023")</f>
        <v/>
      </c>
      <c r="Y15">
        <f>HYPERLINK("https://klasma.github.io/Logging_2305/tillsynsmail/A 34927-2023 tillsynsbegäran mail.docx", "A 34927-2023")</f>
        <v/>
      </c>
      <c r="Z15">
        <f>HYPERLINK("https://klasma.github.io/Logging_2305/fåglar/A 34927-2023 prioriterade fågelarter.docx", "A 34927-2023")</f>
        <v/>
      </c>
    </row>
    <row r="16" ht="15" customHeight="1">
      <c r="A16" t="inlineStr">
        <is>
          <t>A 28601-2021</t>
        </is>
      </c>
      <c r="B16" s="1" t="n">
        <v>44356</v>
      </c>
      <c r="C16" s="1" t="n">
        <v>45976</v>
      </c>
      <c r="D16" t="inlineStr">
        <is>
          <t>JÄMTLANDS LÄN</t>
        </is>
      </c>
      <c r="E16" t="inlineStr">
        <is>
          <t>BRÄCKE</t>
        </is>
      </c>
      <c r="F16" t="inlineStr">
        <is>
          <t>SCA</t>
        </is>
      </c>
      <c r="G16" t="n">
        <v>6.3</v>
      </c>
      <c r="H16" t="n">
        <v>6</v>
      </c>
      <c r="I16" t="n">
        <v>4</v>
      </c>
      <c r="J16" t="n">
        <v>12</v>
      </c>
      <c r="K16" t="n">
        <v>1</v>
      </c>
      <c r="L16" t="n">
        <v>0</v>
      </c>
      <c r="M16" t="n">
        <v>0</v>
      </c>
      <c r="N16" t="n">
        <v>0</v>
      </c>
      <c r="O16" t="n">
        <v>13</v>
      </c>
      <c r="P16" t="n">
        <v>1</v>
      </c>
      <c r="Q16" t="n">
        <v>19</v>
      </c>
      <c r="R16" s="2" t="inlineStr">
        <is>
          <t>Knärot
Blå taggsvamp
Brunpudrad nållav
Garnlav
Kolflarnlav
Kortskaftad ärgspik
Lunglav
Mörk kolflarnlav
Skrovellav
Spillkråka
Talltita
Tretåig hackspett
Vedskivlav
Bollvitmossa
Dropptaggsvamp
Norrlandslav
Stuplav
Lavskrika
Nattviol</t>
        </is>
      </c>
      <c r="S16">
        <f>HYPERLINK("https://klasma.github.io/Logging_2305/artfynd/A 28601-2021 artfynd.xlsx", "A 28601-2021")</f>
        <v/>
      </c>
      <c r="T16">
        <f>HYPERLINK("https://klasma.github.io/Logging_2305/kartor/A 28601-2021 karta.png", "A 28601-2021")</f>
        <v/>
      </c>
      <c r="U16">
        <f>HYPERLINK("https://klasma.github.io/Logging_2305/knärot/A 28601-2021 karta knärot.png", "A 28601-2021")</f>
        <v/>
      </c>
      <c r="V16">
        <f>HYPERLINK("https://klasma.github.io/Logging_2305/klagomål/A 28601-2021 FSC-klagomål.docx", "A 28601-2021")</f>
        <v/>
      </c>
      <c r="W16">
        <f>HYPERLINK("https://klasma.github.io/Logging_2305/klagomålsmail/A 28601-2021 FSC-klagomål mail.docx", "A 28601-2021")</f>
        <v/>
      </c>
      <c r="X16">
        <f>HYPERLINK("https://klasma.github.io/Logging_2305/tillsyn/A 28601-2021 tillsynsbegäran.docx", "A 28601-2021")</f>
        <v/>
      </c>
      <c r="Y16">
        <f>HYPERLINK("https://klasma.github.io/Logging_2305/tillsynsmail/A 28601-2021 tillsynsbegäran mail.docx", "A 28601-2021")</f>
        <v/>
      </c>
      <c r="Z16">
        <f>HYPERLINK("https://klasma.github.io/Logging_2305/fåglar/A 28601-2021 prioriterade fågelarter.docx", "A 28601-2021")</f>
        <v/>
      </c>
    </row>
    <row r="17" ht="15" customHeight="1">
      <c r="A17" t="inlineStr">
        <is>
          <t>A 54050-2023</t>
        </is>
      </c>
      <c r="B17" s="1" t="n">
        <v>45231</v>
      </c>
      <c r="C17" s="1" t="n">
        <v>45976</v>
      </c>
      <c r="D17" t="inlineStr">
        <is>
          <t>JÄMTLANDS LÄN</t>
        </is>
      </c>
      <c r="E17" t="inlineStr">
        <is>
          <t>BRÄCKE</t>
        </is>
      </c>
      <c r="F17" t="inlineStr">
        <is>
          <t>SCA</t>
        </is>
      </c>
      <c r="G17" t="n">
        <v>11.3</v>
      </c>
      <c r="H17" t="n">
        <v>1</v>
      </c>
      <c r="I17" t="n">
        <v>3</v>
      </c>
      <c r="J17" t="n">
        <v>14</v>
      </c>
      <c r="K17" t="n">
        <v>1</v>
      </c>
      <c r="L17" t="n">
        <v>0</v>
      </c>
      <c r="M17" t="n">
        <v>0</v>
      </c>
      <c r="N17" t="n">
        <v>0</v>
      </c>
      <c r="O17" t="n">
        <v>15</v>
      </c>
      <c r="P17" t="n">
        <v>1</v>
      </c>
      <c r="Q17" t="n">
        <v>18</v>
      </c>
      <c r="R1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7">
        <f>HYPERLINK("https://klasma.github.io/Logging_2305/artfynd/A 54050-2023 artfynd.xlsx", "A 54050-2023")</f>
        <v/>
      </c>
      <c r="T17">
        <f>HYPERLINK("https://klasma.github.io/Logging_2305/kartor/A 54050-2023 karta.png", "A 54050-2023")</f>
        <v/>
      </c>
      <c r="U17">
        <f>HYPERLINK("https://klasma.github.io/Logging_2305/knärot/A 54050-2023 karta knärot.png", "A 54050-2023")</f>
        <v/>
      </c>
      <c r="V17">
        <f>HYPERLINK("https://klasma.github.io/Logging_2305/klagomål/A 54050-2023 FSC-klagomål.docx", "A 54050-2023")</f>
        <v/>
      </c>
      <c r="W17">
        <f>HYPERLINK("https://klasma.github.io/Logging_2305/klagomålsmail/A 54050-2023 FSC-klagomål mail.docx", "A 54050-2023")</f>
        <v/>
      </c>
      <c r="X17">
        <f>HYPERLINK("https://klasma.github.io/Logging_2305/tillsyn/A 54050-2023 tillsynsbegäran.docx", "A 54050-2023")</f>
        <v/>
      </c>
      <c r="Y17">
        <f>HYPERLINK("https://klasma.github.io/Logging_2305/tillsynsmail/A 54050-2023 tillsynsbegäran mail.docx", "A 54050-2023")</f>
        <v/>
      </c>
      <c r="Z17">
        <f>HYPERLINK("https://klasma.github.io/Logging_2305/fåglar/A 54050-2023 prioriterade fågelarter.docx", "A 54050-2023")</f>
        <v/>
      </c>
    </row>
    <row r="18" ht="15" customHeight="1">
      <c r="A18" t="inlineStr">
        <is>
          <t>A 69079-2020</t>
        </is>
      </c>
      <c r="B18" s="1" t="n">
        <v>44188</v>
      </c>
      <c r="C18" s="1" t="n">
        <v>45976</v>
      </c>
      <c r="D18" t="inlineStr">
        <is>
          <t>JÄMTLANDS LÄN</t>
        </is>
      </c>
      <c r="E18" t="inlineStr">
        <is>
          <t>BRÄCKE</t>
        </is>
      </c>
      <c r="G18" t="n">
        <v>5.7</v>
      </c>
      <c r="H18" t="n">
        <v>4</v>
      </c>
      <c r="I18" t="n">
        <v>8</v>
      </c>
      <c r="J18" t="n">
        <v>4</v>
      </c>
      <c r="K18" t="n">
        <v>4</v>
      </c>
      <c r="L18" t="n">
        <v>0</v>
      </c>
      <c r="M18" t="n">
        <v>0</v>
      </c>
      <c r="N18" t="n">
        <v>0</v>
      </c>
      <c r="O18" t="n">
        <v>8</v>
      </c>
      <c r="P18" t="n">
        <v>4</v>
      </c>
      <c r="Q18" t="n">
        <v>17</v>
      </c>
      <c r="R18" s="2" t="inlineStr">
        <is>
          <t>Knärot
Läderdoftande fingersvamp
Stor odörspindling
Streckvaxskivling
Lunglav
Spillkråka
Ullticka
Vedskivlav
Barrfagerspindling
Bårdlav
Diskvaxskivling
Kamjordstjärna
Kransrams
Spindelblomster
Svavelriska
Vårärt
Blåsippa</t>
        </is>
      </c>
      <c r="S18">
        <f>HYPERLINK("https://klasma.github.io/Logging_2305/artfynd/A 69079-2020 artfynd.xlsx", "A 69079-2020")</f>
        <v/>
      </c>
      <c r="T18">
        <f>HYPERLINK("https://klasma.github.io/Logging_2305/kartor/A 69079-2020 karta.png", "A 69079-2020")</f>
        <v/>
      </c>
      <c r="U18">
        <f>HYPERLINK("https://klasma.github.io/Logging_2305/knärot/A 69079-2020 karta knärot.png", "A 69079-2020")</f>
        <v/>
      </c>
      <c r="V18">
        <f>HYPERLINK("https://klasma.github.io/Logging_2305/klagomål/A 69079-2020 FSC-klagomål.docx", "A 69079-2020")</f>
        <v/>
      </c>
      <c r="W18">
        <f>HYPERLINK("https://klasma.github.io/Logging_2305/klagomålsmail/A 69079-2020 FSC-klagomål mail.docx", "A 69079-2020")</f>
        <v/>
      </c>
      <c r="X18">
        <f>HYPERLINK("https://klasma.github.io/Logging_2305/tillsyn/A 69079-2020 tillsynsbegäran.docx", "A 69079-2020")</f>
        <v/>
      </c>
      <c r="Y18">
        <f>HYPERLINK("https://klasma.github.io/Logging_2305/tillsynsmail/A 69079-2020 tillsynsbegäran mail.docx", "A 69079-2020")</f>
        <v/>
      </c>
      <c r="Z18">
        <f>HYPERLINK("https://klasma.github.io/Logging_2305/fåglar/A 69079-2020 prioriterade fågelarter.docx", "A 69079-2020")</f>
        <v/>
      </c>
    </row>
    <row r="19" ht="15" customHeight="1">
      <c r="A19" t="inlineStr">
        <is>
          <t>A 50826-2023</t>
        </is>
      </c>
      <c r="B19" s="1" t="n">
        <v>45217</v>
      </c>
      <c r="C19" s="1" t="n">
        <v>45976</v>
      </c>
      <c r="D19" t="inlineStr">
        <is>
          <t>JÄMTLANDS LÄN</t>
        </is>
      </c>
      <c r="E19" t="inlineStr">
        <is>
          <t>BRÄCKE</t>
        </is>
      </c>
      <c r="F19" t="inlineStr">
        <is>
          <t>SCA</t>
        </is>
      </c>
      <c r="G19" t="n">
        <v>5.2</v>
      </c>
      <c r="H19" t="n">
        <v>2</v>
      </c>
      <c r="I19" t="n">
        <v>4</v>
      </c>
      <c r="J19" t="n">
        <v>9</v>
      </c>
      <c r="K19" t="n">
        <v>4</v>
      </c>
      <c r="L19" t="n">
        <v>0</v>
      </c>
      <c r="M19" t="n">
        <v>0</v>
      </c>
      <c r="N19" t="n">
        <v>0</v>
      </c>
      <c r="O19" t="n">
        <v>13</v>
      </c>
      <c r="P19" t="n">
        <v>4</v>
      </c>
      <c r="Q19" t="n">
        <v>17</v>
      </c>
      <c r="R19" s="2" t="inlineStr">
        <is>
          <t>Borsttagging
Jättemusseron
Spadskinn
Torrmusseron
Blå taggsvamp
Garnlav
Grantaggsvamp
Lunglav
Mjölsvärting
Svart taggsvamp
Talltita
Tretåig hackspett
Vaxspindling
Bollvitmossa
Dropptaggsvamp
Korallblylav
Skarp dropptaggsvamp</t>
        </is>
      </c>
      <c r="S19">
        <f>HYPERLINK("https://klasma.github.io/Logging_2305/artfynd/A 50826-2023 artfynd.xlsx", "A 50826-2023")</f>
        <v/>
      </c>
      <c r="T19">
        <f>HYPERLINK("https://klasma.github.io/Logging_2305/kartor/A 50826-2023 karta.png", "A 50826-2023")</f>
        <v/>
      </c>
      <c r="V19">
        <f>HYPERLINK("https://klasma.github.io/Logging_2305/klagomål/A 50826-2023 FSC-klagomål.docx", "A 50826-2023")</f>
        <v/>
      </c>
      <c r="W19">
        <f>HYPERLINK("https://klasma.github.io/Logging_2305/klagomålsmail/A 50826-2023 FSC-klagomål mail.docx", "A 50826-2023")</f>
        <v/>
      </c>
      <c r="X19">
        <f>HYPERLINK("https://klasma.github.io/Logging_2305/tillsyn/A 50826-2023 tillsynsbegäran.docx", "A 50826-2023")</f>
        <v/>
      </c>
      <c r="Y19">
        <f>HYPERLINK("https://klasma.github.io/Logging_2305/tillsynsmail/A 50826-2023 tillsynsbegäran mail.docx", "A 50826-2023")</f>
        <v/>
      </c>
      <c r="Z19">
        <f>HYPERLINK("https://klasma.github.io/Logging_2305/fåglar/A 50826-2023 prioriterade fågelarter.docx", "A 50826-2023")</f>
        <v/>
      </c>
    </row>
    <row r="20" ht="15" customHeight="1">
      <c r="A20" t="inlineStr">
        <is>
          <t>A 41701-2024</t>
        </is>
      </c>
      <c r="B20" s="1" t="n">
        <v>45560.69207175926</v>
      </c>
      <c r="C20" s="1" t="n">
        <v>45976</v>
      </c>
      <c r="D20" t="inlineStr">
        <is>
          <t>JÄMTLANDS LÄN</t>
        </is>
      </c>
      <c r="E20" t="inlineStr">
        <is>
          <t>BRÄCKE</t>
        </is>
      </c>
      <c r="G20" t="n">
        <v>17.6</v>
      </c>
      <c r="H20" t="n">
        <v>4</v>
      </c>
      <c r="I20" t="n">
        <v>5</v>
      </c>
      <c r="J20" t="n">
        <v>8</v>
      </c>
      <c r="K20" t="n">
        <v>3</v>
      </c>
      <c r="L20" t="n">
        <v>0</v>
      </c>
      <c r="M20" t="n">
        <v>0</v>
      </c>
      <c r="N20" t="n">
        <v>0</v>
      </c>
      <c r="O20" t="n">
        <v>11</v>
      </c>
      <c r="P20" t="n">
        <v>3</v>
      </c>
      <c r="Q20" t="n">
        <v>17</v>
      </c>
      <c r="R20" s="2" t="inlineStr">
        <is>
          <t>Knärot
Smalfotad taggsvamp
Tvillingspindling
Garnlav
Grantaggsvamp
Lunglav
Skrovellav
Ullticka
Vedtrappmossa
Vit vedfingersvamp
Äggvaxskivling
Dropptaggsvamp
Plattlummer
Skinnlav
Spindelblomster
Stor aspticka
Fläcknycklar</t>
        </is>
      </c>
      <c r="S20">
        <f>HYPERLINK("https://klasma.github.io/Logging_2305/artfynd/A 41701-2024 artfynd.xlsx", "A 41701-2024")</f>
        <v/>
      </c>
      <c r="T20">
        <f>HYPERLINK("https://klasma.github.io/Logging_2305/kartor/A 41701-2024 karta.png", "A 41701-2024")</f>
        <v/>
      </c>
      <c r="U20">
        <f>HYPERLINK("https://klasma.github.io/Logging_2305/knärot/A 41701-2024 karta knärot.png", "A 41701-2024")</f>
        <v/>
      </c>
      <c r="V20">
        <f>HYPERLINK("https://klasma.github.io/Logging_2305/klagomål/A 41701-2024 FSC-klagomål.docx", "A 41701-2024")</f>
        <v/>
      </c>
      <c r="W20">
        <f>HYPERLINK("https://klasma.github.io/Logging_2305/klagomålsmail/A 41701-2024 FSC-klagomål mail.docx", "A 41701-2024")</f>
        <v/>
      </c>
      <c r="X20">
        <f>HYPERLINK("https://klasma.github.io/Logging_2305/tillsyn/A 41701-2024 tillsynsbegäran.docx", "A 41701-2024")</f>
        <v/>
      </c>
      <c r="Y20">
        <f>HYPERLINK("https://klasma.github.io/Logging_2305/tillsynsmail/A 41701-2024 tillsynsbegäran mail.docx", "A 41701-2024")</f>
        <v/>
      </c>
    </row>
    <row r="21" ht="15" customHeight="1">
      <c r="A21" t="inlineStr">
        <is>
          <t>A 31470-2024</t>
        </is>
      </c>
      <c r="B21" s="1" t="n">
        <v>45505</v>
      </c>
      <c r="C21" s="1" t="n">
        <v>45976</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45818.35738425926</v>
      </c>
      <c r="C22" s="1" t="n">
        <v>45976</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22929-2025</t>
        </is>
      </c>
      <c r="B23" s="1" t="n">
        <v>45790.4484375</v>
      </c>
      <c r="C23" s="1" t="n">
        <v>45976</v>
      </c>
      <c r="D23" t="inlineStr">
        <is>
          <t>JÄMTLANDS LÄN</t>
        </is>
      </c>
      <c r="E23" t="inlineStr">
        <is>
          <t>BRÄCKE</t>
        </is>
      </c>
      <c r="F23" t="inlineStr">
        <is>
          <t>SCA</t>
        </is>
      </c>
      <c r="G23" t="n">
        <v>14.5</v>
      </c>
      <c r="H23" t="n">
        <v>1</v>
      </c>
      <c r="I23" t="n">
        <v>7</v>
      </c>
      <c r="J23" t="n">
        <v>8</v>
      </c>
      <c r="K23" t="n">
        <v>1</v>
      </c>
      <c r="L23" t="n">
        <v>0</v>
      </c>
      <c r="M23" t="n">
        <v>0</v>
      </c>
      <c r="N23" t="n">
        <v>0</v>
      </c>
      <c r="O23" t="n">
        <v>9</v>
      </c>
      <c r="P23" t="n">
        <v>1</v>
      </c>
      <c r="Q23" t="n">
        <v>16</v>
      </c>
      <c r="R23" s="2" t="inlineStr">
        <is>
          <t>Knärot
Doftskinn
Granticka
Kolflarnlav
Lunglav
Mörk kolflarnlav
Ullticka
Vedskivlav
Vedtrappmossa
Bårdlav
Dropptaggsvamp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29467-2025</t>
        </is>
      </c>
      <c r="B24" s="1" t="n">
        <v>45824.69877314815</v>
      </c>
      <c r="C24" s="1" t="n">
        <v>45976</v>
      </c>
      <c r="D24" t="inlineStr">
        <is>
          <t>JÄMTLANDS LÄN</t>
        </is>
      </c>
      <c r="E24" t="inlineStr">
        <is>
          <t>BRÄCKE</t>
        </is>
      </c>
      <c r="F24" t="inlineStr">
        <is>
          <t>SCA</t>
        </is>
      </c>
      <c r="G24" t="n">
        <v>9.9</v>
      </c>
      <c r="H24" t="n">
        <v>0</v>
      </c>
      <c r="I24" t="n">
        <v>4</v>
      </c>
      <c r="J24" t="n">
        <v>10</v>
      </c>
      <c r="K24" t="n">
        <v>1</v>
      </c>
      <c r="L24" t="n">
        <v>0</v>
      </c>
      <c r="M24" t="n">
        <v>0</v>
      </c>
      <c r="N24" t="n">
        <v>0</v>
      </c>
      <c r="O24" t="n">
        <v>12</v>
      </c>
      <c r="P24" t="n">
        <v>1</v>
      </c>
      <c r="Q24" t="n">
        <v>16</v>
      </c>
      <c r="R24" s="2" t="inlineStr">
        <is>
          <t>Spadskinn
Blanksvart spiklav
Blå taggsvamp
Dvärgbägarlav
Garnlav
Granticka
Svartvit taggsvamp
Ullticka
Vaddporing
Vedflamlav
Vitplätt
Oljeporing
Bollvitmossa
Dropptaggsvamp
Grönpyrola
Skarp dropptaggsvamp</t>
        </is>
      </c>
      <c r="S24">
        <f>HYPERLINK("https://klasma.github.io/Logging_2305/artfynd/A 29467-2025 artfynd.xlsx", "A 29467-2025")</f>
        <v/>
      </c>
      <c r="T24">
        <f>HYPERLINK("https://klasma.github.io/Logging_2305/kartor/A 29467-2025 karta.png", "A 29467-2025")</f>
        <v/>
      </c>
      <c r="V24">
        <f>HYPERLINK("https://klasma.github.io/Logging_2305/klagomål/A 29467-2025 FSC-klagomål.docx", "A 29467-2025")</f>
        <v/>
      </c>
      <c r="W24">
        <f>HYPERLINK("https://klasma.github.io/Logging_2305/klagomålsmail/A 29467-2025 FSC-klagomål mail.docx", "A 29467-2025")</f>
        <v/>
      </c>
      <c r="X24">
        <f>HYPERLINK("https://klasma.github.io/Logging_2305/tillsyn/A 29467-2025 tillsynsbegäran.docx", "A 29467-2025")</f>
        <v/>
      </c>
      <c r="Y24">
        <f>HYPERLINK("https://klasma.github.io/Logging_2305/tillsynsmail/A 29467-2025 tillsynsbegäran mail.docx", "A 29467-2025")</f>
        <v/>
      </c>
    </row>
    <row r="25" ht="15" customHeight="1">
      <c r="A25" t="inlineStr">
        <is>
          <t>A 30779-2024</t>
        </is>
      </c>
      <c r="B25" s="1" t="n">
        <v>45496.95019675926</v>
      </c>
      <c r="C25" s="1" t="n">
        <v>45976</v>
      </c>
      <c r="D25" t="inlineStr">
        <is>
          <t>JÄMTLANDS LÄN</t>
        </is>
      </c>
      <c r="E25" t="inlineStr">
        <is>
          <t>BRÄCKE</t>
        </is>
      </c>
      <c r="F25" t="inlineStr">
        <is>
          <t>Naturvårdsverket</t>
        </is>
      </c>
      <c r="G25" t="n">
        <v>7.4</v>
      </c>
      <c r="H25" t="n">
        <v>1</v>
      </c>
      <c r="I25" t="n">
        <v>3</v>
      </c>
      <c r="J25" t="n">
        <v>9</v>
      </c>
      <c r="K25" t="n">
        <v>3</v>
      </c>
      <c r="L25" t="n">
        <v>0</v>
      </c>
      <c r="M25" t="n">
        <v>0</v>
      </c>
      <c r="N25" t="n">
        <v>0</v>
      </c>
      <c r="O25" t="n">
        <v>12</v>
      </c>
      <c r="P25" t="n">
        <v>3</v>
      </c>
      <c r="Q25" t="n">
        <v>15</v>
      </c>
      <c r="R25" s="2" t="inlineStr">
        <is>
          <t>Knärot
Lammticka
Smalfotad taggsvamp
Blå taggsvamp
Grantaggsvamp
Orange taggsvamp
Skrovlig taggsvamp
Svart taggsvamp
Svartvit taggsvamp
Tallriska
Talltaggsvamp
Vedskivlav
Dropptaggsvamp
Skarp dropptaggsvamp
Tallfingersvamp</t>
        </is>
      </c>
      <c r="S25">
        <f>HYPERLINK("https://klasma.github.io/Logging_2305/artfynd/A 30779-2024 artfynd.xlsx", "A 30779-2024")</f>
        <v/>
      </c>
      <c r="T25">
        <f>HYPERLINK("https://klasma.github.io/Logging_2305/kartor/A 30779-2024 karta.png", "A 30779-2024")</f>
        <v/>
      </c>
      <c r="U25">
        <f>HYPERLINK("https://klasma.github.io/Logging_2305/knärot/A 30779-2024 karta knärot.png", "A 30779-2024")</f>
        <v/>
      </c>
      <c r="V25">
        <f>HYPERLINK("https://klasma.github.io/Logging_2305/klagomål/A 30779-2024 FSC-klagomål.docx", "A 30779-2024")</f>
        <v/>
      </c>
      <c r="W25">
        <f>HYPERLINK("https://klasma.github.io/Logging_2305/klagomålsmail/A 30779-2024 FSC-klagomål mail.docx", "A 30779-2024")</f>
        <v/>
      </c>
      <c r="X25">
        <f>HYPERLINK("https://klasma.github.io/Logging_2305/tillsyn/A 30779-2024 tillsynsbegäran.docx", "A 30779-2024")</f>
        <v/>
      </c>
      <c r="Y25">
        <f>HYPERLINK("https://klasma.github.io/Logging_2305/tillsynsmail/A 30779-2024 tillsynsbegäran mail.docx", "A 30779-2024")</f>
        <v/>
      </c>
    </row>
    <row r="26" ht="15" customHeight="1">
      <c r="A26" t="inlineStr">
        <is>
          <t>A 29103-2024</t>
        </is>
      </c>
      <c r="B26" s="1" t="n">
        <v>45481.95140046296</v>
      </c>
      <c r="C26" s="1" t="n">
        <v>45976</v>
      </c>
      <c r="D26" t="inlineStr">
        <is>
          <t>JÄMTLANDS LÄN</t>
        </is>
      </c>
      <c r="E26" t="inlineStr">
        <is>
          <t>BRÄCKE</t>
        </is>
      </c>
      <c r="F26" t="inlineStr">
        <is>
          <t>SCA</t>
        </is>
      </c>
      <c r="G26" t="n">
        <v>6.2</v>
      </c>
      <c r="H26" t="n">
        <v>2</v>
      </c>
      <c r="I26" t="n">
        <v>3</v>
      </c>
      <c r="J26" t="n">
        <v>9</v>
      </c>
      <c r="K26" t="n">
        <v>3</v>
      </c>
      <c r="L26" t="n">
        <v>0</v>
      </c>
      <c r="M26" t="n">
        <v>0</v>
      </c>
      <c r="N26" t="n">
        <v>0</v>
      </c>
      <c r="O26" t="n">
        <v>12</v>
      </c>
      <c r="P26" t="n">
        <v>3</v>
      </c>
      <c r="Q26" t="n">
        <v>15</v>
      </c>
      <c r="R26" s="2" t="inlineStr">
        <is>
          <t>Knärot
Lammticka
Spadskinn
Blå taggsvamp
Nordtagging
Orange taggsvamp
Skrovlig taggsvamp
Svart taggsvamp
Tallticka
Talltita
Vaxspindling
Vitplätt
Dropptaggsvamp
Skarp dropptaggsvamp
Tallfingersvamp</t>
        </is>
      </c>
      <c r="S26">
        <f>HYPERLINK("https://klasma.github.io/Logging_2305/artfynd/A 29103-2024 artfynd.xlsx", "A 29103-2024")</f>
        <v/>
      </c>
      <c r="T26">
        <f>HYPERLINK("https://klasma.github.io/Logging_2305/kartor/A 29103-2024 karta.png", "A 29103-2024")</f>
        <v/>
      </c>
      <c r="U26">
        <f>HYPERLINK("https://klasma.github.io/Logging_2305/knärot/A 29103-2024 karta knärot.png", "A 29103-2024")</f>
        <v/>
      </c>
      <c r="V26">
        <f>HYPERLINK("https://klasma.github.io/Logging_2305/klagomål/A 29103-2024 FSC-klagomål.docx", "A 29103-2024")</f>
        <v/>
      </c>
      <c r="W26">
        <f>HYPERLINK("https://klasma.github.io/Logging_2305/klagomålsmail/A 29103-2024 FSC-klagomål mail.docx", "A 29103-2024")</f>
        <v/>
      </c>
      <c r="X26">
        <f>HYPERLINK("https://klasma.github.io/Logging_2305/tillsyn/A 29103-2024 tillsynsbegäran.docx", "A 29103-2024")</f>
        <v/>
      </c>
      <c r="Y26">
        <f>HYPERLINK("https://klasma.github.io/Logging_2305/tillsynsmail/A 29103-2024 tillsynsbegäran mail.docx", "A 29103-2024")</f>
        <v/>
      </c>
      <c r="Z26">
        <f>HYPERLINK("https://klasma.github.io/Logging_2305/fåglar/A 29103-2024 prioriterade fågelarter.docx", "A 29103-2024")</f>
        <v/>
      </c>
    </row>
    <row r="27" ht="15" customHeight="1">
      <c r="A27" t="inlineStr">
        <is>
          <t>A 28599-2021</t>
        </is>
      </c>
      <c r="B27" s="1" t="n">
        <v>44356</v>
      </c>
      <c r="C27" s="1" t="n">
        <v>45976</v>
      </c>
      <c r="D27" t="inlineStr">
        <is>
          <t>JÄMTLANDS LÄN</t>
        </is>
      </c>
      <c r="E27" t="inlineStr">
        <is>
          <t>BRÄCKE</t>
        </is>
      </c>
      <c r="F27" t="inlineStr">
        <is>
          <t>SCA</t>
        </is>
      </c>
      <c r="G27" t="n">
        <v>14.6</v>
      </c>
      <c r="H27" t="n">
        <v>8</v>
      </c>
      <c r="I27" t="n">
        <v>5</v>
      </c>
      <c r="J27" t="n">
        <v>7</v>
      </c>
      <c r="K27" t="n">
        <v>2</v>
      </c>
      <c r="L27" t="n">
        <v>0</v>
      </c>
      <c r="M27" t="n">
        <v>0</v>
      </c>
      <c r="N27" t="n">
        <v>0</v>
      </c>
      <c r="O27" t="n">
        <v>9</v>
      </c>
      <c r="P27" t="n">
        <v>2</v>
      </c>
      <c r="Q27" t="n">
        <v>15</v>
      </c>
      <c r="R27" s="2" t="inlineStr">
        <is>
          <t>Doftticka
Knärot
Garnlav
Lunglav
Rödvingetrast
Talltita
Tretåig hackspett
Äggvaxskivling
Ärtsångare
Fjällig taggsvamp s.str.
Skarp dropptaggsvamp
Spindelblomster
Stuplav
Trådticka
Trädlärka</t>
        </is>
      </c>
      <c r="S27">
        <f>HYPERLINK("https://klasma.github.io/Logging_2305/artfynd/A 28599-2021 artfynd.xlsx", "A 28599-2021")</f>
        <v/>
      </c>
      <c r="T27">
        <f>HYPERLINK("https://klasma.github.io/Logging_2305/kartor/A 28599-2021 karta.png", "A 28599-2021")</f>
        <v/>
      </c>
      <c r="U27">
        <f>HYPERLINK("https://klasma.github.io/Logging_2305/knärot/A 28599-2021 karta knärot.png", "A 28599-2021")</f>
        <v/>
      </c>
      <c r="V27">
        <f>HYPERLINK("https://klasma.github.io/Logging_2305/klagomål/A 28599-2021 FSC-klagomål.docx", "A 28599-2021")</f>
        <v/>
      </c>
      <c r="W27">
        <f>HYPERLINK("https://klasma.github.io/Logging_2305/klagomålsmail/A 28599-2021 FSC-klagomål mail.docx", "A 28599-2021")</f>
        <v/>
      </c>
      <c r="X27">
        <f>HYPERLINK("https://klasma.github.io/Logging_2305/tillsyn/A 28599-2021 tillsynsbegäran.docx", "A 28599-2021")</f>
        <v/>
      </c>
      <c r="Y27">
        <f>HYPERLINK("https://klasma.github.io/Logging_2305/tillsynsmail/A 28599-2021 tillsynsbegäran mail.docx", "A 28599-2021")</f>
        <v/>
      </c>
      <c r="Z27">
        <f>HYPERLINK("https://klasma.github.io/Logging_2305/fåglar/A 28599-2021 prioriterade fågelarter.docx", "A 28599-2021")</f>
        <v/>
      </c>
    </row>
    <row r="28" ht="15" customHeight="1">
      <c r="A28" t="inlineStr">
        <is>
          <t>A 58085-2024</t>
        </is>
      </c>
      <c r="B28" s="1" t="n">
        <v>45632</v>
      </c>
      <c r="C28" s="1" t="n">
        <v>45976</v>
      </c>
      <c r="D28" t="inlineStr">
        <is>
          <t>JÄMTLANDS LÄN</t>
        </is>
      </c>
      <c r="E28" t="inlineStr">
        <is>
          <t>BRÄCKE</t>
        </is>
      </c>
      <c r="F28" t="inlineStr">
        <is>
          <t>SCA</t>
        </is>
      </c>
      <c r="G28" t="n">
        <v>12.3</v>
      </c>
      <c r="H28" t="n">
        <v>3</v>
      </c>
      <c r="I28" t="n">
        <v>5</v>
      </c>
      <c r="J28" t="n">
        <v>6</v>
      </c>
      <c r="K28" t="n">
        <v>1</v>
      </c>
      <c r="L28" t="n">
        <v>0</v>
      </c>
      <c r="M28" t="n">
        <v>0</v>
      </c>
      <c r="N28" t="n">
        <v>0</v>
      </c>
      <c r="O28" t="n">
        <v>7</v>
      </c>
      <c r="P28" t="n">
        <v>1</v>
      </c>
      <c r="Q28" t="n">
        <v>13</v>
      </c>
      <c r="R28" s="2" t="inlineStr">
        <is>
          <t>Knärot
Garnlav
Granticka
Lunglav
Tretåig hackspett
Ullticka
Vitgrynig nållav
Barkkornlav
Luddlav
Mörk husmossa
Stor aspticka
Stuplav
Revlummer</t>
        </is>
      </c>
      <c r="S28">
        <f>HYPERLINK("https://klasma.github.io/Logging_2305/artfynd/A 58085-2024 artfynd.xlsx", "A 58085-2024")</f>
        <v/>
      </c>
      <c r="T28">
        <f>HYPERLINK("https://klasma.github.io/Logging_2305/kartor/A 58085-2024 karta.png", "A 58085-2024")</f>
        <v/>
      </c>
      <c r="U28">
        <f>HYPERLINK("https://klasma.github.io/Logging_2305/knärot/A 58085-2024 karta knärot.png", "A 58085-2024")</f>
        <v/>
      </c>
      <c r="V28">
        <f>HYPERLINK("https://klasma.github.io/Logging_2305/klagomål/A 58085-2024 FSC-klagomål.docx", "A 58085-2024")</f>
        <v/>
      </c>
      <c r="W28">
        <f>HYPERLINK("https://klasma.github.io/Logging_2305/klagomålsmail/A 58085-2024 FSC-klagomål mail.docx", "A 58085-2024")</f>
        <v/>
      </c>
      <c r="X28">
        <f>HYPERLINK("https://klasma.github.io/Logging_2305/tillsyn/A 58085-2024 tillsynsbegäran.docx", "A 58085-2024")</f>
        <v/>
      </c>
      <c r="Y28">
        <f>HYPERLINK("https://klasma.github.io/Logging_2305/tillsynsmail/A 58085-2024 tillsynsbegäran mail.docx", "A 58085-2024")</f>
        <v/>
      </c>
      <c r="Z28">
        <f>HYPERLINK("https://klasma.github.io/Logging_2305/fåglar/A 58085-2024 prioriterade fågelarter.docx", "A 58085-2024")</f>
        <v/>
      </c>
    </row>
    <row r="29" ht="15" customHeight="1">
      <c r="A29" t="inlineStr">
        <is>
          <t>A 39116-2025</t>
        </is>
      </c>
      <c r="B29" s="1" t="n">
        <v>45888.55255787037</v>
      </c>
      <c r="C29" s="1" t="n">
        <v>45976</v>
      </c>
      <c r="D29" t="inlineStr">
        <is>
          <t>JÄMTLANDS LÄN</t>
        </is>
      </c>
      <c r="E29" t="inlineStr">
        <is>
          <t>BRÄCKE</t>
        </is>
      </c>
      <c r="F29" t="inlineStr">
        <is>
          <t>SCA</t>
        </is>
      </c>
      <c r="G29" t="n">
        <v>10</v>
      </c>
      <c r="H29" t="n">
        <v>5</v>
      </c>
      <c r="I29" t="n">
        <v>4</v>
      </c>
      <c r="J29" t="n">
        <v>7</v>
      </c>
      <c r="K29" t="n">
        <v>1</v>
      </c>
      <c r="L29" t="n">
        <v>0</v>
      </c>
      <c r="M29" t="n">
        <v>0</v>
      </c>
      <c r="N29" t="n">
        <v>0</v>
      </c>
      <c r="O29" t="n">
        <v>8</v>
      </c>
      <c r="P29" t="n">
        <v>1</v>
      </c>
      <c r="Q29" t="n">
        <v>13</v>
      </c>
      <c r="R29" s="2" t="inlineStr">
        <is>
          <t>Knärot
Garnlav
Granticka
Järpe
Lunglav
Talltita
Tretåig hackspett
Ullticka
Bårdlav
Luddlav
Stuplav
Vedticka
Revlummer</t>
        </is>
      </c>
      <c r="S29">
        <f>HYPERLINK("https://klasma.github.io/Logging_2305/artfynd/A 39116-2025 artfynd.xlsx", "A 39116-2025")</f>
        <v/>
      </c>
      <c r="T29">
        <f>HYPERLINK("https://klasma.github.io/Logging_2305/kartor/A 39116-2025 karta.png", "A 39116-2025")</f>
        <v/>
      </c>
      <c r="U29">
        <f>HYPERLINK("https://klasma.github.io/Logging_2305/knärot/A 39116-2025 karta knärot.png", "A 39116-2025")</f>
        <v/>
      </c>
      <c r="V29">
        <f>HYPERLINK("https://klasma.github.io/Logging_2305/klagomål/A 39116-2025 FSC-klagomål.docx", "A 39116-2025")</f>
        <v/>
      </c>
      <c r="W29">
        <f>HYPERLINK("https://klasma.github.io/Logging_2305/klagomålsmail/A 39116-2025 FSC-klagomål mail.docx", "A 39116-2025")</f>
        <v/>
      </c>
      <c r="X29">
        <f>HYPERLINK("https://klasma.github.io/Logging_2305/tillsyn/A 39116-2025 tillsynsbegäran.docx", "A 39116-2025")</f>
        <v/>
      </c>
      <c r="Y29">
        <f>HYPERLINK("https://klasma.github.io/Logging_2305/tillsynsmail/A 39116-2025 tillsynsbegäran mail.docx", "A 39116-2025")</f>
        <v/>
      </c>
      <c r="Z29">
        <f>HYPERLINK("https://klasma.github.io/Logging_2305/fåglar/A 39116-2025 prioriterade fågelarter.docx", "A 39116-2025")</f>
        <v/>
      </c>
    </row>
    <row r="30" ht="15" customHeight="1">
      <c r="A30" t="inlineStr">
        <is>
          <t>A 23037-2021</t>
        </is>
      </c>
      <c r="B30" s="1" t="n">
        <v>44328</v>
      </c>
      <c r="C30" s="1" t="n">
        <v>45976</v>
      </c>
      <c r="D30" t="inlineStr">
        <is>
          <t>JÄMTLANDS LÄN</t>
        </is>
      </c>
      <c r="E30" t="inlineStr">
        <is>
          <t>BRÄCKE</t>
        </is>
      </c>
      <c r="F30" t="inlineStr">
        <is>
          <t>SCA</t>
        </is>
      </c>
      <c r="G30" t="n">
        <v>7.1</v>
      </c>
      <c r="H30" t="n">
        <v>2</v>
      </c>
      <c r="I30" t="n">
        <v>1</v>
      </c>
      <c r="J30" t="n">
        <v>7</v>
      </c>
      <c r="K30" t="n">
        <v>4</v>
      </c>
      <c r="L30" t="n">
        <v>0</v>
      </c>
      <c r="M30" t="n">
        <v>0</v>
      </c>
      <c r="N30" t="n">
        <v>0</v>
      </c>
      <c r="O30" t="n">
        <v>11</v>
      </c>
      <c r="P30" t="n">
        <v>4</v>
      </c>
      <c r="Q30" t="n">
        <v>13</v>
      </c>
      <c r="R30" s="2" t="inlineStr">
        <is>
          <t>Fläckporing
Gräddporing
Knärot
Rynkskinn
Dvärgbägarlav
Kolflarnlav
Mörk kolflarnlav
Nordtagging
Ullticka
Vedflamlav
Vedskivlav
Vedticka
Revlummer</t>
        </is>
      </c>
      <c r="S30">
        <f>HYPERLINK("https://klasma.github.io/Logging_2305/artfynd/A 23037-2021 artfynd.xlsx", "A 23037-2021")</f>
        <v/>
      </c>
      <c r="T30">
        <f>HYPERLINK("https://klasma.github.io/Logging_2305/kartor/A 23037-2021 karta.png", "A 23037-2021")</f>
        <v/>
      </c>
      <c r="U30">
        <f>HYPERLINK("https://klasma.github.io/Logging_2305/knärot/A 23037-2021 karta knärot.png", "A 23037-2021")</f>
        <v/>
      </c>
      <c r="V30">
        <f>HYPERLINK("https://klasma.github.io/Logging_2305/klagomål/A 23037-2021 FSC-klagomål.docx", "A 23037-2021")</f>
        <v/>
      </c>
      <c r="W30">
        <f>HYPERLINK("https://klasma.github.io/Logging_2305/klagomålsmail/A 23037-2021 FSC-klagomål mail.docx", "A 23037-2021")</f>
        <v/>
      </c>
      <c r="X30">
        <f>HYPERLINK("https://klasma.github.io/Logging_2305/tillsyn/A 23037-2021 tillsynsbegäran.docx", "A 23037-2021")</f>
        <v/>
      </c>
      <c r="Y30">
        <f>HYPERLINK("https://klasma.github.io/Logging_2305/tillsynsmail/A 23037-2021 tillsynsbegäran mail.docx", "A 23037-2021")</f>
        <v/>
      </c>
    </row>
    <row r="31" ht="15" customHeight="1">
      <c r="A31" t="inlineStr">
        <is>
          <t>A 29244-2024</t>
        </is>
      </c>
      <c r="B31" s="1" t="n">
        <v>45482</v>
      </c>
      <c r="C31" s="1" t="n">
        <v>45976</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67343-2021</t>
        </is>
      </c>
      <c r="B32" s="1" t="n">
        <v>44523</v>
      </c>
      <c r="C32" s="1" t="n">
        <v>45976</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7669-2025</t>
        </is>
      </c>
      <c r="B33" s="1" t="n">
        <v>45706.34467592592</v>
      </c>
      <c r="C33" s="1" t="n">
        <v>45976</v>
      </c>
      <c r="D33" t="inlineStr">
        <is>
          <t>JÄMTLANDS LÄN</t>
        </is>
      </c>
      <c r="E33" t="inlineStr">
        <is>
          <t>BRÄCKE</t>
        </is>
      </c>
      <c r="F33" t="inlineStr">
        <is>
          <t>SCA</t>
        </is>
      </c>
      <c r="G33" t="n">
        <v>5</v>
      </c>
      <c r="H33" t="n">
        <v>3</v>
      </c>
      <c r="I33" t="n">
        <v>3</v>
      </c>
      <c r="J33" t="n">
        <v>7</v>
      </c>
      <c r="K33" t="n">
        <v>2</v>
      </c>
      <c r="L33" t="n">
        <v>0</v>
      </c>
      <c r="M33" t="n">
        <v>0</v>
      </c>
      <c r="N33" t="n">
        <v>0</v>
      </c>
      <c r="O33" t="n">
        <v>9</v>
      </c>
      <c r="P33" t="n">
        <v>2</v>
      </c>
      <c r="Q33" t="n">
        <v>12</v>
      </c>
      <c r="R33" s="2" t="inlineStr">
        <is>
          <t>Doftticka
Knärot
Garnlav
Kolflarnlav
Lunglav
Mörk kolflarnlav
Skrovellav
Vedskivlav
Vitgrynig nållav
Dropptaggsvamp
Kransrams
Spindelblomster</t>
        </is>
      </c>
      <c r="S33">
        <f>HYPERLINK("https://klasma.github.io/Logging_2305/artfynd/A 7669-2025 artfynd.xlsx", "A 7669-2025")</f>
        <v/>
      </c>
      <c r="T33">
        <f>HYPERLINK("https://klasma.github.io/Logging_2305/kartor/A 7669-2025 karta.png", "A 7669-2025")</f>
        <v/>
      </c>
      <c r="U33">
        <f>HYPERLINK("https://klasma.github.io/Logging_2305/knärot/A 7669-2025 karta knärot.png", "A 7669-2025")</f>
        <v/>
      </c>
      <c r="V33">
        <f>HYPERLINK("https://klasma.github.io/Logging_2305/klagomål/A 7669-2025 FSC-klagomål.docx", "A 7669-2025")</f>
        <v/>
      </c>
      <c r="W33">
        <f>HYPERLINK("https://klasma.github.io/Logging_2305/klagomålsmail/A 7669-2025 FSC-klagomål mail.docx", "A 7669-2025")</f>
        <v/>
      </c>
      <c r="X33">
        <f>HYPERLINK("https://klasma.github.io/Logging_2305/tillsyn/A 7669-2025 tillsynsbegäran.docx", "A 7669-2025")</f>
        <v/>
      </c>
      <c r="Y33">
        <f>HYPERLINK("https://klasma.github.io/Logging_2305/tillsynsmail/A 7669-2025 tillsynsbegäran mail.docx", "A 7669-2025")</f>
        <v/>
      </c>
    </row>
    <row r="34" ht="15" customHeight="1">
      <c r="A34" t="inlineStr">
        <is>
          <t>A 22983-2024</t>
        </is>
      </c>
      <c r="B34" s="1" t="n">
        <v>45449.94489583333</v>
      </c>
      <c r="C34" s="1" t="n">
        <v>45976</v>
      </c>
      <c r="D34" t="inlineStr">
        <is>
          <t>JÄMTLANDS LÄN</t>
        </is>
      </c>
      <c r="E34" t="inlineStr">
        <is>
          <t>BRÄCKE</t>
        </is>
      </c>
      <c r="F34" t="inlineStr">
        <is>
          <t>SCA</t>
        </is>
      </c>
      <c r="G34" t="n">
        <v>1.8</v>
      </c>
      <c r="H34" t="n">
        <v>2</v>
      </c>
      <c r="I34" t="n">
        <v>3</v>
      </c>
      <c r="J34" t="n">
        <v>7</v>
      </c>
      <c r="K34" t="n">
        <v>2</v>
      </c>
      <c r="L34" t="n">
        <v>0</v>
      </c>
      <c r="M34" t="n">
        <v>0</v>
      </c>
      <c r="N34" t="n">
        <v>0</v>
      </c>
      <c r="O34" t="n">
        <v>9</v>
      </c>
      <c r="P34" t="n">
        <v>2</v>
      </c>
      <c r="Q34" t="n">
        <v>12</v>
      </c>
      <c r="R34" s="2" t="inlineStr">
        <is>
          <t>Knärot
Rynkskinn
Garnlav
Kolflarnlav
Lunglav
Mörk kolflarnlav
Skrovellav
Tretåig hackspett
Vedskivlav
Korallblylav
Luddlav
Mörk husmossa</t>
        </is>
      </c>
      <c r="S34">
        <f>HYPERLINK("https://klasma.github.io/Logging_2305/artfynd/A 22983-2024 artfynd.xlsx", "A 22983-2024")</f>
        <v/>
      </c>
      <c r="T34">
        <f>HYPERLINK("https://klasma.github.io/Logging_2305/kartor/A 22983-2024 karta.png", "A 22983-2024")</f>
        <v/>
      </c>
      <c r="U34">
        <f>HYPERLINK("https://klasma.github.io/Logging_2305/knärot/A 22983-2024 karta knärot.png", "A 22983-2024")</f>
        <v/>
      </c>
      <c r="V34">
        <f>HYPERLINK("https://klasma.github.io/Logging_2305/klagomål/A 22983-2024 FSC-klagomål.docx", "A 22983-2024")</f>
        <v/>
      </c>
      <c r="W34">
        <f>HYPERLINK("https://klasma.github.io/Logging_2305/klagomålsmail/A 22983-2024 FSC-klagomål mail.docx", "A 22983-2024")</f>
        <v/>
      </c>
      <c r="X34">
        <f>HYPERLINK("https://klasma.github.io/Logging_2305/tillsyn/A 22983-2024 tillsynsbegäran.docx", "A 22983-2024")</f>
        <v/>
      </c>
      <c r="Y34">
        <f>HYPERLINK("https://klasma.github.io/Logging_2305/tillsynsmail/A 22983-2024 tillsynsbegäran mail.docx", "A 22983-2024")</f>
        <v/>
      </c>
      <c r="Z34">
        <f>HYPERLINK("https://klasma.github.io/Logging_2305/fåglar/A 22983-2024 prioriterade fågelarter.docx", "A 22983-2024")</f>
        <v/>
      </c>
    </row>
    <row r="35" ht="15" customHeight="1">
      <c r="A35" t="inlineStr">
        <is>
          <t>A 29102-2024</t>
        </is>
      </c>
      <c r="B35" s="1" t="n">
        <v>45481.95128472222</v>
      </c>
      <c r="C35" s="1" t="n">
        <v>45976</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58080-2023</t>
        </is>
      </c>
      <c r="B36" s="1" t="n">
        <v>45247.9652199074</v>
      </c>
      <c r="C36" s="1" t="n">
        <v>45976</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44933-2025</t>
        </is>
      </c>
      <c r="B37" s="1" t="n">
        <v>45918.57365740741</v>
      </c>
      <c r="C37" s="1" t="n">
        <v>45976</v>
      </c>
      <c r="D37" t="inlineStr">
        <is>
          <t>JÄMTLANDS LÄN</t>
        </is>
      </c>
      <c r="E37" t="inlineStr">
        <is>
          <t>BRÄCKE</t>
        </is>
      </c>
      <c r="F37" t="inlineStr">
        <is>
          <t>SCA</t>
        </is>
      </c>
      <c r="G37" t="n">
        <v>9.5</v>
      </c>
      <c r="H37" t="n">
        <v>1</v>
      </c>
      <c r="I37" t="n">
        <v>1</v>
      </c>
      <c r="J37" t="n">
        <v>9</v>
      </c>
      <c r="K37" t="n">
        <v>1</v>
      </c>
      <c r="L37" t="n">
        <v>0</v>
      </c>
      <c r="M37" t="n">
        <v>0</v>
      </c>
      <c r="N37" t="n">
        <v>0</v>
      </c>
      <c r="O37" t="n">
        <v>10</v>
      </c>
      <c r="P37" t="n">
        <v>1</v>
      </c>
      <c r="Q37" t="n">
        <v>11</v>
      </c>
      <c r="R37" s="2" t="inlineStr">
        <is>
          <t>Gräddporing
Blanksvart spiklav
Blågrå svartspik
Garnlav
Kolflarnlav
Lunglav
Reliktbock
Vedflamlav
Vedskivlav
Vedtrappmossa
Spindelblomster</t>
        </is>
      </c>
      <c r="S37">
        <f>HYPERLINK("https://klasma.github.io/Logging_2305/artfynd/A 44933-2025 artfynd.xlsx", "A 44933-2025")</f>
        <v/>
      </c>
      <c r="T37">
        <f>HYPERLINK("https://klasma.github.io/Logging_2305/kartor/A 44933-2025 karta.png", "A 44933-2025")</f>
        <v/>
      </c>
      <c r="V37">
        <f>HYPERLINK("https://klasma.github.io/Logging_2305/klagomål/A 44933-2025 FSC-klagomål.docx", "A 44933-2025")</f>
        <v/>
      </c>
      <c r="W37">
        <f>HYPERLINK("https://klasma.github.io/Logging_2305/klagomålsmail/A 44933-2025 FSC-klagomål mail.docx", "A 44933-2025")</f>
        <v/>
      </c>
      <c r="X37">
        <f>HYPERLINK("https://klasma.github.io/Logging_2305/tillsyn/A 44933-2025 tillsynsbegäran.docx", "A 44933-2025")</f>
        <v/>
      </c>
      <c r="Y37">
        <f>HYPERLINK("https://klasma.github.io/Logging_2305/tillsynsmail/A 44933-2025 tillsynsbegäran mail.docx", "A 44933-2025")</f>
        <v/>
      </c>
    </row>
    <row r="38" ht="15" customHeight="1">
      <c r="A38" t="inlineStr">
        <is>
          <t>A 23506-2025</t>
        </is>
      </c>
      <c r="B38" s="1" t="n">
        <v>45792.49002314815</v>
      </c>
      <c r="C38" s="1" t="n">
        <v>45976</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31469-2024</t>
        </is>
      </c>
      <c r="B39" s="1" t="n">
        <v>45505</v>
      </c>
      <c r="C39" s="1" t="n">
        <v>45976</v>
      </c>
      <c r="D39" t="inlineStr">
        <is>
          <t>JÄMTLANDS LÄN</t>
        </is>
      </c>
      <c r="E39" t="inlineStr">
        <is>
          <t>BRÄCKE</t>
        </is>
      </c>
      <c r="F39" t="inlineStr">
        <is>
          <t>SCA</t>
        </is>
      </c>
      <c r="G39" t="n">
        <v>11.5</v>
      </c>
      <c r="H39" t="n">
        <v>3</v>
      </c>
      <c r="I39" t="n">
        <v>0</v>
      </c>
      <c r="J39" t="n">
        <v>10</v>
      </c>
      <c r="K39" t="n">
        <v>1</v>
      </c>
      <c r="L39" t="n">
        <v>0</v>
      </c>
      <c r="M39" t="n">
        <v>0</v>
      </c>
      <c r="N39" t="n">
        <v>0</v>
      </c>
      <c r="O39" t="n">
        <v>11</v>
      </c>
      <c r="P39" t="n">
        <v>1</v>
      </c>
      <c r="Q39" t="n">
        <v>11</v>
      </c>
      <c r="R39" s="2" t="inlineStr">
        <is>
          <t>Knärot
Gammelgransskål
Garnlav
Granticka
Lunglav
Skrovellav
Talltita
Tretåig hackspett
Ullticka
Vitgrynig nållav
Äggvaxskivling</t>
        </is>
      </c>
      <c r="S39">
        <f>HYPERLINK("https://klasma.github.io/Logging_2305/artfynd/A 31469-2024 artfynd.xlsx", "A 31469-2024")</f>
        <v/>
      </c>
      <c r="T39">
        <f>HYPERLINK("https://klasma.github.io/Logging_2305/kartor/A 31469-2024 karta.png", "A 31469-2024")</f>
        <v/>
      </c>
      <c r="U39">
        <f>HYPERLINK("https://klasma.github.io/Logging_2305/knärot/A 31469-2024 karta knärot.png", "A 31469-2024")</f>
        <v/>
      </c>
      <c r="V39">
        <f>HYPERLINK("https://klasma.github.io/Logging_2305/klagomål/A 31469-2024 FSC-klagomål.docx", "A 31469-2024")</f>
        <v/>
      </c>
      <c r="W39">
        <f>HYPERLINK("https://klasma.github.io/Logging_2305/klagomålsmail/A 31469-2024 FSC-klagomål mail.docx", "A 31469-2024")</f>
        <v/>
      </c>
      <c r="X39">
        <f>HYPERLINK("https://klasma.github.io/Logging_2305/tillsyn/A 31469-2024 tillsynsbegäran.docx", "A 31469-2024")</f>
        <v/>
      </c>
      <c r="Y39">
        <f>HYPERLINK("https://klasma.github.io/Logging_2305/tillsynsmail/A 31469-2024 tillsynsbegäran mail.docx", "A 31469-2024")</f>
        <v/>
      </c>
      <c r="Z39">
        <f>HYPERLINK("https://klasma.github.io/Logging_2305/fåglar/A 31469-2024 prioriterade fågelarter.docx", "A 31469-2024")</f>
        <v/>
      </c>
    </row>
    <row r="40" ht="15" customHeight="1">
      <c r="A40" t="inlineStr">
        <is>
          <t>A 19337-2024</t>
        </is>
      </c>
      <c r="B40" s="1" t="n">
        <v>45428.97097222223</v>
      </c>
      <c r="C40" s="1" t="n">
        <v>45976</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28289-2025</t>
        </is>
      </c>
      <c r="B41" s="1" t="n">
        <v>45818.59244212963</v>
      </c>
      <c r="C41" s="1" t="n">
        <v>45976</v>
      </c>
      <c r="D41" t="inlineStr">
        <is>
          <t>JÄMTLANDS LÄN</t>
        </is>
      </c>
      <c r="E41" t="inlineStr">
        <is>
          <t>BRÄCKE</t>
        </is>
      </c>
      <c r="F41" t="inlineStr">
        <is>
          <t>Övriga Aktiebolag</t>
        </is>
      </c>
      <c r="G41" t="n">
        <v>12.8</v>
      </c>
      <c r="H41" t="n">
        <v>2</v>
      </c>
      <c r="I41" t="n">
        <v>1</v>
      </c>
      <c r="J41" t="n">
        <v>8</v>
      </c>
      <c r="K41" t="n">
        <v>1</v>
      </c>
      <c r="L41" t="n">
        <v>0</v>
      </c>
      <c r="M41" t="n">
        <v>0</v>
      </c>
      <c r="N41" t="n">
        <v>0</v>
      </c>
      <c r="O41" t="n">
        <v>9</v>
      </c>
      <c r="P41" t="n">
        <v>1</v>
      </c>
      <c r="Q41" t="n">
        <v>10</v>
      </c>
      <c r="R41" s="2" t="inlineStr">
        <is>
          <t>Blackticka
Doftskinn
Garnlav
Granticka
Järpe
Lunglav
Rosenticka
Tretåig hackspett
Ullticka
Skuggblåslav</t>
        </is>
      </c>
      <c r="S41">
        <f>HYPERLINK("https://klasma.github.io/Logging_2305/artfynd/A 28289-2025 artfynd.xlsx", "A 28289-2025")</f>
        <v/>
      </c>
      <c r="T41">
        <f>HYPERLINK("https://klasma.github.io/Logging_2305/kartor/A 28289-2025 karta.png", "A 28289-2025")</f>
        <v/>
      </c>
      <c r="V41">
        <f>HYPERLINK("https://klasma.github.io/Logging_2305/klagomål/A 28289-2025 FSC-klagomål.docx", "A 28289-2025")</f>
        <v/>
      </c>
      <c r="W41">
        <f>HYPERLINK("https://klasma.github.io/Logging_2305/klagomålsmail/A 28289-2025 FSC-klagomål mail.docx", "A 28289-2025")</f>
        <v/>
      </c>
      <c r="X41">
        <f>HYPERLINK("https://klasma.github.io/Logging_2305/tillsyn/A 28289-2025 tillsynsbegäran.docx", "A 28289-2025")</f>
        <v/>
      </c>
      <c r="Y41">
        <f>HYPERLINK("https://klasma.github.io/Logging_2305/tillsynsmail/A 28289-2025 tillsynsbegäran mail.docx", "A 28289-2025")</f>
        <v/>
      </c>
      <c r="Z41">
        <f>HYPERLINK("https://klasma.github.io/Logging_2305/fåglar/A 28289-2025 prioriterade fågelarter.docx", "A 28289-2025")</f>
        <v/>
      </c>
    </row>
    <row r="42" ht="15" customHeight="1">
      <c r="A42" t="inlineStr">
        <is>
          <t>A 36371-2022</t>
        </is>
      </c>
      <c r="B42" s="1" t="n">
        <v>44803</v>
      </c>
      <c r="C42" s="1" t="n">
        <v>45976</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7435-2022</t>
        </is>
      </c>
      <c r="B43" s="1" t="n">
        <v>44606</v>
      </c>
      <c r="C43" s="1" t="n">
        <v>45976</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38594-2025</t>
        </is>
      </c>
      <c r="B44" s="1" t="n">
        <v>45884.49010416667</v>
      </c>
      <c r="C44" s="1" t="n">
        <v>45976</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38594-2025 artfynd.xlsx", "A 38594-2025")</f>
        <v/>
      </c>
      <c r="T44">
        <f>HYPERLINK("https://klasma.github.io/Logging_2305/kartor/A 38594-2025 karta.png", "A 38594-2025")</f>
        <v/>
      </c>
      <c r="U44">
        <f>HYPERLINK("https://klasma.github.io/Logging_2305/knärot/A 38594-2025 karta knärot.png", "A 38594-2025")</f>
        <v/>
      </c>
      <c r="V44">
        <f>HYPERLINK("https://klasma.github.io/Logging_2305/klagomål/A 38594-2025 FSC-klagomål.docx", "A 38594-2025")</f>
        <v/>
      </c>
      <c r="W44">
        <f>HYPERLINK("https://klasma.github.io/Logging_2305/klagomålsmail/A 38594-2025 FSC-klagomål mail.docx", "A 38594-2025")</f>
        <v/>
      </c>
      <c r="X44">
        <f>HYPERLINK("https://klasma.github.io/Logging_2305/tillsyn/A 38594-2025 tillsynsbegäran.docx", "A 38594-2025")</f>
        <v/>
      </c>
      <c r="Y44">
        <f>HYPERLINK("https://klasma.github.io/Logging_2305/tillsynsmail/A 38594-2025 tillsynsbegäran mail.docx", "A 38594-2025")</f>
        <v/>
      </c>
      <c r="Z44">
        <f>HYPERLINK("https://klasma.github.io/Logging_2305/fåglar/A 38594-2025 prioriterade fågelarter.docx", "A 38594-2025")</f>
        <v/>
      </c>
    </row>
    <row r="45" ht="15" customHeight="1">
      <c r="A45" t="inlineStr">
        <is>
          <t>A 11982-2024</t>
        </is>
      </c>
      <c r="B45" s="1" t="n">
        <v>45376.95240740741</v>
      </c>
      <c r="C45" s="1" t="n">
        <v>45976</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13486-2025</t>
        </is>
      </c>
      <c r="B46" s="1" t="n">
        <v>45736.42762731481</v>
      </c>
      <c r="C46" s="1" t="n">
        <v>45976</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13486-2025 artfynd.xlsx", "A 13486-2025")</f>
        <v/>
      </c>
      <c r="T46">
        <f>HYPERLINK("https://klasma.github.io/Logging_2305/kartor/A 13486-2025 karta.png", "A 13486-2025")</f>
        <v/>
      </c>
      <c r="U46">
        <f>HYPERLINK("https://klasma.github.io/Logging_2305/knärot/A 13486-2025 karta knärot.png", "A 13486-2025")</f>
        <v/>
      </c>
      <c r="V46">
        <f>HYPERLINK("https://klasma.github.io/Logging_2305/klagomål/A 13486-2025 FSC-klagomål.docx", "A 13486-2025")</f>
        <v/>
      </c>
      <c r="W46">
        <f>HYPERLINK("https://klasma.github.io/Logging_2305/klagomålsmail/A 13486-2025 FSC-klagomål mail.docx", "A 13486-2025")</f>
        <v/>
      </c>
      <c r="X46">
        <f>HYPERLINK("https://klasma.github.io/Logging_2305/tillsyn/A 13486-2025 tillsynsbegäran.docx", "A 13486-2025")</f>
        <v/>
      </c>
      <c r="Y46">
        <f>HYPERLINK("https://klasma.github.io/Logging_2305/tillsynsmail/A 13486-2025 tillsynsbegäran mail.docx", "A 13486-2025")</f>
        <v/>
      </c>
      <c r="Z46">
        <f>HYPERLINK("https://klasma.github.io/Logging_2305/fåglar/A 13486-2025 prioriterade fågelarter.docx", "A 13486-2025")</f>
        <v/>
      </c>
    </row>
    <row r="47" ht="15" customHeight="1">
      <c r="A47" t="inlineStr">
        <is>
          <t>A 23587-2025</t>
        </is>
      </c>
      <c r="B47" s="1" t="n">
        <v>45792.63597222222</v>
      </c>
      <c r="C47" s="1" t="n">
        <v>45976</v>
      </c>
      <c r="D47" t="inlineStr">
        <is>
          <t>JÄMTLANDS LÄN</t>
        </is>
      </c>
      <c r="E47" t="inlineStr">
        <is>
          <t>BRÄCKE</t>
        </is>
      </c>
      <c r="F47" t="inlineStr">
        <is>
          <t>SCA</t>
        </is>
      </c>
      <c r="G47" t="n">
        <v>3.1</v>
      </c>
      <c r="H47" t="n">
        <v>4</v>
      </c>
      <c r="I47" t="n">
        <v>1</v>
      </c>
      <c r="J47" t="n">
        <v>6</v>
      </c>
      <c r="K47" t="n">
        <v>0</v>
      </c>
      <c r="L47" t="n">
        <v>0</v>
      </c>
      <c r="M47" t="n">
        <v>0</v>
      </c>
      <c r="N47" t="n">
        <v>0</v>
      </c>
      <c r="O47" t="n">
        <v>6</v>
      </c>
      <c r="P47" t="n">
        <v>0</v>
      </c>
      <c r="Q47" t="n">
        <v>9</v>
      </c>
      <c r="R47" s="2" t="inlineStr">
        <is>
          <t>Lunglav
Rosenticka
Spillkråka
Tretåig hackspett
Ullticka
Vitgrynig nållav
Skinnlav
Tjäder
Revlummer</t>
        </is>
      </c>
      <c r="S47">
        <f>HYPERLINK("https://klasma.github.io/Logging_2305/artfynd/A 23587-2025 artfynd.xlsx", "A 23587-2025")</f>
        <v/>
      </c>
      <c r="T47">
        <f>HYPERLINK("https://klasma.github.io/Logging_2305/kartor/A 23587-2025 karta.png", "A 23587-2025")</f>
        <v/>
      </c>
      <c r="V47">
        <f>HYPERLINK("https://klasma.github.io/Logging_2305/klagomål/A 23587-2025 FSC-klagomål.docx", "A 23587-2025")</f>
        <v/>
      </c>
      <c r="W47">
        <f>HYPERLINK("https://klasma.github.io/Logging_2305/klagomålsmail/A 23587-2025 FSC-klagomål mail.docx", "A 23587-2025")</f>
        <v/>
      </c>
      <c r="X47">
        <f>HYPERLINK("https://klasma.github.io/Logging_2305/tillsyn/A 23587-2025 tillsynsbegäran.docx", "A 23587-2025")</f>
        <v/>
      </c>
      <c r="Y47">
        <f>HYPERLINK("https://klasma.github.io/Logging_2305/tillsynsmail/A 23587-2025 tillsynsbegäran mail.docx", "A 23587-2025")</f>
        <v/>
      </c>
      <c r="Z47">
        <f>HYPERLINK("https://klasma.github.io/Logging_2305/fåglar/A 23587-2025 prioriterade fågelarter.docx", "A 23587-2025")</f>
        <v/>
      </c>
    </row>
    <row r="48" ht="15" customHeight="1">
      <c r="A48" t="inlineStr">
        <is>
          <t>A 34747-2025</t>
        </is>
      </c>
      <c r="B48" s="1" t="n">
        <v>45848.61520833334</v>
      </c>
      <c r="C48" s="1" t="n">
        <v>45976</v>
      </c>
      <c r="D48" t="inlineStr">
        <is>
          <t>JÄMTLANDS LÄN</t>
        </is>
      </c>
      <c r="E48" t="inlineStr">
        <is>
          <t>BRÄCKE</t>
        </is>
      </c>
      <c r="G48" t="n">
        <v>2</v>
      </c>
      <c r="H48" t="n">
        <v>1</v>
      </c>
      <c r="I48" t="n">
        <v>1</v>
      </c>
      <c r="J48" t="n">
        <v>7</v>
      </c>
      <c r="K48" t="n">
        <v>1</v>
      </c>
      <c r="L48" t="n">
        <v>0</v>
      </c>
      <c r="M48" t="n">
        <v>0</v>
      </c>
      <c r="N48" t="n">
        <v>0</v>
      </c>
      <c r="O48" t="n">
        <v>8</v>
      </c>
      <c r="P48" t="n">
        <v>1</v>
      </c>
      <c r="Q48" t="n">
        <v>9</v>
      </c>
      <c r="R48" s="2" t="inlineStr">
        <is>
          <t>Gräddporing
Dvärgbägarlav
Garnlav
Lunglav
Orange taggsvamp
Skrovellav
Talltita
Vedflamlav
Dropptaggsvamp</t>
        </is>
      </c>
      <c r="S48">
        <f>HYPERLINK("https://klasma.github.io/Logging_2305/artfynd/A 34747-2025 artfynd.xlsx", "A 34747-2025")</f>
        <v/>
      </c>
      <c r="T48">
        <f>HYPERLINK("https://klasma.github.io/Logging_2305/kartor/A 34747-2025 karta.png", "A 34747-2025")</f>
        <v/>
      </c>
      <c r="V48">
        <f>HYPERLINK("https://klasma.github.io/Logging_2305/klagomål/A 34747-2025 FSC-klagomål.docx", "A 34747-2025")</f>
        <v/>
      </c>
      <c r="W48">
        <f>HYPERLINK("https://klasma.github.io/Logging_2305/klagomålsmail/A 34747-2025 FSC-klagomål mail.docx", "A 34747-2025")</f>
        <v/>
      </c>
      <c r="X48">
        <f>HYPERLINK("https://klasma.github.io/Logging_2305/tillsyn/A 34747-2025 tillsynsbegäran.docx", "A 34747-2025")</f>
        <v/>
      </c>
      <c r="Y48">
        <f>HYPERLINK("https://klasma.github.io/Logging_2305/tillsynsmail/A 34747-2025 tillsynsbegäran mail.docx", "A 34747-2025")</f>
        <v/>
      </c>
      <c r="Z48">
        <f>HYPERLINK("https://klasma.github.io/Logging_2305/fåglar/A 34747-2025 prioriterade fågelarter.docx", "A 34747-2025")</f>
        <v/>
      </c>
    </row>
    <row r="49" ht="15" customHeight="1">
      <c r="A49" t="inlineStr">
        <is>
          <t>A 70806-2021</t>
        </is>
      </c>
      <c r="B49" s="1" t="n">
        <v>44537</v>
      </c>
      <c r="C49" s="1" t="n">
        <v>45976</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49712-2024</t>
        </is>
      </c>
      <c r="B50" s="1" t="n">
        <v>45596.69923611111</v>
      </c>
      <c r="C50" s="1" t="n">
        <v>45976</v>
      </c>
      <c r="D50" t="inlineStr">
        <is>
          <t>JÄMTLANDS LÄN</t>
        </is>
      </c>
      <c r="E50" t="inlineStr">
        <is>
          <t>BRÄCKE</t>
        </is>
      </c>
      <c r="F50" t="inlineStr">
        <is>
          <t>Naturvårdsverket</t>
        </is>
      </c>
      <c r="G50" t="n">
        <v>1.9</v>
      </c>
      <c r="H50" t="n">
        <v>1</v>
      </c>
      <c r="I50" t="n">
        <v>3</v>
      </c>
      <c r="J50" t="n">
        <v>4</v>
      </c>
      <c r="K50" t="n">
        <v>1</v>
      </c>
      <c r="L50" t="n">
        <v>0</v>
      </c>
      <c r="M50" t="n">
        <v>0</v>
      </c>
      <c r="N50" t="n">
        <v>0</v>
      </c>
      <c r="O50" t="n">
        <v>5</v>
      </c>
      <c r="P50" t="n">
        <v>1</v>
      </c>
      <c r="Q50" t="n">
        <v>8</v>
      </c>
      <c r="R50" s="2" t="inlineStr">
        <is>
          <t>Knärot
Garnlav
Harticka
Lunglav
Rosenticka
Svart trolldruva
Svavelriska
Tibast</t>
        </is>
      </c>
      <c r="S50">
        <f>HYPERLINK("https://klasma.github.io/Logging_2305/artfynd/A 49712-2024 artfynd.xlsx", "A 49712-2024")</f>
        <v/>
      </c>
      <c r="T50">
        <f>HYPERLINK("https://klasma.github.io/Logging_2305/kartor/A 49712-2024 karta.png", "A 49712-2024")</f>
        <v/>
      </c>
      <c r="U50">
        <f>HYPERLINK("https://klasma.github.io/Logging_2305/knärot/A 49712-2024 karta knärot.png", "A 49712-2024")</f>
        <v/>
      </c>
      <c r="V50">
        <f>HYPERLINK("https://klasma.github.io/Logging_2305/klagomål/A 49712-2024 FSC-klagomål.docx", "A 49712-2024")</f>
        <v/>
      </c>
      <c r="W50">
        <f>HYPERLINK("https://klasma.github.io/Logging_2305/klagomålsmail/A 49712-2024 FSC-klagomål mail.docx", "A 49712-2024")</f>
        <v/>
      </c>
      <c r="X50">
        <f>HYPERLINK("https://klasma.github.io/Logging_2305/tillsyn/A 49712-2024 tillsynsbegäran.docx", "A 49712-2024")</f>
        <v/>
      </c>
      <c r="Y50">
        <f>HYPERLINK("https://klasma.github.io/Logging_2305/tillsynsmail/A 49712-2024 tillsynsbegäran mail.docx", "A 49712-2024")</f>
        <v/>
      </c>
    </row>
    <row r="51" ht="15" customHeight="1">
      <c r="A51" t="inlineStr">
        <is>
          <t>A 51820-2023</t>
        </is>
      </c>
      <c r="B51" s="1" t="n">
        <v>45222</v>
      </c>
      <c r="C51" s="1" t="n">
        <v>45976</v>
      </c>
      <c r="D51" t="inlineStr">
        <is>
          <t>JÄMTLANDS LÄN</t>
        </is>
      </c>
      <c r="E51" t="inlineStr">
        <is>
          <t>BRÄCKE</t>
        </is>
      </c>
      <c r="F51" t="inlineStr">
        <is>
          <t>SCA</t>
        </is>
      </c>
      <c r="G51" t="n">
        <v>3.4</v>
      </c>
      <c r="H51" t="n">
        <v>1</v>
      </c>
      <c r="I51" t="n">
        <v>2</v>
      </c>
      <c r="J51" t="n">
        <v>6</v>
      </c>
      <c r="K51" t="n">
        <v>0</v>
      </c>
      <c r="L51" t="n">
        <v>0</v>
      </c>
      <c r="M51" t="n">
        <v>0</v>
      </c>
      <c r="N51" t="n">
        <v>0</v>
      </c>
      <c r="O51" t="n">
        <v>6</v>
      </c>
      <c r="P51" t="n">
        <v>0</v>
      </c>
      <c r="Q51" t="n">
        <v>8</v>
      </c>
      <c r="R51" s="2" t="inlineStr">
        <is>
          <t>Granticka
Rosenticka
Tretåig hackspett
Ullticka
Vedtrappmossa
Vitgrynig nållav
Gulnål
Vedticka</t>
        </is>
      </c>
      <c r="S51">
        <f>HYPERLINK("https://klasma.github.io/Logging_2305/artfynd/A 51820-2023 artfynd.xlsx", "A 51820-2023")</f>
        <v/>
      </c>
      <c r="T51">
        <f>HYPERLINK("https://klasma.github.io/Logging_2305/kartor/A 51820-2023 karta.png", "A 51820-2023")</f>
        <v/>
      </c>
      <c r="V51">
        <f>HYPERLINK("https://klasma.github.io/Logging_2305/klagomål/A 51820-2023 FSC-klagomål.docx", "A 51820-2023")</f>
        <v/>
      </c>
      <c r="W51">
        <f>HYPERLINK("https://klasma.github.io/Logging_2305/klagomålsmail/A 51820-2023 FSC-klagomål mail.docx", "A 51820-2023")</f>
        <v/>
      </c>
      <c r="X51">
        <f>HYPERLINK("https://klasma.github.io/Logging_2305/tillsyn/A 51820-2023 tillsynsbegäran.docx", "A 51820-2023")</f>
        <v/>
      </c>
      <c r="Y51">
        <f>HYPERLINK("https://klasma.github.io/Logging_2305/tillsynsmail/A 51820-2023 tillsynsbegäran mail.docx", "A 51820-2023")</f>
        <v/>
      </c>
      <c r="Z51">
        <f>HYPERLINK("https://klasma.github.io/Logging_2305/fåglar/A 51820-2023 prioriterade fågelarter.docx", "A 51820-2023")</f>
        <v/>
      </c>
    </row>
    <row r="52" ht="15" customHeight="1">
      <c r="A52" t="inlineStr">
        <is>
          <t>A 49336-2023</t>
        </is>
      </c>
      <c r="B52" s="1" t="n">
        <v>45210</v>
      </c>
      <c r="C52" s="1" t="n">
        <v>45976</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38525-2025</t>
        </is>
      </c>
      <c r="B53" s="1" t="n">
        <v>45884.40674768519</v>
      </c>
      <c r="C53" s="1" t="n">
        <v>45976</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49372-2024</t>
        </is>
      </c>
      <c r="B54" s="1" t="n">
        <v>45595.64168981482</v>
      </c>
      <c r="C54" s="1" t="n">
        <v>45976</v>
      </c>
      <c r="D54" t="inlineStr">
        <is>
          <t>JÄMTLANDS LÄN</t>
        </is>
      </c>
      <c r="E54" t="inlineStr">
        <is>
          <t>BRÄCKE</t>
        </is>
      </c>
      <c r="F54" t="inlineStr">
        <is>
          <t>SCA</t>
        </is>
      </c>
      <c r="G54" t="n">
        <v>11.1</v>
      </c>
      <c r="H54" t="n">
        <v>1</v>
      </c>
      <c r="I54" t="n">
        <v>1</v>
      </c>
      <c r="J54" t="n">
        <v>5</v>
      </c>
      <c r="K54" t="n">
        <v>2</v>
      </c>
      <c r="L54" t="n">
        <v>0</v>
      </c>
      <c r="M54" t="n">
        <v>0</v>
      </c>
      <c r="N54" t="n">
        <v>0</v>
      </c>
      <c r="O54" t="n">
        <v>7</v>
      </c>
      <c r="P54" t="n">
        <v>2</v>
      </c>
      <c r="Q54" t="n">
        <v>8</v>
      </c>
      <c r="R54" s="2" t="inlineStr">
        <is>
          <t>Doftticka
Rynkskinn
Doftskinn
Gammelgransskål
Garnlav
Granticka
Lunglav
Dropptaggsvamp</t>
        </is>
      </c>
      <c r="S54">
        <f>HYPERLINK("https://klasma.github.io/Logging_2305/artfynd/A 49372-2024 artfynd.xlsx", "A 49372-2024")</f>
        <v/>
      </c>
      <c r="T54">
        <f>HYPERLINK("https://klasma.github.io/Logging_2305/kartor/A 49372-2024 karta.png", "A 49372-2024")</f>
        <v/>
      </c>
      <c r="U54">
        <f>HYPERLINK("https://klasma.github.io/Logging_2305/knärot/A 49372-2024 karta knärot.png", "A 49372-2024")</f>
        <v/>
      </c>
      <c r="V54">
        <f>HYPERLINK("https://klasma.github.io/Logging_2305/klagomål/A 49372-2024 FSC-klagomål.docx", "A 49372-2024")</f>
        <v/>
      </c>
      <c r="W54">
        <f>HYPERLINK("https://klasma.github.io/Logging_2305/klagomålsmail/A 49372-2024 FSC-klagomål mail.docx", "A 49372-2024")</f>
        <v/>
      </c>
      <c r="X54">
        <f>HYPERLINK("https://klasma.github.io/Logging_2305/tillsyn/A 49372-2024 tillsynsbegäran.docx", "A 49372-2024")</f>
        <v/>
      </c>
      <c r="Y54">
        <f>HYPERLINK("https://klasma.github.io/Logging_2305/tillsynsmail/A 49372-2024 tillsynsbegäran mail.docx", "A 49372-2024")</f>
        <v/>
      </c>
    </row>
    <row r="55" ht="15" customHeight="1">
      <c r="A55" t="inlineStr">
        <is>
          <t>A 20087-2025</t>
        </is>
      </c>
      <c r="B55" s="1" t="n">
        <v>45772.45626157407</v>
      </c>
      <c r="C55" s="1" t="n">
        <v>45976</v>
      </c>
      <c r="D55" t="inlineStr">
        <is>
          <t>JÄMTLANDS LÄN</t>
        </is>
      </c>
      <c r="E55" t="inlineStr">
        <is>
          <t>BRÄCKE</t>
        </is>
      </c>
      <c r="G55" t="n">
        <v>7.5</v>
      </c>
      <c r="H55" t="n">
        <v>1</v>
      </c>
      <c r="I55" t="n">
        <v>2</v>
      </c>
      <c r="J55" t="n">
        <v>5</v>
      </c>
      <c r="K55" t="n">
        <v>0</v>
      </c>
      <c r="L55" t="n">
        <v>0</v>
      </c>
      <c r="M55" t="n">
        <v>0</v>
      </c>
      <c r="N55" t="n">
        <v>0</v>
      </c>
      <c r="O55" t="n">
        <v>5</v>
      </c>
      <c r="P55" t="n">
        <v>0</v>
      </c>
      <c r="Q55" t="n">
        <v>8</v>
      </c>
      <c r="R55" s="2" t="inlineStr">
        <is>
          <t>Lunglav
Rosenticka
Ullticka
Vedtrappmossa
Vitgrynig nållav
Bårdlav
Stuplav
Fläcknycklar</t>
        </is>
      </c>
      <c r="S55">
        <f>HYPERLINK("https://klasma.github.io/Logging_2305/artfynd/A 20087-2025 artfynd.xlsx", "A 20087-2025")</f>
        <v/>
      </c>
      <c r="T55">
        <f>HYPERLINK("https://klasma.github.io/Logging_2305/kartor/A 20087-2025 karta.png", "A 20087-2025")</f>
        <v/>
      </c>
      <c r="V55">
        <f>HYPERLINK("https://klasma.github.io/Logging_2305/klagomål/A 20087-2025 FSC-klagomål.docx", "A 20087-2025")</f>
        <v/>
      </c>
      <c r="W55">
        <f>HYPERLINK("https://klasma.github.io/Logging_2305/klagomålsmail/A 20087-2025 FSC-klagomål mail.docx", "A 20087-2025")</f>
        <v/>
      </c>
      <c r="X55">
        <f>HYPERLINK("https://klasma.github.io/Logging_2305/tillsyn/A 20087-2025 tillsynsbegäran.docx", "A 20087-2025")</f>
        <v/>
      </c>
      <c r="Y55">
        <f>HYPERLINK("https://klasma.github.io/Logging_2305/tillsynsmail/A 20087-2025 tillsynsbegäran mail.docx", "A 20087-2025")</f>
        <v/>
      </c>
    </row>
    <row r="56" ht="15" customHeight="1">
      <c r="A56" t="inlineStr">
        <is>
          <t>A 8707-2025</t>
        </is>
      </c>
      <c r="B56" s="1" t="n">
        <v>45712.49047453704</v>
      </c>
      <c r="C56" s="1" t="n">
        <v>45976</v>
      </c>
      <c r="D56" t="inlineStr">
        <is>
          <t>JÄMTLANDS LÄN</t>
        </is>
      </c>
      <c r="E56" t="inlineStr">
        <is>
          <t>BRÄCKE</t>
        </is>
      </c>
      <c r="F56" t="inlineStr">
        <is>
          <t>SCA</t>
        </is>
      </c>
      <c r="G56" t="n">
        <v>1.7</v>
      </c>
      <c r="H56" t="n">
        <v>2</v>
      </c>
      <c r="I56" t="n">
        <v>1</v>
      </c>
      <c r="J56" t="n">
        <v>6</v>
      </c>
      <c r="K56" t="n">
        <v>1</v>
      </c>
      <c r="L56" t="n">
        <v>0</v>
      </c>
      <c r="M56" t="n">
        <v>0</v>
      </c>
      <c r="N56" t="n">
        <v>0</v>
      </c>
      <c r="O56" t="n">
        <v>7</v>
      </c>
      <c r="P56" t="n">
        <v>1</v>
      </c>
      <c r="Q56" t="n">
        <v>8</v>
      </c>
      <c r="R56" s="2" t="inlineStr">
        <is>
          <t>Knärot
Garnlav
Kandelabersvamp
Kolflarnlav
Kortskaftad ärgspik
Mörk kolflarnlav
Ullticka
Grönkulla</t>
        </is>
      </c>
      <c r="S56">
        <f>HYPERLINK("https://klasma.github.io/Logging_2305/artfynd/A 8707-2025 artfynd.xlsx", "A 8707-2025")</f>
        <v/>
      </c>
      <c r="T56">
        <f>HYPERLINK("https://klasma.github.io/Logging_2305/kartor/A 8707-2025 karta.png", "A 8707-2025")</f>
        <v/>
      </c>
      <c r="U56">
        <f>HYPERLINK("https://klasma.github.io/Logging_2305/knärot/A 8707-2025 karta knärot.png", "A 8707-2025")</f>
        <v/>
      </c>
      <c r="V56">
        <f>HYPERLINK("https://klasma.github.io/Logging_2305/klagomål/A 8707-2025 FSC-klagomål.docx", "A 8707-2025")</f>
        <v/>
      </c>
      <c r="W56">
        <f>HYPERLINK("https://klasma.github.io/Logging_2305/klagomålsmail/A 8707-2025 FSC-klagomål mail.docx", "A 8707-2025")</f>
        <v/>
      </c>
      <c r="X56">
        <f>HYPERLINK("https://klasma.github.io/Logging_2305/tillsyn/A 8707-2025 tillsynsbegäran.docx", "A 8707-2025")</f>
        <v/>
      </c>
      <c r="Y56">
        <f>HYPERLINK("https://klasma.github.io/Logging_2305/tillsynsmail/A 8707-2025 tillsynsbegäran mail.docx", "A 8707-2025")</f>
        <v/>
      </c>
    </row>
    <row r="57" ht="15" customHeight="1">
      <c r="A57" t="inlineStr">
        <is>
          <t>A 55271-2025</t>
        </is>
      </c>
      <c r="B57" s="1" t="n">
        <v>45968.67741898148</v>
      </c>
      <c r="C57" s="1" t="n">
        <v>45976</v>
      </c>
      <c r="D57" t="inlineStr">
        <is>
          <t>JÄMTLANDS LÄN</t>
        </is>
      </c>
      <c r="E57" t="inlineStr">
        <is>
          <t>BRÄCKE</t>
        </is>
      </c>
      <c r="G57" t="n">
        <v>17.1</v>
      </c>
      <c r="H57" t="n">
        <v>1</v>
      </c>
      <c r="I57" t="n">
        <v>4</v>
      </c>
      <c r="J57" t="n">
        <v>3</v>
      </c>
      <c r="K57" t="n">
        <v>1</v>
      </c>
      <c r="L57" t="n">
        <v>0</v>
      </c>
      <c r="M57" t="n">
        <v>0</v>
      </c>
      <c r="N57" t="n">
        <v>0</v>
      </c>
      <c r="O57" t="n">
        <v>4</v>
      </c>
      <c r="P57" t="n">
        <v>1</v>
      </c>
      <c r="Q57" t="n">
        <v>8</v>
      </c>
      <c r="R57" s="2" t="inlineStr">
        <is>
          <t>Doftticka
Garnlav
Lunglav
Skrovellav
Bårdlav
Dvärgtufs
Korallblylav
Stuplav</t>
        </is>
      </c>
      <c r="S57">
        <f>HYPERLINK("https://klasma.github.io/Logging_2305/artfynd/A 55271-2025 artfynd.xlsx", "A 55271-2025")</f>
        <v/>
      </c>
      <c r="T57">
        <f>HYPERLINK("https://klasma.github.io/Logging_2305/kartor/A 55271-2025 karta.png", "A 55271-2025")</f>
        <v/>
      </c>
      <c r="V57">
        <f>HYPERLINK("https://klasma.github.io/Logging_2305/klagomål/A 55271-2025 FSC-klagomål.docx", "A 55271-2025")</f>
        <v/>
      </c>
      <c r="W57">
        <f>HYPERLINK("https://klasma.github.io/Logging_2305/klagomålsmail/A 55271-2025 FSC-klagomål mail.docx", "A 55271-2025")</f>
        <v/>
      </c>
      <c r="X57">
        <f>HYPERLINK("https://klasma.github.io/Logging_2305/tillsyn/A 55271-2025 tillsynsbegäran.docx", "A 55271-2025")</f>
        <v/>
      </c>
      <c r="Y57">
        <f>HYPERLINK("https://klasma.github.io/Logging_2305/tillsynsmail/A 55271-2025 tillsynsbegäran mail.docx", "A 55271-2025")</f>
        <v/>
      </c>
    </row>
    <row r="58" ht="15" customHeight="1">
      <c r="A58" t="inlineStr">
        <is>
          <t>A 51037-2023</t>
        </is>
      </c>
      <c r="B58" s="1" t="n">
        <v>45218</v>
      </c>
      <c r="C58" s="1" t="n">
        <v>45976</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32565-2025</t>
        </is>
      </c>
      <c r="B59" s="1" t="n">
        <v>45838.57340277778</v>
      </c>
      <c r="C59" s="1" t="n">
        <v>45976</v>
      </c>
      <c r="D59" t="inlineStr">
        <is>
          <t>JÄMTLANDS LÄN</t>
        </is>
      </c>
      <c r="E59" t="inlineStr">
        <is>
          <t>BRÄCKE</t>
        </is>
      </c>
      <c r="F59" t="inlineStr">
        <is>
          <t>SCA</t>
        </is>
      </c>
      <c r="G59" t="n">
        <v>32.6</v>
      </c>
      <c r="H59" t="n">
        <v>3</v>
      </c>
      <c r="I59" t="n">
        <v>4</v>
      </c>
      <c r="J59" t="n">
        <v>3</v>
      </c>
      <c r="K59" t="n">
        <v>0</v>
      </c>
      <c r="L59" t="n">
        <v>0</v>
      </c>
      <c r="M59" t="n">
        <v>0</v>
      </c>
      <c r="N59" t="n">
        <v>0</v>
      </c>
      <c r="O59" t="n">
        <v>3</v>
      </c>
      <c r="P59" t="n">
        <v>0</v>
      </c>
      <c r="Q59" t="n">
        <v>8</v>
      </c>
      <c r="R59" s="2" t="inlineStr">
        <is>
          <t>Lunglav
Skrovellav
Talltita
Bårdlav
Plattlummer
Stor aspticka
Stuplav
Revlummer</t>
        </is>
      </c>
      <c r="S59">
        <f>HYPERLINK("https://klasma.github.io/Logging_2305/artfynd/A 32565-2025 artfynd.xlsx", "A 32565-2025")</f>
        <v/>
      </c>
      <c r="T59">
        <f>HYPERLINK("https://klasma.github.io/Logging_2305/kartor/A 32565-2025 karta.png", "A 32565-2025")</f>
        <v/>
      </c>
      <c r="V59">
        <f>HYPERLINK("https://klasma.github.io/Logging_2305/klagomål/A 32565-2025 FSC-klagomål.docx", "A 32565-2025")</f>
        <v/>
      </c>
      <c r="W59">
        <f>HYPERLINK("https://klasma.github.io/Logging_2305/klagomålsmail/A 32565-2025 FSC-klagomål mail.docx", "A 32565-2025")</f>
        <v/>
      </c>
      <c r="X59">
        <f>HYPERLINK("https://klasma.github.io/Logging_2305/tillsyn/A 32565-2025 tillsynsbegäran.docx", "A 32565-2025")</f>
        <v/>
      </c>
      <c r="Y59">
        <f>HYPERLINK("https://klasma.github.io/Logging_2305/tillsynsmail/A 32565-2025 tillsynsbegäran mail.docx", "A 32565-2025")</f>
        <v/>
      </c>
      <c r="Z59">
        <f>HYPERLINK("https://klasma.github.io/Logging_2305/fåglar/A 32565-2025 prioriterade fågelarter.docx", "A 32565-2025")</f>
        <v/>
      </c>
    </row>
    <row r="60" ht="15" customHeight="1">
      <c r="A60" t="inlineStr">
        <is>
          <t>A 33388-2025</t>
        </is>
      </c>
      <c r="B60" s="1" t="n">
        <v>45841</v>
      </c>
      <c r="C60" s="1" t="n">
        <v>45976</v>
      </c>
      <c r="D60" t="inlineStr">
        <is>
          <t>JÄMTLANDS LÄN</t>
        </is>
      </c>
      <c r="E60" t="inlineStr">
        <is>
          <t>BRÄCKE</t>
        </is>
      </c>
      <c r="F60" t="inlineStr">
        <is>
          <t>SCA</t>
        </is>
      </c>
      <c r="G60" t="n">
        <v>10.7</v>
      </c>
      <c r="H60" t="n">
        <v>2</v>
      </c>
      <c r="I60" t="n">
        <v>2</v>
      </c>
      <c r="J60" t="n">
        <v>5</v>
      </c>
      <c r="K60" t="n">
        <v>1</v>
      </c>
      <c r="L60" t="n">
        <v>0</v>
      </c>
      <c r="M60" t="n">
        <v>0</v>
      </c>
      <c r="N60" t="n">
        <v>0</v>
      </c>
      <c r="O60" t="n">
        <v>6</v>
      </c>
      <c r="P60" t="n">
        <v>1</v>
      </c>
      <c r="Q60" t="n">
        <v>8</v>
      </c>
      <c r="R60" s="2" t="inlineStr">
        <is>
          <t>Knärot
Garnlav
Granticka
Lunglav
Rosenticka
Ullticka
Skinnlav
Spindelblomster</t>
        </is>
      </c>
      <c r="S60">
        <f>HYPERLINK("https://klasma.github.io/Logging_2305/artfynd/A 33388-2025 artfynd.xlsx", "A 33388-2025")</f>
        <v/>
      </c>
      <c r="T60">
        <f>HYPERLINK("https://klasma.github.io/Logging_2305/kartor/A 33388-2025 karta.png", "A 33388-2025")</f>
        <v/>
      </c>
      <c r="U60">
        <f>HYPERLINK("https://klasma.github.io/Logging_2305/knärot/A 33388-2025 karta knärot.png", "A 33388-2025")</f>
        <v/>
      </c>
      <c r="V60">
        <f>HYPERLINK("https://klasma.github.io/Logging_2305/klagomål/A 33388-2025 FSC-klagomål.docx", "A 33388-2025")</f>
        <v/>
      </c>
      <c r="W60">
        <f>HYPERLINK("https://klasma.github.io/Logging_2305/klagomålsmail/A 33388-2025 FSC-klagomål mail.docx", "A 33388-2025")</f>
        <v/>
      </c>
      <c r="X60">
        <f>HYPERLINK("https://klasma.github.io/Logging_2305/tillsyn/A 33388-2025 tillsynsbegäran.docx", "A 33388-2025")</f>
        <v/>
      </c>
      <c r="Y60">
        <f>HYPERLINK("https://klasma.github.io/Logging_2305/tillsynsmail/A 33388-2025 tillsynsbegäran mail.docx", "A 33388-2025")</f>
        <v/>
      </c>
    </row>
    <row r="61" ht="15" customHeight="1">
      <c r="A61" t="inlineStr">
        <is>
          <t>A 51819-2023</t>
        </is>
      </c>
      <c r="B61" s="1" t="n">
        <v>45222</v>
      </c>
      <c r="C61" s="1" t="n">
        <v>45976</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26956-2024</t>
        </is>
      </c>
      <c r="B62" s="1" t="n">
        <v>45470.97053240741</v>
      </c>
      <c r="C62" s="1" t="n">
        <v>45976</v>
      </c>
      <c r="D62" t="inlineStr">
        <is>
          <t>JÄMTLANDS LÄN</t>
        </is>
      </c>
      <c r="E62" t="inlineStr">
        <is>
          <t>BRÄCKE</t>
        </is>
      </c>
      <c r="F62" t="inlineStr">
        <is>
          <t>SCA</t>
        </is>
      </c>
      <c r="G62" t="n">
        <v>5.7</v>
      </c>
      <c r="H62" t="n">
        <v>6</v>
      </c>
      <c r="I62" t="n">
        <v>0</v>
      </c>
      <c r="J62" t="n">
        <v>5</v>
      </c>
      <c r="K62" t="n">
        <v>2</v>
      </c>
      <c r="L62" t="n">
        <v>0</v>
      </c>
      <c r="M62" t="n">
        <v>0</v>
      </c>
      <c r="N62" t="n">
        <v>0</v>
      </c>
      <c r="O62" t="n">
        <v>7</v>
      </c>
      <c r="P62" t="n">
        <v>2</v>
      </c>
      <c r="Q62" t="n">
        <v>7</v>
      </c>
      <c r="R62" s="2" t="inlineStr">
        <is>
          <t>Knärot
Tallbit
Kungsörn
Lunglav
Mindre hackspett
Spillkråka
Talltita</t>
        </is>
      </c>
      <c r="S62">
        <f>HYPERLINK("https://klasma.github.io/Logging_2305/artfynd/A 26956-2024 artfynd.xlsx", "A 26956-2024")</f>
        <v/>
      </c>
      <c r="T62">
        <f>HYPERLINK("https://klasma.github.io/Logging_2305/kartor/A 26956-2024 karta.png", "A 26956-2024")</f>
        <v/>
      </c>
      <c r="U62">
        <f>HYPERLINK("https://klasma.github.io/Logging_2305/knärot/A 26956-2024 karta knärot.png", "A 26956-2024")</f>
        <v/>
      </c>
      <c r="V62">
        <f>HYPERLINK("https://klasma.github.io/Logging_2305/klagomål/A 26956-2024 FSC-klagomål.docx", "A 26956-2024")</f>
        <v/>
      </c>
      <c r="W62">
        <f>HYPERLINK("https://klasma.github.io/Logging_2305/klagomålsmail/A 26956-2024 FSC-klagomål mail.docx", "A 26956-2024")</f>
        <v/>
      </c>
      <c r="X62">
        <f>HYPERLINK("https://klasma.github.io/Logging_2305/tillsyn/A 26956-2024 tillsynsbegäran.docx", "A 26956-2024")</f>
        <v/>
      </c>
      <c r="Y62">
        <f>HYPERLINK("https://klasma.github.io/Logging_2305/tillsynsmail/A 26956-2024 tillsynsbegäran mail.docx", "A 26956-2024")</f>
        <v/>
      </c>
      <c r="Z62">
        <f>HYPERLINK("https://klasma.github.io/Logging_2305/fåglar/A 26956-2024 prioriterade fågelarter.docx", "A 26956-2024")</f>
        <v/>
      </c>
    </row>
    <row r="63" ht="15" customHeight="1">
      <c r="A63" t="inlineStr">
        <is>
          <t>A 44514-2024</t>
        </is>
      </c>
      <c r="B63" s="1" t="n">
        <v>45574.42746527777</v>
      </c>
      <c r="C63" s="1" t="n">
        <v>45976</v>
      </c>
      <c r="D63" t="inlineStr">
        <is>
          <t>JÄMTLANDS LÄN</t>
        </is>
      </c>
      <c r="E63" t="inlineStr">
        <is>
          <t>BRÄCKE</t>
        </is>
      </c>
      <c r="F63" t="inlineStr">
        <is>
          <t>SCA</t>
        </is>
      </c>
      <c r="G63" t="n">
        <v>12.8</v>
      </c>
      <c r="H63" t="n">
        <v>0</v>
      </c>
      <c r="I63" t="n">
        <v>3</v>
      </c>
      <c r="J63" t="n">
        <v>4</v>
      </c>
      <c r="K63" t="n">
        <v>0</v>
      </c>
      <c r="L63" t="n">
        <v>0</v>
      </c>
      <c r="M63" t="n">
        <v>0</v>
      </c>
      <c r="N63" t="n">
        <v>0</v>
      </c>
      <c r="O63" t="n">
        <v>4</v>
      </c>
      <c r="P63" t="n">
        <v>0</v>
      </c>
      <c r="Q63" t="n">
        <v>7</v>
      </c>
      <c r="R63" s="2" t="inlineStr">
        <is>
          <t>Dvärgbägarlav
Kolflarnlav
Lunglav
Skrovellav
Bårdlav
Skinnlav
Stuplav</t>
        </is>
      </c>
      <c r="S63">
        <f>HYPERLINK("https://klasma.github.io/Logging_2305/artfynd/A 44514-2024 artfynd.xlsx", "A 44514-2024")</f>
        <v/>
      </c>
      <c r="T63">
        <f>HYPERLINK("https://klasma.github.io/Logging_2305/kartor/A 44514-2024 karta.png", "A 44514-2024")</f>
        <v/>
      </c>
      <c r="V63">
        <f>HYPERLINK("https://klasma.github.io/Logging_2305/klagomål/A 44514-2024 FSC-klagomål.docx", "A 44514-2024")</f>
        <v/>
      </c>
      <c r="W63">
        <f>HYPERLINK("https://klasma.github.io/Logging_2305/klagomålsmail/A 44514-2024 FSC-klagomål mail.docx", "A 44514-2024")</f>
        <v/>
      </c>
      <c r="X63">
        <f>HYPERLINK("https://klasma.github.io/Logging_2305/tillsyn/A 44514-2024 tillsynsbegäran.docx", "A 44514-2024")</f>
        <v/>
      </c>
      <c r="Y63">
        <f>HYPERLINK("https://klasma.github.io/Logging_2305/tillsynsmail/A 44514-2024 tillsynsbegäran mail.docx", "A 44514-2024")</f>
        <v/>
      </c>
    </row>
    <row r="64" ht="15" customHeight="1">
      <c r="A64" t="inlineStr">
        <is>
          <t>A 62113-2023</t>
        </is>
      </c>
      <c r="B64" s="1" t="n">
        <v>45266</v>
      </c>
      <c r="C64" s="1" t="n">
        <v>45976</v>
      </c>
      <c r="D64" t="inlineStr">
        <is>
          <t>JÄMTLANDS LÄN</t>
        </is>
      </c>
      <c r="E64" t="inlineStr">
        <is>
          <t>BRÄCKE</t>
        </is>
      </c>
      <c r="F64" t="inlineStr">
        <is>
          <t>Naturvårdsverket</t>
        </is>
      </c>
      <c r="G64" t="n">
        <v>4.5</v>
      </c>
      <c r="H64" t="n">
        <v>0</v>
      </c>
      <c r="I64" t="n">
        <v>2</v>
      </c>
      <c r="J64" t="n">
        <v>4</v>
      </c>
      <c r="K64" t="n">
        <v>1</v>
      </c>
      <c r="L64" t="n">
        <v>0</v>
      </c>
      <c r="M64" t="n">
        <v>0</v>
      </c>
      <c r="N64" t="n">
        <v>0</v>
      </c>
      <c r="O64" t="n">
        <v>5</v>
      </c>
      <c r="P64" t="n">
        <v>1</v>
      </c>
      <c r="Q64" t="n">
        <v>7</v>
      </c>
      <c r="R64" s="2" t="inlineStr">
        <is>
          <t>Smalfotad taggsvamp
Blanksvart spiklav
Blå taggsvamp
Orange taggsvamp
Skrovlig taggsvamp
Dropptaggsvamp
Skarp dropptaggsvamp</t>
        </is>
      </c>
      <c r="S64">
        <f>HYPERLINK("https://klasma.github.io/Logging_2305/artfynd/A 62113-2023 artfynd.xlsx", "A 62113-2023")</f>
        <v/>
      </c>
      <c r="T64">
        <f>HYPERLINK("https://klasma.github.io/Logging_2305/kartor/A 62113-2023 karta.png", "A 62113-2023")</f>
        <v/>
      </c>
      <c r="V64">
        <f>HYPERLINK("https://klasma.github.io/Logging_2305/klagomål/A 62113-2023 FSC-klagomål.docx", "A 62113-2023")</f>
        <v/>
      </c>
      <c r="W64">
        <f>HYPERLINK("https://klasma.github.io/Logging_2305/klagomålsmail/A 62113-2023 FSC-klagomål mail.docx", "A 62113-2023")</f>
        <v/>
      </c>
      <c r="X64">
        <f>HYPERLINK("https://klasma.github.io/Logging_2305/tillsyn/A 62113-2023 tillsynsbegäran.docx", "A 62113-2023")</f>
        <v/>
      </c>
      <c r="Y64">
        <f>HYPERLINK("https://klasma.github.io/Logging_2305/tillsynsmail/A 62113-2023 tillsynsbegäran mail.docx", "A 62113-2023")</f>
        <v/>
      </c>
    </row>
    <row r="65" ht="15" customHeight="1">
      <c r="A65" t="inlineStr">
        <is>
          <t>A 45109-2024</t>
        </is>
      </c>
      <c r="B65" s="1" t="n">
        <v>45575.59435185185</v>
      </c>
      <c r="C65" s="1" t="n">
        <v>45976</v>
      </c>
      <c r="D65" t="inlineStr">
        <is>
          <t>JÄMTLANDS LÄN</t>
        </is>
      </c>
      <c r="E65" t="inlineStr">
        <is>
          <t>BRÄCKE</t>
        </is>
      </c>
      <c r="F65" t="inlineStr">
        <is>
          <t>SCA</t>
        </is>
      </c>
      <c r="G65" t="n">
        <v>1.6</v>
      </c>
      <c r="H65" t="n">
        <v>0</v>
      </c>
      <c r="I65" t="n">
        <v>0</v>
      </c>
      <c r="J65" t="n">
        <v>6</v>
      </c>
      <c r="K65" t="n">
        <v>1</v>
      </c>
      <c r="L65" t="n">
        <v>0</v>
      </c>
      <c r="M65" t="n">
        <v>0</v>
      </c>
      <c r="N65" t="n">
        <v>0</v>
      </c>
      <c r="O65" t="n">
        <v>7</v>
      </c>
      <c r="P65" t="n">
        <v>1</v>
      </c>
      <c r="Q65" t="n">
        <v>7</v>
      </c>
      <c r="R65" s="2" t="inlineStr">
        <is>
          <t>Lateritticka
Lunglav
Mörk kolflarnlav
Nordtagging
Vaddporing
Vedskivlav
Vedtrappmossa</t>
        </is>
      </c>
      <c r="S65">
        <f>HYPERLINK("https://klasma.github.io/Logging_2305/artfynd/A 45109-2024 artfynd.xlsx", "A 45109-2024")</f>
        <v/>
      </c>
      <c r="T65">
        <f>HYPERLINK("https://klasma.github.io/Logging_2305/kartor/A 45109-2024 karta.png", "A 45109-2024")</f>
        <v/>
      </c>
      <c r="V65">
        <f>HYPERLINK("https://klasma.github.io/Logging_2305/klagomål/A 45109-2024 FSC-klagomål.docx", "A 45109-2024")</f>
        <v/>
      </c>
      <c r="W65">
        <f>HYPERLINK("https://klasma.github.io/Logging_2305/klagomålsmail/A 45109-2024 FSC-klagomål mail.docx", "A 45109-2024")</f>
        <v/>
      </c>
      <c r="X65">
        <f>HYPERLINK("https://klasma.github.io/Logging_2305/tillsyn/A 45109-2024 tillsynsbegäran.docx", "A 45109-2024")</f>
        <v/>
      </c>
      <c r="Y65">
        <f>HYPERLINK("https://klasma.github.io/Logging_2305/tillsynsmail/A 45109-2024 tillsynsbegäran mail.docx", "A 45109-2024")</f>
        <v/>
      </c>
    </row>
    <row r="66" ht="15" customHeight="1">
      <c r="A66" t="inlineStr">
        <is>
          <t>A 41199-2025</t>
        </is>
      </c>
      <c r="B66" s="1" t="n">
        <v>45898.57366898148</v>
      </c>
      <c r="C66" s="1" t="n">
        <v>45976</v>
      </c>
      <c r="D66" t="inlineStr">
        <is>
          <t>JÄMTLANDS LÄN</t>
        </is>
      </c>
      <c r="E66" t="inlineStr">
        <is>
          <t>BRÄCKE</t>
        </is>
      </c>
      <c r="F66" t="inlineStr">
        <is>
          <t>SCA</t>
        </is>
      </c>
      <c r="G66" t="n">
        <v>5.4</v>
      </c>
      <c r="H66" t="n">
        <v>0</v>
      </c>
      <c r="I66" t="n">
        <v>2</v>
      </c>
      <c r="J66" t="n">
        <v>5</v>
      </c>
      <c r="K66" t="n">
        <v>0</v>
      </c>
      <c r="L66" t="n">
        <v>0</v>
      </c>
      <c r="M66" t="n">
        <v>0</v>
      </c>
      <c r="N66" t="n">
        <v>0</v>
      </c>
      <c r="O66" t="n">
        <v>5</v>
      </c>
      <c r="P66" t="n">
        <v>0</v>
      </c>
      <c r="Q66" t="n">
        <v>7</v>
      </c>
      <c r="R66" s="2" t="inlineStr">
        <is>
          <t>Garnlav
Granticka
Lunglav
Skrovellav
Tallticka
Luddlav
Svavelriska</t>
        </is>
      </c>
      <c r="S66">
        <f>HYPERLINK("https://klasma.github.io/Logging_2305/artfynd/A 41199-2025 artfynd.xlsx", "A 41199-2025")</f>
        <v/>
      </c>
      <c r="T66">
        <f>HYPERLINK("https://klasma.github.io/Logging_2305/kartor/A 41199-2025 karta.png", "A 41199-2025")</f>
        <v/>
      </c>
      <c r="V66">
        <f>HYPERLINK("https://klasma.github.io/Logging_2305/klagomål/A 41199-2025 FSC-klagomål.docx", "A 41199-2025")</f>
        <v/>
      </c>
      <c r="W66">
        <f>HYPERLINK("https://klasma.github.io/Logging_2305/klagomålsmail/A 41199-2025 FSC-klagomål mail.docx", "A 41199-2025")</f>
        <v/>
      </c>
      <c r="X66">
        <f>HYPERLINK("https://klasma.github.io/Logging_2305/tillsyn/A 41199-2025 tillsynsbegäran.docx", "A 41199-2025")</f>
        <v/>
      </c>
      <c r="Y66">
        <f>HYPERLINK("https://klasma.github.io/Logging_2305/tillsynsmail/A 41199-2025 tillsynsbegäran mail.docx", "A 41199-2025")</f>
        <v/>
      </c>
    </row>
    <row r="67" ht="15" customHeight="1">
      <c r="A67" t="inlineStr">
        <is>
          <t>A 18898-2025</t>
        </is>
      </c>
      <c r="B67" s="1" t="n">
        <v>45764.44885416667</v>
      </c>
      <c r="C67" s="1" t="n">
        <v>45976</v>
      </c>
      <c r="D67" t="inlineStr">
        <is>
          <t>JÄMTLANDS LÄN</t>
        </is>
      </c>
      <c r="E67" t="inlineStr">
        <is>
          <t>BRÄCKE</t>
        </is>
      </c>
      <c r="F67" t="inlineStr">
        <is>
          <t>SCA</t>
        </is>
      </c>
      <c r="G67" t="n">
        <v>3.6</v>
      </c>
      <c r="H67" t="n">
        <v>3</v>
      </c>
      <c r="I67" t="n">
        <v>3</v>
      </c>
      <c r="J67" t="n">
        <v>2</v>
      </c>
      <c r="K67" t="n">
        <v>1</v>
      </c>
      <c r="L67" t="n">
        <v>0</v>
      </c>
      <c r="M67" t="n">
        <v>0</v>
      </c>
      <c r="N67" t="n">
        <v>0</v>
      </c>
      <c r="O67" t="n">
        <v>3</v>
      </c>
      <c r="P67" t="n">
        <v>1</v>
      </c>
      <c r="Q67" t="n">
        <v>7</v>
      </c>
      <c r="R67" s="2" t="inlineStr">
        <is>
          <t>Knärot
Granticka
Lunglav
Korallblylav
Plattlummer
Skinnlav
Kungsfågel</t>
        </is>
      </c>
      <c r="S67">
        <f>HYPERLINK("https://klasma.github.io/Logging_2305/artfynd/A 18898-2025 artfynd.xlsx", "A 18898-2025")</f>
        <v/>
      </c>
      <c r="T67">
        <f>HYPERLINK("https://klasma.github.io/Logging_2305/kartor/A 18898-2025 karta.png", "A 18898-2025")</f>
        <v/>
      </c>
      <c r="U67">
        <f>HYPERLINK("https://klasma.github.io/Logging_2305/knärot/A 18898-2025 karta knärot.png", "A 18898-2025")</f>
        <v/>
      </c>
      <c r="V67">
        <f>HYPERLINK("https://klasma.github.io/Logging_2305/klagomål/A 18898-2025 FSC-klagomål.docx", "A 18898-2025")</f>
        <v/>
      </c>
      <c r="W67">
        <f>HYPERLINK("https://klasma.github.io/Logging_2305/klagomålsmail/A 18898-2025 FSC-klagomål mail.docx", "A 18898-2025")</f>
        <v/>
      </c>
      <c r="X67">
        <f>HYPERLINK("https://klasma.github.io/Logging_2305/tillsyn/A 18898-2025 tillsynsbegäran.docx", "A 18898-2025")</f>
        <v/>
      </c>
      <c r="Y67">
        <f>HYPERLINK("https://klasma.github.io/Logging_2305/tillsynsmail/A 18898-2025 tillsynsbegäran mail.docx", "A 18898-2025")</f>
        <v/>
      </c>
      <c r="Z67">
        <f>HYPERLINK("https://klasma.github.io/Logging_2305/fåglar/A 18898-2025 prioriterade fågelarter.docx", "A 18898-2025")</f>
        <v/>
      </c>
    </row>
    <row r="68" ht="15" customHeight="1">
      <c r="A68" t="inlineStr">
        <is>
          <t>A 21452-2025</t>
        </is>
      </c>
      <c r="B68" s="1" t="n">
        <v>45782.55300925926</v>
      </c>
      <c r="C68" s="1" t="n">
        <v>45976</v>
      </c>
      <c r="D68" t="inlineStr">
        <is>
          <t>JÄMTLANDS LÄN</t>
        </is>
      </c>
      <c r="E68" t="inlineStr">
        <is>
          <t>BRÄCKE</t>
        </is>
      </c>
      <c r="F68" t="inlineStr">
        <is>
          <t>SCA</t>
        </is>
      </c>
      <c r="G68" t="n">
        <v>28.8</v>
      </c>
      <c r="H68" t="n">
        <v>0</v>
      </c>
      <c r="I68" t="n">
        <v>5</v>
      </c>
      <c r="J68" t="n">
        <v>1</v>
      </c>
      <c r="K68" t="n">
        <v>0</v>
      </c>
      <c r="L68" t="n">
        <v>1</v>
      </c>
      <c r="M68" t="n">
        <v>0</v>
      </c>
      <c r="N68" t="n">
        <v>0</v>
      </c>
      <c r="O68" t="n">
        <v>2</v>
      </c>
      <c r="P68" t="n">
        <v>1</v>
      </c>
      <c r="Q68" t="n">
        <v>7</v>
      </c>
      <c r="R68" s="2" t="inlineStr">
        <is>
          <t>Trolldruvemätare
Lunglav
Kransrams
Strutbräken
Svart trolldruva
Tibast
Underviol</t>
        </is>
      </c>
      <c r="S68">
        <f>HYPERLINK("https://klasma.github.io/Logging_2305/artfynd/A 21452-2025 artfynd.xlsx", "A 21452-2025")</f>
        <v/>
      </c>
      <c r="T68">
        <f>HYPERLINK("https://klasma.github.io/Logging_2305/kartor/A 21452-2025 karta.png", "A 21452-2025")</f>
        <v/>
      </c>
      <c r="U68">
        <f>HYPERLINK("https://klasma.github.io/Logging_2305/knärot/A 21452-2025 karta knärot.png", "A 21452-2025")</f>
        <v/>
      </c>
      <c r="V68">
        <f>HYPERLINK("https://klasma.github.io/Logging_2305/klagomål/A 21452-2025 FSC-klagomål.docx", "A 21452-2025")</f>
        <v/>
      </c>
      <c r="W68">
        <f>HYPERLINK("https://klasma.github.io/Logging_2305/klagomålsmail/A 21452-2025 FSC-klagomål mail.docx", "A 21452-2025")</f>
        <v/>
      </c>
      <c r="X68">
        <f>HYPERLINK("https://klasma.github.io/Logging_2305/tillsyn/A 21452-2025 tillsynsbegäran.docx", "A 21452-2025")</f>
        <v/>
      </c>
      <c r="Y68">
        <f>HYPERLINK("https://klasma.github.io/Logging_2305/tillsynsmail/A 21452-2025 tillsynsbegäran mail.docx", "A 21452-2025")</f>
        <v/>
      </c>
    </row>
    <row r="69" ht="15" customHeight="1">
      <c r="A69" t="inlineStr">
        <is>
          <t>A 40482-2021</t>
        </is>
      </c>
      <c r="B69" s="1" t="n">
        <v>44419.94334490741</v>
      </c>
      <c r="C69" s="1" t="n">
        <v>45976</v>
      </c>
      <c r="D69" t="inlineStr">
        <is>
          <t>JÄMTLANDS LÄN</t>
        </is>
      </c>
      <c r="E69" t="inlineStr">
        <is>
          <t>BRÄCKE</t>
        </is>
      </c>
      <c r="F69" t="inlineStr">
        <is>
          <t>SCA</t>
        </is>
      </c>
      <c r="G69" t="n">
        <v>6.6</v>
      </c>
      <c r="H69" t="n">
        <v>5</v>
      </c>
      <c r="I69" t="n">
        <v>1</v>
      </c>
      <c r="J69" t="n">
        <v>5</v>
      </c>
      <c r="K69" t="n">
        <v>0</v>
      </c>
      <c r="L69" t="n">
        <v>0</v>
      </c>
      <c r="M69" t="n">
        <v>0</v>
      </c>
      <c r="N69" t="n">
        <v>0</v>
      </c>
      <c r="O69" t="n">
        <v>5</v>
      </c>
      <c r="P69" t="n">
        <v>0</v>
      </c>
      <c r="Q69" t="n">
        <v>7</v>
      </c>
      <c r="R69" s="2" t="inlineStr">
        <is>
          <t>Lunglav
Smålom
Spillkråka
Talltita
Tretåig hackspett
Norrlandslav
Orre</t>
        </is>
      </c>
      <c r="S69">
        <f>HYPERLINK("https://klasma.github.io/Logging_2305/artfynd/A 40482-2021 artfynd.xlsx", "A 40482-2021")</f>
        <v/>
      </c>
      <c r="T69">
        <f>HYPERLINK("https://klasma.github.io/Logging_2305/kartor/A 40482-2021 karta.png", "A 40482-2021")</f>
        <v/>
      </c>
      <c r="V69">
        <f>HYPERLINK("https://klasma.github.io/Logging_2305/klagomål/A 40482-2021 FSC-klagomål.docx", "A 40482-2021")</f>
        <v/>
      </c>
      <c r="W69">
        <f>HYPERLINK("https://klasma.github.io/Logging_2305/klagomålsmail/A 40482-2021 FSC-klagomål mail.docx", "A 40482-2021")</f>
        <v/>
      </c>
      <c r="X69">
        <f>HYPERLINK("https://klasma.github.io/Logging_2305/tillsyn/A 40482-2021 tillsynsbegäran.docx", "A 40482-2021")</f>
        <v/>
      </c>
      <c r="Y69">
        <f>HYPERLINK("https://klasma.github.io/Logging_2305/tillsynsmail/A 40482-2021 tillsynsbegäran mail.docx", "A 40482-2021")</f>
        <v/>
      </c>
      <c r="Z69">
        <f>HYPERLINK("https://klasma.github.io/Logging_2305/fåglar/A 40482-2021 prioriterade fågelarter.docx", "A 40482-2021")</f>
        <v/>
      </c>
    </row>
    <row r="70" ht="15" customHeight="1">
      <c r="A70" t="inlineStr">
        <is>
          <t>A 32725-2023</t>
        </is>
      </c>
      <c r="B70" s="1" t="n">
        <v>45121</v>
      </c>
      <c r="C70" s="1" t="n">
        <v>45976</v>
      </c>
      <c r="D70" t="inlineStr">
        <is>
          <t>JÄMTLANDS LÄN</t>
        </is>
      </c>
      <c r="E70" t="inlineStr">
        <is>
          <t>BRÄCKE</t>
        </is>
      </c>
      <c r="F70" t="inlineStr">
        <is>
          <t>SCA</t>
        </is>
      </c>
      <c r="G70" t="n">
        <v>10.9</v>
      </c>
      <c r="H70" t="n">
        <v>4</v>
      </c>
      <c r="I70" t="n">
        <v>0</v>
      </c>
      <c r="J70" t="n">
        <v>6</v>
      </c>
      <c r="K70" t="n">
        <v>0</v>
      </c>
      <c r="L70" t="n">
        <v>0</v>
      </c>
      <c r="M70" t="n">
        <v>0</v>
      </c>
      <c r="N70" t="n">
        <v>0</v>
      </c>
      <c r="O70" t="n">
        <v>6</v>
      </c>
      <c r="P70" t="n">
        <v>0</v>
      </c>
      <c r="Q70" t="n">
        <v>7</v>
      </c>
      <c r="R70" s="2" t="inlineStr">
        <is>
          <t>Doftskinn
Garnlav
Granticka
Spillkråka
Talltita
Tretåig hackspett
Kungsfågel</t>
        </is>
      </c>
      <c r="S70">
        <f>HYPERLINK("https://klasma.github.io/Logging_2305/artfynd/A 32725-2023 artfynd.xlsx", "A 32725-2023")</f>
        <v/>
      </c>
      <c r="T70">
        <f>HYPERLINK("https://klasma.github.io/Logging_2305/kartor/A 32725-2023 karta.png", "A 32725-2023")</f>
        <v/>
      </c>
      <c r="V70">
        <f>HYPERLINK("https://klasma.github.io/Logging_2305/klagomål/A 32725-2023 FSC-klagomål.docx", "A 32725-2023")</f>
        <v/>
      </c>
      <c r="W70">
        <f>HYPERLINK("https://klasma.github.io/Logging_2305/klagomålsmail/A 32725-2023 FSC-klagomål mail.docx", "A 32725-2023")</f>
        <v/>
      </c>
      <c r="X70">
        <f>HYPERLINK("https://klasma.github.io/Logging_2305/tillsyn/A 32725-2023 tillsynsbegäran.docx", "A 32725-2023")</f>
        <v/>
      </c>
      <c r="Y70">
        <f>HYPERLINK("https://klasma.github.io/Logging_2305/tillsynsmail/A 32725-2023 tillsynsbegäran mail.docx", "A 32725-2023")</f>
        <v/>
      </c>
      <c r="Z70">
        <f>HYPERLINK("https://klasma.github.io/Logging_2305/fåglar/A 32725-2023 prioriterade fågelarter.docx", "A 32725-2023")</f>
        <v/>
      </c>
    </row>
    <row r="71" ht="15" customHeight="1">
      <c r="A71" t="inlineStr">
        <is>
          <t>A 34300-2025</t>
        </is>
      </c>
      <c r="B71" s="1" t="n">
        <v>45846.34518518519</v>
      </c>
      <c r="C71" s="1" t="n">
        <v>45976</v>
      </c>
      <c r="D71" t="inlineStr">
        <is>
          <t>JÄMTLANDS LÄN</t>
        </is>
      </c>
      <c r="E71" t="inlineStr">
        <is>
          <t>BRÄCKE</t>
        </is>
      </c>
      <c r="F71" t="inlineStr">
        <is>
          <t>Naturvårdsverket</t>
        </is>
      </c>
      <c r="G71" t="n">
        <v>2.3</v>
      </c>
      <c r="H71" t="n">
        <v>0</v>
      </c>
      <c r="I71" t="n">
        <v>1</v>
      </c>
      <c r="J71" t="n">
        <v>5</v>
      </c>
      <c r="K71" t="n">
        <v>1</v>
      </c>
      <c r="L71" t="n">
        <v>0</v>
      </c>
      <c r="M71" t="n">
        <v>0</v>
      </c>
      <c r="N71" t="n">
        <v>0</v>
      </c>
      <c r="O71" t="n">
        <v>6</v>
      </c>
      <c r="P71" t="n">
        <v>1</v>
      </c>
      <c r="Q71" t="n">
        <v>7</v>
      </c>
      <c r="R71" s="2" t="inlineStr">
        <is>
          <t>Rotfingersvamp
Dvärgbägarlav
Kolflarnlav
Vaddporing
Vedskivlav
Vedtrappmossa
Dropptaggsvamp</t>
        </is>
      </c>
      <c r="S71">
        <f>HYPERLINK("https://klasma.github.io/Logging_2305/artfynd/A 34300-2025 artfynd.xlsx", "A 34300-2025")</f>
        <v/>
      </c>
      <c r="T71">
        <f>HYPERLINK("https://klasma.github.io/Logging_2305/kartor/A 34300-2025 karta.png", "A 34300-2025")</f>
        <v/>
      </c>
      <c r="U71">
        <f>HYPERLINK("https://klasma.github.io/Logging_2305/knärot/A 34300-2025 karta knärot.png", "A 34300-2025")</f>
        <v/>
      </c>
      <c r="V71">
        <f>HYPERLINK("https://klasma.github.io/Logging_2305/klagomål/A 34300-2025 FSC-klagomål.docx", "A 34300-2025")</f>
        <v/>
      </c>
      <c r="W71">
        <f>HYPERLINK("https://klasma.github.io/Logging_2305/klagomålsmail/A 34300-2025 FSC-klagomål mail.docx", "A 34300-2025")</f>
        <v/>
      </c>
      <c r="X71">
        <f>HYPERLINK("https://klasma.github.io/Logging_2305/tillsyn/A 34300-2025 tillsynsbegäran.docx", "A 34300-2025")</f>
        <v/>
      </c>
      <c r="Y71">
        <f>HYPERLINK("https://klasma.github.io/Logging_2305/tillsynsmail/A 34300-2025 tillsynsbegäran mail.docx", "A 34300-2025")</f>
        <v/>
      </c>
    </row>
    <row r="72" ht="15" customHeight="1">
      <c r="A72" t="inlineStr">
        <is>
          <t>A 34540-2025</t>
        </is>
      </c>
      <c r="B72" s="1" t="n">
        <v>45847.53170138889</v>
      </c>
      <c r="C72" s="1" t="n">
        <v>45976</v>
      </c>
      <c r="D72" t="inlineStr">
        <is>
          <t>JÄMTLANDS LÄN</t>
        </is>
      </c>
      <c r="E72" t="inlineStr">
        <is>
          <t>BRÄCKE</t>
        </is>
      </c>
      <c r="F72" t="inlineStr">
        <is>
          <t>SCA</t>
        </is>
      </c>
      <c r="G72" t="n">
        <v>1.5</v>
      </c>
      <c r="H72" t="n">
        <v>2</v>
      </c>
      <c r="I72" t="n">
        <v>2</v>
      </c>
      <c r="J72" t="n">
        <v>3</v>
      </c>
      <c r="K72" t="n">
        <v>2</v>
      </c>
      <c r="L72" t="n">
        <v>0</v>
      </c>
      <c r="M72" t="n">
        <v>0</v>
      </c>
      <c r="N72" t="n">
        <v>0</v>
      </c>
      <c r="O72" t="n">
        <v>5</v>
      </c>
      <c r="P72" t="n">
        <v>2</v>
      </c>
      <c r="Q72" t="n">
        <v>7</v>
      </c>
      <c r="R72" s="2" t="inlineStr">
        <is>
          <t>Knärot
Tallgråticka
Skrovlig taggsvamp
Tallriska
Talltita
Skarp dropptaggsvamp
Tallfingersvamp</t>
        </is>
      </c>
      <c r="S72">
        <f>HYPERLINK("https://klasma.github.io/Logging_2305/artfynd/A 34540-2025 artfynd.xlsx", "A 34540-2025")</f>
        <v/>
      </c>
      <c r="T72">
        <f>HYPERLINK("https://klasma.github.io/Logging_2305/kartor/A 34540-2025 karta.png", "A 34540-2025")</f>
        <v/>
      </c>
      <c r="U72">
        <f>HYPERLINK("https://klasma.github.io/Logging_2305/knärot/A 34540-2025 karta knärot.png", "A 34540-2025")</f>
        <v/>
      </c>
      <c r="V72">
        <f>HYPERLINK("https://klasma.github.io/Logging_2305/klagomål/A 34540-2025 FSC-klagomål.docx", "A 34540-2025")</f>
        <v/>
      </c>
      <c r="W72">
        <f>HYPERLINK("https://klasma.github.io/Logging_2305/klagomålsmail/A 34540-2025 FSC-klagomål mail.docx", "A 34540-2025")</f>
        <v/>
      </c>
      <c r="X72">
        <f>HYPERLINK("https://klasma.github.io/Logging_2305/tillsyn/A 34540-2025 tillsynsbegäran.docx", "A 34540-2025")</f>
        <v/>
      </c>
      <c r="Y72">
        <f>HYPERLINK("https://klasma.github.io/Logging_2305/tillsynsmail/A 34540-2025 tillsynsbegäran mail.docx", "A 34540-2025")</f>
        <v/>
      </c>
      <c r="Z72">
        <f>HYPERLINK("https://klasma.github.io/Logging_2305/fåglar/A 34540-2025 prioriterade fågelarter.docx", "A 34540-2025")</f>
        <v/>
      </c>
    </row>
    <row r="73" ht="15" customHeight="1">
      <c r="A73" t="inlineStr">
        <is>
          <t>A 52152-2024</t>
        </is>
      </c>
      <c r="B73" s="1" t="n">
        <v>45608.52387731482</v>
      </c>
      <c r="C73" s="1" t="n">
        <v>45976</v>
      </c>
      <c r="D73" t="inlineStr">
        <is>
          <t>JÄMTLANDS LÄN</t>
        </is>
      </c>
      <c r="E73" t="inlineStr">
        <is>
          <t>BRÄCKE</t>
        </is>
      </c>
      <c r="F73" t="inlineStr">
        <is>
          <t>SCA</t>
        </is>
      </c>
      <c r="G73" t="n">
        <v>3</v>
      </c>
      <c r="H73" t="n">
        <v>0</v>
      </c>
      <c r="I73" t="n">
        <v>1</v>
      </c>
      <c r="J73" t="n">
        <v>4</v>
      </c>
      <c r="K73" t="n">
        <v>1</v>
      </c>
      <c r="L73" t="n">
        <v>0</v>
      </c>
      <c r="M73" t="n">
        <v>0</v>
      </c>
      <c r="N73" t="n">
        <v>0</v>
      </c>
      <c r="O73" t="n">
        <v>5</v>
      </c>
      <c r="P73" t="n">
        <v>1</v>
      </c>
      <c r="Q73" t="n">
        <v>6</v>
      </c>
      <c r="R73" s="2" t="inlineStr">
        <is>
          <t>Rynkskinn
Lunglav
Skrovellav
Vedflikmossa
Vedtrappmossa
Tallfingersvamp</t>
        </is>
      </c>
      <c r="S73">
        <f>HYPERLINK("https://klasma.github.io/Logging_2305/artfynd/A 52152-2024 artfynd.xlsx", "A 52152-2024")</f>
        <v/>
      </c>
      <c r="T73">
        <f>HYPERLINK("https://klasma.github.io/Logging_2305/kartor/A 52152-2024 karta.png", "A 52152-2024")</f>
        <v/>
      </c>
      <c r="U73">
        <f>HYPERLINK("https://klasma.github.io/Logging_2305/knärot/A 52152-2024 karta knärot.png", "A 52152-2024")</f>
        <v/>
      </c>
      <c r="V73">
        <f>HYPERLINK("https://klasma.github.io/Logging_2305/klagomål/A 52152-2024 FSC-klagomål.docx", "A 52152-2024")</f>
        <v/>
      </c>
      <c r="W73">
        <f>HYPERLINK("https://klasma.github.io/Logging_2305/klagomålsmail/A 52152-2024 FSC-klagomål mail.docx", "A 52152-2024")</f>
        <v/>
      </c>
      <c r="X73">
        <f>HYPERLINK("https://klasma.github.io/Logging_2305/tillsyn/A 52152-2024 tillsynsbegäran.docx", "A 52152-2024")</f>
        <v/>
      </c>
      <c r="Y73">
        <f>HYPERLINK("https://klasma.github.io/Logging_2305/tillsynsmail/A 52152-2024 tillsynsbegäran mail.docx", "A 52152-2024")</f>
        <v/>
      </c>
    </row>
    <row r="74" ht="15" customHeight="1">
      <c r="A74" t="inlineStr">
        <is>
          <t>A 35419-2024</t>
        </is>
      </c>
      <c r="B74" s="1" t="n">
        <v>45531.40895833333</v>
      </c>
      <c r="C74" s="1" t="n">
        <v>45976</v>
      </c>
      <c r="D74" t="inlineStr">
        <is>
          <t>JÄMTLANDS LÄN</t>
        </is>
      </c>
      <c r="E74" t="inlineStr">
        <is>
          <t>BRÄCKE</t>
        </is>
      </c>
      <c r="F74" t="inlineStr">
        <is>
          <t>SCA</t>
        </is>
      </c>
      <c r="G74" t="n">
        <v>3.6</v>
      </c>
      <c r="H74" t="n">
        <v>3</v>
      </c>
      <c r="I74" t="n">
        <v>1</v>
      </c>
      <c r="J74" t="n">
        <v>3</v>
      </c>
      <c r="K74" t="n">
        <v>0</v>
      </c>
      <c r="L74" t="n">
        <v>0</v>
      </c>
      <c r="M74" t="n">
        <v>0</v>
      </c>
      <c r="N74" t="n">
        <v>0</v>
      </c>
      <c r="O74" t="n">
        <v>3</v>
      </c>
      <c r="P74" t="n">
        <v>0</v>
      </c>
      <c r="Q74" t="n">
        <v>6</v>
      </c>
      <c r="R74" s="2" t="inlineStr">
        <is>
          <t>Lunglav
Skrovellav
Talltita
Stuplav
Kungsfågel
Nattviol</t>
        </is>
      </c>
      <c r="S74">
        <f>HYPERLINK("https://klasma.github.io/Logging_2305/artfynd/A 35419-2024 artfynd.xlsx", "A 35419-2024")</f>
        <v/>
      </c>
      <c r="T74">
        <f>HYPERLINK("https://klasma.github.io/Logging_2305/kartor/A 35419-2024 karta.png", "A 35419-2024")</f>
        <v/>
      </c>
      <c r="V74">
        <f>HYPERLINK("https://klasma.github.io/Logging_2305/klagomål/A 35419-2024 FSC-klagomål.docx", "A 35419-2024")</f>
        <v/>
      </c>
      <c r="W74">
        <f>HYPERLINK("https://klasma.github.io/Logging_2305/klagomålsmail/A 35419-2024 FSC-klagomål mail.docx", "A 35419-2024")</f>
        <v/>
      </c>
      <c r="X74">
        <f>HYPERLINK("https://klasma.github.io/Logging_2305/tillsyn/A 35419-2024 tillsynsbegäran.docx", "A 35419-2024")</f>
        <v/>
      </c>
      <c r="Y74">
        <f>HYPERLINK("https://klasma.github.io/Logging_2305/tillsynsmail/A 35419-2024 tillsynsbegäran mail.docx", "A 35419-2024")</f>
        <v/>
      </c>
      <c r="Z74">
        <f>HYPERLINK("https://klasma.github.io/Logging_2305/fåglar/A 35419-2024 prioriterade fågelarter.docx", "A 35419-2024")</f>
        <v/>
      </c>
    </row>
    <row r="75" ht="15" customHeight="1">
      <c r="A75" t="inlineStr">
        <is>
          <t>A 43989-2023</t>
        </is>
      </c>
      <c r="B75" s="1" t="n">
        <v>45187</v>
      </c>
      <c r="C75" s="1" t="n">
        <v>45976</v>
      </c>
      <c r="D75" t="inlineStr">
        <is>
          <t>JÄMTLANDS LÄN</t>
        </is>
      </c>
      <c r="E75" t="inlineStr">
        <is>
          <t>BRÄCKE</t>
        </is>
      </c>
      <c r="F75" t="inlineStr">
        <is>
          <t>SCA</t>
        </is>
      </c>
      <c r="G75" t="n">
        <v>6.1</v>
      </c>
      <c r="H75" t="n">
        <v>5</v>
      </c>
      <c r="I75" t="n">
        <v>2</v>
      </c>
      <c r="J75" t="n">
        <v>2</v>
      </c>
      <c r="K75" t="n">
        <v>0</v>
      </c>
      <c r="L75" t="n">
        <v>0</v>
      </c>
      <c r="M75" t="n">
        <v>0</v>
      </c>
      <c r="N75" t="n">
        <v>0</v>
      </c>
      <c r="O75" t="n">
        <v>2</v>
      </c>
      <c r="P75" t="n">
        <v>0</v>
      </c>
      <c r="Q75" t="n">
        <v>6</v>
      </c>
      <c r="R75" s="2" t="inlineStr">
        <is>
          <t>Brunklöver
Rödvingetrast
Plattlummer
Spindelblomster
Fläcknycklar
Revlummer</t>
        </is>
      </c>
      <c r="S75">
        <f>HYPERLINK("https://klasma.github.io/Logging_2305/artfynd/A 43989-2023 artfynd.xlsx", "A 43989-2023")</f>
        <v/>
      </c>
      <c r="T75">
        <f>HYPERLINK("https://klasma.github.io/Logging_2305/kartor/A 43989-2023 karta.png", "A 43989-2023")</f>
        <v/>
      </c>
      <c r="V75">
        <f>HYPERLINK("https://klasma.github.io/Logging_2305/klagomål/A 43989-2023 FSC-klagomål.docx", "A 43989-2023")</f>
        <v/>
      </c>
      <c r="W75">
        <f>HYPERLINK("https://klasma.github.io/Logging_2305/klagomålsmail/A 43989-2023 FSC-klagomål mail.docx", "A 43989-2023")</f>
        <v/>
      </c>
      <c r="X75">
        <f>HYPERLINK("https://klasma.github.io/Logging_2305/tillsyn/A 43989-2023 tillsynsbegäran.docx", "A 43989-2023")</f>
        <v/>
      </c>
      <c r="Y75">
        <f>HYPERLINK("https://klasma.github.io/Logging_2305/tillsynsmail/A 43989-2023 tillsynsbegäran mail.docx", "A 43989-2023")</f>
        <v/>
      </c>
      <c r="Z75">
        <f>HYPERLINK("https://klasma.github.io/Logging_2305/fåglar/A 43989-2023 prioriterade fågelarter.docx", "A 43989-2023")</f>
        <v/>
      </c>
    </row>
    <row r="76" ht="15" customHeight="1">
      <c r="A76" t="inlineStr">
        <is>
          <t>A 43982-2023</t>
        </is>
      </c>
      <c r="B76" s="1" t="n">
        <v>45187</v>
      </c>
      <c r="C76" s="1" t="n">
        <v>45976</v>
      </c>
      <c r="D76" t="inlineStr">
        <is>
          <t>JÄMTLANDS LÄN</t>
        </is>
      </c>
      <c r="E76" t="inlineStr">
        <is>
          <t>BRÄCKE</t>
        </is>
      </c>
      <c r="F76" t="inlineStr">
        <is>
          <t>SCA</t>
        </is>
      </c>
      <c r="G76" t="n">
        <v>25.6</v>
      </c>
      <c r="H76" t="n">
        <v>4</v>
      </c>
      <c r="I76" t="n">
        <v>2</v>
      </c>
      <c r="J76" t="n">
        <v>3</v>
      </c>
      <c r="K76" t="n">
        <v>1</v>
      </c>
      <c r="L76" t="n">
        <v>0</v>
      </c>
      <c r="M76" t="n">
        <v>0</v>
      </c>
      <c r="N76" t="n">
        <v>0</v>
      </c>
      <c r="O76" t="n">
        <v>4</v>
      </c>
      <c r="P76" t="n">
        <v>1</v>
      </c>
      <c r="Q76" t="n">
        <v>6</v>
      </c>
      <c r="R76" s="2" t="inlineStr">
        <is>
          <t>Knärot
Kolflarnlav
Lunglav
Tretåig hackspett
Korallrot
Spindelblomster</t>
        </is>
      </c>
      <c r="S76">
        <f>HYPERLINK("https://klasma.github.io/Logging_2305/artfynd/A 43982-2023 artfynd.xlsx", "A 43982-2023")</f>
        <v/>
      </c>
      <c r="T76">
        <f>HYPERLINK("https://klasma.github.io/Logging_2305/kartor/A 43982-2023 karta.png", "A 43982-2023")</f>
        <v/>
      </c>
      <c r="U76">
        <f>HYPERLINK("https://klasma.github.io/Logging_2305/knärot/A 43982-2023 karta knärot.png", "A 43982-2023")</f>
        <v/>
      </c>
      <c r="V76">
        <f>HYPERLINK("https://klasma.github.io/Logging_2305/klagomål/A 43982-2023 FSC-klagomål.docx", "A 43982-2023")</f>
        <v/>
      </c>
      <c r="W76">
        <f>HYPERLINK("https://klasma.github.io/Logging_2305/klagomålsmail/A 43982-2023 FSC-klagomål mail.docx", "A 43982-2023")</f>
        <v/>
      </c>
      <c r="X76">
        <f>HYPERLINK("https://klasma.github.io/Logging_2305/tillsyn/A 43982-2023 tillsynsbegäran.docx", "A 43982-2023")</f>
        <v/>
      </c>
      <c r="Y76">
        <f>HYPERLINK("https://klasma.github.io/Logging_2305/tillsynsmail/A 43982-2023 tillsynsbegäran mail.docx", "A 43982-2023")</f>
        <v/>
      </c>
      <c r="Z76">
        <f>HYPERLINK("https://klasma.github.io/Logging_2305/fåglar/A 43982-2023 prioriterade fågelarter.docx", "A 43982-2023")</f>
        <v/>
      </c>
    </row>
    <row r="77" ht="15" customHeight="1">
      <c r="A77" t="inlineStr">
        <is>
          <t>A 40376-2024</t>
        </is>
      </c>
      <c r="B77" s="1" t="n">
        <v>45555.4065162037</v>
      </c>
      <c r="C77" s="1" t="n">
        <v>45976</v>
      </c>
      <c r="D77" t="inlineStr">
        <is>
          <t>JÄMTLANDS LÄN</t>
        </is>
      </c>
      <c r="E77" t="inlineStr">
        <is>
          <t>BRÄCKE</t>
        </is>
      </c>
      <c r="F77" t="inlineStr">
        <is>
          <t>Naturvårdsverket</t>
        </is>
      </c>
      <c r="G77" t="n">
        <v>2.9</v>
      </c>
      <c r="H77" t="n">
        <v>0</v>
      </c>
      <c r="I77" t="n">
        <v>1</v>
      </c>
      <c r="J77" t="n">
        <v>5</v>
      </c>
      <c r="K77" t="n">
        <v>0</v>
      </c>
      <c r="L77" t="n">
        <v>0</v>
      </c>
      <c r="M77" t="n">
        <v>0</v>
      </c>
      <c r="N77" t="n">
        <v>0</v>
      </c>
      <c r="O77" t="n">
        <v>5</v>
      </c>
      <c r="P77" t="n">
        <v>0</v>
      </c>
      <c r="Q77" t="n">
        <v>6</v>
      </c>
      <c r="R77" s="2" t="inlineStr">
        <is>
          <t>Dvärgbägarlav
Kolflarnlav
Mörk kolflarnlav
Vedflamlav
Vedskivlav
Dropptaggsvamp</t>
        </is>
      </c>
      <c r="S77">
        <f>HYPERLINK("https://klasma.github.io/Logging_2305/artfynd/A 40376-2024 artfynd.xlsx", "A 40376-2024")</f>
        <v/>
      </c>
      <c r="T77">
        <f>HYPERLINK("https://klasma.github.io/Logging_2305/kartor/A 40376-2024 karta.png", "A 40376-2024")</f>
        <v/>
      </c>
      <c r="U77">
        <f>HYPERLINK("https://klasma.github.io/Logging_2305/knärot/A 40376-2024 karta knärot.png", "A 40376-2024")</f>
        <v/>
      </c>
      <c r="V77">
        <f>HYPERLINK("https://klasma.github.io/Logging_2305/klagomål/A 40376-2024 FSC-klagomål.docx", "A 40376-2024")</f>
        <v/>
      </c>
      <c r="W77">
        <f>HYPERLINK("https://klasma.github.io/Logging_2305/klagomålsmail/A 40376-2024 FSC-klagomål mail.docx", "A 40376-2024")</f>
        <v/>
      </c>
      <c r="X77">
        <f>HYPERLINK("https://klasma.github.io/Logging_2305/tillsyn/A 40376-2024 tillsynsbegäran.docx", "A 40376-2024")</f>
        <v/>
      </c>
      <c r="Y77">
        <f>HYPERLINK("https://klasma.github.io/Logging_2305/tillsynsmail/A 40376-2024 tillsynsbegäran mail.docx", "A 40376-2024")</f>
        <v/>
      </c>
    </row>
    <row r="78" ht="15" customHeight="1">
      <c r="A78" t="inlineStr">
        <is>
          <t>A 13548-2024</t>
        </is>
      </c>
      <c r="B78" s="1" t="n">
        <v>45387.95348379629</v>
      </c>
      <c r="C78" s="1" t="n">
        <v>45976</v>
      </c>
      <c r="D78" t="inlineStr">
        <is>
          <t>JÄMTLANDS LÄN</t>
        </is>
      </c>
      <c r="E78" t="inlineStr">
        <is>
          <t>BRÄCKE</t>
        </is>
      </c>
      <c r="F78" t="inlineStr">
        <is>
          <t>SCA</t>
        </is>
      </c>
      <c r="G78" t="n">
        <v>1.3</v>
      </c>
      <c r="H78" t="n">
        <v>0</v>
      </c>
      <c r="I78" t="n">
        <v>2</v>
      </c>
      <c r="J78" t="n">
        <v>4</v>
      </c>
      <c r="K78" t="n">
        <v>0</v>
      </c>
      <c r="L78" t="n">
        <v>0</v>
      </c>
      <c r="M78" t="n">
        <v>0</v>
      </c>
      <c r="N78" t="n">
        <v>0</v>
      </c>
      <c r="O78" t="n">
        <v>4</v>
      </c>
      <c r="P78" t="n">
        <v>0</v>
      </c>
      <c r="Q78" t="n">
        <v>6</v>
      </c>
      <c r="R78" s="2" t="inlineStr">
        <is>
          <t>Blå taggsvamp
Dvärgbägarlav
Kolflarnlav
Motaggsvamp
Skinnlav
Vedticka</t>
        </is>
      </c>
      <c r="S78">
        <f>HYPERLINK("https://klasma.github.io/Logging_2305/artfynd/A 13548-2024 artfynd.xlsx", "A 13548-2024")</f>
        <v/>
      </c>
      <c r="T78">
        <f>HYPERLINK("https://klasma.github.io/Logging_2305/kartor/A 13548-2024 karta.png", "A 13548-2024")</f>
        <v/>
      </c>
      <c r="V78">
        <f>HYPERLINK("https://klasma.github.io/Logging_2305/klagomål/A 13548-2024 FSC-klagomål.docx", "A 13548-2024")</f>
        <v/>
      </c>
      <c r="W78">
        <f>HYPERLINK("https://klasma.github.io/Logging_2305/klagomålsmail/A 13548-2024 FSC-klagomål mail.docx", "A 13548-2024")</f>
        <v/>
      </c>
      <c r="X78">
        <f>HYPERLINK("https://klasma.github.io/Logging_2305/tillsyn/A 13548-2024 tillsynsbegäran.docx", "A 13548-2024")</f>
        <v/>
      </c>
      <c r="Y78">
        <f>HYPERLINK("https://klasma.github.io/Logging_2305/tillsynsmail/A 13548-2024 tillsynsbegäran mail.docx", "A 13548-2024")</f>
        <v/>
      </c>
    </row>
    <row r="79" ht="15" customHeight="1">
      <c r="A79" t="inlineStr">
        <is>
          <t>A 59719-2024</t>
        </is>
      </c>
      <c r="B79" s="1" t="n">
        <v>45639.47033564815</v>
      </c>
      <c r="C79" s="1" t="n">
        <v>45976</v>
      </c>
      <c r="D79" t="inlineStr">
        <is>
          <t>JÄMTLANDS LÄN</t>
        </is>
      </c>
      <c r="E79" t="inlineStr">
        <is>
          <t>BRÄCKE</t>
        </is>
      </c>
      <c r="F79" t="inlineStr">
        <is>
          <t>SCA</t>
        </is>
      </c>
      <c r="G79" t="n">
        <v>1.8</v>
      </c>
      <c r="H79" t="n">
        <v>1</v>
      </c>
      <c r="I79" t="n">
        <v>2</v>
      </c>
      <c r="J79" t="n">
        <v>4</v>
      </c>
      <c r="K79" t="n">
        <v>0</v>
      </c>
      <c r="L79" t="n">
        <v>0</v>
      </c>
      <c r="M79" t="n">
        <v>0</v>
      </c>
      <c r="N79" t="n">
        <v>0</v>
      </c>
      <c r="O79" t="n">
        <v>4</v>
      </c>
      <c r="P79" t="n">
        <v>0</v>
      </c>
      <c r="Q79" t="n">
        <v>6</v>
      </c>
      <c r="R79" s="2" t="inlineStr">
        <is>
          <t>Granticka
Lunglav
Tretåig hackspett
Ullticka
Trådticka
Vedticka</t>
        </is>
      </c>
      <c r="S79">
        <f>HYPERLINK("https://klasma.github.io/Logging_2305/artfynd/A 59719-2024 artfynd.xlsx", "A 59719-2024")</f>
        <v/>
      </c>
      <c r="T79">
        <f>HYPERLINK("https://klasma.github.io/Logging_2305/kartor/A 59719-2024 karta.png", "A 59719-2024")</f>
        <v/>
      </c>
      <c r="V79">
        <f>HYPERLINK("https://klasma.github.io/Logging_2305/klagomål/A 59719-2024 FSC-klagomål.docx", "A 59719-2024")</f>
        <v/>
      </c>
      <c r="W79">
        <f>HYPERLINK("https://klasma.github.io/Logging_2305/klagomålsmail/A 59719-2024 FSC-klagomål mail.docx", "A 59719-2024")</f>
        <v/>
      </c>
      <c r="X79">
        <f>HYPERLINK("https://klasma.github.io/Logging_2305/tillsyn/A 59719-2024 tillsynsbegäran.docx", "A 59719-2024")</f>
        <v/>
      </c>
      <c r="Y79">
        <f>HYPERLINK("https://klasma.github.io/Logging_2305/tillsynsmail/A 59719-2024 tillsynsbegäran mail.docx", "A 59719-2024")</f>
        <v/>
      </c>
      <c r="Z79">
        <f>HYPERLINK("https://klasma.github.io/Logging_2305/fåglar/A 59719-2024 prioriterade fågelarter.docx", "A 59719-2024")</f>
        <v/>
      </c>
    </row>
    <row r="80" ht="15" customHeight="1">
      <c r="A80" t="inlineStr">
        <is>
          <t>A 14576-2024</t>
        </is>
      </c>
      <c r="B80" s="1" t="n">
        <v>45394.95033564815</v>
      </c>
      <c r="C80" s="1" t="n">
        <v>45976</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29464-2024</t>
        </is>
      </c>
      <c r="B81" s="1" t="n">
        <v>45483.97010416666</v>
      </c>
      <c r="C81" s="1" t="n">
        <v>45976</v>
      </c>
      <c r="D81" t="inlineStr">
        <is>
          <t>JÄMTLANDS LÄN</t>
        </is>
      </c>
      <c r="E81" t="inlineStr">
        <is>
          <t>BRÄCKE</t>
        </is>
      </c>
      <c r="F81" t="inlineStr">
        <is>
          <t>SCA</t>
        </is>
      </c>
      <c r="G81" t="n">
        <v>4</v>
      </c>
      <c r="H81" t="n">
        <v>0</v>
      </c>
      <c r="I81" t="n">
        <v>1</v>
      </c>
      <c r="J81" t="n">
        <v>5</v>
      </c>
      <c r="K81" t="n">
        <v>0</v>
      </c>
      <c r="L81" t="n">
        <v>0</v>
      </c>
      <c r="M81" t="n">
        <v>0</v>
      </c>
      <c r="N81" t="n">
        <v>0</v>
      </c>
      <c r="O81" t="n">
        <v>5</v>
      </c>
      <c r="P81" t="n">
        <v>0</v>
      </c>
      <c r="Q81" t="n">
        <v>6</v>
      </c>
      <c r="R81" s="2" t="inlineStr">
        <is>
          <t>Gammelgransskål
Garnlav
Granticka
Kolflarnlav
Lunglav
Stuplav</t>
        </is>
      </c>
      <c r="S81">
        <f>HYPERLINK("https://klasma.github.io/Logging_2305/artfynd/A 29464-2024 artfynd.xlsx", "A 29464-2024")</f>
        <v/>
      </c>
      <c r="T81">
        <f>HYPERLINK("https://klasma.github.io/Logging_2305/kartor/A 29464-2024 karta.png", "A 29464-2024")</f>
        <v/>
      </c>
      <c r="V81">
        <f>HYPERLINK("https://klasma.github.io/Logging_2305/klagomål/A 29464-2024 FSC-klagomål.docx", "A 29464-2024")</f>
        <v/>
      </c>
      <c r="W81">
        <f>HYPERLINK("https://klasma.github.io/Logging_2305/klagomålsmail/A 29464-2024 FSC-klagomål mail.docx", "A 29464-2024")</f>
        <v/>
      </c>
      <c r="X81">
        <f>HYPERLINK("https://klasma.github.io/Logging_2305/tillsyn/A 29464-2024 tillsynsbegäran.docx", "A 29464-2024")</f>
        <v/>
      </c>
      <c r="Y81">
        <f>HYPERLINK("https://klasma.github.io/Logging_2305/tillsynsmail/A 29464-2024 tillsynsbegäran mail.docx", "A 29464-2024")</f>
        <v/>
      </c>
    </row>
    <row r="82" ht="15" customHeight="1">
      <c r="A82" t="inlineStr">
        <is>
          <t>A 48779-2023</t>
        </is>
      </c>
      <c r="B82" s="1" t="n">
        <v>45208.9496875</v>
      </c>
      <c r="C82" s="1" t="n">
        <v>45976</v>
      </c>
      <c r="D82" t="inlineStr">
        <is>
          <t>JÄMTLANDS LÄN</t>
        </is>
      </c>
      <c r="E82" t="inlineStr">
        <is>
          <t>BRÄCKE</t>
        </is>
      </c>
      <c r="F82" t="inlineStr">
        <is>
          <t>Naturvårdsverket</t>
        </is>
      </c>
      <c r="G82" t="n">
        <v>5.4</v>
      </c>
      <c r="H82" t="n">
        <v>1</v>
      </c>
      <c r="I82" t="n">
        <v>0</v>
      </c>
      <c r="J82" t="n">
        <v>5</v>
      </c>
      <c r="K82" t="n">
        <v>1</v>
      </c>
      <c r="L82" t="n">
        <v>0</v>
      </c>
      <c r="M82" t="n">
        <v>0</v>
      </c>
      <c r="N82" t="n">
        <v>0</v>
      </c>
      <c r="O82" t="n">
        <v>6</v>
      </c>
      <c r="P82" t="n">
        <v>1</v>
      </c>
      <c r="Q82" t="n">
        <v>6</v>
      </c>
      <c r="R82" s="2" t="inlineStr">
        <is>
          <t>Knärot
Blå taggsvamp
Grantaggsvamp
Orange taggsvamp
Stjärntagging
Svart taggsvamp</t>
        </is>
      </c>
      <c r="S82">
        <f>HYPERLINK("https://klasma.github.io/Logging_2305/artfynd/A 48779-2023 artfynd.xlsx", "A 48779-2023")</f>
        <v/>
      </c>
      <c r="T82">
        <f>HYPERLINK("https://klasma.github.io/Logging_2305/kartor/A 48779-2023 karta.png", "A 48779-2023")</f>
        <v/>
      </c>
      <c r="U82">
        <f>HYPERLINK("https://klasma.github.io/Logging_2305/knärot/A 48779-2023 karta knärot.png", "A 48779-2023")</f>
        <v/>
      </c>
      <c r="V82">
        <f>HYPERLINK("https://klasma.github.io/Logging_2305/klagomål/A 48779-2023 FSC-klagomål.docx", "A 48779-2023")</f>
        <v/>
      </c>
      <c r="W82">
        <f>HYPERLINK("https://klasma.github.io/Logging_2305/klagomålsmail/A 48779-2023 FSC-klagomål mail.docx", "A 48779-2023")</f>
        <v/>
      </c>
      <c r="X82">
        <f>HYPERLINK("https://klasma.github.io/Logging_2305/tillsyn/A 48779-2023 tillsynsbegäran.docx", "A 48779-2023")</f>
        <v/>
      </c>
      <c r="Y82">
        <f>HYPERLINK("https://klasma.github.io/Logging_2305/tillsynsmail/A 48779-2023 tillsynsbegäran mail.docx", "A 48779-2023")</f>
        <v/>
      </c>
    </row>
    <row r="83" ht="15" customHeight="1">
      <c r="A83" t="inlineStr">
        <is>
          <t>A 49540-2022</t>
        </is>
      </c>
      <c r="B83" s="1" t="n">
        <v>44861</v>
      </c>
      <c r="C83" s="1" t="n">
        <v>45976</v>
      </c>
      <c r="D83" t="inlineStr">
        <is>
          <t>JÄMTLANDS LÄN</t>
        </is>
      </c>
      <c r="E83" t="inlineStr">
        <is>
          <t>BRÄCKE</t>
        </is>
      </c>
      <c r="F83" t="inlineStr">
        <is>
          <t>SCA</t>
        </is>
      </c>
      <c r="G83" t="n">
        <v>10.5</v>
      </c>
      <c r="H83" t="n">
        <v>2</v>
      </c>
      <c r="I83" t="n">
        <v>0</v>
      </c>
      <c r="J83" t="n">
        <v>4</v>
      </c>
      <c r="K83" t="n">
        <v>2</v>
      </c>
      <c r="L83" t="n">
        <v>0</v>
      </c>
      <c r="M83" t="n">
        <v>0</v>
      </c>
      <c r="N83" t="n">
        <v>0</v>
      </c>
      <c r="O83" t="n">
        <v>6</v>
      </c>
      <c r="P83" t="n">
        <v>2</v>
      </c>
      <c r="Q83" t="n">
        <v>6</v>
      </c>
      <c r="R83" s="2" t="inlineStr">
        <is>
          <t>Knärot
Rynkskinn
Rosenticka
Talltita
Ullticka
Äggvaxskivling</t>
        </is>
      </c>
      <c r="S83">
        <f>HYPERLINK("https://klasma.github.io/Logging_2305/artfynd/A 49540-2022 artfynd.xlsx", "A 49540-2022")</f>
        <v/>
      </c>
      <c r="T83">
        <f>HYPERLINK("https://klasma.github.io/Logging_2305/kartor/A 49540-2022 karta.png", "A 49540-2022")</f>
        <v/>
      </c>
      <c r="U83">
        <f>HYPERLINK("https://klasma.github.io/Logging_2305/knärot/A 49540-2022 karta knärot.png", "A 49540-2022")</f>
        <v/>
      </c>
      <c r="V83">
        <f>HYPERLINK("https://klasma.github.io/Logging_2305/klagomål/A 49540-2022 FSC-klagomål.docx", "A 49540-2022")</f>
        <v/>
      </c>
      <c r="W83">
        <f>HYPERLINK("https://klasma.github.io/Logging_2305/klagomålsmail/A 49540-2022 FSC-klagomål mail.docx", "A 49540-2022")</f>
        <v/>
      </c>
      <c r="X83">
        <f>HYPERLINK("https://klasma.github.io/Logging_2305/tillsyn/A 49540-2022 tillsynsbegäran.docx", "A 49540-2022")</f>
        <v/>
      </c>
      <c r="Y83">
        <f>HYPERLINK("https://klasma.github.io/Logging_2305/tillsynsmail/A 49540-2022 tillsynsbegäran mail.docx", "A 49540-2022")</f>
        <v/>
      </c>
      <c r="Z83">
        <f>HYPERLINK("https://klasma.github.io/Logging_2305/fåglar/A 49540-2022 prioriterade fågelarter.docx", "A 49540-2022")</f>
        <v/>
      </c>
    </row>
    <row r="84" ht="15" customHeight="1">
      <c r="A84" t="inlineStr">
        <is>
          <t>A 22143-2025</t>
        </is>
      </c>
      <c r="B84" s="1" t="n">
        <v>45785.55251157407</v>
      </c>
      <c r="C84" s="1" t="n">
        <v>45976</v>
      </c>
      <c r="D84" t="inlineStr">
        <is>
          <t>JÄMTLANDS LÄN</t>
        </is>
      </c>
      <c r="E84" t="inlineStr">
        <is>
          <t>BRÄCKE</t>
        </is>
      </c>
      <c r="F84" t="inlineStr">
        <is>
          <t>SCA</t>
        </is>
      </c>
      <c r="G84" t="n">
        <v>4.3</v>
      </c>
      <c r="H84" t="n">
        <v>2</v>
      </c>
      <c r="I84" t="n">
        <v>2</v>
      </c>
      <c r="J84" t="n">
        <v>3</v>
      </c>
      <c r="K84" t="n">
        <v>1</v>
      </c>
      <c r="L84" t="n">
        <v>0</v>
      </c>
      <c r="M84" t="n">
        <v>0</v>
      </c>
      <c r="N84" t="n">
        <v>0</v>
      </c>
      <c r="O84" t="n">
        <v>4</v>
      </c>
      <c r="P84" t="n">
        <v>1</v>
      </c>
      <c r="Q84" t="n">
        <v>6</v>
      </c>
      <c r="R84" s="2" t="inlineStr">
        <is>
          <t>Knärot
Garnlav
Lunglav
Talltita
Luddlav
Skinnlav</t>
        </is>
      </c>
      <c r="S84">
        <f>HYPERLINK("https://klasma.github.io/Logging_2305/artfynd/A 22143-2025 artfynd.xlsx", "A 22143-2025")</f>
        <v/>
      </c>
      <c r="T84">
        <f>HYPERLINK("https://klasma.github.io/Logging_2305/kartor/A 22143-2025 karta.png", "A 22143-2025")</f>
        <v/>
      </c>
      <c r="U84">
        <f>HYPERLINK("https://klasma.github.io/Logging_2305/knärot/A 22143-2025 karta knärot.png", "A 22143-2025")</f>
        <v/>
      </c>
      <c r="V84">
        <f>HYPERLINK("https://klasma.github.io/Logging_2305/klagomål/A 22143-2025 FSC-klagomål.docx", "A 22143-2025")</f>
        <v/>
      </c>
      <c r="W84">
        <f>HYPERLINK("https://klasma.github.io/Logging_2305/klagomålsmail/A 22143-2025 FSC-klagomål mail.docx", "A 22143-2025")</f>
        <v/>
      </c>
      <c r="X84">
        <f>HYPERLINK("https://klasma.github.io/Logging_2305/tillsyn/A 22143-2025 tillsynsbegäran.docx", "A 22143-2025")</f>
        <v/>
      </c>
      <c r="Y84">
        <f>HYPERLINK("https://klasma.github.io/Logging_2305/tillsynsmail/A 22143-2025 tillsynsbegäran mail.docx", "A 22143-2025")</f>
        <v/>
      </c>
      <c r="Z84">
        <f>HYPERLINK("https://klasma.github.io/Logging_2305/fåglar/A 22143-2025 prioriterade fågelarter.docx", "A 22143-2025")</f>
        <v/>
      </c>
    </row>
    <row r="85" ht="15" customHeight="1">
      <c r="A85" t="inlineStr">
        <is>
          <t>A 29141-2025</t>
        </is>
      </c>
      <c r="B85" s="1" t="n">
        <v>45821.61508101852</v>
      </c>
      <c r="C85" s="1" t="n">
        <v>45976</v>
      </c>
      <c r="D85" t="inlineStr">
        <is>
          <t>JÄMTLANDS LÄN</t>
        </is>
      </c>
      <c r="E85" t="inlineStr">
        <is>
          <t>BRÄCKE</t>
        </is>
      </c>
      <c r="G85" t="n">
        <v>6.1</v>
      </c>
      <c r="H85" t="n">
        <v>0</v>
      </c>
      <c r="I85" t="n">
        <v>0</v>
      </c>
      <c r="J85" t="n">
        <v>6</v>
      </c>
      <c r="K85" t="n">
        <v>0</v>
      </c>
      <c r="L85" t="n">
        <v>0</v>
      </c>
      <c r="M85" t="n">
        <v>0</v>
      </c>
      <c r="N85" t="n">
        <v>0</v>
      </c>
      <c r="O85" t="n">
        <v>6</v>
      </c>
      <c r="P85" t="n">
        <v>0</v>
      </c>
      <c r="Q85" t="n">
        <v>6</v>
      </c>
      <c r="R85" s="2" t="inlineStr">
        <is>
          <t>Blå taggsvamp
Dvärgbägarlav
Nordtagging
Vaddporing
Vedflamlav
Vedskivlav</t>
        </is>
      </c>
      <c r="S85">
        <f>HYPERLINK("https://klasma.github.io/Logging_2305/artfynd/A 29141-2025 artfynd.xlsx", "A 29141-2025")</f>
        <v/>
      </c>
      <c r="T85">
        <f>HYPERLINK("https://klasma.github.io/Logging_2305/kartor/A 29141-2025 karta.png", "A 29141-2025")</f>
        <v/>
      </c>
      <c r="V85">
        <f>HYPERLINK("https://klasma.github.io/Logging_2305/klagomål/A 29141-2025 FSC-klagomål.docx", "A 29141-2025")</f>
        <v/>
      </c>
      <c r="W85">
        <f>HYPERLINK("https://klasma.github.io/Logging_2305/klagomålsmail/A 29141-2025 FSC-klagomål mail.docx", "A 29141-2025")</f>
        <v/>
      </c>
      <c r="X85">
        <f>HYPERLINK("https://klasma.github.io/Logging_2305/tillsyn/A 29141-2025 tillsynsbegäran.docx", "A 29141-2025")</f>
        <v/>
      </c>
      <c r="Y85">
        <f>HYPERLINK("https://klasma.github.io/Logging_2305/tillsynsmail/A 29141-2025 tillsynsbegäran mail.docx", "A 29141-2025")</f>
        <v/>
      </c>
    </row>
    <row r="86" ht="15" customHeight="1">
      <c r="A86" t="inlineStr">
        <is>
          <t>A 5269-2024</t>
        </is>
      </c>
      <c r="B86" s="1" t="n">
        <v>45330</v>
      </c>
      <c r="C86" s="1" t="n">
        <v>45976</v>
      </c>
      <c r="D86" t="inlineStr">
        <is>
          <t>JÄMTLANDS LÄN</t>
        </is>
      </c>
      <c r="E86" t="inlineStr">
        <is>
          <t>BRÄCKE</t>
        </is>
      </c>
      <c r="F86" t="inlineStr">
        <is>
          <t>SCA</t>
        </is>
      </c>
      <c r="G86" t="n">
        <v>8.300000000000001</v>
      </c>
      <c r="H86" t="n">
        <v>2</v>
      </c>
      <c r="I86" t="n">
        <v>0</v>
      </c>
      <c r="J86" t="n">
        <v>5</v>
      </c>
      <c r="K86" t="n">
        <v>1</v>
      </c>
      <c r="L86" t="n">
        <v>0</v>
      </c>
      <c r="M86" t="n">
        <v>0</v>
      </c>
      <c r="N86" t="n">
        <v>0</v>
      </c>
      <c r="O86" t="n">
        <v>6</v>
      </c>
      <c r="P86" t="n">
        <v>1</v>
      </c>
      <c r="Q86" t="n">
        <v>6</v>
      </c>
      <c r="R86" s="2" t="inlineStr">
        <is>
          <t>Knärot
Granticka
Lunglav
Skogshare
Tretåig hackspett
Ullticka</t>
        </is>
      </c>
      <c r="S86">
        <f>HYPERLINK("https://klasma.github.io/Logging_2305/artfynd/A 5269-2024 artfynd.xlsx", "A 5269-2024")</f>
        <v/>
      </c>
      <c r="T86">
        <f>HYPERLINK("https://klasma.github.io/Logging_2305/kartor/A 5269-2024 karta.png", "A 5269-2024")</f>
        <v/>
      </c>
      <c r="U86">
        <f>HYPERLINK("https://klasma.github.io/Logging_2305/knärot/A 5269-2024 karta knärot.png", "A 5269-2024")</f>
        <v/>
      </c>
      <c r="V86">
        <f>HYPERLINK("https://klasma.github.io/Logging_2305/klagomål/A 5269-2024 FSC-klagomål.docx", "A 5269-2024")</f>
        <v/>
      </c>
      <c r="W86">
        <f>HYPERLINK("https://klasma.github.io/Logging_2305/klagomålsmail/A 5269-2024 FSC-klagomål mail.docx", "A 5269-2024")</f>
        <v/>
      </c>
      <c r="X86">
        <f>HYPERLINK("https://klasma.github.io/Logging_2305/tillsyn/A 5269-2024 tillsynsbegäran.docx", "A 5269-2024")</f>
        <v/>
      </c>
      <c r="Y86">
        <f>HYPERLINK("https://klasma.github.io/Logging_2305/tillsynsmail/A 5269-2024 tillsynsbegäran mail.docx", "A 5269-2024")</f>
        <v/>
      </c>
      <c r="Z86">
        <f>HYPERLINK("https://klasma.github.io/Logging_2305/fåglar/A 5269-2024 prioriterade fågelarter.docx", "A 5269-2024")</f>
        <v/>
      </c>
    </row>
    <row r="87" ht="15" customHeight="1">
      <c r="A87" t="inlineStr">
        <is>
          <t>A 32580-2025</t>
        </is>
      </c>
      <c r="B87" s="1" t="n">
        <v>45838.59434027778</v>
      </c>
      <c r="C87" s="1" t="n">
        <v>45976</v>
      </c>
      <c r="D87" t="inlineStr">
        <is>
          <t>JÄMTLANDS LÄN</t>
        </is>
      </c>
      <c r="E87" t="inlineStr">
        <is>
          <t>BRÄCKE</t>
        </is>
      </c>
      <c r="G87" t="n">
        <v>20.9</v>
      </c>
      <c r="H87" t="n">
        <v>4</v>
      </c>
      <c r="I87" t="n">
        <v>2</v>
      </c>
      <c r="J87" t="n">
        <v>3</v>
      </c>
      <c r="K87" t="n">
        <v>1</v>
      </c>
      <c r="L87" t="n">
        <v>0</v>
      </c>
      <c r="M87" t="n">
        <v>0</v>
      </c>
      <c r="N87" t="n">
        <v>0</v>
      </c>
      <c r="O87" t="n">
        <v>4</v>
      </c>
      <c r="P87" t="n">
        <v>1</v>
      </c>
      <c r="Q87" t="n">
        <v>6</v>
      </c>
      <c r="R87" s="2" t="inlineStr">
        <is>
          <t>Knärot
Garnlav
Talltita
Tretåig hackspett
Dropptaggsvamp
Plattlummer</t>
        </is>
      </c>
      <c r="S87">
        <f>HYPERLINK("https://klasma.github.io/Logging_2305/artfynd/A 32580-2025 artfynd.xlsx", "A 32580-2025")</f>
        <v/>
      </c>
      <c r="T87">
        <f>HYPERLINK("https://klasma.github.io/Logging_2305/kartor/A 32580-2025 karta.png", "A 32580-2025")</f>
        <v/>
      </c>
      <c r="U87">
        <f>HYPERLINK("https://klasma.github.io/Logging_2305/knärot/A 32580-2025 karta knärot.png", "A 32580-2025")</f>
        <v/>
      </c>
      <c r="V87">
        <f>HYPERLINK("https://klasma.github.io/Logging_2305/klagomål/A 32580-2025 FSC-klagomål.docx", "A 32580-2025")</f>
        <v/>
      </c>
      <c r="W87">
        <f>HYPERLINK("https://klasma.github.io/Logging_2305/klagomålsmail/A 32580-2025 FSC-klagomål mail.docx", "A 32580-2025")</f>
        <v/>
      </c>
      <c r="X87">
        <f>HYPERLINK("https://klasma.github.io/Logging_2305/tillsyn/A 32580-2025 tillsynsbegäran.docx", "A 32580-2025")</f>
        <v/>
      </c>
      <c r="Y87">
        <f>HYPERLINK("https://klasma.github.io/Logging_2305/tillsynsmail/A 32580-2025 tillsynsbegäran mail.docx", "A 32580-2025")</f>
        <v/>
      </c>
      <c r="Z87">
        <f>HYPERLINK("https://klasma.github.io/Logging_2305/fåglar/A 32580-2025 prioriterade fågelarter.docx", "A 32580-2025")</f>
        <v/>
      </c>
    </row>
    <row r="88" ht="15" customHeight="1">
      <c r="A88" t="inlineStr">
        <is>
          <t>A 29272-2024</t>
        </is>
      </c>
      <c r="B88" s="1" t="n">
        <v>45482.94998842593</v>
      </c>
      <c r="C88" s="1" t="n">
        <v>45976</v>
      </c>
      <c r="D88" t="inlineStr">
        <is>
          <t>JÄMTLANDS LÄN</t>
        </is>
      </c>
      <c r="E88" t="inlineStr">
        <is>
          <t>BRÄCKE</t>
        </is>
      </c>
      <c r="F88" t="inlineStr">
        <is>
          <t>SCA</t>
        </is>
      </c>
      <c r="G88" t="n">
        <v>1.6</v>
      </c>
      <c r="H88" t="n">
        <v>3</v>
      </c>
      <c r="I88" t="n">
        <v>0</v>
      </c>
      <c r="J88" t="n">
        <v>5</v>
      </c>
      <c r="K88" t="n">
        <v>0</v>
      </c>
      <c r="L88" t="n">
        <v>0</v>
      </c>
      <c r="M88" t="n">
        <v>0</v>
      </c>
      <c r="N88" t="n">
        <v>0</v>
      </c>
      <c r="O88" t="n">
        <v>5</v>
      </c>
      <c r="P88" t="n">
        <v>0</v>
      </c>
      <c r="Q88" t="n">
        <v>6</v>
      </c>
      <c r="R88" s="2" t="inlineStr">
        <is>
          <t>Garnlav
Lunglav
Skogshare
Spillkråka
Tretåig hackspett
Revlummer</t>
        </is>
      </c>
      <c r="S88">
        <f>HYPERLINK("https://klasma.github.io/Logging_2305/artfynd/A 29272-2024 artfynd.xlsx", "A 29272-2024")</f>
        <v/>
      </c>
      <c r="T88">
        <f>HYPERLINK("https://klasma.github.io/Logging_2305/kartor/A 29272-2024 karta.png", "A 29272-2024")</f>
        <v/>
      </c>
      <c r="V88">
        <f>HYPERLINK("https://klasma.github.io/Logging_2305/klagomål/A 29272-2024 FSC-klagomål.docx", "A 29272-2024")</f>
        <v/>
      </c>
      <c r="W88">
        <f>HYPERLINK("https://klasma.github.io/Logging_2305/klagomålsmail/A 29272-2024 FSC-klagomål mail.docx", "A 29272-2024")</f>
        <v/>
      </c>
      <c r="X88">
        <f>HYPERLINK("https://klasma.github.io/Logging_2305/tillsyn/A 29272-2024 tillsynsbegäran.docx", "A 29272-2024")</f>
        <v/>
      </c>
      <c r="Y88">
        <f>HYPERLINK("https://klasma.github.io/Logging_2305/tillsynsmail/A 29272-2024 tillsynsbegäran mail.docx", "A 29272-2024")</f>
        <v/>
      </c>
      <c r="Z88">
        <f>HYPERLINK("https://klasma.github.io/Logging_2305/fåglar/A 29272-2024 prioriterade fågelarter.docx", "A 29272-2024")</f>
        <v/>
      </c>
    </row>
    <row r="89" ht="15" customHeight="1">
      <c r="A89" t="inlineStr">
        <is>
          <t>A 53280-2022</t>
        </is>
      </c>
      <c r="B89" s="1" t="n">
        <v>44876</v>
      </c>
      <c r="C89" s="1" t="n">
        <v>45976</v>
      </c>
      <c r="D89" t="inlineStr">
        <is>
          <t>JÄMTLANDS LÄN</t>
        </is>
      </c>
      <c r="E89" t="inlineStr">
        <is>
          <t>BRÄCKE</t>
        </is>
      </c>
      <c r="F89" t="inlineStr">
        <is>
          <t>SCA</t>
        </is>
      </c>
      <c r="G89" t="n">
        <v>2</v>
      </c>
      <c r="H89" t="n">
        <v>2</v>
      </c>
      <c r="I89" t="n">
        <v>3</v>
      </c>
      <c r="J89" t="n">
        <v>2</v>
      </c>
      <c r="K89" t="n">
        <v>0</v>
      </c>
      <c r="L89" t="n">
        <v>0</v>
      </c>
      <c r="M89" t="n">
        <v>0</v>
      </c>
      <c r="N89" t="n">
        <v>0</v>
      </c>
      <c r="O89" t="n">
        <v>2</v>
      </c>
      <c r="P89" t="n">
        <v>0</v>
      </c>
      <c r="Q89" t="n">
        <v>5</v>
      </c>
      <c r="R89" s="2" t="inlineStr">
        <is>
          <t>Järpe
Lunglav
Skinnlav
Spindelblomster
Stuplav</t>
        </is>
      </c>
      <c r="S89">
        <f>HYPERLINK("https://klasma.github.io/Logging_2305/artfynd/A 53280-2022 artfynd.xlsx", "A 53280-2022")</f>
        <v/>
      </c>
      <c r="T89">
        <f>HYPERLINK("https://klasma.github.io/Logging_2305/kartor/A 53280-2022 karta.png", "A 53280-2022")</f>
        <v/>
      </c>
      <c r="V89">
        <f>HYPERLINK("https://klasma.github.io/Logging_2305/klagomål/A 53280-2022 FSC-klagomål.docx", "A 53280-2022")</f>
        <v/>
      </c>
      <c r="W89">
        <f>HYPERLINK("https://klasma.github.io/Logging_2305/klagomålsmail/A 53280-2022 FSC-klagomål mail.docx", "A 53280-2022")</f>
        <v/>
      </c>
      <c r="X89">
        <f>HYPERLINK("https://klasma.github.io/Logging_2305/tillsyn/A 53280-2022 tillsynsbegäran.docx", "A 53280-2022")</f>
        <v/>
      </c>
      <c r="Y89">
        <f>HYPERLINK("https://klasma.github.io/Logging_2305/tillsynsmail/A 53280-2022 tillsynsbegäran mail.docx", "A 53280-2022")</f>
        <v/>
      </c>
      <c r="Z89">
        <f>HYPERLINK("https://klasma.github.io/Logging_2305/fåglar/A 53280-2022 prioriterade fågelarter.docx", "A 53280-2022")</f>
        <v/>
      </c>
    </row>
    <row r="90" ht="15" customHeight="1">
      <c r="A90" t="inlineStr">
        <is>
          <t>A 38527-2025</t>
        </is>
      </c>
      <c r="B90" s="1" t="n">
        <v>45884.40715277778</v>
      </c>
      <c r="C90" s="1" t="n">
        <v>45976</v>
      </c>
      <c r="D90" t="inlineStr">
        <is>
          <t>JÄMTLANDS LÄN</t>
        </is>
      </c>
      <c r="E90" t="inlineStr">
        <is>
          <t>BRÄCKE</t>
        </is>
      </c>
      <c r="F90" t="inlineStr">
        <is>
          <t>SCA</t>
        </is>
      </c>
      <c r="G90" t="n">
        <v>1.8</v>
      </c>
      <c r="H90" t="n">
        <v>1</v>
      </c>
      <c r="I90" t="n">
        <v>1</v>
      </c>
      <c r="J90" t="n">
        <v>3</v>
      </c>
      <c r="K90" t="n">
        <v>0</v>
      </c>
      <c r="L90" t="n">
        <v>0</v>
      </c>
      <c r="M90" t="n">
        <v>0</v>
      </c>
      <c r="N90" t="n">
        <v>0</v>
      </c>
      <c r="O90" t="n">
        <v>3</v>
      </c>
      <c r="P90" t="n">
        <v>0</v>
      </c>
      <c r="Q90" t="n">
        <v>5</v>
      </c>
      <c r="R90" s="2" t="inlineStr">
        <is>
          <t>Gammelgransskål
Lunglav
Ullticka
Luddlav
Revlummer</t>
        </is>
      </c>
      <c r="S90">
        <f>HYPERLINK("https://klasma.github.io/Logging_2305/artfynd/A 38527-2025 artfynd.xlsx", "A 38527-2025")</f>
        <v/>
      </c>
      <c r="T90">
        <f>HYPERLINK("https://klasma.github.io/Logging_2305/kartor/A 38527-2025 karta.png", "A 38527-2025")</f>
        <v/>
      </c>
      <c r="V90">
        <f>HYPERLINK("https://klasma.github.io/Logging_2305/klagomål/A 38527-2025 FSC-klagomål.docx", "A 38527-2025")</f>
        <v/>
      </c>
      <c r="W90">
        <f>HYPERLINK("https://klasma.github.io/Logging_2305/klagomålsmail/A 38527-2025 FSC-klagomål mail.docx", "A 38527-2025")</f>
        <v/>
      </c>
      <c r="X90">
        <f>HYPERLINK("https://klasma.github.io/Logging_2305/tillsyn/A 38527-2025 tillsynsbegäran.docx", "A 38527-2025")</f>
        <v/>
      </c>
      <c r="Y90">
        <f>HYPERLINK("https://klasma.github.io/Logging_2305/tillsynsmail/A 38527-2025 tillsynsbegäran mail.docx", "A 38527-2025")</f>
        <v/>
      </c>
    </row>
    <row r="91" ht="15" customHeight="1">
      <c r="A91" t="inlineStr">
        <is>
          <t>A 18634-2025</t>
        </is>
      </c>
      <c r="B91" s="1" t="n">
        <v>45763.55266203704</v>
      </c>
      <c r="C91" s="1" t="n">
        <v>45976</v>
      </c>
      <c r="D91" t="inlineStr">
        <is>
          <t>JÄMTLANDS LÄN</t>
        </is>
      </c>
      <c r="E91" t="inlineStr">
        <is>
          <t>BRÄCKE</t>
        </is>
      </c>
      <c r="F91" t="inlineStr">
        <is>
          <t>SCA</t>
        </is>
      </c>
      <c r="G91" t="n">
        <v>8.300000000000001</v>
      </c>
      <c r="H91" t="n">
        <v>2</v>
      </c>
      <c r="I91" t="n">
        <v>2</v>
      </c>
      <c r="J91" t="n">
        <v>2</v>
      </c>
      <c r="K91" t="n">
        <v>1</v>
      </c>
      <c r="L91" t="n">
        <v>0</v>
      </c>
      <c r="M91" t="n">
        <v>0</v>
      </c>
      <c r="N91" t="n">
        <v>0</v>
      </c>
      <c r="O91" t="n">
        <v>3</v>
      </c>
      <c r="P91" t="n">
        <v>1</v>
      </c>
      <c r="Q91" t="n">
        <v>5</v>
      </c>
      <c r="R91" s="2" t="inlineStr">
        <is>
          <t>Knärot
Garnlav
Lunglav
Korallblylav
Plattlummer</t>
        </is>
      </c>
      <c r="S91">
        <f>HYPERLINK("https://klasma.github.io/Logging_2305/artfynd/A 18634-2025 artfynd.xlsx", "A 18634-2025")</f>
        <v/>
      </c>
      <c r="T91">
        <f>HYPERLINK("https://klasma.github.io/Logging_2305/kartor/A 18634-2025 karta.png", "A 18634-2025")</f>
        <v/>
      </c>
      <c r="U91">
        <f>HYPERLINK("https://klasma.github.io/Logging_2305/knärot/A 18634-2025 karta knärot.png", "A 18634-2025")</f>
        <v/>
      </c>
      <c r="V91">
        <f>HYPERLINK("https://klasma.github.io/Logging_2305/klagomål/A 18634-2025 FSC-klagomål.docx", "A 18634-2025")</f>
        <v/>
      </c>
      <c r="W91">
        <f>HYPERLINK("https://klasma.github.io/Logging_2305/klagomålsmail/A 18634-2025 FSC-klagomål mail.docx", "A 18634-2025")</f>
        <v/>
      </c>
      <c r="X91">
        <f>HYPERLINK("https://klasma.github.io/Logging_2305/tillsyn/A 18634-2025 tillsynsbegäran.docx", "A 18634-2025")</f>
        <v/>
      </c>
      <c r="Y91">
        <f>HYPERLINK("https://klasma.github.io/Logging_2305/tillsynsmail/A 18634-2025 tillsynsbegäran mail.docx", "A 18634-2025")</f>
        <v/>
      </c>
    </row>
    <row r="92" ht="15" customHeight="1">
      <c r="A92" t="inlineStr">
        <is>
          <t>A 47560-2024</t>
        </is>
      </c>
      <c r="B92" s="1" t="n">
        <v>45587.6758449074</v>
      </c>
      <c r="C92" s="1" t="n">
        <v>45976</v>
      </c>
      <c r="D92" t="inlineStr">
        <is>
          <t>JÄMTLANDS LÄN</t>
        </is>
      </c>
      <c r="E92" t="inlineStr">
        <is>
          <t>BRÄCKE</t>
        </is>
      </c>
      <c r="G92" t="n">
        <v>4.3</v>
      </c>
      <c r="H92" t="n">
        <v>1</v>
      </c>
      <c r="I92" t="n">
        <v>0</v>
      </c>
      <c r="J92" t="n">
        <v>4</v>
      </c>
      <c r="K92" t="n">
        <v>1</v>
      </c>
      <c r="L92" t="n">
        <v>0</v>
      </c>
      <c r="M92" t="n">
        <v>0</v>
      </c>
      <c r="N92" t="n">
        <v>0</v>
      </c>
      <c r="O92" t="n">
        <v>5</v>
      </c>
      <c r="P92" t="n">
        <v>1</v>
      </c>
      <c r="Q92" t="n">
        <v>5</v>
      </c>
      <c r="R92" s="2" t="inlineStr">
        <is>
          <t>Knärot
Garnlav
Granticka
Lunglav
Ullticka</t>
        </is>
      </c>
      <c r="S92">
        <f>HYPERLINK("https://klasma.github.io/Logging_2305/artfynd/A 47560-2024 artfynd.xlsx", "A 47560-2024")</f>
        <v/>
      </c>
      <c r="T92">
        <f>HYPERLINK("https://klasma.github.io/Logging_2305/kartor/A 47560-2024 karta.png", "A 47560-2024")</f>
        <v/>
      </c>
      <c r="U92">
        <f>HYPERLINK("https://klasma.github.io/Logging_2305/knärot/A 47560-2024 karta knärot.png", "A 47560-2024")</f>
        <v/>
      </c>
      <c r="V92">
        <f>HYPERLINK("https://klasma.github.io/Logging_2305/klagomål/A 47560-2024 FSC-klagomål.docx", "A 47560-2024")</f>
        <v/>
      </c>
      <c r="W92">
        <f>HYPERLINK("https://klasma.github.io/Logging_2305/klagomålsmail/A 47560-2024 FSC-klagomål mail.docx", "A 47560-2024")</f>
        <v/>
      </c>
      <c r="X92">
        <f>HYPERLINK("https://klasma.github.io/Logging_2305/tillsyn/A 47560-2024 tillsynsbegäran.docx", "A 47560-2024")</f>
        <v/>
      </c>
      <c r="Y92">
        <f>HYPERLINK("https://klasma.github.io/Logging_2305/tillsynsmail/A 47560-2024 tillsynsbegäran mail.docx", "A 47560-2024")</f>
        <v/>
      </c>
    </row>
    <row r="93" ht="15" customHeight="1">
      <c r="A93" t="inlineStr">
        <is>
          <t>A 44217-2025</t>
        </is>
      </c>
      <c r="B93" s="1" t="n">
        <v>45915.6362037037</v>
      </c>
      <c r="C93" s="1" t="n">
        <v>45976</v>
      </c>
      <c r="D93" t="inlineStr">
        <is>
          <t>JÄMTLANDS LÄN</t>
        </is>
      </c>
      <c r="E93" t="inlineStr">
        <is>
          <t>BRÄCKE</t>
        </is>
      </c>
      <c r="F93" t="inlineStr">
        <is>
          <t>SCA</t>
        </is>
      </c>
      <c r="G93" t="n">
        <v>5.8</v>
      </c>
      <c r="H93" t="n">
        <v>3</v>
      </c>
      <c r="I93" t="n">
        <v>2</v>
      </c>
      <c r="J93" t="n">
        <v>2</v>
      </c>
      <c r="K93" t="n">
        <v>1</v>
      </c>
      <c r="L93" t="n">
        <v>0</v>
      </c>
      <c r="M93" t="n">
        <v>0</v>
      </c>
      <c r="N93" t="n">
        <v>0</v>
      </c>
      <c r="O93" t="n">
        <v>3</v>
      </c>
      <c r="P93" t="n">
        <v>1</v>
      </c>
      <c r="Q93" t="n">
        <v>5</v>
      </c>
      <c r="R93" s="2" t="inlineStr">
        <is>
          <t>Knärot
Lunglav
Talltita
Grönpyrola
Plattlummer</t>
        </is>
      </c>
      <c r="S93">
        <f>HYPERLINK("https://klasma.github.io/Logging_2305/artfynd/A 44217-2025 artfynd.xlsx", "A 44217-2025")</f>
        <v/>
      </c>
      <c r="T93">
        <f>HYPERLINK("https://klasma.github.io/Logging_2305/kartor/A 44217-2025 karta.png", "A 44217-2025")</f>
        <v/>
      </c>
      <c r="U93">
        <f>HYPERLINK("https://klasma.github.io/Logging_2305/knärot/A 44217-2025 karta knärot.png", "A 44217-2025")</f>
        <v/>
      </c>
      <c r="V93">
        <f>HYPERLINK("https://klasma.github.io/Logging_2305/klagomål/A 44217-2025 FSC-klagomål.docx", "A 44217-2025")</f>
        <v/>
      </c>
      <c r="W93">
        <f>HYPERLINK("https://klasma.github.io/Logging_2305/klagomålsmail/A 44217-2025 FSC-klagomål mail.docx", "A 44217-2025")</f>
        <v/>
      </c>
      <c r="X93">
        <f>HYPERLINK("https://klasma.github.io/Logging_2305/tillsyn/A 44217-2025 tillsynsbegäran.docx", "A 44217-2025")</f>
        <v/>
      </c>
      <c r="Y93">
        <f>HYPERLINK("https://klasma.github.io/Logging_2305/tillsynsmail/A 44217-2025 tillsynsbegäran mail.docx", "A 44217-2025")</f>
        <v/>
      </c>
      <c r="Z93">
        <f>HYPERLINK("https://klasma.github.io/Logging_2305/fåglar/A 44217-2025 prioriterade fågelarter.docx", "A 44217-2025")</f>
        <v/>
      </c>
    </row>
    <row r="94" ht="15" customHeight="1">
      <c r="A94" t="inlineStr">
        <is>
          <t>A 48780-2023</t>
        </is>
      </c>
      <c r="B94" s="1" t="n">
        <v>45208</v>
      </c>
      <c r="C94" s="1" t="n">
        <v>45976</v>
      </c>
      <c r="D94" t="inlineStr">
        <is>
          <t>JÄMTLANDS LÄN</t>
        </is>
      </c>
      <c r="E94" t="inlineStr">
        <is>
          <t>BRÄCKE</t>
        </is>
      </c>
      <c r="F94" t="inlineStr">
        <is>
          <t>Naturvårdsverket</t>
        </is>
      </c>
      <c r="G94" t="n">
        <v>11.2</v>
      </c>
      <c r="H94" t="n">
        <v>0</v>
      </c>
      <c r="I94" t="n">
        <v>1</v>
      </c>
      <c r="J94" t="n">
        <v>4</v>
      </c>
      <c r="K94" t="n">
        <v>0</v>
      </c>
      <c r="L94" t="n">
        <v>0</v>
      </c>
      <c r="M94" t="n">
        <v>0</v>
      </c>
      <c r="N94" t="n">
        <v>0</v>
      </c>
      <c r="O94" t="n">
        <v>4</v>
      </c>
      <c r="P94" t="n">
        <v>0</v>
      </c>
      <c r="Q94" t="n">
        <v>5</v>
      </c>
      <c r="R94" s="2" t="inlineStr">
        <is>
          <t>Blå taggsvamp
Dofttaggsvamp
Lunglav
Tallticka
Dropptaggsvamp</t>
        </is>
      </c>
      <c r="S94">
        <f>HYPERLINK("https://klasma.github.io/Logging_2305/artfynd/A 48780-2023 artfynd.xlsx", "A 48780-2023")</f>
        <v/>
      </c>
      <c r="T94">
        <f>HYPERLINK("https://klasma.github.io/Logging_2305/kartor/A 48780-2023 karta.png", "A 48780-2023")</f>
        <v/>
      </c>
      <c r="V94">
        <f>HYPERLINK("https://klasma.github.io/Logging_2305/klagomål/A 48780-2023 FSC-klagomål.docx", "A 48780-2023")</f>
        <v/>
      </c>
      <c r="W94">
        <f>HYPERLINK("https://klasma.github.io/Logging_2305/klagomålsmail/A 48780-2023 FSC-klagomål mail.docx", "A 48780-2023")</f>
        <v/>
      </c>
      <c r="X94">
        <f>HYPERLINK("https://klasma.github.io/Logging_2305/tillsyn/A 48780-2023 tillsynsbegäran.docx", "A 48780-2023")</f>
        <v/>
      </c>
      <c r="Y94">
        <f>HYPERLINK("https://klasma.github.io/Logging_2305/tillsynsmail/A 48780-2023 tillsynsbegäran mail.docx", "A 48780-2023")</f>
        <v/>
      </c>
    </row>
    <row r="95" ht="15" customHeight="1">
      <c r="A95" t="inlineStr">
        <is>
          <t>A 23246-2025</t>
        </is>
      </c>
      <c r="B95" s="1" t="n">
        <v>45791.51086805556</v>
      </c>
      <c r="C95" s="1" t="n">
        <v>45976</v>
      </c>
      <c r="D95" t="inlineStr">
        <is>
          <t>JÄMTLANDS LÄN</t>
        </is>
      </c>
      <c r="E95" t="inlineStr">
        <is>
          <t>BRÄCKE</t>
        </is>
      </c>
      <c r="F95" t="inlineStr">
        <is>
          <t>SCA</t>
        </is>
      </c>
      <c r="G95" t="n">
        <v>4.2</v>
      </c>
      <c r="H95" t="n">
        <v>0</v>
      </c>
      <c r="I95" t="n">
        <v>1</v>
      </c>
      <c r="J95" t="n">
        <v>4</v>
      </c>
      <c r="K95" t="n">
        <v>0</v>
      </c>
      <c r="L95" t="n">
        <v>0</v>
      </c>
      <c r="M95" t="n">
        <v>0</v>
      </c>
      <c r="N95" t="n">
        <v>0</v>
      </c>
      <c r="O95" t="n">
        <v>4</v>
      </c>
      <c r="P95" t="n">
        <v>0</v>
      </c>
      <c r="Q95" t="n">
        <v>5</v>
      </c>
      <c r="R95" s="2" t="inlineStr">
        <is>
          <t>Garnlav
Lunglav
Ullticka
Vedtrappmossa
Bårdlav</t>
        </is>
      </c>
      <c r="S95">
        <f>HYPERLINK("https://klasma.github.io/Logging_2305/artfynd/A 23246-2025 artfynd.xlsx", "A 23246-2025")</f>
        <v/>
      </c>
      <c r="T95">
        <f>HYPERLINK("https://klasma.github.io/Logging_2305/kartor/A 23246-2025 karta.png", "A 23246-2025")</f>
        <v/>
      </c>
      <c r="V95">
        <f>HYPERLINK("https://klasma.github.io/Logging_2305/klagomål/A 23246-2025 FSC-klagomål.docx", "A 23246-2025")</f>
        <v/>
      </c>
      <c r="W95">
        <f>HYPERLINK("https://klasma.github.io/Logging_2305/klagomålsmail/A 23246-2025 FSC-klagomål mail.docx", "A 23246-2025")</f>
        <v/>
      </c>
      <c r="X95">
        <f>HYPERLINK("https://klasma.github.io/Logging_2305/tillsyn/A 23246-2025 tillsynsbegäran.docx", "A 23246-2025")</f>
        <v/>
      </c>
      <c r="Y95">
        <f>HYPERLINK("https://klasma.github.io/Logging_2305/tillsynsmail/A 23246-2025 tillsynsbegäran mail.docx", "A 23246-2025")</f>
        <v/>
      </c>
    </row>
    <row r="96" ht="15" customHeight="1">
      <c r="A96" t="inlineStr">
        <is>
          <t>A 30620-2025</t>
        </is>
      </c>
      <c r="B96" s="1" t="n">
        <v>45831.46936342592</v>
      </c>
      <c r="C96" s="1" t="n">
        <v>45976</v>
      </c>
      <c r="D96" t="inlineStr">
        <is>
          <t>JÄMTLANDS LÄN</t>
        </is>
      </c>
      <c r="E96" t="inlineStr">
        <is>
          <t>BRÄCKE</t>
        </is>
      </c>
      <c r="G96" t="n">
        <v>4</v>
      </c>
      <c r="H96" t="n">
        <v>0</v>
      </c>
      <c r="I96" t="n">
        <v>1</v>
      </c>
      <c r="J96" t="n">
        <v>4</v>
      </c>
      <c r="K96" t="n">
        <v>0</v>
      </c>
      <c r="L96" t="n">
        <v>0</v>
      </c>
      <c r="M96" t="n">
        <v>0</v>
      </c>
      <c r="N96" t="n">
        <v>0</v>
      </c>
      <c r="O96" t="n">
        <v>4</v>
      </c>
      <c r="P96" t="n">
        <v>0</v>
      </c>
      <c r="Q96" t="n">
        <v>5</v>
      </c>
      <c r="R96" s="2" t="inlineStr">
        <is>
          <t>Garnlav
Granticka
Lunglav
Ullticka
Rödgul trumpetsvamp</t>
        </is>
      </c>
      <c r="S96">
        <f>HYPERLINK("https://klasma.github.io/Logging_2305/artfynd/A 30620-2025 artfynd.xlsx", "A 30620-2025")</f>
        <v/>
      </c>
      <c r="T96">
        <f>HYPERLINK("https://klasma.github.io/Logging_2305/kartor/A 30620-2025 karta.png", "A 30620-2025")</f>
        <v/>
      </c>
      <c r="V96">
        <f>HYPERLINK("https://klasma.github.io/Logging_2305/klagomål/A 30620-2025 FSC-klagomål.docx", "A 30620-2025")</f>
        <v/>
      </c>
      <c r="W96">
        <f>HYPERLINK("https://klasma.github.io/Logging_2305/klagomålsmail/A 30620-2025 FSC-klagomål mail.docx", "A 30620-2025")</f>
        <v/>
      </c>
      <c r="X96">
        <f>HYPERLINK("https://klasma.github.io/Logging_2305/tillsyn/A 30620-2025 tillsynsbegäran.docx", "A 30620-2025")</f>
        <v/>
      </c>
      <c r="Y96">
        <f>HYPERLINK("https://klasma.github.io/Logging_2305/tillsynsmail/A 30620-2025 tillsynsbegäran mail.docx", "A 30620-2025")</f>
        <v/>
      </c>
    </row>
    <row r="97" ht="15" customHeight="1">
      <c r="A97" t="inlineStr">
        <is>
          <t>A 31378-2025</t>
        </is>
      </c>
      <c r="B97" s="1" t="n">
        <v>45833.44834490741</v>
      </c>
      <c r="C97" s="1" t="n">
        <v>45976</v>
      </c>
      <c r="D97" t="inlineStr">
        <is>
          <t>JÄMTLANDS LÄN</t>
        </is>
      </c>
      <c r="E97" t="inlineStr">
        <is>
          <t>BRÄCKE</t>
        </is>
      </c>
      <c r="F97" t="inlineStr">
        <is>
          <t>SCA</t>
        </is>
      </c>
      <c r="G97" t="n">
        <v>1.6</v>
      </c>
      <c r="H97" t="n">
        <v>1</v>
      </c>
      <c r="I97" t="n">
        <v>1</v>
      </c>
      <c r="J97" t="n">
        <v>3</v>
      </c>
      <c r="K97" t="n">
        <v>1</v>
      </c>
      <c r="L97" t="n">
        <v>0</v>
      </c>
      <c r="M97" t="n">
        <v>0</v>
      </c>
      <c r="N97" t="n">
        <v>0</v>
      </c>
      <c r="O97" t="n">
        <v>4</v>
      </c>
      <c r="P97" t="n">
        <v>1</v>
      </c>
      <c r="Q97" t="n">
        <v>5</v>
      </c>
      <c r="R97" s="2" t="inlineStr">
        <is>
          <t>Knärot
Granticka
Gränsticka
Lunglav
Stuplav</t>
        </is>
      </c>
      <c r="S97">
        <f>HYPERLINK("https://klasma.github.io/Logging_2305/artfynd/A 31378-2025 artfynd.xlsx", "A 31378-2025")</f>
        <v/>
      </c>
      <c r="T97">
        <f>HYPERLINK("https://klasma.github.io/Logging_2305/kartor/A 31378-2025 karta.png", "A 31378-2025")</f>
        <v/>
      </c>
      <c r="U97">
        <f>HYPERLINK("https://klasma.github.io/Logging_2305/knärot/A 31378-2025 karta knärot.png", "A 31378-2025")</f>
        <v/>
      </c>
      <c r="V97">
        <f>HYPERLINK("https://klasma.github.io/Logging_2305/klagomål/A 31378-2025 FSC-klagomål.docx", "A 31378-2025")</f>
        <v/>
      </c>
      <c r="W97">
        <f>HYPERLINK("https://klasma.github.io/Logging_2305/klagomålsmail/A 31378-2025 FSC-klagomål mail.docx", "A 31378-2025")</f>
        <v/>
      </c>
      <c r="X97">
        <f>HYPERLINK("https://klasma.github.io/Logging_2305/tillsyn/A 31378-2025 tillsynsbegäran.docx", "A 31378-2025")</f>
        <v/>
      </c>
      <c r="Y97">
        <f>HYPERLINK("https://klasma.github.io/Logging_2305/tillsynsmail/A 31378-2025 tillsynsbegäran mail.docx", "A 31378-2025")</f>
        <v/>
      </c>
    </row>
    <row r="98" ht="15" customHeight="1">
      <c r="A98" t="inlineStr">
        <is>
          <t>A 31592-2025</t>
        </is>
      </c>
      <c r="B98" s="1" t="n">
        <v>45833.69836805556</v>
      </c>
      <c r="C98" s="1" t="n">
        <v>45976</v>
      </c>
      <c r="D98" t="inlineStr">
        <is>
          <t>JÄMTLANDS LÄN</t>
        </is>
      </c>
      <c r="E98" t="inlineStr">
        <is>
          <t>BRÄCKE</t>
        </is>
      </c>
      <c r="F98" t="inlineStr">
        <is>
          <t>SCA</t>
        </is>
      </c>
      <c r="G98" t="n">
        <v>4.2</v>
      </c>
      <c r="H98" t="n">
        <v>0</v>
      </c>
      <c r="I98" t="n">
        <v>1</v>
      </c>
      <c r="J98" t="n">
        <v>4</v>
      </c>
      <c r="K98" t="n">
        <v>0</v>
      </c>
      <c r="L98" t="n">
        <v>0</v>
      </c>
      <c r="M98" t="n">
        <v>0</v>
      </c>
      <c r="N98" t="n">
        <v>0</v>
      </c>
      <c r="O98" t="n">
        <v>4</v>
      </c>
      <c r="P98" t="n">
        <v>0</v>
      </c>
      <c r="Q98" t="n">
        <v>5</v>
      </c>
      <c r="R98" s="2" t="inlineStr">
        <is>
          <t>Grantaggsvamp
Lunglav
Rosenticka
Ullticka
Kryddspindling</t>
        </is>
      </c>
      <c r="S98">
        <f>HYPERLINK("https://klasma.github.io/Logging_2305/artfynd/A 31592-2025 artfynd.xlsx", "A 31592-2025")</f>
        <v/>
      </c>
      <c r="T98">
        <f>HYPERLINK("https://klasma.github.io/Logging_2305/kartor/A 31592-2025 karta.png", "A 31592-2025")</f>
        <v/>
      </c>
      <c r="V98">
        <f>HYPERLINK("https://klasma.github.io/Logging_2305/klagomål/A 31592-2025 FSC-klagomål.docx", "A 31592-2025")</f>
        <v/>
      </c>
      <c r="W98">
        <f>HYPERLINK("https://klasma.github.io/Logging_2305/klagomålsmail/A 31592-2025 FSC-klagomål mail.docx", "A 31592-2025")</f>
        <v/>
      </c>
      <c r="X98">
        <f>HYPERLINK("https://klasma.github.io/Logging_2305/tillsyn/A 31592-2025 tillsynsbegäran.docx", "A 31592-2025")</f>
        <v/>
      </c>
      <c r="Y98">
        <f>HYPERLINK("https://klasma.github.io/Logging_2305/tillsynsmail/A 31592-2025 tillsynsbegäran mail.docx", "A 31592-2025")</f>
        <v/>
      </c>
    </row>
    <row r="99" ht="15" customHeight="1">
      <c r="A99" t="inlineStr">
        <is>
          <t>A 31731-2025</t>
        </is>
      </c>
      <c r="B99" s="1" t="n">
        <v>45834.46990740741</v>
      </c>
      <c r="C99" s="1" t="n">
        <v>45976</v>
      </c>
      <c r="D99" t="inlineStr">
        <is>
          <t>JÄMTLANDS LÄN</t>
        </is>
      </c>
      <c r="E99" t="inlineStr">
        <is>
          <t>BRÄCKE</t>
        </is>
      </c>
      <c r="F99" t="inlineStr">
        <is>
          <t>SCA</t>
        </is>
      </c>
      <c r="G99" t="n">
        <v>9.1</v>
      </c>
      <c r="H99" t="n">
        <v>0</v>
      </c>
      <c r="I99" t="n">
        <v>0</v>
      </c>
      <c r="J99" t="n">
        <v>5</v>
      </c>
      <c r="K99" t="n">
        <v>0</v>
      </c>
      <c r="L99" t="n">
        <v>0</v>
      </c>
      <c r="M99" t="n">
        <v>0</v>
      </c>
      <c r="N99" t="n">
        <v>0</v>
      </c>
      <c r="O99" t="n">
        <v>5</v>
      </c>
      <c r="P99" t="n">
        <v>0</v>
      </c>
      <c r="Q99" t="n">
        <v>5</v>
      </c>
      <c r="R99" s="2" t="inlineStr">
        <is>
          <t>Doftskinn
Gammelgransskål
Lunglav
Nordtagging
Skrovellav</t>
        </is>
      </c>
      <c r="S99">
        <f>HYPERLINK("https://klasma.github.io/Logging_2305/artfynd/A 31731-2025 artfynd.xlsx", "A 31731-2025")</f>
        <v/>
      </c>
      <c r="T99">
        <f>HYPERLINK("https://klasma.github.io/Logging_2305/kartor/A 31731-2025 karta.png", "A 31731-2025")</f>
        <v/>
      </c>
      <c r="V99">
        <f>HYPERLINK("https://klasma.github.io/Logging_2305/klagomål/A 31731-2025 FSC-klagomål.docx", "A 31731-2025")</f>
        <v/>
      </c>
      <c r="W99">
        <f>HYPERLINK("https://klasma.github.io/Logging_2305/klagomålsmail/A 31731-2025 FSC-klagomål mail.docx", "A 31731-2025")</f>
        <v/>
      </c>
      <c r="X99">
        <f>HYPERLINK("https://klasma.github.io/Logging_2305/tillsyn/A 31731-2025 tillsynsbegäran.docx", "A 31731-2025")</f>
        <v/>
      </c>
      <c r="Y99">
        <f>HYPERLINK("https://klasma.github.io/Logging_2305/tillsynsmail/A 31731-2025 tillsynsbegäran mail.docx", "A 31731-2025")</f>
        <v/>
      </c>
    </row>
    <row r="100" ht="15" customHeight="1">
      <c r="A100" t="inlineStr">
        <is>
          <t>A 6748-2024</t>
        </is>
      </c>
      <c r="B100" s="1" t="n">
        <v>45342</v>
      </c>
      <c r="C100" s="1" t="n">
        <v>45976</v>
      </c>
      <c r="D100" t="inlineStr">
        <is>
          <t>JÄMTLANDS LÄN</t>
        </is>
      </c>
      <c r="E100" t="inlineStr">
        <is>
          <t>BRÄCKE</t>
        </is>
      </c>
      <c r="G100" t="n">
        <v>4.1</v>
      </c>
      <c r="H100" t="n">
        <v>1</v>
      </c>
      <c r="I100" t="n">
        <v>0</v>
      </c>
      <c r="J100" t="n">
        <v>4</v>
      </c>
      <c r="K100" t="n">
        <v>1</v>
      </c>
      <c r="L100" t="n">
        <v>0</v>
      </c>
      <c r="M100" t="n">
        <v>0</v>
      </c>
      <c r="N100" t="n">
        <v>0</v>
      </c>
      <c r="O100" t="n">
        <v>5</v>
      </c>
      <c r="P100" t="n">
        <v>1</v>
      </c>
      <c r="Q100" t="n">
        <v>5</v>
      </c>
      <c r="R100" s="2" t="inlineStr">
        <is>
          <t>Knärot
Garnlav
Lunglav
Skrovellav
Ullticka</t>
        </is>
      </c>
      <c r="S100">
        <f>HYPERLINK("https://klasma.github.io/Logging_2305/artfynd/A 6748-2024 artfynd.xlsx", "A 6748-2024")</f>
        <v/>
      </c>
      <c r="T100">
        <f>HYPERLINK("https://klasma.github.io/Logging_2305/kartor/A 6748-2024 karta.png", "A 6748-2024")</f>
        <v/>
      </c>
      <c r="U100">
        <f>HYPERLINK("https://klasma.github.io/Logging_2305/knärot/A 6748-2024 karta knärot.png", "A 6748-2024")</f>
        <v/>
      </c>
      <c r="V100">
        <f>HYPERLINK("https://klasma.github.io/Logging_2305/klagomål/A 6748-2024 FSC-klagomål.docx", "A 6748-2024")</f>
        <v/>
      </c>
      <c r="W100">
        <f>HYPERLINK("https://klasma.github.io/Logging_2305/klagomålsmail/A 6748-2024 FSC-klagomål mail.docx", "A 6748-2024")</f>
        <v/>
      </c>
      <c r="X100">
        <f>HYPERLINK("https://klasma.github.io/Logging_2305/tillsyn/A 6748-2024 tillsynsbegäran.docx", "A 6748-2024")</f>
        <v/>
      </c>
      <c r="Y100">
        <f>HYPERLINK("https://klasma.github.io/Logging_2305/tillsynsmail/A 6748-2024 tillsynsbegäran mail.docx", "A 6748-2024")</f>
        <v/>
      </c>
    </row>
    <row r="101" ht="15" customHeight="1">
      <c r="A101" t="inlineStr">
        <is>
          <t>A 34748-2025</t>
        </is>
      </c>
      <c r="B101" s="1" t="n">
        <v>45848.6153587963</v>
      </c>
      <c r="C101" s="1" t="n">
        <v>45976</v>
      </c>
      <c r="D101" t="inlineStr">
        <is>
          <t>JÄMTLANDS LÄN</t>
        </is>
      </c>
      <c r="E101" t="inlineStr">
        <is>
          <t>BRÄCKE</t>
        </is>
      </c>
      <c r="F101" t="inlineStr">
        <is>
          <t>SCA</t>
        </is>
      </c>
      <c r="G101" t="n">
        <v>7.1</v>
      </c>
      <c r="H101" t="n">
        <v>0</v>
      </c>
      <c r="I101" t="n">
        <v>2</v>
      </c>
      <c r="J101" t="n">
        <v>3</v>
      </c>
      <c r="K101" t="n">
        <v>0</v>
      </c>
      <c r="L101" t="n">
        <v>0</v>
      </c>
      <c r="M101" t="n">
        <v>0</v>
      </c>
      <c r="N101" t="n">
        <v>0</v>
      </c>
      <c r="O101" t="n">
        <v>3</v>
      </c>
      <c r="P101" t="n">
        <v>0</v>
      </c>
      <c r="Q101" t="n">
        <v>5</v>
      </c>
      <c r="R101" s="2" t="inlineStr">
        <is>
          <t>Lunglav
Skrovellav
Ullticka
Bårdlav
Stuplav</t>
        </is>
      </c>
      <c r="S101">
        <f>HYPERLINK("https://klasma.github.io/Logging_2305/artfynd/A 34748-2025 artfynd.xlsx", "A 34748-2025")</f>
        <v/>
      </c>
      <c r="T101">
        <f>HYPERLINK("https://klasma.github.io/Logging_2305/kartor/A 34748-2025 karta.png", "A 34748-2025")</f>
        <v/>
      </c>
      <c r="V101">
        <f>HYPERLINK("https://klasma.github.io/Logging_2305/klagomål/A 34748-2025 FSC-klagomål.docx", "A 34748-2025")</f>
        <v/>
      </c>
      <c r="W101">
        <f>HYPERLINK("https://klasma.github.io/Logging_2305/klagomålsmail/A 34748-2025 FSC-klagomål mail.docx", "A 34748-2025")</f>
        <v/>
      </c>
      <c r="X101">
        <f>HYPERLINK("https://klasma.github.io/Logging_2305/tillsyn/A 34748-2025 tillsynsbegäran.docx", "A 34748-2025")</f>
        <v/>
      </c>
      <c r="Y101">
        <f>HYPERLINK("https://klasma.github.io/Logging_2305/tillsynsmail/A 34748-2025 tillsynsbegäran mail.docx", "A 34748-2025")</f>
        <v/>
      </c>
    </row>
    <row r="102" ht="15" customHeight="1">
      <c r="A102" t="inlineStr">
        <is>
          <t>A 30991-2024</t>
        </is>
      </c>
      <c r="B102" s="1" t="n">
        <v>45499.55119212963</v>
      </c>
      <c r="C102" s="1" t="n">
        <v>45976</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23729-2024</t>
        </is>
      </c>
      <c r="B103" s="1" t="n">
        <v>45454.95868055556</v>
      </c>
      <c r="C103" s="1" t="n">
        <v>45976</v>
      </c>
      <c r="D103" t="inlineStr">
        <is>
          <t>JÄMTLANDS LÄN</t>
        </is>
      </c>
      <c r="E103" t="inlineStr">
        <is>
          <t>BRÄCKE</t>
        </is>
      </c>
      <c r="F103" t="inlineStr">
        <is>
          <t>SCA</t>
        </is>
      </c>
      <c r="G103" t="n">
        <v>7.6</v>
      </c>
      <c r="H103" t="n">
        <v>1</v>
      </c>
      <c r="I103" t="n">
        <v>2</v>
      </c>
      <c r="J103" t="n">
        <v>2</v>
      </c>
      <c r="K103" t="n">
        <v>1</v>
      </c>
      <c r="L103" t="n">
        <v>0</v>
      </c>
      <c r="M103" t="n">
        <v>0</v>
      </c>
      <c r="N103" t="n">
        <v>0</v>
      </c>
      <c r="O103" t="n">
        <v>3</v>
      </c>
      <c r="P103" t="n">
        <v>1</v>
      </c>
      <c r="Q103" t="n">
        <v>5</v>
      </c>
      <c r="R103" s="2" t="inlineStr">
        <is>
          <t>Doftticka
Blanksvart spiklav
Kolflarnlav
Bårdlav
Stuplav</t>
        </is>
      </c>
      <c r="S103">
        <f>HYPERLINK("https://klasma.github.io/Logging_2305/artfynd/A 23729-2024 artfynd.xlsx", "A 23729-2024")</f>
        <v/>
      </c>
      <c r="T103">
        <f>HYPERLINK("https://klasma.github.io/Logging_2305/kartor/A 23729-2024 karta.png", "A 23729-2024")</f>
        <v/>
      </c>
      <c r="V103">
        <f>HYPERLINK("https://klasma.github.io/Logging_2305/klagomål/A 23729-2024 FSC-klagomål.docx", "A 23729-2024")</f>
        <v/>
      </c>
      <c r="W103">
        <f>HYPERLINK("https://klasma.github.io/Logging_2305/klagomålsmail/A 23729-2024 FSC-klagomål mail.docx", "A 23729-2024")</f>
        <v/>
      </c>
      <c r="X103">
        <f>HYPERLINK("https://klasma.github.io/Logging_2305/tillsyn/A 23729-2024 tillsynsbegäran.docx", "A 23729-2024")</f>
        <v/>
      </c>
      <c r="Y103">
        <f>HYPERLINK("https://klasma.github.io/Logging_2305/tillsynsmail/A 23729-2024 tillsynsbegäran mail.docx", "A 23729-2024")</f>
        <v/>
      </c>
    </row>
    <row r="104" ht="15" customHeight="1">
      <c r="A104" t="inlineStr">
        <is>
          <t>A 36820-2021</t>
        </is>
      </c>
      <c r="B104" s="1" t="n">
        <v>44392</v>
      </c>
      <c r="C104" s="1" t="n">
        <v>45976</v>
      </c>
      <c r="D104" t="inlineStr">
        <is>
          <t>JÄMTLANDS LÄN</t>
        </is>
      </c>
      <c r="E104" t="inlineStr">
        <is>
          <t>BRÄCKE</t>
        </is>
      </c>
      <c r="F104" t="inlineStr">
        <is>
          <t>SCA</t>
        </is>
      </c>
      <c r="G104" t="n">
        <v>2.4</v>
      </c>
      <c r="H104" t="n">
        <v>1</v>
      </c>
      <c r="I104" t="n">
        <v>0</v>
      </c>
      <c r="J104" t="n">
        <v>3</v>
      </c>
      <c r="K104" t="n">
        <v>1</v>
      </c>
      <c r="L104" t="n">
        <v>0</v>
      </c>
      <c r="M104" t="n">
        <v>0</v>
      </c>
      <c r="N104" t="n">
        <v>0</v>
      </c>
      <c r="O104" t="n">
        <v>4</v>
      </c>
      <c r="P104" t="n">
        <v>1</v>
      </c>
      <c r="Q104" t="n">
        <v>4</v>
      </c>
      <c r="R104" s="2" t="inlineStr">
        <is>
          <t>Knärot
Lunglav
Skrovellav
Vitgrynig nållav</t>
        </is>
      </c>
      <c r="S104">
        <f>HYPERLINK("https://klasma.github.io/Logging_2305/artfynd/A 36820-2021 artfynd.xlsx", "A 36820-2021")</f>
        <v/>
      </c>
      <c r="T104">
        <f>HYPERLINK("https://klasma.github.io/Logging_2305/kartor/A 36820-2021 karta.png", "A 36820-2021")</f>
        <v/>
      </c>
      <c r="U104">
        <f>HYPERLINK("https://klasma.github.io/Logging_2305/knärot/A 36820-2021 karta knärot.png", "A 36820-2021")</f>
        <v/>
      </c>
      <c r="V104">
        <f>HYPERLINK("https://klasma.github.io/Logging_2305/klagomål/A 36820-2021 FSC-klagomål.docx", "A 36820-2021")</f>
        <v/>
      </c>
      <c r="W104">
        <f>HYPERLINK("https://klasma.github.io/Logging_2305/klagomålsmail/A 36820-2021 FSC-klagomål mail.docx", "A 36820-2021")</f>
        <v/>
      </c>
      <c r="X104">
        <f>HYPERLINK("https://klasma.github.io/Logging_2305/tillsyn/A 36820-2021 tillsynsbegäran.docx", "A 36820-2021")</f>
        <v/>
      </c>
      <c r="Y104">
        <f>HYPERLINK("https://klasma.github.io/Logging_2305/tillsynsmail/A 36820-2021 tillsynsbegäran mail.docx", "A 36820-2021")</f>
        <v/>
      </c>
    </row>
    <row r="105" ht="15" customHeight="1">
      <c r="A105" t="inlineStr">
        <is>
          <t>A 37958-2021</t>
        </is>
      </c>
      <c r="B105" s="1" t="n">
        <v>44403</v>
      </c>
      <c r="C105" s="1" t="n">
        <v>45976</v>
      </c>
      <c r="D105" t="inlineStr">
        <is>
          <t>JÄMTLANDS LÄN</t>
        </is>
      </c>
      <c r="E105" t="inlineStr">
        <is>
          <t>BRÄCKE</t>
        </is>
      </c>
      <c r="F105" t="inlineStr">
        <is>
          <t>SCA</t>
        </is>
      </c>
      <c r="G105" t="n">
        <v>3.5</v>
      </c>
      <c r="H105" t="n">
        <v>0</v>
      </c>
      <c r="I105" t="n">
        <v>0</v>
      </c>
      <c r="J105" t="n">
        <v>4</v>
      </c>
      <c r="K105" t="n">
        <v>0</v>
      </c>
      <c r="L105" t="n">
        <v>0</v>
      </c>
      <c r="M105" t="n">
        <v>0</v>
      </c>
      <c r="N105" t="n">
        <v>0</v>
      </c>
      <c r="O105" t="n">
        <v>4</v>
      </c>
      <c r="P105" t="n">
        <v>0</v>
      </c>
      <c r="Q105" t="n">
        <v>4</v>
      </c>
      <c r="R105" s="2" t="inlineStr">
        <is>
          <t>Dvärgbägarlav
Kolflarnlav
Lunglav
Vedtrappmossa</t>
        </is>
      </c>
      <c r="S105">
        <f>HYPERLINK("https://klasma.github.io/Logging_2305/artfynd/A 37958-2021 artfynd.xlsx", "A 37958-2021")</f>
        <v/>
      </c>
      <c r="T105">
        <f>HYPERLINK("https://klasma.github.io/Logging_2305/kartor/A 37958-2021 karta.png", "A 37958-2021")</f>
        <v/>
      </c>
      <c r="V105">
        <f>HYPERLINK("https://klasma.github.io/Logging_2305/klagomål/A 37958-2021 FSC-klagomål.docx", "A 37958-2021")</f>
        <v/>
      </c>
      <c r="W105">
        <f>HYPERLINK("https://klasma.github.io/Logging_2305/klagomålsmail/A 37958-2021 FSC-klagomål mail.docx", "A 37958-2021")</f>
        <v/>
      </c>
      <c r="X105">
        <f>HYPERLINK("https://klasma.github.io/Logging_2305/tillsyn/A 37958-2021 tillsynsbegäran.docx", "A 37958-2021")</f>
        <v/>
      </c>
      <c r="Y105">
        <f>HYPERLINK("https://klasma.github.io/Logging_2305/tillsynsmail/A 37958-2021 tillsynsbegäran mail.docx", "A 37958-2021")</f>
        <v/>
      </c>
    </row>
    <row r="106" ht="15" customHeight="1">
      <c r="A106" t="inlineStr">
        <is>
          <t>A 57076-2024</t>
        </is>
      </c>
      <c r="B106" s="1" t="n">
        <v>45629.35486111111</v>
      </c>
      <c r="C106" s="1" t="n">
        <v>45976</v>
      </c>
      <c r="D106" t="inlineStr">
        <is>
          <t>JÄMTLANDS LÄN</t>
        </is>
      </c>
      <c r="E106" t="inlineStr">
        <is>
          <t>BRÄCKE</t>
        </is>
      </c>
      <c r="F106" t="inlineStr">
        <is>
          <t>SCA</t>
        </is>
      </c>
      <c r="G106" t="n">
        <v>1.3</v>
      </c>
      <c r="H106" t="n">
        <v>1</v>
      </c>
      <c r="I106" t="n">
        <v>2</v>
      </c>
      <c r="J106" t="n">
        <v>1</v>
      </c>
      <c r="K106" t="n">
        <v>1</v>
      </c>
      <c r="L106" t="n">
        <v>0</v>
      </c>
      <c r="M106" t="n">
        <v>0</v>
      </c>
      <c r="N106" t="n">
        <v>0</v>
      </c>
      <c r="O106" t="n">
        <v>2</v>
      </c>
      <c r="P106" t="n">
        <v>1</v>
      </c>
      <c r="Q106" t="n">
        <v>4</v>
      </c>
      <c r="R106" s="2" t="inlineStr">
        <is>
          <t>Knärot
Lunglav
Luddlav
Vedticka</t>
        </is>
      </c>
      <c r="S106">
        <f>HYPERLINK("https://klasma.github.io/Logging_2305/artfynd/A 57076-2024 artfynd.xlsx", "A 57076-2024")</f>
        <v/>
      </c>
      <c r="T106">
        <f>HYPERLINK("https://klasma.github.io/Logging_2305/kartor/A 57076-2024 karta.png", "A 57076-2024")</f>
        <v/>
      </c>
      <c r="U106">
        <f>HYPERLINK("https://klasma.github.io/Logging_2305/knärot/A 57076-2024 karta knärot.png", "A 57076-2024")</f>
        <v/>
      </c>
      <c r="V106">
        <f>HYPERLINK("https://klasma.github.io/Logging_2305/klagomål/A 57076-2024 FSC-klagomål.docx", "A 57076-2024")</f>
        <v/>
      </c>
      <c r="W106">
        <f>HYPERLINK("https://klasma.github.io/Logging_2305/klagomålsmail/A 57076-2024 FSC-klagomål mail.docx", "A 57076-2024")</f>
        <v/>
      </c>
      <c r="X106">
        <f>HYPERLINK("https://klasma.github.io/Logging_2305/tillsyn/A 57076-2024 tillsynsbegäran.docx", "A 57076-2024")</f>
        <v/>
      </c>
      <c r="Y106">
        <f>HYPERLINK("https://klasma.github.io/Logging_2305/tillsynsmail/A 57076-2024 tillsynsbegäran mail.docx", "A 57076-2024")</f>
        <v/>
      </c>
    </row>
    <row r="107" ht="15" customHeight="1">
      <c r="A107" t="inlineStr">
        <is>
          <t>A 49375-2024</t>
        </is>
      </c>
      <c r="B107" s="1" t="n">
        <v>45595.64222222222</v>
      </c>
      <c r="C107" s="1" t="n">
        <v>45976</v>
      </c>
      <c r="D107" t="inlineStr">
        <is>
          <t>JÄMTLANDS LÄN</t>
        </is>
      </c>
      <c r="E107" t="inlineStr">
        <is>
          <t>BRÄCKE</t>
        </is>
      </c>
      <c r="F107" t="inlineStr">
        <is>
          <t>SCA</t>
        </is>
      </c>
      <c r="G107" t="n">
        <v>8.5</v>
      </c>
      <c r="H107" t="n">
        <v>0</v>
      </c>
      <c r="I107" t="n">
        <v>0</v>
      </c>
      <c r="J107" t="n">
        <v>4</v>
      </c>
      <c r="K107" t="n">
        <v>0</v>
      </c>
      <c r="L107" t="n">
        <v>0</v>
      </c>
      <c r="M107" t="n">
        <v>0</v>
      </c>
      <c r="N107" t="n">
        <v>0</v>
      </c>
      <c r="O107" t="n">
        <v>4</v>
      </c>
      <c r="P107" t="n">
        <v>0</v>
      </c>
      <c r="Q107" t="n">
        <v>4</v>
      </c>
      <c r="R107" s="2" t="inlineStr">
        <is>
          <t>Doftskinn
Granticka
Lunglav
Skrovellav</t>
        </is>
      </c>
      <c r="S107">
        <f>HYPERLINK("https://klasma.github.io/Logging_2305/artfynd/A 49375-2024 artfynd.xlsx", "A 49375-2024")</f>
        <v/>
      </c>
      <c r="T107">
        <f>HYPERLINK("https://klasma.github.io/Logging_2305/kartor/A 49375-2024 karta.png", "A 49375-2024")</f>
        <v/>
      </c>
      <c r="V107">
        <f>HYPERLINK("https://klasma.github.io/Logging_2305/klagomål/A 49375-2024 FSC-klagomål.docx", "A 49375-2024")</f>
        <v/>
      </c>
      <c r="W107">
        <f>HYPERLINK("https://klasma.github.io/Logging_2305/klagomålsmail/A 49375-2024 FSC-klagomål mail.docx", "A 49375-2024")</f>
        <v/>
      </c>
      <c r="X107">
        <f>HYPERLINK("https://klasma.github.io/Logging_2305/tillsyn/A 49375-2024 tillsynsbegäran.docx", "A 49375-2024")</f>
        <v/>
      </c>
      <c r="Y107">
        <f>HYPERLINK("https://klasma.github.io/Logging_2305/tillsynsmail/A 49375-2024 tillsynsbegäran mail.docx", "A 49375-2024")</f>
        <v/>
      </c>
    </row>
    <row r="108" ht="15" customHeight="1">
      <c r="A108" t="inlineStr">
        <is>
          <t>A 20496-2025</t>
        </is>
      </c>
      <c r="B108" s="1" t="n">
        <v>45775.57347222222</v>
      </c>
      <c r="C108" s="1" t="n">
        <v>45976</v>
      </c>
      <c r="D108" t="inlineStr">
        <is>
          <t>JÄMTLANDS LÄN</t>
        </is>
      </c>
      <c r="E108" t="inlineStr">
        <is>
          <t>BRÄCKE</t>
        </is>
      </c>
      <c r="F108" t="inlineStr">
        <is>
          <t>SCA</t>
        </is>
      </c>
      <c r="G108" t="n">
        <v>2.2</v>
      </c>
      <c r="H108" t="n">
        <v>0</v>
      </c>
      <c r="I108" t="n">
        <v>1</v>
      </c>
      <c r="J108" t="n">
        <v>2</v>
      </c>
      <c r="K108" t="n">
        <v>1</v>
      </c>
      <c r="L108" t="n">
        <v>0</v>
      </c>
      <c r="M108" t="n">
        <v>0</v>
      </c>
      <c r="N108" t="n">
        <v>0</v>
      </c>
      <c r="O108" t="n">
        <v>3</v>
      </c>
      <c r="P108" t="n">
        <v>1</v>
      </c>
      <c r="Q108" t="n">
        <v>4</v>
      </c>
      <c r="R108" s="2" t="inlineStr">
        <is>
          <t>Gräddporing
Dvärgbägarlav
Kolflarnlav
Korallblylav</t>
        </is>
      </c>
      <c r="S108">
        <f>HYPERLINK("https://klasma.github.io/Logging_2305/artfynd/A 20496-2025 artfynd.xlsx", "A 20496-2025")</f>
        <v/>
      </c>
      <c r="T108">
        <f>HYPERLINK("https://klasma.github.io/Logging_2305/kartor/A 20496-2025 karta.png", "A 20496-2025")</f>
        <v/>
      </c>
      <c r="V108">
        <f>HYPERLINK("https://klasma.github.io/Logging_2305/klagomål/A 20496-2025 FSC-klagomål.docx", "A 20496-2025")</f>
        <v/>
      </c>
      <c r="W108">
        <f>HYPERLINK("https://klasma.github.io/Logging_2305/klagomålsmail/A 20496-2025 FSC-klagomål mail.docx", "A 20496-2025")</f>
        <v/>
      </c>
      <c r="X108">
        <f>HYPERLINK("https://klasma.github.io/Logging_2305/tillsyn/A 20496-2025 tillsynsbegäran.docx", "A 20496-2025")</f>
        <v/>
      </c>
      <c r="Y108">
        <f>HYPERLINK("https://klasma.github.io/Logging_2305/tillsynsmail/A 20496-2025 tillsynsbegäran mail.docx", "A 20496-2025")</f>
        <v/>
      </c>
    </row>
    <row r="109" ht="15" customHeight="1">
      <c r="A109" t="inlineStr">
        <is>
          <t>A 15263-2025</t>
        </is>
      </c>
      <c r="B109" s="1" t="n">
        <v>45744.65704861111</v>
      </c>
      <c r="C109" s="1" t="n">
        <v>45976</v>
      </c>
      <c r="D109" t="inlineStr">
        <is>
          <t>JÄMTLANDS LÄN</t>
        </is>
      </c>
      <c r="E109" t="inlineStr">
        <is>
          <t>BRÄCKE</t>
        </is>
      </c>
      <c r="F109" t="inlineStr">
        <is>
          <t>SCA</t>
        </is>
      </c>
      <c r="G109" t="n">
        <v>2</v>
      </c>
      <c r="H109" t="n">
        <v>0</v>
      </c>
      <c r="I109" t="n">
        <v>1</v>
      </c>
      <c r="J109" t="n">
        <v>3</v>
      </c>
      <c r="K109" t="n">
        <v>0</v>
      </c>
      <c r="L109" t="n">
        <v>0</v>
      </c>
      <c r="M109" t="n">
        <v>0</v>
      </c>
      <c r="N109" t="n">
        <v>0</v>
      </c>
      <c r="O109" t="n">
        <v>3</v>
      </c>
      <c r="P109" t="n">
        <v>0</v>
      </c>
      <c r="Q109" t="n">
        <v>4</v>
      </c>
      <c r="R109" s="2" t="inlineStr">
        <is>
          <t>Garnlav
Lunglav
Skrovellav
Stuplav</t>
        </is>
      </c>
      <c r="S109">
        <f>HYPERLINK("https://klasma.github.io/Logging_2305/artfynd/A 15263-2025 artfynd.xlsx", "A 15263-2025")</f>
        <v/>
      </c>
      <c r="T109">
        <f>HYPERLINK("https://klasma.github.io/Logging_2305/kartor/A 15263-2025 karta.png", "A 15263-2025")</f>
        <v/>
      </c>
      <c r="V109">
        <f>HYPERLINK("https://klasma.github.io/Logging_2305/klagomål/A 15263-2025 FSC-klagomål.docx", "A 15263-2025")</f>
        <v/>
      </c>
      <c r="W109">
        <f>HYPERLINK("https://klasma.github.io/Logging_2305/klagomålsmail/A 15263-2025 FSC-klagomål mail.docx", "A 15263-2025")</f>
        <v/>
      </c>
      <c r="X109">
        <f>HYPERLINK("https://klasma.github.io/Logging_2305/tillsyn/A 15263-2025 tillsynsbegäran.docx", "A 15263-2025")</f>
        <v/>
      </c>
      <c r="Y109">
        <f>HYPERLINK("https://klasma.github.io/Logging_2305/tillsynsmail/A 15263-2025 tillsynsbegäran mail.docx", "A 15263-2025")</f>
        <v/>
      </c>
    </row>
    <row r="110" ht="15" customHeight="1">
      <c r="A110" t="inlineStr">
        <is>
          <t>A 32260-2024</t>
        </is>
      </c>
      <c r="B110" s="1" t="n">
        <v>45511.95291666667</v>
      </c>
      <c r="C110" s="1" t="n">
        <v>45976</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28553-2024</t>
        </is>
      </c>
      <c r="B111" s="1" t="n">
        <v>45478</v>
      </c>
      <c r="C111" s="1" t="n">
        <v>45976</v>
      </c>
      <c r="D111" t="inlineStr">
        <is>
          <t>JÄMTLANDS LÄN</t>
        </is>
      </c>
      <c r="E111" t="inlineStr">
        <is>
          <t>BRÄCKE</t>
        </is>
      </c>
      <c r="G111" t="n">
        <v>14.5</v>
      </c>
      <c r="H111" t="n">
        <v>2</v>
      </c>
      <c r="I111" t="n">
        <v>0</v>
      </c>
      <c r="J111" t="n">
        <v>3</v>
      </c>
      <c r="K111" t="n">
        <v>1</v>
      </c>
      <c r="L111" t="n">
        <v>0</v>
      </c>
      <c r="M111" t="n">
        <v>0</v>
      </c>
      <c r="N111" t="n">
        <v>0</v>
      </c>
      <c r="O111" t="n">
        <v>4</v>
      </c>
      <c r="P111" t="n">
        <v>1</v>
      </c>
      <c r="Q111" t="n">
        <v>4</v>
      </c>
      <c r="R111" s="2" t="inlineStr">
        <is>
          <t>Knärot
Granticka
Lunglav
Tretåig hackspett</t>
        </is>
      </c>
      <c r="S111">
        <f>HYPERLINK("https://klasma.github.io/Logging_2305/artfynd/A 28553-2024 artfynd.xlsx", "A 28553-2024")</f>
        <v/>
      </c>
      <c r="T111">
        <f>HYPERLINK("https://klasma.github.io/Logging_2305/kartor/A 28553-2024 karta.png", "A 28553-2024")</f>
        <v/>
      </c>
      <c r="U111">
        <f>HYPERLINK("https://klasma.github.io/Logging_2305/knärot/A 28553-2024 karta knärot.png", "A 28553-2024")</f>
        <v/>
      </c>
      <c r="V111">
        <f>HYPERLINK("https://klasma.github.io/Logging_2305/klagomål/A 28553-2024 FSC-klagomål.docx", "A 28553-2024")</f>
        <v/>
      </c>
      <c r="W111">
        <f>HYPERLINK("https://klasma.github.io/Logging_2305/klagomålsmail/A 28553-2024 FSC-klagomål mail.docx", "A 28553-2024")</f>
        <v/>
      </c>
      <c r="X111">
        <f>HYPERLINK("https://klasma.github.io/Logging_2305/tillsyn/A 28553-2024 tillsynsbegäran.docx", "A 28553-2024")</f>
        <v/>
      </c>
      <c r="Y111">
        <f>HYPERLINK("https://klasma.github.io/Logging_2305/tillsynsmail/A 28553-2024 tillsynsbegäran mail.docx", "A 28553-2024")</f>
        <v/>
      </c>
      <c r="Z111">
        <f>HYPERLINK("https://klasma.github.io/Logging_2305/fåglar/A 28553-2024 prioriterade fågelarter.docx", "A 28553-2024")</f>
        <v/>
      </c>
    </row>
    <row r="112" ht="15" customHeight="1">
      <c r="A112" t="inlineStr">
        <is>
          <t>A 46649-2022</t>
        </is>
      </c>
      <c r="B112" s="1" t="n">
        <v>44849</v>
      </c>
      <c r="C112" s="1" t="n">
        <v>45976</v>
      </c>
      <c r="D112" t="inlineStr">
        <is>
          <t>JÄMTLANDS LÄN</t>
        </is>
      </c>
      <c r="E112" t="inlineStr">
        <is>
          <t>BRÄCKE</t>
        </is>
      </c>
      <c r="F112" t="inlineStr">
        <is>
          <t>SCA</t>
        </is>
      </c>
      <c r="G112" t="n">
        <v>1.8</v>
      </c>
      <c r="H112" t="n">
        <v>1</v>
      </c>
      <c r="I112" t="n">
        <v>3</v>
      </c>
      <c r="J112" t="n">
        <v>1</v>
      </c>
      <c r="K112" t="n">
        <v>0</v>
      </c>
      <c r="L112" t="n">
        <v>0</v>
      </c>
      <c r="M112" t="n">
        <v>0</v>
      </c>
      <c r="N112" t="n">
        <v>0</v>
      </c>
      <c r="O112" t="n">
        <v>1</v>
      </c>
      <c r="P112" t="n">
        <v>0</v>
      </c>
      <c r="Q112" t="n">
        <v>4</v>
      </c>
      <c r="R112" s="2" t="inlineStr">
        <is>
          <t>Talltita
Rödgul trumpetsvamp
Skarp dropptaggsvamp
Svavelriska</t>
        </is>
      </c>
      <c r="S112">
        <f>HYPERLINK("https://klasma.github.io/Logging_2305/artfynd/A 46649-2022 artfynd.xlsx", "A 46649-2022")</f>
        <v/>
      </c>
      <c r="T112">
        <f>HYPERLINK("https://klasma.github.io/Logging_2305/kartor/A 46649-2022 karta.png", "A 46649-2022")</f>
        <v/>
      </c>
      <c r="V112">
        <f>HYPERLINK("https://klasma.github.io/Logging_2305/klagomål/A 46649-2022 FSC-klagomål.docx", "A 46649-2022")</f>
        <v/>
      </c>
      <c r="W112">
        <f>HYPERLINK("https://klasma.github.io/Logging_2305/klagomålsmail/A 46649-2022 FSC-klagomål mail.docx", "A 46649-2022")</f>
        <v/>
      </c>
      <c r="X112">
        <f>HYPERLINK("https://klasma.github.io/Logging_2305/tillsyn/A 46649-2022 tillsynsbegäran.docx", "A 46649-2022")</f>
        <v/>
      </c>
      <c r="Y112">
        <f>HYPERLINK("https://klasma.github.io/Logging_2305/tillsynsmail/A 46649-2022 tillsynsbegäran mail.docx", "A 46649-2022")</f>
        <v/>
      </c>
      <c r="Z112">
        <f>HYPERLINK("https://klasma.github.io/Logging_2305/fåglar/A 46649-2022 prioriterade fågelarter.docx", "A 46649-2022")</f>
        <v/>
      </c>
    </row>
    <row r="113" ht="15" customHeight="1">
      <c r="A113" t="inlineStr">
        <is>
          <t>A 45420-2022</t>
        </is>
      </c>
      <c r="B113" s="1" t="n">
        <v>44844</v>
      </c>
      <c r="C113" s="1" t="n">
        <v>45976</v>
      </c>
      <c r="D113" t="inlineStr">
        <is>
          <t>JÄMTLANDS LÄN</t>
        </is>
      </c>
      <c r="E113" t="inlineStr">
        <is>
          <t>BRÄCKE</t>
        </is>
      </c>
      <c r="F113" t="inlineStr">
        <is>
          <t>SCA</t>
        </is>
      </c>
      <c r="G113" t="n">
        <v>1.6</v>
      </c>
      <c r="H113" t="n">
        <v>1</v>
      </c>
      <c r="I113" t="n">
        <v>2</v>
      </c>
      <c r="J113" t="n">
        <v>2</v>
      </c>
      <c r="K113" t="n">
        <v>0</v>
      </c>
      <c r="L113" t="n">
        <v>0</v>
      </c>
      <c r="M113" t="n">
        <v>0</v>
      </c>
      <c r="N113" t="n">
        <v>0</v>
      </c>
      <c r="O113" t="n">
        <v>2</v>
      </c>
      <c r="P113" t="n">
        <v>0</v>
      </c>
      <c r="Q113" t="n">
        <v>4</v>
      </c>
      <c r="R113" s="2" t="inlineStr">
        <is>
          <t>Talltita
Vitgrynig nållav
Rödgul trumpetsvamp
Svavelriska</t>
        </is>
      </c>
      <c r="S113">
        <f>HYPERLINK("https://klasma.github.io/Logging_2305/artfynd/A 45420-2022 artfynd.xlsx", "A 45420-2022")</f>
        <v/>
      </c>
      <c r="T113">
        <f>HYPERLINK("https://klasma.github.io/Logging_2305/kartor/A 45420-2022 karta.png", "A 45420-2022")</f>
        <v/>
      </c>
      <c r="V113">
        <f>HYPERLINK("https://klasma.github.io/Logging_2305/klagomål/A 45420-2022 FSC-klagomål.docx", "A 45420-2022")</f>
        <v/>
      </c>
      <c r="W113">
        <f>HYPERLINK("https://klasma.github.io/Logging_2305/klagomålsmail/A 45420-2022 FSC-klagomål mail.docx", "A 45420-2022")</f>
        <v/>
      </c>
      <c r="X113">
        <f>HYPERLINK("https://klasma.github.io/Logging_2305/tillsyn/A 45420-2022 tillsynsbegäran.docx", "A 45420-2022")</f>
        <v/>
      </c>
      <c r="Y113">
        <f>HYPERLINK("https://klasma.github.io/Logging_2305/tillsynsmail/A 45420-2022 tillsynsbegäran mail.docx", "A 45420-2022")</f>
        <v/>
      </c>
      <c r="Z113">
        <f>HYPERLINK("https://klasma.github.io/Logging_2305/fåglar/A 45420-2022 prioriterade fågelarter.docx", "A 45420-2022")</f>
        <v/>
      </c>
    </row>
    <row r="114" ht="15" customHeight="1">
      <c r="A114" t="inlineStr">
        <is>
          <t>A 48479-2023</t>
        </is>
      </c>
      <c r="B114" s="1" t="n">
        <v>45206</v>
      </c>
      <c r="C114" s="1" t="n">
        <v>45976</v>
      </c>
      <c r="D114" t="inlineStr">
        <is>
          <t>JÄMTLANDS LÄN</t>
        </is>
      </c>
      <c r="E114" t="inlineStr">
        <is>
          <t>BRÄCKE</t>
        </is>
      </c>
      <c r="F114" t="inlineStr">
        <is>
          <t>SCA</t>
        </is>
      </c>
      <c r="G114" t="n">
        <v>8.1</v>
      </c>
      <c r="H114" t="n">
        <v>0</v>
      </c>
      <c r="I114" t="n">
        <v>3</v>
      </c>
      <c r="J114" t="n">
        <v>1</v>
      </c>
      <c r="K114" t="n">
        <v>0</v>
      </c>
      <c r="L114" t="n">
        <v>0</v>
      </c>
      <c r="M114" t="n">
        <v>0</v>
      </c>
      <c r="N114" t="n">
        <v>0</v>
      </c>
      <c r="O114" t="n">
        <v>1</v>
      </c>
      <c r="P114" t="n">
        <v>0</v>
      </c>
      <c r="Q114" t="n">
        <v>4</v>
      </c>
      <c r="R114" s="2" t="inlineStr">
        <is>
          <t>Tallticka
Gytterlav
Korallblylav
Stuplav</t>
        </is>
      </c>
      <c r="S114">
        <f>HYPERLINK("https://klasma.github.io/Logging_2305/artfynd/A 48479-2023 artfynd.xlsx", "A 48479-2023")</f>
        <v/>
      </c>
      <c r="T114">
        <f>HYPERLINK("https://klasma.github.io/Logging_2305/kartor/A 48479-2023 karta.png", "A 48479-2023")</f>
        <v/>
      </c>
      <c r="V114">
        <f>HYPERLINK("https://klasma.github.io/Logging_2305/klagomål/A 48479-2023 FSC-klagomål.docx", "A 48479-2023")</f>
        <v/>
      </c>
      <c r="W114">
        <f>HYPERLINK("https://klasma.github.io/Logging_2305/klagomålsmail/A 48479-2023 FSC-klagomål mail.docx", "A 48479-2023")</f>
        <v/>
      </c>
      <c r="X114">
        <f>HYPERLINK("https://klasma.github.io/Logging_2305/tillsyn/A 48479-2023 tillsynsbegäran.docx", "A 48479-2023")</f>
        <v/>
      </c>
      <c r="Y114">
        <f>HYPERLINK("https://klasma.github.io/Logging_2305/tillsynsmail/A 48479-2023 tillsynsbegäran mail.docx", "A 48479-2023")</f>
        <v/>
      </c>
    </row>
    <row r="115" ht="15" customHeight="1">
      <c r="A115" t="inlineStr">
        <is>
          <t>A 47172-2023</t>
        </is>
      </c>
      <c r="B115" s="1" t="n">
        <v>45201</v>
      </c>
      <c r="C115" s="1" t="n">
        <v>45976</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14978-2025</t>
        </is>
      </c>
      <c r="B116" s="1" t="n">
        <v>45743.59503472222</v>
      </c>
      <c r="C116" s="1" t="n">
        <v>45976</v>
      </c>
      <c r="D116" t="inlineStr">
        <is>
          <t>JÄMTLANDS LÄN</t>
        </is>
      </c>
      <c r="E116" t="inlineStr">
        <is>
          <t>BRÄCKE</t>
        </is>
      </c>
      <c r="F116" t="inlineStr">
        <is>
          <t>SCA</t>
        </is>
      </c>
      <c r="G116" t="n">
        <v>4.2</v>
      </c>
      <c r="H116" t="n">
        <v>1</v>
      </c>
      <c r="I116" t="n">
        <v>0</v>
      </c>
      <c r="J116" t="n">
        <v>4</v>
      </c>
      <c r="K116" t="n">
        <v>0</v>
      </c>
      <c r="L116" t="n">
        <v>0</v>
      </c>
      <c r="M116" t="n">
        <v>0</v>
      </c>
      <c r="N116" t="n">
        <v>0</v>
      </c>
      <c r="O116" t="n">
        <v>4</v>
      </c>
      <c r="P116" t="n">
        <v>0</v>
      </c>
      <c r="Q116" t="n">
        <v>4</v>
      </c>
      <c r="R116" s="2" t="inlineStr">
        <is>
          <t>Granticka
Lunglav
Tretåig hackspett
Vitgrynig nållav</t>
        </is>
      </c>
      <c r="S116">
        <f>HYPERLINK("https://klasma.github.io/Logging_2305/artfynd/A 14978-2025 artfynd.xlsx", "A 14978-2025")</f>
        <v/>
      </c>
      <c r="T116">
        <f>HYPERLINK("https://klasma.github.io/Logging_2305/kartor/A 14978-2025 karta.png", "A 14978-2025")</f>
        <v/>
      </c>
      <c r="V116">
        <f>HYPERLINK("https://klasma.github.io/Logging_2305/klagomål/A 14978-2025 FSC-klagomål.docx", "A 14978-2025")</f>
        <v/>
      </c>
      <c r="W116">
        <f>HYPERLINK("https://klasma.github.io/Logging_2305/klagomålsmail/A 14978-2025 FSC-klagomål mail.docx", "A 14978-2025")</f>
        <v/>
      </c>
      <c r="X116">
        <f>HYPERLINK("https://klasma.github.io/Logging_2305/tillsyn/A 14978-2025 tillsynsbegäran.docx", "A 14978-2025")</f>
        <v/>
      </c>
      <c r="Y116">
        <f>HYPERLINK("https://klasma.github.io/Logging_2305/tillsynsmail/A 14978-2025 tillsynsbegäran mail.docx", "A 14978-2025")</f>
        <v/>
      </c>
      <c r="Z116">
        <f>HYPERLINK("https://klasma.github.io/Logging_2305/fåglar/A 14978-2025 prioriterade fågelarter.docx", "A 14978-2025")</f>
        <v/>
      </c>
    </row>
    <row r="117" ht="15" customHeight="1">
      <c r="A117" t="inlineStr">
        <is>
          <t>A 7445-2025</t>
        </is>
      </c>
      <c r="B117" s="1" t="n">
        <v>45705.40694444445</v>
      </c>
      <c r="C117" s="1" t="n">
        <v>45976</v>
      </c>
      <c r="D117" t="inlineStr">
        <is>
          <t>JÄMTLANDS LÄN</t>
        </is>
      </c>
      <c r="E117" t="inlineStr">
        <is>
          <t>BRÄCKE</t>
        </is>
      </c>
      <c r="G117" t="n">
        <v>2.1</v>
      </c>
      <c r="H117" t="n">
        <v>1</v>
      </c>
      <c r="I117" t="n">
        <v>1</v>
      </c>
      <c r="J117" t="n">
        <v>2</v>
      </c>
      <c r="K117" t="n">
        <v>0</v>
      </c>
      <c r="L117" t="n">
        <v>0</v>
      </c>
      <c r="M117" t="n">
        <v>0</v>
      </c>
      <c r="N117" t="n">
        <v>0</v>
      </c>
      <c r="O117" t="n">
        <v>2</v>
      </c>
      <c r="P117" t="n">
        <v>0</v>
      </c>
      <c r="Q117" t="n">
        <v>4</v>
      </c>
      <c r="R117" s="2" t="inlineStr">
        <is>
          <t>Garnlav
Lunglav
Stuplav
Revlummer</t>
        </is>
      </c>
      <c r="S117">
        <f>HYPERLINK("https://klasma.github.io/Logging_2305/artfynd/A 7445-2025 artfynd.xlsx", "A 7445-2025")</f>
        <v/>
      </c>
      <c r="T117">
        <f>HYPERLINK("https://klasma.github.io/Logging_2305/kartor/A 7445-2025 karta.png", "A 7445-2025")</f>
        <v/>
      </c>
      <c r="V117">
        <f>HYPERLINK("https://klasma.github.io/Logging_2305/klagomål/A 7445-2025 FSC-klagomål.docx", "A 7445-2025")</f>
        <v/>
      </c>
      <c r="W117">
        <f>HYPERLINK("https://klasma.github.io/Logging_2305/klagomålsmail/A 7445-2025 FSC-klagomål mail.docx", "A 7445-2025")</f>
        <v/>
      </c>
      <c r="X117">
        <f>HYPERLINK("https://klasma.github.io/Logging_2305/tillsyn/A 7445-2025 tillsynsbegäran.docx", "A 7445-2025")</f>
        <v/>
      </c>
      <c r="Y117">
        <f>HYPERLINK("https://klasma.github.io/Logging_2305/tillsynsmail/A 7445-2025 tillsynsbegäran mail.docx", "A 7445-2025")</f>
        <v/>
      </c>
    </row>
    <row r="118" ht="15" customHeight="1">
      <c r="A118" t="inlineStr">
        <is>
          <t>A 12863-2024</t>
        </is>
      </c>
      <c r="B118" s="1" t="n">
        <v>45384.94145833333</v>
      </c>
      <c r="C118" s="1" t="n">
        <v>45976</v>
      </c>
      <c r="D118" t="inlineStr">
        <is>
          <t>JÄMTLANDS LÄN</t>
        </is>
      </c>
      <c r="E118" t="inlineStr">
        <is>
          <t>BRÄCKE</t>
        </is>
      </c>
      <c r="F118" t="inlineStr">
        <is>
          <t>SCA</t>
        </is>
      </c>
      <c r="G118" t="n">
        <v>10.2</v>
      </c>
      <c r="H118" t="n">
        <v>0</v>
      </c>
      <c r="I118" t="n">
        <v>1</v>
      </c>
      <c r="J118" t="n">
        <v>2</v>
      </c>
      <c r="K118" t="n">
        <v>1</v>
      </c>
      <c r="L118" t="n">
        <v>0</v>
      </c>
      <c r="M118" t="n">
        <v>0</v>
      </c>
      <c r="N118" t="n">
        <v>0</v>
      </c>
      <c r="O118" t="n">
        <v>3</v>
      </c>
      <c r="P118" t="n">
        <v>1</v>
      </c>
      <c r="Q118" t="n">
        <v>4</v>
      </c>
      <c r="R118" s="2" t="inlineStr">
        <is>
          <t>Gräddporing
Dvärgbägarlav
Skrovellav
Dropptaggsvamp</t>
        </is>
      </c>
      <c r="S118">
        <f>HYPERLINK("https://klasma.github.io/Logging_2305/artfynd/A 12863-2024 artfynd.xlsx", "A 12863-2024")</f>
        <v/>
      </c>
      <c r="T118">
        <f>HYPERLINK("https://klasma.github.io/Logging_2305/kartor/A 12863-2024 karta.png", "A 12863-2024")</f>
        <v/>
      </c>
      <c r="V118">
        <f>HYPERLINK("https://klasma.github.io/Logging_2305/klagomål/A 12863-2024 FSC-klagomål.docx", "A 12863-2024")</f>
        <v/>
      </c>
      <c r="W118">
        <f>HYPERLINK("https://klasma.github.io/Logging_2305/klagomålsmail/A 12863-2024 FSC-klagomål mail.docx", "A 12863-2024")</f>
        <v/>
      </c>
      <c r="X118">
        <f>HYPERLINK("https://klasma.github.io/Logging_2305/tillsyn/A 12863-2024 tillsynsbegäran.docx", "A 12863-2024")</f>
        <v/>
      </c>
      <c r="Y118">
        <f>HYPERLINK("https://klasma.github.io/Logging_2305/tillsynsmail/A 12863-2024 tillsynsbegäran mail.docx", "A 12863-2024")</f>
        <v/>
      </c>
    </row>
    <row r="119" ht="15" customHeight="1">
      <c r="A119" t="inlineStr">
        <is>
          <t>A 43620-2023</t>
        </is>
      </c>
      <c r="B119" s="1" t="n">
        <v>45184</v>
      </c>
      <c r="C119" s="1" t="n">
        <v>45976</v>
      </c>
      <c r="D119" t="inlineStr">
        <is>
          <t>JÄMTLANDS LÄN</t>
        </is>
      </c>
      <c r="E119" t="inlineStr">
        <is>
          <t>BRÄCKE</t>
        </is>
      </c>
      <c r="G119" t="n">
        <v>17.8</v>
      </c>
      <c r="H119" t="n">
        <v>0</v>
      </c>
      <c r="I119" t="n">
        <v>2</v>
      </c>
      <c r="J119" t="n">
        <v>2</v>
      </c>
      <c r="K119" t="n">
        <v>0</v>
      </c>
      <c r="L119" t="n">
        <v>0</v>
      </c>
      <c r="M119" t="n">
        <v>0</v>
      </c>
      <c r="N119" t="n">
        <v>0</v>
      </c>
      <c r="O119" t="n">
        <v>2</v>
      </c>
      <c r="P119" t="n">
        <v>0</v>
      </c>
      <c r="Q119" t="n">
        <v>4</v>
      </c>
      <c r="R119" s="2" t="inlineStr">
        <is>
          <t>Lunglav
Skrovellav
Bårdlav
Skinnlav</t>
        </is>
      </c>
      <c r="S119">
        <f>HYPERLINK("https://klasma.github.io/Logging_2305/artfynd/A 43620-2023 artfynd.xlsx", "A 43620-2023")</f>
        <v/>
      </c>
      <c r="T119">
        <f>HYPERLINK("https://klasma.github.io/Logging_2305/kartor/A 43620-2023 karta.png", "A 43620-2023")</f>
        <v/>
      </c>
      <c r="V119">
        <f>HYPERLINK("https://klasma.github.io/Logging_2305/klagomål/A 43620-2023 FSC-klagomål.docx", "A 43620-2023")</f>
        <v/>
      </c>
      <c r="W119">
        <f>HYPERLINK("https://klasma.github.io/Logging_2305/klagomålsmail/A 43620-2023 FSC-klagomål mail.docx", "A 43620-2023")</f>
        <v/>
      </c>
      <c r="X119">
        <f>HYPERLINK("https://klasma.github.io/Logging_2305/tillsyn/A 43620-2023 tillsynsbegäran.docx", "A 43620-2023")</f>
        <v/>
      </c>
      <c r="Y119">
        <f>HYPERLINK("https://klasma.github.io/Logging_2305/tillsynsmail/A 43620-2023 tillsynsbegäran mail.docx", "A 43620-2023")</f>
        <v/>
      </c>
    </row>
    <row r="120" ht="15" customHeight="1">
      <c r="A120" t="inlineStr">
        <is>
          <t>A 33928-2022</t>
        </is>
      </c>
      <c r="B120" s="1" t="n">
        <v>44790</v>
      </c>
      <c r="C120" s="1" t="n">
        <v>45976</v>
      </c>
      <c r="D120" t="inlineStr">
        <is>
          <t>JÄMTLANDS LÄN</t>
        </is>
      </c>
      <c r="E120" t="inlineStr">
        <is>
          <t>BRÄCKE</t>
        </is>
      </c>
      <c r="G120" t="n">
        <v>5.3</v>
      </c>
      <c r="H120" t="n">
        <v>3</v>
      </c>
      <c r="I120" t="n">
        <v>3</v>
      </c>
      <c r="J120" t="n">
        <v>0</v>
      </c>
      <c r="K120" t="n">
        <v>0</v>
      </c>
      <c r="L120" t="n">
        <v>0</v>
      </c>
      <c r="M120" t="n">
        <v>0</v>
      </c>
      <c r="N120" t="n">
        <v>0</v>
      </c>
      <c r="O120" t="n">
        <v>0</v>
      </c>
      <c r="P120" t="n">
        <v>0</v>
      </c>
      <c r="Q120" t="n">
        <v>4</v>
      </c>
      <c r="R120" s="2" t="inlineStr">
        <is>
          <t>Gräsull
Korallrot
Tvåblad
Dactylorhiza incarnata subsp. incarnata</t>
        </is>
      </c>
      <c r="S120">
        <f>HYPERLINK("https://klasma.github.io/Logging_2305/artfynd/A 33928-2022 artfynd.xlsx", "A 33928-2022")</f>
        <v/>
      </c>
      <c r="T120">
        <f>HYPERLINK("https://klasma.github.io/Logging_2305/kartor/A 33928-2022 karta.png", "A 33928-2022")</f>
        <v/>
      </c>
      <c r="V120">
        <f>HYPERLINK("https://klasma.github.io/Logging_2305/klagomål/A 33928-2022 FSC-klagomål.docx", "A 33928-2022")</f>
        <v/>
      </c>
      <c r="W120">
        <f>HYPERLINK("https://klasma.github.io/Logging_2305/klagomålsmail/A 33928-2022 FSC-klagomål mail.docx", "A 33928-2022")</f>
        <v/>
      </c>
      <c r="X120">
        <f>HYPERLINK("https://klasma.github.io/Logging_2305/tillsyn/A 33928-2022 tillsynsbegäran.docx", "A 33928-2022")</f>
        <v/>
      </c>
      <c r="Y120">
        <f>HYPERLINK("https://klasma.github.io/Logging_2305/tillsynsmail/A 33928-2022 tillsynsbegäran mail.docx", "A 33928-2022")</f>
        <v/>
      </c>
    </row>
    <row r="121" ht="15" customHeight="1">
      <c r="A121" t="inlineStr">
        <is>
          <t>A 32654-2024</t>
        </is>
      </c>
      <c r="B121" s="1" t="n">
        <v>45513.96465277778</v>
      </c>
      <c r="C121" s="1" t="n">
        <v>45976</v>
      </c>
      <c r="D121" t="inlineStr">
        <is>
          <t>JÄMTLANDS LÄN</t>
        </is>
      </c>
      <c r="E121" t="inlineStr">
        <is>
          <t>BRÄCKE</t>
        </is>
      </c>
      <c r="F121" t="inlineStr">
        <is>
          <t>SCA</t>
        </is>
      </c>
      <c r="G121" t="n">
        <v>4.2</v>
      </c>
      <c r="H121" t="n">
        <v>0</v>
      </c>
      <c r="I121" t="n">
        <v>1</v>
      </c>
      <c r="J121" t="n">
        <v>3</v>
      </c>
      <c r="K121" t="n">
        <v>0</v>
      </c>
      <c r="L121" t="n">
        <v>0</v>
      </c>
      <c r="M121" t="n">
        <v>0</v>
      </c>
      <c r="N121" t="n">
        <v>0</v>
      </c>
      <c r="O121" t="n">
        <v>3</v>
      </c>
      <c r="P121" t="n">
        <v>0</v>
      </c>
      <c r="Q121" t="n">
        <v>4</v>
      </c>
      <c r="R121" s="2" t="inlineStr">
        <is>
          <t>Garnlav
Granticka
Lunglav
Stuplav</t>
        </is>
      </c>
      <c r="S121">
        <f>HYPERLINK("https://klasma.github.io/Logging_2305/artfynd/A 32654-2024 artfynd.xlsx", "A 32654-2024")</f>
        <v/>
      </c>
      <c r="T121">
        <f>HYPERLINK("https://klasma.github.io/Logging_2305/kartor/A 32654-2024 karta.png", "A 32654-2024")</f>
        <v/>
      </c>
      <c r="V121">
        <f>HYPERLINK("https://klasma.github.io/Logging_2305/klagomål/A 32654-2024 FSC-klagomål.docx", "A 32654-2024")</f>
        <v/>
      </c>
      <c r="W121">
        <f>HYPERLINK("https://klasma.github.io/Logging_2305/klagomålsmail/A 32654-2024 FSC-klagomål mail.docx", "A 32654-2024")</f>
        <v/>
      </c>
      <c r="X121">
        <f>HYPERLINK("https://klasma.github.io/Logging_2305/tillsyn/A 32654-2024 tillsynsbegäran.docx", "A 32654-2024")</f>
        <v/>
      </c>
      <c r="Y121">
        <f>HYPERLINK("https://klasma.github.io/Logging_2305/tillsynsmail/A 32654-2024 tillsynsbegäran mail.docx", "A 32654-2024")</f>
        <v/>
      </c>
    </row>
    <row r="122" ht="15" customHeight="1">
      <c r="A122" t="inlineStr">
        <is>
          <t>A 10543-2022</t>
        </is>
      </c>
      <c r="B122" s="1" t="n">
        <v>44623</v>
      </c>
      <c r="C122" s="1" t="n">
        <v>45976</v>
      </c>
      <c r="D122" t="inlineStr">
        <is>
          <t>JÄMTLANDS LÄN</t>
        </is>
      </c>
      <c r="E122" t="inlineStr">
        <is>
          <t>BRÄCKE</t>
        </is>
      </c>
      <c r="G122" t="n">
        <v>9.199999999999999</v>
      </c>
      <c r="H122" t="n">
        <v>4</v>
      </c>
      <c r="I122" t="n">
        <v>0</v>
      </c>
      <c r="J122" t="n">
        <v>2</v>
      </c>
      <c r="K122" t="n">
        <v>1</v>
      </c>
      <c r="L122" t="n">
        <v>0</v>
      </c>
      <c r="M122" t="n">
        <v>0</v>
      </c>
      <c r="N122" t="n">
        <v>0</v>
      </c>
      <c r="O122" t="n">
        <v>3</v>
      </c>
      <c r="P122" t="n">
        <v>1</v>
      </c>
      <c r="Q122" t="n">
        <v>4</v>
      </c>
      <c r="R122" s="2" t="inlineStr">
        <is>
          <t>Knärot
Järpe
Tretåig hackspett
Nattviol</t>
        </is>
      </c>
      <c r="S122">
        <f>HYPERLINK("https://klasma.github.io/Logging_2305/artfynd/A 10543-2022 artfynd.xlsx", "A 10543-2022")</f>
        <v/>
      </c>
      <c r="T122">
        <f>HYPERLINK("https://klasma.github.io/Logging_2305/kartor/A 10543-2022 karta.png", "A 10543-2022")</f>
        <v/>
      </c>
      <c r="U122">
        <f>HYPERLINK("https://klasma.github.io/Logging_2305/knärot/A 10543-2022 karta knärot.png", "A 10543-2022")</f>
        <v/>
      </c>
      <c r="V122">
        <f>HYPERLINK("https://klasma.github.io/Logging_2305/klagomål/A 10543-2022 FSC-klagomål.docx", "A 10543-2022")</f>
        <v/>
      </c>
      <c r="W122">
        <f>HYPERLINK("https://klasma.github.io/Logging_2305/klagomålsmail/A 10543-2022 FSC-klagomål mail.docx", "A 10543-2022")</f>
        <v/>
      </c>
      <c r="X122">
        <f>HYPERLINK("https://klasma.github.io/Logging_2305/tillsyn/A 10543-2022 tillsynsbegäran.docx", "A 10543-2022")</f>
        <v/>
      </c>
      <c r="Y122">
        <f>HYPERLINK("https://klasma.github.io/Logging_2305/tillsynsmail/A 10543-2022 tillsynsbegäran mail.docx", "A 10543-2022")</f>
        <v/>
      </c>
      <c r="Z122">
        <f>HYPERLINK("https://klasma.github.io/Logging_2305/fåglar/A 10543-2022 prioriterade fågelarter.docx", "A 10543-2022")</f>
        <v/>
      </c>
    </row>
    <row r="123" ht="15" customHeight="1">
      <c r="A123" t="inlineStr">
        <is>
          <t>A 57606-2024</t>
        </is>
      </c>
      <c r="B123" s="1" t="n">
        <v>45630.53204861111</v>
      </c>
      <c r="C123" s="1" t="n">
        <v>45976</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57606-2024 artfynd.xlsx", "A 57606-2024")</f>
        <v/>
      </c>
      <c r="T123">
        <f>HYPERLINK("https://klasma.github.io/Logging_2305/kartor/A 57606-2024 karta.png", "A 57606-2024")</f>
        <v/>
      </c>
      <c r="U123">
        <f>HYPERLINK("https://klasma.github.io/Logging_2305/knärot/A 57606-2024 karta knärot.png", "A 57606-2024")</f>
        <v/>
      </c>
      <c r="V123">
        <f>HYPERLINK("https://klasma.github.io/Logging_2305/klagomål/A 57606-2024 FSC-klagomål.docx", "A 57606-2024")</f>
        <v/>
      </c>
      <c r="W123">
        <f>HYPERLINK("https://klasma.github.io/Logging_2305/klagomålsmail/A 57606-2024 FSC-klagomål mail.docx", "A 57606-2024")</f>
        <v/>
      </c>
      <c r="X123">
        <f>HYPERLINK("https://klasma.github.io/Logging_2305/tillsyn/A 57606-2024 tillsynsbegäran.docx", "A 57606-2024")</f>
        <v/>
      </c>
      <c r="Y123">
        <f>HYPERLINK("https://klasma.github.io/Logging_2305/tillsynsmail/A 57606-2024 tillsynsbegäran mail.docx", "A 57606-2024")</f>
        <v/>
      </c>
      <c r="Z123">
        <f>HYPERLINK("https://klasma.github.io/Logging_2305/fåglar/A 57606-2024 prioriterade fågelarter.docx", "A 57606-2024")</f>
        <v/>
      </c>
    </row>
    <row r="124" ht="15" customHeight="1">
      <c r="A124" t="inlineStr">
        <is>
          <t>A 43461-2025</t>
        </is>
      </c>
      <c r="B124" s="1" t="n">
        <v>45911.46922453704</v>
      </c>
      <c r="C124" s="1" t="n">
        <v>45976</v>
      </c>
      <c r="D124" t="inlineStr">
        <is>
          <t>JÄMTLANDS LÄN</t>
        </is>
      </c>
      <c r="E124" t="inlineStr">
        <is>
          <t>BRÄCKE</t>
        </is>
      </c>
      <c r="F124" t="inlineStr">
        <is>
          <t>SCA</t>
        </is>
      </c>
      <c r="G124" t="n">
        <v>2.3</v>
      </c>
      <c r="H124" t="n">
        <v>1</v>
      </c>
      <c r="I124" t="n">
        <v>0</v>
      </c>
      <c r="J124" t="n">
        <v>3</v>
      </c>
      <c r="K124" t="n">
        <v>1</v>
      </c>
      <c r="L124" t="n">
        <v>0</v>
      </c>
      <c r="M124" t="n">
        <v>0</v>
      </c>
      <c r="N124" t="n">
        <v>0</v>
      </c>
      <c r="O124" t="n">
        <v>4</v>
      </c>
      <c r="P124" t="n">
        <v>1</v>
      </c>
      <c r="Q124" t="n">
        <v>4</v>
      </c>
      <c r="R124" s="2" t="inlineStr">
        <is>
          <t>Doftticka
Doftskinn
Lunglav
Ullticka</t>
        </is>
      </c>
      <c r="S124">
        <f>HYPERLINK("https://klasma.github.io/Logging_2305/artfynd/A 43461-2025 artfynd.xlsx", "A 43461-2025")</f>
        <v/>
      </c>
      <c r="T124">
        <f>HYPERLINK("https://klasma.github.io/Logging_2305/kartor/A 43461-2025 karta.png", "A 43461-2025")</f>
        <v/>
      </c>
      <c r="V124">
        <f>HYPERLINK("https://klasma.github.io/Logging_2305/klagomål/A 43461-2025 FSC-klagomål.docx", "A 43461-2025")</f>
        <v/>
      </c>
      <c r="W124">
        <f>HYPERLINK("https://klasma.github.io/Logging_2305/klagomålsmail/A 43461-2025 FSC-klagomål mail.docx", "A 43461-2025")</f>
        <v/>
      </c>
      <c r="X124">
        <f>HYPERLINK("https://klasma.github.io/Logging_2305/tillsyn/A 43461-2025 tillsynsbegäran.docx", "A 43461-2025")</f>
        <v/>
      </c>
      <c r="Y124">
        <f>HYPERLINK("https://klasma.github.io/Logging_2305/tillsynsmail/A 43461-2025 tillsynsbegäran mail.docx", "A 43461-2025")</f>
        <v/>
      </c>
    </row>
    <row r="125" ht="15" customHeight="1">
      <c r="A125" t="inlineStr">
        <is>
          <t>A 21412-2025</t>
        </is>
      </c>
      <c r="B125" s="1" t="n">
        <v>45782.49100694444</v>
      </c>
      <c r="C125" s="1" t="n">
        <v>45976</v>
      </c>
      <c r="D125" t="inlineStr">
        <is>
          <t>JÄMTLANDS LÄN</t>
        </is>
      </c>
      <c r="E125" t="inlineStr">
        <is>
          <t>BRÄCKE</t>
        </is>
      </c>
      <c r="F125" t="inlineStr">
        <is>
          <t>SCA</t>
        </is>
      </c>
      <c r="G125" t="n">
        <v>1.7</v>
      </c>
      <c r="H125" t="n">
        <v>1</v>
      </c>
      <c r="I125" t="n">
        <v>2</v>
      </c>
      <c r="J125" t="n">
        <v>1</v>
      </c>
      <c r="K125" t="n">
        <v>0</v>
      </c>
      <c r="L125" t="n">
        <v>0</v>
      </c>
      <c r="M125" t="n">
        <v>0</v>
      </c>
      <c r="N125" t="n">
        <v>0</v>
      </c>
      <c r="O125" t="n">
        <v>1</v>
      </c>
      <c r="P125" t="n">
        <v>0</v>
      </c>
      <c r="Q125" t="n">
        <v>4</v>
      </c>
      <c r="R125" s="2" t="inlineStr">
        <is>
          <t>Lunglav
Kransrams
Svart trolldruva
Fläcknycklar</t>
        </is>
      </c>
      <c r="S125">
        <f>HYPERLINK("https://klasma.github.io/Logging_2305/artfynd/A 21412-2025 artfynd.xlsx", "A 21412-2025")</f>
        <v/>
      </c>
      <c r="T125">
        <f>HYPERLINK("https://klasma.github.io/Logging_2305/kartor/A 21412-2025 karta.png", "A 21412-2025")</f>
        <v/>
      </c>
      <c r="V125">
        <f>HYPERLINK("https://klasma.github.io/Logging_2305/klagomål/A 21412-2025 FSC-klagomål.docx", "A 21412-2025")</f>
        <v/>
      </c>
      <c r="W125">
        <f>HYPERLINK("https://klasma.github.io/Logging_2305/klagomålsmail/A 21412-2025 FSC-klagomål mail.docx", "A 21412-2025")</f>
        <v/>
      </c>
      <c r="X125">
        <f>HYPERLINK("https://klasma.github.io/Logging_2305/tillsyn/A 21412-2025 tillsynsbegäran.docx", "A 21412-2025")</f>
        <v/>
      </c>
      <c r="Y125">
        <f>HYPERLINK("https://klasma.github.io/Logging_2305/tillsynsmail/A 21412-2025 tillsynsbegäran mail.docx", "A 21412-2025")</f>
        <v/>
      </c>
    </row>
    <row r="126" ht="15" customHeight="1">
      <c r="A126" t="inlineStr">
        <is>
          <t>A 21441-2025</t>
        </is>
      </c>
      <c r="B126" s="1" t="n">
        <v>45782.53157407408</v>
      </c>
      <c r="C126" s="1" t="n">
        <v>45976</v>
      </c>
      <c r="D126" t="inlineStr">
        <is>
          <t>JÄMTLANDS LÄN</t>
        </is>
      </c>
      <c r="E126" t="inlineStr">
        <is>
          <t>BRÄCKE</t>
        </is>
      </c>
      <c r="F126" t="inlineStr">
        <is>
          <t>SCA</t>
        </is>
      </c>
      <c r="G126" t="n">
        <v>5.5</v>
      </c>
      <c r="H126" t="n">
        <v>2</v>
      </c>
      <c r="I126" t="n">
        <v>1</v>
      </c>
      <c r="J126" t="n">
        <v>3</v>
      </c>
      <c r="K126" t="n">
        <v>0</v>
      </c>
      <c r="L126" t="n">
        <v>0</v>
      </c>
      <c r="M126" t="n">
        <v>0</v>
      </c>
      <c r="N126" t="n">
        <v>0</v>
      </c>
      <c r="O126" t="n">
        <v>3</v>
      </c>
      <c r="P126" t="n">
        <v>0</v>
      </c>
      <c r="Q126" t="n">
        <v>4</v>
      </c>
      <c r="R126" s="2" t="inlineStr">
        <is>
          <t>Garnlav
Lunglav
Tretåig hackspett
Spindelblomster</t>
        </is>
      </c>
      <c r="S126">
        <f>HYPERLINK("https://klasma.github.io/Logging_2305/artfynd/A 21441-2025 artfynd.xlsx", "A 21441-2025")</f>
        <v/>
      </c>
      <c r="T126">
        <f>HYPERLINK("https://klasma.github.io/Logging_2305/kartor/A 21441-2025 karta.png", "A 21441-2025")</f>
        <v/>
      </c>
      <c r="V126">
        <f>HYPERLINK("https://klasma.github.io/Logging_2305/klagomål/A 21441-2025 FSC-klagomål.docx", "A 21441-2025")</f>
        <v/>
      </c>
      <c r="W126">
        <f>HYPERLINK("https://klasma.github.io/Logging_2305/klagomålsmail/A 21441-2025 FSC-klagomål mail.docx", "A 21441-2025")</f>
        <v/>
      </c>
      <c r="X126">
        <f>HYPERLINK("https://klasma.github.io/Logging_2305/tillsyn/A 21441-2025 tillsynsbegäran.docx", "A 21441-2025")</f>
        <v/>
      </c>
      <c r="Y126">
        <f>HYPERLINK("https://klasma.github.io/Logging_2305/tillsynsmail/A 21441-2025 tillsynsbegäran mail.docx", "A 21441-2025")</f>
        <v/>
      </c>
      <c r="Z126">
        <f>HYPERLINK("https://klasma.github.io/Logging_2305/fåglar/A 21441-2025 prioriterade fågelarter.docx", "A 21441-2025")</f>
        <v/>
      </c>
    </row>
    <row r="127" ht="15" customHeight="1">
      <c r="A127" t="inlineStr">
        <is>
          <t>A 48431-2023</t>
        </is>
      </c>
      <c r="B127" s="1" t="n">
        <v>45205</v>
      </c>
      <c r="C127" s="1" t="n">
        <v>45976</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48431-2023 artfynd.xlsx", "A 48431-2023")</f>
        <v/>
      </c>
      <c r="T127">
        <f>HYPERLINK("https://klasma.github.io/Logging_2305/kartor/A 48431-2023 karta.png", "A 48431-2023")</f>
        <v/>
      </c>
      <c r="V127">
        <f>HYPERLINK("https://klasma.github.io/Logging_2305/klagomål/A 48431-2023 FSC-klagomål.docx", "A 48431-2023")</f>
        <v/>
      </c>
      <c r="W127">
        <f>HYPERLINK("https://klasma.github.io/Logging_2305/klagomålsmail/A 48431-2023 FSC-klagomål mail.docx", "A 48431-2023")</f>
        <v/>
      </c>
      <c r="X127">
        <f>HYPERLINK("https://klasma.github.io/Logging_2305/tillsyn/A 48431-2023 tillsynsbegäran.docx", "A 48431-2023")</f>
        <v/>
      </c>
      <c r="Y127">
        <f>HYPERLINK("https://klasma.github.io/Logging_2305/tillsynsmail/A 48431-2023 tillsynsbegäran mail.docx", "A 48431-2023")</f>
        <v/>
      </c>
    </row>
    <row r="128" ht="15" customHeight="1">
      <c r="A128" t="inlineStr">
        <is>
          <t>A 42105-2024</t>
        </is>
      </c>
      <c r="B128" s="1" t="n">
        <v>45562.3650462963</v>
      </c>
      <c r="C128" s="1" t="n">
        <v>45976</v>
      </c>
      <c r="D128" t="inlineStr">
        <is>
          <t>JÄMTLANDS LÄN</t>
        </is>
      </c>
      <c r="E128" t="inlineStr">
        <is>
          <t>BRÄCKE</t>
        </is>
      </c>
      <c r="F128" t="inlineStr">
        <is>
          <t>SCA</t>
        </is>
      </c>
      <c r="G128" t="n">
        <v>2.2</v>
      </c>
      <c r="H128" t="n">
        <v>0</v>
      </c>
      <c r="I128" t="n">
        <v>0</v>
      </c>
      <c r="J128" t="n">
        <v>4</v>
      </c>
      <c r="K128" t="n">
        <v>0</v>
      </c>
      <c r="L128" t="n">
        <v>0</v>
      </c>
      <c r="M128" t="n">
        <v>0</v>
      </c>
      <c r="N128" t="n">
        <v>0</v>
      </c>
      <c r="O128" t="n">
        <v>4</v>
      </c>
      <c r="P128" t="n">
        <v>0</v>
      </c>
      <c r="Q128" t="n">
        <v>4</v>
      </c>
      <c r="R128" s="2" t="inlineStr">
        <is>
          <t>Gränsticka
Mörk kolflarnlav
Ullticka
Violettgrå tagellav</t>
        </is>
      </c>
      <c r="S128">
        <f>HYPERLINK("https://klasma.github.io/Logging_2305/artfynd/A 42105-2024 artfynd.xlsx", "A 42105-2024")</f>
        <v/>
      </c>
      <c r="T128">
        <f>HYPERLINK("https://klasma.github.io/Logging_2305/kartor/A 42105-2024 karta.png", "A 42105-2024")</f>
        <v/>
      </c>
      <c r="V128">
        <f>HYPERLINK("https://klasma.github.io/Logging_2305/klagomål/A 42105-2024 FSC-klagomål.docx", "A 42105-2024")</f>
        <v/>
      </c>
      <c r="W128">
        <f>HYPERLINK("https://klasma.github.io/Logging_2305/klagomålsmail/A 42105-2024 FSC-klagomål mail.docx", "A 42105-2024")</f>
        <v/>
      </c>
      <c r="X128">
        <f>HYPERLINK("https://klasma.github.io/Logging_2305/tillsyn/A 42105-2024 tillsynsbegäran.docx", "A 42105-2024")</f>
        <v/>
      </c>
      <c r="Y128">
        <f>HYPERLINK("https://klasma.github.io/Logging_2305/tillsynsmail/A 42105-2024 tillsynsbegäran mail.docx", "A 42105-2024")</f>
        <v/>
      </c>
    </row>
    <row r="129" ht="15" customHeight="1">
      <c r="A129" t="inlineStr">
        <is>
          <t>A 34529-2025</t>
        </is>
      </c>
      <c r="B129" s="1" t="n">
        <v>45847.48991898148</v>
      </c>
      <c r="C129" s="1" t="n">
        <v>45976</v>
      </c>
      <c r="D129" t="inlineStr">
        <is>
          <t>JÄMTLANDS LÄN</t>
        </is>
      </c>
      <c r="E129" t="inlineStr">
        <is>
          <t>BRÄCKE</t>
        </is>
      </c>
      <c r="F129" t="inlineStr">
        <is>
          <t>SCA</t>
        </is>
      </c>
      <c r="G129" t="n">
        <v>2.4</v>
      </c>
      <c r="H129" t="n">
        <v>1</v>
      </c>
      <c r="I129" t="n">
        <v>1</v>
      </c>
      <c r="J129" t="n">
        <v>2</v>
      </c>
      <c r="K129" t="n">
        <v>1</v>
      </c>
      <c r="L129" t="n">
        <v>0</v>
      </c>
      <c r="M129" t="n">
        <v>0</v>
      </c>
      <c r="N129" t="n">
        <v>0</v>
      </c>
      <c r="O129" t="n">
        <v>3</v>
      </c>
      <c r="P129" t="n">
        <v>1</v>
      </c>
      <c r="Q129" t="n">
        <v>4</v>
      </c>
      <c r="R129" s="2" t="inlineStr">
        <is>
          <t>Knärot
Orange taggsvamp
Tallriska
Dropptaggsvamp</t>
        </is>
      </c>
      <c r="S129">
        <f>HYPERLINK("https://klasma.github.io/Logging_2305/artfynd/A 34529-2025 artfynd.xlsx", "A 34529-2025")</f>
        <v/>
      </c>
      <c r="T129">
        <f>HYPERLINK("https://klasma.github.io/Logging_2305/kartor/A 34529-2025 karta.png", "A 34529-2025")</f>
        <v/>
      </c>
      <c r="U129">
        <f>HYPERLINK("https://klasma.github.io/Logging_2305/knärot/A 34529-2025 karta knärot.png", "A 34529-2025")</f>
        <v/>
      </c>
      <c r="V129">
        <f>HYPERLINK("https://klasma.github.io/Logging_2305/klagomål/A 34529-2025 FSC-klagomål.docx", "A 34529-2025")</f>
        <v/>
      </c>
      <c r="W129">
        <f>HYPERLINK("https://klasma.github.io/Logging_2305/klagomålsmail/A 34529-2025 FSC-klagomål mail.docx", "A 34529-2025")</f>
        <v/>
      </c>
      <c r="X129">
        <f>HYPERLINK("https://klasma.github.io/Logging_2305/tillsyn/A 34529-2025 tillsynsbegäran.docx", "A 34529-2025")</f>
        <v/>
      </c>
      <c r="Y129">
        <f>HYPERLINK("https://klasma.github.io/Logging_2305/tillsynsmail/A 34529-2025 tillsynsbegäran mail.docx", "A 34529-2025")</f>
        <v/>
      </c>
    </row>
    <row r="130" ht="15" customHeight="1">
      <c r="A130" t="inlineStr">
        <is>
          <t>A 57079-2023</t>
        </is>
      </c>
      <c r="B130" s="1" t="n">
        <v>45244</v>
      </c>
      <c r="C130" s="1" t="n">
        <v>45976</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30881-2025</t>
        </is>
      </c>
      <c r="B131" s="1" t="n">
        <v>45832.34538194445</v>
      </c>
      <c r="C131" s="1" t="n">
        <v>45976</v>
      </c>
      <c r="D131" t="inlineStr">
        <is>
          <t>JÄMTLANDS LÄN</t>
        </is>
      </c>
      <c r="E131" t="inlineStr">
        <is>
          <t>BRÄCKE</t>
        </is>
      </c>
      <c r="F131" t="inlineStr">
        <is>
          <t>SCA</t>
        </is>
      </c>
      <c r="G131" t="n">
        <v>3.3</v>
      </c>
      <c r="H131" t="n">
        <v>2</v>
      </c>
      <c r="I131" t="n">
        <v>0</v>
      </c>
      <c r="J131" t="n">
        <v>2</v>
      </c>
      <c r="K131" t="n">
        <v>2</v>
      </c>
      <c r="L131" t="n">
        <v>0</v>
      </c>
      <c r="M131" t="n">
        <v>0</v>
      </c>
      <c r="N131" t="n">
        <v>0</v>
      </c>
      <c r="O131" t="n">
        <v>4</v>
      </c>
      <c r="P131" t="n">
        <v>2</v>
      </c>
      <c r="Q131" t="n">
        <v>4</v>
      </c>
      <c r="R131" s="2" t="inlineStr">
        <is>
          <t>Knärot
Lappticka
Rosenticka
Talltita</t>
        </is>
      </c>
      <c r="S131">
        <f>HYPERLINK("https://klasma.github.io/Logging_2305/artfynd/A 30881-2025 artfynd.xlsx", "A 30881-2025")</f>
        <v/>
      </c>
      <c r="T131">
        <f>HYPERLINK("https://klasma.github.io/Logging_2305/kartor/A 30881-2025 karta.png", "A 30881-2025")</f>
        <v/>
      </c>
      <c r="U131">
        <f>HYPERLINK("https://klasma.github.io/Logging_2305/knärot/A 30881-2025 karta knärot.png", "A 30881-2025")</f>
        <v/>
      </c>
      <c r="V131">
        <f>HYPERLINK("https://klasma.github.io/Logging_2305/klagomål/A 30881-2025 FSC-klagomål.docx", "A 30881-2025")</f>
        <v/>
      </c>
      <c r="W131">
        <f>HYPERLINK("https://klasma.github.io/Logging_2305/klagomålsmail/A 30881-2025 FSC-klagomål mail.docx", "A 30881-2025")</f>
        <v/>
      </c>
      <c r="X131">
        <f>HYPERLINK("https://klasma.github.io/Logging_2305/tillsyn/A 30881-2025 tillsynsbegäran.docx", "A 30881-2025")</f>
        <v/>
      </c>
      <c r="Y131">
        <f>HYPERLINK("https://klasma.github.io/Logging_2305/tillsynsmail/A 30881-2025 tillsynsbegäran mail.docx", "A 30881-2025")</f>
        <v/>
      </c>
      <c r="Z131">
        <f>HYPERLINK("https://klasma.github.io/Logging_2305/fåglar/A 30881-2025 prioriterade fågelarter.docx", "A 30881-2025")</f>
        <v/>
      </c>
    </row>
    <row r="132" ht="15" customHeight="1">
      <c r="A132" t="inlineStr">
        <is>
          <t>A 47499-2023</t>
        </is>
      </c>
      <c r="B132" s="1" t="n">
        <v>45202</v>
      </c>
      <c r="C132" s="1" t="n">
        <v>45976</v>
      </c>
      <c r="D132" t="inlineStr">
        <is>
          <t>JÄMTLANDS LÄN</t>
        </is>
      </c>
      <c r="E132" t="inlineStr">
        <is>
          <t>BRÄCKE</t>
        </is>
      </c>
      <c r="F132" t="inlineStr">
        <is>
          <t>SCA</t>
        </is>
      </c>
      <c r="G132" t="n">
        <v>8.1</v>
      </c>
      <c r="H132" t="n">
        <v>2</v>
      </c>
      <c r="I132" t="n">
        <v>2</v>
      </c>
      <c r="J132" t="n">
        <v>2</v>
      </c>
      <c r="K132" t="n">
        <v>0</v>
      </c>
      <c r="L132" t="n">
        <v>0</v>
      </c>
      <c r="M132" t="n">
        <v>0</v>
      </c>
      <c r="N132" t="n">
        <v>0</v>
      </c>
      <c r="O132" t="n">
        <v>2</v>
      </c>
      <c r="P132" t="n">
        <v>0</v>
      </c>
      <c r="Q132" t="n">
        <v>4</v>
      </c>
      <c r="R132" s="2" t="inlineStr">
        <is>
          <t>Garnlav
Lunglav
Korallrot
Lappranunkel</t>
        </is>
      </c>
      <c r="S132">
        <f>HYPERLINK("https://klasma.github.io/Logging_2305/artfynd/A 47499-2023 artfynd.xlsx", "A 47499-2023")</f>
        <v/>
      </c>
      <c r="T132">
        <f>HYPERLINK("https://klasma.github.io/Logging_2305/kartor/A 47499-2023 karta.png", "A 47499-2023")</f>
        <v/>
      </c>
      <c r="V132">
        <f>HYPERLINK("https://klasma.github.io/Logging_2305/klagomål/A 47499-2023 FSC-klagomål.docx", "A 47499-2023")</f>
        <v/>
      </c>
      <c r="W132">
        <f>HYPERLINK("https://klasma.github.io/Logging_2305/klagomålsmail/A 47499-2023 FSC-klagomål mail.docx", "A 47499-2023")</f>
        <v/>
      </c>
      <c r="X132">
        <f>HYPERLINK("https://klasma.github.io/Logging_2305/tillsyn/A 47499-2023 tillsynsbegäran.docx", "A 47499-2023")</f>
        <v/>
      </c>
      <c r="Y132">
        <f>HYPERLINK("https://klasma.github.io/Logging_2305/tillsynsmail/A 47499-2023 tillsynsbegäran mail.docx", "A 47499-2023")</f>
        <v/>
      </c>
    </row>
    <row r="133" ht="15" customHeight="1">
      <c r="A133" t="inlineStr">
        <is>
          <t>A 56222-2021</t>
        </is>
      </c>
      <c r="B133" s="1" t="n">
        <v>44477</v>
      </c>
      <c r="C133" s="1" t="n">
        <v>45976</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44428-2022</t>
        </is>
      </c>
      <c r="B134" s="1" t="n">
        <v>44839</v>
      </c>
      <c r="C134" s="1" t="n">
        <v>45976</v>
      </c>
      <c r="D134" t="inlineStr">
        <is>
          <t>JÄMTLANDS LÄN</t>
        </is>
      </c>
      <c r="E134" t="inlineStr">
        <is>
          <t>BRÄCKE</t>
        </is>
      </c>
      <c r="F134" t="inlineStr">
        <is>
          <t>SCA</t>
        </is>
      </c>
      <c r="G134" t="n">
        <v>4.3</v>
      </c>
      <c r="H134" t="n">
        <v>0</v>
      </c>
      <c r="I134" t="n">
        <v>2</v>
      </c>
      <c r="J134" t="n">
        <v>1</v>
      </c>
      <c r="K134" t="n">
        <v>0</v>
      </c>
      <c r="L134" t="n">
        <v>0</v>
      </c>
      <c r="M134" t="n">
        <v>0</v>
      </c>
      <c r="N134" t="n">
        <v>0</v>
      </c>
      <c r="O134" t="n">
        <v>1</v>
      </c>
      <c r="P134" t="n">
        <v>0</v>
      </c>
      <c r="Q134" t="n">
        <v>3</v>
      </c>
      <c r="R134" s="2" t="inlineStr">
        <is>
          <t>Motaggsvamp
Dropptaggsvamp
Skinnlav</t>
        </is>
      </c>
      <c r="S134">
        <f>HYPERLINK("https://klasma.github.io/Logging_2305/artfynd/A 44428-2022 artfynd.xlsx", "A 44428-2022")</f>
        <v/>
      </c>
      <c r="T134">
        <f>HYPERLINK("https://klasma.github.io/Logging_2305/kartor/A 44428-2022 karta.png", "A 44428-2022")</f>
        <v/>
      </c>
      <c r="V134">
        <f>HYPERLINK("https://klasma.github.io/Logging_2305/klagomål/A 44428-2022 FSC-klagomål.docx", "A 44428-2022")</f>
        <v/>
      </c>
      <c r="W134">
        <f>HYPERLINK("https://klasma.github.io/Logging_2305/klagomålsmail/A 44428-2022 FSC-klagomål mail.docx", "A 44428-2022")</f>
        <v/>
      </c>
      <c r="X134">
        <f>HYPERLINK("https://klasma.github.io/Logging_2305/tillsyn/A 44428-2022 tillsynsbegäran.docx", "A 44428-2022")</f>
        <v/>
      </c>
      <c r="Y134">
        <f>HYPERLINK("https://klasma.github.io/Logging_2305/tillsynsmail/A 44428-2022 tillsynsbegäran mail.docx", "A 44428-2022")</f>
        <v/>
      </c>
    </row>
    <row r="135" ht="15" customHeight="1">
      <c r="A135" t="inlineStr">
        <is>
          <t>A 37061-2021</t>
        </is>
      </c>
      <c r="B135" s="1" t="n">
        <v>44393</v>
      </c>
      <c r="C135" s="1" t="n">
        <v>45976</v>
      </c>
      <c r="D135" t="inlineStr">
        <is>
          <t>JÄMTLANDS LÄN</t>
        </is>
      </c>
      <c r="E135" t="inlineStr">
        <is>
          <t>BRÄCKE</t>
        </is>
      </c>
      <c r="F135" t="inlineStr">
        <is>
          <t>SCA</t>
        </is>
      </c>
      <c r="G135" t="n">
        <v>3.4</v>
      </c>
      <c r="H135" t="n">
        <v>1</v>
      </c>
      <c r="I135" t="n">
        <v>1</v>
      </c>
      <c r="J135" t="n">
        <v>1</v>
      </c>
      <c r="K135" t="n">
        <v>1</v>
      </c>
      <c r="L135" t="n">
        <v>0</v>
      </c>
      <c r="M135" t="n">
        <v>0</v>
      </c>
      <c r="N135" t="n">
        <v>0</v>
      </c>
      <c r="O135" t="n">
        <v>2</v>
      </c>
      <c r="P135" t="n">
        <v>1</v>
      </c>
      <c r="Q135" t="n">
        <v>3</v>
      </c>
      <c r="R135" s="2" t="inlineStr">
        <is>
          <t>Knärot
Lunglav
Stuplav</t>
        </is>
      </c>
      <c r="S135">
        <f>HYPERLINK("https://klasma.github.io/Logging_2305/artfynd/A 37061-2021 artfynd.xlsx", "A 37061-2021")</f>
        <v/>
      </c>
      <c r="T135">
        <f>HYPERLINK("https://klasma.github.io/Logging_2305/kartor/A 37061-2021 karta.png", "A 37061-2021")</f>
        <v/>
      </c>
      <c r="U135">
        <f>HYPERLINK("https://klasma.github.io/Logging_2305/knärot/A 37061-2021 karta knärot.png", "A 37061-2021")</f>
        <v/>
      </c>
      <c r="V135">
        <f>HYPERLINK("https://klasma.github.io/Logging_2305/klagomål/A 37061-2021 FSC-klagomål.docx", "A 37061-2021")</f>
        <v/>
      </c>
      <c r="W135">
        <f>HYPERLINK("https://klasma.github.io/Logging_2305/klagomålsmail/A 37061-2021 FSC-klagomål mail.docx", "A 37061-2021")</f>
        <v/>
      </c>
      <c r="X135">
        <f>HYPERLINK("https://klasma.github.io/Logging_2305/tillsyn/A 37061-2021 tillsynsbegäran.docx", "A 37061-2021")</f>
        <v/>
      </c>
      <c r="Y135">
        <f>HYPERLINK("https://klasma.github.io/Logging_2305/tillsynsmail/A 37061-2021 tillsynsbegäran mail.docx", "A 37061-2021")</f>
        <v/>
      </c>
    </row>
    <row r="136" ht="15" customHeight="1">
      <c r="A136" t="inlineStr">
        <is>
          <t>A 20070-2022</t>
        </is>
      </c>
      <c r="B136" s="1" t="n">
        <v>44697.94195601852</v>
      </c>
      <c r="C136" s="1" t="n">
        <v>45976</v>
      </c>
      <c r="D136" t="inlineStr">
        <is>
          <t>JÄMTLANDS LÄN</t>
        </is>
      </c>
      <c r="E136" t="inlineStr">
        <is>
          <t>BRÄCKE</t>
        </is>
      </c>
      <c r="F136" t="inlineStr">
        <is>
          <t>SCA</t>
        </is>
      </c>
      <c r="G136" t="n">
        <v>4.9</v>
      </c>
      <c r="H136" t="n">
        <v>3</v>
      </c>
      <c r="I136" t="n">
        <v>1</v>
      </c>
      <c r="J136" t="n">
        <v>1</v>
      </c>
      <c r="K136" t="n">
        <v>0</v>
      </c>
      <c r="L136" t="n">
        <v>0</v>
      </c>
      <c r="M136" t="n">
        <v>0</v>
      </c>
      <c r="N136" t="n">
        <v>0</v>
      </c>
      <c r="O136" t="n">
        <v>1</v>
      </c>
      <c r="P136" t="n">
        <v>0</v>
      </c>
      <c r="Q136" t="n">
        <v>3</v>
      </c>
      <c r="R136" s="2" t="inlineStr">
        <is>
          <t>Talltita
Plattlummer
Lavskrika</t>
        </is>
      </c>
      <c r="S136">
        <f>HYPERLINK("https://klasma.github.io/Logging_2305/artfynd/A 20070-2022 artfynd.xlsx", "A 20070-2022")</f>
        <v/>
      </c>
      <c r="T136">
        <f>HYPERLINK("https://klasma.github.io/Logging_2305/kartor/A 20070-2022 karta.png", "A 20070-2022")</f>
        <v/>
      </c>
      <c r="U136">
        <f>HYPERLINK("https://klasma.github.io/Logging_2305/knärot/A 20070-2022 karta knärot.png", "A 20070-2022")</f>
        <v/>
      </c>
      <c r="V136">
        <f>HYPERLINK("https://klasma.github.io/Logging_2305/klagomål/A 20070-2022 FSC-klagomål.docx", "A 20070-2022")</f>
        <v/>
      </c>
      <c r="W136">
        <f>HYPERLINK("https://klasma.github.io/Logging_2305/klagomålsmail/A 20070-2022 FSC-klagomål mail.docx", "A 20070-2022")</f>
        <v/>
      </c>
      <c r="X136">
        <f>HYPERLINK("https://klasma.github.io/Logging_2305/tillsyn/A 20070-2022 tillsynsbegäran.docx", "A 20070-2022")</f>
        <v/>
      </c>
      <c r="Y136">
        <f>HYPERLINK("https://klasma.github.io/Logging_2305/tillsynsmail/A 20070-2022 tillsynsbegäran mail.docx", "A 20070-2022")</f>
        <v/>
      </c>
      <c r="Z136">
        <f>HYPERLINK("https://klasma.github.io/Logging_2305/fåglar/A 20070-2022 prioriterade fågelarter.docx", "A 20070-2022")</f>
        <v/>
      </c>
    </row>
    <row r="137" ht="15" customHeight="1">
      <c r="A137" t="inlineStr">
        <is>
          <t>A 25717-2024</t>
        </is>
      </c>
      <c r="B137" s="1" t="n">
        <v>45463.94459490741</v>
      </c>
      <c r="C137" s="1" t="n">
        <v>45976</v>
      </c>
      <c r="D137" t="inlineStr">
        <is>
          <t>JÄMTLANDS LÄN</t>
        </is>
      </c>
      <c r="E137" t="inlineStr">
        <is>
          <t>BRÄCKE</t>
        </is>
      </c>
      <c r="G137" t="n">
        <v>2.9</v>
      </c>
      <c r="H137" t="n">
        <v>1</v>
      </c>
      <c r="I137" t="n">
        <v>1</v>
      </c>
      <c r="J137" t="n">
        <v>1</v>
      </c>
      <c r="K137" t="n">
        <v>1</v>
      </c>
      <c r="L137" t="n">
        <v>0</v>
      </c>
      <c r="M137" t="n">
        <v>0</v>
      </c>
      <c r="N137" t="n">
        <v>0</v>
      </c>
      <c r="O137" t="n">
        <v>2</v>
      </c>
      <c r="P137" t="n">
        <v>1</v>
      </c>
      <c r="Q137" t="n">
        <v>3</v>
      </c>
      <c r="R137" s="2" t="inlineStr">
        <is>
          <t>Knärot
Lunglav
Skinnlav</t>
        </is>
      </c>
      <c r="S137">
        <f>HYPERLINK("https://klasma.github.io/Logging_2305/artfynd/A 25717-2024 artfynd.xlsx", "A 25717-2024")</f>
        <v/>
      </c>
      <c r="T137">
        <f>HYPERLINK("https://klasma.github.io/Logging_2305/kartor/A 25717-2024 karta.png", "A 25717-2024")</f>
        <v/>
      </c>
      <c r="U137">
        <f>HYPERLINK("https://klasma.github.io/Logging_2305/knärot/A 25717-2024 karta knärot.png", "A 25717-2024")</f>
        <v/>
      </c>
      <c r="V137">
        <f>HYPERLINK("https://klasma.github.io/Logging_2305/klagomål/A 25717-2024 FSC-klagomål.docx", "A 25717-2024")</f>
        <v/>
      </c>
      <c r="W137">
        <f>HYPERLINK("https://klasma.github.io/Logging_2305/klagomålsmail/A 25717-2024 FSC-klagomål mail.docx", "A 25717-2024")</f>
        <v/>
      </c>
      <c r="X137">
        <f>HYPERLINK("https://klasma.github.io/Logging_2305/tillsyn/A 25717-2024 tillsynsbegäran.docx", "A 25717-2024")</f>
        <v/>
      </c>
      <c r="Y137">
        <f>HYPERLINK("https://klasma.github.io/Logging_2305/tillsynsmail/A 25717-2024 tillsynsbegäran mail.docx", "A 25717-2024")</f>
        <v/>
      </c>
    </row>
    <row r="138" ht="15" customHeight="1">
      <c r="A138" t="inlineStr">
        <is>
          <t>A 4180-2022</t>
        </is>
      </c>
      <c r="B138" s="1" t="n">
        <v>44588</v>
      </c>
      <c r="C138" s="1" t="n">
        <v>45976</v>
      </c>
      <c r="D138" t="inlineStr">
        <is>
          <t>JÄMTLANDS LÄN</t>
        </is>
      </c>
      <c r="E138" t="inlineStr">
        <is>
          <t>BRÄCKE</t>
        </is>
      </c>
      <c r="G138" t="n">
        <v>6.1</v>
      </c>
      <c r="H138" t="n">
        <v>2</v>
      </c>
      <c r="I138" t="n">
        <v>1</v>
      </c>
      <c r="J138" t="n">
        <v>1</v>
      </c>
      <c r="K138" t="n">
        <v>1</v>
      </c>
      <c r="L138" t="n">
        <v>0</v>
      </c>
      <c r="M138" t="n">
        <v>0</v>
      </c>
      <c r="N138" t="n">
        <v>0</v>
      </c>
      <c r="O138" t="n">
        <v>2</v>
      </c>
      <c r="P138" t="n">
        <v>1</v>
      </c>
      <c r="Q138" t="n">
        <v>3</v>
      </c>
      <c r="R138" s="2" t="inlineStr">
        <is>
          <t>Knärot
Skogsfru
Ögonpyrola</t>
        </is>
      </c>
      <c r="S138">
        <f>HYPERLINK("https://klasma.github.io/Logging_2305/artfynd/A 4180-2022 artfynd.xlsx", "A 4180-2022")</f>
        <v/>
      </c>
      <c r="T138">
        <f>HYPERLINK("https://klasma.github.io/Logging_2305/kartor/A 4180-2022 karta.png", "A 4180-2022")</f>
        <v/>
      </c>
      <c r="U138">
        <f>HYPERLINK("https://klasma.github.io/Logging_2305/knärot/A 4180-2022 karta knärot.png", "A 4180-2022")</f>
        <v/>
      </c>
      <c r="V138">
        <f>HYPERLINK("https://klasma.github.io/Logging_2305/klagomål/A 4180-2022 FSC-klagomål.docx", "A 4180-2022")</f>
        <v/>
      </c>
      <c r="W138">
        <f>HYPERLINK("https://klasma.github.io/Logging_2305/klagomålsmail/A 4180-2022 FSC-klagomål mail.docx", "A 4180-2022")</f>
        <v/>
      </c>
      <c r="X138">
        <f>HYPERLINK("https://klasma.github.io/Logging_2305/tillsyn/A 4180-2022 tillsynsbegäran.docx", "A 4180-2022")</f>
        <v/>
      </c>
      <c r="Y138">
        <f>HYPERLINK("https://klasma.github.io/Logging_2305/tillsynsmail/A 4180-2022 tillsynsbegäran mail.docx", "A 4180-2022")</f>
        <v/>
      </c>
    </row>
    <row r="139" ht="15" customHeight="1">
      <c r="A139" t="inlineStr">
        <is>
          <t>A 103-2025</t>
        </is>
      </c>
      <c r="B139" s="1" t="n">
        <v>45659</v>
      </c>
      <c r="C139" s="1" t="n">
        <v>45976</v>
      </c>
      <c r="D139" t="inlineStr">
        <is>
          <t>JÄMTLANDS LÄN</t>
        </is>
      </c>
      <c r="E139" t="inlineStr">
        <is>
          <t>BRÄCKE</t>
        </is>
      </c>
      <c r="F139" t="inlineStr">
        <is>
          <t>SCA</t>
        </is>
      </c>
      <c r="G139" t="n">
        <v>10.2</v>
      </c>
      <c r="H139" t="n">
        <v>3</v>
      </c>
      <c r="I139" t="n">
        <v>0</v>
      </c>
      <c r="J139" t="n">
        <v>2</v>
      </c>
      <c r="K139" t="n">
        <v>0</v>
      </c>
      <c r="L139" t="n">
        <v>0</v>
      </c>
      <c r="M139" t="n">
        <v>0</v>
      </c>
      <c r="N139" t="n">
        <v>0</v>
      </c>
      <c r="O139" t="n">
        <v>2</v>
      </c>
      <c r="P139" t="n">
        <v>0</v>
      </c>
      <c r="Q139" t="n">
        <v>3</v>
      </c>
      <c r="R139" s="2" t="inlineStr">
        <is>
          <t>Talltita
Tretåig hackspett
Orre</t>
        </is>
      </c>
      <c r="S139">
        <f>HYPERLINK("https://klasma.github.io/Logging_2305/artfynd/A 103-2025 artfynd.xlsx", "A 103-2025")</f>
        <v/>
      </c>
      <c r="T139">
        <f>HYPERLINK("https://klasma.github.io/Logging_2305/kartor/A 103-2025 karta.png", "A 103-2025")</f>
        <v/>
      </c>
      <c r="V139">
        <f>HYPERLINK("https://klasma.github.io/Logging_2305/klagomål/A 103-2025 FSC-klagomål.docx", "A 103-2025")</f>
        <v/>
      </c>
      <c r="W139">
        <f>HYPERLINK("https://klasma.github.io/Logging_2305/klagomålsmail/A 103-2025 FSC-klagomål mail.docx", "A 103-2025")</f>
        <v/>
      </c>
      <c r="X139">
        <f>HYPERLINK("https://klasma.github.io/Logging_2305/tillsyn/A 103-2025 tillsynsbegäran.docx", "A 103-2025")</f>
        <v/>
      </c>
      <c r="Y139">
        <f>HYPERLINK("https://klasma.github.io/Logging_2305/tillsynsmail/A 103-2025 tillsynsbegäran mail.docx", "A 103-2025")</f>
        <v/>
      </c>
      <c r="Z139">
        <f>HYPERLINK("https://klasma.github.io/Logging_2305/fåglar/A 103-2025 prioriterade fågelarter.docx", "A 103-2025")</f>
        <v/>
      </c>
    </row>
    <row r="140" ht="15" customHeight="1">
      <c r="A140" t="inlineStr">
        <is>
          <t>A 37707-2025</t>
        </is>
      </c>
      <c r="B140" s="1" t="n">
        <v>45880.59423611111</v>
      </c>
      <c r="C140" s="1" t="n">
        <v>45976</v>
      </c>
      <c r="D140" t="inlineStr">
        <is>
          <t>JÄMTLANDS LÄN</t>
        </is>
      </c>
      <c r="E140" t="inlineStr">
        <is>
          <t>BRÄCKE</t>
        </is>
      </c>
      <c r="G140" t="n">
        <v>6.6</v>
      </c>
      <c r="H140" t="n">
        <v>0</v>
      </c>
      <c r="I140" t="n">
        <v>0</v>
      </c>
      <c r="J140" t="n">
        <v>3</v>
      </c>
      <c r="K140" t="n">
        <v>0</v>
      </c>
      <c r="L140" t="n">
        <v>0</v>
      </c>
      <c r="M140" t="n">
        <v>0</v>
      </c>
      <c r="N140" t="n">
        <v>0</v>
      </c>
      <c r="O140" t="n">
        <v>3</v>
      </c>
      <c r="P140" t="n">
        <v>0</v>
      </c>
      <c r="Q140" t="n">
        <v>3</v>
      </c>
      <c r="R140" s="2" t="inlineStr">
        <is>
          <t>Dvärgbägarlav
Mörk kolflarnlav
Vedflamlav</t>
        </is>
      </c>
      <c r="S140">
        <f>HYPERLINK("https://klasma.github.io/Logging_2305/artfynd/A 37707-2025 artfynd.xlsx", "A 37707-2025")</f>
        <v/>
      </c>
      <c r="T140">
        <f>HYPERLINK("https://klasma.github.io/Logging_2305/kartor/A 37707-2025 karta.png", "A 37707-2025")</f>
        <v/>
      </c>
      <c r="V140">
        <f>HYPERLINK("https://klasma.github.io/Logging_2305/klagomål/A 37707-2025 FSC-klagomål.docx", "A 37707-2025")</f>
        <v/>
      </c>
      <c r="W140">
        <f>HYPERLINK("https://klasma.github.io/Logging_2305/klagomålsmail/A 37707-2025 FSC-klagomål mail.docx", "A 37707-2025")</f>
        <v/>
      </c>
      <c r="X140">
        <f>HYPERLINK("https://klasma.github.io/Logging_2305/tillsyn/A 37707-2025 tillsynsbegäran.docx", "A 37707-2025")</f>
        <v/>
      </c>
      <c r="Y140">
        <f>HYPERLINK("https://klasma.github.io/Logging_2305/tillsynsmail/A 37707-2025 tillsynsbegäran mail.docx", "A 37707-2025")</f>
        <v/>
      </c>
    </row>
    <row r="141" ht="15" customHeight="1">
      <c r="A141" t="inlineStr">
        <is>
          <t>A 11002-2022</t>
        </is>
      </c>
      <c r="B141" s="1" t="n">
        <v>44628</v>
      </c>
      <c r="C141" s="1" t="n">
        <v>45976</v>
      </c>
      <c r="D141" t="inlineStr">
        <is>
          <t>JÄMTLANDS LÄN</t>
        </is>
      </c>
      <c r="E141" t="inlineStr">
        <is>
          <t>BRÄCKE</t>
        </is>
      </c>
      <c r="G141" t="n">
        <v>8.5</v>
      </c>
      <c r="H141" t="n">
        <v>0</v>
      </c>
      <c r="I141" t="n">
        <v>1</v>
      </c>
      <c r="J141" t="n">
        <v>1</v>
      </c>
      <c r="K141" t="n">
        <v>1</v>
      </c>
      <c r="L141" t="n">
        <v>0</v>
      </c>
      <c r="M141" t="n">
        <v>0</v>
      </c>
      <c r="N141" t="n">
        <v>0</v>
      </c>
      <c r="O141" t="n">
        <v>2</v>
      </c>
      <c r="P141" t="n">
        <v>1</v>
      </c>
      <c r="Q141" t="n">
        <v>3</v>
      </c>
      <c r="R141" s="2" t="inlineStr">
        <is>
          <t>Rynkskinn
Vitgrynig nållav
Svavelriska</t>
        </is>
      </c>
      <c r="S141">
        <f>HYPERLINK("https://klasma.github.io/Logging_2305/artfynd/A 11002-2022 artfynd.xlsx", "A 11002-2022")</f>
        <v/>
      </c>
      <c r="T141">
        <f>HYPERLINK("https://klasma.github.io/Logging_2305/kartor/A 11002-2022 karta.png", "A 11002-2022")</f>
        <v/>
      </c>
      <c r="V141">
        <f>HYPERLINK("https://klasma.github.io/Logging_2305/klagomål/A 11002-2022 FSC-klagomål.docx", "A 11002-2022")</f>
        <v/>
      </c>
      <c r="W141">
        <f>HYPERLINK("https://klasma.github.io/Logging_2305/klagomålsmail/A 11002-2022 FSC-klagomål mail.docx", "A 11002-2022")</f>
        <v/>
      </c>
      <c r="X141">
        <f>HYPERLINK("https://klasma.github.io/Logging_2305/tillsyn/A 11002-2022 tillsynsbegäran.docx", "A 11002-2022")</f>
        <v/>
      </c>
      <c r="Y141">
        <f>HYPERLINK("https://klasma.github.io/Logging_2305/tillsynsmail/A 11002-2022 tillsynsbegäran mail.docx", "A 11002-2022")</f>
        <v/>
      </c>
    </row>
    <row r="142" ht="15" customHeight="1">
      <c r="A142" t="inlineStr">
        <is>
          <t>A 17912-2025</t>
        </is>
      </c>
      <c r="B142" s="1" t="n">
        <v>45758.75871527778</v>
      </c>
      <c r="C142" s="1" t="n">
        <v>45976</v>
      </c>
      <c r="D142" t="inlineStr">
        <is>
          <t>JÄMTLANDS LÄN</t>
        </is>
      </c>
      <c r="E142" t="inlineStr">
        <is>
          <t>BRÄCKE</t>
        </is>
      </c>
      <c r="G142" t="n">
        <v>2</v>
      </c>
      <c r="H142" t="n">
        <v>0</v>
      </c>
      <c r="I142" t="n">
        <v>1</v>
      </c>
      <c r="J142" t="n">
        <v>2</v>
      </c>
      <c r="K142" t="n">
        <v>0</v>
      </c>
      <c r="L142" t="n">
        <v>0</v>
      </c>
      <c r="M142" t="n">
        <v>0</v>
      </c>
      <c r="N142" t="n">
        <v>0</v>
      </c>
      <c r="O142" t="n">
        <v>2</v>
      </c>
      <c r="P142" t="n">
        <v>0</v>
      </c>
      <c r="Q142" t="n">
        <v>3</v>
      </c>
      <c r="R142" s="2" t="inlineStr">
        <is>
          <t>Kolflarnlav
Lunglav
Grönpyrola</t>
        </is>
      </c>
      <c r="S142">
        <f>HYPERLINK("https://klasma.github.io/Logging_2305/artfynd/A 17912-2025 artfynd.xlsx", "A 17912-2025")</f>
        <v/>
      </c>
      <c r="T142">
        <f>HYPERLINK("https://klasma.github.io/Logging_2305/kartor/A 17912-2025 karta.png", "A 17912-2025")</f>
        <v/>
      </c>
      <c r="V142">
        <f>HYPERLINK("https://klasma.github.io/Logging_2305/klagomål/A 17912-2025 FSC-klagomål.docx", "A 17912-2025")</f>
        <v/>
      </c>
      <c r="W142">
        <f>HYPERLINK("https://klasma.github.io/Logging_2305/klagomålsmail/A 17912-2025 FSC-klagomål mail.docx", "A 17912-2025")</f>
        <v/>
      </c>
      <c r="X142">
        <f>HYPERLINK("https://klasma.github.io/Logging_2305/tillsyn/A 17912-2025 tillsynsbegäran.docx", "A 17912-2025")</f>
        <v/>
      </c>
      <c r="Y142">
        <f>HYPERLINK("https://klasma.github.io/Logging_2305/tillsynsmail/A 17912-2025 tillsynsbegäran mail.docx", "A 17912-2025")</f>
        <v/>
      </c>
    </row>
    <row r="143" ht="15" customHeight="1">
      <c r="A143" t="inlineStr">
        <is>
          <t>A 2298-2025</t>
        </is>
      </c>
      <c r="B143" s="1" t="n">
        <v>45673.595</v>
      </c>
      <c r="C143" s="1" t="n">
        <v>45976</v>
      </c>
      <c r="D143" t="inlineStr">
        <is>
          <t>JÄMTLANDS LÄN</t>
        </is>
      </c>
      <c r="E143" t="inlineStr">
        <is>
          <t>BRÄCKE</t>
        </is>
      </c>
      <c r="F143" t="inlineStr">
        <is>
          <t>SCA</t>
        </is>
      </c>
      <c r="G143" t="n">
        <v>8.300000000000001</v>
      </c>
      <c r="H143" t="n">
        <v>0</v>
      </c>
      <c r="I143" t="n">
        <v>0</v>
      </c>
      <c r="J143" t="n">
        <v>2</v>
      </c>
      <c r="K143" t="n">
        <v>1</v>
      </c>
      <c r="L143" t="n">
        <v>0</v>
      </c>
      <c r="M143" t="n">
        <v>0</v>
      </c>
      <c r="N143" t="n">
        <v>0</v>
      </c>
      <c r="O143" t="n">
        <v>3</v>
      </c>
      <c r="P143" t="n">
        <v>1</v>
      </c>
      <c r="Q143" t="n">
        <v>3</v>
      </c>
      <c r="R143" s="2" t="inlineStr">
        <is>
          <t>Rynkskinn
Granticka
Vaddporing</t>
        </is>
      </c>
      <c r="S143">
        <f>HYPERLINK("https://klasma.github.io/Logging_2305/artfynd/A 2298-2025 artfynd.xlsx", "A 2298-2025")</f>
        <v/>
      </c>
      <c r="T143">
        <f>HYPERLINK("https://klasma.github.io/Logging_2305/kartor/A 2298-2025 karta.png", "A 2298-2025")</f>
        <v/>
      </c>
      <c r="V143">
        <f>HYPERLINK("https://klasma.github.io/Logging_2305/klagomål/A 2298-2025 FSC-klagomål.docx", "A 2298-2025")</f>
        <v/>
      </c>
      <c r="W143">
        <f>HYPERLINK("https://klasma.github.io/Logging_2305/klagomålsmail/A 2298-2025 FSC-klagomål mail.docx", "A 2298-2025")</f>
        <v/>
      </c>
      <c r="X143">
        <f>HYPERLINK("https://klasma.github.io/Logging_2305/tillsyn/A 2298-2025 tillsynsbegäran.docx", "A 2298-2025")</f>
        <v/>
      </c>
      <c r="Y143">
        <f>HYPERLINK("https://klasma.github.io/Logging_2305/tillsynsmail/A 2298-2025 tillsynsbegäran mail.docx", "A 2298-2025")</f>
        <v/>
      </c>
    </row>
    <row r="144" ht="15" customHeight="1">
      <c r="A144" t="inlineStr">
        <is>
          <t>A 29455-2024</t>
        </is>
      </c>
      <c r="B144" s="1" t="n">
        <v>45483</v>
      </c>
      <c r="C144" s="1" t="n">
        <v>45976</v>
      </c>
      <c r="D144" t="inlineStr">
        <is>
          <t>JÄMTLANDS LÄN</t>
        </is>
      </c>
      <c r="E144" t="inlineStr">
        <is>
          <t>BRÄCKE</t>
        </is>
      </c>
      <c r="F144" t="inlineStr">
        <is>
          <t>SCA</t>
        </is>
      </c>
      <c r="G144" t="n">
        <v>6</v>
      </c>
      <c r="H144" t="n">
        <v>0</v>
      </c>
      <c r="I144" t="n">
        <v>0</v>
      </c>
      <c r="J144" t="n">
        <v>3</v>
      </c>
      <c r="K144" t="n">
        <v>0</v>
      </c>
      <c r="L144" t="n">
        <v>0</v>
      </c>
      <c r="M144" t="n">
        <v>0</v>
      </c>
      <c r="N144" t="n">
        <v>0</v>
      </c>
      <c r="O144" t="n">
        <v>3</v>
      </c>
      <c r="P144" t="n">
        <v>0</v>
      </c>
      <c r="Q144" t="n">
        <v>3</v>
      </c>
      <c r="R144" s="2" t="inlineStr">
        <is>
          <t>Garnlav
Lunglav
Ullticka</t>
        </is>
      </c>
      <c r="S144">
        <f>HYPERLINK("https://klasma.github.io/Logging_2305/artfynd/A 29455-2024 artfynd.xlsx", "A 29455-2024")</f>
        <v/>
      </c>
      <c r="T144">
        <f>HYPERLINK("https://klasma.github.io/Logging_2305/kartor/A 29455-2024 karta.png", "A 29455-2024")</f>
        <v/>
      </c>
      <c r="V144">
        <f>HYPERLINK("https://klasma.github.io/Logging_2305/klagomål/A 29455-2024 FSC-klagomål.docx", "A 29455-2024")</f>
        <v/>
      </c>
      <c r="W144">
        <f>HYPERLINK("https://klasma.github.io/Logging_2305/klagomålsmail/A 29455-2024 FSC-klagomål mail.docx", "A 29455-2024")</f>
        <v/>
      </c>
      <c r="X144">
        <f>HYPERLINK("https://klasma.github.io/Logging_2305/tillsyn/A 29455-2024 tillsynsbegäran.docx", "A 29455-2024")</f>
        <v/>
      </c>
      <c r="Y144">
        <f>HYPERLINK("https://klasma.github.io/Logging_2305/tillsynsmail/A 29455-2024 tillsynsbegäran mail.docx", "A 29455-2024")</f>
        <v/>
      </c>
    </row>
    <row r="145" ht="15" customHeight="1">
      <c r="A145" t="inlineStr">
        <is>
          <t>A 49624-2025</t>
        </is>
      </c>
      <c r="B145" s="1" t="n">
        <v>45939.59447916667</v>
      </c>
      <c r="C145" s="1" t="n">
        <v>45976</v>
      </c>
      <c r="D145" t="inlineStr">
        <is>
          <t>JÄMTLANDS LÄN</t>
        </is>
      </c>
      <c r="E145" t="inlineStr">
        <is>
          <t>BRÄCKE</t>
        </is>
      </c>
      <c r="F145" t="inlineStr">
        <is>
          <t>SCA</t>
        </is>
      </c>
      <c r="G145" t="n">
        <v>5.1</v>
      </c>
      <c r="H145" t="n">
        <v>0</v>
      </c>
      <c r="I145" t="n">
        <v>2</v>
      </c>
      <c r="J145" t="n">
        <v>0</v>
      </c>
      <c r="K145" t="n">
        <v>1</v>
      </c>
      <c r="L145" t="n">
        <v>0</v>
      </c>
      <c r="M145" t="n">
        <v>0</v>
      </c>
      <c r="N145" t="n">
        <v>0</v>
      </c>
      <c r="O145" t="n">
        <v>1</v>
      </c>
      <c r="P145" t="n">
        <v>1</v>
      </c>
      <c r="Q145" t="n">
        <v>3</v>
      </c>
      <c r="R145" s="2" t="inlineStr">
        <is>
          <t>Gräddporing
Skarp dropptaggsvamp
Skinnlav</t>
        </is>
      </c>
      <c r="S145">
        <f>HYPERLINK("https://klasma.github.io/Logging_2305/artfynd/A 49624-2025 artfynd.xlsx", "A 49624-2025")</f>
        <v/>
      </c>
      <c r="T145">
        <f>HYPERLINK("https://klasma.github.io/Logging_2305/kartor/A 49624-2025 karta.png", "A 49624-2025")</f>
        <v/>
      </c>
      <c r="V145">
        <f>HYPERLINK("https://klasma.github.io/Logging_2305/klagomål/A 49624-2025 FSC-klagomål.docx", "A 49624-2025")</f>
        <v/>
      </c>
      <c r="W145">
        <f>HYPERLINK("https://klasma.github.io/Logging_2305/klagomålsmail/A 49624-2025 FSC-klagomål mail.docx", "A 49624-2025")</f>
        <v/>
      </c>
      <c r="X145">
        <f>HYPERLINK("https://klasma.github.io/Logging_2305/tillsyn/A 49624-2025 tillsynsbegäran.docx", "A 49624-2025")</f>
        <v/>
      </c>
      <c r="Y145">
        <f>HYPERLINK("https://klasma.github.io/Logging_2305/tillsynsmail/A 49624-2025 tillsynsbegäran mail.docx", "A 49624-2025")</f>
        <v/>
      </c>
    </row>
    <row r="146" ht="15" customHeight="1">
      <c r="A146" t="inlineStr">
        <is>
          <t>A 48067-2023</t>
        </is>
      </c>
      <c r="B146" s="1" t="n">
        <v>45204</v>
      </c>
      <c r="C146" s="1" t="n">
        <v>45976</v>
      </c>
      <c r="D146" t="inlineStr">
        <is>
          <t>JÄMTLANDS LÄN</t>
        </is>
      </c>
      <c r="E146" t="inlineStr">
        <is>
          <t>BRÄCKE</t>
        </is>
      </c>
      <c r="F146" t="inlineStr">
        <is>
          <t>SCA</t>
        </is>
      </c>
      <c r="G146" t="n">
        <v>1.2</v>
      </c>
      <c r="H146" t="n">
        <v>0</v>
      </c>
      <c r="I146" t="n">
        <v>2</v>
      </c>
      <c r="J146" t="n">
        <v>1</v>
      </c>
      <c r="K146" t="n">
        <v>0</v>
      </c>
      <c r="L146" t="n">
        <v>0</v>
      </c>
      <c r="M146" t="n">
        <v>0</v>
      </c>
      <c r="N146" t="n">
        <v>0</v>
      </c>
      <c r="O146" t="n">
        <v>1</v>
      </c>
      <c r="P146" t="n">
        <v>0</v>
      </c>
      <c r="Q146" t="n">
        <v>3</v>
      </c>
      <c r="R146" s="2" t="inlineStr">
        <is>
          <t>Lunglav
Gytterlav
Korallblylav</t>
        </is>
      </c>
      <c r="S146">
        <f>HYPERLINK("https://klasma.github.io/Logging_2305/artfynd/A 48067-2023 artfynd.xlsx", "A 48067-2023")</f>
        <v/>
      </c>
      <c r="T146">
        <f>HYPERLINK("https://klasma.github.io/Logging_2305/kartor/A 48067-2023 karta.png", "A 48067-2023")</f>
        <v/>
      </c>
      <c r="V146">
        <f>HYPERLINK("https://klasma.github.io/Logging_2305/klagomål/A 48067-2023 FSC-klagomål.docx", "A 48067-2023")</f>
        <v/>
      </c>
      <c r="W146">
        <f>HYPERLINK("https://klasma.github.io/Logging_2305/klagomålsmail/A 48067-2023 FSC-klagomål mail.docx", "A 48067-2023")</f>
        <v/>
      </c>
      <c r="X146">
        <f>HYPERLINK("https://klasma.github.io/Logging_2305/tillsyn/A 48067-2023 tillsynsbegäran.docx", "A 48067-2023")</f>
        <v/>
      </c>
      <c r="Y146">
        <f>HYPERLINK("https://klasma.github.io/Logging_2305/tillsynsmail/A 48067-2023 tillsynsbegäran mail.docx", "A 48067-2023")</f>
        <v/>
      </c>
    </row>
    <row r="147" ht="15" customHeight="1">
      <c r="A147" t="inlineStr">
        <is>
          <t>A 16959-2025</t>
        </is>
      </c>
      <c r="B147" s="1" t="n">
        <v>45755.44854166666</v>
      </c>
      <c r="C147" s="1" t="n">
        <v>45976</v>
      </c>
      <c r="D147" t="inlineStr">
        <is>
          <t>JÄMTLANDS LÄN</t>
        </is>
      </c>
      <c r="E147" t="inlineStr">
        <is>
          <t>BRÄCKE</t>
        </is>
      </c>
      <c r="F147" t="inlineStr">
        <is>
          <t>SCA</t>
        </is>
      </c>
      <c r="G147" t="n">
        <v>4.6</v>
      </c>
      <c r="H147" t="n">
        <v>3</v>
      </c>
      <c r="I147" t="n">
        <v>0</v>
      </c>
      <c r="J147" t="n">
        <v>1</v>
      </c>
      <c r="K147" t="n">
        <v>1</v>
      </c>
      <c r="L147" t="n">
        <v>0</v>
      </c>
      <c r="M147" t="n">
        <v>0</v>
      </c>
      <c r="N147" t="n">
        <v>0</v>
      </c>
      <c r="O147" t="n">
        <v>2</v>
      </c>
      <c r="P147" t="n">
        <v>1</v>
      </c>
      <c r="Q147" t="n">
        <v>3</v>
      </c>
      <c r="R147" s="2" t="inlineStr">
        <is>
          <t>Knärot
Talltita
Kungsfågel</t>
        </is>
      </c>
      <c r="S147">
        <f>HYPERLINK("https://klasma.github.io/Logging_2305/artfynd/A 16959-2025 artfynd.xlsx", "A 16959-2025")</f>
        <v/>
      </c>
      <c r="T147">
        <f>HYPERLINK("https://klasma.github.io/Logging_2305/kartor/A 16959-2025 karta.png", "A 16959-2025")</f>
        <v/>
      </c>
      <c r="U147">
        <f>HYPERLINK("https://klasma.github.io/Logging_2305/knärot/A 16959-2025 karta knärot.png", "A 16959-2025")</f>
        <v/>
      </c>
      <c r="V147">
        <f>HYPERLINK("https://klasma.github.io/Logging_2305/klagomål/A 16959-2025 FSC-klagomål.docx", "A 16959-2025")</f>
        <v/>
      </c>
      <c r="W147">
        <f>HYPERLINK("https://klasma.github.io/Logging_2305/klagomålsmail/A 16959-2025 FSC-klagomål mail.docx", "A 16959-2025")</f>
        <v/>
      </c>
      <c r="X147">
        <f>HYPERLINK("https://klasma.github.io/Logging_2305/tillsyn/A 16959-2025 tillsynsbegäran.docx", "A 16959-2025")</f>
        <v/>
      </c>
      <c r="Y147">
        <f>HYPERLINK("https://klasma.github.io/Logging_2305/tillsynsmail/A 16959-2025 tillsynsbegäran mail.docx", "A 16959-2025")</f>
        <v/>
      </c>
      <c r="Z147">
        <f>HYPERLINK("https://klasma.github.io/Logging_2305/fåglar/A 16959-2025 prioriterade fågelarter.docx", "A 16959-2025")</f>
        <v/>
      </c>
    </row>
    <row r="148" ht="15" customHeight="1">
      <c r="A148" t="inlineStr">
        <is>
          <t>A 60610-2024</t>
        </is>
      </c>
      <c r="B148" s="1" t="n">
        <v>45644.38570601852</v>
      </c>
      <c r="C148" s="1" t="n">
        <v>45976</v>
      </c>
      <c r="D148" t="inlineStr">
        <is>
          <t>JÄMTLANDS LÄN</t>
        </is>
      </c>
      <c r="E148" t="inlineStr">
        <is>
          <t>BRÄCKE</t>
        </is>
      </c>
      <c r="F148" t="inlineStr">
        <is>
          <t>SCA</t>
        </is>
      </c>
      <c r="G148" t="n">
        <v>1.1</v>
      </c>
      <c r="H148" t="n">
        <v>0</v>
      </c>
      <c r="I148" t="n">
        <v>0</v>
      </c>
      <c r="J148" t="n">
        <v>3</v>
      </c>
      <c r="K148" t="n">
        <v>0</v>
      </c>
      <c r="L148" t="n">
        <v>0</v>
      </c>
      <c r="M148" t="n">
        <v>0</v>
      </c>
      <c r="N148" t="n">
        <v>0</v>
      </c>
      <c r="O148" t="n">
        <v>3</v>
      </c>
      <c r="P148" t="n">
        <v>0</v>
      </c>
      <c r="Q148" t="n">
        <v>3</v>
      </c>
      <c r="R148" s="2" t="inlineStr">
        <is>
          <t>Garnlav
Lunglav
Skrovellav</t>
        </is>
      </c>
      <c r="S148">
        <f>HYPERLINK("https://klasma.github.io/Logging_2305/artfynd/A 60610-2024 artfynd.xlsx", "A 60610-2024")</f>
        <v/>
      </c>
      <c r="T148">
        <f>HYPERLINK("https://klasma.github.io/Logging_2305/kartor/A 60610-2024 karta.png", "A 60610-2024")</f>
        <v/>
      </c>
      <c r="V148">
        <f>HYPERLINK("https://klasma.github.io/Logging_2305/klagomål/A 60610-2024 FSC-klagomål.docx", "A 60610-2024")</f>
        <v/>
      </c>
      <c r="W148">
        <f>HYPERLINK("https://klasma.github.io/Logging_2305/klagomålsmail/A 60610-2024 FSC-klagomål mail.docx", "A 60610-2024")</f>
        <v/>
      </c>
      <c r="X148">
        <f>HYPERLINK("https://klasma.github.io/Logging_2305/tillsyn/A 60610-2024 tillsynsbegäran.docx", "A 60610-2024")</f>
        <v/>
      </c>
      <c r="Y148">
        <f>HYPERLINK("https://klasma.github.io/Logging_2305/tillsynsmail/A 60610-2024 tillsynsbegäran mail.docx", "A 60610-2024")</f>
        <v/>
      </c>
    </row>
    <row r="149" ht="15" customHeight="1">
      <c r="A149" t="inlineStr">
        <is>
          <t>A 57105-2024</t>
        </is>
      </c>
      <c r="B149" s="1" t="n">
        <v>45629.35895833333</v>
      </c>
      <c r="C149" s="1" t="n">
        <v>45976</v>
      </c>
      <c r="D149" t="inlineStr">
        <is>
          <t>JÄMTLANDS LÄN</t>
        </is>
      </c>
      <c r="E149" t="inlineStr">
        <is>
          <t>BRÄCKE</t>
        </is>
      </c>
      <c r="G149" t="n">
        <v>1.7</v>
      </c>
      <c r="H149" t="n">
        <v>0</v>
      </c>
      <c r="I149" t="n">
        <v>0</v>
      </c>
      <c r="J149" t="n">
        <v>3</v>
      </c>
      <c r="K149" t="n">
        <v>0</v>
      </c>
      <c r="L149" t="n">
        <v>0</v>
      </c>
      <c r="M149" t="n">
        <v>0</v>
      </c>
      <c r="N149" t="n">
        <v>0</v>
      </c>
      <c r="O149" t="n">
        <v>3</v>
      </c>
      <c r="P149" t="n">
        <v>0</v>
      </c>
      <c r="Q149" t="n">
        <v>3</v>
      </c>
      <c r="R149" s="2" t="inlineStr">
        <is>
          <t>Garnlav
Lunglav
Ullticka</t>
        </is>
      </c>
      <c r="S149">
        <f>HYPERLINK("https://klasma.github.io/Logging_2305/artfynd/A 57105-2024 artfynd.xlsx", "A 57105-2024")</f>
        <v/>
      </c>
      <c r="T149">
        <f>HYPERLINK("https://klasma.github.io/Logging_2305/kartor/A 57105-2024 karta.png", "A 57105-2024")</f>
        <v/>
      </c>
      <c r="V149">
        <f>HYPERLINK("https://klasma.github.io/Logging_2305/klagomål/A 57105-2024 FSC-klagomål.docx", "A 57105-2024")</f>
        <v/>
      </c>
      <c r="W149">
        <f>HYPERLINK("https://klasma.github.io/Logging_2305/klagomålsmail/A 57105-2024 FSC-klagomål mail.docx", "A 57105-2024")</f>
        <v/>
      </c>
      <c r="X149">
        <f>HYPERLINK("https://klasma.github.io/Logging_2305/tillsyn/A 57105-2024 tillsynsbegäran.docx", "A 57105-2024")</f>
        <v/>
      </c>
      <c r="Y149">
        <f>HYPERLINK("https://klasma.github.io/Logging_2305/tillsynsmail/A 57105-2024 tillsynsbegäran mail.docx", "A 57105-2024")</f>
        <v/>
      </c>
    </row>
    <row r="150" ht="15" customHeight="1">
      <c r="A150" t="inlineStr">
        <is>
          <t>A 29689-2024</t>
        </is>
      </c>
      <c r="B150" s="1" t="n">
        <v>45484.94427083333</v>
      </c>
      <c r="C150" s="1" t="n">
        <v>45976</v>
      </c>
      <c r="D150" t="inlineStr">
        <is>
          <t>JÄMTLANDS LÄN</t>
        </is>
      </c>
      <c r="E150" t="inlineStr">
        <is>
          <t>BRÄCKE</t>
        </is>
      </c>
      <c r="F150" t="inlineStr">
        <is>
          <t>SCA</t>
        </is>
      </c>
      <c r="G150" t="n">
        <v>6.3</v>
      </c>
      <c r="H150" t="n">
        <v>0</v>
      </c>
      <c r="I150" t="n">
        <v>1</v>
      </c>
      <c r="J150" t="n">
        <v>2</v>
      </c>
      <c r="K150" t="n">
        <v>0</v>
      </c>
      <c r="L150" t="n">
        <v>0</v>
      </c>
      <c r="M150" t="n">
        <v>0</v>
      </c>
      <c r="N150" t="n">
        <v>0</v>
      </c>
      <c r="O150" t="n">
        <v>2</v>
      </c>
      <c r="P150" t="n">
        <v>0</v>
      </c>
      <c r="Q150" t="n">
        <v>3</v>
      </c>
      <c r="R150" s="2" t="inlineStr">
        <is>
          <t>Garnlav
Granticka
Vedticka</t>
        </is>
      </c>
      <c r="S150">
        <f>HYPERLINK("https://klasma.github.io/Logging_2305/artfynd/A 29689-2024 artfynd.xlsx", "A 29689-2024")</f>
        <v/>
      </c>
      <c r="T150">
        <f>HYPERLINK("https://klasma.github.io/Logging_2305/kartor/A 29689-2024 karta.png", "A 29689-2024")</f>
        <v/>
      </c>
      <c r="V150">
        <f>HYPERLINK("https://klasma.github.io/Logging_2305/klagomål/A 29689-2024 FSC-klagomål.docx", "A 29689-2024")</f>
        <v/>
      </c>
      <c r="W150">
        <f>HYPERLINK("https://klasma.github.io/Logging_2305/klagomålsmail/A 29689-2024 FSC-klagomål mail.docx", "A 29689-2024")</f>
        <v/>
      </c>
      <c r="X150">
        <f>HYPERLINK("https://klasma.github.io/Logging_2305/tillsyn/A 29689-2024 tillsynsbegäran.docx", "A 29689-2024")</f>
        <v/>
      </c>
      <c r="Y150">
        <f>HYPERLINK("https://klasma.github.io/Logging_2305/tillsynsmail/A 29689-2024 tillsynsbegäran mail.docx", "A 29689-2024")</f>
        <v/>
      </c>
    </row>
    <row r="151" ht="15" customHeight="1">
      <c r="A151" t="inlineStr">
        <is>
          <t>A 30486-2024</t>
        </is>
      </c>
      <c r="B151" s="1" t="n">
        <v>45491.95018518518</v>
      </c>
      <c r="C151" s="1" t="n">
        <v>45976</v>
      </c>
      <c r="D151" t="inlineStr">
        <is>
          <t>JÄMTLANDS LÄN</t>
        </is>
      </c>
      <c r="E151" t="inlineStr">
        <is>
          <t>BRÄCKE</t>
        </is>
      </c>
      <c r="F151" t="inlineStr">
        <is>
          <t>SCA</t>
        </is>
      </c>
      <c r="G151" t="n">
        <v>3.8</v>
      </c>
      <c r="H151" t="n">
        <v>2</v>
      </c>
      <c r="I151" t="n">
        <v>2</v>
      </c>
      <c r="J151" t="n">
        <v>1</v>
      </c>
      <c r="K151" t="n">
        <v>0</v>
      </c>
      <c r="L151" t="n">
        <v>0</v>
      </c>
      <c r="M151" t="n">
        <v>0</v>
      </c>
      <c r="N151" t="n">
        <v>0</v>
      </c>
      <c r="O151" t="n">
        <v>1</v>
      </c>
      <c r="P151" t="n">
        <v>0</v>
      </c>
      <c r="Q151" t="n">
        <v>3</v>
      </c>
      <c r="R151" s="2" t="inlineStr">
        <is>
          <t>Fjällvråk
Rödgul trumpetsvamp
Tvåblad</t>
        </is>
      </c>
      <c r="S151">
        <f>HYPERLINK("https://klasma.github.io/Logging_2305/artfynd/A 30486-2024 artfynd.xlsx", "A 30486-2024")</f>
        <v/>
      </c>
      <c r="T151">
        <f>HYPERLINK("https://klasma.github.io/Logging_2305/kartor/A 30486-2024 karta.png", "A 30486-2024")</f>
        <v/>
      </c>
      <c r="V151">
        <f>HYPERLINK("https://klasma.github.io/Logging_2305/klagomål/A 30486-2024 FSC-klagomål.docx", "A 30486-2024")</f>
        <v/>
      </c>
      <c r="W151">
        <f>HYPERLINK("https://klasma.github.io/Logging_2305/klagomålsmail/A 30486-2024 FSC-klagomål mail.docx", "A 30486-2024")</f>
        <v/>
      </c>
      <c r="X151">
        <f>HYPERLINK("https://klasma.github.io/Logging_2305/tillsyn/A 30486-2024 tillsynsbegäran.docx", "A 30486-2024")</f>
        <v/>
      </c>
      <c r="Y151">
        <f>HYPERLINK("https://klasma.github.io/Logging_2305/tillsynsmail/A 30486-2024 tillsynsbegäran mail.docx", "A 30486-2024")</f>
        <v/>
      </c>
      <c r="Z151">
        <f>HYPERLINK("https://klasma.github.io/Logging_2305/fåglar/A 30486-2024 prioriterade fågelarter.docx", "A 30486-2024")</f>
        <v/>
      </c>
    </row>
    <row r="152" ht="15" customHeight="1">
      <c r="A152" t="inlineStr">
        <is>
          <t>A 47183-2023</t>
        </is>
      </c>
      <c r="B152" s="1" t="n">
        <v>45201</v>
      </c>
      <c r="C152" s="1" t="n">
        <v>45976</v>
      </c>
      <c r="D152" t="inlineStr">
        <is>
          <t>JÄMTLANDS LÄN</t>
        </is>
      </c>
      <c r="E152" t="inlineStr">
        <is>
          <t>BRÄCKE</t>
        </is>
      </c>
      <c r="F152" t="inlineStr">
        <is>
          <t>SCA</t>
        </is>
      </c>
      <c r="G152" t="n">
        <v>1.2</v>
      </c>
      <c r="H152" t="n">
        <v>2</v>
      </c>
      <c r="I152" t="n">
        <v>1</v>
      </c>
      <c r="J152" t="n">
        <v>1</v>
      </c>
      <c r="K152" t="n">
        <v>0</v>
      </c>
      <c r="L152" t="n">
        <v>0</v>
      </c>
      <c r="M152" t="n">
        <v>0</v>
      </c>
      <c r="N152" t="n">
        <v>0</v>
      </c>
      <c r="O152" t="n">
        <v>1</v>
      </c>
      <c r="P152" t="n">
        <v>0</v>
      </c>
      <c r="Q152" t="n">
        <v>3</v>
      </c>
      <c r="R152" s="2" t="inlineStr">
        <is>
          <t>Lunglav
Spindelblomster
Fläcknycklar</t>
        </is>
      </c>
      <c r="S152">
        <f>HYPERLINK("https://klasma.github.io/Logging_2305/artfynd/A 47183-2023 artfynd.xlsx", "A 47183-2023")</f>
        <v/>
      </c>
      <c r="T152">
        <f>HYPERLINK("https://klasma.github.io/Logging_2305/kartor/A 47183-2023 karta.png", "A 47183-2023")</f>
        <v/>
      </c>
      <c r="U152">
        <f>HYPERLINK("https://klasma.github.io/Logging_2305/knärot/A 47183-2023 karta knärot.png", "A 47183-2023")</f>
        <v/>
      </c>
      <c r="V152">
        <f>HYPERLINK("https://klasma.github.io/Logging_2305/klagomål/A 47183-2023 FSC-klagomål.docx", "A 47183-2023")</f>
        <v/>
      </c>
      <c r="W152">
        <f>HYPERLINK("https://klasma.github.io/Logging_2305/klagomålsmail/A 47183-2023 FSC-klagomål mail.docx", "A 47183-2023")</f>
        <v/>
      </c>
      <c r="X152">
        <f>HYPERLINK("https://klasma.github.io/Logging_2305/tillsyn/A 47183-2023 tillsynsbegäran.docx", "A 47183-2023")</f>
        <v/>
      </c>
      <c r="Y152">
        <f>HYPERLINK("https://klasma.github.io/Logging_2305/tillsynsmail/A 47183-2023 tillsynsbegäran mail.docx", "A 47183-2023")</f>
        <v/>
      </c>
    </row>
    <row r="153" ht="15" customHeight="1">
      <c r="A153" t="inlineStr">
        <is>
          <t>A 53261-2025</t>
        </is>
      </c>
      <c r="B153" s="1" t="n">
        <v>45958.67787037037</v>
      </c>
      <c r="C153" s="1" t="n">
        <v>45976</v>
      </c>
      <c r="D153" t="inlineStr">
        <is>
          <t>JÄMTLANDS LÄN</t>
        </is>
      </c>
      <c r="E153" t="inlineStr">
        <is>
          <t>BRÄCKE</t>
        </is>
      </c>
      <c r="F153" t="inlineStr">
        <is>
          <t>SCA</t>
        </is>
      </c>
      <c r="G153" t="n">
        <v>4.3</v>
      </c>
      <c r="H153" t="n">
        <v>0</v>
      </c>
      <c r="I153" t="n">
        <v>1</v>
      </c>
      <c r="J153" t="n">
        <v>2</v>
      </c>
      <c r="K153" t="n">
        <v>0</v>
      </c>
      <c r="L153" t="n">
        <v>0</v>
      </c>
      <c r="M153" t="n">
        <v>0</v>
      </c>
      <c r="N153" t="n">
        <v>0</v>
      </c>
      <c r="O153" t="n">
        <v>2</v>
      </c>
      <c r="P153" t="n">
        <v>0</v>
      </c>
      <c r="Q153" t="n">
        <v>3</v>
      </c>
      <c r="R153" s="2" t="inlineStr">
        <is>
          <t>Kolflarnlav
Lunglav
Skinnlav</t>
        </is>
      </c>
      <c r="S153">
        <f>HYPERLINK("https://klasma.github.io/Logging_2305/artfynd/A 53261-2025 artfynd.xlsx", "A 53261-2025")</f>
        <v/>
      </c>
      <c r="T153">
        <f>HYPERLINK("https://klasma.github.io/Logging_2305/kartor/A 53261-2025 karta.png", "A 53261-2025")</f>
        <v/>
      </c>
      <c r="V153">
        <f>HYPERLINK("https://klasma.github.io/Logging_2305/klagomål/A 53261-2025 FSC-klagomål.docx", "A 53261-2025")</f>
        <v/>
      </c>
      <c r="W153">
        <f>HYPERLINK("https://klasma.github.io/Logging_2305/klagomålsmail/A 53261-2025 FSC-klagomål mail.docx", "A 53261-2025")</f>
        <v/>
      </c>
      <c r="X153">
        <f>HYPERLINK("https://klasma.github.io/Logging_2305/tillsyn/A 53261-2025 tillsynsbegäran.docx", "A 53261-2025")</f>
        <v/>
      </c>
      <c r="Y153">
        <f>HYPERLINK("https://klasma.github.io/Logging_2305/tillsynsmail/A 53261-2025 tillsynsbegäran mail.docx", "A 53261-2025")</f>
        <v/>
      </c>
    </row>
    <row r="154" ht="15" customHeight="1">
      <c r="A154" t="inlineStr">
        <is>
          <t>A 22546-2025</t>
        </is>
      </c>
      <c r="B154" s="1" t="n">
        <v>45788.46329861111</v>
      </c>
      <c r="C154" s="1" t="n">
        <v>45976</v>
      </c>
      <c r="D154" t="inlineStr">
        <is>
          <t>JÄMTLANDS LÄN</t>
        </is>
      </c>
      <c r="E154" t="inlineStr">
        <is>
          <t>BRÄCKE</t>
        </is>
      </c>
      <c r="G154" t="n">
        <v>8.1</v>
      </c>
      <c r="H154" t="n">
        <v>2</v>
      </c>
      <c r="I154" t="n">
        <v>0</v>
      </c>
      <c r="J154" t="n">
        <v>1</v>
      </c>
      <c r="K154" t="n">
        <v>1</v>
      </c>
      <c r="L154" t="n">
        <v>0</v>
      </c>
      <c r="M154" t="n">
        <v>0</v>
      </c>
      <c r="N154" t="n">
        <v>0</v>
      </c>
      <c r="O154" t="n">
        <v>2</v>
      </c>
      <c r="P154" t="n">
        <v>1</v>
      </c>
      <c r="Q154" t="n">
        <v>3</v>
      </c>
      <c r="R154" s="2" t="inlineStr">
        <is>
          <t>Myrstarr
Skogsfru
Fläcknycklar</t>
        </is>
      </c>
      <c r="S154">
        <f>HYPERLINK("https://klasma.github.io/Logging_2305/artfynd/A 22546-2025 artfynd.xlsx", "A 22546-2025")</f>
        <v/>
      </c>
      <c r="T154">
        <f>HYPERLINK("https://klasma.github.io/Logging_2305/kartor/A 22546-2025 karta.png", "A 22546-2025")</f>
        <v/>
      </c>
      <c r="V154">
        <f>HYPERLINK("https://klasma.github.io/Logging_2305/klagomål/A 22546-2025 FSC-klagomål.docx", "A 22546-2025")</f>
        <v/>
      </c>
      <c r="W154">
        <f>HYPERLINK("https://klasma.github.io/Logging_2305/klagomålsmail/A 22546-2025 FSC-klagomål mail.docx", "A 22546-2025")</f>
        <v/>
      </c>
      <c r="X154">
        <f>HYPERLINK("https://klasma.github.io/Logging_2305/tillsyn/A 22546-2025 tillsynsbegäran.docx", "A 22546-2025")</f>
        <v/>
      </c>
      <c r="Y154">
        <f>HYPERLINK("https://klasma.github.io/Logging_2305/tillsynsmail/A 22546-2025 tillsynsbegäran mail.docx", "A 22546-2025")</f>
        <v/>
      </c>
    </row>
    <row r="155" ht="15" customHeight="1">
      <c r="A155" t="inlineStr">
        <is>
          <t>A 23300-2025</t>
        </is>
      </c>
      <c r="B155" s="1" t="n">
        <v>45791.5946875</v>
      </c>
      <c r="C155" s="1" t="n">
        <v>45976</v>
      </c>
      <c r="D155" t="inlineStr">
        <is>
          <t>JÄMTLANDS LÄN</t>
        </is>
      </c>
      <c r="E155" t="inlineStr">
        <is>
          <t>BRÄCKE</t>
        </is>
      </c>
      <c r="F155" t="inlineStr">
        <is>
          <t>SCA</t>
        </is>
      </c>
      <c r="G155" t="n">
        <v>3.9</v>
      </c>
      <c r="H155" t="n">
        <v>1</v>
      </c>
      <c r="I155" t="n">
        <v>1</v>
      </c>
      <c r="J155" t="n">
        <v>2</v>
      </c>
      <c r="K155" t="n">
        <v>0</v>
      </c>
      <c r="L155" t="n">
        <v>0</v>
      </c>
      <c r="M155" t="n">
        <v>0</v>
      </c>
      <c r="N155" t="n">
        <v>0</v>
      </c>
      <c r="O155" t="n">
        <v>2</v>
      </c>
      <c r="P155" t="n">
        <v>0</v>
      </c>
      <c r="Q155" t="n">
        <v>3</v>
      </c>
      <c r="R155" s="2" t="inlineStr">
        <is>
          <t>Mörk kolflarnlav
Tretåig hackspett
Norrlandslav</t>
        </is>
      </c>
      <c r="S155">
        <f>HYPERLINK("https://klasma.github.io/Logging_2305/artfynd/A 23300-2025 artfynd.xlsx", "A 23300-2025")</f>
        <v/>
      </c>
      <c r="T155">
        <f>HYPERLINK("https://klasma.github.io/Logging_2305/kartor/A 23300-2025 karta.png", "A 23300-2025")</f>
        <v/>
      </c>
      <c r="V155">
        <f>HYPERLINK("https://klasma.github.io/Logging_2305/klagomål/A 23300-2025 FSC-klagomål.docx", "A 23300-2025")</f>
        <v/>
      </c>
      <c r="W155">
        <f>HYPERLINK("https://klasma.github.io/Logging_2305/klagomålsmail/A 23300-2025 FSC-klagomål mail.docx", "A 23300-2025")</f>
        <v/>
      </c>
      <c r="X155">
        <f>HYPERLINK("https://klasma.github.io/Logging_2305/tillsyn/A 23300-2025 tillsynsbegäran.docx", "A 23300-2025")</f>
        <v/>
      </c>
      <c r="Y155">
        <f>HYPERLINK("https://klasma.github.io/Logging_2305/tillsynsmail/A 23300-2025 tillsynsbegäran mail.docx", "A 23300-2025")</f>
        <v/>
      </c>
      <c r="Z155">
        <f>HYPERLINK("https://klasma.github.io/Logging_2305/fåglar/A 23300-2025 prioriterade fågelarter.docx", "A 23300-2025")</f>
        <v/>
      </c>
    </row>
    <row r="156" ht="15" customHeight="1">
      <c r="A156" t="inlineStr">
        <is>
          <t>A 23854-2025</t>
        </is>
      </c>
      <c r="B156" s="1" t="n">
        <v>45793.65658564815</v>
      </c>
      <c r="C156" s="1" t="n">
        <v>45976</v>
      </c>
      <c r="D156" t="inlineStr">
        <is>
          <t>JÄMTLANDS LÄN</t>
        </is>
      </c>
      <c r="E156" t="inlineStr">
        <is>
          <t>BRÄCKE</t>
        </is>
      </c>
      <c r="F156" t="inlineStr">
        <is>
          <t>SCA</t>
        </is>
      </c>
      <c r="G156" t="n">
        <v>4.5</v>
      </c>
      <c r="H156" t="n">
        <v>1</v>
      </c>
      <c r="I156" t="n">
        <v>1</v>
      </c>
      <c r="J156" t="n">
        <v>1</v>
      </c>
      <c r="K156" t="n">
        <v>0</v>
      </c>
      <c r="L156" t="n">
        <v>0</v>
      </c>
      <c r="M156" t="n">
        <v>0</v>
      </c>
      <c r="N156" t="n">
        <v>0</v>
      </c>
      <c r="O156" t="n">
        <v>1</v>
      </c>
      <c r="P156" t="n">
        <v>0</v>
      </c>
      <c r="Q156" t="n">
        <v>3</v>
      </c>
      <c r="R156" s="2" t="inlineStr">
        <is>
          <t>Garnlav
Skuggblåslav
Tjäder</t>
        </is>
      </c>
      <c r="S156">
        <f>HYPERLINK("https://klasma.github.io/Logging_2305/artfynd/A 23854-2025 artfynd.xlsx", "A 23854-2025")</f>
        <v/>
      </c>
      <c r="T156">
        <f>HYPERLINK("https://klasma.github.io/Logging_2305/kartor/A 23854-2025 karta.png", "A 23854-2025")</f>
        <v/>
      </c>
      <c r="V156">
        <f>HYPERLINK("https://klasma.github.io/Logging_2305/klagomål/A 23854-2025 FSC-klagomål.docx", "A 23854-2025")</f>
        <v/>
      </c>
      <c r="W156">
        <f>HYPERLINK("https://klasma.github.io/Logging_2305/klagomålsmail/A 23854-2025 FSC-klagomål mail.docx", "A 23854-2025")</f>
        <v/>
      </c>
      <c r="X156">
        <f>HYPERLINK("https://klasma.github.io/Logging_2305/tillsyn/A 23854-2025 tillsynsbegäran.docx", "A 23854-2025")</f>
        <v/>
      </c>
      <c r="Y156">
        <f>HYPERLINK("https://klasma.github.io/Logging_2305/tillsynsmail/A 23854-2025 tillsynsbegäran mail.docx", "A 23854-2025")</f>
        <v/>
      </c>
      <c r="Z156">
        <f>HYPERLINK("https://klasma.github.io/Logging_2305/fåglar/A 23854-2025 prioriterade fågelarter.docx", "A 23854-2025")</f>
        <v/>
      </c>
    </row>
    <row r="157" ht="15" customHeight="1">
      <c r="A157" t="inlineStr">
        <is>
          <t>A 23687-2025</t>
        </is>
      </c>
      <c r="B157" s="1" t="n">
        <v>45793.34428240741</v>
      </c>
      <c r="C157" s="1" t="n">
        <v>45976</v>
      </c>
      <c r="D157" t="inlineStr">
        <is>
          <t>JÄMTLANDS LÄN</t>
        </is>
      </c>
      <c r="E157" t="inlineStr">
        <is>
          <t>BRÄCKE</t>
        </is>
      </c>
      <c r="F157" t="inlineStr">
        <is>
          <t>SCA</t>
        </is>
      </c>
      <c r="G157" t="n">
        <v>5.5</v>
      </c>
      <c r="H157" t="n">
        <v>0</v>
      </c>
      <c r="I157" t="n">
        <v>2</v>
      </c>
      <c r="J157" t="n">
        <v>1</v>
      </c>
      <c r="K157" t="n">
        <v>0</v>
      </c>
      <c r="L157" t="n">
        <v>0</v>
      </c>
      <c r="M157" t="n">
        <v>0</v>
      </c>
      <c r="N157" t="n">
        <v>0</v>
      </c>
      <c r="O157" t="n">
        <v>1</v>
      </c>
      <c r="P157" t="n">
        <v>0</v>
      </c>
      <c r="Q157" t="n">
        <v>3</v>
      </c>
      <c r="R157" s="2" t="inlineStr">
        <is>
          <t>Lunglav
Skinnlav
Stuplav</t>
        </is>
      </c>
      <c r="S157">
        <f>HYPERLINK("https://klasma.github.io/Logging_2305/artfynd/A 23687-2025 artfynd.xlsx", "A 23687-2025")</f>
        <v/>
      </c>
      <c r="T157">
        <f>HYPERLINK("https://klasma.github.io/Logging_2305/kartor/A 23687-2025 karta.png", "A 23687-2025")</f>
        <v/>
      </c>
      <c r="V157">
        <f>HYPERLINK("https://klasma.github.io/Logging_2305/klagomål/A 23687-2025 FSC-klagomål.docx", "A 23687-2025")</f>
        <v/>
      </c>
      <c r="W157">
        <f>HYPERLINK("https://klasma.github.io/Logging_2305/klagomålsmail/A 23687-2025 FSC-klagomål mail.docx", "A 23687-2025")</f>
        <v/>
      </c>
      <c r="X157">
        <f>HYPERLINK("https://klasma.github.io/Logging_2305/tillsyn/A 23687-2025 tillsynsbegäran.docx", "A 23687-2025")</f>
        <v/>
      </c>
      <c r="Y157">
        <f>HYPERLINK("https://klasma.github.io/Logging_2305/tillsynsmail/A 23687-2025 tillsynsbegäran mail.docx", "A 23687-2025")</f>
        <v/>
      </c>
    </row>
    <row r="158" ht="15" customHeight="1">
      <c r="A158" t="inlineStr">
        <is>
          <t>A 23592-2025</t>
        </is>
      </c>
      <c r="B158" s="1" t="n">
        <v>45792.63644675926</v>
      </c>
      <c r="C158" s="1" t="n">
        <v>45976</v>
      </c>
      <c r="D158" t="inlineStr">
        <is>
          <t>JÄMTLANDS LÄN</t>
        </is>
      </c>
      <c r="E158" t="inlineStr">
        <is>
          <t>BRÄCKE</t>
        </is>
      </c>
      <c r="F158" t="inlineStr">
        <is>
          <t>SCA</t>
        </is>
      </c>
      <c r="G158" t="n">
        <v>3.6</v>
      </c>
      <c r="H158" t="n">
        <v>1</v>
      </c>
      <c r="I158" t="n">
        <v>0</v>
      </c>
      <c r="J158" t="n">
        <v>2</v>
      </c>
      <c r="K158" t="n">
        <v>1</v>
      </c>
      <c r="L158" t="n">
        <v>0</v>
      </c>
      <c r="M158" t="n">
        <v>0</v>
      </c>
      <c r="N158" t="n">
        <v>0</v>
      </c>
      <c r="O158" t="n">
        <v>3</v>
      </c>
      <c r="P158" t="n">
        <v>1</v>
      </c>
      <c r="Q158" t="n">
        <v>3</v>
      </c>
      <c r="R158" s="2" t="inlineStr">
        <is>
          <t>Knärot
Lunglav
Rosenticka</t>
        </is>
      </c>
      <c r="S158">
        <f>HYPERLINK("https://klasma.github.io/Logging_2305/artfynd/A 23592-2025 artfynd.xlsx", "A 23592-2025")</f>
        <v/>
      </c>
      <c r="T158">
        <f>HYPERLINK("https://klasma.github.io/Logging_2305/kartor/A 23592-2025 karta.png", "A 23592-2025")</f>
        <v/>
      </c>
      <c r="U158">
        <f>HYPERLINK("https://klasma.github.io/Logging_2305/knärot/A 23592-2025 karta knärot.png", "A 23592-2025")</f>
        <v/>
      </c>
      <c r="V158">
        <f>HYPERLINK("https://klasma.github.io/Logging_2305/klagomål/A 23592-2025 FSC-klagomål.docx", "A 23592-2025")</f>
        <v/>
      </c>
      <c r="W158">
        <f>HYPERLINK("https://klasma.github.io/Logging_2305/klagomålsmail/A 23592-2025 FSC-klagomål mail.docx", "A 23592-2025")</f>
        <v/>
      </c>
      <c r="X158">
        <f>HYPERLINK("https://klasma.github.io/Logging_2305/tillsyn/A 23592-2025 tillsynsbegäran.docx", "A 23592-2025")</f>
        <v/>
      </c>
      <c r="Y158">
        <f>HYPERLINK("https://klasma.github.io/Logging_2305/tillsynsmail/A 23592-2025 tillsynsbegäran mail.docx", "A 23592-2025")</f>
        <v/>
      </c>
    </row>
    <row r="159" ht="15" customHeight="1">
      <c r="A159" t="inlineStr">
        <is>
          <t>A 58584-2021</t>
        </is>
      </c>
      <c r="B159" s="1" t="n">
        <v>44488</v>
      </c>
      <c r="C159" s="1" t="n">
        <v>45976</v>
      </c>
      <c r="D159" t="inlineStr">
        <is>
          <t>JÄMTLANDS LÄN</t>
        </is>
      </c>
      <c r="E159" t="inlineStr">
        <is>
          <t>BRÄCKE</t>
        </is>
      </c>
      <c r="G159" t="n">
        <v>32</v>
      </c>
      <c r="H159" t="n">
        <v>0</v>
      </c>
      <c r="I159" t="n">
        <v>1</v>
      </c>
      <c r="J159" t="n">
        <v>2</v>
      </c>
      <c r="K159" t="n">
        <v>0</v>
      </c>
      <c r="L159" t="n">
        <v>0</v>
      </c>
      <c r="M159" t="n">
        <v>0</v>
      </c>
      <c r="N159" t="n">
        <v>0</v>
      </c>
      <c r="O159" t="n">
        <v>2</v>
      </c>
      <c r="P159" t="n">
        <v>0</v>
      </c>
      <c r="Q159" t="n">
        <v>3</v>
      </c>
      <c r="R159" s="2" t="inlineStr">
        <is>
          <t>Garnlav
Lunglav
Bårdlav</t>
        </is>
      </c>
      <c r="S159">
        <f>HYPERLINK("https://klasma.github.io/Logging_2305/artfynd/A 58584-2021 artfynd.xlsx", "A 58584-2021")</f>
        <v/>
      </c>
      <c r="T159">
        <f>HYPERLINK("https://klasma.github.io/Logging_2305/kartor/A 58584-2021 karta.png", "A 58584-2021")</f>
        <v/>
      </c>
      <c r="U159">
        <f>HYPERLINK("https://klasma.github.io/Logging_2305/knärot/A 58584-2021 karta knärot.png", "A 58584-2021")</f>
        <v/>
      </c>
      <c r="V159">
        <f>HYPERLINK("https://klasma.github.io/Logging_2305/klagomål/A 58584-2021 FSC-klagomål.docx", "A 58584-2021")</f>
        <v/>
      </c>
      <c r="W159">
        <f>HYPERLINK("https://klasma.github.io/Logging_2305/klagomålsmail/A 58584-2021 FSC-klagomål mail.docx", "A 58584-2021")</f>
        <v/>
      </c>
      <c r="X159">
        <f>HYPERLINK("https://klasma.github.io/Logging_2305/tillsyn/A 58584-2021 tillsynsbegäran.docx", "A 58584-2021")</f>
        <v/>
      </c>
      <c r="Y159">
        <f>HYPERLINK("https://klasma.github.io/Logging_2305/tillsynsmail/A 58584-2021 tillsynsbegäran mail.docx", "A 58584-2021")</f>
        <v/>
      </c>
    </row>
    <row r="160" ht="15" customHeight="1">
      <c r="A160" t="inlineStr">
        <is>
          <t>A 24635-2025</t>
        </is>
      </c>
      <c r="B160" s="1" t="n">
        <v>45798.61513888889</v>
      </c>
      <c r="C160" s="1" t="n">
        <v>45976</v>
      </c>
      <c r="D160" t="inlineStr">
        <is>
          <t>JÄMTLANDS LÄN</t>
        </is>
      </c>
      <c r="E160" t="inlineStr">
        <is>
          <t>BRÄCKE</t>
        </is>
      </c>
      <c r="G160" t="n">
        <v>3.2</v>
      </c>
      <c r="H160" t="n">
        <v>1</v>
      </c>
      <c r="I160" t="n">
        <v>0</v>
      </c>
      <c r="J160" t="n">
        <v>3</v>
      </c>
      <c r="K160" t="n">
        <v>0</v>
      </c>
      <c r="L160" t="n">
        <v>0</v>
      </c>
      <c r="M160" t="n">
        <v>0</v>
      </c>
      <c r="N160" t="n">
        <v>0</v>
      </c>
      <c r="O160" t="n">
        <v>3</v>
      </c>
      <c r="P160" t="n">
        <v>0</v>
      </c>
      <c r="Q160" t="n">
        <v>3</v>
      </c>
      <c r="R160" s="2" t="inlineStr">
        <is>
          <t>Lunglav
Tretåig hackspett
Ullticka</t>
        </is>
      </c>
      <c r="S160">
        <f>HYPERLINK("https://klasma.github.io/Logging_2305/artfynd/A 24635-2025 artfynd.xlsx", "A 24635-2025")</f>
        <v/>
      </c>
      <c r="T160">
        <f>HYPERLINK("https://klasma.github.io/Logging_2305/kartor/A 24635-2025 karta.png", "A 24635-2025")</f>
        <v/>
      </c>
      <c r="V160">
        <f>HYPERLINK("https://klasma.github.io/Logging_2305/klagomål/A 24635-2025 FSC-klagomål.docx", "A 24635-2025")</f>
        <v/>
      </c>
      <c r="W160">
        <f>HYPERLINK("https://klasma.github.io/Logging_2305/klagomålsmail/A 24635-2025 FSC-klagomål mail.docx", "A 24635-2025")</f>
        <v/>
      </c>
      <c r="X160">
        <f>HYPERLINK("https://klasma.github.io/Logging_2305/tillsyn/A 24635-2025 tillsynsbegäran.docx", "A 24635-2025")</f>
        <v/>
      </c>
      <c r="Y160">
        <f>HYPERLINK("https://klasma.github.io/Logging_2305/tillsynsmail/A 24635-2025 tillsynsbegäran mail.docx", "A 24635-2025")</f>
        <v/>
      </c>
      <c r="Z160">
        <f>HYPERLINK("https://klasma.github.io/Logging_2305/fåglar/A 24635-2025 prioriterade fågelarter.docx", "A 24635-2025")</f>
        <v/>
      </c>
    </row>
    <row r="161" ht="15" customHeight="1">
      <c r="A161" t="inlineStr">
        <is>
          <t>A 47038-2025</t>
        </is>
      </c>
      <c r="B161" s="1" t="n">
        <v>45929.59473379629</v>
      </c>
      <c r="C161" s="1" t="n">
        <v>45976</v>
      </c>
      <c r="D161" t="inlineStr">
        <is>
          <t>JÄMTLANDS LÄN</t>
        </is>
      </c>
      <c r="E161" t="inlineStr">
        <is>
          <t>BRÄCKE</t>
        </is>
      </c>
      <c r="F161" t="inlineStr">
        <is>
          <t>SCA</t>
        </is>
      </c>
      <c r="G161" t="n">
        <v>1.2</v>
      </c>
      <c r="H161" t="n">
        <v>0</v>
      </c>
      <c r="I161" t="n">
        <v>2</v>
      </c>
      <c r="J161" t="n">
        <v>1</v>
      </c>
      <c r="K161" t="n">
        <v>0</v>
      </c>
      <c r="L161" t="n">
        <v>0</v>
      </c>
      <c r="M161" t="n">
        <v>0</v>
      </c>
      <c r="N161" t="n">
        <v>0</v>
      </c>
      <c r="O161" t="n">
        <v>1</v>
      </c>
      <c r="P161" t="n">
        <v>0</v>
      </c>
      <c r="Q161" t="n">
        <v>3</v>
      </c>
      <c r="R161" s="2" t="inlineStr">
        <is>
          <t>Garnlav
Skarp dropptaggsvamp
Skinnlav</t>
        </is>
      </c>
      <c r="S161">
        <f>HYPERLINK("https://klasma.github.io/Logging_2305/artfynd/A 47038-2025 artfynd.xlsx", "A 47038-2025")</f>
        <v/>
      </c>
      <c r="T161">
        <f>HYPERLINK("https://klasma.github.io/Logging_2305/kartor/A 47038-2025 karta.png", "A 47038-2025")</f>
        <v/>
      </c>
      <c r="V161">
        <f>HYPERLINK("https://klasma.github.io/Logging_2305/klagomål/A 47038-2025 FSC-klagomål.docx", "A 47038-2025")</f>
        <v/>
      </c>
      <c r="W161">
        <f>HYPERLINK("https://klasma.github.io/Logging_2305/klagomålsmail/A 47038-2025 FSC-klagomål mail.docx", "A 47038-2025")</f>
        <v/>
      </c>
      <c r="X161">
        <f>HYPERLINK("https://klasma.github.io/Logging_2305/tillsyn/A 47038-2025 tillsynsbegäran.docx", "A 47038-2025")</f>
        <v/>
      </c>
      <c r="Y161">
        <f>HYPERLINK("https://klasma.github.io/Logging_2305/tillsynsmail/A 47038-2025 tillsynsbegäran mail.docx", "A 47038-2025")</f>
        <v/>
      </c>
    </row>
    <row r="162" ht="15" customHeight="1">
      <c r="A162" t="inlineStr">
        <is>
          <t>A 47073-2025</t>
        </is>
      </c>
      <c r="B162" s="1" t="n">
        <v>45929.63668981481</v>
      </c>
      <c r="C162" s="1" t="n">
        <v>45976</v>
      </c>
      <c r="D162" t="inlineStr">
        <is>
          <t>JÄMTLANDS LÄN</t>
        </is>
      </c>
      <c r="E162" t="inlineStr">
        <is>
          <t>BRÄCKE</t>
        </is>
      </c>
      <c r="F162" t="inlineStr">
        <is>
          <t>SCA</t>
        </is>
      </c>
      <c r="G162" t="n">
        <v>4</v>
      </c>
      <c r="H162" t="n">
        <v>0</v>
      </c>
      <c r="I162" t="n">
        <v>0</v>
      </c>
      <c r="J162" t="n">
        <v>3</v>
      </c>
      <c r="K162" t="n">
        <v>0</v>
      </c>
      <c r="L162" t="n">
        <v>0</v>
      </c>
      <c r="M162" t="n">
        <v>0</v>
      </c>
      <c r="N162" t="n">
        <v>0</v>
      </c>
      <c r="O162" t="n">
        <v>3</v>
      </c>
      <c r="P162" t="n">
        <v>0</v>
      </c>
      <c r="Q162" t="n">
        <v>3</v>
      </c>
      <c r="R162" s="2" t="inlineStr">
        <is>
          <t>Dvärgbägarlav
Mörk kolflarnlav
Reliktbock</t>
        </is>
      </c>
      <c r="S162">
        <f>HYPERLINK("https://klasma.github.io/Logging_2305/artfynd/A 47073-2025 artfynd.xlsx", "A 47073-2025")</f>
        <v/>
      </c>
      <c r="T162">
        <f>HYPERLINK("https://klasma.github.io/Logging_2305/kartor/A 47073-2025 karta.png", "A 47073-2025")</f>
        <v/>
      </c>
      <c r="V162">
        <f>HYPERLINK("https://klasma.github.io/Logging_2305/klagomål/A 47073-2025 FSC-klagomål.docx", "A 47073-2025")</f>
        <v/>
      </c>
      <c r="W162">
        <f>HYPERLINK("https://klasma.github.io/Logging_2305/klagomålsmail/A 47073-2025 FSC-klagomål mail.docx", "A 47073-2025")</f>
        <v/>
      </c>
      <c r="X162">
        <f>HYPERLINK("https://klasma.github.io/Logging_2305/tillsyn/A 47073-2025 tillsynsbegäran.docx", "A 47073-2025")</f>
        <v/>
      </c>
      <c r="Y162">
        <f>HYPERLINK("https://klasma.github.io/Logging_2305/tillsynsmail/A 47073-2025 tillsynsbegäran mail.docx", "A 47073-2025")</f>
        <v/>
      </c>
    </row>
    <row r="163" ht="15" customHeight="1">
      <c r="A163" t="inlineStr">
        <is>
          <t>A 49293-2025</t>
        </is>
      </c>
      <c r="B163" s="1" t="n">
        <v>45938.53223379629</v>
      </c>
      <c r="C163" s="1" t="n">
        <v>45976</v>
      </c>
      <c r="D163" t="inlineStr">
        <is>
          <t>JÄMTLANDS LÄN</t>
        </is>
      </c>
      <c r="E163" t="inlineStr">
        <is>
          <t>BRÄCKE</t>
        </is>
      </c>
      <c r="F163" t="inlineStr">
        <is>
          <t>SCA</t>
        </is>
      </c>
      <c r="G163" t="n">
        <v>2</v>
      </c>
      <c r="H163" t="n">
        <v>0</v>
      </c>
      <c r="I163" t="n">
        <v>0</v>
      </c>
      <c r="J163" t="n">
        <v>3</v>
      </c>
      <c r="K163" t="n">
        <v>0</v>
      </c>
      <c r="L163" t="n">
        <v>0</v>
      </c>
      <c r="M163" t="n">
        <v>0</v>
      </c>
      <c r="N163" t="n">
        <v>0</v>
      </c>
      <c r="O163" t="n">
        <v>3</v>
      </c>
      <c r="P163" t="n">
        <v>0</v>
      </c>
      <c r="Q163" t="n">
        <v>3</v>
      </c>
      <c r="R163" s="2" t="inlineStr">
        <is>
          <t>Garnlav
Kolflarnlav
Lunglav</t>
        </is>
      </c>
      <c r="S163">
        <f>HYPERLINK("https://klasma.github.io/Logging_2305/artfynd/A 49293-2025 artfynd.xlsx", "A 49293-2025")</f>
        <v/>
      </c>
      <c r="T163">
        <f>HYPERLINK("https://klasma.github.io/Logging_2305/kartor/A 49293-2025 karta.png", "A 49293-2025")</f>
        <v/>
      </c>
      <c r="V163">
        <f>HYPERLINK("https://klasma.github.io/Logging_2305/klagomål/A 49293-2025 FSC-klagomål.docx", "A 49293-2025")</f>
        <v/>
      </c>
      <c r="W163">
        <f>HYPERLINK("https://klasma.github.io/Logging_2305/klagomålsmail/A 49293-2025 FSC-klagomål mail.docx", "A 49293-2025")</f>
        <v/>
      </c>
      <c r="X163">
        <f>HYPERLINK("https://klasma.github.io/Logging_2305/tillsyn/A 49293-2025 tillsynsbegäran.docx", "A 49293-2025")</f>
        <v/>
      </c>
      <c r="Y163">
        <f>HYPERLINK("https://klasma.github.io/Logging_2305/tillsynsmail/A 49293-2025 tillsynsbegäran mail.docx", "A 49293-2025")</f>
        <v/>
      </c>
    </row>
    <row r="164" ht="15" customHeight="1">
      <c r="A164" t="inlineStr">
        <is>
          <t>A 41648-2023</t>
        </is>
      </c>
      <c r="B164" s="1" t="n">
        <v>45175</v>
      </c>
      <c r="C164" s="1" t="n">
        <v>45976</v>
      </c>
      <c r="D164" t="inlineStr">
        <is>
          <t>JÄMTLANDS LÄN</t>
        </is>
      </c>
      <c r="E164" t="inlineStr">
        <is>
          <t>BRÄCKE</t>
        </is>
      </c>
      <c r="F164" t="inlineStr">
        <is>
          <t>SCA</t>
        </is>
      </c>
      <c r="G164" t="n">
        <v>6.7</v>
      </c>
      <c r="H164" t="n">
        <v>2</v>
      </c>
      <c r="I164" t="n">
        <v>1</v>
      </c>
      <c r="J164" t="n">
        <v>1</v>
      </c>
      <c r="K164" t="n">
        <v>1</v>
      </c>
      <c r="L164" t="n">
        <v>0</v>
      </c>
      <c r="M164" t="n">
        <v>0</v>
      </c>
      <c r="N164" t="n">
        <v>0</v>
      </c>
      <c r="O164" t="n">
        <v>2</v>
      </c>
      <c r="P164" t="n">
        <v>1</v>
      </c>
      <c r="Q164" t="n">
        <v>3</v>
      </c>
      <c r="R164" s="2" t="inlineStr">
        <is>
          <t>Knärot
Flattoppad klubbsvamp
Spindelblomster</t>
        </is>
      </c>
      <c r="S164">
        <f>HYPERLINK("https://klasma.github.io/Logging_2305/artfynd/A 41648-2023 artfynd.xlsx", "A 41648-2023")</f>
        <v/>
      </c>
      <c r="T164">
        <f>HYPERLINK("https://klasma.github.io/Logging_2305/kartor/A 41648-2023 karta.png", "A 41648-2023")</f>
        <v/>
      </c>
      <c r="U164">
        <f>HYPERLINK("https://klasma.github.io/Logging_2305/knärot/A 41648-2023 karta knärot.png", "A 41648-2023")</f>
        <v/>
      </c>
      <c r="V164">
        <f>HYPERLINK("https://klasma.github.io/Logging_2305/klagomål/A 41648-2023 FSC-klagomål.docx", "A 41648-2023")</f>
        <v/>
      </c>
      <c r="W164">
        <f>HYPERLINK("https://klasma.github.io/Logging_2305/klagomålsmail/A 41648-2023 FSC-klagomål mail.docx", "A 41648-2023")</f>
        <v/>
      </c>
      <c r="X164">
        <f>HYPERLINK("https://klasma.github.io/Logging_2305/tillsyn/A 41648-2023 tillsynsbegäran.docx", "A 41648-2023")</f>
        <v/>
      </c>
      <c r="Y164">
        <f>HYPERLINK("https://klasma.github.io/Logging_2305/tillsynsmail/A 41648-2023 tillsynsbegäran mail.docx", "A 41648-2023")</f>
        <v/>
      </c>
    </row>
    <row r="165" ht="15" customHeight="1">
      <c r="A165" t="inlineStr">
        <is>
          <t>A 26009-2024</t>
        </is>
      </c>
      <c r="B165" s="1" t="n">
        <v>45467</v>
      </c>
      <c r="C165" s="1" t="n">
        <v>45976</v>
      </c>
      <c r="D165" t="inlineStr">
        <is>
          <t>JÄMTLANDS LÄN</t>
        </is>
      </c>
      <c r="E165" t="inlineStr">
        <is>
          <t>BRÄCKE</t>
        </is>
      </c>
      <c r="F165" t="inlineStr">
        <is>
          <t>SCA</t>
        </is>
      </c>
      <c r="G165" t="n">
        <v>8.5</v>
      </c>
      <c r="H165" t="n">
        <v>2</v>
      </c>
      <c r="I165" t="n">
        <v>2</v>
      </c>
      <c r="J165" t="n">
        <v>1</v>
      </c>
      <c r="K165" t="n">
        <v>0</v>
      </c>
      <c r="L165" t="n">
        <v>0</v>
      </c>
      <c r="M165" t="n">
        <v>0</v>
      </c>
      <c r="N165" t="n">
        <v>0</v>
      </c>
      <c r="O165" t="n">
        <v>1</v>
      </c>
      <c r="P165" t="n">
        <v>0</v>
      </c>
      <c r="Q165" t="n">
        <v>3</v>
      </c>
      <c r="R165" s="2" t="inlineStr">
        <is>
          <t>Fjällvråk
Rödgul trumpetsvamp
Tvåblad</t>
        </is>
      </c>
      <c r="S165">
        <f>HYPERLINK("https://klasma.github.io/Logging_2305/artfynd/A 26009-2024 artfynd.xlsx", "A 26009-2024")</f>
        <v/>
      </c>
      <c r="T165">
        <f>HYPERLINK("https://klasma.github.io/Logging_2305/kartor/A 26009-2024 karta.png", "A 26009-2024")</f>
        <v/>
      </c>
      <c r="V165">
        <f>HYPERLINK("https://klasma.github.io/Logging_2305/klagomål/A 26009-2024 FSC-klagomål.docx", "A 26009-2024")</f>
        <v/>
      </c>
      <c r="W165">
        <f>HYPERLINK("https://klasma.github.io/Logging_2305/klagomålsmail/A 26009-2024 FSC-klagomål mail.docx", "A 26009-2024")</f>
        <v/>
      </c>
      <c r="X165">
        <f>HYPERLINK("https://klasma.github.io/Logging_2305/tillsyn/A 26009-2024 tillsynsbegäran.docx", "A 26009-2024")</f>
        <v/>
      </c>
      <c r="Y165">
        <f>HYPERLINK("https://klasma.github.io/Logging_2305/tillsynsmail/A 26009-2024 tillsynsbegäran mail.docx", "A 26009-2024")</f>
        <v/>
      </c>
      <c r="Z165">
        <f>HYPERLINK("https://klasma.github.io/Logging_2305/fåglar/A 26009-2024 prioriterade fågelarter.docx", "A 26009-2024")</f>
        <v/>
      </c>
    </row>
    <row r="166" ht="15" customHeight="1">
      <c r="A166" t="inlineStr">
        <is>
          <t>A 30112-2025</t>
        </is>
      </c>
      <c r="B166" s="1" t="n">
        <v>45826.71938657408</v>
      </c>
      <c r="C166" s="1" t="n">
        <v>45976</v>
      </c>
      <c r="D166" t="inlineStr">
        <is>
          <t>JÄMTLANDS LÄN</t>
        </is>
      </c>
      <c r="E166" t="inlineStr">
        <is>
          <t>BRÄCKE</t>
        </is>
      </c>
      <c r="F166" t="inlineStr">
        <is>
          <t>SCA</t>
        </is>
      </c>
      <c r="G166" t="n">
        <v>8.9</v>
      </c>
      <c r="H166" t="n">
        <v>1</v>
      </c>
      <c r="I166" t="n">
        <v>1</v>
      </c>
      <c r="J166" t="n">
        <v>1</v>
      </c>
      <c r="K166" t="n">
        <v>1</v>
      </c>
      <c r="L166" t="n">
        <v>0</v>
      </c>
      <c r="M166" t="n">
        <v>0</v>
      </c>
      <c r="N166" t="n">
        <v>0</v>
      </c>
      <c r="O166" t="n">
        <v>2</v>
      </c>
      <c r="P166" t="n">
        <v>1</v>
      </c>
      <c r="Q166" t="n">
        <v>3</v>
      </c>
      <c r="R166" s="2" t="inlineStr">
        <is>
          <t>Knärot
Rosenticka
Kransrams</t>
        </is>
      </c>
      <c r="S166">
        <f>HYPERLINK("https://klasma.github.io/Logging_2305/artfynd/A 30112-2025 artfynd.xlsx", "A 30112-2025")</f>
        <v/>
      </c>
      <c r="T166">
        <f>HYPERLINK("https://klasma.github.io/Logging_2305/kartor/A 30112-2025 karta.png", "A 30112-2025")</f>
        <v/>
      </c>
      <c r="U166">
        <f>HYPERLINK("https://klasma.github.io/Logging_2305/knärot/A 30112-2025 karta knärot.png", "A 30112-2025")</f>
        <v/>
      </c>
      <c r="V166">
        <f>HYPERLINK("https://klasma.github.io/Logging_2305/klagomål/A 30112-2025 FSC-klagomål.docx", "A 30112-2025")</f>
        <v/>
      </c>
      <c r="W166">
        <f>HYPERLINK("https://klasma.github.io/Logging_2305/klagomålsmail/A 30112-2025 FSC-klagomål mail.docx", "A 30112-2025")</f>
        <v/>
      </c>
      <c r="X166">
        <f>HYPERLINK("https://klasma.github.io/Logging_2305/tillsyn/A 30112-2025 tillsynsbegäran.docx", "A 30112-2025")</f>
        <v/>
      </c>
      <c r="Y166">
        <f>HYPERLINK("https://klasma.github.io/Logging_2305/tillsynsmail/A 30112-2025 tillsynsbegäran mail.docx", "A 30112-2025")</f>
        <v/>
      </c>
    </row>
    <row r="167" ht="15" customHeight="1">
      <c r="A167" t="inlineStr">
        <is>
          <t>A 50516-2023</t>
        </is>
      </c>
      <c r="B167" s="1" t="n">
        <v>45216</v>
      </c>
      <c r="C167" s="1" t="n">
        <v>45976</v>
      </c>
      <c r="D167" t="inlineStr">
        <is>
          <t>JÄMTLANDS LÄN</t>
        </is>
      </c>
      <c r="E167" t="inlineStr">
        <is>
          <t>BRÄCKE</t>
        </is>
      </c>
      <c r="F167" t="inlineStr">
        <is>
          <t>SCA</t>
        </is>
      </c>
      <c r="G167" t="n">
        <v>3.1</v>
      </c>
      <c r="H167" t="n">
        <v>3</v>
      </c>
      <c r="I167" t="n">
        <v>0</v>
      </c>
      <c r="J167" t="n">
        <v>2</v>
      </c>
      <c r="K167" t="n">
        <v>0</v>
      </c>
      <c r="L167" t="n">
        <v>0</v>
      </c>
      <c r="M167" t="n">
        <v>0</v>
      </c>
      <c r="N167" t="n">
        <v>0</v>
      </c>
      <c r="O167" t="n">
        <v>2</v>
      </c>
      <c r="P167" t="n">
        <v>0</v>
      </c>
      <c r="Q167" t="n">
        <v>3</v>
      </c>
      <c r="R167" s="2" t="inlineStr">
        <is>
          <t>Spillkråka
Talltita
Grönsiska</t>
        </is>
      </c>
      <c r="S167">
        <f>HYPERLINK("https://klasma.github.io/Logging_2305/artfynd/A 50516-2023 artfynd.xlsx", "A 50516-2023")</f>
        <v/>
      </c>
      <c r="T167">
        <f>HYPERLINK("https://klasma.github.io/Logging_2305/kartor/A 50516-2023 karta.png", "A 50516-2023")</f>
        <v/>
      </c>
      <c r="V167">
        <f>HYPERLINK("https://klasma.github.io/Logging_2305/klagomål/A 50516-2023 FSC-klagomål.docx", "A 50516-2023")</f>
        <v/>
      </c>
      <c r="W167">
        <f>HYPERLINK("https://klasma.github.io/Logging_2305/klagomålsmail/A 50516-2023 FSC-klagomål mail.docx", "A 50516-2023")</f>
        <v/>
      </c>
      <c r="X167">
        <f>HYPERLINK("https://klasma.github.io/Logging_2305/tillsyn/A 50516-2023 tillsynsbegäran.docx", "A 50516-2023")</f>
        <v/>
      </c>
      <c r="Y167">
        <f>HYPERLINK("https://klasma.github.io/Logging_2305/tillsynsmail/A 50516-2023 tillsynsbegäran mail.docx", "A 50516-2023")</f>
        <v/>
      </c>
      <c r="Z167">
        <f>HYPERLINK("https://klasma.github.io/Logging_2305/fåglar/A 50516-2023 prioriterade fågelarter.docx", "A 50516-2023")</f>
        <v/>
      </c>
    </row>
    <row r="168" ht="15" customHeight="1">
      <c r="A168" t="inlineStr">
        <is>
          <t>A 33678-2025</t>
        </is>
      </c>
      <c r="B168" s="1" t="n">
        <v>45841.67853009259</v>
      </c>
      <c r="C168" s="1" t="n">
        <v>45976</v>
      </c>
      <c r="D168" t="inlineStr">
        <is>
          <t>JÄMTLANDS LÄN</t>
        </is>
      </c>
      <c r="E168" t="inlineStr">
        <is>
          <t>BRÄCKE</t>
        </is>
      </c>
      <c r="F168" t="inlineStr">
        <is>
          <t>SCA</t>
        </is>
      </c>
      <c r="G168" t="n">
        <v>6.1</v>
      </c>
      <c r="H168" t="n">
        <v>0</v>
      </c>
      <c r="I168" t="n">
        <v>2</v>
      </c>
      <c r="J168" t="n">
        <v>1</v>
      </c>
      <c r="K168" t="n">
        <v>0</v>
      </c>
      <c r="L168" t="n">
        <v>0</v>
      </c>
      <c r="M168" t="n">
        <v>0</v>
      </c>
      <c r="N168" t="n">
        <v>0</v>
      </c>
      <c r="O168" t="n">
        <v>1</v>
      </c>
      <c r="P168" t="n">
        <v>0</v>
      </c>
      <c r="Q168" t="n">
        <v>3</v>
      </c>
      <c r="R168" s="2" t="inlineStr">
        <is>
          <t>Kolflarnlav
Dropptaggsvamp
Skarp dropptaggsvamp</t>
        </is>
      </c>
      <c r="S168">
        <f>HYPERLINK("https://klasma.github.io/Logging_2305/artfynd/A 33678-2025 artfynd.xlsx", "A 33678-2025")</f>
        <v/>
      </c>
      <c r="T168">
        <f>HYPERLINK("https://klasma.github.io/Logging_2305/kartor/A 33678-2025 karta.png", "A 33678-2025")</f>
        <v/>
      </c>
      <c r="V168">
        <f>HYPERLINK("https://klasma.github.io/Logging_2305/klagomål/A 33678-2025 FSC-klagomål.docx", "A 33678-2025")</f>
        <v/>
      </c>
      <c r="W168">
        <f>HYPERLINK("https://klasma.github.io/Logging_2305/klagomålsmail/A 33678-2025 FSC-klagomål mail.docx", "A 33678-2025")</f>
        <v/>
      </c>
      <c r="X168">
        <f>HYPERLINK("https://klasma.github.io/Logging_2305/tillsyn/A 33678-2025 tillsynsbegäran.docx", "A 33678-2025")</f>
        <v/>
      </c>
      <c r="Y168">
        <f>HYPERLINK("https://klasma.github.io/Logging_2305/tillsynsmail/A 33678-2025 tillsynsbegäran mail.docx", "A 33678-2025")</f>
        <v/>
      </c>
    </row>
    <row r="169" ht="15" customHeight="1">
      <c r="A169" t="inlineStr">
        <is>
          <t>A 50616-2024</t>
        </is>
      </c>
      <c r="B169" s="1" t="n">
        <v>45601.63574074074</v>
      </c>
      <c r="C169" s="1" t="n">
        <v>45976</v>
      </c>
      <c r="D169" t="inlineStr">
        <is>
          <t>JÄMTLANDS LÄN</t>
        </is>
      </c>
      <c r="E169" t="inlineStr">
        <is>
          <t>BRÄCKE</t>
        </is>
      </c>
      <c r="F169" t="inlineStr">
        <is>
          <t>SCA</t>
        </is>
      </c>
      <c r="G169" t="n">
        <v>3.5</v>
      </c>
      <c r="H169" t="n">
        <v>0</v>
      </c>
      <c r="I169" t="n">
        <v>1</v>
      </c>
      <c r="J169" t="n">
        <v>2</v>
      </c>
      <c r="K169" t="n">
        <v>0</v>
      </c>
      <c r="L169" t="n">
        <v>0</v>
      </c>
      <c r="M169" t="n">
        <v>0</v>
      </c>
      <c r="N169" t="n">
        <v>0</v>
      </c>
      <c r="O169" t="n">
        <v>2</v>
      </c>
      <c r="P169" t="n">
        <v>0</v>
      </c>
      <c r="Q169" t="n">
        <v>3</v>
      </c>
      <c r="R169" s="2" t="inlineStr">
        <is>
          <t>Garnlav
Lunglav
Stuplav</t>
        </is>
      </c>
      <c r="S169">
        <f>HYPERLINK("https://klasma.github.io/Logging_2305/artfynd/A 50616-2024 artfynd.xlsx", "A 50616-2024")</f>
        <v/>
      </c>
      <c r="T169">
        <f>HYPERLINK("https://klasma.github.io/Logging_2305/kartor/A 50616-2024 karta.png", "A 50616-2024")</f>
        <v/>
      </c>
      <c r="V169">
        <f>HYPERLINK("https://klasma.github.io/Logging_2305/klagomål/A 50616-2024 FSC-klagomål.docx", "A 50616-2024")</f>
        <v/>
      </c>
      <c r="W169">
        <f>HYPERLINK("https://klasma.github.io/Logging_2305/klagomålsmail/A 50616-2024 FSC-klagomål mail.docx", "A 50616-2024")</f>
        <v/>
      </c>
      <c r="X169">
        <f>HYPERLINK("https://klasma.github.io/Logging_2305/tillsyn/A 50616-2024 tillsynsbegäran.docx", "A 50616-2024")</f>
        <v/>
      </c>
      <c r="Y169">
        <f>HYPERLINK("https://klasma.github.io/Logging_2305/tillsynsmail/A 50616-2024 tillsynsbegäran mail.docx", "A 50616-2024")</f>
        <v/>
      </c>
    </row>
    <row r="170" ht="15" customHeight="1">
      <c r="A170" t="inlineStr">
        <is>
          <t>A 35907-2025</t>
        </is>
      </c>
      <c r="B170" s="1" t="n">
        <v>45862.5109837963</v>
      </c>
      <c r="C170" s="1" t="n">
        <v>45976</v>
      </c>
      <c r="D170" t="inlineStr">
        <is>
          <t>JÄMTLANDS LÄN</t>
        </is>
      </c>
      <c r="E170" t="inlineStr">
        <is>
          <t>BRÄCKE</t>
        </is>
      </c>
      <c r="F170" t="inlineStr">
        <is>
          <t>SCA</t>
        </is>
      </c>
      <c r="G170" t="n">
        <v>2.8</v>
      </c>
      <c r="H170" t="n">
        <v>0</v>
      </c>
      <c r="I170" t="n">
        <v>1</v>
      </c>
      <c r="J170" t="n">
        <v>2</v>
      </c>
      <c r="K170" t="n">
        <v>0</v>
      </c>
      <c r="L170" t="n">
        <v>0</v>
      </c>
      <c r="M170" t="n">
        <v>0</v>
      </c>
      <c r="N170" t="n">
        <v>0</v>
      </c>
      <c r="O170" t="n">
        <v>2</v>
      </c>
      <c r="P170" t="n">
        <v>0</v>
      </c>
      <c r="Q170" t="n">
        <v>3</v>
      </c>
      <c r="R170" s="2" t="inlineStr">
        <is>
          <t>Garnlav
Ullticka
Dropptaggsvamp</t>
        </is>
      </c>
      <c r="S170">
        <f>HYPERLINK("https://klasma.github.io/Logging_2305/artfynd/A 35907-2025 artfynd.xlsx", "A 35907-2025")</f>
        <v/>
      </c>
      <c r="T170">
        <f>HYPERLINK("https://klasma.github.io/Logging_2305/kartor/A 35907-2025 karta.png", "A 35907-2025")</f>
        <v/>
      </c>
      <c r="V170">
        <f>HYPERLINK("https://klasma.github.io/Logging_2305/klagomål/A 35907-2025 FSC-klagomål.docx", "A 35907-2025")</f>
        <v/>
      </c>
      <c r="W170">
        <f>HYPERLINK("https://klasma.github.io/Logging_2305/klagomålsmail/A 35907-2025 FSC-klagomål mail.docx", "A 35907-2025")</f>
        <v/>
      </c>
      <c r="X170">
        <f>HYPERLINK("https://klasma.github.io/Logging_2305/tillsyn/A 35907-2025 tillsynsbegäran.docx", "A 35907-2025")</f>
        <v/>
      </c>
      <c r="Y170">
        <f>HYPERLINK("https://klasma.github.io/Logging_2305/tillsynsmail/A 35907-2025 tillsynsbegäran mail.docx", "A 35907-2025")</f>
        <v/>
      </c>
    </row>
    <row r="171" ht="15" customHeight="1">
      <c r="A171" t="inlineStr">
        <is>
          <t>A 30989-2024</t>
        </is>
      </c>
      <c r="B171" s="1" t="n">
        <v>45499.54851851852</v>
      </c>
      <c r="C171" s="1" t="n">
        <v>45976</v>
      </c>
      <c r="D171" t="inlineStr">
        <is>
          <t>JÄMTLANDS LÄN</t>
        </is>
      </c>
      <c r="E171" t="inlineStr">
        <is>
          <t>BRÄCKE</t>
        </is>
      </c>
      <c r="F171" t="inlineStr">
        <is>
          <t>Sveaskog</t>
        </is>
      </c>
      <c r="G171" t="n">
        <v>2.5</v>
      </c>
      <c r="H171" t="n">
        <v>1</v>
      </c>
      <c r="I171" t="n">
        <v>1</v>
      </c>
      <c r="J171" t="n">
        <v>2</v>
      </c>
      <c r="K171" t="n">
        <v>0</v>
      </c>
      <c r="L171" t="n">
        <v>0</v>
      </c>
      <c r="M171" t="n">
        <v>0</v>
      </c>
      <c r="N171" t="n">
        <v>0</v>
      </c>
      <c r="O171" t="n">
        <v>2</v>
      </c>
      <c r="P171" t="n">
        <v>0</v>
      </c>
      <c r="Q171" t="n">
        <v>3</v>
      </c>
      <c r="R171" s="2" t="inlineStr">
        <is>
          <t>Lunglav
Skrovellav
Tvåblad</t>
        </is>
      </c>
      <c r="S171">
        <f>HYPERLINK("https://klasma.github.io/Logging_2305/artfynd/A 30989-2024 artfynd.xlsx", "A 30989-2024")</f>
        <v/>
      </c>
      <c r="T171">
        <f>HYPERLINK("https://klasma.github.io/Logging_2305/kartor/A 30989-2024 karta.png", "A 30989-2024")</f>
        <v/>
      </c>
      <c r="V171">
        <f>HYPERLINK("https://klasma.github.io/Logging_2305/klagomål/A 30989-2024 FSC-klagomål.docx", "A 30989-2024")</f>
        <v/>
      </c>
      <c r="W171">
        <f>HYPERLINK("https://klasma.github.io/Logging_2305/klagomålsmail/A 30989-2024 FSC-klagomål mail.docx", "A 30989-2024")</f>
        <v/>
      </c>
      <c r="X171">
        <f>HYPERLINK("https://klasma.github.io/Logging_2305/tillsyn/A 30989-2024 tillsynsbegäran.docx", "A 30989-2024")</f>
        <v/>
      </c>
      <c r="Y171">
        <f>HYPERLINK("https://klasma.github.io/Logging_2305/tillsynsmail/A 30989-2024 tillsynsbegäran mail.docx", "A 30989-2024")</f>
        <v/>
      </c>
    </row>
    <row r="172" ht="15" customHeight="1">
      <c r="A172" t="inlineStr">
        <is>
          <t>A 29690-2024</t>
        </is>
      </c>
      <c r="B172" s="1" t="n">
        <v>45484.94436342592</v>
      </c>
      <c r="C172" s="1" t="n">
        <v>45976</v>
      </c>
      <c r="D172" t="inlineStr">
        <is>
          <t>JÄMTLANDS LÄN</t>
        </is>
      </c>
      <c r="E172" t="inlineStr">
        <is>
          <t>BRÄCKE</t>
        </is>
      </c>
      <c r="F172" t="inlineStr">
        <is>
          <t>SCA</t>
        </is>
      </c>
      <c r="G172" t="n">
        <v>12.7</v>
      </c>
      <c r="H172" t="n">
        <v>0</v>
      </c>
      <c r="I172" t="n">
        <v>1</v>
      </c>
      <c r="J172" t="n">
        <v>2</v>
      </c>
      <c r="K172" t="n">
        <v>0</v>
      </c>
      <c r="L172" t="n">
        <v>0</v>
      </c>
      <c r="M172" t="n">
        <v>0</v>
      </c>
      <c r="N172" t="n">
        <v>0</v>
      </c>
      <c r="O172" t="n">
        <v>2</v>
      </c>
      <c r="P172" t="n">
        <v>0</v>
      </c>
      <c r="Q172" t="n">
        <v>3</v>
      </c>
      <c r="R172" s="2" t="inlineStr">
        <is>
          <t>Garnlav
Granticka
Vedticka</t>
        </is>
      </c>
      <c r="S172">
        <f>HYPERLINK("https://klasma.github.io/Logging_2305/artfynd/A 29690-2024 artfynd.xlsx", "A 29690-2024")</f>
        <v/>
      </c>
      <c r="T172">
        <f>HYPERLINK("https://klasma.github.io/Logging_2305/kartor/A 29690-2024 karta.png", "A 29690-2024")</f>
        <v/>
      </c>
      <c r="V172">
        <f>HYPERLINK("https://klasma.github.io/Logging_2305/klagomål/A 29690-2024 FSC-klagomål.docx", "A 29690-2024")</f>
        <v/>
      </c>
      <c r="W172">
        <f>HYPERLINK("https://klasma.github.io/Logging_2305/klagomålsmail/A 29690-2024 FSC-klagomål mail.docx", "A 29690-2024")</f>
        <v/>
      </c>
      <c r="X172">
        <f>HYPERLINK("https://klasma.github.io/Logging_2305/tillsyn/A 29690-2024 tillsynsbegäran.docx", "A 29690-2024")</f>
        <v/>
      </c>
      <c r="Y172">
        <f>HYPERLINK("https://klasma.github.io/Logging_2305/tillsynsmail/A 29690-2024 tillsynsbegäran mail.docx", "A 29690-2024")</f>
        <v/>
      </c>
    </row>
    <row r="173" ht="15" customHeight="1">
      <c r="A173" t="inlineStr">
        <is>
          <t>A 19437-2023</t>
        </is>
      </c>
      <c r="B173" s="1" t="n">
        <v>45049</v>
      </c>
      <c r="C173" s="1" t="n">
        <v>45976</v>
      </c>
      <c r="D173" t="inlineStr">
        <is>
          <t>JÄMTLANDS LÄN</t>
        </is>
      </c>
      <c r="E173" t="inlineStr">
        <is>
          <t>BRÄCKE</t>
        </is>
      </c>
      <c r="G173" t="n">
        <v>1.5</v>
      </c>
      <c r="H173" t="n">
        <v>0</v>
      </c>
      <c r="I173" t="n">
        <v>2</v>
      </c>
      <c r="J173" t="n">
        <v>1</v>
      </c>
      <c r="K173" t="n">
        <v>0</v>
      </c>
      <c r="L173" t="n">
        <v>0</v>
      </c>
      <c r="M173" t="n">
        <v>0</v>
      </c>
      <c r="N173" t="n">
        <v>0</v>
      </c>
      <c r="O173" t="n">
        <v>1</v>
      </c>
      <c r="P173" t="n">
        <v>0</v>
      </c>
      <c r="Q173" t="n">
        <v>3</v>
      </c>
      <c r="R173" s="2" t="inlineStr">
        <is>
          <t>Ullticka
Stuplav
Svart trolldruva</t>
        </is>
      </c>
      <c r="S173">
        <f>HYPERLINK("https://klasma.github.io/Logging_2305/artfynd/A 19437-2023 artfynd.xlsx", "A 19437-2023")</f>
        <v/>
      </c>
      <c r="T173">
        <f>HYPERLINK("https://klasma.github.io/Logging_2305/kartor/A 19437-2023 karta.png", "A 19437-2023")</f>
        <v/>
      </c>
      <c r="U173">
        <f>HYPERLINK("https://klasma.github.io/Logging_2305/knärot/A 19437-2023 karta knärot.png", "A 19437-2023")</f>
        <v/>
      </c>
      <c r="V173">
        <f>HYPERLINK("https://klasma.github.io/Logging_2305/klagomål/A 19437-2023 FSC-klagomål.docx", "A 19437-2023")</f>
        <v/>
      </c>
      <c r="W173">
        <f>HYPERLINK("https://klasma.github.io/Logging_2305/klagomålsmail/A 19437-2023 FSC-klagomål mail.docx", "A 19437-2023")</f>
        <v/>
      </c>
      <c r="X173">
        <f>HYPERLINK("https://klasma.github.io/Logging_2305/tillsyn/A 19437-2023 tillsynsbegäran.docx", "A 19437-2023")</f>
        <v/>
      </c>
      <c r="Y173">
        <f>HYPERLINK("https://klasma.github.io/Logging_2305/tillsynsmail/A 19437-2023 tillsynsbegäran mail.docx", "A 19437-2023")</f>
        <v/>
      </c>
    </row>
    <row r="174" ht="15" customHeight="1">
      <c r="A174" t="inlineStr">
        <is>
          <t>A 19336-2024</t>
        </is>
      </c>
      <c r="B174" s="1" t="n">
        <v>45428.97079861111</v>
      </c>
      <c r="C174" s="1" t="n">
        <v>45976</v>
      </c>
      <c r="D174" t="inlineStr">
        <is>
          <t>JÄMTLANDS LÄN</t>
        </is>
      </c>
      <c r="E174" t="inlineStr">
        <is>
          <t>BRÄCKE</t>
        </is>
      </c>
      <c r="F174" t="inlineStr">
        <is>
          <t>SCA</t>
        </is>
      </c>
      <c r="G174" t="n">
        <v>5.8</v>
      </c>
      <c r="H174" t="n">
        <v>1</v>
      </c>
      <c r="I174" t="n">
        <v>0</v>
      </c>
      <c r="J174" t="n">
        <v>3</v>
      </c>
      <c r="K174" t="n">
        <v>0</v>
      </c>
      <c r="L174" t="n">
        <v>0</v>
      </c>
      <c r="M174" t="n">
        <v>0</v>
      </c>
      <c r="N174" t="n">
        <v>0</v>
      </c>
      <c r="O174" t="n">
        <v>3</v>
      </c>
      <c r="P174" t="n">
        <v>0</v>
      </c>
      <c r="Q174" t="n">
        <v>3</v>
      </c>
      <c r="R174" s="2" t="inlineStr">
        <is>
          <t>Granticka
Lunglav
Spillkråka</t>
        </is>
      </c>
      <c r="S174">
        <f>HYPERLINK("https://klasma.github.io/Logging_2305/artfynd/A 19336-2024 artfynd.xlsx", "A 19336-2024")</f>
        <v/>
      </c>
      <c r="T174">
        <f>HYPERLINK("https://klasma.github.io/Logging_2305/kartor/A 19336-2024 karta.png", "A 19336-2024")</f>
        <v/>
      </c>
      <c r="V174">
        <f>HYPERLINK("https://klasma.github.io/Logging_2305/klagomål/A 19336-2024 FSC-klagomål.docx", "A 19336-2024")</f>
        <v/>
      </c>
      <c r="W174">
        <f>HYPERLINK("https://klasma.github.io/Logging_2305/klagomålsmail/A 19336-2024 FSC-klagomål mail.docx", "A 19336-2024")</f>
        <v/>
      </c>
      <c r="X174">
        <f>HYPERLINK("https://klasma.github.io/Logging_2305/tillsyn/A 19336-2024 tillsynsbegäran.docx", "A 19336-2024")</f>
        <v/>
      </c>
      <c r="Y174">
        <f>HYPERLINK("https://klasma.github.io/Logging_2305/tillsynsmail/A 19336-2024 tillsynsbegäran mail.docx", "A 19336-2024")</f>
        <v/>
      </c>
      <c r="Z174">
        <f>HYPERLINK("https://klasma.github.io/Logging_2305/fåglar/A 19336-2024 prioriterade fågelarter.docx", "A 19336-2024")</f>
        <v/>
      </c>
    </row>
    <row r="175" ht="15" customHeight="1">
      <c r="A175" t="inlineStr">
        <is>
          <t>A 30607-2022</t>
        </is>
      </c>
      <c r="B175" s="1" t="n">
        <v>44762</v>
      </c>
      <c r="C175" s="1" t="n">
        <v>45976</v>
      </c>
      <c r="D175" t="inlineStr">
        <is>
          <t>JÄMTLANDS LÄN</t>
        </is>
      </c>
      <c r="E175" t="inlineStr">
        <is>
          <t>BRÄCKE</t>
        </is>
      </c>
      <c r="F175" t="inlineStr">
        <is>
          <t>SCA</t>
        </is>
      </c>
      <c r="G175" t="n">
        <v>1</v>
      </c>
      <c r="H175" t="n">
        <v>0</v>
      </c>
      <c r="I175" t="n">
        <v>0</v>
      </c>
      <c r="J175" t="n">
        <v>2</v>
      </c>
      <c r="K175" t="n">
        <v>0</v>
      </c>
      <c r="L175" t="n">
        <v>0</v>
      </c>
      <c r="M175" t="n">
        <v>0</v>
      </c>
      <c r="N175" t="n">
        <v>0</v>
      </c>
      <c r="O175" t="n">
        <v>2</v>
      </c>
      <c r="P175" t="n">
        <v>0</v>
      </c>
      <c r="Q175" t="n">
        <v>2</v>
      </c>
      <c r="R175" s="2" t="inlineStr">
        <is>
          <t>Bredbrämad bastardsvärmare
Brunklöver</t>
        </is>
      </c>
      <c r="S175">
        <f>HYPERLINK("https://klasma.github.io/Logging_2305/artfynd/A 30607-2022 artfynd.xlsx", "A 30607-2022")</f>
        <v/>
      </c>
      <c r="T175">
        <f>HYPERLINK("https://klasma.github.io/Logging_2305/kartor/A 30607-2022 karta.png", "A 30607-2022")</f>
        <v/>
      </c>
      <c r="V175">
        <f>HYPERLINK("https://klasma.github.io/Logging_2305/klagomål/A 30607-2022 FSC-klagomål.docx", "A 30607-2022")</f>
        <v/>
      </c>
      <c r="W175">
        <f>HYPERLINK("https://klasma.github.io/Logging_2305/klagomålsmail/A 30607-2022 FSC-klagomål mail.docx", "A 30607-2022")</f>
        <v/>
      </c>
      <c r="X175">
        <f>HYPERLINK("https://klasma.github.io/Logging_2305/tillsyn/A 30607-2022 tillsynsbegäran.docx", "A 30607-2022")</f>
        <v/>
      </c>
      <c r="Y175">
        <f>HYPERLINK("https://klasma.github.io/Logging_2305/tillsynsmail/A 30607-2022 tillsynsbegäran mail.docx", "A 30607-2022")</f>
        <v/>
      </c>
    </row>
    <row r="176" ht="15" customHeight="1">
      <c r="A176" t="inlineStr">
        <is>
          <t>A 31455-2022</t>
        </is>
      </c>
      <c r="B176" s="1" t="n">
        <v>44774</v>
      </c>
      <c r="C176" s="1" t="n">
        <v>45976</v>
      </c>
      <c r="D176" t="inlineStr">
        <is>
          <t>JÄMTLANDS LÄN</t>
        </is>
      </c>
      <c r="E176" t="inlineStr">
        <is>
          <t>BRÄCKE</t>
        </is>
      </c>
      <c r="F176" t="inlineStr">
        <is>
          <t>SCA</t>
        </is>
      </c>
      <c r="G176" t="n">
        <v>5.5</v>
      </c>
      <c r="H176" t="n">
        <v>1</v>
      </c>
      <c r="I176" t="n">
        <v>0</v>
      </c>
      <c r="J176" t="n">
        <v>1</v>
      </c>
      <c r="K176" t="n">
        <v>0</v>
      </c>
      <c r="L176" t="n">
        <v>0</v>
      </c>
      <c r="M176" t="n">
        <v>0</v>
      </c>
      <c r="N176" t="n">
        <v>0</v>
      </c>
      <c r="O176" t="n">
        <v>1</v>
      </c>
      <c r="P176" t="n">
        <v>0</v>
      </c>
      <c r="Q176" t="n">
        <v>2</v>
      </c>
      <c r="R176" s="2" t="inlineStr">
        <is>
          <t>Lunglav
Revlummer</t>
        </is>
      </c>
      <c r="S176">
        <f>HYPERLINK("https://klasma.github.io/Logging_2305/artfynd/A 31455-2022 artfynd.xlsx", "A 31455-2022")</f>
        <v/>
      </c>
      <c r="T176">
        <f>HYPERLINK("https://klasma.github.io/Logging_2305/kartor/A 31455-2022 karta.png", "A 31455-2022")</f>
        <v/>
      </c>
      <c r="V176">
        <f>HYPERLINK("https://klasma.github.io/Logging_2305/klagomål/A 31455-2022 FSC-klagomål.docx", "A 31455-2022")</f>
        <v/>
      </c>
      <c r="W176">
        <f>HYPERLINK("https://klasma.github.io/Logging_2305/klagomålsmail/A 31455-2022 FSC-klagomål mail.docx", "A 31455-2022")</f>
        <v/>
      </c>
      <c r="X176">
        <f>HYPERLINK("https://klasma.github.io/Logging_2305/tillsyn/A 31455-2022 tillsynsbegäran.docx", "A 31455-2022")</f>
        <v/>
      </c>
      <c r="Y176">
        <f>HYPERLINK("https://klasma.github.io/Logging_2305/tillsynsmail/A 31455-2022 tillsynsbegäran mail.docx", "A 31455-2022")</f>
        <v/>
      </c>
    </row>
    <row r="177" ht="15" customHeight="1">
      <c r="A177" t="inlineStr">
        <is>
          <t>A 48930-2022</t>
        </is>
      </c>
      <c r="B177" s="1" t="n">
        <v>44859</v>
      </c>
      <c r="C177" s="1" t="n">
        <v>45976</v>
      </c>
      <c r="D177" t="inlineStr">
        <is>
          <t>JÄMTLANDS LÄN</t>
        </is>
      </c>
      <c r="E177" t="inlineStr">
        <is>
          <t>BRÄCKE</t>
        </is>
      </c>
      <c r="F177" t="inlineStr">
        <is>
          <t>SCA</t>
        </is>
      </c>
      <c r="G177" t="n">
        <v>1.2</v>
      </c>
      <c r="H177" t="n">
        <v>0</v>
      </c>
      <c r="I177" t="n">
        <v>1</v>
      </c>
      <c r="J177" t="n">
        <v>1</v>
      </c>
      <c r="K177" t="n">
        <v>0</v>
      </c>
      <c r="L177" t="n">
        <v>0</v>
      </c>
      <c r="M177" t="n">
        <v>0</v>
      </c>
      <c r="N177" t="n">
        <v>0</v>
      </c>
      <c r="O177" t="n">
        <v>1</v>
      </c>
      <c r="P177" t="n">
        <v>0</v>
      </c>
      <c r="Q177" t="n">
        <v>2</v>
      </c>
      <c r="R177" s="2" t="inlineStr">
        <is>
          <t>Lunglav
Luddlav</t>
        </is>
      </c>
      <c r="S177">
        <f>HYPERLINK("https://klasma.github.io/Logging_2305/artfynd/A 48930-2022 artfynd.xlsx", "A 48930-2022")</f>
        <v/>
      </c>
      <c r="T177">
        <f>HYPERLINK("https://klasma.github.io/Logging_2305/kartor/A 48930-2022 karta.png", "A 48930-2022")</f>
        <v/>
      </c>
      <c r="V177">
        <f>HYPERLINK("https://klasma.github.io/Logging_2305/klagomål/A 48930-2022 FSC-klagomål.docx", "A 48930-2022")</f>
        <v/>
      </c>
      <c r="W177">
        <f>HYPERLINK("https://klasma.github.io/Logging_2305/klagomålsmail/A 48930-2022 FSC-klagomål mail.docx", "A 48930-2022")</f>
        <v/>
      </c>
      <c r="X177">
        <f>HYPERLINK("https://klasma.github.io/Logging_2305/tillsyn/A 48930-2022 tillsynsbegäran.docx", "A 48930-2022")</f>
        <v/>
      </c>
      <c r="Y177">
        <f>HYPERLINK("https://klasma.github.io/Logging_2305/tillsynsmail/A 48930-2022 tillsynsbegäran mail.docx", "A 48930-2022")</f>
        <v/>
      </c>
    </row>
    <row r="178" ht="15" customHeight="1">
      <c r="A178" t="inlineStr">
        <is>
          <t>A 54624-2022</t>
        </is>
      </c>
      <c r="B178" s="1" t="n">
        <v>44883</v>
      </c>
      <c r="C178" s="1" t="n">
        <v>45976</v>
      </c>
      <c r="D178" t="inlineStr">
        <is>
          <t>JÄMTLANDS LÄN</t>
        </is>
      </c>
      <c r="E178" t="inlineStr">
        <is>
          <t>BRÄCKE</t>
        </is>
      </c>
      <c r="G178" t="n">
        <v>3.9</v>
      </c>
      <c r="H178" t="n">
        <v>0</v>
      </c>
      <c r="I178" t="n">
        <v>0</v>
      </c>
      <c r="J178" t="n">
        <v>2</v>
      </c>
      <c r="K178" t="n">
        <v>0</v>
      </c>
      <c r="L178" t="n">
        <v>0</v>
      </c>
      <c r="M178" t="n">
        <v>0</v>
      </c>
      <c r="N178" t="n">
        <v>0</v>
      </c>
      <c r="O178" t="n">
        <v>2</v>
      </c>
      <c r="P178" t="n">
        <v>0</v>
      </c>
      <c r="Q178" t="n">
        <v>2</v>
      </c>
      <c r="R178" s="2" t="inlineStr">
        <is>
          <t>Granticka
Lunglav</t>
        </is>
      </c>
      <c r="S178">
        <f>HYPERLINK("https://klasma.github.io/Logging_2305/artfynd/A 54624-2022 artfynd.xlsx", "A 54624-2022")</f>
        <v/>
      </c>
      <c r="T178">
        <f>HYPERLINK("https://klasma.github.io/Logging_2305/kartor/A 54624-2022 karta.png", "A 54624-2022")</f>
        <v/>
      </c>
      <c r="V178">
        <f>HYPERLINK("https://klasma.github.io/Logging_2305/klagomål/A 54624-2022 FSC-klagomål.docx", "A 54624-2022")</f>
        <v/>
      </c>
      <c r="W178">
        <f>HYPERLINK("https://klasma.github.io/Logging_2305/klagomålsmail/A 54624-2022 FSC-klagomål mail.docx", "A 54624-2022")</f>
        <v/>
      </c>
      <c r="X178">
        <f>HYPERLINK("https://klasma.github.io/Logging_2305/tillsyn/A 54624-2022 tillsynsbegäran.docx", "A 54624-2022")</f>
        <v/>
      </c>
      <c r="Y178">
        <f>HYPERLINK("https://klasma.github.io/Logging_2305/tillsynsmail/A 54624-2022 tillsynsbegäran mail.docx", "A 54624-2022")</f>
        <v/>
      </c>
    </row>
    <row r="179" ht="15" customHeight="1">
      <c r="A179" t="inlineStr">
        <is>
          <t>A 25696-2021</t>
        </is>
      </c>
      <c r="B179" s="1" t="n">
        <v>44343</v>
      </c>
      <c r="C179" s="1" t="n">
        <v>45976</v>
      </c>
      <c r="D179" t="inlineStr">
        <is>
          <t>JÄMTLANDS LÄN</t>
        </is>
      </c>
      <c r="E179" t="inlineStr">
        <is>
          <t>BRÄCKE</t>
        </is>
      </c>
      <c r="G179" t="n">
        <v>13.4</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25696-2021 artfynd.xlsx", "A 25696-2021")</f>
        <v/>
      </c>
      <c r="T179">
        <f>HYPERLINK("https://klasma.github.io/Logging_2305/kartor/A 25696-2021 karta.png", "A 25696-2021")</f>
        <v/>
      </c>
      <c r="V179">
        <f>HYPERLINK("https://klasma.github.io/Logging_2305/klagomål/A 25696-2021 FSC-klagomål.docx", "A 25696-2021")</f>
        <v/>
      </c>
      <c r="W179">
        <f>HYPERLINK("https://klasma.github.io/Logging_2305/klagomålsmail/A 25696-2021 FSC-klagomål mail.docx", "A 25696-2021")</f>
        <v/>
      </c>
      <c r="X179">
        <f>HYPERLINK("https://klasma.github.io/Logging_2305/tillsyn/A 25696-2021 tillsynsbegäran.docx", "A 25696-2021")</f>
        <v/>
      </c>
      <c r="Y179">
        <f>HYPERLINK("https://klasma.github.io/Logging_2305/tillsynsmail/A 25696-2021 tillsynsbegäran mail.docx", "A 25696-2021")</f>
        <v/>
      </c>
    </row>
    <row r="180" ht="15" customHeight="1">
      <c r="A180" t="inlineStr">
        <is>
          <t>A 42291-2022</t>
        </is>
      </c>
      <c r="B180" s="1" t="n">
        <v>44830</v>
      </c>
      <c r="C180" s="1" t="n">
        <v>45976</v>
      </c>
      <c r="D180" t="inlineStr">
        <is>
          <t>JÄMTLANDS LÄN</t>
        </is>
      </c>
      <c r="E180" t="inlineStr">
        <is>
          <t>BRÄCKE</t>
        </is>
      </c>
      <c r="F180" t="inlineStr">
        <is>
          <t>SCA</t>
        </is>
      </c>
      <c r="G180" t="n">
        <v>4</v>
      </c>
      <c r="H180" t="n">
        <v>0</v>
      </c>
      <c r="I180" t="n">
        <v>0</v>
      </c>
      <c r="J180" t="n">
        <v>2</v>
      </c>
      <c r="K180" t="n">
        <v>0</v>
      </c>
      <c r="L180" t="n">
        <v>0</v>
      </c>
      <c r="M180" t="n">
        <v>0</v>
      </c>
      <c r="N180" t="n">
        <v>0</v>
      </c>
      <c r="O180" t="n">
        <v>2</v>
      </c>
      <c r="P180" t="n">
        <v>0</v>
      </c>
      <c r="Q180" t="n">
        <v>2</v>
      </c>
      <c r="R180" s="2" t="inlineStr">
        <is>
          <t>Garnlav
Lunglav</t>
        </is>
      </c>
      <c r="S180">
        <f>HYPERLINK("https://klasma.github.io/Logging_2305/artfynd/A 42291-2022 artfynd.xlsx", "A 42291-2022")</f>
        <v/>
      </c>
      <c r="T180">
        <f>HYPERLINK("https://klasma.github.io/Logging_2305/kartor/A 42291-2022 karta.png", "A 42291-2022")</f>
        <v/>
      </c>
      <c r="V180">
        <f>HYPERLINK("https://klasma.github.io/Logging_2305/klagomål/A 42291-2022 FSC-klagomål.docx", "A 42291-2022")</f>
        <v/>
      </c>
      <c r="W180">
        <f>HYPERLINK("https://klasma.github.io/Logging_2305/klagomålsmail/A 42291-2022 FSC-klagomål mail.docx", "A 42291-2022")</f>
        <v/>
      </c>
      <c r="X180">
        <f>HYPERLINK("https://klasma.github.io/Logging_2305/tillsyn/A 42291-2022 tillsynsbegäran.docx", "A 42291-2022")</f>
        <v/>
      </c>
      <c r="Y180">
        <f>HYPERLINK("https://klasma.github.io/Logging_2305/tillsynsmail/A 42291-2022 tillsynsbegäran mail.docx", "A 42291-2022")</f>
        <v/>
      </c>
    </row>
    <row r="181" ht="15" customHeight="1">
      <c r="A181" t="inlineStr">
        <is>
          <t>A 2464-2025</t>
        </is>
      </c>
      <c r="B181" s="1" t="n">
        <v>45674.4693287037</v>
      </c>
      <c r="C181" s="1" t="n">
        <v>45976</v>
      </c>
      <c r="D181" t="inlineStr">
        <is>
          <t>JÄMTLANDS LÄN</t>
        </is>
      </c>
      <c r="E181" t="inlineStr">
        <is>
          <t>BRÄCKE</t>
        </is>
      </c>
      <c r="F181" t="inlineStr">
        <is>
          <t>SCA</t>
        </is>
      </c>
      <c r="G181" t="n">
        <v>4.4</v>
      </c>
      <c r="H181" t="n">
        <v>1</v>
      </c>
      <c r="I181" t="n">
        <v>0</v>
      </c>
      <c r="J181" t="n">
        <v>2</v>
      </c>
      <c r="K181" t="n">
        <v>0</v>
      </c>
      <c r="L181" t="n">
        <v>0</v>
      </c>
      <c r="M181" t="n">
        <v>0</v>
      </c>
      <c r="N181" t="n">
        <v>0</v>
      </c>
      <c r="O181" t="n">
        <v>2</v>
      </c>
      <c r="P181" t="n">
        <v>0</v>
      </c>
      <c r="Q181" t="n">
        <v>2</v>
      </c>
      <c r="R181" s="2" t="inlineStr">
        <is>
          <t>Lunglav
Tretåig hackspett</t>
        </is>
      </c>
      <c r="S181">
        <f>HYPERLINK("https://klasma.github.io/Logging_2305/artfynd/A 2464-2025 artfynd.xlsx", "A 2464-2025")</f>
        <v/>
      </c>
      <c r="T181">
        <f>HYPERLINK("https://klasma.github.io/Logging_2305/kartor/A 2464-2025 karta.png", "A 2464-2025")</f>
        <v/>
      </c>
      <c r="V181">
        <f>HYPERLINK("https://klasma.github.io/Logging_2305/klagomål/A 2464-2025 FSC-klagomål.docx", "A 2464-2025")</f>
        <v/>
      </c>
      <c r="W181">
        <f>HYPERLINK("https://klasma.github.io/Logging_2305/klagomålsmail/A 2464-2025 FSC-klagomål mail.docx", "A 2464-2025")</f>
        <v/>
      </c>
      <c r="X181">
        <f>HYPERLINK("https://klasma.github.io/Logging_2305/tillsyn/A 2464-2025 tillsynsbegäran.docx", "A 2464-2025")</f>
        <v/>
      </c>
      <c r="Y181">
        <f>HYPERLINK("https://klasma.github.io/Logging_2305/tillsynsmail/A 2464-2025 tillsynsbegäran mail.docx", "A 2464-2025")</f>
        <v/>
      </c>
      <c r="Z181">
        <f>HYPERLINK("https://klasma.github.io/Logging_2305/fåglar/A 2464-2025 prioriterade fågelarter.docx", "A 2464-2025")</f>
        <v/>
      </c>
    </row>
    <row r="182" ht="15" customHeight="1">
      <c r="A182" t="inlineStr">
        <is>
          <t>A 22382-2024</t>
        </is>
      </c>
      <c r="B182" s="1" t="n">
        <v>45446</v>
      </c>
      <c r="C182" s="1" t="n">
        <v>45976</v>
      </c>
      <c r="D182" t="inlineStr">
        <is>
          <t>JÄMTLANDS LÄN</t>
        </is>
      </c>
      <c r="E182" t="inlineStr">
        <is>
          <t>BRÄCKE</t>
        </is>
      </c>
      <c r="G182" t="n">
        <v>5.2</v>
      </c>
      <c r="H182" t="n">
        <v>1</v>
      </c>
      <c r="I182" t="n">
        <v>0</v>
      </c>
      <c r="J182" t="n">
        <v>1</v>
      </c>
      <c r="K182" t="n">
        <v>1</v>
      </c>
      <c r="L182" t="n">
        <v>0</v>
      </c>
      <c r="M182" t="n">
        <v>0</v>
      </c>
      <c r="N182" t="n">
        <v>0</v>
      </c>
      <c r="O182" t="n">
        <v>2</v>
      </c>
      <c r="P182" t="n">
        <v>1</v>
      </c>
      <c r="Q182" t="n">
        <v>2</v>
      </c>
      <c r="R182" s="2" t="inlineStr">
        <is>
          <t>Knärot
Garnlav</t>
        </is>
      </c>
      <c r="S182">
        <f>HYPERLINK("https://klasma.github.io/Logging_2305/artfynd/A 22382-2024 artfynd.xlsx", "A 22382-2024")</f>
        <v/>
      </c>
      <c r="T182">
        <f>HYPERLINK("https://klasma.github.io/Logging_2305/kartor/A 22382-2024 karta.png", "A 22382-2024")</f>
        <v/>
      </c>
      <c r="U182">
        <f>HYPERLINK("https://klasma.github.io/Logging_2305/knärot/A 22382-2024 karta knärot.png", "A 22382-2024")</f>
        <v/>
      </c>
      <c r="V182">
        <f>HYPERLINK("https://klasma.github.io/Logging_2305/klagomål/A 22382-2024 FSC-klagomål.docx", "A 22382-2024")</f>
        <v/>
      </c>
      <c r="W182">
        <f>HYPERLINK("https://klasma.github.io/Logging_2305/klagomålsmail/A 22382-2024 FSC-klagomål mail.docx", "A 22382-2024")</f>
        <v/>
      </c>
      <c r="X182">
        <f>HYPERLINK("https://klasma.github.io/Logging_2305/tillsyn/A 22382-2024 tillsynsbegäran.docx", "A 22382-2024")</f>
        <v/>
      </c>
      <c r="Y182">
        <f>HYPERLINK("https://klasma.github.io/Logging_2305/tillsynsmail/A 22382-2024 tillsynsbegäran mail.docx", "A 22382-2024")</f>
        <v/>
      </c>
    </row>
    <row r="183" ht="15" customHeight="1">
      <c r="A183" t="inlineStr">
        <is>
          <t>A 4134-2025</t>
        </is>
      </c>
      <c r="B183" s="1" t="n">
        <v>45685.34582175926</v>
      </c>
      <c r="C183" s="1" t="n">
        <v>45976</v>
      </c>
      <c r="D183" t="inlineStr">
        <is>
          <t>JÄMTLANDS LÄN</t>
        </is>
      </c>
      <c r="E183" t="inlineStr">
        <is>
          <t>BRÄCKE</t>
        </is>
      </c>
      <c r="F183" t="inlineStr">
        <is>
          <t>SCA</t>
        </is>
      </c>
      <c r="G183" t="n">
        <v>5.6</v>
      </c>
      <c r="H183" t="n">
        <v>0</v>
      </c>
      <c r="I183" t="n">
        <v>1</v>
      </c>
      <c r="J183" t="n">
        <v>1</v>
      </c>
      <c r="K183" t="n">
        <v>0</v>
      </c>
      <c r="L183" t="n">
        <v>0</v>
      </c>
      <c r="M183" t="n">
        <v>0</v>
      </c>
      <c r="N183" t="n">
        <v>0</v>
      </c>
      <c r="O183" t="n">
        <v>1</v>
      </c>
      <c r="P183" t="n">
        <v>0</v>
      </c>
      <c r="Q183" t="n">
        <v>2</v>
      </c>
      <c r="R183" s="2" t="inlineStr">
        <is>
          <t>Vedflamlav
Stor aspticka</t>
        </is>
      </c>
      <c r="S183">
        <f>HYPERLINK("https://klasma.github.io/Logging_2305/artfynd/A 4134-2025 artfynd.xlsx", "A 4134-2025")</f>
        <v/>
      </c>
      <c r="T183">
        <f>HYPERLINK("https://klasma.github.io/Logging_2305/kartor/A 4134-2025 karta.png", "A 4134-2025")</f>
        <v/>
      </c>
      <c r="V183">
        <f>HYPERLINK("https://klasma.github.io/Logging_2305/klagomål/A 4134-2025 FSC-klagomål.docx", "A 4134-2025")</f>
        <v/>
      </c>
      <c r="W183">
        <f>HYPERLINK("https://klasma.github.io/Logging_2305/klagomålsmail/A 4134-2025 FSC-klagomål mail.docx", "A 4134-2025")</f>
        <v/>
      </c>
      <c r="X183">
        <f>HYPERLINK("https://klasma.github.io/Logging_2305/tillsyn/A 4134-2025 tillsynsbegäran.docx", "A 4134-2025")</f>
        <v/>
      </c>
      <c r="Y183">
        <f>HYPERLINK("https://klasma.github.io/Logging_2305/tillsynsmail/A 4134-2025 tillsynsbegäran mail.docx", "A 4134-2025")</f>
        <v/>
      </c>
    </row>
    <row r="184" ht="15" customHeight="1">
      <c r="A184" t="inlineStr">
        <is>
          <t>A 36456-2021</t>
        </is>
      </c>
      <c r="B184" s="1" t="n">
        <v>44390</v>
      </c>
      <c r="C184" s="1" t="n">
        <v>45976</v>
      </c>
      <c r="D184" t="inlineStr">
        <is>
          <t>JÄMTLANDS LÄN</t>
        </is>
      </c>
      <c r="E184" t="inlineStr">
        <is>
          <t>BRÄCKE</t>
        </is>
      </c>
      <c r="F184" t="inlineStr">
        <is>
          <t>SCA</t>
        </is>
      </c>
      <c r="G184" t="n">
        <v>2.7</v>
      </c>
      <c r="H184" t="n">
        <v>0</v>
      </c>
      <c r="I184" t="n">
        <v>0</v>
      </c>
      <c r="J184" t="n">
        <v>2</v>
      </c>
      <c r="K184" t="n">
        <v>0</v>
      </c>
      <c r="L184" t="n">
        <v>0</v>
      </c>
      <c r="M184" t="n">
        <v>0</v>
      </c>
      <c r="N184" t="n">
        <v>0</v>
      </c>
      <c r="O184" t="n">
        <v>2</v>
      </c>
      <c r="P184" t="n">
        <v>0</v>
      </c>
      <c r="Q184" t="n">
        <v>2</v>
      </c>
      <c r="R184" s="2" t="inlineStr">
        <is>
          <t>Garnlav
Kolflarnlav</t>
        </is>
      </c>
      <c r="S184">
        <f>HYPERLINK("https://klasma.github.io/Logging_2305/artfynd/A 36456-2021 artfynd.xlsx", "A 36456-2021")</f>
        <v/>
      </c>
      <c r="T184">
        <f>HYPERLINK("https://klasma.github.io/Logging_2305/kartor/A 36456-2021 karta.png", "A 36456-2021")</f>
        <v/>
      </c>
      <c r="V184">
        <f>HYPERLINK("https://klasma.github.io/Logging_2305/klagomål/A 36456-2021 FSC-klagomål.docx", "A 36456-2021")</f>
        <v/>
      </c>
      <c r="W184">
        <f>HYPERLINK("https://klasma.github.io/Logging_2305/klagomålsmail/A 36456-2021 FSC-klagomål mail.docx", "A 36456-2021")</f>
        <v/>
      </c>
      <c r="X184">
        <f>HYPERLINK("https://klasma.github.io/Logging_2305/tillsyn/A 36456-2021 tillsynsbegäran.docx", "A 36456-2021")</f>
        <v/>
      </c>
      <c r="Y184">
        <f>HYPERLINK("https://klasma.github.io/Logging_2305/tillsynsmail/A 36456-2021 tillsynsbegäran mail.docx", "A 36456-2021")</f>
        <v/>
      </c>
    </row>
    <row r="185" ht="15" customHeight="1">
      <c r="A185" t="inlineStr">
        <is>
          <t>A 45012-2023</t>
        </is>
      </c>
      <c r="B185" s="1" t="n">
        <v>45190</v>
      </c>
      <c r="C185" s="1" t="n">
        <v>45976</v>
      </c>
      <c r="D185" t="inlineStr">
        <is>
          <t>JÄMTLANDS LÄN</t>
        </is>
      </c>
      <c r="E185" t="inlineStr">
        <is>
          <t>BRÄCKE</t>
        </is>
      </c>
      <c r="G185" t="n">
        <v>2.6</v>
      </c>
      <c r="H185" t="n">
        <v>0</v>
      </c>
      <c r="I185" t="n">
        <v>1</v>
      </c>
      <c r="J185" t="n">
        <v>1</v>
      </c>
      <c r="K185" t="n">
        <v>0</v>
      </c>
      <c r="L185" t="n">
        <v>0</v>
      </c>
      <c r="M185" t="n">
        <v>0</v>
      </c>
      <c r="N185" t="n">
        <v>0</v>
      </c>
      <c r="O185" t="n">
        <v>1</v>
      </c>
      <c r="P185" t="n">
        <v>0</v>
      </c>
      <c r="Q185" t="n">
        <v>2</v>
      </c>
      <c r="R185" s="2" t="inlineStr">
        <is>
          <t>Dvärgbägarlav
Skinnlav</t>
        </is>
      </c>
      <c r="S185">
        <f>HYPERLINK("https://klasma.github.io/Logging_2305/artfynd/A 45012-2023 artfynd.xlsx", "A 45012-2023")</f>
        <v/>
      </c>
      <c r="T185">
        <f>HYPERLINK("https://klasma.github.io/Logging_2305/kartor/A 45012-2023 karta.png", "A 45012-2023")</f>
        <v/>
      </c>
      <c r="V185">
        <f>HYPERLINK("https://klasma.github.io/Logging_2305/klagomål/A 45012-2023 FSC-klagomål.docx", "A 45012-2023")</f>
        <v/>
      </c>
      <c r="W185">
        <f>HYPERLINK("https://klasma.github.io/Logging_2305/klagomålsmail/A 45012-2023 FSC-klagomål mail.docx", "A 45012-2023")</f>
        <v/>
      </c>
      <c r="X185">
        <f>HYPERLINK("https://klasma.github.io/Logging_2305/tillsyn/A 45012-2023 tillsynsbegäran.docx", "A 45012-2023")</f>
        <v/>
      </c>
      <c r="Y185">
        <f>HYPERLINK("https://klasma.github.io/Logging_2305/tillsynsmail/A 45012-2023 tillsynsbegäran mail.docx", "A 45012-2023")</f>
        <v/>
      </c>
    </row>
    <row r="186" ht="15" customHeight="1">
      <c r="A186" t="inlineStr">
        <is>
          <t>A 11787-2025</t>
        </is>
      </c>
      <c r="B186" s="1" t="n">
        <v>45727.72017361111</v>
      </c>
      <c r="C186" s="1" t="n">
        <v>45976</v>
      </c>
      <c r="D186" t="inlineStr">
        <is>
          <t>JÄMTLANDS LÄN</t>
        </is>
      </c>
      <c r="E186" t="inlineStr">
        <is>
          <t>BRÄCKE</t>
        </is>
      </c>
      <c r="F186" t="inlineStr">
        <is>
          <t>SCA</t>
        </is>
      </c>
      <c r="G186" t="n">
        <v>1.9</v>
      </c>
      <c r="H186" t="n">
        <v>0</v>
      </c>
      <c r="I186" t="n">
        <v>0</v>
      </c>
      <c r="J186" t="n">
        <v>2</v>
      </c>
      <c r="K186" t="n">
        <v>0</v>
      </c>
      <c r="L186" t="n">
        <v>0</v>
      </c>
      <c r="M186" t="n">
        <v>0</v>
      </c>
      <c r="N186" t="n">
        <v>0</v>
      </c>
      <c r="O186" t="n">
        <v>2</v>
      </c>
      <c r="P186" t="n">
        <v>0</v>
      </c>
      <c r="Q186" t="n">
        <v>2</v>
      </c>
      <c r="R186" s="2" t="inlineStr">
        <is>
          <t>Stiftgelélav
Ullticka</t>
        </is>
      </c>
      <c r="S186">
        <f>HYPERLINK("https://klasma.github.io/Logging_2305/artfynd/A 11787-2025 artfynd.xlsx", "A 11787-2025")</f>
        <v/>
      </c>
      <c r="T186">
        <f>HYPERLINK("https://klasma.github.io/Logging_2305/kartor/A 11787-2025 karta.png", "A 11787-2025")</f>
        <v/>
      </c>
      <c r="V186">
        <f>HYPERLINK("https://klasma.github.io/Logging_2305/klagomål/A 11787-2025 FSC-klagomål.docx", "A 11787-2025")</f>
        <v/>
      </c>
      <c r="W186">
        <f>HYPERLINK("https://klasma.github.io/Logging_2305/klagomålsmail/A 11787-2025 FSC-klagomål mail.docx", "A 11787-2025")</f>
        <v/>
      </c>
      <c r="X186">
        <f>HYPERLINK("https://klasma.github.io/Logging_2305/tillsyn/A 11787-2025 tillsynsbegäran.docx", "A 11787-2025")</f>
        <v/>
      </c>
      <c r="Y186">
        <f>HYPERLINK("https://klasma.github.io/Logging_2305/tillsynsmail/A 11787-2025 tillsynsbegäran mail.docx", "A 11787-2025")</f>
        <v/>
      </c>
    </row>
    <row r="187" ht="15" customHeight="1">
      <c r="A187" t="inlineStr">
        <is>
          <t>A 43141-2022</t>
        </is>
      </c>
      <c r="B187" s="1" t="n">
        <v>44833</v>
      </c>
      <c r="C187" s="1" t="n">
        <v>45976</v>
      </c>
      <c r="D187" t="inlineStr">
        <is>
          <t>JÄMTLANDS LÄN</t>
        </is>
      </c>
      <c r="E187" t="inlineStr">
        <is>
          <t>BRÄCKE</t>
        </is>
      </c>
      <c r="F187" t="inlineStr">
        <is>
          <t>SCA</t>
        </is>
      </c>
      <c r="G187" t="n">
        <v>2</v>
      </c>
      <c r="H187" t="n">
        <v>1</v>
      </c>
      <c r="I187" t="n">
        <v>0</v>
      </c>
      <c r="J187" t="n">
        <v>0</v>
      </c>
      <c r="K187" t="n">
        <v>2</v>
      </c>
      <c r="L187" t="n">
        <v>0</v>
      </c>
      <c r="M187" t="n">
        <v>0</v>
      </c>
      <c r="N187" t="n">
        <v>0</v>
      </c>
      <c r="O187" t="n">
        <v>2</v>
      </c>
      <c r="P187" t="n">
        <v>2</v>
      </c>
      <c r="Q187" t="n">
        <v>2</v>
      </c>
      <c r="R187" s="2" t="inlineStr">
        <is>
          <t>Frösöstarr
Knärot</t>
        </is>
      </c>
      <c r="S187">
        <f>HYPERLINK("https://klasma.github.io/Logging_2305/artfynd/A 43141-2022 artfynd.xlsx", "A 43141-2022")</f>
        <v/>
      </c>
      <c r="T187">
        <f>HYPERLINK("https://klasma.github.io/Logging_2305/kartor/A 43141-2022 karta.png", "A 43141-2022")</f>
        <v/>
      </c>
      <c r="U187">
        <f>HYPERLINK("https://klasma.github.io/Logging_2305/knärot/A 43141-2022 karta knärot.png", "A 43141-2022")</f>
        <v/>
      </c>
      <c r="V187">
        <f>HYPERLINK("https://klasma.github.io/Logging_2305/klagomål/A 43141-2022 FSC-klagomål.docx", "A 43141-2022")</f>
        <v/>
      </c>
      <c r="W187">
        <f>HYPERLINK("https://klasma.github.io/Logging_2305/klagomålsmail/A 43141-2022 FSC-klagomål mail.docx", "A 43141-2022")</f>
        <v/>
      </c>
      <c r="X187">
        <f>HYPERLINK("https://klasma.github.io/Logging_2305/tillsyn/A 43141-2022 tillsynsbegäran.docx", "A 43141-2022")</f>
        <v/>
      </c>
      <c r="Y187">
        <f>HYPERLINK("https://klasma.github.io/Logging_2305/tillsynsmail/A 43141-2022 tillsynsbegäran mail.docx", "A 43141-2022")</f>
        <v/>
      </c>
    </row>
    <row r="188" ht="15" customHeight="1">
      <c r="A188" t="inlineStr">
        <is>
          <t>A 17489-2025</t>
        </is>
      </c>
      <c r="B188" s="1" t="n">
        <v>45757.51074074074</v>
      </c>
      <c r="C188" s="1" t="n">
        <v>45976</v>
      </c>
      <c r="D188" t="inlineStr">
        <is>
          <t>JÄMTLANDS LÄN</t>
        </is>
      </c>
      <c r="E188" t="inlineStr">
        <is>
          <t>BRÄCKE</t>
        </is>
      </c>
      <c r="F188" t="inlineStr">
        <is>
          <t>SCA</t>
        </is>
      </c>
      <c r="G188" t="n">
        <v>4.6</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17489-2025 artfynd.xlsx", "A 17489-2025")</f>
        <v/>
      </c>
      <c r="T188">
        <f>HYPERLINK("https://klasma.github.io/Logging_2305/kartor/A 17489-2025 karta.png", "A 17489-2025")</f>
        <v/>
      </c>
      <c r="V188">
        <f>HYPERLINK("https://klasma.github.io/Logging_2305/klagomål/A 17489-2025 FSC-klagomål.docx", "A 17489-2025")</f>
        <v/>
      </c>
      <c r="W188">
        <f>HYPERLINK("https://klasma.github.io/Logging_2305/klagomålsmail/A 17489-2025 FSC-klagomål mail.docx", "A 17489-2025")</f>
        <v/>
      </c>
      <c r="X188">
        <f>HYPERLINK("https://klasma.github.io/Logging_2305/tillsyn/A 17489-2025 tillsynsbegäran.docx", "A 17489-2025")</f>
        <v/>
      </c>
      <c r="Y188">
        <f>HYPERLINK("https://klasma.github.io/Logging_2305/tillsynsmail/A 17489-2025 tillsynsbegäran mail.docx", "A 17489-2025")</f>
        <v/>
      </c>
    </row>
    <row r="189" ht="15" customHeight="1">
      <c r="A189" t="inlineStr">
        <is>
          <t>A 6903-2024</t>
        </is>
      </c>
      <c r="B189" s="1" t="n">
        <v>45342</v>
      </c>
      <c r="C189" s="1" t="n">
        <v>45976</v>
      </c>
      <c r="D189" t="inlineStr">
        <is>
          <t>JÄMTLANDS LÄN</t>
        </is>
      </c>
      <c r="E189" t="inlineStr">
        <is>
          <t>BRÄCKE</t>
        </is>
      </c>
      <c r="F189" t="inlineStr">
        <is>
          <t>SCA</t>
        </is>
      </c>
      <c r="G189" t="n">
        <v>5.9</v>
      </c>
      <c r="H189" t="n">
        <v>1</v>
      </c>
      <c r="I189" t="n">
        <v>0</v>
      </c>
      <c r="J189" t="n">
        <v>1</v>
      </c>
      <c r="K189" t="n">
        <v>1</v>
      </c>
      <c r="L189" t="n">
        <v>0</v>
      </c>
      <c r="M189" t="n">
        <v>0</v>
      </c>
      <c r="N189" t="n">
        <v>0</v>
      </c>
      <c r="O189" t="n">
        <v>2</v>
      </c>
      <c r="P189" t="n">
        <v>1</v>
      </c>
      <c r="Q189" t="n">
        <v>2</v>
      </c>
      <c r="R189" s="2" t="inlineStr">
        <is>
          <t>Knärot
Lunglav</t>
        </is>
      </c>
      <c r="S189">
        <f>HYPERLINK("https://klasma.github.io/Logging_2305/artfynd/A 6903-2024 artfynd.xlsx", "A 6903-2024")</f>
        <v/>
      </c>
      <c r="T189">
        <f>HYPERLINK("https://klasma.github.io/Logging_2305/kartor/A 6903-2024 karta.png", "A 6903-2024")</f>
        <v/>
      </c>
      <c r="U189">
        <f>HYPERLINK("https://klasma.github.io/Logging_2305/knärot/A 6903-2024 karta knärot.png", "A 6903-2024")</f>
        <v/>
      </c>
      <c r="V189">
        <f>HYPERLINK("https://klasma.github.io/Logging_2305/klagomål/A 6903-2024 FSC-klagomål.docx", "A 6903-2024")</f>
        <v/>
      </c>
      <c r="W189">
        <f>HYPERLINK("https://klasma.github.io/Logging_2305/klagomålsmail/A 6903-2024 FSC-klagomål mail.docx", "A 6903-2024")</f>
        <v/>
      </c>
      <c r="X189">
        <f>HYPERLINK("https://klasma.github.io/Logging_2305/tillsyn/A 6903-2024 tillsynsbegäran.docx", "A 6903-2024")</f>
        <v/>
      </c>
      <c r="Y189">
        <f>HYPERLINK("https://klasma.github.io/Logging_2305/tillsynsmail/A 6903-2024 tillsynsbegäran mail.docx", "A 6903-2024")</f>
        <v/>
      </c>
    </row>
    <row r="190" ht="15" customHeight="1">
      <c r="A190" t="inlineStr">
        <is>
          <t>A 6906-2024</t>
        </is>
      </c>
      <c r="B190" s="1" t="n">
        <v>45342</v>
      </c>
      <c r="C190" s="1" t="n">
        <v>45976</v>
      </c>
      <c r="D190" t="inlineStr">
        <is>
          <t>JÄMTLANDS LÄN</t>
        </is>
      </c>
      <c r="E190" t="inlineStr">
        <is>
          <t>BRÄCKE</t>
        </is>
      </c>
      <c r="F190" t="inlineStr">
        <is>
          <t>SCA</t>
        </is>
      </c>
      <c r="G190" t="n">
        <v>4.1</v>
      </c>
      <c r="H190" t="n">
        <v>1</v>
      </c>
      <c r="I190" t="n">
        <v>0</v>
      </c>
      <c r="J190" t="n">
        <v>1</v>
      </c>
      <c r="K190" t="n">
        <v>1</v>
      </c>
      <c r="L190" t="n">
        <v>0</v>
      </c>
      <c r="M190" t="n">
        <v>0</v>
      </c>
      <c r="N190" t="n">
        <v>0</v>
      </c>
      <c r="O190" t="n">
        <v>2</v>
      </c>
      <c r="P190" t="n">
        <v>1</v>
      </c>
      <c r="Q190" t="n">
        <v>2</v>
      </c>
      <c r="R190" s="2" t="inlineStr">
        <is>
          <t>Knärot
Lunglav</t>
        </is>
      </c>
      <c r="S190">
        <f>HYPERLINK("https://klasma.github.io/Logging_2305/artfynd/A 6906-2024 artfynd.xlsx", "A 6906-2024")</f>
        <v/>
      </c>
      <c r="T190">
        <f>HYPERLINK("https://klasma.github.io/Logging_2305/kartor/A 6906-2024 karta.png", "A 6906-2024")</f>
        <v/>
      </c>
      <c r="U190">
        <f>HYPERLINK("https://klasma.github.io/Logging_2305/knärot/A 6906-2024 karta knärot.png", "A 6906-2024")</f>
        <v/>
      </c>
      <c r="V190">
        <f>HYPERLINK("https://klasma.github.io/Logging_2305/klagomål/A 6906-2024 FSC-klagomål.docx", "A 6906-2024")</f>
        <v/>
      </c>
      <c r="W190">
        <f>HYPERLINK("https://klasma.github.io/Logging_2305/klagomålsmail/A 6906-2024 FSC-klagomål mail.docx", "A 6906-2024")</f>
        <v/>
      </c>
      <c r="X190">
        <f>HYPERLINK("https://klasma.github.io/Logging_2305/tillsyn/A 6906-2024 tillsynsbegäran.docx", "A 6906-2024")</f>
        <v/>
      </c>
      <c r="Y190">
        <f>HYPERLINK("https://klasma.github.io/Logging_2305/tillsynsmail/A 6906-2024 tillsynsbegäran mail.docx", "A 6906-2024")</f>
        <v/>
      </c>
    </row>
    <row r="191" ht="15" customHeight="1">
      <c r="A191" t="inlineStr">
        <is>
          <t>A 40818-2024</t>
        </is>
      </c>
      <c r="B191" s="1" t="n">
        <v>45558.55251157407</v>
      </c>
      <c r="C191" s="1" t="n">
        <v>45976</v>
      </c>
      <c r="D191" t="inlineStr">
        <is>
          <t>JÄMTLANDS LÄN</t>
        </is>
      </c>
      <c r="E191" t="inlineStr">
        <is>
          <t>BRÄCKE</t>
        </is>
      </c>
      <c r="G191" t="n">
        <v>2.7</v>
      </c>
      <c r="H191" t="n">
        <v>0</v>
      </c>
      <c r="I191" t="n">
        <v>0</v>
      </c>
      <c r="J191" t="n">
        <v>2</v>
      </c>
      <c r="K191" t="n">
        <v>0</v>
      </c>
      <c r="L191" t="n">
        <v>0</v>
      </c>
      <c r="M191" t="n">
        <v>0</v>
      </c>
      <c r="N191" t="n">
        <v>0</v>
      </c>
      <c r="O191" t="n">
        <v>2</v>
      </c>
      <c r="P191" t="n">
        <v>0</v>
      </c>
      <c r="Q191" t="n">
        <v>2</v>
      </c>
      <c r="R191" s="2" t="inlineStr">
        <is>
          <t>Skrovlig taggsvamp
Svart taggsvamp</t>
        </is>
      </c>
      <c r="S191">
        <f>HYPERLINK("https://klasma.github.io/Logging_2305/artfynd/A 40818-2024 artfynd.xlsx", "A 40818-2024")</f>
        <v/>
      </c>
      <c r="T191">
        <f>HYPERLINK("https://klasma.github.io/Logging_2305/kartor/A 40818-2024 karta.png", "A 40818-2024")</f>
        <v/>
      </c>
      <c r="V191">
        <f>HYPERLINK("https://klasma.github.io/Logging_2305/klagomål/A 40818-2024 FSC-klagomål.docx", "A 40818-2024")</f>
        <v/>
      </c>
      <c r="W191">
        <f>HYPERLINK("https://klasma.github.io/Logging_2305/klagomålsmail/A 40818-2024 FSC-klagomål mail.docx", "A 40818-2024")</f>
        <v/>
      </c>
      <c r="X191">
        <f>HYPERLINK("https://klasma.github.io/Logging_2305/tillsyn/A 40818-2024 tillsynsbegäran.docx", "A 40818-2024")</f>
        <v/>
      </c>
      <c r="Y191">
        <f>HYPERLINK("https://klasma.github.io/Logging_2305/tillsynsmail/A 40818-2024 tillsynsbegäran mail.docx", "A 40818-2024")</f>
        <v/>
      </c>
    </row>
    <row r="192" ht="15" customHeight="1">
      <c r="A192" t="inlineStr">
        <is>
          <t>A 39172-2021</t>
        </is>
      </c>
      <c r="B192" s="1" t="n">
        <v>44412</v>
      </c>
      <c r="C192" s="1" t="n">
        <v>45976</v>
      </c>
      <c r="D192" t="inlineStr">
        <is>
          <t>JÄMTLANDS LÄN</t>
        </is>
      </c>
      <c r="E192" t="inlineStr">
        <is>
          <t>BRÄCKE</t>
        </is>
      </c>
      <c r="F192" t="inlineStr">
        <is>
          <t>SCA</t>
        </is>
      </c>
      <c r="G192" t="n">
        <v>9</v>
      </c>
      <c r="H192" t="n">
        <v>0</v>
      </c>
      <c r="I192" t="n">
        <v>1</v>
      </c>
      <c r="J192" t="n">
        <v>1</v>
      </c>
      <c r="K192" t="n">
        <v>0</v>
      </c>
      <c r="L192" t="n">
        <v>0</v>
      </c>
      <c r="M192" t="n">
        <v>0</v>
      </c>
      <c r="N192" t="n">
        <v>0</v>
      </c>
      <c r="O192" t="n">
        <v>1</v>
      </c>
      <c r="P192" t="n">
        <v>0</v>
      </c>
      <c r="Q192" t="n">
        <v>2</v>
      </c>
      <c r="R192" s="2" t="inlineStr">
        <is>
          <t>Lunglav
Bårdlav</t>
        </is>
      </c>
      <c r="S192">
        <f>HYPERLINK("https://klasma.github.io/Logging_2305/artfynd/A 39172-2021 artfynd.xlsx", "A 39172-2021")</f>
        <v/>
      </c>
      <c r="T192">
        <f>HYPERLINK("https://klasma.github.io/Logging_2305/kartor/A 39172-2021 karta.png", "A 39172-2021")</f>
        <v/>
      </c>
      <c r="V192">
        <f>HYPERLINK("https://klasma.github.io/Logging_2305/klagomål/A 39172-2021 FSC-klagomål.docx", "A 39172-2021")</f>
        <v/>
      </c>
      <c r="W192">
        <f>HYPERLINK("https://klasma.github.io/Logging_2305/klagomålsmail/A 39172-2021 FSC-klagomål mail.docx", "A 39172-2021")</f>
        <v/>
      </c>
      <c r="X192">
        <f>HYPERLINK("https://klasma.github.io/Logging_2305/tillsyn/A 39172-2021 tillsynsbegäran.docx", "A 39172-2021")</f>
        <v/>
      </c>
      <c r="Y192">
        <f>HYPERLINK("https://klasma.github.io/Logging_2305/tillsynsmail/A 39172-2021 tillsynsbegäran mail.docx", "A 39172-2021")</f>
        <v/>
      </c>
    </row>
    <row r="193" ht="15" customHeight="1">
      <c r="A193" t="inlineStr">
        <is>
          <t>A 12588-2024</t>
        </is>
      </c>
      <c r="B193" s="1" t="n">
        <v>45379.93667824074</v>
      </c>
      <c r="C193" s="1" t="n">
        <v>45976</v>
      </c>
      <c r="D193" t="inlineStr">
        <is>
          <t>JÄMTLANDS LÄN</t>
        </is>
      </c>
      <c r="E193" t="inlineStr">
        <is>
          <t>BRÄCKE</t>
        </is>
      </c>
      <c r="F193" t="inlineStr">
        <is>
          <t>SCA</t>
        </is>
      </c>
      <c r="G193" t="n">
        <v>5.1</v>
      </c>
      <c r="H193" t="n">
        <v>0</v>
      </c>
      <c r="I193" t="n">
        <v>0</v>
      </c>
      <c r="J193" t="n">
        <v>2</v>
      </c>
      <c r="K193" t="n">
        <v>0</v>
      </c>
      <c r="L193" t="n">
        <v>0</v>
      </c>
      <c r="M193" t="n">
        <v>0</v>
      </c>
      <c r="N193" t="n">
        <v>0</v>
      </c>
      <c r="O193" t="n">
        <v>2</v>
      </c>
      <c r="P193" t="n">
        <v>0</v>
      </c>
      <c r="Q193" t="n">
        <v>2</v>
      </c>
      <c r="R193" s="2" t="inlineStr">
        <is>
          <t>Blå taggsvamp
Ullticka</t>
        </is>
      </c>
      <c r="S193">
        <f>HYPERLINK("https://klasma.github.io/Logging_2305/artfynd/A 12588-2024 artfynd.xlsx", "A 12588-2024")</f>
        <v/>
      </c>
      <c r="T193">
        <f>HYPERLINK("https://klasma.github.io/Logging_2305/kartor/A 12588-2024 karta.png", "A 12588-2024")</f>
        <v/>
      </c>
      <c r="V193">
        <f>HYPERLINK("https://klasma.github.io/Logging_2305/klagomål/A 12588-2024 FSC-klagomål.docx", "A 12588-2024")</f>
        <v/>
      </c>
      <c r="W193">
        <f>HYPERLINK("https://klasma.github.io/Logging_2305/klagomålsmail/A 12588-2024 FSC-klagomål mail.docx", "A 12588-2024")</f>
        <v/>
      </c>
      <c r="X193">
        <f>HYPERLINK("https://klasma.github.io/Logging_2305/tillsyn/A 12588-2024 tillsynsbegäran.docx", "A 12588-2024")</f>
        <v/>
      </c>
      <c r="Y193">
        <f>HYPERLINK("https://klasma.github.io/Logging_2305/tillsynsmail/A 12588-2024 tillsynsbegäran mail.docx", "A 12588-2024")</f>
        <v/>
      </c>
    </row>
    <row r="194" ht="15" customHeight="1">
      <c r="A194" t="inlineStr">
        <is>
          <t>A 19916-2025</t>
        </is>
      </c>
      <c r="B194" s="1" t="n">
        <v>45771.61515046296</v>
      </c>
      <c r="C194" s="1" t="n">
        <v>45976</v>
      </c>
      <c r="D194" t="inlineStr">
        <is>
          <t>JÄMTLANDS LÄN</t>
        </is>
      </c>
      <c r="E194" t="inlineStr">
        <is>
          <t>BRÄCKE</t>
        </is>
      </c>
      <c r="F194" t="inlineStr">
        <is>
          <t>SCA</t>
        </is>
      </c>
      <c r="G194" t="n">
        <v>7.5</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19916-2025 artfynd.xlsx", "A 19916-2025")</f>
        <v/>
      </c>
      <c r="T194">
        <f>HYPERLINK("https://klasma.github.io/Logging_2305/kartor/A 19916-2025 karta.png", "A 19916-2025")</f>
        <v/>
      </c>
      <c r="U194">
        <f>HYPERLINK("https://klasma.github.io/Logging_2305/knärot/A 19916-2025 karta knärot.png", "A 19916-2025")</f>
        <v/>
      </c>
      <c r="V194">
        <f>HYPERLINK("https://klasma.github.io/Logging_2305/klagomål/A 19916-2025 FSC-klagomål.docx", "A 19916-2025")</f>
        <v/>
      </c>
      <c r="W194">
        <f>HYPERLINK("https://klasma.github.io/Logging_2305/klagomålsmail/A 19916-2025 FSC-klagomål mail.docx", "A 19916-2025")</f>
        <v/>
      </c>
      <c r="X194">
        <f>HYPERLINK("https://klasma.github.io/Logging_2305/tillsyn/A 19916-2025 tillsynsbegäran.docx", "A 19916-2025")</f>
        <v/>
      </c>
      <c r="Y194">
        <f>HYPERLINK("https://klasma.github.io/Logging_2305/tillsynsmail/A 19916-2025 tillsynsbegäran mail.docx", "A 19916-2025")</f>
        <v/>
      </c>
    </row>
    <row r="195" ht="15" customHeight="1">
      <c r="A195" t="inlineStr">
        <is>
          <t>A 30988-2024</t>
        </is>
      </c>
      <c r="B195" s="1" t="n">
        <v>45499.54738425926</v>
      </c>
      <c r="C195" s="1" t="n">
        <v>45976</v>
      </c>
      <c r="D195" t="inlineStr">
        <is>
          <t>JÄMTLANDS LÄN</t>
        </is>
      </c>
      <c r="E195" t="inlineStr">
        <is>
          <t>BRÄCKE</t>
        </is>
      </c>
      <c r="F195" t="inlineStr">
        <is>
          <t>Sveaskog</t>
        </is>
      </c>
      <c r="G195" t="n">
        <v>4.8</v>
      </c>
      <c r="H195" t="n">
        <v>1</v>
      </c>
      <c r="I195" t="n">
        <v>1</v>
      </c>
      <c r="J195" t="n">
        <v>1</v>
      </c>
      <c r="K195" t="n">
        <v>0</v>
      </c>
      <c r="L195" t="n">
        <v>0</v>
      </c>
      <c r="M195" t="n">
        <v>0</v>
      </c>
      <c r="N195" t="n">
        <v>0</v>
      </c>
      <c r="O195" t="n">
        <v>1</v>
      </c>
      <c r="P195" t="n">
        <v>0</v>
      </c>
      <c r="Q195" t="n">
        <v>2</v>
      </c>
      <c r="R195" s="2" t="inlineStr">
        <is>
          <t>Lunglav
Tvåblad</t>
        </is>
      </c>
      <c r="S195">
        <f>HYPERLINK("https://klasma.github.io/Logging_2305/artfynd/A 30988-2024 artfynd.xlsx", "A 30988-2024")</f>
        <v/>
      </c>
      <c r="T195">
        <f>HYPERLINK("https://klasma.github.io/Logging_2305/kartor/A 30988-2024 karta.png", "A 30988-2024")</f>
        <v/>
      </c>
      <c r="V195">
        <f>HYPERLINK("https://klasma.github.io/Logging_2305/klagomål/A 30988-2024 FSC-klagomål.docx", "A 30988-2024")</f>
        <v/>
      </c>
      <c r="W195">
        <f>HYPERLINK("https://klasma.github.io/Logging_2305/klagomålsmail/A 30988-2024 FSC-klagomål mail.docx", "A 30988-2024")</f>
        <v/>
      </c>
      <c r="X195">
        <f>HYPERLINK("https://klasma.github.io/Logging_2305/tillsyn/A 30988-2024 tillsynsbegäran.docx", "A 30988-2024")</f>
        <v/>
      </c>
      <c r="Y195">
        <f>HYPERLINK("https://klasma.github.io/Logging_2305/tillsynsmail/A 30988-2024 tillsynsbegäran mail.docx", "A 30988-2024")</f>
        <v/>
      </c>
    </row>
    <row r="196" ht="15" customHeight="1">
      <c r="A196" t="inlineStr">
        <is>
          <t>A 54051-2023</t>
        </is>
      </c>
      <c r="B196" s="1" t="n">
        <v>45231</v>
      </c>
      <c r="C196" s="1" t="n">
        <v>45976</v>
      </c>
      <c r="D196" t="inlineStr">
        <is>
          <t>JÄMTLANDS LÄN</t>
        </is>
      </c>
      <c r="E196" t="inlineStr">
        <is>
          <t>BRÄCKE</t>
        </is>
      </c>
      <c r="F196" t="inlineStr">
        <is>
          <t>SCA</t>
        </is>
      </c>
      <c r="G196" t="n">
        <v>2.4</v>
      </c>
      <c r="H196" t="n">
        <v>0</v>
      </c>
      <c r="I196" t="n">
        <v>0</v>
      </c>
      <c r="J196" t="n">
        <v>2</v>
      </c>
      <c r="K196" t="n">
        <v>0</v>
      </c>
      <c r="L196" t="n">
        <v>0</v>
      </c>
      <c r="M196" t="n">
        <v>0</v>
      </c>
      <c r="N196" t="n">
        <v>0</v>
      </c>
      <c r="O196" t="n">
        <v>2</v>
      </c>
      <c r="P196" t="n">
        <v>0</v>
      </c>
      <c r="Q196" t="n">
        <v>2</v>
      </c>
      <c r="R196" s="2" t="inlineStr">
        <is>
          <t>Blå taggsvamp
Skrovlig taggsvamp</t>
        </is>
      </c>
      <c r="S196">
        <f>HYPERLINK("https://klasma.github.io/Logging_2305/artfynd/A 54051-2023 artfynd.xlsx", "A 54051-2023")</f>
        <v/>
      </c>
      <c r="T196">
        <f>HYPERLINK("https://klasma.github.io/Logging_2305/kartor/A 54051-2023 karta.png", "A 54051-2023")</f>
        <v/>
      </c>
      <c r="V196">
        <f>HYPERLINK("https://klasma.github.io/Logging_2305/klagomål/A 54051-2023 FSC-klagomål.docx", "A 54051-2023")</f>
        <v/>
      </c>
      <c r="W196">
        <f>HYPERLINK("https://klasma.github.io/Logging_2305/klagomålsmail/A 54051-2023 FSC-klagomål mail.docx", "A 54051-2023")</f>
        <v/>
      </c>
      <c r="X196">
        <f>HYPERLINK("https://klasma.github.io/Logging_2305/tillsyn/A 54051-2023 tillsynsbegäran.docx", "A 54051-2023")</f>
        <v/>
      </c>
      <c r="Y196">
        <f>HYPERLINK("https://klasma.github.io/Logging_2305/tillsynsmail/A 54051-2023 tillsynsbegäran mail.docx", "A 54051-2023")</f>
        <v/>
      </c>
    </row>
    <row r="197" ht="15" customHeight="1">
      <c r="A197" t="inlineStr">
        <is>
          <t>A 41178-2025</t>
        </is>
      </c>
      <c r="B197" s="1" t="n">
        <v>45898.55261574074</v>
      </c>
      <c r="C197" s="1" t="n">
        <v>45976</v>
      </c>
      <c r="D197" t="inlineStr">
        <is>
          <t>JÄMTLANDS LÄN</t>
        </is>
      </c>
      <c r="E197" t="inlineStr">
        <is>
          <t>BRÄCKE</t>
        </is>
      </c>
      <c r="F197" t="inlineStr">
        <is>
          <t>SCA</t>
        </is>
      </c>
      <c r="G197" t="n">
        <v>3.3</v>
      </c>
      <c r="H197" t="n">
        <v>0</v>
      </c>
      <c r="I197" t="n">
        <v>0</v>
      </c>
      <c r="J197" t="n">
        <v>2</v>
      </c>
      <c r="K197" t="n">
        <v>0</v>
      </c>
      <c r="L197" t="n">
        <v>0</v>
      </c>
      <c r="M197" t="n">
        <v>0</v>
      </c>
      <c r="N197" t="n">
        <v>0</v>
      </c>
      <c r="O197" t="n">
        <v>2</v>
      </c>
      <c r="P197" t="n">
        <v>0</v>
      </c>
      <c r="Q197" t="n">
        <v>2</v>
      </c>
      <c r="R197" s="2" t="inlineStr">
        <is>
          <t>Lunglav
Skrovellav</t>
        </is>
      </c>
      <c r="S197">
        <f>HYPERLINK("https://klasma.github.io/Logging_2305/artfynd/A 41178-2025 artfynd.xlsx", "A 41178-2025")</f>
        <v/>
      </c>
      <c r="T197">
        <f>HYPERLINK("https://klasma.github.io/Logging_2305/kartor/A 41178-2025 karta.png", "A 41178-2025")</f>
        <v/>
      </c>
      <c r="V197">
        <f>HYPERLINK("https://klasma.github.io/Logging_2305/klagomål/A 41178-2025 FSC-klagomål.docx", "A 41178-2025")</f>
        <v/>
      </c>
      <c r="W197">
        <f>HYPERLINK("https://klasma.github.io/Logging_2305/klagomålsmail/A 41178-2025 FSC-klagomål mail.docx", "A 41178-2025")</f>
        <v/>
      </c>
      <c r="X197">
        <f>HYPERLINK("https://klasma.github.io/Logging_2305/tillsyn/A 41178-2025 tillsynsbegäran.docx", "A 41178-2025")</f>
        <v/>
      </c>
      <c r="Y197">
        <f>HYPERLINK("https://klasma.github.io/Logging_2305/tillsynsmail/A 41178-2025 tillsynsbegäran mail.docx", "A 41178-2025")</f>
        <v/>
      </c>
    </row>
    <row r="198" ht="15" customHeight="1">
      <c r="A198" t="inlineStr">
        <is>
          <t>A 15146-2024</t>
        </is>
      </c>
      <c r="B198" s="1" t="n">
        <v>45399.94361111111</v>
      </c>
      <c r="C198" s="1" t="n">
        <v>45976</v>
      </c>
      <c r="D198" t="inlineStr">
        <is>
          <t>JÄMTLANDS LÄN</t>
        </is>
      </c>
      <c r="E198" t="inlineStr">
        <is>
          <t>BRÄCKE</t>
        </is>
      </c>
      <c r="F198" t="inlineStr">
        <is>
          <t>Naturvårdsverket</t>
        </is>
      </c>
      <c r="G198" t="n">
        <v>2.2</v>
      </c>
      <c r="H198" t="n">
        <v>0</v>
      </c>
      <c r="I198" t="n">
        <v>0</v>
      </c>
      <c r="J198" t="n">
        <v>2</v>
      </c>
      <c r="K198" t="n">
        <v>0</v>
      </c>
      <c r="L198" t="n">
        <v>0</v>
      </c>
      <c r="M198" t="n">
        <v>0</v>
      </c>
      <c r="N198" t="n">
        <v>0</v>
      </c>
      <c r="O198" t="n">
        <v>2</v>
      </c>
      <c r="P198" t="n">
        <v>0</v>
      </c>
      <c r="Q198" t="n">
        <v>2</v>
      </c>
      <c r="R198" s="2" t="inlineStr">
        <is>
          <t>Garnlav
Ullticka</t>
        </is>
      </c>
      <c r="S198">
        <f>HYPERLINK("https://klasma.github.io/Logging_2305/artfynd/A 15146-2024 artfynd.xlsx", "A 15146-2024")</f>
        <v/>
      </c>
      <c r="T198">
        <f>HYPERLINK("https://klasma.github.io/Logging_2305/kartor/A 15146-2024 karta.png", "A 15146-2024")</f>
        <v/>
      </c>
      <c r="V198">
        <f>HYPERLINK("https://klasma.github.io/Logging_2305/klagomål/A 15146-2024 FSC-klagomål.docx", "A 15146-2024")</f>
        <v/>
      </c>
      <c r="W198">
        <f>HYPERLINK("https://klasma.github.io/Logging_2305/klagomålsmail/A 15146-2024 FSC-klagomål mail.docx", "A 15146-2024")</f>
        <v/>
      </c>
      <c r="X198">
        <f>HYPERLINK("https://klasma.github.io/Logging_2305/tillsyn/A 15146-2024 tillsynsbegäran.docx", "A 15146-2024")</f>
        <v/>
      </c>
      <c r="Y198">
        <f>HYPERLINK("https://klasma.github.io/Logging_2305/tillsynsmail/A 15146-2024 tillsynsbegäran mail.docx", "A 15146-2024")</f>
        <v/>
      </c>
    </row>
    <row r="199" ht="15" customHeight="1">
      <c r="A199" t="inlineStr">
        <is>
          <t>A 50328-2022</t>
        </is>
      </c>
      <c r="B199" s="1" t="n">
        <v>44865</v>
      </c>
      <c r="C199" s="1" t="n">
        <v>45976</v>
      </c>
      <c r="D199" t="inlineStr">
        <is>
          <t>JÄMTLANDS LÄN</t>
        </is>
      </c>
      <c r="E199" t="inlineStr">
        <is>
          <t>BRÄCKE</t>
        </is>
      </c>
      <c r="F199" t="inlineStr">
        <is>
          <t>SCA</t>
        </is>
      </c>
      <c r="G199" t="n">
        <v>1.6</v>
      </c>
      <c r="H199" t="n">
        <v>0</v>
      </c>
      <c r="I199" t="n">
        <v>0</v>
      </c>
      <c r="J199" t="n">
        <v>2</v>
      </c>
      <c r="K199" t="n">
        <v>0</v>
      </c>
      <c r="L199" t="n">
        <v>0</v>
      </c>
      <c r="M199" t="n">
        <v>0</v>
      </c>
      <c r="N199" t="n">
        <v>0</v>
      </c>
      <c r="O199" t="n">
        <v>2</v>
      </c>
      <c r="P199" t="n">
        <v>0</v>
      </c>
      <c r="Q199" t="n">
        <v>2</v>
      </c>
      <c r="R199" s="2" t="inlineStr">
        <is>
          <t>Ullticka
Vitgrynig nållav</t>
        </is>
      </c>
      <c r="S199">
        <f>HYPERLINK("https://klasma.github.io/Logging_2305/artfynd/A 50328-2022 artfynd.xlsx", "A 50328-2022")</f>
        <v/>
      </c>
      <c r="T199">
        <f>HYPERLINK("https://klasma.github.io/Logging_2305/kartor/A 50328-2022 karta.png", "A 50328-2022")</f>
        <v/>
      </c>
      <c r="V199">
        <f>HYPERLINK("https://klasma.github.io/Logging_2305/klagomål/A 50328-2022 FSC-klagomål.docx", "A 50328-2022")</f>
        <v/>
      </c>
      <c r="W199">
        <f>HYPERLINK("https://klasma.github.io/Logging_2305/klagomålsmail/A 50328-2022 FSC-klagomål mail.docx", "A 50328-2022")</f>
        <v/>
      </c>
      <c r="X199">
        <f>HYPERLINK("https://klasma.github.io/Logging_2305/tillsyn/A 50328-2022 tillsynsbegäran.docx", "A 50328-2022")</f>
        <v/>
      </c>
      <c r="Y199">
        <f>HYPERLINK("https://klasma.github.io/Logging_2305/tillsynsmail/A 50328-2022 tillsynsbegäran mail.docx", "A 50328-2022")</f>
        <v/>
      </c>
    </row>
    <row r="200" ht="15" customHeight="1">
      <c r="A200" t="inlineStr">
        <is>
          <t>A 49328-2023</t>
        </is>
      </c>
      <c r="B200" s="1" t="n">
        <v>45210</v>
      </c>
      <c r="C200" s="1" t="n">
        <v>45976</v>
      </c>
      <c r="D200" t="inlineStr">
        <is>
          <t>JÄMTLANDS LÄN</t>
        </is>
      </c>
      <c r="E200" t="inlineStr">
        <is>
          <t>BRÄCKE</t>
        </is>
      </c>
      <c r="F200" t="inlineStr">
        <is>
          <t>SCA</t>
        </is>
      </c>
      <c r="G200" t="n">
        <v>3.2</v>
      </c>
      <c r="H200" t="n">
        <v>0</v>
      </c>
      <c r="I200" t="n">
        <v>0</v>
      </c>
      <c r="J200" t="n">
        <v>2</v>
      </c>
      <c r="K200" t="n">
        <v>0</v>
      </c>
      <c r="L200" t="n">
        <v>0</v>
      </c>
      <c r="M200" t="n">
        <v>0</v>
      </c>
      <c r="N200" t="n">
        <v>0</v>
      </c>
      <c r="O200" t="n">
        <v>2</v>
      </c>
      <c r="P200" t="n">
        <v>0</v>
      </c>
      <c r="Q200" t="n">
        <v>2</v>
      </c>
      <c r="R200" s="2" t="inlineStr">
        <is>
          <t>Rosenticka
Ullticka</t>
        </is>
      </c>
      <c r="S200">
        <f>HYPERLINK("https://klasma.github.io/Logging_2305/artfynd/A 49328-2023 artfynd.xlsx", "A 49328-2023")</f>
        <v/>
      </c>
      <c r="T200">
        <f>HYPERLINK("https://klasma.github.io/Logging_2305/kartor/A 49328-2023 karta.png", "A 49328-2023")</f>
        <v/>
      </c>
      <c r="V200">
        <f>HYPERLINK("https://klasma.github.io/Logging_2305/klagomål/A 49328-2023 FSC-klagomål.docx", "A 49328-2023")</f>
        <v/>
      </c>
      <c r="W200">
        <f>HYPERLINK("https://klasma.github.io/Logging_2305/klagomålsmail/A 49328-2023 FSC-klagomål mail.docx", "A 49328-2023")</f>
        <v/>
      </c>
      <c r="X200">
        <f>HYPERLINK("https://klasma.github.io/Logging_2305/tillsyn/A 49328-2023 tillsynsbegäran.docx", "A 49328-2023")</f>
        <v/>
      </c>
      <c r="Y200">
        <f>HYPERLINK("https://klasma.github.io/Logging_2305/tillsynsmail/A 49328-2023 tillsynsbegäran mail.docx", "A 49328-2023")</f>
        <v/>
      </c>
    </row>
    <row r="201" ht="15" customHeight="1">
      <c r="A201" t="inlineStr">
        <is>
          <t>A 55343-2023</t>
        </is>
      </c>
      <c r="B201" s="1" t="n">
        <v>45237</v>
      </c>
      <c r="C201" s="1" t="n">
        <v>45976</v>
      </c>
      <c r="D201" t="inlineStr">
        <is>
          <t>JÄMTLANDS LÄN</t>
        </is>
      </c>
      <c r="E201" t="inlineStr">
        <is>
          <t>BRÄCKE</t>
        </is>
      </c>
      <c r="F201" t="inlineStr">
        <is>
          <t>Kyrkan</t>
        </is>
      </c>
      <c r="G201" t="n">
        <v>12</v>
      </c>
      <c r="H201" t="n">
        <v>1</v>
      </c>
      <c r="I201" t="n">
        <v>0</v>
      </c>
      <c r="J201" t="n">
        <v>1</v>
      </c>
      <c r="K201" t="n">
        <v>1</v>
      </c>
      <c r="L201" t="n">
        <v>0</v>
      </c>
      <c r="M201" t="n">
        <v>0</v>
      </c>
      <c r="N201" t="n">
        <v>0</v>
      </c>
      <c r="O201" t="n">
        <v>2</v>
      </c>
      <c r="P201" t="n">
        <v>1</v>
      </c>
      <c r="Q201" t="n">
        <v>2</v>
      </c>
      <c r="R201" s="2" t="inlineStr">
        <is>
          <t>Doftticka
Lunglav</t>
        </is>
      </c>
      <c r="S201">
        <f>HYPERLINK("https://klasma.github.io/Logging_2305/artfynd/A 55343-2023 artfynd.xlsx", "A 55343-2023")</f>
        <v/>
      </c>
      <c r="T201">
        <f>HYPERLINK("https://klasma.github.io/Logging_2305/kartor/A 55343-2023 karta.png", "A 55343-2023")</f>
        <v/>
      </c>
      <c r="V201">
        <f>HYPERLINK("https://klasma.github.io/Logging_2305/klagomål/A 55343-2023 FSC-klagomål.docx", "A 55343-2023")</f>
        <v/>
      </c>
      <c r="W201">
        <f>HYPERLINK("https://klasma.github.io/Logging_2305/klagomålsmail/A 55343-2023 FSC-klagomål mail.docx", "A 55343-2023")</f>
        <v/>
      </c>
      <c r="X201">
        <f>HYPERLINK("https://klasma.github.io/Logging_2305/tillsyn/A 55343-2023 tillsynsbegäran.docx", "A 55343-2023")</f>
        <v/>
      </c>
      <c r="Y201">
        <f>HYPERLINK("https://klasma.github.io/Logging_2305/tillsynsmail/A 55343-2023 tillsynsbegäran mail.docx", "A 55343-2023")</f>
        <v/>
      </c>
    </row>
    <row r="202" ht="15" customHeight="1">
      <c r="A202" t="inlineStr">
        <is>
          <t>A 50485-2025</t>
        </is>
      </c>
      <c r="B202" s="1" t="n">
        <v>45945.38582175926</v>
      </c>
      <c r="C202" s="1" t="n">
        <v>45976</v>
      </c>
      <c r="D202" t="inlineStr">
        <is>
          <t>JÄMTLANDS LÄN</t>
        </is>
      </c>
      <c r="E202" t="inlineStr">
        <is>
          <t>BRÄCKE</t>
        </is>
      </c>
      <c r="F202" t="inlineStr">
        <is>
          <t>SCA</t>
        </is>
      </c>
      <c r="G202" t="n">
        <v>2.1</v>
      </c>
      <c r="H202" t="n">
        <v>0</v>
      </c>
      <c r="I202" t="n">
        <v>0</v>
      </c>
      <c r="J202" t="n">
        <v>2</v>
      </c>
      <c r="K202" t="n">
        <v>0</v>
      </c>
      <c r="L202" t="n">
        <v>0</v>
      </c>
      <c r="M202" t="n">
        <v>0</v>
      </c>
      <c r="N202" t="n">
        <v>0</v>
      </c>
      <c r="O202" t="n">
        <v>2</v>
      </c>
      <c r="P202" t="n">
        <v>0</v>
      </c>
      <c r="Q202" t="n">
        <v>2</v>
      </c>
      <c r="R202" s="2" t="inlineStr">
        <is>
          <t>Granticka
Gränsticka</t>
        </is>
      </c>
      <c r="S202">
        <f>HYPERLINK("https://klasma.github.io/Logging_2305/artfynd/A 50485-2025 artfynd.xlsx", "A 50485-2025")</f>
        <v/>
      </c>
      <c r="T202">
        <f>HYPERLINK("https://klasma.github.io/Logging_2305/kartor/A 50485-2025 karta.png", "A 50485-2025")</f>
        <v/>
      </c>
      <c r="V202">
        <f>HYPERLINK("https://klasma.github.io/Logging_2305/klagomål/A 50485-2025 FSC-klagomål.docx", "A 50485-2025")</f>
        <v/>
      </c>
      <c r="W202">
        <f>HYPERLINK("https://klasma.github.io/Logging_2305/klagomålsmail/A 50485-2025 FSC-klagomål mail.docx", "A 50485-2025")</f>
        <v/>
      </c>
      <c r="X202">
        <f>HYPERLINK("https://klasma.github.io/Logging_2305/tillsyn/A 50485-2025 tillsynsbegäran.docx", "A 50485-2025")</f>
        <v/>
      </c>
      <c r="Y202">
        <f>HYPERLINK("https://klasma.github.io/Logging_2305/tillsynsmail/A 50485-2025 tillsynsbegäran mail.docx", "A 50485-2025")</f>
        <v/>
      </c>
    </row>
    <row r="203" ht="15" customHeight="1">
      <c r="A203" t="inlineStr">
        <is>
          <t>A 2467-2025</t>
        </is>
      </c>
      <c r="B203" s="1" t="n">
        <v>45674.46979166667</v>
      </c>
      <c r="C203" s="1" t="n">
        <v>45976</v>
      </c>
      <c r="D203" t="inlineStr">
        <is>
          <t>JÄMTLANDS LÄN</t>
        </is>
      </c>
      <c r="E203" t="inlineStr">
        <is>
          <t>BRÄCKE</t>
        </is>
      </c>
      <c r="F203" t="inlineStr">
        <is>
          <t>SCA</t>
        </is>
      </c>
      <c r="G203" t="n">
        <v>5.6</v>
      </c>
      <c r="H203" t="n">
        <v>1</v>
      </c>
      <c r="I203" t="n">
        <v>0</v>
      </c>
      <c r="J203" t="n">
        <v>2</v>
      </c>
      <c r="K203" t="n">
        <v>0</v>
      </c>
      <c r="L203" t="n">
        <v>0</v>
      </c>
      <c r="M203" t="n">
        <v>0</v>
      </c>
      <c r="N203" t="n">
        <v>0</v>
      </c>
      <c r="O203" t="n">
        <v>2</v>
      </c>
      <c r="P203" t="n">
        <v>0</v>
      </c>
      <c r="Q203" t="n">
        <v>2</v>
      </c>
      <c r="R203" s="2" t="inlineStr">
        <is>
          <t>Lunglav
Tretåig hackspett</t>
        </is>
      </c>
      <c r="S203">
        <f>HYPERLINK("https://klasma.github.io/Logging_2305/artfynd/A 2467-2025 artfynd.xlsx", "A 2467-2025")</f>
        <v/>
      </c>
      <c r="T203">
        <f>HYPERLINK("https://klasma.github.io/Logging_2305/kartor/A 2467-2025 karta.png", "A 2467-2025")</f>
        <v/>
      </c>
      <c r="V203">
        <f>HYPERLINK("https://klasma.github.io/Logging_2305/klagomål/A 2467-2025 FSC-klagomål.docx", "A 2467-2025")</f>
        <v/>
      </c>
      <c r="W203">
        <f>HYPERLINK("https://klasma.github.io/Logging_2305/klagomålsmail/A 2467-2025 FSC-klagomål mail.docx", "A 2467-2025")</f>
        <v/>
      </c>
      <c r="X203">
        <f>HYPERLINK("https://klasma.github.io/Logging_2305/tillsyn/A 2467-2025 tillsynsbegäran.docx", "A 2467-2025")</f>
        <v/>
      </c>
      <c r="Y203">
        <f>HYPERLINK("https://klasma.github.io/Logging_2305/tillsynsmail/A 2467-2025 tillsynsbegäran mail.docx", "A 2467-2025")</f>
        <v/>
      </c>
      <c r="Z203">
        <f>HYPERLINK("https://klasma.github.io/Logging_2305/fåglar/A 2467-2025 prioriterade fågelarter.docx", "A 2467-2025")</f>
        <v/>
      </c>
    </row>
    <row r="204" ht="15" customHeight="1">
      <c r="A204" t="inlineStr">
        <is>
          <t>A 22706-2025</t>
        </is>
      </c>
      <c r="B204" s="1" t="n">
        <v>45789.55290509259</v>
      </c>
      <c r="C204" s="1" t="n">
        <v>45976</v>
      </c>
      <c r="D204" t="inlineStr">
        <is>
          <t>JÄMTLANDS LÄN</t>
        </is>
      </c>
      <c r="E204" t="inlineStr">
        <is>
          <t>BRÄCKE</t>
        </is>
      </c>
      <c r="F204" t="inlineStr">
        <is>
          <t>SCA</t>
        </is>
      </c>
      <c r="G204" t="n">
        <v>2.7</v>
      </c>
      <c r="H204" t="n">
        <v>0</v>
      </c>
      <c r="I204" t="n">
        <v>0</v>
      </c>
      <c r="J204" t="n">
        <v>2</v>
      </c>
      <c r="K204" t="n">
        <v>0</v>
      </c>
      <c r="L204" t="n">
        <v>0</v>
      </c>
      <c r="M204" t="n">
        <v>0</v>
      </c>
      <c r="N204" t="n">
        <v>0</v>
      </c>
      <c r="O204" t="n">
        <v>2</v>
      </c>
      <c r="P204" t="n">
        <v>0</v>
      </c>
      <c r="Q204" t="n">
        <v>2</v>
      </c>
      <c r="R204" s="2" t="inlineStr">
        <is>
          <t>Kolflarnlav
Stiftgelélav</t>
        </is>
      </c>
      <c r="S204">
        <f>HYPERLINK("https://klasma.github.io/Logging_2305/artfynd/A 22706-2025 artfynd.xlsx", "A 22706-2025")</f>
        <v/>
      </c>
      <c r="T204">
        <f>HYPERLINK("https://klasma.github.io/Logging_2305/kartor/A 22706-2025 karta.png", "A 22706-2025")</f>
        <v/>
      </c>
      <c r="V204">
        <f>HYPERLINK("https://klasma.github.io/Logging_2305/klagomål/A 22706-2025 FSC-klagomål.docx", "A 22706-2025")</f>
        <v/>
      </c>
      <c r="W204">
        <f>HYPERLINK("https://klasma.github.io/Logging_2305/klagomålsmail/A 22706-2025 FSC-klagomål mail.docx", "A 22706-2025")</f>
        <v/>
      </c>
      <c r="X204">
        <f>HYPERLINK("https://klasma.github.io/Logging_2305/tillsyn/A 22706-2025 tillsynsbegäran.docx", "A 22706-2025")</f>
        <v/>
      </c>
      <c r="Y204">
        <f>HYPERLINK("https://klasma.github.io/Logging_2305/tillsynsmail/A 22706-2025 tillsynsbegäran mail.docx", "A 22706-2025")</f>
        <v/>
      </c>
    </row>
    <row r="205" ht="15" customHeight="1">
      <c r="A205" t="inlineStr">
        <is>
          <t>A 42807-2025</t>
        </is>
      </c>
      <c r="B205" s="1" t="n">
        <v>45908.55247685185</v>
      </c>
      <c r="C205" s="1" t="n">
        <v>45976</v>
      </c>
      <c r="D205" t="inlineStr">
        <is>
          <t>JÄMTLANDS LÄN</t>
        </is>
      </c>
      <c r="E205" t="inlineStr">
        <is>
          <t>BRÄCKE</t>
        </is>
      </c>
      <c r="F205" t="inlineStr">
        <is>
          <t>SCA</t>
        </is>
      </c>
      <c r="G205" t="n">
        <v>2.5</v>
      </c>
      <c r="H205" t="n">
        <v>0</v>
      </c>
      <c r="I205" t="n">
        <v>1</v>
      </c>
      <c r="J205" t="n">
        <v>1</v>
      </c>
      <c r="K205" t="n">
        <v>0</v>
      </c>
      <c r="L205" t="n">
        <v>0</v>
      </c>
      <c r="M205" t="n">
        <v>0</v>
      </c>
      <c r="N205" t="n">
        <v>0</v>
      </c>
      <c r="O205" t="n">
        <v>1</v>
      </c>
      <c r="P205" t="n">
        <v>0</v>
      </c>
      <c r="Q205" t="n">
        <v>2</v>
      </c>
      <c r="R205" s="2" t="inlineStr">
        <is>
          <t>Lunglav
Luddlav</t>
        </is>
      </c>
      <c r="S205">
        <f>HYPERLINK("https://klasma.github.io/Logging_2305/artfynd/A 42807-2025 artfynd.xlsx", "A 42807-2025")</f>
        <v/>
      </c>
      <c r="T205">
        <f>HYPERLINK("https://klasma.github.io/Logging_2305/kartor/A 42807-2025 karta.png", "A 42807-2025")</f>
        <v/>
      </c>
      <c r="V205">
        <f>HYPERLINK("https://klasma.github.io/Logging_2305/klagomål/A 42807-2025 FSC-klagomål.docx", "A 42807-2025")</f>
        <v/>
      </c>
      <c r="W205">
        <f>HYPERLINK("https://klasma.github.io/Logging_2305/klagomålsmail/A 42807-2025 FSC-klagomål mail.docx", "A 42807-2025")</f>
        <v/>
      </c>
      <c r="X205">
        <f>HYPERLINK("https://klasma.github.io/Logging_2305/tillsyn/A 42807-2025 tillsynsbegäran.docx", "A 42807-2025")</f>
        <v/>
      </c>
      <c r="Y205">
        <f>HYPERLINK("https://klasma.github.io/Logging_2305/tillsynsmail/A 42807-2025 tillsynsbegäran mail.docx", "A 42807-2025")</f>
        <v/>
      </c>
    </row>
    <row r="206" ht="15" customHeight="1">
      <c r="A206" t="inlineStr">
        <is>
          <t>A 8248-2024</t>
        </is>
      </c>
      <c r="B206" s="1" t="n">
        <v>45351</v>
      </c>
      <c r="C206" s="1" t="n">
        <v>45976</v>
      </c>
      <c r="D206" t="inlineStr">
        <is>
          <t>JÄMTLANDS LÄN</t>
        </is>
      </c>
      <c r="E206" t="inlineStr">
        <is>
          <t>BRÄCKE</t>
        </is>
      </c>
      <c r="F206" t="inlineStr">
        <is>
          <t>SCA</t>
        </is>
      </c>
      <c r="G206" t="n">
        <v>1.8</v>
      </c>
      <c r="H206" t="n">
        <v>0</v>
      </c>
      <c r="I206" t="n">
        <v>0</v>
      </c>
      <c r="J206" t="n">
        <v>2</v>
      </c>
      <c r="K206" t="n">
        <v>0</v>
      </c>
      <c r="L206" t="n">
        <v>0</v>
      </c>
      <c r="M206" t="n">
        <v>0</v>
      </c>
      <c r="N206" t="n">
        <v>0</v>
      </c>
      <c r="O206" t="n">
        <v>2</v>
      </c>
      <c r="P206" t="n">
        <v>0</v>
      </c>
      <c r="Q206" t="n">
        <v>2</v>
      </c>
      <c r="R206" s="2" t="inlineStr">
        <is>
          <t>Rosenticka
Ullticka</t>
        </is>
      </c>
      <c r="S206">
        <f>HYPERLINK("https://klasma.github.io/Logging_2305/artfynd/A 8248-2024 artfynd.xlsx", "A 8248-2024")</f>
        <v/>
      </c>
      <c r="T206">
        <f>HYPERLINK("https://klasma.github.io/Logging_2305/kartor/A 8248-2024 karta.png", "A 8248-2024")</f>
        <v/>
      </c>
      <c r="V206">
        <f>HYPERLINK("https://klasma.github.io/Logging_2305/klagomål/A 8248-2024 FSC-klagomål.docx", "A 8248-2024")</f>
        <v/>
      </c>
      <c r="W206">
        <f>HYPERLINK("https://klasma.github.io/Logging_2305/klagomålsmail/A 8248-2024 FSC-klagomål mail.docx", "A 8248-2024")</f>
        <v/>
      </c>
      <c r="X206">
        <f>HYPERLINK("https://klasma.github.io/Logging_2305/tillsyn/A 8248-2024 tillsynsbegäran.docx", "A 8248-2024")</f>
        <v/>
      </c>
      <c r="Y206">
        <f>HYPERLINK("https://klasma.github.io/Logging_2305/tillsynsmail/A 8248-2024 tillsynsbegäran mail.docx", "A 8248-2024")</f>
        <v/>
      </c>
    </row>
    <row r="207" ht="15" customHeight="1">
      <c r="A207" t="inlineStr">
        <is>
          <t>A 43178-2025</t>
        </is>
      </c>
      <c r="B207" s="1" t="n">
        <v>45910.40681712963</v>
      </c>
      <c r="C207" s="1" t="n">
        <v>45976</v>
      </c>
      <c r="D207" t="inlineStr">
        <is>
          <t>JÄMTLANDS LÄN</t>
        </is>
      </c>
      <c r="E207" t="inlineStr">
        <is>
          <t>BRÄCKE</t>
        </is>
      </c>
      <c r="F207" t="inlineStr">
        <is>
          <t>SCA</t>
        </is>
      </c>
      <c r="G207" t="n">
        <v>4.6</v>
      </c>
      <c r="H207" t="n">
        <v>0</v>
      </c>
      <c r="I207" t="n">
        <v>1</v>
      </c>
      <c r="J207" t="n">
        <v>1</v>
      </c>
      <c r="K207" t="n">
        <v>0</v>
      </c>
      <c r="L207" t="n">
        <v>0</v>
      </c>
      <c r="M207" t="n">
        <v>0</v>
      </c>
      <c r="N207" t="n">
        <v>0</v>
      </c>
      <c r="O207" t="n">
        <v>1</v>
      </c>
      <c r="P207" t="n">
        <v>0</v>
      </c>
      <c r="Q207" t="n">
        <v>2</v>
      </c>
      <c r="R207" s="2" t="inlineStr">
        <is>
          <t>Lunglav
Stuplav</t>
        </is>
      </c>
      <c r="S207">
        <f>HYPERLINK("https://klasma.github.io/Logging_2305/artfynd/A 43178-2025 artfynd.xlsx", "A 43178-2025")</f>
        <v/>
      </c>
      <c r="T207">
        <f>HYPERLINK("https://klasma.github.io/Logging_2305/kartor/A 43178-2025 karta.png", "A 43178-2025")</f>
        <v/>
      </c>
      <c r="V207">
        <f>HYPERLINK("https://klasma.github.io/Logging_2305/klagomål/A 43178-2025 FSC-klagomål.docx", "A 43178-2025")</f>
        <v/>
      </c>
      <c r="W207">
        <f>HYPERLINK("https://klasma.github.io/Logging_2305/klagomålsmail/A 43178-2025 FSC-klagomål mail.docx", "A 43178-2025")</f>
        <v/>
      </c>
      <c r="X207">
        <f>HYPERLINK("https://klasma.github.io/Logging_2305/tillsyn/A 43178-2025 tillsynsbegäran.docx", "A 43178-2025")</f>
        <v/>
      </c>
      <c r="Y207">
        <f>HYPERLINK("https://klasma.github.io/Logging_2305/tillsynsmail/A 43178-2025 tillsynsbegäran mail.docx", "A 43178-2025")</f>
        <v/>
      </c>
    </row>
    <row r="208" ht="15" customHeight="1">
      <c r="A208" t="inlineStr">
        <is>
          <t>A 21408-2025</t>
        </is>
      </c>
      <c r="B208" s="1" t="n">
        <v>45782.4906712963</v>
      </c>
      <c r="C208" s="1" t="n">
        <v>45976</v>
      </c>
      <c r="D208" t="inlineStr">
        <is>
          <t>JÄMTLANDS LÄN</t>
        </is>
      </c>
      <c r="E208" t="inlineStr">
        <is>
          <t>BRÄCKE</t>
        </is>
      </c>
      <c r="F208" t="inlineStr">
        <is>
          <t>SCA</t>
        </is>
      </c>
      <c r="G208" t="n">
        <v>1.2</v>
      </c>
      <c r="H208" t="n">
        <v>1</v>
      </c>
      <c r="I208" t="n">
        <v>1</v>
      </c>
      <c r="J208" t="n">
        <v>0</v>
      </c>
      <c r="K208" t="n">
        <v>0</v>
      </c>
      <c r="L208" t="n">
        <v>0</v>
      </c>
      <c r="M208" t="n">
        <v>0</v>
      </c>
      <c r="N208" t="n">
        <v>0</v>
      </c>
      <c r="O208" t="n">
        <v>0</v>
      </c>
      <c r="P208" t="n">
        <v>0</v>
      </c>
      <c r="Q208" t="n">
        <v>2</v>
      </c>
      <c r="R208" s="2" t="inlineStr">
        <is>
          <t>Underviol
Blåsippa</t>
        </is>
      </c>
      <c r="S208">
        <f>HYPERLINK("https://klasma.github.io/Logging_2305/artfynd/A 21408-2025 artfynd.xlsx", "A 21408-2025")</f>
        <v/>
      </c>
      <c r="T208">
        <f>HYPERLINK("https://klasma.github.io/Logging_2305/kartor/A 21408-2025 karta.png", "A 21408-2025")</f>
        <v/>
      </c>
      <c r="V208">
        <f>HYPERLINK("https://klasma.github.io/Logging_2305/klagomål/A 21408-2025 FSC-klagomål.docx", "A 21408-2025")</f>
        <v/>
      </c>
      <c r="W208">
        <f>HYPERLINK("https://klasma.github.io/Logging_2305/klagomålsmail/A 21408-2025 FSC-klagomål mail.docx", "A 21408-2025")</f>
        <v/>
      </c>
      <c r="X208">
        <f>HYPERLINK("https://klasma.github.io/Logging_2305/tillsyn/A 21408-2025 tillsynsbegäran.docx", "A 21408-2025")</f>
        <v/>
      </c>
      <c r="Y208">
        <f>HYPERLINK("https://klasma.github.io/Logging_2305/tillsynsmail/A 21408-2025 tillsynsbegäran mail.docx", "A 21408-2025")</f>
        <v/>
      </c>
    </row>
    <row r="209" ht="15" customHeight="1">
      <c r="A209" t="inlineStr">
        <is>
          <t>A 48772-2024</t>
        </is>
      </c>
      <c r="B209" s="1" t="n">
        <v>45593.61495370371</v>
      </c>
      <c r="C209" s="1" t="n">
        <v>45976</v>
      </c>
      <c r="D209" t="inlineStr">
        <is>
          <t>JÄMTLANDS LÄN</t>
        </is>
      </c>
      <c r="E209" t="inlineStr">
        <is>
          <t>BRÄCKE</t>
        </is>
      </c>
      <c r="F209" t="inlineStr">
        <is>
          <t>SCA</t>
        </is>
      </c>
      <c r="G209" t="n">
        <v>2.7</v>
      </c>
      <c r="H209" t="n">
        <v>0</v>
      </c>
      <c r="I209" t="n">
        <v>0</v>
      </c>
      <c r="J209" t="n">
        <v>2</v>
      </c>
      <c r="K209" t="n">
        <v>0</v>
      </c>
      <c r="L209" t="n">
        <v>0</v>
      </c>
      <c r="M209" t="n">
        <v>0</v>
      </c>
      <c r="N209" t="n">
        <v>0</v>
      </c>
      <c r="O209" t="n">
        <v>2</v>
      </c>
      <c r="P209" t="n">
        <v>0</v>
      </c>
      <c r="Q209" t="n">
        <v>2</v>
      </c>
      <c r="R209" s="2" t="inlineStr">
        <is>
          <t>Lunglav
Skrovellav</t>
        </is>
      </c>
      <c r="S209">
        <f>HYPERLINK("https://klasma.github.io/Logging_2305/artfynd/A 48772-2024 artfynd.xlsx", "A 48772-2024")</f>
        <v/>
      </c>
      <c r="T209">
        <f>HYPERLINK("https://klasma.github.io/Logging_2305/kartor/A 48772-2024 karta.png", "A 48772-2024")</f>
        <v/>
      </c>
      <c r="V209">
        <f>HYPERLINK("https://klasma.github.io/Logging_2305/klagomål/A 48772-2024 FSC-klagomål.docx", "A 48772-2024")</f>
        <v/>
      </c>
      <c r="W209">
        <f>HYPERLINK("https://klasma.github.io/Logging_2305/klagomålsmail/A 48772-2024 FSC-klagomål mail.docx", "A 48772-2024")</f>
        <v/>
      </c>
      <c r="X209">
        <f>HYPERLINK("https://klasma.github.io/Logging_2305/tillsyn/A 48772-2024 tillsynsbegäran.docx", "A 48772-2024")</f>
        <v/>
      </c>
      <c r="Y209">
        <f>HYPERLINK("https://klasma.github.io/Logging_2305/tillsynsmail/A 48772-2024 tillsynsbegäran mail.docx", "A 48772-2024")</f>
        <v/>
      </c>
    </row>
    <row r="210" ht="15" customHeight="1">
      <c r="A210" t="inlineStr">
        <is>
          <t>A 17992-2025</t>
        </is>
      </c>
      <c r="B210" s="1" t="n">
        <v>45761.40657407408</v>
      </c>
      <c r="C210" s="1" t="n">
        <v>45976</v>
      </c>
      <c r="D210" t="inlineStr">
        <is>
          <t>JÄMTLANDS LÄN</t>
        </is>
      </c>
      <c r="E210" t="inlineStr">
        <is>
          <t>BRÄCKE</t>
        </is>
      </c>
      <c r="F210" t="inlineStr">
        <is>
          <t>SCA</t>
        </is>
      </c>
      <c r="G210" t="n">
        <v>1.4</v>
      </c>
      <c r="H210" t="n">
        <v>0</v>
      </c>
      <c r="I210" t="n">
        <v>0</v>
      </c>
      <c r="J210" t="n">
        <v>2</v>
      </c>
      <c r="K210" t="n">
        <v>0</v>
      </c>
      <c r="L210" t="n">
        <v>0</v>
      </c>
      <c r="M210" t="n">
        <v>0</v>
      </c>
      <c r="N210" t="n">
        <v>0</v>
      </c>
      <c r="O210" t="n">
        <v>2</v>
      </c>
      <c r="P210" t="n">
        <v>0</v>
      </c>
      <c r="Q210" t="n">
        <v>2</v>
      </c>
      <c r="R210" s="2" t="inlineStr">
        <is>
          <t>Lunglav
Skrovellav</t>
        </is>
      </c>
      <c r="S210">
        <f>HYPERLINK("https://klasma.github.io/Logging_2305/artfynd/A 17992-2025 artfynd.xlsx", "A 17992-2025")</f>
        <v/>
      </c>
      <c r="T210">
        <f>HYPERLINK("https://klasma.github.io/Logging_2305/kartor/A 17992-2025 karta.png", "A 17992-2025")</f>
        <v/>
      </c>
      <c r="V210">
        <f>HYPERLINK("https://klasma.github.io/Logging_2305/klagomål/A 17992-2025 FSC-klagomål.docx", "A 17992-2025")</f>
        <v/>
      </c>
      <c r="W210">
        <f>HYPERLINK("https://klasma.github.io/Logging_2305/klagomålsmail/A 17992-2025 FSC-klagomål mail.docx", "A 17992-2025")</f>
        <v/>
      </c>
      <c r="X210">
        <f>HYPERLINK("https://klasma.github.io/Logging_2305/tillsyn/A 17992-2025 tillsynsbegäran.docx", "A 17992-2025")</f>
        <v/>
      </c>
      <c r="Y210">
        <f>HYPERLINK("https://klasma.github.io/Logging_2305/tillsynsmail/A 17992-2025 tillsynsbegäran mail.docx", "A 17992-2025")</f>
        <v/>
      </c>
    </row>
    <row r="211" ht="15" customHeight="1">
      <c r="A211" t="inlineStr">
        <is>
          <t>A 40401-2023</t>
        </is>
      </c>
      <c r="B211" s="1" t="n">
        <v>45169</v>
      </c>
      <c r="C211" s="1" t="n">
        <v>45976</v>
      </c>
      <c r="D211" t="inlineStr">
        <is>
          <t>JÄMTLANDS LÄN</t>
        </is>
      </c>
      <c r="E211" t="inlineStr">
        <is>
          <t>BRÄCKE</t>
        </is>
      </c>
      <c r="F211" t="inlineStr">
        <is>
          <t>SCA</t>
        </is>
      </c>
      <c r="G211" t="n">
        <v>2</v>
      </c>
      <c r="H211" t="n">
        <v>0</v>
      </c>
      <c r="I211" t="n">
        <v>1</v>
      </c>
      <c r="J211" t="n">
        <v>1</v>
      </c>
      <c r="K211" t="n">
        <v>0</v>
      </c>
      <c r="L211" t="n">
        <v>0</v>
      </c>
      <c r="M211" t="n">
        <v>0</v>
      </c>
      <c r="N211" t="n">
        <v>0</v>
      </c>
      <c r="O211" t="n">
        <v>1</v>
      </c>
      <c r="P211" t="n">
        <v>0</v>
      </c>
      <c r="Q211" t="n">
        <v>2</v>
      </c>
      <c r="R211" s="2" t="inlineStr">
        <is>
          <t>Ullticka
Dropptaggsvamp</t>
        </is>
      </c>
      <c r="S211">
        <f>HYPERLINK("https://klasma.github.io/Logging_2305/artfynd/A 40401-2023 artfynd.xlsx", "A 40401-2023")</f>
        <v/>
      </c>
      <c r="T211">
        <f>HYPERLINK("https://klasma.github.io/Logging_2305/kartor/A 40401-2023 karta.png", "A 40401-2023")</f>
        <v/>
      </c>
      <c r="V211">
        <f>HYPERLINK("https://klasma.github.io/Logging_2305/klagomål/A 40401-2023 FSC-klagomål.docx", "A 40401-2023")</f>
        <v/>
      </c>
      <c r="W211">
        <f>HYPERLINK("https://klasma.github.io/Logging_2305/klagomålsmail/A 40401-2023 FSC-klagomål mail.docx", "A 40401-2023")</f>
        <v/>
      </c>
      <c r="X211">
        <f>HYPERLINK("https://klasma.github.io/Logging_2305/tillsyn/A 40401-2023 tillsynsbegäran.docx", "A 40401-2023")</f>
        <v/>
      </c>
      <c r="Y211">
        <f>HYPERLINK("https://klasma.github.io/Logging_2305/tillsynsmail/A 40401-2023 tillsynsbegäran mail.docx", "A 40401-2023")</f>
        <v/>
      </c>
    </row>
    <row r="212" ht="15" customHeight="1">
      <c r="A212" t="inlineStr">
        <is>
          <t>A 5858-2025</t>
        </is>
      </c>
      <c r="B212" s="1" t="n">
        <v>45695.34447916667</v>
      </c>
      <c r="C212" s="1" t="n">
        <v>45976</v>
      </c>
      <c r="D212" t="inlineStr">
        <is>
          <t>JÄMTLANDS LÄN</t>
        </is>
      </c>
      <c r="E212" t="inlineStr">
        <is>
          <t>BRÄCKE</t>
        </is>
      </c>
      <c r="G212" t="n">
        <v>2.7</v>
      </c>
      <c r="H212" t="n">
        <v>1</v>
      </c>
      <c r="I212" t="n">
        <v>0</v>
      </c>
      <c r="J212" t="n">
        <v>0</v>
      </c>
      <c r="K212" t="n">
        <v>0</v>
      </c>
      <c r="L212" t="n">
        <v>2</v>
      </c>
      <c r="M212" t="n">
        <v>0</v>
      </c>
      <c r="N212" t="n">
        <v>0</v>
      </c>
      <c r="O212" t="n">
        <v>2</v>
      </c>
      <c r="P212" t="n">
        <v>2</v>
      </c>
      <c r="Q212" t="n">
        <v>2</v>
      </c>
      <c r="R212" s="2" t="inlineStr">
        <is>
          <t>Bredgentiana
Fältgentiana</t>
        </is>
      </c>
      <c r="S212">
        <f>HYPERLINK("https://klasma.github.io/Logging_2305/artfynd/A 5858-2025 artfynd.xlsx", "A 5858-2025")</f>
        <v/>
      </c>
      <c r="T212">
        <f>HYPERLINK("https://klasma.github.io/Logging_2305/kartor/A 5858-2025 karta.png", "A 5858-2025")</f>
        <v/>
      </c>
      <c r="V212">
        <f>HYPERLINK("https://klasma.github.io/Logging_2305/klagomål/A 5858-2025 FSC-klagomål.docx", "A 5858-2025")</f>
        <v/>
      </c>
      <c r="W212">
        <f>HYPERLINK("https://klasma.github.io/Logging_2305/klagomålsmail/A 5858-2025 FSC-klagomål mail.docx", "A 5858-2025")</f>
        <v/>
      </c>
      <c r="X212">
        <f>HYPERLINK("https://klasma.github.io/Logging_2305/tillsyn/A 5858-2025 tillsynsbegäran.docx", "A 5858-2025")</f>
        <v/>
      </c>
      <c r="Y212">
        <f>HYPERLINK("https://klasma.github.io/Logging_2305/tillsynsmail/A 5858-2025 tillsynsbegäran mail.docx", "A 5858-2025")</f>
        <v/>
      </c>
    </row>
    <row r="213" ht="15" customHeight="1">
      <c r="A213" t="inlineStr">
        <is>
          <t>A 10105-2025</t>
        </is>
      </c>
      <c r="B213" s="1" t="n">
        <v>45719.58310185185</v>
      </c>
      <c r="C213" s="1" t="n">
        <v>45976</v>
      </c>
      <c r="D213" t="inlineStr">
        <is>
          <t>JÄMTLANDS LÄN</t>
        </is>
      </c>
      <c r="E213" t="inlineStr">
        <is>
          <t>BRÄCKE</t>
        </is>
      </c>
      <c r="G213" t="n">
        <v>0.6</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10105-2025 artfynd.xlsx", "A 10105-2025")</f>
        <v/>
      </c>
      <c r="T213">
        <f>HYPERLINK("https://klasma.github.io/Logging_2305/kartor/A 10105-2025 karta.png", "A 10105-2025")</f>
        <v/>
      </c>
      <c r="V213">
        <f>HYPERLINK("https://klasma.github.io/Logging_2305/klagomål/A 10105-2025 FSC-klagomål.docx", "A 10105-2025")</f>
        <v/>
      </c>
      <c r="W213">
        <f>HYPERLINK("https://klasma.github.io/Logging_2305/klagomålsmail/A 10105-2025 FSC-klagomål mail.docx", "A 10105-2025")</f>
        <v/>
      </c>
      <c r="X213">
        <f>HYPERLINK("https://klasma.github.io/Logging_2305/tillsyn/A 10105-2025 tillsynsbegäran.docx", "A 10105-2025")</f>
        <v/>
      </c>
      <c r="Y213">
        <f>HYPERLINK("https://klasma.github.io/Logging_2305/tillsynsmail/A 10105-2025 tillsynsbegäran mail.docx", "A 10105-2025")</f>
        <v/>
      </c>
    </row>
    <row r="214" ht="15" customHeight="1">
      <c r="A214" t="inlineStr">
        <is>
          <t>A 50497-2023</t>
        </is>
      </c>
      <c r="B214" s="1" t="n">
        <v>45216</v>
      </c>
      <c r="C214" s="1" t="n">
        <v>45976</v>
      </c>
      <c r="D214" t="inlineStr">
        <is>
          <t>JÄMTLANDS LÄN</t>
        </is>
      </c>
      <c r="E214" t="inlineStr">
        <is>
          <t>BRÄCKE</t>
        </is>
      </c>
      <c r="F214" t="inlineStr">
        <is>
          <t>SCA</t>
        </is>
      </c>
      <c r="G214" t="n">
        <v>2.5</v>
      </c>
      <c r="H214" t="n">
        <v>1</v>
      </c>
      <c r="I214" t="n">
        <v>1</v>
      </c>
      <c r="J214" t="n">
        <v>0</v>
      </c>
      <c r="K214" t="n">
        <v>1</v>
      </c>
      <c r="L214" t="n">
        <v>0</v>
      </c>
      <c r="M214" t="n">
        <v>0</v>
      </c>
      <c r="N214" t="n">
        <v>0</v>
      </c>
      <c r="O214" t="n">
        <v>1</v>
      </c>
      <c r="P214" t="n">
        <v>1</v>
      </c>
      <c r="Q214" t="n">
        <v>2</v>
      </c>
      <c r="R214" s="2" t="inlineStr">
        <is>
          <t>Knärot
Skuggblåslav</t>
        </is>
      </c>
      <c r="S214">
        <f>HYPERLINK("https://klasma.github.io/Logging_2305/artfynd/A 50497-2023 artfynd.xlsx", "A 50497-2023")</f>
        <v/>
      </c>
      <c r="T214">
        <f>HYPERLINK("https://klasma.github.io/Logging_2305/kartor/A 50497-2023 karta.png", "A 50497-2023")</f>
        <v/>
      </c>
      <c r="U214">
        <f>HYPERLINK("https://klasma.github.io/Logging_2305/knärot/A 50497-2023 karta knärot.png", "A 50497-2023")</f>
        <v/>
      </c>
      <c r="V214">
        <f>HYPERLINK("https://klasma.github.io/Logging_2305/klagomål/A 50497-2023 FSC-klagomål.docx", "A 50497-2023")</f>
        <v/>
      </c>
      <c r="W214">
        <f>HYPERLINK("https://klasma.github.io/Logging_2305/klagomålsmail/A 50497-2023 FSC-klagomål mail.docx", "A 50497-2023")</f>
        <v/>
      </c>
      <c r="X214">
        <f>HYPERLINK("https://klasma.github.io/Logging_2305/tillsyn/A 50497-2023 tillsynsbegäran.docx", "A 50497-2023")</f>
        <v/>
      </c>
      <c r="Y214">
        <f>HYPERLINK("https://klasma.github.io/Logging_2305/tillsynsmail/A 50497-2023 tillsynsbegäran mail.docx", "A 50497-2023")</f>
        <v/>
      </c>
    </row>
    <row r="215" ht="15" customHeight="1">
      <c r="A215" t="inlineStr">
        <is>
          <t>A 35216-2025</t>
        </is>
      </c>
      <c r="B215" s="1" t="n">
        <v>45853.49005787037</v>
      </c>
      <c r="C215" s="1" t="n">
        <v>45976</v>
      </c>
      <c r="D215" t="inlineStr">
        <is>
          <t>JÄMTLANDS LÄN</t>
        </is>
      </c>
      <c r="E215" t="inlineStr">
        <is>
          <t>BRÄCKE</t>
        </is>
      </c>
      <c r="F215" t="inlineStr">
        <is>
          <t>SCA</t>
        </is>
      </c>
      <c r="G215" t="n">
        <v>1.5</v>
      </c>
      <c r="H215" t="n">
        <v>2</v>
      </c>
      <c r="I215" t="n">
        <v>0</v>
      </c>
      <c r="J215" t="n">
        <v>1</v>
      </c>
      <c r="K215" t="n">
        <v>1</v>
      </c>
      <c r="L215" t="n">
        <v>0</v>
      </c>
      <c r="M215" t="n">
        <v>0</v>
      </c>
      <c r="N215" t="n">
        <v>0</v>
      </c>
      <c r="O215" t="n">
        <v>2</v>
      </c>
      <c r="P215" t="n">
        <v>1</v>
      </c>
      <c r="Q215" t="n">
        <v>2</v>
      </c>
      <c r="R215" s="2" t="inlineStr">
        <is>
          <t>Knärot
Talltita</t>
        </is>
      </c>
      <c r="S215">
        <f>HYPERLINK("https://klasma.github.io/Logging_2305/artfynd/A 35216-2025 artfynd.xlsx", "A 35216-2025")</f>
        <v/>
      </c>
      <c r="T215">
        <f>HYPERLINK("https://klasma.github.io/Logging_2305/kartor/A 35216-2025 karta.png", "A 35216-2025")</f>
        <v/>
      </c>
      <c r="U215">
        <f>HYPERLINK("https://klasma.github.io/Logging_2305/knärot/A 35216-2025 karta knärot.png", "A 35216-2025")</f>
        <v/>
      </c>
      <c r="V215">
        <f>HYPERLINK("https://klasma.github.io/Logging_2305/klagomål/A 35216-2025 FSC-klagomål.docx", "A 35216-2025")</f>
        <v/>
      </c>
      <c r="W215">
        <f>HYPERLINK("https://klasma.github.io/Logging_2305/klagomålsmail/A 35216-2025 FSC-klagomål mail.docx", "A 35216-2025")</f>
        <v/>
      </c>
      <c r="X215">
        <f>HYPERLINK("https://klasma.github.io/Logging_2305/tillsyn/A 35216-2025 tillsynsbegäran.docx", "A 35216-2025")</f>
        <v/>
      </c>
      <c r="Y215">
        <f>HYPERLINK("https://klasma.github.io/Logging_2305/tillsynsmail/A 35216-2025 tillsynsbegäran mail.docx", "A 35216-2025")</f>
        <v/>
      </c>
      <c r="Z215">
        <f>HYPERLINK("https://klasma.github.io/Logging_2305/fåglar/A 35216-2025 prioriterade fågelarter.docx", "A 35216-2025")</f>
        <v/>
      </c>
    </row>
    <row r="216" ht="15" customHeight="1">
      <c r="A216" t="inlineStr">
        <is>
          <t>A 59324-2021</t>
        </is>
      </c>
      <c r="B216" s="1" t="n">
        <v>44490</v>
      </c>
      <c r="C216" s="1" t="n">
        <v>45976</v>
      </c>
      <c r="D216" t="inlineStr">
        <is>
          <t>JÄMTLANDS LÄN</t>
        </is>
      </c>
      <c r="E216" t="inlineStr">
        <is>
          <t>BRÄCKE</t>
        </is>
      </c>
      <c r="F216" t="inlineStr">
        <is>
          <t>SCA</t>
        </is>
      </c>
      <c r="G216" t="n">
        <v>8.6</v>
      </c>
      <c r="H216" t="n">
        <v>0</v>
      </c>
      <c r="I216" t="n">
        <v>0</v>
      </c>
      <c r="J216" t="n">
        <v>2</v>
      </c>
      <c r="K216" t="n">
        <v>0</v>
      </c>
      <c r="L216" t="n">
        <v>0</v>
      </c>
      <c r="M216" t="n">
        <v>0</v>
      </c>
      <c r="N216" t="n">
        <v>0</v>
      </c>
      <c r="O216" t="n">
        <v>2</v>
      </c>
      <c r="P216" t="n">
        <v>0</v>
      </c>
      <c r="Q216" t="n">
        <v>2</v>
      </c>
      <c r="R216" s="2" t="inlineStr">
        <is>
          <t>Ullticka
Veckticka</t>
        </is>
      </c>
      <c r="S216">
        <f>HYPERLINK("https://klasma.github.io/Logging_2305/artfynd/A 59324-2021 artfynd.xlsx", "A 59324-2021")</f>
        <v/>
      </c>
      <c r="T216">
        <f>HYPERLINK("https://klasma.github.io/Logging_2305/kartor/A 59324-2021 karta.png", "A 59324-2021")</f>
        <v/>
      </c>
      <c r="V216">
        <f>HYPERLINK("https://klasma.github.io/Logging_2305/klagomål/A 59324-2021 FSC-klagomål.docx", "A 59324-2021")</f>
        <v/>
      </c>
      <c r="W216">
        <f>HYPERLINK("https://klasma.github.io/Logging_2305/klagomålsmail/A 59324-2021 FSC-klagomål mail.docx", "A 59324-2021")</f>
        <v/>
      </c>
      <c r="X216">
        <f>HYPERLINK("https://klasma.github.io/Logging_2305/tillsyn/A 59324-2021 tillsynsbegäran.docx", "A 59324-2021")</f>
        <v/>
      </c>
      <c r="Y216">
        <f>HYPERLINK("https://klasma.github.io/Logging_2305/tillsynsmail/A 59324-2021 tillsynsbegäran mail.docx", "A 59324-2021")</f>
        <v/>
      </c>
    </row>
    <row r="217" ht="15" customHeight="1">
      <c r="A217" t="inlineStr">
        <is>
          <t>A 45795-2025</t>
        </is>
      </c>
      <c r="B217" s="1" t="n">
        <v>45923.57403935185</v>
      </c>
      <c r="C217" s="1" t="n">
        <v>45976</v>
      </c>
      <c r="D217" t="inlineStr">
        <is>
          <t>JÄMTLANDS LÄN</t>
        </is>
      </c>
      <c r="E217" t="inlineStr">
        <is>
          <t>BRÄCKE</t>
        </is>
      </c>
      <c r="F217" t="inlineStr">
        <is>
          <t>SCA</t>
        </is>
      </c>
      <c r="G217" t="n">
        <v>10.9</v>
      </c>
      <c r="H217" t="n">
        <v>0</v>
      </c>
      <c r="I217" t="n">
        <v>1</v>
      </c>
      <c r="J217" t="n">
        <v>1</v>
      </c>
      <c r="K217" t="n">
        <v>0</v>
      </c>
      <c r="L217" t="n">
        <v>0</v>
      </c>
      <c r="M217" t="n">
        <v>0</v>
      </c>
      <c r="N217" t="n">
        <v>0</v>
      </c>
      <c r="O217" t="n">
        <v>1</v>
      </c>
      <c r="P217" t="n">
        <v>0</v>
      </c>
      <c r="Q217" t="n">
        <v>2</v>
      </c>
      <c r="R217" s="2" t="inlineStr">
        <is>
          <t>Lunglav
Skinnlav</t>
        </is>
      </c>
      <c r="S217">
        <f>HYPERLINK("https://klasma.github.io/Logging_2305/artfynd/A 45795-2025 artfynd.xlsx", "A 45795-2025")</f>
        <v/>
      </c>
      <c r="T217">
        <f>HYPERLINK("https://klasma.github.io/Logging_2305/kartor/A 45795-2025 karta.png", "A 45795-2025")</f>
        <v/>
      </c>
      <c r="V217">
        <f>HYPERLINK("https://klasma.github.io/Logging_2305/klagomål/A 45795-2025 FSC-klagomål.docx", "A 45795-2025")</f>
        <v/>
      </c>
      <c r="W217">
        <f>HYPERLINK("https://klasma.github.io/Logging_2305/klagomålsmail/A 45795-2025 FSC-klagomål mail.docx", "A 45795-2025")</f>
        <v/>
      </c>
      <c r="X217">
        <f>HYPERLINK("https://klasma.github.io/Logging_2305/tillsyn/A 45795-2025 tillsynsbegäran.docx", "A 45795-2025")</f>
        <v/>
      </c>
      <c r="Y217">
        <f>HYPERLINK("https://klasma.github.io/Logging_2305/tillsynsmail/A 45795-2025 tillsynsbegäran mail.docx", "A 45795-2025")</f>
        <v/>
      </c>
    </row>
    <row r="218" ht="15" customHeight="1">
      <c r="A218" t="inlineStr">
        <is>
          <t>A 24747-2025</t>
        </is>
      </c>
      <c r="B218" s="1" t="n">
        <v>45799.34675925926</v>
      </c>
      <c r="C218" s="1" t="n">
        <v>45976</v>
      </c>
      <c r="D218" t="inlineStr">
        <is>
          <t>JÄMTLANDS LÄN</t>
        </is>
      </c>
      <c r="E218" t="inlineStr">
        <is>
          <t>BRÄCKE</t>
        </is>
      </c>
      <c r="F218" t="inlineStr">
        <is>
          <t>SCA</t>
        </is>
      </c>
      <c r="G218" t="n">
        <v>6.9</v>
      </c>
      <c r="H218" t="n">
        <v>0</v>
      </c>
      <c r="I218" t="n">
        <v>0</v>
      </c>
      <c r="J218" t="n">
        <v>2</v>
      </c>
      <c r="K218" t="n">
        <v>0</v>
      </c>
      <c r="L218" t="n">
        <v>0</v>
      </c>
      <c r="M218" t="n">
        <v>0</v>
      </c>
      <c r="N218" t="n">
        <v>0</v>
      </c>
      <c r="O218" t="n">
        <v>2</v>
      </c>
      <c r="P218" t="n">
        <v>0</v>
      </c>
      <c r="Q218" t="n">
        <v>2</v>
      </c>
      <c r="R218" s="2" t="inlineStr">
        <is>
          <t>Garnlav
Lunglav</t>
        </is>
      </c>
      <c r="S218">
        <f>HYPERLINK("https://klasma.github.io/Logging_2305/artfynd/A 24747-2025 artfynd.xlsx", "A 24747-2025")</f>
        <v/>
      </c>
      <c r="T218">
        <f>HYPERLINK("https://klasma.github.io/Logging_2305/kartor/A 24747-2025 karta.png", "A 24747-2025")</f>
        <v/>
      </c>
      <c r="V218">
        <f>HYPERLINK("https://klasma.github.io/Logging_2305/klagomål/A 24747-2025 FSC-klagomål.docx", "A 24747-2025")</f>
        <v/>
      </c>
      <c r="W218">
        <f>HYPERLINK("https://klasma.github.io/Logging_2305/klagomålsmail/A 24747-2025 FSC-klagomål mail.docx", "A 24747-2025")</f>
        <v/>
      </c>
      <c r="X218">
        <f>HYPERLINK("https://klasma.github.io/Logging_2305/tillsyn/A 24747-2025 tillsynsbegäran.docx", "A 24747-2025")</f>
        <v/>
      </c>
      <c r="Y218">
        <f>HYPERLINK("https://klasma.github.io/Logging_2305/tillsynsmail/A 24747-2025 tillsynsbegäran mail.docx", "A 24747-2025")</f>
        <v/>
      </c>
    </row>
    <row r="219" ht="15" customHeight="1">
      <c r="A219" t="inlineStr">
        <is>
          <t>A 47295-2023</t>
        </is>
      </c>
      <c r="B219" s="1" t="n">
        <v>45196</v>
      </c>
      <c r="C219" s="1" t="n">
        <v>45976</v>
      </c>
      <c r="D219" t="inlineStr">
        <is>
          <t>JÄMTLANDS LÄN</t>
        </is>
      </c>
      <c r="E219" t="inlineStr">
        <is>
          <t>BRÄCKE</t>
        </is>
      </c>
      <c r="F219" t="inlineStr">
        <is>
          <t>SCA</t>
        </is>
      </c>
      <c r="G219" t="n">
        <v>11.4</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47295-2023 artfynd.xlsx", "A 47295-2023")</f>
        <v/>
      </c>
      <c r="T219">
        <f>HYPERLINK("https://klasma.github.io/Logging_2305/kartor/A 47295-2023 karta.png", "A 47295-2023")</f>
        <v/>
      </c>
      <c r="U219">
        <f>HYPERLINK("https://klasma.github.io/Logging_2305/knärot/A 47295-2023 karta knärot.png", "A 47295-2023")</f>
        <v/>
      </c>
      <c r="V219">
        <f>HYPERLINK("https://klasma.github.io/Logging_2305/klagomål/A 47295-2023 FSC-klagomål.docx", "A 47295-2023")</f>
        <v/>
      </c>
      <c r="W219">
        <f>HYPERLINK("https://klasma.github.io/Logging_2305/klagomålsmail/A 47295-2023 FSC-klagomål mail.docx", "A 47295-2023")</f>
        <v/>
      </c>
      <c r="X219">
        <f>HYPERLINK("https://klasma.github.io/Logging_2305/tillsyn/A 47295-2023 tillsynsbegäran.docx", "A 47295-2023")</f>
        <v/>
      </c>
      <c r="Y219">
        <f>HYPERLINK("https://klasma.github.io/Logging_2305/tillsynsmail/A 47295-2023 tillsynsbegäran mail.docx", "A 47295-2023")</f>
        <v/>
      </c>
    </row>
    <row r="220" ht="15" customHeight="1">
      <c r="A220" t="inlineStr">
        <is>
          <t>A 30990-2024</t>
        </is>
      </c>
      <c r="B220" s="1" t="n">
        <v>45499.54975694444</v>
      </c>
      <c r="C220" s="1" t="n">
        <v>45976</v>
      </c>
      <c r="D220" t="inlineStr">
        <is>
          <t>JÄMTLANDS LÄN</t>
        </is>
      </c>
      <c r="E220" t="inlineStr">
        <is>
          <t>BRÄCKE</t>
        </is>
      </c>
      <c r="F220" t="inlineStr">
        <is>
          <t>Sveaskog</t>
        </is>
      </c>
      <c r="G220" t="n">
        <v>4.9</v>
      </c>
      <c r="H220" t="n">
        <v>1</v>
      </c>
      <c r="I220" t="n">
        <v>0</v>
      </c>
      <c r="J220" t="n">
        <v>1</v>
      </c>
      <c r="K220" t="n">
        <v>1</v>
      </c>
      <c r="L220" t="n">
        <v>0</v>
      </c>
      <c r="M220" t="n">
        <v>0</v>
      </c>
      <c r="N220" t="n">
        <v>0</v>
      </c>
      <c r="O220" t="n">
        <v>2</v>
      </c>
      <c r="P220" t="n">
        <v>1</v>
      </c>
      <c r="Q220" t="n">
        <v>2</v>
      </c>
      <c r="R220" s="2" t="inlineStr">
        <is>
          <t>Knärot
Lunglav</t>
        </is>
      </c>
      <c r="S220">
        <f>HYPERLINK("https://klasma.github.io/Logging_2305/artfynd/A 30990-2024 artfynd.xlsx", "A 30990-2024")</f>
        <v/>
      </c>
      <c r="T220">
        <f>HYPERLINK("https://klasma.github.io/Logging_2305/kartor/A 30990-2024 karta.png", "A 30990-2024")</f>
        <v/>
      </c>
      <c r="U220">
        <f>HYPERLINK("https://klasma.github.io/Logging_2305/knärot/A 30990-2024 karta knärot.png", "A 30990-2024")</f>
        <v/>
      </c>
      <c r="V220">
        <f>HYPERLINK("https://klasma.github.io/Logging_2305/klagomål/A 30990-2024 FSC-klagomål.docx", "A 30990-2024")</f>
        <v/>
      </c>
      <c r="W220">
        <f>HYPERLINK("https://klasma.github.io/Logging_2305/klagomålsmail/A 30990-2024 FSC-klagomål mail.docx", "A 30990-2024")</f>
        <v/>
      </c>
      <c r="X220">
        <f>HYPERLINK("https://klasma.github.io/Logging_2305/tillsyn/A 30990-2024 tillsynsbegäran.docx", "A 30990-2024")</f>
        <v/>
      </c>
      <c r="Y220">
        <f>HYPERLINK("https://klasma.github.io/Logging_2305/tillsynsmail/A 30990-2024 tillsynsbegäran mail.docx", "A 30990-2024")</f>
        <v/>
      </c>
    </row>
    <row r="221" ht="15" customHeight="1">
      <c r="A221" t="inlineStr">
        <is>
          <t>A 26178-2025</t>
        </is>
      </c>
      <c r="B221" s="1" t="n">
        <v>45805.46917824074</v>
      </c>
      <c r="C221" s="1" t="n">
        <v>45976</v>
      </c>
      <c r="D221" t="inlineStr">
        <is>
          <t>JÄMTLANDS LÄN</t>
        </is>
      </c>
      <c r="E221" t="inlineStr">
        <is>
          <t>BRÄCKE</t>
        </is>
      </c>
      <c r="G221" t="n">
        <v>6.9</v>
      </c>
      <c r="H221" t="n">
        <v>1</v>
      </c>
      <c r="I221" t="n">
        <v>1</v>
      </c>
      <c r="J221" t="n">
        <v>0</v>
      </c>
      <c r="K221" t="n">
        <v>0</v>
      </c>
      <c r="L221" t="n">
        <v>0</v>
      </c>
      <c r="M221" t="n">
        <v>0</v>
      </c>
      <c r="N221" t="n">
        <v>0</v>
      </c>
      <c r="O221" t="n">
        <v>0</v>
      </c>
      <c r="P221" t="n">
        <v>0</v>
      </c>
      <c r="Q221" t="n">
        <v>2</v>
      </c>
      <c r="R221" s="2" t="inlineStr">
        <is>
          <t>Vårärt
Blåsippa</t>
        </is>
      </c>
      <c r="S221">
        <f>HYPERLINK("https://klasma.github.io/Logging_2305/artfynd/A 26178-2025 artfynd.xlsx", "A 26178-2025")</f>
        <v/>
      </c>
      <c r="T221">
        <f>HYPERLINK("https://klasma.github.io/Logging_2305/kartor/A 26178-2025 karta.png", "A 26178-2025")</f>
        <v/>
      </c>
      <c r="V221">
        <f>HYPERLINK("https://klasma.github.io/Logging_2305/klagomål/A 26178-2025 FSC-klagomål.docx", "A 26178-2025")</f>
        <v/>
      </c>
      <c r="W221">
        <f>HYPERLINK("https://klasma.github.io/Logging_2305/klagomålsmail/A 26178-2025 FSC-klagomål mail.docx", "A 26178-2025")</f>
        <v/>
      </c>
      <c r="X221">
        <f>HYPERLINK("https://klasma.github.io/Logging_2305/tillsyn/A 26178-2025 tillsynsbegäran.docx", "A 26178-2025")</f>
        <v/>
      </c>
      <c r="Y221">
        <f>HYPERLINK("https://klasma.github.io/Logging_2305/tillsynsmail/A 26178-2025 tillsynsbegäran mail.docx", "A 26178-2025")</f>
        <v/>
      </c>
    </row>
    <row r="222" ht="15" customHeight="1">
      <c r="A222" t="inlineStr">
        <is>
          <t>A 27062-2025</t>
        </is>
      </c>
      <c r="B222" s="1" t="n">
        <v>45811.63614583333</v>
      </c>
      <c r="C222" s="1" t="n">
        <v>45976</v>
      </c>
      <c r="D222" t="inlineStr">
        <is>
          <t>JÄMTLANDS LÄN</t>
        </is>
      </c>
      <c r="E222" t="inlineStr">
        <is>
          <t>BRÄCKE</t>
        </is>
      </c>
      <c r="F222" t="inlineStr">
        <is>
          <t>SCA</t>
        </is>
      </c>
      <c r="G222" t="n">
        <v>19.8</v>
      </c>
      <c r="H222" t="n">
        <v>0</v>
      </c>
      <c r="I222" t="n">
        <v>2</v>
      </c>
      <c r="J222" t="n">
        <v>0</v>
      </c>
      <c r="K222" t="n">
        <v>0</v>
      </c>
      <c r="L222" t="n">
        <v>0</v>
      </c>
      <c r="M222" t="n">
        <v>0</v>
      </c>
      <c r="N222" t="n">
        <v>0</v>
      </c>
      <c r="O222" t="n">
        <v>0</v>
      </c>
      <c r="P222" t="n">
        <v>0</v>
      </c>
      <c r="Q222" t="n">
        <v>2</v>
      </c>
      <c r="R222" s="2" t="inlineStr">
        <is>
          <t>Dropptaggsvamp
Skinnlav</t>
        </is>
      </c>
      <c r="S222">
        <f>HYPERLINK("https://klasma.github.io/Logging_2305/artfynd/A 27062-2025 artfynd.xlsx", "A 27062-2025")</f>
        <v/>
      </c>
      <c r="T222">
        <f>HYPERLINK("https://klasma.github.io/Logging_2305/kartor/A 27062-2025 karta.png", "A 27062-2025")</f>
        <v/>
      </c>
      <c r="V222">
        <f>HYPERLINK("https://klasma.github.io/Logging_2305/klagomål/A 27062-2025 FSC-klagomål.docx", "A 27062-2025")</f>
        <v/>
      </c>
      <c r="W222">
        <f>HYPERLINK("https://klasma.github.io/Logging_2305/klagomålsmail/A 27062-2025 FSC-klagomål mail.docx", "A 27062-2025")</f>
        <v/>
      </c>
      <c r="X222">
        <f>HYPERLINK("https://klasma.github.io/Logging_2305/tillsyn/A 27062-2025 tillsynsbegäran.docx", "A 27062-2025")</f>
        <v/>
      </c>
      <c r="Y222">
        <f>HYPERLINK("https://klasma.github.io/Logging_2305/tillsynsmail/A 27062-2025 tillsynsbegäran mail.docx", "A 27062-2025")</f>
        <v/>
      </c>
    </row>
    <row r="223" ht="15" customHeight="1">
      <c r="A223" t="inlineStr">
        <is>
          <t>A 51822-2023</t>
        </is>
      </c>
      <c r="B223" s="1" t="n">
        <v>45222</v>
      </c>
      <c r="C223" s="1" t="n">
        <v>45976</v>
      </c>
      <c r="D223" t="inlineStr">
        <is>
          <t>JÄMTLANDS LÄN</t>
        </is>
      </c>
      <c r="E223" t="inlineStr">
        <is>
          <t>BRÄCKE</t>
        </is>
      </c>
      <c r="F223" t="inlineStr">
        <is>
          <t>SCA</t>
        </is>
      </c>
      <c r="G223" t="n">
        <v>3</v>
      </c>
      <c r="H223" t="n">
        <v>0</v>
      </c>
      <c r="I223" t="n">
        <v>0</v>
      </c>
      <c r="J223" t="n">
        <v>2</v>
      </c>
      <c r="K223" t="n">
        <v>0</v>
      </c>
      <c r="L223" t="n">
        <v>0</v>
      </c>
      <c r="M223" t="n">
        <v>0</v>
      </c>
      <c r="N223" t="n">
        <v>0</v>
      </c>
      <c r="O223" t="n">
        <v>2</v>
      </c>
      <c r="P223" t="n">
        <v>0</v>
      </c>
      <c r="Q223" t="n">
        <v>2</v>
      </c>
      <c r="R223" s="2" t="inlineStr">
        <is>
          <t>Harticka
Ullticka</t>
        </is>
      </c>
      <c r="S223">
        <f>HYPERLINK("https://klasma.github.io/Logging_2305/artfynd/A 51822-2023 artfynd.xlsx", "A 51822-2023")</f>
        <v/>
      </c>
      <c r="T223">
        <f>HYPERLINK("https://klasma.github.io/Logging_2305/kartor/A 51822-2023 karta.png", "A 51822-2023")</f>
        <v/>
      </c>
      <c r="V223">
        <f>HYPERLINK("https://klasma.github.io/Logging_2305/klagomål/A 51822-2023 FSC-klagomål.docx", "A 51822-2023")</f>
        <v/>
      </c>
      <c r="W223">
        <f>HYPERLINK("https://klasma.github.io/Logging_2305/klagomålsmail/A 51822-2023 FSC-klagomål mail.docx", "A 51822-2023")</f>
        <v/>
      </c>
      <c r="X223">
        <f>HYPERLINK("https://klasma.github.io/Logging_2305/tillsyn/A 51822-2023 tillsynsbegäran.docx", "A 51822-2023")</f>
        <v/>
      </c>
      <c r="Y223">
        <f>HYPERLINK("https://klasma.github.io/Logging_2305/tillsynsmail/A 51822-2023 tillsynsbegäran mail.docx", "A 51822-2023")</f>
        <v/>
      </c>
    </row>
    <row r="224" ht="15" customHeight="1">
      <c r="A224" t="inlineStr">
        <is>
          <t>A 27279-2025</t>
        </is>
      </c>
      <c r="B224" s="1" t="n">
        <v>45812.53172453704</v>
      </c>
      <c r="C224" s="1" t="n">
        <v>45976</v>
      </c>
      <c r="D224" t="inlineStr">
        <is>
          <t>JÄMTLANDS LÄN</t>
        </is>
      </c>
      <c r="E224" t="inlineStr">
        <is>
          <t>BRÄCKE</t>
        </is>
      </c>
      <c r="F224" t="inlineStr">
        <is>
          <t>SCA</t>
        </is>
      </c>
      <c r="G224" t="n">
        <v>1.2</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27279-2025 artfynd.xlsx", "A 27279-2025")</f>
        <v/>
      </c>
      <c r="T224">
        <f>HYPERLINK("https://klasma.github.io/Logging_2305/kartor/A 27279-2025 karta.png", "A 27279-2025")</f>
        <v/>
      </c>
      <c r="V224">
        <f>HYPERLINK("https://klasma.github.io/Logging_2305/klagomål/A 27279-2025 FSC-klagomål.docx", "A 27279-2025")</f>
        <v/>
      </c>
      <c r="W224">
        <f>HYPERLINK("https://klasma.github.io/Logging_2305/klagomålsmail/A 27279-2025 FSC-klagomål mail.docx", "A 27279-2025")</f>
        <v/>
      </c>
      <c r="X224">
        <f>HYPERLINK("https://klasma.github.io/Logging_2305/tillsyn/A 27279-2025 tillsynsbegäran.docx", "A 27279-2025")</f>
        <v/>
      </c>
      <c r="Y224">
        <f>HYPERLINK("https://klasma.github.io/Logging_2305/tillsynsmail/A 27279-2025 tillsynsbegäran mail.docx", "A 27279-2025")</f>
        <v/>
      </c>
    </row>
    <row r="225" ht="15" customHeight="1">
      <c r="A225" t="inlineStr">
        <is>
          <t>A 33874-2023</t>
        </is>
      </c>
      <c r="B225" s="1" t="n">
        <v>45133</v>
      </c>
      <c r="C225" s="1" t="n">
        <v>45976</v>
      </c>
      <c r="D225" t="inlineStr">
        <is>
          <t>JÄMTLANDS LÄN</t>
        </is>
      </c>
      <c r="E225" t="inlineStr">
        <is>
          <t>BRÄCKE</t>
        </is>
      </c>
      <c r="F225" t="inlineStr">
        <is>
          <t>SCA</t>
        </is>
      </c>
      <c r="G225" t="n">
        <v>5.8</v>
      </c>
      <c r="H225" t="n">
        <v>1</v>
      </c>
      <c r="I225" t="n">
        <v>0</v>
      </c>
      <c r="J225" t="n">
        <v>1</v>
      </c>
      <c r="K225" t="n">
        <v>0</v>
      </c>
      <c r="L225" t="n">
        <v>0</v>
      </c>
      <c r="M225" t="n">
        <v>0</v>
      </c>
      <c r="N225" t="n">
        <v>0</v>
      </c>
      <c r="O225" t="n">
        <v>1</v>
      </c>
      <c r="P225" t="n">
        <v>0</v>
      </c>
      <c r="Q225" t="n">
        <v>2</v>
      </c>
      <c r="R225" s="2" t="inlineStr">
        <is>
          <t>Ullticka
Kungsfågel</t>
        </is>
      </c>
      <c r="S225">
        <f>HYPERLINK("https://klasma.github.io/Logging_2305/artfynd/A 33874-2023 artfynd.xlsx", "A 33874-2023")</f>
        <v/>
      </c>
      <c r="T225">
        <f>HYPERLINK("https://klasma.github.io/Logging_2305/kartor/A 33874-2023 karta.png", "A 33874-2023")</f>
        <v/>
      </c>
      <c r="V225">
        <f>HYPERLINK("https://klasma.github.io/Logging_2305/klagomål/A 33874-2023 FSC-klagomål.docx", "A 33874-2023")</f>
        <v/>
      </c>
      <c r="W225">
        <f>HYPERLINK("https://klasma.github.io/Logging_2305/klagomålsmail/A 33874-2023 FSC-klagomål mail.docx", "A 33874-2023")</f>
        <v/>
      </c>
      <c r="X225">
        <f>HYPERLINK("https://klasma.github.io/Logging_2305/tillsyn/A 33874-2023 tillsynsbegäran.docx", "A 33874-2023")</f>
        <v/>
      </c>
      <c r="Y225">
        <f>HYPERLINK("https://klasma.github.io/Logging_2305/tillsynsmail/A 33874-2023 tillsynsbegäran mail.docx", "A 33874-2023")</f>
        <v/>
      </c>
      <c r="Z225">
        <f>HYPERLINK("https://klasma.github.io/Logging_2305/fåglar/A 33874-2023 prioriterade fågelarter.docx", "A 33874-2023")</f>
        <v/>
      </c>
    </row>
    <row r="226" ht="15" customHeight="1">
      <c r="A226" t="inlineStr">
        <is>
          <t>A 29672-2024</t>
        </is>
      </c>
      <c r="B226" s="1" t="n">
        <v>45484.94189814815</v>
      </c>
      <c r="C226" s="1" t="n">
        <v>45976</v>
      </c>
      <c r="D226" t="inlineStr">
        <is>
          <t>JÄMTLANDS LÄN</t>
        </is>
      </c>
      <c r="E226" t="inlineStr">
        <is>
          <t>BRÄCKE</t>
        </is>
      </c>
      <c r="F226" t="inlineStr">
        <is>
          <t>SCA</t>
        </is>
      </c>
      <c r="G226" t="n">
        <v>1.2</v>
      </c>
      <c r="H226" t="n">
        <v>0</v>
      </c>
      <c r="I226" t="n">
        <v>0</v>
      </c>
      <c r="J226" t="n">
        <v>2</v>
      </c>
      <c r="K226" t="n">
        <v>0</v>
      </c>
      <c r="L226" t="n">
        <v>0</v>
      </c>
      <c r="M226" t="n">
        <v>0</v>
      </c>
      <c r="N226" t="n">
        <v>0</v>
      </c>
      <c r="O226" t="n">
        <v>2</v>
      </c>
      <c r="P226" t="n">
        <v>0</v>
      </c>
      <c r="Q226" t="n">
        <v>2</v>
      </c>
      <c r="R226" s="2" t="inlineStr">
        <is>
          <t>Vedflikmossa
Vedtrappmossa</t>
        </is>
      </c>
      <c r="S226">
        <f>HYPERLINK("https://klasma.github.io/Logging_2305/artfynd/A 29672-2024 artfynd.xlsx", "A 29672-2024")</f>
        <v/>
      </c>
      <c r="T226">
        <f>HYPERLINK("https://klasma.github.io/Logging_2305/kartor/A 29672-2024 karta.png", "A 29672-2024")</f>
        <v/>
      </c>
      <c r="V226">
        <f>HYPERLINK("https://klasma.github.io/Logging_2305/klagomål/A 29672-2024 FSC-klagomål.docx", "A 29672-2024")</f>
        <v/>
      </c>
      <c r="W226">
        <f>HYPERLINK("https://klasma.github.io/Logging_2305/klagomålsmail/A 29672-2024 FSC-klagomål mail.docx", "A 29672-2024")</f>
        <v/>
      </c>
      <c r="X226">
        <f>HYPERLINK("https://klasma.github.io/Logging_2305/tillsyn/A 29672-2024 tillsynsbegäran.docx", "A 29672-2024")</f>
        <v/>
      </c>
      <c r="Y226">
        <f>HYPERLINK("https://klasma.github.io/Logging_2305/tillsynsmail/A 29672-2024 tillsynsbegäran mail.docx", "A 29672-2024")</f>
        <v/>
      </c>
    </row>
    <row r="227" ht="15" customHeight="1">
      <c r="A227" t="inlineStr">
        <is>
          <t>A 29119-2025</t>
        </is>
      </c>
      <c r="B227" s="1" t="n">
        <v>45821.59407407408</v>
      </c>
      <c r="C227" s="1" t="n">
        <v>45976</v>
      </c>
      <c r="D227" t="inlineStr">
        <is>
          <t>JÄMTLANDS LÄN</t>
        </is>
      </c>
      <c r="E227" t="inlineStr">
        <is>
          <t>BRÄCKE</t>
        </is>
      </c>
      <c r="F227" t="inlineStr">
        <is>
          <t>SCA</t>
        </is>
      </c>
      <c r="G227" t="n">
        <v>2.4</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29119-2025 artfynd.xlsx", "A 29119-2025")</f>
        <v/>
      </c>
      <c r="T227">
        <f>HYPERLINK("https://klasma.github.io/Logging_2305/kartor/A 29119-2025 karta.png", "A 29119-2025")</f>
        <v/>
      </c>
      <c r="V227">
        <f>HYPERLINK("https://klasma.github.io/Logging_2305/klagomål/A 29119-2025 FSC-klagomål.docx", "A 29119-2025")</f>
        <v/>
      </c>
      <c r="W227">
        <f>HYPERLINK("https://klasma.github.io/Logging_2305/klagomålsmail/A 29119-2025 FSC-klagomål mail.docx", "A 29119-2025")</f>
        <v/>
      </c>
      <c r="X227">
        <f>HYPERLINK("https://klasma.github.io/Logging_2305/tillsyn/A 29119-2025 tillsynsbegäran.docx", "A 29119-2025")</f>
        <v/>
      </c>
      <c r="Y227">
        <f>HYPERLINK("https://klasma.github.io/Logging_2305/tillsynsmail/A 29119-2025 tillsynsbegäran mail.docx", "A 29119-2025")</f>
        <v/>
      </c>
    </row>
    <row r="228" ht="15" customHeight="1">
      <c r="A228" t="inlineStr">
        <is>
          <t>A 32566-2025</t>
        </is>
      </c>
      <c r="B228" s="1" t="n">
        <v>45838.57354166666</v>
      </c>
      <c r="C228" s="1" t="n">
        <v>45976</v>
      </c>
      <c r="D228" t="inlineStr">
        <is>
          <t>JÄMTLANDS LÄN</t>
        </is>
      </c>
      <c r="E228" t="inlineStr">
        <is>
          <t>BRÄCKE</t>
        </is>
      </c>
      <c r="F228" t="inlineStr">
        <is>
          <t>SCA</t>
        </is>
      </c>
      <c r="G228" t="n">
        <v>1.6</v>
      </c>
      <c r="H228" t="n">
        <v>0</v>
      </c>
      <c r="I228" t="n">
        <v>2</v>
      </c>
      <c r="J228" t="n">
        <v>0</v>
      </c>
      <c r="K228" t="n">
        <v>0</v>
      </c>
      <c r="L228" t="n">
        <v>0</v>
      </c>
      <c r="M228" t="n">
        <v>0</v>
      </c>
      <c r="N228" t="n">
        <v>0</v>
      </c>
      <c r="O228" t="n">
        <v>0</v>
      </c>
      <c r="P228" t="n">
        <v>0</v>
      </c>
      <c r="Q228" t="n">
        <v>2</v>
      </c>
      <c r="R228" s="2" t="inlineStr">
        <is>
          <t>Skinnlav
Vedticka</t>
        </is>
      </c>
      <c r="S228">
        <f>HYPERLINK("https://klasma.github.io/Logging_2305/artfynd/A 32566-2025 artfynd.xlsx", "A 32566-2025")</f>
        <v/>
      </c>
      <c r="T228">
        <f>HYPERLINK("https://klasma.github.io/Logging_2305/kartor/A 32566-2025 karta.png", "A 32566-2025")</f>
        <v/>
      </c>
      <c r="V228">
        <f>HYPERLINK("https://klasma.github.io/Logging_2305/klagomål/A 32566-2025 FSC-klagomål.docx", "A 32566-2025")</f>
        <v/>
      </c>
      <c r="W228">
        <f>HYPERLINK("https://klasma.github.io/Logging_2305/klagomålsmail/A 32566-2025 FSC-klagomål mail.docx", "A 32566-2025")</f>
        <v/>
      </c>
      <c r="X228">
        <f>HYPERLINK("https://klasma.github.io/Logging_2305/tillsyn/A 32566-2025 tillsynsbegäran.docx", "A 32566-2025")</f>
        <v/>
      </c>
      <c r="Y228">
        <f>HYPERLINK("https://klasma.github.io/Logging_2305/tillsynsmail/A 32566-2025 tillsynsbegäran mail.docx", "A 32566-2025")</f>
        <v/>
      </c>
    </row>
    <row r="229" ht="15" customHeight="1">
      <c r="A229" t="inlineStr">
        <is>
          <t>A 3029-2023</t>
        </is>
      </c>
      <c r="B229" s="1" t="n">
        <v>44945</v>
      </c>
      <c r="C229" s="1" t="n">
        <v>45976</v>
      </c>
      <c r="D229" t="inlineStr">
        <is>
          <t>JÄMTLANDS LÄN</t>
        </is>
      </c>
      <c r="E229" t="inlineStr">
        <is>
          <t>BRÄCKE</t>
        </is>
      </c>
      <c r="F229" t="inlineStr">
        <is>
          <t>SCA</t>
        </is>
      </c>
      <c r="G229" t="n">
        <v>2.3</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3029-2023 artfynd.xlsx", "A 3029-2023")</f>
        <v/>
      </c>
      <c r="T229">
        <f>HYPERLINK("https://klasma.github.io/Logging_2305/kartor/A 3029-2023 karta.png", "A 3029-2023")</f>
        <v/>
      </c>
      <c r="V229">
        <f>HYPERLINK("https://klasma.github.io/Logging_2305/klagomål/A 3029-2023 FSC-klagomål.docx", "A 3029-2023")</f>
        <v/>
      </c>
      <c r="W229">
        <f>HYPERLINK("https://klasma.github.io/Logging_2305/klagomålsmail/A 3029-2023 FSC-klagomål mail.docx", "A 3029-2023")</f>
        <v/>
      </c>
      <c r="X229">
        <f>HYPERLINK("https://klasma.github.io/Logging_2305/tillsyn/A 3029-2023 tillsynsbegäran.docx", "A 3029-2023")</f>
        <v/>
      </c>
      <c r="Y229">
        <f>HYPERLINK("https://klasma.github.io/Logging_2305/tillsynsmail/A 3029-2023 tillsynsbegäran mail.docx", "A 3029-2023")</f>
        <v/>
      </c>
    </row>
    <row r="230" ht="15" customHeight="1">
      <c r="A230" t="inlineStr">
        <is>
          <t>A 34615-2025</t>
        </is>
      </c>
      <c r="B230" s="1" t="n">
        <v>45847.6778125</v>
      </c>
      <c r="C230" s="1" t="n">
        <v>45976</v>
      </c>
      <c r="D230" t="inlineStr">
        <is>
          <t>JÄMTLANDS LÄN</t>
        </is>
      </c>
      <c r="E230" t="inlineStr">
        <is>
          <t>BRÄCKE</t>
        </is>
      </c>
      <c r="F230" t="inlineStr">
        <is>
          <t>SCA</t>
        </is>
      </c>
      <c r="G230" t="n">
        <v>2.7</v>
      </c>
      <c r="H230" t="n">
        <v>0</v>
      </c>
      <c r="I230" t="n">
        <v>1</v>
      </c>
      <c r="J230" t="n">
        <v>0</v>
      </c>
      <c r="K230" t="n">
        <v>1</v>
      </c>
      <c r="L230" t="n">
        <v>0</v>
      </c>
      <c r="M230" t="n">
        <v>0</v>
      </c>
      <c r="N230" t="n">
        <v>0</v>
      </c>
      <c r="O230" t="n">
        <v>1</v>
      </c>
      <c r="P230" t="n">
        <v>1</v>
      </c>
      <c r="Q230" t="n">
        <v>2</v>
      </c>
      <c r="R230" s="2" t="inlineStr">
        <is>
          <t>Jättemusseron
Tallfingersvamp</t>
        </is>
      </c>
      <c r="S230">
        <f>HYPERLINK("https://klasma.github.io/Logging_2305/artfynd/A 34615-2025 artfynd.xlsx", "A 34615-2025")</f>
        <v/>
      </c>
      <c r="T230">
        <f>HYPERLINK("https://klasma.github.io/Logging_2305/kartor/A 34615-2025 karta.png", "A 34615-2025")</f>
        <v/>
      </c>
      <c r="U230">
        <f>HYPERLINK("https://klasma.github.io/Logging_2305/knärot/A 34615-2025 karta knärot.png", "A 34615-2025")</f>
        <v/>
      </c>
      <c r="V230">
        <f>HYPERLINK("https://klasma.github.io/Logging_2305/klagomål/A 34615-2025 FSC-klagomål.docx", "A 34615-2025")</f>
        <v/>
      </c>
      <c r="W230">
        <f>HYPERLINK("https://klasma.github.io/Logging_2305/klagomålsmail/A 34615-2025 FSC-klagomål mail.docx", "A 34615-2025")</f>
        <v/>
      </c>
      <c r="X230">
        <f>HYPERLINK("https://klasma.github.io/Logging_2305/tillsyn/A 34615-2025 tillsynsbegäran.docx", "A 34615-2025")</f>
        <v/>
      </c>
      <c r="Y230">
        <f>HYPERLINK("https://klasma.github.io/Logging_2305/tillsynsmail/A 34615-2025 tillsynsbegäran mail.docx", "A 34615-2025")</f>
        <v/>
      </c>
    </row>
    <row r="231" ht="15" customHeight="1">
      <c r="A231" t="inlineStr">
        <is>
          <t>A 34541-2025</t>
        </is>
      </c>
      <c r="B231" s="1" t="n">
        <v>45847.53196759259</v>
      </c>
      <c r="C231" s="1" t="n">
        <v>45976</v>
      </c>
      <c r="D231" t="inlineStr">
        <is>
          <t>JÄMTLANDS LÄN</t>
        </is>
      </c>
      <c r="E231" t="inlineStr">
        <is>
          <t>BRÄCKE</t>
        </is>
      </c>
      <c r="G231" t="n">
        <v>3.8</v>
      </c>
      <c r="H231" t="n">
        <v>0</v>
      </c>
      <c r="I231" t="n">
        <v>2</v>
      </c>
      <c r="J231" t="n">
        <v>0</v>
      </c>
      <c r="K231" t="n">
        <v>0</v>
      </c>
      <c r="L231" t="n">
        <v>0</v>
      </c>
      <c r="M231" t="n">
        <v>0</v>
      </c>
      <c r="N231" t="n">
        <v>0</v>
      </c>
      <c r="O231" t="n">
        <v>0</v>
      </c>
      <c r="P231" t="n">
        <v>0</v>
      </c>
      <c r="Q231" t="n">
        <v>2</v>
      </c>
      <c r="R231" s="2" t="inlineStr">
        <is>
          <t>Dropptaggsvamp
Skinnlav</t>
        </is>
      </c>
      <c r="S231">
        <f>HYPERLINK("https://klasma.github.io/Logging_2305/artfynd/A 34541-2025 artfynd.xlsx", "A 34541-2025")</f>
        <v/>
      </c>
      <c r="T231">
        <f>HYPERLINK("https://klasma.github.io/Logging_2305/kartor/A 34541-2025 karta.png", "A 34541-2025")</f>
        <v/>
      </c>
      <c r="V231">
        <f>HYPERLINK("https://klasma.github.io/Logging_2305/klagomål/A 34541-2025 FSC-klagomål.docx", "A 34541-2025")</f>
        <v/>
      </c>
      <c r="W231">
        <f>HYPERLINK("https://klasma.github.io/Logging_2305/klagomålsmail/A 34541-2025 FSC-klagomål mail.docx", "A 34541-2025")</f>
        <v/>
      </c>
      <c r="X231">
        <f>HYPERLINK("https://klasma.github.io/Logging_2305/tillsyn/A 34541-2025 tillsynsbegäran.docx", "A 34541-2025")</f>
        <v/>
      </c>
      <c r="Y231">
        <f>HYPERLINK("https://klasma.github.io/Logging_2305/tillsynsmail/A 34541-2025 tillsynsbegäran mail.docx", "A 34541-2025")</f>
        <v/>
      </c>
    </row>
    <row r="232" ht="15" customHeight="1">
      <c r="A232" t="inlineStr">
        <is>
          <t>A 35209-2025</t>
        </is>
      </c>
      <c r="B232" s="1" t="n">
        <v>45853.44827546296</v>
      </c>
      <c r="C232" s="1" t="n">
        <v>45976</v>
      </c>
      <c r="D232" t="inlineStr">
        <is>
          <t>JÄMTLANDS LÄN</t>
        </is>
      </c>
      <c r="E232" t="inlineStr">
        <is>
          <t>BRÄCKE</t>
        </is>
      </c>
      <c r="F232" t="inlineStr">
        <is>
          <t>SCA</t>
        </is>
      </c>
      <c r="G232" t="n">
        <v>4</v>
      </c>
      <c r="H232" t="n">
        <v>0</v>
      </c>
      <c r="I232" t="n">
        <v>0</v>
      </c>
      <c r="J232" t="n">
        <v>2</v>
      </c>
      <c r="K232" t="n">
        <v>0</v>
      </c>
      <c r="L232" t="n">
        <v>0</v>
      </c>
      <c r="M232" t="n">
        <v>0</v>
      </c>
      <c r="N232" t="n">
        <v>0</v>
      </c>
      <c r="O232" t="n">
        <v>2</v>
      </c>
      <c r="P232" t="n">
        <v>0</v>
      </c>
      <c r="Q232" t="n">
        <v>2</v>
      </c>
      <c r="R232" s="2" t="inlineStr">
        <is>
          <t>Garnlav
Lunglav</t>
        </is>
      </c>
      <c r="S232">
        <f>HYPERLINK("https://klasma.github.io/Logging_2305/artfynd/A 35209-2025 artfynd.xlsx", "A 35209-2025")</f>
        <v/>
      </c>
      <c r="T232">
        <f>HYPERLINK("https://klasma.github.io/Logging_2305/kartor/A 35209-2025 karta.png", "A 35209-2025")</f>
        <v/>
      </c>
      <c r="V232">
        <f>HYPERLINK("https://klasma.github.io/Logging_2305/klagomål/A 35209-2025 FSC-klagomål.docx", "A 35209-2025")</f>
        <v/>
      </c>
      <c r="W232">
        <f>HYPERLINK("https://klasma.github.io/Logging_2305/klagomålsmail/A 35209-2025 FSC-klagomål mail.docx", "A 35209-2025")</f>
        <v/>
      </c>
      <c r="X232">
        <f>HYPERLINK("https://klasma.github.io/Logging_2305/tillsyn/A 35209-2025 tillsynsbegäran.docx", "A 35209-2025")</f>
        <v/>
      </c>
      <c r="Y232">
        <f>HYPERLINK("https://klasma.github.io/Logging_2305/tillsynsmail/A 35209-2025 tillsynsbegäran mail.docx", "A 35209-2025")</f>
        <v/>
      </c>
    </row>
    <row r="233" ht="15" customHeight="1">
      <c r="A233" t="inlineStr">
        <is>
          <t>A 35117-2025</t>
        </is>
      </c>
      <c r="B233" s="1" t="n">
        <v>45852.59416666667</v>
      </c>
      <c r="C233" s="1" t="n">
        <v>45976</v>
      </c>
      <c r="D233" t="inlineStr">
        <is>
          <t>JÄMTLANDS LÄN</t>
        </is>
      </c>
      <c r="E233" t="inlineStr">
        <is>
          <t>BRÄCKE</t>
        </is>
      </c>
      <c r="F233" t="inlineStr">
        <is>
          <t>SCA</t>
        </is>
      </c>
      <c r="G233" t="n">
        <v>11.1</v>
      </c>
      <c r="H233" t="n">
        <v>0</v>
      </c>
      <c r="I233" t="n">
        <v>0</v>
      </c>
      <c r="J233" t="n">
        <v>2</v>
      </c>
      <c r="K233" t="n">
        <v>0</v>
      </c>
      <c r="L233" t="n">
        <v>0</v>
      </c>
      <c r="M233" t="n">
        <v>0</v>
      </c>
      <c r="N233" t="n">
        <v>0</v>
      </c>
      <c r="O233" t="n">
        <v>2</v>
      </c>
      <c r="P233" t="n">
        <v>0</v>
      </c>
      <c r="Q233" t="n">
        <v>2</v>
      </c>
      <c r="R233" s="2" t="inlineStr">
        <is>
          <t>Dvärgbägarlav
Nordtagging</t>
        </is>
      </c>
      <c r="S233">
        <f>HYPERLINK("https://klasma.github.io/Logging_2305/artfynd/A 35117-2025 artfynd.xlsx", "A 35117-2025")</f>
        <v/>
      </c>
      <c r="T233">
        <f>HYPERLINK("https://klasma.github.io/Logging_2305/kartor/A 35117-2025 karta.png", "A 35117-2025")</f>
        <v/>
      </c>
      <c r="V233">
        <f>HYPERLINK("https://klasma.github.io/Logging_2305/klagomål/A 35117-2025 FSC-klagomål.docx", "A 35117-2025")</f>
        <v/>
      </c>
      <c r="W233">
        <f>HYPERLINK("https://klasma.github.io/Logging_2305/klagomålsmail/A 35117-2025 FSC-klagomål mail.docx", "A 35117-2025")</f>
        <v/>
      </c>
      <c r="X233">
        <f>HYPERLINK("https://klasma.github.io/Logging_2305/tillsyn/A 35117-2025 tillsynsbegäran.docx", "A 35117-2025")</f>
        <v/>
      </c>
      <c r="Y233">
        <f>HYPERLINK("https://klasma.github.io/Logging_2305/tillsynsmail/A 35117-2025 tillsynsbegäran mail.docx", "A 35117-2025")</f>
        <v/>
      </c>
    </row>
    <row r="234" ht="15" customHeight="1">
      <c r="A234" t="inlineStr">
        <is>
          <t>A 47498-2023</t>
        </is>
      </c>
      <c r="B234" s="1" t="n">
        <v>45202</v>
      </c>
      <c r="C234" s="1" t="n">
        <v>45976</v>
      </c>
      <c r="D234" t="inlineStr">
        <is>
          <t>JÄMTLANDS LÄN</t>
        </is>
      </c>
      <c r="E234" t="inlineStr">
        <is>
          <t>BRÄCKE</t>
        </is>
      </c>
      <c r="F234" t="inlineStr">
        <is>
          <t>SCA</t>
        </is>
      </c>
      <c r="G234" t="n">
        <v>6.1</v>
      </c>
      <c r="H234" t="n">
        <v>1</v>
      </c>
      <c r="I234" t="n">
        <v>1</v>
      </c>
      <c r="J234" t="n">
        <v>0</v>
      </c>
      <c r="K234" t="n">
        <v>1</v>
      </c>
      <c r="L234" t="n">
        <v>0</v>
      </c>
      <c r="M234" t="n">
        <v>0</v>
      </c>
      <c r="N234" t="n">
        <v>0</v>
      </c>
      <c r="O234" t="n">
        <v>1</v>
      </c>
      <c r="P234" t="n">
        <v>1</v>
      </c>
      <c r="Q234" t="n">
        <v>2</v>
      </c>
      <c r="R234" s="2" t="inlineStr">
        <is>
          <t>Bandnate
Guckusko</t>
        </is>
      </c>
      <c r="S234">
        <f>HYPERLINK("https://klasma.github.io/Logging_2305/artfynd/A 47498-2023 artfynd.xlsx", "A 47498-2023")</f>
        <v/>
      </c>
      <c r="T234">
        <f>HYPERLINK("https://klasma.github.io/Logging_2305/kartor/A 47498-2023 karta.png", "A 47498-2023")</f>
        <v/>
      </c>
      <c r="V234">
        <f>HYPERLINK("https://klasma.github.io/Logging_2305/klagomål/A 47498-2023 FSC-klagomål.docx", "A 47498-2023")</f>
        <v/>
      </c>
      <c r="W234">
        <f>HYPERLINK("https://klasma.github.io/Logging_2305/klagomålsmail/A 47498-2023 FSC-klagomål mail.docx", "A 47498-2023")</f>
        <v/>
      </c>
      <c r="X234">
        <f>HYPERLINK("https://klasma.github.io/Logging_2305/tillsyn/A 47498-2023 tillsynsbegäran.docx", "A 47498-2023")</f>
        <v/>
      </c>
      <c r="Y234">
        <f>HYPERLINK("https://klasma.github.io/Logging_2305/tillsynsmail/A 47498-2023 tillsynsbegäran mail.docx", "A 47498-2023")</f>
        <v/>
      </c>
    </row>
    <row r="235" ht="15" customHeight="1">
      <c r="A235" t="inlineStr">
        <is>
          <t>A 3913-2022</t>
        </is>
      </c>
      <c r="B235" s="1" t="n">
        <v>44587</v>
      </c>
      <c r="C235" s="1" t="n">
        <v>45976</v>
      </c>
      <c r="D235" t="inlineStr">
        <is>
          <t>JÄMTLANDS LÄN</t>
        </is>
      </c>
      <c r="E235" t="inlineStr">
        <is>
          <t>BRÄCKE</t>
        </is>
      </c>
      <c r="G235" t="n">
        <v>0.9</v>
      </c>
      <c r="H235" t="n">
        <v>1</v>
      </c>
      <c r="I235" t="n">
        <v>1</v>
      </c>
      <c r="J235" t="n">
        <v>1</v>
      </c>
      <c r="K235" t="n">
        <v>0</v>
      </c>
      <c r="L235" t="n">
        <v>0</v>
      </c>
      <c r="M235" t="n">
        <v>0</v>
      </c>
      <c r="N235" t="n">
        <v>0</v>
      </c>
      <c r="O235" t="n">
        <v>1</v>
      </c>
      <c r="P235" t="n">
        <v>0</v>
      </c>
      <c r="Q235" t="n">
        <v>2</v>
      </c>
      <c r="R235" s="2" t="inlineStr">
        <is>
          <t>Skogsfru
Ögonpyrola</t>
        </is>
      </c>
      <c r="S235">
        <f>HYPERLINK("https://klasma.github.io/Logging_2305/artfynd/A 3913-2022 artfynd.xlsx", "A 3913-2022")</f>
        <v/>
      </c>
      <c r="T235">
        <f>HYPERLINK("https://klasma.github.io/Logging_2305/kartor/A 3913-2022 karta.png", "A 3913-2022")</f>
        <v/>
      </c>
      <c r="U235">
        <f>HYPERLINK("https://klasma.github.io/Logging_2305/knärot/A 3913-2022 karta knärot.png", "A 3913-2022")</f>
        <v/>
      </c>
      <c r="V235">
        <f>HYPERLINK("https://klasma.github.io/Logging_2305/klagomål/A 3913-2022 FSC-klagomål.docx", "A 3913-2022")</f>
        <v/>
      </c>
      <c r="W235">
        <f>HYPERLINK("https://klasma.github.io/Logging_2305/klagomålsmail/A 3913-2022 FSC-klagomål mail.docx", "A 3913-2022")</f>
        <v/>
      </c>
      <c r="X235">
        <f>HYPERLINK("https://klasma.github.io/Logging_2305/tillsyn/A 3913-2022 tillsynsbegäran.docx", "A 3913-2022")</f>
        <v/>
      </c>
      <c r="Y235">
        <f>HYPERLINK("https://klasma.github.io/Logging_2305/tillsynsmail/A 3913-2022 tillsynsbegäran mail.docx", "A 3913-2022")</f>
        <v/>
      </c>
    </row>
    <row r="236" ht="15" customHeight="1">
      <c r="A236" t="inlineStr">
        <is>
          <t>A 69154-2021</t>
        </is>
      </c>
      <c r="B236" s="1" t="n">
        <v>44530</v>
      </c>
      <c r="C236" s="1" t="n">
        <v>45976</v>
      </c>
      <c r="D236" t="inlineStr">
        <is>
          <t>JÄMTLANDS LÄN</t>
        </is>
      </c>
      <c r="E236" t="inlineStr">
        <is>
          <t>BRÄCKE</t>
        </is>
      </c>
      <c r="F236" t="inlineStr">
        <is>
          <t>SCA</t>
        </is>
      </c>
      <c r="G236" t="n">
        <v>3.4</v>
      </c>
      <c r="H236" t="n">
        <v>0</v>
      </c>
      <c r="I236" t="n">
        <v>0</v>
      </c>
      <c r="J236" t="n">
        <v>1</v>
      </c>
      <c r="K236" t="n">
        <v>0</v>
      </c>
      <c r="L236" t="n">
        <v>0</v>
      </c>
      <c r="M236" t="n">
        <v>0</v>
      </c>
      <c r="N236" t="n">
        <v>0</v>
      </c>
      <c r="O236" t="n">
        <v>1</v>
      </c>
      <c r="P236" t="n">
        <v>0</v>
      </c>
      <c r="Q236" t="n">
        <v>1</v>
      </c>
      <c r="R236" s="2" t="inlineStr">
        <is>
          <t>Lunglav</t>
        </is>
      </c>
      <c r="S236">
        <f>HYPERLINK("https://klasma.github.io/Logging_2305/artfynd/A 69154-2021 artfynd.xlsx", "A 69154-2021")</f>
        <v/>
      </c>
      <c r="T236">
        <f>HYPERLINK("https://klasma.github.io/Logging_2305/kartor/A 69154-2021 karta.png", "A 69154-2021")</f>
        <v/>
      </c>
      <c r="V236">
        <f>HYPERLINK("https://klasma.github.io/Logging_2305/klagomål/A 69154-2021 FSC-klagomål.docx", "A 69154-2021")</f>
        <v/>
      </c>
      <c r="W236">
        <f>HYPERLINK("https://klasma.github.io/Logging_2305/klagomålsmail/A 69154-2021 FSC-klagomål mail.docx", "A 69154-2021")</f>
        <v/>
      </c>
      <c r="X236">
        <f>HYPERLINK("https://klasma.github.io/Logging_2305/tillsyn/A 69154-2021 tillsynsbegäran.docx", "A 69154-2021")</f>
        <v/>
      </c>
      <c r="Y236">
        <f>HYPERLINK("https://klasma.github.io/Logging_2305/tillsynsmail/A 69154-2021 tillsynsbegäran mail.docx", "A 69154-2021")</f>
        <v/>
      </c>
    </row>
    <row r="237" ht="15" customHeight="1">
      <c r="A237" t="inlineStr">
        <is>
          <t>A 26135-2021</t>
        </is>
      </c>
      <c r="B237" s="1" t="n">
        <v>44346.64210648148</v>
      </c>
      <c r="C237" s="1" t="n">
        <v>45976</v>
      </c>
      <c r="D237" t="inlineStr">
        <is>
          <t>JÄMTLANDS LÄN</t>
        </is>
      </c>
      <c r="E237" t="inlineStr">
        <is>
          <t>BRÄCKE</t>
        </is>
      </c>
      <c r="G237" t="n">
        <v>15.1</v>
      </c>
      <c r="H237" t="n">
        <v>0</v>
      </c>
      <c r="I237" t="n">
        <v>1</v>
      </c>
      <c r="J237" t="n">
        <v>0</v>
      </c>
      <c r="K237" t="n">
        <v>0</v>
      </c>
      <c r="L237" t="n">
        <v>0</v>
      </c>
      <c r="M237" t="n">
        <v>0</v>
      </c>
      <c r="N237" t="n">
        <v>0</v>
      </c>
      <c r="O237" t="n">
        <v>0</v>
      </c>
      <c r="P237" t="n">
        <v>0</v>
      </c>
      <c r="Q237" t="n">
        <v>1</v>
      </c>
      <c r="R237" s="2" t="inlineStr">
        <is>
          <t>Grönpyrola</t>
        </is>
      </c>
      <c r="S237">
        <f>HYPERLINK("https://klasma.github.io/Logging_2305/artfynd/A 26135-2021 artfynd.xlsx", "A 26135-2021")</f>
        <v/>
      </c>
      <c r="T237">
        <f>HYPERLINK("https://klasma.github.io/Logging_2305/kartor/A 26135-2021 karta.png", "A 26135-2021")</f>
        <v/>
      </c>
      <c r="V237">
        <f>HYPERLINK("https://klasma.github.io/Logging_2305/klagomål/A 26135-2021 FSC-klagomål.docx", "A 26135-2021")</f>
        <v/>
      </c>
      <c r="W237">
        <f>HYPERLINK("https://klasma.github.io/Logging_2305/klagomålsmail/A 26135-2021 FSC-klagomål mail.docx", "A 26135-2021")</f>
        <v/>
      </c>
      <c r="X237">
        <f>HYPERLINK("https://klasma.github.io/Logging_2305/tillsyn/A 26135-2021 tillsynsbegäran.docx", "A 26135-2021")</f>
        <v/>
      </c>
      <c r="Y237">
        <f>HYPERLINK("https://klasma.github.io/Logging_2305/tillsynsmail/A 26135-2021 tillsynsbegäran mail.docx", "A 26135-2021")</f>
        <v/>
      </c>
    </row>
    <row r="238" ht="15" customHeight="1">
      <c r="A238" t="inlineStr">
        <is>
          <t>A 31336-2021</t>
        </is>
      </c>
      <c r="B238" s="1" t="n">
        <v>44368</v>
      </c>
      <c r="C238" s="1" t="n">
        <v>45976</v>
      </c>
      <c r="D238" t="inlineStr">
        <is>
          <t>JÄMTLANDS LÄN</t>
        </is>
      </c>
      <c r="E238" t="inlineStr">
        <is>
          <t>BRÄCKE</t>
        </is>
      </c>
      <c r="F238" t="inlineStr">
        <is>
          <t>SCA</t>
        </is>
      </c>
      <c r="G238" t="n">
        <v>2.2</v>
      </c>
      <c r="H238" t="n">
        <v>0</v>
      </c>
      <c r="I238" t="n">
        <v>0</v>
      </c>
      <c r="J238" t="n">
        <v>0</v>
      </c>
      <c r="K238" t="n">
        <v>1</v>
      </c>
      <c r="L238" t="n">
        <v>0</v>
      </c>
      <c r="M238" t="n">
        <v>0</v>
      </c>
      <c r="N238" t="n">
        <v>0</v>
      </c>
      <c r="O238" t="n">
        <v>1</v>
      </c>
      <c r="P238" t="n">
        <v>1</v>
      </c>
      <c r="Q238" t="n">
        <v>1</v>
      </c>
      <c r="R238" s="2" t="inlineStr">
        <is>
          <t>Rynkskinn</t>
        </is>
      </c>
      <c r="S238">
        <f>HYPERLINK("https://klasma.github.io/Logging_2305/artfynd/A 31336-2021 artfynd.xlsx", "A 31336-2021")</f>
        <v/>
      </c>
      <c r="T238">
        <f>HYPERLINK("https://klasma.github.io/Logging_2305/kartor/A 31336-2021 karta.png", "A 31336-2021")</f>
        <v/>
      </c>
      <c r="V238">
        <f>HYPERLINK("https://klasma.github.io/Logging_2305/klagomål/A 31336-2021 FSC-klagomål.docx", "A 31336-2021")</f>
        <v/>
      </c>
      <c r="W238">
        <f>HYPERLINK("https://klasma.github.io/Logging_2305/klagomålsmail/A 31336-2021 FSC-klagomål mail.docx", "A 31336-2021")</f>
        <v/>
      </c>
      <c r="X238">
        <f>HYPERLINK("https://klasma.github.io/Logging_2305/tillsyn/A 31336-2021 tillsynsbegäran.docx", "A 31336-2021")</f>
        <v/>
      </c>
      <c r="Y238">
        <f>HYPERLINK("https://klasma.github.io/Logging_2305/tillsynsmail/A 31336-2021 tillsynsbegäran mail.docx", "A 31336-2021")</f>
        <v/>
      </c>
    </row>
    <row r="239" ht="15" customHeight="1">
      <c r="A239" t="inlineStr">
        <is>
          <t>A 27587-2022</t>
        </is>
      </c>
      <c r="B239" s="1" t="n">
        <v>44742</v>
      </c>
      <c r="C239" s="1" t="n">
        <v>45976</v>
      </c>
      <c r="D239" t="inlineStr">
        <is>
          <t>JÄMTLANDS LÄN</t>
        </is>
      </c>
      <c r="E239" t="inlineStr">
        <is>
          <t>BRÄCKE</t>
        </is>
      </c>
      <c r="F239" t="inlineStr">
        <is>
          <t>SCA</t>
        </is>
      </c>
      <c r="G239" t="n">
        <v>4.1</v>
      </c>
      <c r="H239" t="n">
        <v>0</v>
      </c>
      <c r="I239" t="n">
        <v>0</v>
      </c>
      <c r="J239" t="n">
        <v>1</v>
      </c>
      <c r="K239" t="n">
        <v>0</v>
      </c>
      <c r="L239" t="n">
        <v>0</v>
      </c>
      <c r="M239" t="n">
        <v>0</v>
      </c>
      <c r="N239" t="n">
        <v>0</v>
      </c>
      <c r="O239" t="n">
        <v>1</v>
      </c>
      <c r="P239" t="n">
        <v>0</v>
      </c>
      <c r="Q239" t="n">
        <v>1</v>
      </c>
      <c r="R239" s="2" t="inlineStr">
        <is>
          <t>Lunglav</t>
        </is>
      </c>
      <c r="S239">
        <f>HYPERLINK("https://klasma.github.io/Logging_2305/artfynd/A 27587-2022 artfynd.xlsx", "A 27587-2022")</f>
        <v/>
      </c>
      <c r="T239">
        <f>HYPERLINK("https://klasma.github.io/Logging_2305/kartor/A 27587-2022 karta.png", "A 27587-2022")</f>
        <v/>
      </c>
      <c r="V239">
        <f>HYPERLINK("https://klasma.github.io/Logging_2305/klagomål/A 27587-2022 FSC-klagomål.docx", "A 27587-2022")</f>
        <v/>
      </c>
      <c r="W239">
        <f>HYPERLINK("https://klasma.github.io/Logging_2305/klagomålsmail/A 27587-2022 FSC-klagomål mail.docx", "A 27587-2022")</f>
        <v/>
      </c>
      <c r="X239">
        <f>HYPERLINK("https://klasma.github.io/Logging_2305/tillsyn/A 27587-2022 tillsynsbegäran.docx", "A 27587-2022")</f>
        <v/>
      </c>
      <c r="Y239">
        <f>HYPERLINK("https://klasma.github.io/Logging_2305/tillsynsmail/A 27587-2022 tillsynsbegäran mail.docx", "A 27587-2022")</f>
        <v/>
      </c>
    </row>
    <row r="240" ht="15" customHeight="1">
      <c r="A240" t="inlineStr">
        <is>
          <t>A 17588-2024</t>
        </is>
      </c>
      <c r="B240" s="1" t="n">
        <v>45415.94054398148</v>
      </c>
      <c r="C240" s="1" t="n">
        <v>45976</v>
      </c>
      <c r="D240" t="inlineStr">
        <is>
          <t>JÄMTLANDS LÄN</t>
        </is>
      </c>
      <c r="E240" t="inlineStr">
        <is>
          <t>BRÄCKE</t>
        </is>
      </c>
      <c r="F240" t="inlineStr">
        <is>
          <t>SCA</t>
        </is>
      </c>
      <c r="G240" t="n">
        <v>1.8</v>
      </c>
      <c r="H240" t="n">
        <v>0</v>
      </c>
      <c r="I240" t="n">
        <v>0</v>
      </c>
      <c r="J240" t="n">
        <v>1</v>
      </c>
      <c r="K240" t="n">
        <v>0</v>
      </c>
      <c r="L240" t="n">
        <v>0</v>
      </c>
      <c r="M240" t="n">
        <v>0</v>
      </c>
      <c r="N240" t="n">
        <v>0</v>
      </c>
      <c r="O240" t="n">
        <v>1</v>
      </c>
      <c r="P240" t="n">
        <v>0</v>
      </c>
      <c r="Q240" t="n">
        <v>1</v>
      </c>
      <c r="R240" s="2" t="inlineStr">
        <is>
          <t>Rosenticka</t>
        </is>
      </c>
      <c r="S240">
        <f>HYPERLINK("https://klasma.github.io/Logging_2305/artfynd/A 17588-2024 artfynd.xlsx", "A 17588-2024")</f>
        <v/>
      </c>
      <c r="T240">
        <f>HYPERLINK("https://klasma.github.io/Logging_2305/kartor/A 17588-2024 karta.png", "A 17588-2024")</f>
        <v/>
      </c>
      <c r="V240">
        <f>HYPERLINK("https://klasma.github.io/Logging_2305/klagomål/A 17588-2024 FSC-klagomål.docx", "A 17588-2024")</f>
        <v/>
      </c>
      <c r="W240">
        <f>HYPERLINK("https://klasma.github.io/Logging_2305/klagomålsmail/A 17588-2024 FSC-klagomål mail.docx", "A 17588-2024")</f>
        <v/>
      </c>
      <c r="X240">
        <f>HYPERLINK("https://klasma.github.io/Logging_2305/tillsyn/A 17588-2024 tillsynsbegäran.docx", "A 17588-2024")</f>
        <v/>
      </c>
      <c r="Y240">
        <f>HYPERLINK("https://klasma.github.io/Logging_2305/tillsynsmail/A 17588-2024 tillsynsbegäran mail.docx", "A 17588-2024")</f>
        <v/>
      </c>
    </row>
    <row r="241" ht="15" customHeight="1">
      <c r="A241" t="inlineStr">
        <is>
          <t>A 31479-2024</t>
        </is>
      </c>
      <c r="B241" s="1" t="n">
        <v>45505.95263888889</v>
      </c>
      <c r="C241" s="1" t="n">
        <v>45976</v>
      </c>
      <c r="D241" t="inlineStr">
        <is>
          <t>JÄMTLANDS LÄN</t>
        </is>
      </c>
      <c r="E241" t="inlineStr">
        <is>
          <t>BRÄCKE</t>
        </is>
      </c>
      <c r="F241" t="inlineStr">
        <is>
          <t>SCA</t>
        </is>
      </c>
      <c r="G241" t="n">
        <v>3</v>
      </c>
      <c r="H241" t="n">
        <v>0</v>
      </c>
      <c r="I241" t="n">
        <v>0</v>
      </c>
      <c r="J241" t="n">
        <v>1</v>
      </c>
      <c r="K241" t="n">
        <v>0</v>
      </c>
      <c r="L241" t="n">
        <v>0</v>
      </c>
      <c r="M241" t="n">
        <v>0</v>
      </c>
      <c r="N241" t="n">
        <v>0</v>
      </c>
      <c r="O241" t="n">
        <v>1</v>
      </c>
      <c r="P241" t="n">
        <v>0</v>
      </c>
      <c r="Q241" t="n">
        <v>1</v>
      </c>
      <c r="R241" s="2" t="inlineStr">
        <is>
          <t>Violettgrå tagellav</t>
        </is>
      </c>
      <c r="S241">
        <f>HYPERLINK("https://klasma.github.io/Logging_2305/artfynd/A 31479-2024 artfynd.xlsx", "A 31479-2024")</f>
        <v/>
      </c>
      <c r="T241">
        <f>HYPERLINK("https://klasma.github.io/Logging_2305/kartor/A 31479-2024 karta.png", "A 31479-2024")</f>
        <v/>
      </c>
      <c r="V241">
        <f>HYPERLINK("https://klasma.github.io/Logging_2305/klagomål/A 31479-2024 FSC-klagomål.docx", "A 31479-2024")</f>
        <v/>
      </c>
      <c r="W241">
        <f>HYPERLINK("https://klasma.github.io/Logging_2305/klagomålsmail/A 31479-2024 FSC-klagomål mail.docx", "A 31479-2024")</f>
        <v/>
      </c>
      <c r="X241">
        <f>HYPERLINK("https://klasma.github.io/Logging_2305/tillsyn/A 31479-2024 tillsynsbegäran.docx", "A 31479-2024")</f>
        <v/>
      </c>
      <c r="Y241">
        <f>HYPERLINK("https://klasma.github.io/Logging_2305/tillsynsmail/A 31479-2024 tillsynsbegäran mail.docx", "A 31479-2024")</f>
        <v/>
      </c>
    </row>
    <row r="242" ht="15" customHeight="1">
      <c r="A242" t="inlineStr">
        <is>
          <t>A 29215-2024</t>
        </is>
      </c>
      <c r="B242" s="1" t="n">
        <v>45482.67827546296</v>
      </c>
      <c r="C242" s="1" t="n">
        <v>45976</v>
      </c>
      <c r="D242" t="inlineStr">
        <is>
          <t>JÄMTLANDS LÄN</t>
        </is>
      </c>
      <c r="E242" t="inlineStr">
        <is>
          <t>BRÄCKE</t>
        </is>
      </c>
      <c r="F242" t="inlineStr">
        <is>
          <t>Övriga Aktiebolag</t>
        </is>
      </c>
      <c r="G242" t="n">
        <v>7.3</v>
      </c>
      <c r="H242" t="n">
        <v>1</v>
      </c>
      <c r="I242" t="n">
        <v>0</v>
      </c>
      <c r="J242" t="n">
        <v>0</v>
      </c>
      <c r="K242" t="n">
        <v>0</v>
      </c>
      <c r="L242" t="n">
        <v>0</v>
      </c>
      <c r="M242" t="n">
        <v>0</v>
      </c>
      <c r="N242" t="n">
        <v>0</v>
      </c>
      <c r="O242" t="n">
        <v>0</v>
      </c>
      <c r="P242" t="n">
        <v>0</v>
      </c>
      <c r="Q242" t="n">
        <v>1</v>
      </c>
      <c r="R242" s="2" t="inlineStr">
        <is>
          <t>Sparvuggla</t>
        </is>
      </c>
      <c r="S242">
        <f>HYPERLINK("https://klasma.github.io/Logging_2305/artfynd/A 29215-2024 artfynd.xlsx", "A 29215-2024")</f>
        <v/>
      </c>
      <c r="T242">
        <f>HYPERLINK("https://klasma.github.io/Logging_2305/kartor/A 29215-2024 karta.png", "A 29215-2024")</f>
        <v/>
      </c>
      <c r="V242">
        <f>HYPERLINK("https://klasma.github.io/Logging_2305/klagomål/A 29215-2024 FSC-klagomål.docx", "A 29215-2024")</f>
        <v/>
      </c>
      <c r="W242">
        <f>HYPERLINK("https://klasma.github.io/Logging_2305/klagomålsmail/A 29215-2024 FSC-klagomål mail.docx", "A 29215-2024")</f>
        <v/>
      </c>
      <c r="X242">
        <f>HYPERLINK("https://klasma.github.io/Logging_2305/tillsyn/A 29215-2024 tillsynsbegäran.docx", "A 29215-2024")</f>
        <v/>
      </c>
      <c r="Y242">
        <f>HYPERLINK("https://klasma.github.io/Logging_2305/tillsynsmail/A 29215-2024 tillsynsbegäran mail.docx", "A 29215-2024")</f>
        <v/>
      </c>
      <c r="Z242">
        <f>HYPERLINK("https://klasma.github.io/Logging_2305/fåglar/A 29215-2024 prioriterade fågelarter.docx", "A 29215-2024")</f>
        <v/>
      </c>
    </row>
    <row r="243" ht="15" customHeight="1">
      <c r="A243" t="inlineStr">
        <is>
          <t>A 58777-2023</t>
        </is>
      </c>
      <c r="B243" s="1" t="n">
        <v>45251.96747685185</v>
      </c>
      <c r="C243" s="1" t="n">
        <v>45976</v>
      </c>
      <c r="D243" t="inlineStr">
        <is>
          <t>JÄMTLANDS LÄN</t>
        </is>
      </c>
      <c r="E243" t="inlineStr">
        <is>
          <t>BRÄCKE</t>
        </is>
      </c>
      <c r="F243" t="inlineStr">
        <is>
          <t>SCA</t>
        </is>
      </c>
      <c r="G243" t="n">
        <v>1.1</v>
      </c>
      <c r="H243" t="n">
        <v>0</v>
      </c>
      <c r="I243" t="n">
        <v>0</v>
      </c>
      <c r="J243" t="n">
        <v>1</v>
      </c>
      <c r="K243" t="n">
        <v>0</v>
      </c>
      <c r="L243" t="n">
        <v>0</v>
      </c>
      <c r="M243" t="n">
        <v>0</v>
      </c>
      <c r="N243" t="n">
        <v>0</v>
      </c>
      <c r="O243" t="n">
        <v>1</v>
      </c>
      <c r="P243" t="n">
        <v>0</v>
      </c>
      <c r="Q243" t="n">
        <v>1</v>
      </c>
      <c r="R243" s="2" t="inlineStr">
        <is>
          <t>Igelkott</t>
        </is>
      </c>
      <c r="S243">
        <f>HYPERLINK("https://klasma.github.io/Logging_2305/artfynd/A 58777-2023 artfynd.xlsx", "A 58777-2023")</f>
        <v/>
      </c>
      <c r="T243">
        <f>HYPERLINK("https://klasma.github.io/Logging_2305/kartor/A 58777-2023 karta.png", "A 58777-2023")</f>
        <v/>
      </c>
      <c r="V243">
        <f>HYPERLINK("https://klasma.github.io/Logging_2305/klagomål/A 58777-2023 FSC-klagomål.docx", "A 58777-2023")</f>
        <v/>
      </c>
      <c r="W243">
        <f>HYPERLINK("https://klasma.github.io/Logging_2305/klagomålsmail/A 58777-2023 FSC-klagomål mail.docx", "A 58777-2023")</f>
        <v/>
      </c>
      <c r="X243">
        <f>HYPERLINK("https://klasma.github.io/Logging_2305/tillsyn/A 58777-2023 tillsynsbegäran.docx", "A 58777-2023")</f>
        <v/>
      </c>
      <c r="Y243">
        <f>HYPERLINK("https://klasma.github.io/Logging_2305/tillsynsmail/A 58777-2023 tillsynsbegäran mail.docx", "A 58777-2023")</f>
        <v/>
      </c>
    </row>
    <row r="244" ht="15" customHeight="1">
      <c r="A244" t="inlineStr">
        <is>
          <t>A 789-2025</t>
        </is>
      </c>
      <c r="B244" s="1" t="n">
        <v>45665.51072916666</v>
      </c>
      <c r="C244" s="1" t="n">
        <v>45976</v>
      </c>
      <c r="D244" t="inlineStr">
        <is>
          <t>JÄMTLANDS LÄN</t>
        </is>
      </c>
      <c r="E244" t="inlineStr">
        <is>
          <t>BRÄCKE</t>
        </is>
      </c>
      <c r="F244" t="inlineStr">
        <is>
          <t>SCA</t>
        </is>
      </c>
      <c r="G244" t="n">
        <v>2.6</v>
      </c>
      <c r="H244" t="n">
        <v>0</v>
      </c>
      <c r="I244" t="n">
        <v>0</v>
      </c>
      <c r="J244" t="n">
        <v>1</v>
      </c>
      <c r="K244" t="n">
        <v>0</v>
      </c>
      <c r="L244" t="n">
        <v>0</v>
      </c>
      <c r="M244" t="n">
        <v>0</v>
      </c>
      <c r="N244" t="n">
        <v>0</v>
      </c>
      <c r="O244" t="n">
        <v>1</v>
      </c>
      <c r="P244" t="n">
        <v>0</v>
      </c>
      <c r="Q244" t="n">
        <v>1</v>
      </c>
      <c r="R244" s="2" t="inlineStr">
        <is>
          <t>Lunglav</t>
        </is>
      </c>
      <c r="S244">
        <f>HYPERLINK("https://klasma.github.io/Logging_2305/artfynd/A 789-2025 artfynd.xlsx", "A 789-2025")</f>
        <v/>
      </c>
      <c r="T244">
        <f>HYPERLINK("https://klasma.github.io/Logging_2305/kartor/A 789-2025 karta.png", "A 789-2025")</f>
        <v/>
      </c>
      <c r="V244">
        <f>HYPERLINK("https://klasma.github.io/Logging_2305/klagomål/A 789-2025 FSC-klagomål.docx", "A 789-2025")</f>
        <v/>
      </c>
      <c r="W244">
        <f>HYPERLINK("https://klasma.github.io/Logging_2305/klagomålsmail/A 789-2025 FSC-klagomål mail.docx", "A 789-2025")</f>
        <v/>
      </c>
      <c r="X244">
        <f>HYPERLINK("https://klasma.github.io/Logging_2305/tillsyn/A 789-2025 tillsynsbegäran.docx", "A 789-2025")</f>
        <v/>
      </c>
      <c r="Y244">
        <f>HYPERLINK("https://klasma.github.io/Logging_2305/tillsynsmail/A 789-2025 tillsynsbegäran mail.docx", "A 789-2025")</f>
        <v/>
      </c>
    </row>
    <row r="245" ht="15" customHeight="1">
      <c r="A245" t="inlineStr">
        <is>
          <t>A 9204-2025</t>
        </is>
      </c>
      <c r="B245" s="1" t="n">
        <v>45714.48988425926</v>
      </c>
      <c r="C245" s="1" t="n">
        <v>45976</v>
      </c>
      <c r="D245" t="inlineStr">
        <is>
          <t>JÄMTLANDS LÄN</t>
        </is>
      </c>
      <c r="E245" t="inlineStr">
        <is>
          <t>BRÄCKE</t>
        </is>
      </c>
      <c r="F245" t="inlineStr">
        <is>
          <t>SCA</t>
        </is>
      </c>
      <c r="G245" t="n">
        <v>3.6</v>
      </c>
      <c r="H245" t="n">
        <v>1</v>
      </c>
      <c r="I245" t="n">
        <v>0</v>
      </c>
      <c r="J245" t="n">
        <v>1</v>
      </c>
      <c r="K245" t="n">
        <v>0</v>
      </c>
      <c r="L245" t="n">
        <v>0</v>
      </c>
      <c r="M245" t="n">
        <v>0</v>
      </c>
      <c r="N245" t="n">
        <v>0</v>
      </c>
      <c r="O245" t="n">
        <v>1</v>
      </c>
      <c r="P245" t="n">
        <v>0</v>
      </c>
      <c r="Q245" t="n">
        <v>1</v>
      </c>
      <c r="R245" s="2" t="inlineStr">
        <is>
          <t>Talltita</t>
        </is>
      </c>
      <c r="S245">
        <f>HYPERLINK("https://klasma.github.io/Logging_2305/artfynd/A 9204-2025 artfynd.xlsx", "A 9204-2025")</f>
        <v/>
      </c>
      <c r="T245">
        <f>HYPERLINK("https://klasma.github.io/Logging_2305/kartor/A 9204-2025 karta.png", "A 9204-2025")</f>
        <v/>
      </c>
      <c r="V245">
        <f>HYPERLINK("https://klasma.github.io/Logging_2305/klagomål/A 9204-2025 FSC-klagomål.docx", "A 9204-2025")</f>
        <v/>
      </c>
      <c r="W245">
        <f>HYPERLINK("https://klasma.github.io/Logging_2305/klagomålsmail/A 9204-2025 FSC-klagomål mail.docx", "A 9204-2025")</f>
        <v/>
      </c>
      <c r="X245">
        <f>HYPERLINK("https://klasma.github.io/Logging_2305/tillsyn/A 9204-2025 tillsynsbegäran.docx", "A 9204-2025")</f>
        <v/>
      </c>
      <c r="Y245">
        <f>HYPERLINK("https://klasma.github.io/Logging_2305/tillsynsmail/A 9204-2025 tillsynsbegäran mail.docx", "A 9204-2025")</f>
        <v/>
      </c>
      <c r="Z245">
        <f>HYPERLINK("https://klasma.github.io/Logging_2305/fåglar/A 9204-2025 prioriterade fågelarter.docx", "A 9204-2025")</f>
        <v/>
      </c>
    </row>
    <row r="246" ht="15" customHeight="1">
      <c r="A246" t="inlineStr">
        <is>
          <t>A 22101-2024</t>
        </is>
      </c>
      <c r="B246" s="1" t="n">
        <v>45443.95077546296</v>
      </c>
      <c r="C246" s="1" t="n">
        <v>45976</v>
      </c>
      <c r="D246" t="inlineStr">
        <is>
          <t>JÄMTLANDS LÄN</t>
        </is>
      </c>
      <c r="E246" t="inlineStr">
        <is>
          <t>BRÄCKE</t>
        </is>
      </c>
      <c r="F246" t="inlineStr">
        <is>
          <t>SCA</t>
        </is>
      </c>
      <c r="G246" t="n">
        <v>3.5</v>
      </c>
      <c r="H246" t="n">
        <v>0</v>
      </c>
      <c r="I246" t="n">
        <v>0</v>
      </c>
      <c r="J246" t="n">
        <v>1</v>
      </c>
      <c r="K246" t="n">
        <v>0</v>
      </c>
      <c r="L246" t="n">
        <v>0</v>
      </c>
      <c r="M246" t="n">
        <v>0</v>
      </c>
      <c r="N246" t="n">
        <v>0</v>
      </c>
      <c r="O246" t="n">
        <v>1</v>
      </c>
      <c r="P246" t="n">
        <v>0</v>
      </c>
      <c r="Q246" t="n">
        <v>1</v>
      </c>
      <c r="R246" s="2" t="inlineStr">
        <is>
          <t>Garnlav</t>
        </is>
      </c>
      <c r="S246">
        <f>HYPERLINK("https://klasma.github.io/Logging_2305/artfynd/A 22101-2024 artfynd.xlsx", "A 22101-2024")</f>
        <v/>
      </c>
      <c r="T246">
        <f>HYPERLINK("https://klasma.github.io/Logging_2305/kartor/A 22101-2024 karta.png", "A 22101-2024")</f>
        <v/>
      </c>
      <c r="V246">
        <f>HYPERLINK("https://klasma.github.io/Logging_2305/klagomål/A 22101-2024 FSC-klagomål.docx", "A 22101-2024")</f>
        <v/>
      </c>
      <c r="W246">
        <f>HYPERLINK("https://klasma.github.io/Logging_2305/klagomålsmail/A 22101-2024 FSC-klagomål mail.docx", "A 22101-2024")</f>
        <v/>
      </c>
      <c r="X246">
        <f>HYPERLINK("https://klasma.github.io/Logging_2305/tillsyn/A 22101-2024 tillsynsbegäran.docx", "A 22101-2024")</f>
        <v/>
      </c>
      <c r="Y246">
        <f>HYPERLINK("https://klasma.github.io/Logging_2305/tillsynsmail/A 22101-2024 tillsynsbegäran mail.docx", "A 22101-2024")</f>
        <v/>
      </c>
    </row>
    <row r="247" ht="15" customHeight="1">
      <c r="A247" t="inlineStr">
        <is>
          <t>A 48064-2023</t>
        </is>
      </c>
      <c r="B247" s="1" t="n">
        <v>45204</v>
      </c>
      <c r="C247" s="1" t="n">
        <v>45976</v>
      </c>
      <c r="D247" t="inlineStr">
        <is>
          <t>JÄMTLANDS LÄN</t>
        </is>
      </c>
      <c r="E247" t="inlineStr">
        <is>
          <t>BRÄCKE</t>
        </is>
      </c>
      <c r="G247" t="n">
        <v>2.3</v>
      </c>
      <c r="H247" t="n">
        <v>1</v>
      </c>
      <c r="I247" t="n">
        <v>0</v>
      </c>
      <c r="J247" t="n">
        <v>1</v>
      </c>
      <c r="K247" t="n">
        <v>0</v>
      </c>
      <c r="L247" t="n">
        <v>0</v>
      </c>
      <c r="M247" t="n">
        <v>0</v>
      </c>
      <c r="N247" t="n">
        <v>0</v>
      </c>
      <c r="O247" t="n">
        <v>1</v>
      </c>
      <c r="P247" t="n">
        <v>0</v>
      </c>
      <c r="Q247" t="n">
        <v>1</v>
      </c>
      <c r="R247" s="2" t="inlineStr">
        <is>
          <t>Tretåig hackspett</t>
        </is>
      </c>
      <c r="S247">
        <f>HYPERLINK("https://klasma.github.io/Logging_2305/artfynd/A 48064-2023 artfynd.xlsx", "A 48064-2023")</f>
        <v/>
      </c>
      <c r="T247">
        <f>HYPERLINK("https://klasma.github.io/Logging_2305/kartor/A 48064-2023 karta.png", "A 48064-2023")</f>
        <v/>
      </c>
      <c r="V247">
        <f>HYPERLINK("https://klasma.github.io/Logging_2305/klagomål/A 48064-2023 FSC-klagomål.docx", "A 48064-2023")</f>
        <v/>
      </c>
      <c r="W247">
        <f>HYPERLINK("https://klasma.github.io/Logging_2305/klagomålsmail/A 48064-2023 FSC-klagomål mail.docx", "A 48064-2023")</f>
        <v/>
      </c>
      <c r="X247">
        <f>HYPERLINK("https://klasma.github.io/Logging_2305/tillsyn/A 48064-2023 tillsynsbegäran.docx", "A 48064-2023")</f>
        <v/>
      </c>
      <c r="Y247">
        <f>HYPERLINK("https://klasma.github.io/Logging_2305/tillsynsmail/A 48064-2023 tillsynsbegäran mail.docx", "A 48064-2023")</f>
        <v/>
      </c>
      <c r="Z247">
        <f>HYPERLINK("https://klasma.github.io/Logging_2305/fåglar/A 48064-2023 prioriterade fågelarter.docx", "A 48064-2023")</f>
        <v/>
      </c>
    </row>
    <row r="248" ht="15" customHeight="1">
      <c r="A248" t="inlineStr">
        <is>
          <t>A 4851-2025</t>
        </is>
      </c>
      <c r="B248" s="1" t="n">
        <v>45688.67340277778</v>
      </c>
      <c r="C248" s="1" t="n">
        <v>45976</v>
      </c>
      <c r="D248" t="inlineStr">
        <is>
          <t>JÄMTLANDS LÄN</t>
        </is>
      </c>
      <c r="E248" t="inlineStr">
        <is>
          <t>BRÄCKE</t>
        </is>
      </c>
      <c r="F248" t="inlineStr">
        <is>
          <t>SCA</t>
        </is>
      </c>
      <c r="G248" t="n">
        <v>9.9</v>
      </c>
      <c r="H248" t="n">
        <v>0</v>
      </c>
      <c r="I248" t="n">
        <v>0</v>
      </c>
      <c r="J248" t="n">
        <v>1</v>
      </c>
      <c r="K248" t="n">
        <v>0</v>
      </c>
      <c r="L248" t="n">
        <v>0</v>
      </c>
      <c r="M248" t="n">
        <v>0</v>
      </c>
      <c r="N248" t="n">
        <v>0</v>
      </c>
      <c r="O248" t="n">
        <v>1</v>
      </c>
      <c r="P248" t="n">
        <v>0</v>
      </c>
      <c r="Q248" t="n">
        <v>1</v>
      </c>
      <c r="R248" s="2" t="inlineStr">
        <is>
          <t>Lunglav</t>
        </is>
      </c>
      <c r="S248">
        <f>HYPERLINK("https://klasma.github.io/Logging_2305/artfynd/A 4851-2025 artfynd.xlsx", "A 4851-2025")</f>
        <v/>
      </c>
      <c r="T248">
        <f>HYPERLINK("https://klasma.github.io/Logging_2305/kartor/A 4851-2025 karta.png", "A 4851-2025")</f>
        <v/>
      </c>
      <c r="V248">
        <f>HYPERLINK("https://klasma.github.io/Logging_2305/klagomål/A 4851-2025 FSC-klagomål.docx", "A 4851-2025")</f>
        <v/>
      </c>
      <c r="W248">
        <f>HYPERLINK("https://klasma.github.io/Logging_2305/klagomålsmail/A 4851-2025 FSC-klagomål mail.docx", "A 4851-2025")</f>
        <v/>
      </c>
      <c r="X248">
        <f>HYPERLINK("https://klasma.github.io/Logging_2305/tillsyn/A 4851-2025 tillsynsbegäran.docx", "A 4851-2025")</f>
        <v/>
      </c>
      <c r="Y248">
        <f>HYPERLINK("https://klasma.github.io/Logging_2305/tillsynsmail/A 4851-2025 tillsynsbegäran mail.docx", "A 4851-2025")</f>
        <v/>
      </c>
    </row>
    <row r="249" ht="15" customHeight="1">
      <c r="A249" t="inlineStr">
        <is>
          <t>A 16366-2023</t>
        </is>
      </c>
      <c r="B249" s="1" t="n">
        <v>45028</v>
      </c>
      <c r="C249" s="1" t="n">
        <v>45976</v>
      </c>
      <c r="D249" t="inlineStr">
        <is>
          <t>JÄMTLANDS LÄN</t>
        </is>
      </c>
      <c r="E249" t="inlineStr">
        <is>
          <t>BRÄCKE</t>
        </is>
      </c>
      <c r="G249" t="n">
        <v>9.1</v>
      </c>
      <c r="H249" t="n">
        <v>0</v>
      </c>
      <c r="I249" t="n">
        <v>0</v>
      </c>
      <c r="J249" t="n">
        <v>1</v>
      </c>
      <c r="K249" t="n">
        <v>0</v>
      </c>
      <c r="L249" t="n">
        <v>0</v>
      </c>
      <c r="M249" t="n">
        <v>0</v>
      </c>
      <c r="N249" t="n">
        <v>0</v>
      </c>
      <c r="O249" t="n">
        <v>1</v>
      </c>
      <c r="P249" t="n">
        <v>0</v>
      </c>
      <c r="Q249" t="n">
        <v>1</v>
      </c>
      <c r="R249" s="2" t="inlineStr">
        <is>
          <t>Lunglav</t>
        </is>
      </c>
      <c r="S249">
        <f>HYPERLINK("https://klasma.github.io/Logging_2305/artfynd/A 16366-2023 artfynd.xlsx", "A 16366-2023")</f>
        <v/>
      </c>
      <c r="T249">
        <f>HYPERLINK("https://klasma.github.io/Logging_2305/kartor/A 16366-2023 karta.png", "A 16366-2023")</f>
        <v/>
      </c>
      <c r="V249">
        <f>HYPERLINK("https://klasma.github.io/Logging_2305/klagomål/A 16366-2023 FSC-klagomål.docx", "A 16366-2023")</f>
        <v/>
      </c>
      <c r="W249">
        <f>HYPERLINK("https://klasma.github.io/Logging_2305/klagomålsmail/A 16366-2023 FSC-klagomål mail.docx", "A 16366-2023")</f>
        <v/>
      </c>
      <c r="X249">
        <f>HYPERLINK("https://klasma.github.io/Logging_2305/tillsyn/A 16366-2023 tillsynsbegäran.docx", "A 16366-2023")</f>
        <v/>
      </c>
      <c r="Y249">
        <f>HYPERLINK("https://klasma.github.io/Logging_2305/tillsynsmail/A 16366-2023 tillsynsbegäran mail.docx", "A 16366-2023")</f>
        <v/>
      </c>
    </row>
    <row r="250" ht="15" customHeight="1">
      <c r="A250" t="inlineStr">
        <is>
          <t>A 37248-2025</t>
        </is>
      </c>
      <c r="B250" s="1" t="n">
        <v>45876.40665509259</v>
      </c>
      <c r="C250" s="1" t="n">
        <v>45976</v>
      </c>
      <c r="D250" t="inlineStr">
        <is>
          <t>JÄMTLANDS LÄN</t>
        </is>
      </c>
      <c r="E250" t="inlineStr">
        <is>
          <t>BRÄCKE</t>
        </is>
      </c>
      <c r="F250" t="inlineStr">
        <is>
          <t>SCA</t>
        </is>
      </c>
      <c r="G250" t="n">
        <v>5</v>
      </c>
      <c r="H250" t="n">
        <v>0</v>
      </c>
      <c r="I250" t="n">
        <v>1</v>
      </c>
      <c r="J250" t="n">
        <v>0</v>
      </c>
      <c r="K250" t="n">
        <v>0</v>
      </c>
      <c r="L250" t="n">
        <v>0</v>
      </c>
      <c r="M250" t="n">
        <v>0</v>
      </c>
      <c r="N250" t="n">
        <v>0</v>
      </c>
      <c r="O250" t="n">
        <v>0</v>
      </c>
      <c r="P250" t="n">
        <v>0</v>
      </c>
      <c r="Q250" t="n">
        <v>1</v>
      </c>
      <c r="R250" s="2" t="inlineStr">
        <is>
          <t>Vedticka</t>
        </is>
      </c>
      <c r="S250">
        <f>HYPERLINK("https://klasma.github.io/Logging_2305/artfynd/A 37248-2025 artfynd.xlsx", "A 37248-2025")</f>
        <v/>
      </c>
      <c r="T250">
        <f>HYPERLINK("https://klasma.github.io/Logging_2305/kartor/A 37248-2025 karta.png", "A 37248-2025")</f>
        <v/>
      </c>
      <c r="V250">
        <f>HYPERLINK("https://klasma.github.io/Logging_2305/klagomål/A 37248-2025 FSC-klagomål.docx", "A 37248-2025")</f>
        <v/>
      </c>
      <c r="W250">
        <f>HYPERLINK("https://klasma.github.io/Logging_2305/klagomålsmail/A 37248-2025 FSC-klagomål mail.docx", "A 37248-2025")</f>
        <v/>
      </c>
      <c r="X250">
        <f>HYPERLINK("https://klasma.github.io/Logging_2305/tillsyn/A 37248-2025 tillsynsbegäran.docx", "A 37248-2025")</f>
        <v/>
      </c>
      <c r="Y250">
        <f>HYPERLINK("https://klasma.github.io/Logging_2305/tillsynsmail/A 37248-2025 tillsynsbegäran mail.docx", "A 37248-2025")</f>
        <v/>
      </c>
    </row>
    <row r="251" ht="15" customHeight="1">
      <c r="A251" t="inlineStr">
        <is>
          <t>A 24552-2022</t>
        </is>
      </c>
      <c r="B251" s="1" t="n">
        <v>44726</v>
      </c>
      <c r="C251" s="1" t="n">
        <v>45976</v>
      </c>
      <c r="D251" t="inlineStr">
        <is>
          <t>JÄMTLANDS LÄN</t>
        </is>
      </c>
      <c r="E251" t="inlineStr">
        <is>
          <t>BRÄCKE</t>
        </is>
      </c>
      <c r="G251" t="n">
        <v>2.6</v>
      </c>
      <c r="H251" t="n">
        <v>0</v>
      </c>
      <c r="I251" t="n">
        <v>0</v>
      </c>
      <c r="J251" t="n">
        <v>1</v>
      </c>
      <c r="K251" t="n">
        <v>0</v>
      </c>
      <c r="L251" t="n">
        <v>0</v>
      </c>
      <c r="M251" t="n">
        <v>0</v>
      </c>
      <c r="N251" t="n">
        <v>0</v>
      </c>
      <c r="O251" t="n">
        <v>1</v>
      </c>
      <c r="P251" t="n">
        <v>0</v>
      </c>
      <c r="Q251" t="n">
        <v>1</v>
      </c>
      <c r="R251" s="2" t="inlineStr">
        <is>
          <t>Bredbrämad bastardsvärmare</t>
        </is>
      </c>
      <c r="S251">
        <f>HYPERLINK("https://klasma.github.io/Logging_2305/artfynd/A 24552-2022 artfynd.xlsx", "A 24552-2022")</f>
        <v/>
      </c>
      <c r="T251">
        <f>HYPERLINK("https://klasma.github.io/Logging_2305/kartor/A 24552-2022 karta.png", "A 24552-2022")</f>
        <v/>
      </c>
      <c r="V251">
        <f>HYPERLINK("https://klasma.github.io/Logging_2305/klagomål/A 24552-2022 FSC-klagomål.docx", "A 24552-2022")</f>
        <v/>
      </c>
      <c r="W251">
        <f>HYPERLINK("https://klasma.github.io/Logging_2305/klagomålsmail/A 24552-2022 FSC-klagomål mail.docx", "A 24552-2022")</f>
        <v/>
      </c>
      <c r="X251">
        <f>HYPERLINK("https://klasma.github.io/Logging_2305/tillsyn/A 24552-2022 tillsynsbegäran.docx", "A 24552-2022")</f>
        <v/>
      </c>
      <c r="Y251">
        <f>HYPERLINK("https://klasma.github.io/Logging_2305/tillsynsmail/A 24552-2022 tillsynsbegäran mail.docx", "A 24552-2022")</f>
        <v/>
      </c>
    </row>
    <row r="252" ht="15" customHeight="1">
      <c r="A252" t="inlineStr">
        <is>
          <t>A 30336-2024</t>
        </is>
      </c>
      <c r="B252" s="1" t="n">
        <v>45490.95415509259</v>
      </c>
      <c r="C252" s="1" t="n">
        <v>45976</v>
      </c>
      <c r="D252" t="inlineStr">
        <is>
          <t>JÄMTLANDS LÄN</t>
        </is>
      </c>
      <c r="E252" t="inlineStr">
        <is>
          <t>BRÄCKE</t>
        </is>
      </c>
      <c r="F252" t="inlineStr">
        <is>
          <t>SCA</t>
        </is>
      </c>
      <c r="G252" t="n">
        <v>2.8</v>
      </c>
      <c r="H252" t="n">
        <v>0</v>
      </c>
      <c r="I252" t="n">
        <v>1</v>
      </c>
      <c r="J252" t="n">
        <v>0</v>
      </c>
      <c r="K252" t="n">
        <v>0</v>
      </c>
      <c r="L252" t="n">
        <v>0</v>
      </c>
      <c r="M252" t="n">
        <v>0</v>
      </c>
      <c r="N252" t="n">
        <v>0</v>
      </c>
      <c r="O252" t="n">
        <v>0</v>
      </c>
      <c r="P252" t="n">
        <v>0</v>
      </c>
      <c r="Q252" t="n">
        <v>1</v>
      </c>
      <c r="R252" s="2" t="inlineStr">
        <is>
          <t>Skinnlav</t>
        </is>
      </c>
      <c r="S252">
        <f>HYPERLINK("https://klasma.github.io/Logging_2305/artfynd/A 30336-2024 artfynd.xlsx", "A 30336-2024")</f>
        <v/>
      </c>
      <c r="T252">
        <f>HYPERLINK("https://klasma.github.io/Logging_2305/kartor/A 30336-2024 karta.png", "A 30336-2024")</f>
        <v/>
      </c>
      <c r="V252">
        <f>HYPERLINK("https://klasma.github.io/Logging_2305/klagomål/A 30336-2024 FSC-klagomål.docx", "A 30336-2024")</f>
        <v/>
      </c>
      <c r="W252">
        <f>HYPERLINK("https://klasma.github.io/Logging_2305/klagomålsmail/A 30336-2024 FSC-klagomål mail.docx", "A 30336-2024")</f>
        <v/>
      </c>
      <c r="X252">
        <f>HYPERLINK("https://klasma.github.io/Logging_2305/tillsyn/A 30336-2024 tillsynsbegäran.docx", "A 30336-2024")</f>
        <v/>
      </c>
      <c r="Y252">
        <f>HYPERLINK("https://klasma.github.io/Logging_2305/tillsynsmail/A 30336-2024 tillsynsbegäran mail.docx", "A 30336-2024")</f>
        <v/>
      </c>
    </row>
    <row r="253" ht="15" customHeight="1">
      <c r="A253" t="inlineStr">
        <is>
          <t>A 37922-2025</t>
        </is>
      </c>
      <c r="B253" s="1" t="n">
        <v>45881.5750462963</v>
      </c>
      <c r="C253" s="1" t="n">
        <v>45976</v>
      </c>
      <c r="D253" t="inlineStr">
        <is>
          <t>JÄMTLANDS LÄN</t>
        </is>
      </c>
      <c r="E253" t="inlineStr">
        <is>
          <t>BRÄCKE</t>
        </is>
      </c>
      <c r="F253" t="inlineStr">
        <is>
          <t>SCA</t>
        </is>
      </c>
      <c r="G253" t="n">
        <v>2.1</v>
      </c>
      <c r="H253" t="n">
        <v>1</v>
      </c>
      <c r="I253" t="n">
        <v>1</v>
      </c>
      <c r="J253" t="n">
        <v>0</v>
      </c>
      <c r="K253" t="n">
        <v>0</v>
      </c>
      <c r="L253" t="n">
        <v>0</v>
      </c>
      <c r="M253" t="n">
        <v>0</v>
      </c>
      <c r="N253" t="n">
        <v>0</v>
      </c>
      <c r="O253" t="n">
        <v>0</v>
      </c>
      <c r="P253" t="n">
        <v>0</v>
      </c>
      <c r="Q253" t="n">
        <v>1</v>
      </c>
      <c r="R253" s="2" t="inlineStr">
        <is>
          <t>Plattlummer</t>
        </is>
      </c>
      <c r="S253">
        <f>HYPERLINK("https://klasma.github.io/Logging_2305/artfynd/A 37922-2025 artfynd.xlsx", "A 37922-2025")</f>
        <v/>
      </c>
      <c r="T253">
        <f>HYPERLINK("https://klasma.github.io/Logging_2305/kartor/A 37922-2025 karta.png", "A 37922-2025")</f>
        <v/>
      </c>
      <c r="V253">
        <f>HYPERLINK("https://klasma.github.io/Logging_2305/klagomål/A 37922-2025 FSC-klagomål.docx", "A 37922-2025")</f>
        <v/>
      </c>
      <c r="W253">
        <f>HYPERLINK("https://klasma.github.io/Logging_2305/klagomålsmail/A 37922-2025 FSC-klagomål mail.docx", "A 37922-2025")</f>
        <v/>
      </c>
      <c r="X253">
        <f>HYPERLINK("https://klasma.github.io/Logging_2305/tillsyn/A 37922-2025 tillsynsbegäran.docx", "A 37922-2025")</f>
        <v/>
      </c>
      <c r="Y253">
        <f>HYPERLINK("https://klasma.github.io/Logging_2305/tillsynsmail/A 37922-2025 tillsynsbegäran mail.docx", "A 37922-2025")</f>
        <v/>
      </c>
    </row>
    <row r="254" ht="15" customHeight="1">
      <c r="A254" t="inlineStr">
        <is>
          <t>A 37976-2025</t>
        </is>
      </c>
      <c r="B254" s="1" t="n">
        <v>45881.67775462963</v>
      </c>
      <c r="C254" s="1" t="n">
        <v>45976</v>
      </c>
      <c r="D254" t="inlineStr">
        <is>
          <t>JÄMTLANDS LÄN</t>
        </is>
      </c>
      <c r="E254" t="inlineStr">
        <is>
          <t>BRÄCKE</t>
        </is>
      </c>
      <c r="F254" t="inlineStr">
        <is>
          <t>SCA</t>
        </is>
      </c>
      <c r="G254" t="n">
        <v>11.3</v>
      </c>
      <c r="H254" t="n">
        <v>0</v>
      </c>
      <c r="I254" t="n">
        <v>0</v>
      </c>
      <c r="J254" t="n">
        <v>1</v>
      </c>
      <c r="K254" t="n">
        <v>0</v>
      </c>
      <c r="L254" t="n">
        <v>0</v>
      </c>
      <c r="M254" t="n">
        <v>0</v>
      </c>
      <c r="N254" t="n">
        <v>0</v>
      </c>
      <c r="O254" t="n">
        <v>1</v>
      </c>
      <c r="P254" t="n">
        <v>0</v>
      </c>
      <c r="Q254" t="n">
        <v>1</v>
      </c>
      <c r="R254" s="2" t="inlineStr">
        <is>
          <t>Lunglav</t>
        </is>
      </c>
      <c r="S254">
        <f>HYPERLINK("https://klasma.github.io/Logging_2305/artfynd/A 37976-2025 artfynd.xlsx", "A 37976-2025")</f>
        <v/>
      </c>
      <c r="T254">
        <f>HYPERLINK("https://klasma.github.io/Logging_2305/kartor/A 37976-2025 karta.png", "A 37976-2025")</f>
        <v/>
      </c>
      <c r="V254">
        <f>HYPERLINK("https://klasma.github.io/Logging_2305/klagomål/A 37976-2025 FSC-klagomål.docx", "A 37976-2025")</f>
        <v/>
      </c>
      <c r="W254">
        <f>HYPERLINK("https://klasma.github.io/Logging_2305/klagomålsmail/A 37976-2025 FSC-klagomål mail.docx", "A 37976-2025")</f>
        <v/>
      </c>
      <c r="X254">
        <f>HYPERLINK("https://klasma.github.io/Logging_2305/tillsyn/A 37976-2025 tillsynsbegäran.docx", "A 37976-2025")</f>
        <v/>
      </c>
      <c r="Y254">
        <f>HYPERLINK("https://klasma.github.io/Logging_2305/tillsynsmail/A 37976-2025 tillsynsbegäran mail.docx", "A 37976-2025")</f>
        <v/>
      </c>
    </row>
    <row r="255" ht="15" customHeight="1">
      <c r="A255" t="inlineStr">
        <is>
          <t>A 62079-2022</t>
        </is>
      </c>
      <c r="B255" s="1" t="n">
        <v>44918</v>
      </c>
      <c r="C255" s="1" t="n">
        <v>45976</v>
      </c>
      <c r="D255" t="inlineStr">
        <is>
          <t>JÄMTLANDS LÄN</t>
        </is>
      </c>
      <c r="E255" t="inlineStr">
        <is>
          <t>BRÄCKE</t>
        </is>
      </c>
      <c r="F255" t="inlineStr">
        <is>
          <t>SCA</t>
        </is>
      </c>
      <c r="G255" t="n">
        <v>3</v>
      </c>
      <c r="H255" t="n">
        <v>0</v>
      </c>
      <c r="I255" t="n">
        <v>0</v>
      </c>
      <c r="J255" t="n">
        <v>1</v>
      </c>
      <c r="K255" t="n">
        <v>0</v>
      </c>
      <c r="L255" t="n">
        <v>0</v>
      </c>
      <c r="M255" t="n">
        <v>0</v>
      </c>
      <c r="N255" t="n">
        <v>0</v>
      </c>
      <c r="O255" t="n">
        <v>1</v>
      </c>
      <c r="P255" t="n">
        <v>0</v>
      </c>
      <c r="Q255" t="n">
        <v>1</v>
      </c>
      <c r="R255" s="2" t="inlineStr">
        <is>
          <t>Garnlav</t>
        </is>
      </c>
      <c r="S255">
        <f>HYPERLINK("https://klasma.github.io/Logging_2305/artfynd/A 62079-2022 artfynd.xlsx", "A 62079-2022")</f>
        <v/>
      </c>
      <c r="T255">
        <f>HYPERLINK("https://klasma.github.io/Logging_2305/kartor/A 62079-2022 karta.png", "A 62079-2022")</f>
        <v/>
      </c>
      <c r="V255">
        <f>HYPERLINK("https://klasma.github.io/Logging_2305/klagomål/A 62079-2022 FSC-klagomål.docx", "A 62079-2022")</f>
        <v/>
      </c>
      <c r="W255">
        <f>HYPERLINK("https://klasma.github.io/Logging_2305/klagomålsmail/A 62079-2022 FSC-klagomål mail.docx", "A 62079-2022")</f>
        <v/>
      </c>
      <c r="X255">
        <f>HYPERLINK("https://klasma.github.io/Logging_2305/tillsyn/A 62079-2022 tillsynsbegäran.docx", "A 62079-2022")</f>
        <v/>
      </c>
      <c r="Y255">
        <f>HYPERLINK("https://klasma.github.io/Logging_2305/tillsynsmail/A 62079-2022 tillsynsbegäran mail.docx", "A 62079-2022")</f>
        <v/>
      </c>
    </row>
    <row r="256" ht="15" customHeight="1">
      <c r="A256" t="inlineStr">
        <is>
          <t>A 38158-2025</t>
        </is>
      </c>
      <c r="B256" s="1" t="n">
        <v>45882.61518518518</v>
      </c>
      <c r="C256" s="1" t="n">
        <v>45976</v>
      </c>
      <c r="D256" t="inlineStr">
        <is>
          <t>JÄMTLANDS LÄN</t>
        </is>
      </c>
      <c r="E256" t="inlineStr">
        <is>
          <t>BRÄCKE</t>
        </is>
      </c>
      <c r="F256" t="inlineStr">
        <is>
          <t>SCA</t>
        </is>
      </c>
      <c r="G256" t="n">
        <v>19.9</v>
      </c>
      <c r="H256" t="n">
        <v>0</v>
      </c>
      <c r="I256" t="n">
        <v>0</v>
      </c>
      <c r="J256" t="n">
        <v>1</v>
      </c>
      <c r="K256" t="n">
        <v>0</v>
      </c>
      <c r="L256" t="n">
        <v>0</v>
      </c>
      <c r="M256" t="n">
        <v>0</v>
      </c>
      <c r="N256" t="n">
        <v>0</v>
      </c>
      <c r="O256" t="n">
        <v>1</v>
      </c>
      <c r="P256" t="n">
        <v>0</v>
      </c>
      <c r="Q256" t="n">
        <v>1</v>
      </c>
      <c r="R256" s="2" t="inlineStr">
        <is>
          <t>Rödbrun klubbdyna</t>
        </is>
      </c>
      <c r="S256">
        <f>HYPERLINK("https://klasma.github.io/Logging_2305/artfynd/A 38158-2025 artfynd.xlsx", "A 38158-2025")</f>
        <v/>
      </c>
      <c r="T256">
        <f>HYPERLINK("https://klasma.github.io/Logging_2305/kartor/A 38158-2025 karta.png", "A 38158-2025")</f>
        <v/>
      </c>
      <c r="V256">
        <f>HYPERLINK("https://klasma.github.io/Logging_2305/klagomål/A 38158-2025 FSC-klagomål.docx", "A 38158-2025")</f>
        <v/>
      </c>
      <c r="W256">
        <f>HYPERLINK("https://klasma.github.io/Logging_2305/klagomålsmail/A 38158-2025 FSC-klagomål mail.docx", "A 38158-2025")</f>
        <v/>
      </c>
      <c r="X256">
        <f>HYPERLINK("https://klasma.github.io/Logging_2305/tillsyn/A 38158-2025 tillsynsbegäran.docx", "A 38158-2025")</f>
        <v/>
      </c>
      <c r="Y256">
        <f>HYPERLINK("https://klasma.github.io/Logging_2305/tillsynsmail/A 38158-2025 tillsynsbegäran mail.docx", "A 38158-2025")</f>
        <v/>
      </c>
    </row>
    <row r="257" ht="15" customHeight="1">
      <c r="A257" t="inlineStr">
        <is>
          <t>A 50837-2023</t>
        </is>
      </c>
      <c r="B257" s="1" t="n">
        <v>45217</v>
      </c>
      <c r="C257" s="1" t="n">
        <v>45976</v>
      </c>
      <c r="D257" t="inlineStr">
        <is>
          <t>JÄMTLANDS LÄN</t>
        </is>
      </c>
      <c r="E257" t="inlineStr">
        <is>
          <t>BRÄCKE</t>
        </is>
      </c>
      <c r="F257" t="inlineStr">
        <is>
          <t>SCA</t>
        </is>
      </c>
      <c r="G257" t="n">
        <v>1.4</v>
      </c>
      <c r="H257" t="n">
        <v>1</v>
      </c>
      <c r="I257" t="n">
        <v>0</v>
      </c>
      <c r="J257" t="n">
        <v>1</v>
      </c>
      <c r="K257" t="n">
        <v>0</v>
      </c>
      <c r="L257" t="n">
        <v>0</v>
      </c>
      <c r="M257" t="n">
        <v>0</v>
      </c>
      <c r="N257" t="n">
        <v>0</v>
      </c>
      <c r="O257" t="n">
        <v>1</v>
      </c>
      <c r="P257" t="n">
        <v>0</v>
      </c>
      <c r="Q257" t="n">
        <v>1</v>
      </c>
      <c r="R257" s="2" t="inlineStr">
        <is>
          <t>Talltita</t>
        </is>
      </c>
      <c r="S257">
        <f>HYPERLINK("https://klasma.github.io/Logging_2305/artfynd/A 50837-2023 artfynd.xlsx", "A 50837-2023")</f>
        <v/>
      </c>
      <c r="T257">
        <f>HYPERLINK("https://klasma.github.io/Logging_2305/kartor/A 50837-2023 karta.png", "A 50837-2023")</f>
        <v/>
      </c>
      <c r="V257">
        <f>HYPERLINK("https://klasma.github.io/Logging_2305/klagomål/A 50837-2023 FSC-klagomål.docx", "A 50837-2023")</f>
        <v/>
      </c>
      <c r="W257">
        <f>HYPERLINK("https://klasma.github.io/Logging_2305/klagomålsmail/A 50837-2023 FSC-klagomål mail.docx", "A 50837-2023")</f>
        <v/>
      </c>
      <c r="X257">
        <f>HYPERLINK("https://klasma.github.io/Logging_2305/tillsyn/A 50837-2023 tillsynsbegäran.docx", "A 50837-2023")</f>
        <v/>
      </c>
      <c r="Y257">
        <f>HYPERLINK("https://klasma.github.io/Logging_2305/tillsynsmail/A 50837-2023 tillsynsbegäran mail.docx", "A 50837-2023")</f>
        <v/>
      </c>
      <c r="Z257">
        <f>HYPERLINK("https://klasma.github.io/Logging_2305/fåglar/A 50837-2023 prioriterade fågelarter.docx", "A 50837-2023")</f>
        <v/>
      </c>
    </row>
    <row r="258" ht="15" customHeight="1">
      <c r="A258" t="inlineStr">
        <is>
          <t>A 33479-2024</t>
        </is>
      </c>
      <c r="B258" s="1" t="n">
        <v>45519.60824074074</v>
      </c>
      <c r="C258" s="1" t="n">
        <v>45976</v>
      </c>
      <c r="D258" t="inlineStr">
        <is>
          <t>JÄMTLANDS LÄN</t>
        </is>
      </c>
      <c r="E258" t="inlineStr">
        <is>
          <t>BRÄCKE</t>
        </is>
      </c>
      <c r="F258" t="inlineStr">
        <is>
          <t>SCA</t>
        </is>
      </c>
      <c r="G258" t="n">
        <v>1.3</v>
      </c>
      <c r="H258" t="n">
        <v>1</v>
      </c>
      <c r="I258" t="n">
        <v>0</v>
      </c>
      <c r="J258" t="n">
        <v>0</v>
      </c>
      <c r="K258" t="n">
        <v>0</v>
      </c>
      <c r="L258" t="n">
        <v>0</v>
      </c>
      <c r="M258" t="n">
        <v>0</v>
      </c>
      <c r="N258" t="n">
        <v>0</v>
      </c>
      <c r="O258" t="n">
        <v>0</v>
      </c>
      <c r="P258" t="n">
        <v>0</v>
      </c>
      <c r="Q258" t="n">
        <v>1</v>
      </c>
      <c r="R258" s="2" t="inlineStr">
        <is>
          <t>Revlummer</t>
        </is>
      </c>
      <c r="S258">
        <f>HYPERLINK("https://klasma.github.io/Logging_2305/artfynd/A 33479-2024 artfynd.xlsx", "A 33479-2024")</f>
        <v/>
      </c>
      <c r="T258">
        <f>HYPERLINK("https://klasma.github.io/Logging_2305/kartor/A 33479-2024 karta.png", "A 33479-2024")</f>
        <v/>
      </c>
      <c r="V258">
        <f>HYPERLINK("https://klasma.github.io/Logging_2305/klagomål/A 33479-2024 FSC-klagomål.docx", "A 33479-2024")</f>
        <v/>
      </c>
      <c r="W258">
        <f>HYPERLINK("https://klasma.github.io/Logging_2305/klagomålsmail/A 33479-2024 FSC-klagomål mail.docx", "A 33479-2024")</f>
        <v/>
      </c>
      <c r="X258">
        <f>HYPERLINK("https://klasma.github.io/Logging_2305/tillsyn/A 33479-2024 tillsynsbegäran.docx", "A 33479-2024")</f>
        <v/>
      </c>
      <c r="Y258">
        <f>HYPERLINK("https://klasma.github.io/Logging_2305/tillsynsmail/A 33479-2024 tillsynsbegäran mail.docx", "A 33479-2024")</f>
        <v/>
      </c>
    </row>
    <row r="259" ht="15" customHeight="1">
      <c r="A259" t="inlineStr">
        <is>
          <t>A 427-2025</t>
        </is>
      </c>
      <c r="B259" s="1" t="n">
        <v>45664.35195601852</v>
      </c>
      <c r="C259" s="1" t="n">
        <v>45976</v>
      </c>
      <c r="D259" t="inlineStr">
        <is>
          <t>JÄMTLANDS LÄN</t>
        </is>
      </c>
      <c r="E259" t="inlineStr">
        <is>
          <t>BRÄCKE</t>
        </is>
      </c>
      <c r="G259" t="n">
        <v>1.2</v>
      </c>
      <c r="H259" t="n">
        <v>0</v>
      </c>
      <c r="I259" t="n">
        <v>1</v>
      </c>
      <c r="J259" t="n">
        <v>0</v>
      </c>
      <c r="K259" t="n">
        <v>0</v>
      </c>
      <c r="L259" t="n">
        <v>0</v>
      </c>
      <c r="M259" t="n">
        <v>0</v>
      </c>
      <c r="N259" t="n">
        <v>0</v>
      </c>
      <c r="O259" t="n">
        <v>0</v>
      </c>
      <c r="P259" t="n">
        <v>0</v>
      </c>
      <c r="Q259" t="n">
        <v>1</v>
      </c>
      <c r="R259" s="2" t="inlineStr">
        <is>
          <t>Rödgul trumpetsvamp</t>
        </is>
      </c>
      <c r="S259">
        <f>HYPERLINK("https://klasma.github.io/Logging_2305/artfynd/A 427-2025 artfynd.xlsx", "A 427-2025")</f>
        <v/>
      </c>
      <c r="T259">
        <f>HYPERLINK("https://klasma.github.io/Logging_2305/kartor/A 427-2025 karta.png", "A 427-2025")</f>
        <v/>
      </c>
      <c r="V259">
        <f>HYPERLINK("https://klasma.github.io/Logging_2305/klagomål/A 427-2025 FSC-klagomål.docx", "A 427-2025")</f>
        <v/>
      </c>
      <c r="W259">
        <f>HYPERLINK("https://klasma.github.io/Logging_2305/klagomålsmail/A 427-2025 FSC-klagomål mail.docx", "A 427-2025")</f>
        <v/>
      </c>
      <c r="X259">
        <f>HYPERLINK("https://klasma.github.io/Logging_2305/tillsyn/A 427-2025 tillsynsbegäran.docx", "A 427-2025")</f>
        <v/>
      </c>
      <c r="Y259">
        <f>HYPERLINK("https://klasma.github.io/Logging_2305/tillsynsmail/A 427-2025 tillsynsbegäran mail.docx", "A 427-2025")</f>
        <v/>
      </c>
    </row>
    <row r="260" ht="15" customHeight="1">
      <c r="A260" t="inlineStr">
        <is>
          <t>A 15462-2025</t>
        </is>
      </c>
      <c r="B260" s="1" t="n">
        <v>45747.51086805556</v>
      </c>
      <c r="C260" s="1" t="n">
        <v>45976</v>
      </c>
      <c r="D260" t="inlineStr">
        <is>
          <t>JÄMTLANDS LÄN</t>
        </is>
      </c>
      <c r="E260" t="inlineStr">
        <is>
          <t>BRÄCKE</t>
        </is>
      </c>
      <c r="F260" t="inlineStr">
        <is>
          <t>SCA</t>
        </is>
      </c>
      <c r="G260" t="n">
        <v>1.6</v>
      </c>
      <c r="H260" t="n">
        <v>0</v>
      </c>
      <c r="I260" t="n">
        <v>0</v>
      </c>
      <c r="J260" t="n">
        <v>0</v>
      </c>
      <c r="K260" t="n">
        <v>1</v>
      </c>
      <c r="L260" t="n">
        <v>0</v>
      </c>
      <c r="M260" t="n">
        <v>0</v>
      </c>
      <c r="N260" t="n">
        <v>0</v>
      </c>
      <c r="O260" t="n">
        <v>1</v>
      </c>
      <c r="P260" t="n">
        <v>1</v>
      </c>
      <c r="Q260" t="n">
        <v>1</v>
      </c>
      <c r="R260" s="2" t="inlineStr">
        <is>
          <t>Smalskaftslav</t>
        </is>
      </c>
      <c r="S260">
        <f>HYPERLINK("https://klasma.github.io/Logging_2305/artfynd/A 15462-2025 artfynd.xlsx", "A 15462-2025")</f>
        <v/>
      </c>
      <c r="T260">
        <f>HYPERLINK("https://klasma.github.io/Logging_2305/kartor/A 15462-2025 karta.png", "A 15462-2025")</f>
        <v/>
      </c>
      <c r="V260">
        <f>HYPERLINK("https://klasma.github.io/Logging_2305/klagomål/A 15462-2025 FSC-klagomål.docx", "A 15462-2025")</f>
        <v/>
      </c>
      <c r="W260">
        <f>HYPERLINK("https://klasma.github.io/Logging_2305/klagomålsmail/A 15462-2025 FSC-klagomål mail.docx", "A 15462-2025")</f>
        <v/>
      </c>
      <c r="X260">
        <f>HYPERLINK("https://klasma.github.io/Logging_2305/tillsyn/A 15462-2025 tillsynsbegäran.docx", "A 15462-2025")</f>
        <v/>
      </c>
      <c r="Y260">
        <f>HYPERLINK("https://klasma.github.io/Logging_2305/tillsynsmail/A 15462-2025 tillsynsbegäran mail.docx", "A 15462-2025")</f>
        <v/>
      </c>
    </row>
    <row r="261" ht="15" customHeight="1">
      <c r="A261" t="inlineStr">
        <is>
          <t>A 14628-2022</t>
        </is>
      </c>
      <c r="B261" s="1" t="n">
        <v>44655</v>
      </c>
      <c r="C261" s="1" t="n">
        <v>45976</v>
      </c>
      <c r="D261" t="inlineStr">
        <is>
          <t>JÄMTLANDS LÄN</t>
        </is>
      </c>
      <c r="E261" t="inlineStr">
        <is>
          <t>BRÄCKE</t>
        </is>
      </c>
      <c r="G261" t="n">
        <v>4.7</v>
      </c>
      <c r="H261" t="n">
        <v>0</v>
      </c>
      <c r="I261" t="n">
        <v>1</v>
      </c>
      <c r="J261" t="n">
        <v>0</v>
      </c>
      <c r="K261" t="n">
        <v>0</v>
      </c>
      <c r="L261" t="n">
        <v>0</v>
      </c>
      <c r="M261" t="n">
        <v>0</v>
      </c>
      <c r="N261" t="n">
        <v>0</v>
      </c>
      <c r="O261" t="n">
        <v>0</v>
      </c>
      <c r="P261" t="n">
        <v>0</v>
      </c>
      <c r="Q261" t="n">
        <v>1</v>
      </c>
      <c r="R261" s="2" t="inlineStr">
        <is>
          <t>Dropptaggsvamp</t>
        </is>
      </c>
      <c r="S261">
        <f>HYPERLINK("https://klasma.github.io/Logging_2305/artfynd/A 14628-2022 artfynd.xlsx", "A 14628-2022")</f>
        <v/>
      </c>
      <c r="T261">
        <f>HYPERLINK("https://klasma.github.io/Logging_2305/kartor/A 14628-2022 karta.png", "A 14628-2022")</f>
        <v/>
      </c>
      <c r="V261">
        <f>HYPERLINK("https://klasma.github.io/Logging_2305/klagomål/A 14628-2022 FSC-klagomål.docx", "A 14628-2022")</f>
        <v/>
      </c>
      <c r="W261">
        <f>HYPERLINK("https://klasma.github.io/Logging_2305/klagomålsmail/A 14628-2022 FSC-klagomål mail.docx", "A 14628-2022")</f>
        <v/>
      </c>
      <c r="X261">
        <f>HYPERLINK("https://klasma.github.io/Logging_2305/tillsyn/A 14628-2022 tillsynsbegäran.docx", "A 14628-2022")</f>
        <v/>
      </c>
      <c r="Y261">
        <f>HYPERLINK("https://klasma.github.io/Logging_2305/tillsynsmail/A 14628-2022 tillsynsbegäran mail.docx", "A 14628-2022")</f>
        <v/>
      </c>
    </row>
    <row r="262" ht="15" customHeight="1">
      <c r="A262" t="inlineStr">
        <is>
          <t>A 2463-2025</t>
        </is>
      </c>
      <c r="B262" s="1" t="n">
        <v>45674.46915509259</v>
      </c>
      <c r="C262" s="1" t="n">
        <v>45976</v>
      </c>
      <c r="D262" t="inlineStr">
        <is>
          <t>JÄMTLANDS LÄN</t>
        </is>
      </c>
      <c r="E262" t="inlineStr">
        <is>
          <t>BRÄCKE</t>
        </is>
      </c>
      <c r="F262" t="inlineStr">
        <is>
          <t>SCA</t>
        </is>
      </c>
      <c r="G262" t="n">
        <v>3.9</v>
      </c>
      <c r="H262" t="n">
        <v>0</v>
      </c>
      <c r="I262" t="n">
        <v>1</v>
      </c>
      <c r="J262" t="n">
        <v>0</v>
      </c>
      <c r="K262" t="n">
        <v>0</v>
      </c>
      <c r="L262" t="n">
        <v>0</v>
      </c>
      <c r="M262" t="n">
        <v>0</v>
      </c>
      <c r="N262" t="n">
        <v>0</v>
      </c>
      <c r="O262" t="n">
        <v>0</v>
      </c>
      <c r="P262" t="n">
        <v>0</v>
      </c>
      <c r="Q262" t="n">
        <v>1</v>
      </c>
      <c r="R262" s="2" t="inlineStr">
        <is>
          <t>Vedticka</t>
        </is>
      </c>
      <c r="S262">
        <f>HYPERLINK("https://klasma.github.io/Logging_2305/artfynd/A 2463-2025 artfynd.xlsx", "A 2463-2025")</f>
        <v/>
      </c>
      <c r="T262">
        <f>HYPERLINK("https://klasma.github.io/Logging_2305/kartor/A 2463-2025 karta.png", "A 2463-2025")</f>
        <v/>
      </c>
      <c r="V262">
        <f>HYPERLINK("https://klasma.github.io/Logging_2305/klagomål/A 2463-2025 FSC-klagomål.docx", "A 2463-2025")</f>
        <v/>
      </c>
      <c r="W262">
        <f>HYPERLINK("https://klasma.github.io/Logging_2305/klagomålsmail/A 2463-2025 FSC-klagomål mail.docx", "A 2463-2025")</f>
        <v/>
      </c>
      <c r="X262">
        <f>HYPERLINK("https://klasma.github.io/Logging_2305/tillsyn/A 2463-2025 tillsynsbegäran.docx", "A 2463-2025")</f>
        <v/>
      </c>
      <c r="Y262">
        <f>HYPERLINK("https://klasma.github.io/Logging_2305/tillsynsmail/A 2463-2025 tillsynsbegäran mail.docx", "A 2463-2025")</f>
        <v/>
      </c>
    </row>
    <row r="263" ht="15" customHeight="1">
      <c r="A263" t="inlineStr">
        <is>
          <t>A 29546-2024</t>
        </is>
      </c>
      <c r="B263" s="1" t="n">
        <v>45484.50435185185</v>
      </c>
      <c r="C263" s="1" t="n">
        <v>45976</v>
      </c>
      <c r="D263" t="inlineStr">
        <is>
          <t>JÄMTLANDS LÄN</t>
        </is>
      </c>
      <c r="E263" t="inlineStr">
        <is>
          <t>BRÄCKE</t>
        </is>
      </c>
      <c r="F263" t="inlineStr">
        <is>
          <t>Övriga Aktiebolag</t>
        </is>
      </c>
      <c r="G263" t="n">
        <v>3.1</v>
      </c>
      <c r="H263" t="n">
        <v>1</v>
      </c>
      <c r="I263" t="n">
        <v>0</v>
      </c>
      <c r="J263" t="n">
        <v>1</v>
      </c>
      <c r="K263" t="n">
        <v>0</v>
      </c>
      <c r="L263" t="n">
        <v>0</v>
      </c>
      <c r="M263" t="n">
        <v>0</v>
      </c>
      <c r="N263" t="n">
        <v>0</v>
      </c>
      <c r="O263" t="n">
        <v>1</v>
      </c>
      <c r="P263" t="n">
        <v>0</v>
      </c>
      <c r="Q263" t="n">
        <v>1</v>
      </c>
      <c r="R263" s="2" t="inlineStr">
        <is>
          <t>Spillkråka</t>
        </is>
      </c>
      <c r="S263">
        <f>HYPERLINK("https://klasma.github.io/Logging_2305/artfynd/A 29546-2024 artfynd.xlsx", "A 29546-2024")</f>
        <v/>
      </c>
      <c r="T263">
        <f>HYPERLINK("https://klasma.github.io/Logging_2305/kartor/A 29546-2024 karta.png", "A 29546-2024")</f>
        <v/>
      </c>
      <c r="V263">
        <f>HYPERLINK("https://klasma.github.io/Logging_2305/klagomål/A 29546-2024 FSC-klagomål.docx", "A 29546-2024")</f>
        <v/>
      </c>
      <c r="W263">
        <f>HYPERLINK("https://klasma.github.io/Logging_2305/klagomålsmail/A 29546-2024 FSC-klagomål mail.docx", "A 29546-2024")</f>
        <v/>
      </c>
      <c r="X263">
        <f>HYPERLINK("https://klasma.github.io/Logging_2305/tillsyn/A 29546-2024 tillsynsbegäran.docx", "A 29546-2024")</f>
        <v/>
      </c>
      <c r="Y263">
        <f>HYPERLINK("https://klasma.github.io/Logging_2305/tillsynsmail/A 29546-2024 tillsynsbegäran mail.docx", "A 29546-2024")</f>
        <v/>
      </c>
      <c r="Z263">
        <f>HYPERLINK("https://klasma.github.io/Logging_2305/fåglar/A 29546-2024 prioriterade fågelarter.docx", "A 29546-2024")</f>
        <v/>
      </c>
    </row>
    <row r="264" ht="15" customHeight="1">
      <c r="A264" t="inlineStr">
        <is>
          <t>A 3234-2025</t>
        </is>
      </c>
      <c r="B264" s="1" t="n">
        <v>45679.49020833334</v>
      </c>
      <c r="C264" s="1" t="n">
        <v>45976</v>
      </c>
      <c r="D264" t="inlineStr">
        <is>
          <t>JÄMTLANDS LÄN</t>
        </is>
      </c>
      <c r="E264" t="inlineStr">
        <is>
          <t>BRÄCKE</t>
        </is>
      </c>
      <c r="F264" t="inlineStr">
        <is>
          <t>SCA</t>
        </is>
      </c>
      <c r="G264" t="n">
        <v>1.7</v>
      </c>
      <c r="H264" t="n">
        <v>1</v>
      </c>
      <c r="I264" t="n">
        <v>0</v>
      </c>
      <c r="J264" t="n">
        <v>1</v>
      </c>
      <c r="K264" t="n">
        <v>0</v>
      </c>
      <c r="L264" t="n">
        <v>0</v>
      </c>
      <c r="M264" t="n">
        <v>0</v>
      </c>
      <c r="N264" t="n">
        <v>0</v>
      </c>
      <c r="O264" t="n">
        <v>1</v>
      </c>
      <c r="P264" t="n">
        <v>0</v>
      </c>
      <c r="Q264" t="n">
        <v>1</v>
      </c>
      <c r="R264" s="2" t="inlineStr">
        <is>
          <t>Utter</t>
        </is>
      </c>
      <c r="S264">
        <f>HYPERLINK("https://klasma.github.io/Logging_2305/artfynd/A 3234-2025 artfynd.xlsx", "A 3234-2025")</f>
        <v/>
      </c>
      <c r="T264">
        <f>HYPERLINK("https://klasma.github.io/Logging_2305/kartor/A 3234-2025 karta.png", "A 3234-2025")</f>
        <v/>
      </c>
      <c r="V264">
        <f>HYPERLINK("https://klasma.github.io/Logging_2305/klagomål/A 3234-2025 FSC-klagomål.docx", "A 3234-2025")</f>
        <v/>
      </c>
      <c r="W264">
        <f>HYPERLINK("https://klasma.github.io/Logging_2305/klagomålsmail/A 3234-2025 FSC-klagomål mail.docx", "A 3234-2025")</f>
        <v/>
      </c>
      <c r="X264">
        <f>HYPERLINK("https://klasma.github.io/Logging_2305/tillsyn/A 3234-2025 tillsynsbegäran.docx", "A 3234-2025")</f>
        <v/>
      </c>
      <c r="Y264">
        <f>HYPERLINK("https://klasma.github.io/Logging_2305/tillsynsmail/A 3234-2025 tillsynsbegäran mail.docx", "A 3234-2025")</f>
        <v/>
      </c>
    </row>
    <row r="265" ht="15" customHeight="1">
      <c r="A265" t="inlineStr">
        <is>
          <t>A 49863-2022</t>
        </is>
      </c>
      <c r="B265" s="1" t="n">
        <v>44862</v>
      </c>
      <c r="C265" s="1" t="n">
        <v>45976</v>
      </c>
      <c r="D265" t="inlineStr">
        <is>
          <t>JÄMTLANDS LÄN</t>
        </is>
      </c>
      <c r="E265" t="inlineStr">
        <is>
          <t>BRÄCKE</t>
        </is>
      </c>
      <c r="F265" t="inlineStr">
        <is>
          <t>SCA</t>
        </is>
      </c>
      <c r="G265" t="n">
        <v>3.9</v>
      </c>
      <c r="H265" t="n">
        <v>1</v>
      </c>
      <c r="I265" t="n">
        <v>1</v>
      </c>
      <c r="J265" t="n">
        <v>0</v>
      </c>
      <c r="K265" t="n">
        <v>0</v>
      </c>
      <c r="L265" t="n">
        <v>0</v>
      </c>
      <c r="M265" t="n">
        <v>0</v>
      </c>
      <c r="N265" t="n">
        <v>0</v>
      </c>
      <c r="O265" t="n">
        <v>0</v>
      </c>
      <c r="P265" t="n">
        <v>0</v>
      </c>
      <c r="Q265" t="n">
        <v>1</v>
      </c>
      <c r="R265" s="2" t="inlineStr">
        <is>
          <t>Spindelblomster</t>
        </is>
      </c>
      <c r="S265">
        <f>HYPERLINK("https://klasma.github.io/Logging_2305/artfynd/A 49863-2022 artfynd.xlsx", "A 49863-2022")</f>
        <v/>
      </c>
      <c r="T265">
        <f>HYPERLINK("https://klasma.github.io/Logging_2305/kartor/A 49863-2022 karta.png", "A 49863-2022")</f>
        <v/>
      </c>
      <c r="V265">
        <f>HYPERLINK("https://klasma.github.io/Logging_2305/klagomål/A 49863-2022 FSC-klagomål.docx", "A 49863-2022")</f>
        <v/>
      </c>
      <c r="W265">
        <f>HYPERLINK("https://klasma.github.io/Logging_2305/klagomålsmail/A 49863-2022 FSC-klagomål mail.docx", "A 49863-2022")</f>
        <v/>
      </c>
      <c r="X265">
        <f>HYPERLINK("https://klasma.github.io/Logging_2305/tillsyn/A 49863-2022 tillsynsbegäran.docx", "A 49863-2022")</f>
        <v/>
      </c>
      <c r="Y265">
        <f>HYPERLINK("https://klasma.github.io/Logging_2305/tillsynsmail/A 49863-2022 tillsynsbegäran mail.docx", "A 49863-2022")</f>
        <v/>
      </c>
    </row>
    <row r="266" ht="15" customHeight="1">
      <c r="A266" t="inlineStr">
        <is>
          <t>A 57553-2024</t>
        </is>
      </c>
      <c r="B266" s="1" t="n">
        <v>45630.44898148148</v>
      </c>
      <c r="C266" s="1" t="n">
        <v>45976</v>
      </c>
      <c r="D266" t="inlineStr">
        <is>
          <t>JÄMTLANDS LÄN</t>
        </is>
      </c>
      <c r="E266" t="inlineStr">
        <is>
          <t>BRÄCKE</t>
        </is>
      </c>
      <c r="F266" t="inlineStr">
        <is>
          <t>SCA</t>
        </is>
      </c>
      <c r="G266" t="n">
        <v>8</v>
      </c>
      <c r="H266" t="n">
        <v>0</v>
      </c>
      <c r="I266" t="n">
        <v>0</v>
      </c>
      <c r="J266" t="n">
        <v>1</v>
      </c>
      <c r="K266" t="n">
        <v>0</v>
      </c>
      <c r="L266" t="n">
        <v>0</v>
      </c>
      <c r="M266" t="n">
        <v>0</v>
      </c>
      <c r="N266" t="n">
        <v>0</v>
      </c>
      <c r="O266" t="n">
        <v>1</v>
      </c>
      <c r="P266" t="n">
        <v>0</v>
      </c>
      <c r="Q266" t="n">
        <v>1</v>
      </c>
      <c r="R266" s="2" t="inlineStr">
        <is>
          <t>Lunglav</t>
        </is>
      </c>
      <c r="S266">
        <f>HYPERLINK("https://klasma.github.io/Logging_2305/artfynd/A 57553-2024 artfynd.xlsx", "A 57553-2024")</f>
        <v/>
      </c>
      <c r="T266">
        <f>HYPERLINK("https://klasma.github.io/Logging_2305/kartor/A 57553-2024 karta.png", "A 57553-2024")</f>
        <v/>
      </c>
      <c r="V266">
        <f>HYPERLINK("https://klasma.github.io/Logging_2305/klagomål/A 57553-2024 FSC-klagomål.docx", "A 57553-2024")</f>
        <v/>
      </c>
      <c r="W266">
        <f>HYPERLINK("https://klasma.github.io/Logging_2305/klagomålsmail/A 57553-2024 FSC-klagomål mail.docx", "A 57553-2024")</f>
        <v/>
      </c>
      <c r="X266">
        <f>HYPERLINK("https://klasma.github.io/Logging_2305/tillsyn/A 57553-2024 tillsynsbegäran.docx", "A 57553-2024")</f>
        <v/>
      </c>
      <c r="Y266">
        <f>HYPERLINK("https://klasma.github.io/Logging_2305/tillsynsmail/A 57553-2024 tillsynsbegäran mail.docx", "A 57553-2024")</f>
        <v/>
      </c>
    </row>
    <row r="267" ht="15" customHeight="1">
      <c r="A267" t="inlineStr">
        <is>
          <t>A 39085-2025</t>
        </is>
      </c>
      <c r="B267" s="1" t="n">
        <v>45888</v>
      </c>
      <c r="C267" s="1" t="n">
        <v>45976</v>
      </c>
      <c r="D267" t="inlineStr">
        <is>
          <t>JÄMTLANDS LÄN</t>
        </is>
      </c>
      <c r="E267" t="inlineStr">
        <is>
          <t>BRÄCKE</t>
        </is>
      </c>
      <c r="F267" t="inlineStr">
        <is>
          <t>SCA</t>
        </is>
      </c>
      <c r="G267" t="n">
        <v>3.3</v>
      </c>
      <c r="H267" t="n">
        <v>0</v>
      </c>
      <c r="I267" t="n">
        <v>0</v>
      </c>
      <c r="J267" t="n">
        <v>1</v>
      </c>
      <c r="K267" t="n">
        <v>0</v>
      </c>
      <c r="L267" t="n">
        <v>0</v>
      </c>
      <c r="M267" t="n">
        <v>0</v>
      </c>
      <c r="N267" t="n">
        <v>0</v>
      </c>
      <c r="O267" t="n">
        <v>1</v>
      </c>
      <c r="P267" t="n">
        <v>0</v>
      </c>
      <c r="Q267" t="n">
        <v>1</v>
      </c>
      <c r="R267" s="2" t="inlineStr">
        <is>
          <t>Lunglav</t>
        </is>
      </c>
      <c r="S267">
        <f>HYPERLINK("https://klasma.github.io/Logging_2305/artfynd/A 39085-2025 artfynd.xlsx", "A 39085-2025")</f>
        <v/>
      </c>
      <c r="T267">
        <f>HYPERLINK("https://klasma.github.io/Logging_2305/kartor/A 39085-2025 karta.png", "A 39085-2025")</f>
        <v/>
      </c>
      <c r="V267">
        <f>HYPERLINK("https://klasma.github.io/Logging_2305/klagomål/A 39085-2025 FSC-klagomål.docx", "A 39085-2025")</f>
        <v/>
      </c>
      <c r="W267">
        <f>HYPERLINK("https://klasma.github.io/Logging_2305/klagomålsmail/A 39085-2025 FSC-klagomål mail.docx", "A 39085-2025")</f>
        <v/>
      </c>
      <c r="X267">
        <f>HYPERLINK("https://klasma.github.io/Logging_2305/tillsyn/A 39085-2025 tillsynsbegäran.docx", "A 39085-2025")</f>
        <v/>
      </c>
      <c r="Y267">
        <f>HYPERLINK("https://klasma.github.io/Logging_2305/tillsynsmail/A 39085-2025 tillsynsbegäran mail.docx", "A 39085-2025")</f>
        <v/>
      </c>
    </row>
    <row r="268" ht="15" customHeight="1">
      <c r="A268" t="inlineStr">
        <is>
          <t>A 10736-2025</t>
        </is>
      </c>
      <c r="B268" s="1" t="n">
        <v>45722.40664351852</v>
      </c>
      <c r="C268" s="1" t="n">
        <v>45976</v>
      </c>
      <c r="D268" t="inlineStr">
        <is>
          <t>JÄMTLANDS LÄN</t>
        </is>
      </c>
      <c r="E268" t="inlineStr">
        <is>
          <t>BRÄCKE</t>
        </is>
      </c>
      <c r="F268" t="inlineStr">
        <is>
          <t>SCA</t>
        </is>
      </c>
      <c r="G268" t="n">
        <v>5</v>
      </c>
      <c r="H268" t="n">
        <v>1</v>
      </c>
      <c r="I268" t="n">
        <v>0</v>
      </c>
      <c r="J268" t="n">
        <v>0</v>
      </c>
      <c r="K268" t="n">
        <v>0</v>
      </c>
      <c r="L268" t="n">
        <v>0</v>
      </c>
      <c r="M268" t="n">
        <v>0</v>
      </c>
      <c r="N268" t="n">
        <v>0</v>
      </c>
      <c r="O268" t="n">
        <v>0</v>
      </c>
      <c r="P268" t="n">
        <v>0</v>
      </c>
      <c r="Q268" t="n">
        <v>1</v>
      </c>
      <c r="R268" s="2" t="inlineStr">
        <is>
          <t>Järnsparv</t>
        </is>
      </c>
      <c r="S268">
        <f>HYPERLINK("https://klasma.github.io/Logging_2305/artfynd/A 10736-2025 artfynd.xlsx", "A 10736-2025")</f>
        <v/>
      </c>
      <c r="T268">
        <f>HYPERLINK("https://klasma.github.io/Logging_2305/kartor/A 10736-2025 karta.png", "A 10736-2025")</f>
        <v/>
      </c>
      <c r="V268">
        <f>HYPERLINK("https://klasma.github.io/Logging_2305/klagomål/A 10736-2025 FSC-klagomål.docx", "A 10736-2025")</f>
        <v/>
      </c>
      <c r="W268">
        <f>HYPERLINK("https://klasma.github.io/Logging_2305/klagomålsmail/A 10736-2025 FSC-klagomål mail.docx", "A 10736-2025")</f>
        <v/>
      </c>
      <c r="X268">
        <f>HYPERLINK("https://klasma.github.io/Logging_2305/tillsyn/A 10736-2025 tillsynsbegäran.docx", "A 10736-2025")</f>
        <v/>
      </c>
      <c r="Y268">
        <f>HYPERLINK("https://klasma.github.io/Logging_2305/tillsynsmail/A 10736-2025 tillsynsbegäran mail.docx", "A 10736-2025")</f>
        <v/>
      </c>
      <c r="Z268">
        <f>HYPERLINK("https://klasma.github.io/Logging_2305/fåglar/A 10736-2025 prioriterade fågelarter.docx", "A 10736-2025")</f>
        <v/>
      </c>
    </row>
    <row r="269" ht="15" customHeight="1">
      <c r="A269" t="inlineStr">
        <is>
          <t>A 51910-2024</t>
        </is>
      </c>
      <c r="B269" s="1" t="n">
        <v>45607.59954861111</v>
      </c>
      <c r="C269" s="1" t="n">
        <v>45976</v>
      </c>
      <c r="D269" t="inlineStr">
        <is>
          <t>JÄMTLANDS LÄN</t>
        </is>
      </c>
      <c r="E269" t="inlineStr">
        <is>
          <t>BRÄCKE</t>
        </is>
      </c>
      <c r="G269" t="n">
        <v>2.7</v>
      </c>
      <c r="H269" t="n">
        <v>0</v>
      </c>
      <c r="I269" t="n">
        <v>0</v>
      </c>
      <c r="J269" t="n">
        <v>1</v>
      </c>
      <c r="K269" t="n">
        <v>0</v>
      </c>
      <c r="L269" t="n">
        <v>0</v>
      </c>
      <c r="M269" t="n">
        <v>0</v>
      </c>
      <c r="N269" t="n">
        <v>0</v>
      </c>
      <c r="O269" t="n">
        <v>1</v>
      </c>
      <c r="P269" t="n">
        <v>0</v>
      </c>
      <c r="Q269" t="n">
        <v>1</v>
      </c>
      <c r="R269" s="2" t="inlineStr">
        <is>
          <t>Slåtterfibbla</t>
        </is>
      </c>
      <c r="S269">
        <f>HYPERLINK("https://klasma.github.io/Logging_2305/artfynd/A 51910-2024 artfynd.xlsx", "A 51910-2024")</f>
        <v/>
      </c>
      <c r="T269">
        <f>HYPERLINK("https://klasma.github.io/Logging_2305/kartor/A 51910-2024 karta.png", "A 51910-2024")</f>
        <v/>
      </c>
      <c r="V269">
        <f>HYPERLINK("https://klasma.github.io/Logging_2305/klagomål/A 51910-2024 FSC-klagomål.docx", "A 51910-2024")</f>
        <v/>
      </c>
      <c r="W269">
        <f>HYPERLINK("https://klasma.github.io/Logging_2305/klagomålsmail/A 51910-2024 FSC-klagomål mail.docx", "A 51910-2024")</f>
        <v/>
      </c>
      <c r="X269">
        <f>HYPERLINK("https://klasma.github.io/Logging_2305/tillsyn/A 51910-2024 tillsynsbegäran.docx", "A 51910-2024")</f>
        <v/>
      </c>
      <c r="Y269">
        <f>HYPERLINK("https://klasma.github.io/Logging_2305/tillsynsmail/A 51910-2024 tillsynsbegäran mail.docx", "A 51910-2024")</f>
        <v/>
      </c>
    </row>
    <row r="270" ht="15" customHeight="1">
      <c r="A270" t="inlineStr">
        <is>
          <t>A 2063-2024</t>
        </is>
      </c>
      <c r="B270" s="1" t="n">
        <v>45308</v>
      </c>
      <c r="C270" s="1" t="n">
        <v>45976</v>
      </c>
      <c r="D270" t="inlineStr">
        <is>
          <t>JÄMTLANDS LÄN</t>
        </is>
      </c>
      <c r="E270" t="inlineStr">
        <is>
          <t>BRÄCKE</t>
        </is>
      </c>
      <c r="F270" t="inlineStr">
        <is>
          <t>SCA</t>
        </is>
      </c>
      <c r="G270" t="n">
        <v>5.7</v>
      </c>
      <c r="H270" t="n">
        <v>0</v>
      </c>
      <c r="I270" t="n">
        <v>0</v>
      </c>
      <c r="J270" t="n">
        <v>0</v>
      </c>
      <c r="K270" t="n">
        <v>1</v>
      </c>
      <c r="L270" t="n">
        <v>0</v>
      </c>
      <c r="M270" t="n">
        <v>0</v>
      </c>
      <c r="N270" t="n">
        <v>0</v>
      </c>
      <c r="O270" t="n">
        <v>1</v>
      </c>
      <c r="P270" t="n">
        <v>1</v>
      </c>
      <c r="Q270" t="n">
        <v>1</v>
      </c>
      <c r="R270" s="2" t="inlineStr">
        <is>
          <t>Gräddporing</t>
        </is>
      </c>
      <c r="S270">
        <f>HYPERLINK("https://klasma.github.io/Logging_2305/artfynd/A 2063-2024 artfynd.xlsx", "A 2063-2024")</f>
        <v/>
      </c>
      <c r="T270">
        <f>HYPERLINK("https://klasma.github.io/Logging_2305/kartor/A 2063-2024 karta.png", "A 2063-2024")</f>
        <v/>
      </c>
      <c r="V270">
        <f>HYPERLINK("https://klasma.github.io/Logging_2305/klagomål/A 2063-2024 FSC-klagomål.docx", "A 2063-2024")</f>
        <v/>
      </c>
      <c r="W270">
        <f>HYPERLINK("https://klasma.github.io/Logging_2305/klagomålsmail/A 2063-2024 FSC-klagomål mail.docx", "A 2063-2024")</f>
        <v/>
      </c>
      <c r="X270">
        <f>HYPERLINK("https://klasma.github.io/Logging_2305/tillsyn/A 2063-2024 tillsynsbegäran.docx", "A 2063-2024")</f>
        <v/>
      </c>
      <c r="Y270">
        <f>HYPERLINK("https://klasma.github.io/Logging_2305/tillsynsmail/A 2063-2024 tillsynsbegäran mail.docx", "A 2063-2024")</f>
        <v/>
      </c>
    </row>
    <row r="271" ht="15" customHeight="1">
      <c r="A271" t="inlineStr">
        <is>
          <t>A 12296-2025</t>
        </is>
      </c>
      <c r="B271" s="1" t="n">
        <v>45729.69829861111</v>
      </c>
      <c r="C271" s="1" t="n">
        <v>45976</v>
      </c>
      <c r="D271" t="inlineStr">
        <is>
          <t>JÄMTLANDS LÄN</t>
        </is>
      </c>
      <c r="E271" t="inlineStr">
        <is>
          <t>BRÄCKE</t>
        </is>
      </c>
      <c r="F271" t="inlineStr">
        <is>
          <t>SCA</t>
        </is>
      </c>
      <c r="G271" t="n">
        <v>2.2</v>
      </c>
      <c r="H271" t="n">
        <v>0</v>
      </c>
      <c r="I271" t="n">
        <v>0</v>
      </c>
      <c r="J271" t="n">
        <v>1</v>
      </c>
      <c r="K271" t="n">
        <v>0</v>
      </c>
      <c r="L271" t="n">
        <v>0</v>
      </c>
      <c r="M271" t="n">
        <v>0</v>
      </c>
      <c r="N271" t="n">
        <v>0</v>
      </c>
      <c r="O271" t="n">
        <v>1</v>
      </c>
      <c r="P271" t="n">
        <v>0</v>
      </c>
      <c r="Q271" t="n">
        <v>1</v>
      </c>
      <c r="R271" s="2" t="inlineStr">
        <is>
          <t>Lunglav</t>
        </is>
      </c>
      <c r="S271">
        <f>HYPERLINK("https://klasma.github.io/Logging_2305/artfynd/A 12296-2025 artfynd.xlsx", "A 12296-2025")</f>
        <v/>
      </c>
      <c r="T271">
        <f>HYPERLINK("https://klasma.github.io/Logging_2305/kartor/A 12296-2025 karta.png", "A 12296-2025")</f>
        <v/>
      </c>
      <c r="V271">
        <f>HYPERLINK("https://klasma.github.io/Logging_2305/klagomål/A 12296-2025 FSC-klagomål.docx", "A 12296-2025")</f>
        <v/>
      </c>
      <c r="W271">
        <f>HYPERLINK("https://klasma.github.io/Logging_2305/klagomålsmail/A 12296-2025 FSC-klagomål mail.docx", "A 12296-2025")</f>
        <v/>
      </c>
      <c r="X271">
        <f>HYPERLINK("https://klasma.github.io/Logging_2305/tillsyn/A 12296-2025 tillsynsbegäran.docx", "A 12296-2025")</f>
        <v/>
      </c>
      <c r="Y271">
        <f>HYPERLINK("https://klasma.github.io/Logging_2305/tillsynsmail/A 12296-2025 tillsynsbegäran mail.docx", "A 12296-2025")</f>
        <v/>
      </c>
    </row>
    <row r="272" ht="15" customHeight="1">
      <c r="A272" t="inlineStr">
        <is>
          <t>A 15366-2022</t>
        </is>
      </c>
      <c r="B272" s="1" t="n">
        <v>44659</v>
      </c>
      <c r="C272" s="1" t="n">
        <v>45976</v>
      </c>
      <c r="D272" t="inlineStr">
        <is>
          <t>JÄMTLANDS LÄN</t>
        </is>
      </c>
      <c r="E272" t="inlineStr">
        <is>
          <t>BRÄCKE</t>
        </is>
      </c>
      <c r="G272" t="n">
        <v>3.3</v>
      </c>
      <c r="H272" t="n">
        <v>1</v>
      </c>
      <c r="I272" t="n">
        <v>0</v>
      </c>
      <c r="J272" t="n">
        <v>0</v>
      </c>
      <c r="K272" t="n">
        <v>0</v>
      </c>
      <c r="L272" t="n">
        <v>0</v>
      </c>
      <c r="M272" t="n">
        <v>0</v>
      </c>
      <c r="N272" t="n">
        <v>0</v>
      </c>
      <c r="O272" t="n">
        <v>0</v>
      </c>
      <c r="P272" t="n">
        <v>0</v>
      </c>
      <c r="Q272" t="n">
        <v>1</v>
      </c>
      <c r="R272" s="2" t="inlineStr">
        <is>
          <t>Brudsporre</t>
        </is>
      </c>
      <c r="S272">
        <f>HYPERLINK("https://klasma.github.io/Logging_2305/artfynd/A 15366-2022 artfynd.xlsx", "A 15366-2022")</f>
        <v/>
      </c>
      <c r="T272">
        <f>HYPERLINK("https://klasma.github.io/Logging_2305/kartor/A 15366-2022 karta.png", "A 15366-2022")</f>
        <v/>
      </c>
      <c r="V272">
        <f>HYPERLINK("https://klasma.github.io/Logging_2305/klagomål/A 15366-2022 FSC-klagomål.docx", "A 15366-2022")</f>
        <v/>
      </c>
      <c r="W272">
        <f>HYPERLINK("https://klasma.github.io/Logging_2305/klagomålsmail/A 15366-2022 FSC-klagomål mail.docx", "A 15366-2022")</f>
        <v/>
      </c>
      <c r="X272">
        <f>HYPERLINK("https://klasma.github.io/Logging_2305/tillsyn/A 15366-2022 tillsynsbegäran.docx", "A 15366-2022")</f>
        <v/>
      </c>
      <c r="Y272">
        <f>HYPERLINK("https://klasma.github.io/Logging_2305/tillsynsmail/A 15366-2022 tillsynsbegäran mail.docx", "A 15366-2022")</f>
        <v/>
      </c>
    </row>
    <row r="273" ht="15" customHeight="1">
      <c r="A273" t="inlineStr">
        <is>
          <t>A 9816-2024</t>
        </is>
      </c>
      <c r="B273" s="1" t="n">
        <v>45363.04525462963</v>
      </c>
      <c r="C273" s="1" t="n">
        <v>45976</v>
      </c>
      <c r="D273" t="inlineStr">
        <is>
          <t>JÄMTLANDS LÄN</t>
        </is>
      </c>
      <c r="E273" t="inlineStr">
        <is>
          <t>BRÄCKE</t>
        </is>
      </c>
      <c r="F273" t="inlineStr">
        <is>
          <t>SCA</t>
        </is>
      </c>
      <c r="G273" t="n">
        <v>2.1</v>
      </c>
      <c r="H273" t="n">
        <v>1</v>
      </c>
      <c r="I273" t="n">
        <v>0</v>
      </c>
      <c r="J273" t="n">
        <v>0</v>
      </c>
      <c r="K273" t="n">
        <v>1</v>
      </c>
      <c r="L273" t="n">
        <v>0</v>
      </c>
      <c r="M273" t="n">
        <v>0</v>
      </c>
      <c r="N273" t="n">
        <v>0</v>
      </c>
      <c r="O273" t="n">
        <v>1</v>
      </c>
      <c r="P273" t="n">
        <v>1</v>
      </c>
      <c r="Q273" t="n">
        <v>1</v>
      </c>
      <c r="R273" s="2" t="inlineStr">
        <is>
          <t>Knärot</t>
        </is>
      </c>
      <c r="S273">
        <f>HYPERLINK("https://klasma.github.io/Logging_2305/artfynd/A 9816-2024 artfynd.xlsx", "A 9816-2024")</f>
        <v/>
      </c>
      <c r="T273">
        <f>HYPERLINK("https://klasma.github.io/Logging_2305/kartor/A 9816-2024 karta.png", "A 9816-2024")</f>
        <v/>
      </c>
      <c r="U273">
        <f>HYPERLINK("https://klasma.github.io/Logging_2305/knärot/A 9816-2024 karta knärot.png", "A 9816-2024")</f>
        <v/>
      </c>
      <c r="V273">
        <f>HYPERLINK("https://klasma.github.io/Logging_2305/klagomål/A 9816-2024 FSC-klagomål.docx", "A 9816-2024")</f>
        <v/>
      </c>
      <c r="W273">
        <f>HYPERLINK("https://klasma.github.io/Logging_2305/klagomålsmail/A 9816-2024 FSC-klagomål mail.docx", "A 9816-2024")</f>
        <v/>
      </c>
      <c r="X273">
        <f>HYPERLINK("https://klasma.github.io/Logging_2305/tillsyn/A 9816-2024 tillsynsbegäran.docx", "A 9816-2024")</f>
        <v/>
      </c>
      <c r="Y273">
        <f>HYPERLINK("https://klasma.github.io/Logging_2305/tillsynsmail/A 9816-2024 tillsynsbegäran mail.docx", "A 9816-2024")</f>
        <v/>
      </c>
    </row>
    <row r="274" ht="15" customHeight="1">
      <c r="A274" t="inlineStr">
        <is>
          <t>A 49040-2023</t>
        </is>
      </c>
      <c r="B274" s="1" t="n">
        <v>45209</v>
      </c>
      <c r="C274" s="1" t="n">
        <v>45976</v>
      </c>
      <c r="D274" t="inlineStr">
        <is>
          <t>JÄMTLANDS LÄN</t>
        </is>
      </c>
      <c r="E274" t="inlineStr">
        <is>
          <t>BRÄCKE</t>
        </is>
      </c>
      <c r="F274" t="inlineStr">
        <is>
          <t>SCA</t>
        </is>
      </c>
      <c r="G274" t="n">
        <v>4.2</v>
      </c>
      <c r="H274" t="n">
        <v>0</v>
      </c>
      <c r="I274" t="n">
        <v>0</v>
      </c>
      <c r="J274" t="n">
        <v>1</v>
      </c>
      <c r="K274" t="n">
        <v>0</v>
      </c>
      <c r="L274" t="n">
        <v>0</v>
      </c>
      <c r="M274" t="n">
        <v>0</v>
      </c>
      <c r="N274" t="n">
        <v>0</v>
      </c>
      <c r="O274" t="n">
        <v>1</v>
      </c>
      <c r="P274" t="n">
        <v>0</v>
      </c>
      <c r="Q274" t="n">
        <v>1</v>
      </c>
      <c r="R274" s="2" t="inlineStr">
        <is>
          <t>Lunglav</t>
        </is>
      </c>
      <c r="S274">
        <f>HYPERLINK("https://klasma.github.io/Logging_2305/artfynd/A 49040-2023 artfynd.xlsx", "A 49040-2023")</f>
        <v/>
      </c>
      <c r="T274">
        <f>HYPERLINK("https://klasma.github.io/Logging_2305/kartor/A 49040-2023 karta.png", "A 49040-2023")</f>
        <v/>
      </c>
      <c r="V274">
        <f>HYPERLINK("https://klasma.github.io/Logging_2305/klagomål/A 49040-2023 FSC-klagomål.docx", "A 49040-2023")</f>
        <v/>
      </c>
      <c r="W274">
        <f>HYPERLINK("https://klasma.github.io/Logging_2305/klagomålsmail/A 49040-2023 FSC-klagomål mail.docx", "A 49040-2023")</f>
        <v/>
      </c>
      <c r="X274">
        <f>HYPERLINK("https://klasma.github.io/Logging_2305/tillsyn/A 49040-2023 tillsynsbegäran.docx", "A 49040-2023")</f>
        <v/>
      </c>
      <c r="Y274">
        <f>HYPERLINK("https://klasma.github.io/Logging_2305/tillsynsmail/A 49040-2023 tillsynsbegäran mail.docx", "A 49040-2023")</f>
        <v/>
      </c>
    </row>
    <row r="275" ht="15" customHeight="1">
      <c r="A275" t="inlineStr">
        <is>
          <t>A 17996-2025</t>
        </is>
      </c>
      <c r="B275" s="1" t="n">
        <v>45761.40716435185</v>
      </c>
      <c r="C275" s="1" t="n">
        <v>45976</v>
      </c>
      <c r="D275" t="inlineStr">
        <is>
          <t>JÄMTLANDS LÄN</t>
        </is>
      </c>
      <c r="E275" t="inlineStr">
        <is>
          <t>BRÄCKE</t>
        </is>
      </c>
      <c r="F275" t="inlineStr">
        <is>
          <t>SCA</t>
        </is>
      </c>
      <c r="G275" t="n">
        <v>1.3</v>
      </c>
      <c r="H275" t="n">
        <v>0</v>
      </c>
      <c r="I275" t="n">
        <v>1</v>
      </c>
      <c r="J275" t="n">
        <v>0</v>
      </c>
      <c r="K275" t="n">
        <v>0</v>
      </c>
      <c r="L275" t="n">
        <v>0</v>
      </c>
      <c r="M275" t="n">
        <v>0</v>
      </c>
      <c r="N275" t="n">
        <v>0</v>
      </c>
      <c r="O275" t="n">
        <v>0</v>
      </c>
      <c r="P275" t="n">
        <v>0</v>
      </c>
      <c r="Q275" t="n">
        <v>1</v>
      </c>
      <c r="R275" s="2" t="inlineStr">
        <is>
          <t>Rödgul trumpetsvamp</t>
        </is>
      </c>
      <c r="S275">
        <f>HYPERLINK("https://klasma.github.io/Logging_2305/artfynd/A 17996-2025 artfynd.xlsx", "A 17996-2025")</f>
        <v/>
      </c>
      <c r="T275">
        <f>HYPERLINK("https://klasma.github.io/Logging_2305/kartor/A 17996-2025 karta.png", "A 17996-2025")</f>
        <v/>
      </c>
      <c r="V275">
        <f>HYPERLINK("https://klasma.github.io/Logging_2305/klagomål/A 17996-2025 FSC-klagomål.docx", "A 17996-2025")</f>
        <v/>
      </c>
      <c r="W275">
        <f>HYPERLINK("https://klasma.github.io/Logging_2305/klagomålsmail/A 17996-2025 FSC-klagomål mail.docx", "A 17996-2025")</f>
        <v/>
      </c>
      <c r="X275">
        <f>HYPERLINK("https://klasma.github.io/Logging_2305/tillsyn/A 17996-2025 tillsynsbegäran.docx", "A 17996-2025")</f>
        <v/>
      </c>
      <c r="Y275">
        <f>HYPERLINK("https://klasma.github.io/Logging_2305/tillsynsmail/A 17996-2025 tillsynsbegäran mail.docx", "A 17996-2025")</f>
        <v/>
      </c>
    </row>
    <row r="276" ht="15" customHeight="1">
      <c r="A276" t="inlineStr">
        <is>
          <t>A 36312-2024</t>
        </is>
      </c>
      <c r="B276" s="1" t="n">
        <v>45534.63096064814</v>
      </c>
      <c r="C276" s="1" t="n">
        <v>45976</v>
      </c>
      <c r="D276" t="inlineStr">
        <is>
          <t>JÄMTLANDS LÄN</t>
        </is>
      </c>
      <c r="E276" t="inlineStr">
        <is>
          <t>BRÄCKE</t>
        </is>
      </c>
      <c r="F276" t="inlineStr">
        <is>
          <t>SCA</t>
        </is>
      </c>
      <c r="G276" t="n">
        <v>9.9</v>
      </c>
      <c r="H276" t="n">
        <v>0</v>
      </c>
      <c r="I276" t="n">
        <v>0</v>
      </c>
      <c r="J276" t="n">
        <v>1</v>
      </c>
      <c r="K276" t="n">
        <v>0</v>
      </c>
      <c r="L276" t="n">
        <v>0</v>
      </c>
      <c r="M276" t="n">
        <v>0</v>
      </c>
      <c r="N276" t="n">
        <v>0</v>
      </c>
      <c r="O276" t="n">
        <v>1</v>
      </c>
      <c r="P276" t="n">
        <v>0</v>
      </c>
      <c r="Q276" t="n">
        <v>1</v>
      </c>
      <c r="R276" s="2" t="inlineStr">
        <is>
          <t>Lunglav</t>
        </is>
      </c>
      <c r="S276">
        <f>HYPERLINK("https://klasma.github.io/Logging_2305/artfynd/A 36312-2024 artfynd.xlsx", "A 36312-2024")</f>
        <v/>
      </c>
      <c r="T276">
        <f>HYPERLINK("https://klasma.github.io/Logging_2305/kartor/A 36312-2024 karta.png", "A 36312-2024")</f>
        <v/>
      </c>
      <c r="V276">
        <f>HYPERLINK("https://klasma.github.io/Logging_2305/klagomål/A 36312-2024 FSC-klagomål.docx", "A 36312-2024")</f>
        <v/>
      </c>
      <c r="W276">
        <f>HYPERLINK("https://klasma.github.io/Logging_2305/klagomålsmail/A 36312-2024 FSC-klagomål mail.docx", "A 36312-2024")</f>
        <v/>
      </c>
      <c r="X276">
        <f>HYPERLINK("https://klasma.github.io/Logging_2305/tillsyn/A 36312-2024 tillsynsbegäran.docx", "A 36312-2024")</f>
        <v/>
      </c>
      <c r="Y276">
        <f>HYPERLINK("https://klasma.github.io/Logging_2305/tillsynsmail/A 36312-2024 tillsynsbegäran mail.docx", "A 36312-2024")</f>
        <v/>
      </c>
    </row>
    <row r="277" ht="15" customHeight="1">
      <c r="A277" t="inlineStr">
        <is>
          <t>A 40835-2025</t>
        </is>
      </c>
      <c r="B277" s="1" t="n">
        <v>45897.5114699074</v>
      </c>
      <c r="C277" s="1" t="n">
        <v>45976</v>
      </c>
      <c r="D277" t="inlineStr">
        <is>
          <t>JÄMTLANDS LÄN</t>
        </is>
      </c>
      <c r="E277" t="inlineStr">
        <is>
          <t>BRÄCKE</t>
        </is>
      </c>
      <c r="F277" t="inlineStr">
        <is>
          <t>SCA</t>
        </is>
      </c>
      <c r="G277" t="n">
        <v>1.3</v>
      </c>
      <c r="H277" t="n">
        <v>0</v>
      </c>
      <c r="I277" t="n">
        <v>0</v>
      </c>
      <c r="J277" t="n">
        <v>1</v>
      </c>
      <c r="K277" t="n">
        <v>0</v>
      </c>
      <c r="L277" t="n">
        <v>0</v>
      </c>
      <c r="M277" t="n">
        <v>0</v>
      </c>
      <c r="N277" t="n">
        <v>0</v>
      </c>
      <c r="O277" t="n">
        <v>1</v>
      </c>
      <c r="P277" t="n">
        <v>0</v>
      </c>
      <c r="Q277" t="n">
        <v>1</v>
      </c>
      <c r="R277" s="2" t="inlineStr">
        <is>
          <t>Kolflarnlav</t>
        </is>
      </c>
      <c r="S277">
        <f>HYPERLINK("https://klasma.github.io/Logging_2305/artfynd/A 40835-2025 artfynd.xlsx", "A 40835-2025")</f>
        <v/>
      </c>
      <c r="T277">
        <f>HYPERLINK("https://klasma.github.io/Logging_2305/kartor/A 40835-2025 karta.png", "A 40835-2025")</f>
        <v/>
      </c>
      <c r="V277">
        <f>HYPERLINK("https://klasma.github.io/Logging_2305/klagomål/A 40835-2025 FSC-klagomål.docx", "A 40835-2025")</f>
        <v/>
      </c>
      <c r="W277">
        <f>HYPERLINK("https://klasma.github.io/Logging_2305/klagomålsmail/A 40835-2025 FSC-klagomål mail.docx", "A 40835-2025")</f>
        <v/>
      </c>
      <c r="X277">
        <f>HYPERLINK("https://klasma.github.io/Logging_2305/tillsyn/A 40835-2025 tillsynsbegäran.docx", "A 40835-2025")</f>
        <v/>
      </c>
      <c r="Y277">
        <f>HYPERLINK("https://klasma.github.io/Logging_2305/tillsynsmail/A 40835-2025 tillsynsbegäran mail.docx", "A 40835-2025")</f>
        <v/>
      </c>
    </row>
    <row r="278" ht="15" customHeight="1">
      <c r="A278" t="inlineStr">
        <is>
          <t>A 9994-2021</t>
        </is>
      </c>
      <c r="B278" s="1" t="n">
        <v>44254</v>
      </c>
      <c r="C278" s="1" t="n">
        <v>45976</v>
      </c>
      <c r="D278" t="inlineStr">
        <is>
          <t>JÄMTLANDS LÄN</t>
        </is>
      </c>
      <c r="E278" t="inlineStr">
        <is>
          <t>BRÄCKE</t>
        </is>
      </c>
      <c r="F278" t="inlineStr">
        <is>
          <t>SCA</t>
        </is>
      </c>
      <c r="G278" t="n">
        <v>2.3</v>
      </c>
      <c r="H278" t="n">
        <v>0</v>
      </c>
      <c r="I278" t="n">
        <v>0</v>
      </c>
      <c r="J278" t="n">
        <v>0</v>
      </c>
      <c r="K278" t="n">
        <v>1</v>
      </c>
      <c r="L278" t="n">
        <v>0</v>
      </c>
      <c r="M278" t="n">
        <v>0</v>
      </c>
      <c r="N278" t="n">
        <v>0</v>
      </c>
      <c r="O278" t="n">
        <v>1</v>
      </c>
      <c r="P278" t="n">
        <v>1</v>
      </c>
      <c r="Q278" t="n">
        <v>1</v>
      </c>
      <c r="R278" s="2" t="inlineStr">
        <is>
          <t>Rynkskinn</t>
        </is>
      </c>
      <c r="S278">
        <f>HYPERLINK("https://klasma.github.io/Logging_2305/artfynd/A 9994-2021 artfynd.xlsx", "A 9994-2021")</f>
        <v/>
      </c>
      <c r="T278">
        <f>HYPERLINK("https://klasma.github.io/Logging_2305/kartor/A 9994-2021 karta.png", "A 9994-2021")</f>
        <v/>
      </c>
      <c r="V278">
        <f>HYPERLINK("https://klasma.github.io/Logging_2305/klagomål/A 9994-2021 FSC-klagomål.docx", "A 9994-2021")</f>
        <v/>
      </c>
      <c r="W278">
        <f>HYPERLINK("https://klasma.github.io/Logging_2305/klagomålsmail/A 9994-2021 FSC-klagomål mail.docx", "A 9994-2021")</f>
        <v/>
      </c>
      <c r="X278">
        <f>HYPERLINK("https://klasma.github.io/Logging_2305/tillsyn/A 9994-2021 tillsynsbegäran.docx", "A 9994-2021")</f>
        <v/>
      </c>
      <c r="Y278">
        <f>HYPERLINK("https://klasma.github.io/Logging_2305/tillsynsmail/A 9994-2021 tillsynsbegäran mail.docx", "A 9994-2021")</f>
        <v/>
      </c>
    </row>
    <row r="279" ht="15" customHeight="1">
      <c r="A279" t="inlineStr">
        <is>
          <t>A 40842-2025</t>
        </is>
      </c>
      <c r="B279" s="1" t="n">
        <v>45897.53200231482</v>
      </c>
      <c r="C279" s="1" t="n">
        <v>45976</v>
      </c>
      <c r="D279" t="inlineStr">
        <is>
          <t>JÄMTLANDS LÄN</t>
        </is>
      </c>
      <c r="E279" t="inlineStr">
        <is>
          <t>BRÄCKE</t>
        </is>
      </c>
      <c r="F279" t="inlineStr">
        <is>
          <t>SCA</t>
        </is>
      </c>
      <c r="G279" t="n">
        <v>0.5</v>
      </c>
      <c r="H279" t="n">
        <v>0</v>
      </c>
      <c r="I279" t="n">
        <v>0</v>
      </c>
      <c r="J279" t="n">
        <v>1</v>
      </c>
      <c r="K279" t="n">
        <v>0</v>
      </c>
      <c r="L279" t="n">
        <v>0</v>
      </c>
      <c r="M279" t="n">
        <v>0</v>
      </c>
      <c r="N279" t="n">
        <v>0</v>
      </c>
      <c r="O279" t="n">
        <v>1</v>
      </c>
      <c r="P279" t="n">
        <v>0</v>
      </c>
      <c r="Q279" t="n">
        <v>1</v>
      </c>
      <c r="R279" s="2" t="inlineStr">
        <is>
          <t>Lunglav</t>
        </is>
      </c>
      <c r="S279">
        <f>HYPERLINK("https://klasma.github.io/Logging_2305/artfynd/A 40842-2025 artfynd.xlsx", "A 40842-2025")</f>
        <v/>
      </c>
      <c r="T279">
        <f>HYPERLINK("https://klasma.github.io/Logging_2305/kartor/A 40842-2025 karta.png", "A 40842-2025")</f>
        <v/>
      </c>
      <c r="V279">
        <f>HYPERLINK("https://klasma.github.io/Logging_2305/klagomål/A 40842-2025 FSC-klagomål.docx", "A 40842-2025")</f>
        <v/>
      </c>
      <c r="W279">
        <f>HYPERLINK("https://klasma.github.io/Logging_2305/klagomålsmail/A 40842-2025 FSC-klagomål mail.docx", "A 40842-2025")</f>
        <v/>
      </c>
      <c r="X279">
        <f>HYPERLINK("https://klasma.github.io/Logging_2305/tillsyn/A 40842-2025 tillsynsbegäran.docx", "A 40842-2025")</f>
        <v/>
      </c>
      <c r="Y279">
        <f>HYPERLINK("https://klasma.github.io/Logging_2305/tillsynsmail/A 40842-2025 tillsynsbegäran mail.docx", "A 40842-2025")</f>
        <v/>
      </c>
    </row>
    <row r="280" ht="15" customHeight="1">
      <c r="A280" t="inlineStr">
        <is>
          <t>A 55931-2023</t>
        </is>
      </c>
      <c r="B280" s="1" t="n">
        <v>45239</v>
      </c>
      <c r="C280" s="1" t="n">
        <v>45976</v>
      </c>
      <c r="D280" t="inlineStr">
        <is>
          <t>JÄMTLANDS LÄN</t>
        </is>
      </c>
      <c r="E280" t="inlineStr">
        <is>
          <t>BRÄCKE</t>
        </is>
      </c>
      <c r="F280" t="inlineStr">
        <is>
          <t>Kyrkan</t>
        </is>
      </c>
      <c r="G280" t="n">
        <v>1.2</v>
      </c>
      <c r="H280" t="n">
        <v>0</v>
      </c>
      <c r="I280" t="n">
        <v>0</v>
      </c>
      <c r="J280" t="n">
        <v>1</v>
      </c>
      <c r="K280" t="n">
        <v>0</v>
      </c>
      <c r="L280" t="n">
        <v>0</v>
      </c>
      <c r="M280" t="n">
        <v>0</v>
      </c>
      <c r="N280" t="n">
        <v>0</v>
      </c>
      <c r="O280" t="n">
        <v>1</v>
      </c>
      <c r="P280" t="n">
        <v>0</v>
      </c>
      <c r="Q280" t="n">
        <v>1</v>
      </c>
      <c r="R280" s="2" t="inlineStr">
        <is>
          <t>Harticka</t>
        </is>
      </c>
      <c r="S280">
        <f>HYPERLINK("https://klasma.github.io/Logging_2305/artfynd/A 55931-2023 artfynd.xlsx", "A 55931-2023")</f>
        <v/>
      </c>
      <c r="T280">
        <f>HYPERLINK("https://klasma.github.io/Logging_2305/kartor/A 55931-2023 karta.png", "A 55931-2023")</f>
        <v/>
      </c>
      <c r="V280">
        <f>HYPERLINK("https://klasma.github.io/Logging_2305/klagomål/A 55931-2023 FSC-klagomål.docx", "A 55931-2023")</f>
        <v/>
      </c>
      <c r="W280">
        <f>HYPERLINK("https://klasma.github.io/Logging_2305/klagomålsmail/A 55931-2023 FSC-klagomål mail.docx", "A 55931-2023")</f>
        <v/>
      </c>
      <c r="X280">
        <f>HYPERLINK("https://klasma.github.io/Logging_2305/tillsyn/A 55931-2023 tillsynsbegäran.docx", "A 55931-2023")</f>
        <v/>
      </c>
      <c r="Y280">
        <f>HYPERLINK("https://klasma.github.io/Logging_2305/tillsynsmail/A 55931-2023 tillsynsbegäran mail.docx", "A 55931-2023")</f>
        <v/>
      </c>
    </row>
    <row r="281" ht="15" customHeight="1">
      <c r="A281" t="inlineStr">
        <is>
          <t>A 40792-2025</t>
        </is>
      </c>
      <c r="B281" s="1" t="n">
        <v>45897.44855324074</v>
      </c>
      <c r="C281" s="1" t="n">
        <v>45976</v>
      </c>
      <c r="D281" t="inlineStr">
        <is>
          <t>JÄMTLANDS LÄN</t>
        </is>
      </c>
      <c r="E281" t="inlineStr">
        <is>
          <t>BRÄCKE</t>
        </is>
      </c>
      <c r="F281" t="inlineStr">
        <is>
          <t>SCA</t>
        </is>
      </c>
      <c r="G281" t="n">
        <v>1.7</v>
      </c>
      <c r="H281" t="n">
        <v>0</v>
      </c>
      <c r="I281" t="n">
        <v>0</v>
      </c>
      <c r="J281" t="n">
        <v>1</v>
      </c>
      <c r="K281" t="n">
        <v>0</v>
      </c>
      <c r="L281" t="n">
        <v>0</v>
      </c>
      <c r="M281" t="n">
        <v>0</v>
      </c>
      <c r="N281" t="n">
        <v>0</v>
      </c>
      <c r="O281" t="n">
        <v>1</v>
      </c>
      <c r="P281" t="n">
        <v>0</v>
      </c>
      <c r="Q281" t="n">
        <v>1</v>
      </c>
      <c r="R281" s="2" t="inlineStr">
        <is>
          <t>Lunglav</t>
        </is>
      </c>
      <c r="S281">
        <f>HYPERLINK("https://klasma.github.io/Logging_2305/artfynd/A 40792-2025 artfynd.xlsx", "A 40792-2025")</f>
        <v/>
      </c>
      <c r="T281">
        <f>HYPERLINK("https://klasma.github.io/Logging_2305/kartor/A 40792-2025 karta.png", "A 40792-2025")</f>
        <v/>
      </c>
      <c r="V281">
        <f>HYPERLINK("https://klasma.github.io/Logging_2305/klagomål/A 40792-2025 FSC-klagomål.docx", "A 40792-2025")</f>
        <v/>
      </c>
      <c r="W281">
        <f>HYPERLINK("https://klasma.github.io/Logging_2305/klagomålsmail/A 40792-2025 FSC-klagomål mail.docx", "A 40792-2025")</f>
        <v/>
      </c>
      <c r="X281">
        <f>HYPERLINK("https://klasma.github.io/Logging_2305/tillsyn/A 40792-2025 tillsynsbegäran.docx", "A 40792-2025")</f>
        <v/>
      </c>
      <c r="Y281">
        <f>HYPERLINK("https://klasma.github.io/Logging_2305/tillsynsmail/A 40792-2025 tillsynsbegäran mail.docx", "A 40792-2025")</f>
        <v/>
      </c>
    </row>
    <row r="282" ht="15" customHeight="1">
      <c r="A282" t="inlineStr">
        <is>
          <t>A 40914-2025</t>
        </is>
      </c>
      <c r="B282" s="1" t="n">
        <v>45897.61741898148</v>
      </c>
      <c r="C282" s="1" t="n">
        <v>45976</v>
      </c>
      <c r="D282" t="inlineStr">
        <is>
          <t>JÄMTLANDS LÄN</t>
        </is>
      </c>
      <c r="E282" t="inlineStr">
        <is>
          <t>BRÄCKE</t>
        </is>
      </c>
      <c r="F282" t="inlineStr">
        <is>
          <t>SCA</t>
        </is>
      </c>
      <c r="G282" t="n">
        <v>2.1</v>
      </c>
      <c r="H282" t="n">
        <v>0</v>
      </c>
      <c r="I282" t="n">
        <v>0</v>
      </c>
      <c r="J282" t="n">
        <v>1</v>
      </c>
      <c r="K282" t="n">
        <v>0</v>
      </c>
      <c r="L282" t="n">
        <v>0</v>
      </c>
      <c r="M282" t="n">
        <v>0</v>
      </c>
      <c r="N282" t="n">
        <v>0</v>
      </c>
      <c r="O282" t="n">
        <v>1</v>
      </c>
      <c r="P282" t="n">
        <v>0</v>
      </c>
      <c r="Q282" t="n">
        <v>1</v>
      </c>
      <c r="R282" s="2" t="inlineStr">
        <is>
          <t>Lunglav</t>
        </is>
      </c>
      <c r="S282">
        <f>HYPERLINK("https://klasma.github.io/Logging_2305/artfynd/A 40914-2025 artfynd.xlsx", "A 40914-2025")</f>
        <v/>
      </c>
      <c r="T282">
        <f>HYPERLINK("https://klasma.github.io/Logging_2305/kartor/A 40914-2025 karta.png", "A 40914-2025")</f>
        <v/>
      </c>
      <c r="V282">
        <f>HYPERLINK("https://klasma.github.io/Logging_2305/klagomål/A 40914-2025 FSC-klagomål.docx", "A 40914-2025")</f>
        <v/>
      </c>
      <c r="W282">
        <f>HYPERLINK("https://klasma.github.io/Logging_2305/klagomålsmail/A 40914-2025 FSC-klagomål mail.docx", "A 40914-2025")</f>
        <v/>
      </c>
      <c r="X282">
        <f>HYPERLINK("https://klasma.github.io/Logging_2305/tillsyn/A 40914-2025 tillsynsbegäran.docx", "A 40914-2025")</f>
        <v/>
      </c>
      <c r="Y282">
        <f>HYPERLINK("https://klasma.github.io/Logging_2305/tillsynsmail/A 40914-2025 tillsynsbegäran mail.docx", "A 40914-2025")</f>
        <v/>
      </c>
    </row>
    <row r="283" ht="15" customHeight="1">
      <c r="A283" t="inlineStr">
        <is>
          <t>A 7686-2025</t>
        </is>
      </c>
      <c r="B283" s="1" t="n">
        <v>45706.38579861111</v>
      </c>
      <c r="C283" s="1" t="n">
        <v>45976</v>
      </c>
      <c r="D283" t="inlineStr">
        <is>
          <t>JÄMTLANDS LÄN</t>
        </is>
      </c>
      <c r="E283" t="inlineStr">
        <is>
          <t>BRÄCKE</t>
        </is>
      </c>
      <c r="F283" t="inlineStr">
        <is>
          <t>SCA</t>
        </is>
      </c>
      <c r="G283" t="n">
        <v>1</v>
      </c>
      <c r="H283" t="n">
        <v>1</v>
      </c>
      <c r="I283" t="n">
        <v>0</v>
      </c>
      <c r="J283" t="n">
        <v>0</v>
      </c>
      <c r="K283" t="n">
        <v>1</v>
      </c>
      <c r="L283" t="n">
        <v>0</v>
      </c>
      <c r="M283" t="n">
        <v>0</v>
      </c>
      <c r="N283" t="n">
        <v>0</v>
      </c>
      <c r="O283" t="n">
        <v>1</v>
      </c>
      <c r="P283" t="n">
        <v>1</v>
      </c>
      <c r="Q283" t="n">
        <v>1</v>
      </c>
      <c r="R283" s="2" t="inlineStr">
        <is>
          <t>Knärot</t>
        </is>
      </c>
      <c r="S283">
        <f>HYPERLINK("https://klasma.github.io/Logging_2305/artfynd/A 7686-2025 artfynd.xlsx", "A 7686-2025")</f>
        <v/>
      </c>
      <c r="T283">
        <f>HYPERLINK("https://klasma.github.io/Logging_2305/kartor/A 7686-2025 karta.png", "A 7686-2025")</f>
        <v/>
      </c>
      <c r="U283">
        <f>HYPERLINK("https://klasma.github.io/Logging_2305/knärot/A 7686-2025 karta knärot.png", "A 7686-2025")</f>
        <v/>
      </c>
      <c r="V283">
        <f>HYPERLINK("https://klasma.github.io/Logging_2305/klagomål/A 7686-2025 FSC-klagomål.docx", "A 7686-2025")</f>
        <v/>
      </c>
      <c r="W283">
        <f>HYPERLINK("https://klasma.github.io/Logging_2305/klagomålsmail/A 7686-2025 FSC-klagomål mail.docx", "A 7686-2025")</f>
        <v/>
      </c>
      <c r="X283">
        <f>HYPERLINK("https://klasma.github.io/Logging_2305/tillsyn/A 7686-2025 tillsynsbegäran.docx", "A 7686-2025")</f>
        <v/>
      </c>
      <c r="Y283">
        <f>HYPERLINK("https://klasma.github.io/Logging_2305/tillsynsmail/A 7686-2025 tillsynsbegäran mail.docx", "A 7686-2025")</f>
        <v/>
      </c>
    </row>
    <row r="284" ht="15" customHeight="1">
      <c r="A284" t="inlineStr">
        <is>
          <t>A 15076-2022</t>
        </is>
      </c>
      <c r="B284" s="1" t="n">
        <v>44657</v>
      </c>
      <c r="C284" s="1" t="n">
        <v>45976</v>
      </c>
      <c r="D284" t="inlineStr">
        <is>
          <t>JÄMTLANDS LÄN</t>
        </is>
      </c>
      <c r="E284" t="inlineStr">
        <is>
          <t>BRÄCKE</t>
        </is>
      </c>
      <c r="G284" t="n">
        <v>24.7</v>
      </c>
      <c r="H284" t="n">
        <v>0</v>
      </c>
      <c r="I284" t="n">
        <v>0</v>
      </c>
      <c r="J284" t="n">
        <v>1</v>
      </c>
      <c r="K284" t="n">
        <v>0</v>
      </c>
      <c r="L284" t="n">
        <v>0</v>
      </c>
      <c r="M284" t="n">
        <v>0</v>
      </c>
      <c r="N284" t="n">
        <v>0</v>
      </c>
      <c r="O284" t="n">
        <v>1</v>
      </c>
      <c r="P284" t="n">
        <v>0</v>
      </c>
      <c r="Q284" t="n">
        <v>1</v>
      </c>
      <c r="R284" s="2" t="inlineStr">
        <is>
          <t>Skrovellav</t>
        </is>
      </c>
      <c r="S284">
        <f>HYPERLINK("https://klasma.github.io/Logging_2305/artfynd/A 15076-2022 artfynd.xlsx", "A 15076-2022")</f>
        <v/>
      </c>
      <c r="T284">
        <f>HYPERLINK("https://klasma.github.io/Logging_2305/kartor/A 15076-2022 karta.png", "A 15076-2022")</f>
        <v/>
      </c>
      <c r="V284">
        <f>HYPERLINK("https://klasma.github.io/Logging_2305/klagomål/A 15076-2022 FSC-klagomål.docx", "A 15076-2022")</f>
        <v/>
      </c>
      <c r="W284">
        <f>HYPERLINK("https://klasma.github.io/Logging_2305/klagomålsmail/A 15076-2022 FSC-klagomål mail.docx", "A 15076-2022")</f>
        <v/>
      </c>
      <c r="X284">
        <f>HYPERLINK("https://klasma.github.io/Logging_2305/tillsyn/A 15076-2022 tillsynsbegäran.docx", "A 15076-2022")</f>
        <v/>
      </c>
      <c r="Y284">
        <f>HYPERLINK("https://klasma.github.io/Logging_2305/tillsynsmail/A 15076-2022 tillsynsbegäran mail.docx", "A 15076-2022")</f>
        <v/>
      </c>
    </row>
    <row r="285" ht="15" customHeight="1">
      <c r="A285" t="inlineStr">
        <is>
          <t>A 19431-2021</t>
        </is>
      </c>
      <c r="B285" s="1" t="n">
        <v>44309</v>
      </c>
      <c r="C285" s="1" t="n">
        <v>45976</v>
      </c>
      <c r="D285" t="inlineStr">
        <is>
          <t>JÄMTLANDS LÄN</t>
        </is>
      </c>
      <c r="E285" t="inlineStr">
        <is>
          <t>BRÄCKE</t>
        </is>
      </c>
      <c r="G285" t="n">
        <v>4.8</v>
      </c>
      <c r="H285" t="n">
        <v>1</v>
      </c>
      <c r="I285" t="n">
        <v>0</v>
      </c>
      <c r="J285" t="n">
        <v>1</v>
      </c>
      <c r="K285" t="n">
        <v>0</v>
      </c>
      <c r="L285" t="n">
        <v>0</v>
      </c>
      <c r="M285" t="n">
        <v>0</v>
      </c>
      <c r="N285" t="n">
        <v>0</v>
      </c>
      <c r="O285" t="n">
        <v>1</v>
      </c>
      <c r="P285" t="n">
        <v>0</v>
      </c>
      <c r="Q285" t="n">
        <v>1</v>
      </c>
      <c r="R285" s="2" t="inlineStr">
        <is>
          <t>Utter</t>
        </is>
      </c>
      <c r="S285">
        <f>HYPERLINK("https://klasma.github.io/Logging_2305/artfynd/A 19431-2021 artfynd.xlsx", "A 19431-2021")</f>
        <v/>
      </c>
      <c r="T285">
        <f>HYPERLINK("https://klasma.github.io/Logging_2305/kartor/A 19431-2021 karta.png", "A 19431-2021")</f>
        <v/>
      </c>
      <c r="V285">
        <f>HYPERLINK("https://klasma.github.io/Logging_2305/klagomål/A 19431-2021 FSC-klagomål.docx", "A 19431-2021")</f>
        <v/>
      </c>
      <c r="W285">
        <f>HYPERLINK("https://klasma.github.io/Logging_2305/klagomålsmail/A 19431-2021 FSC-klagomål mail.docx", "A 19431-2021")</f>
        <v/>
      </c>
      <c r="X285">
        <f>HYPERLINK("https://klasma.github.io/Logging_2305/tillsyn/A 19431-2021 tillsynsbegäran.docx", "A 19431-2021")</f>
        <v/>
      </c>
      <c r="Y285">
        <f>HYPERLINK("https://klasma.github.io/Logging_2305/tillsynsmail/A 19431-2021 tillsynsbegäran mail.docx", "A 19431-2021")</f>
        <v/>
      </c>
    </row>
    <row r="286" ht="15" customHeight="1">
      <c r="A286" t="inlineStr">
        <is>
          <t>A 12525-2025</t>
        </is>
      </c>
      <c r="B286" s="1" t="n">
        <v>45730.67770833334</v>
      </c>
      <c r="C286" s="1" t="n">
        <v>45976</v>
      </c>
      <c r="D286" t="inlineStr">
        <is>
          <t>JÄMTLANDS LÄN</t>
        </is>
      </c>
      <c r="E286" t="inlineStr">
        <is>
          <t>BRÄCKE</t>
        </is>
      </c>
      <c r="F286" t="inlineStr">
        <is>
          <t>SCA</t>
        </is>
      </c>
      <c r="G286" t="n">
        <v>3.5</v>
      </c>
      <c r="H286" t="n">
        <v>1</v>
      </c>
      <c r="I286" t="n">
        <v>0</v>
      </c>
      <c r="J286" t="n">
        <v>0</v>
      </c>
      <c r="K286" t="n">
        <v>0</v>
      </c>
      <c r="L286" t="n">
        <v>0</v>
      </c>
      <c r="M286" t="n">
        <v>0</v>
      </c>
      <c r="N286" t="n">
        <v>0</v>
      </c>
      <c r="O286" t="n">
        <v>0</v>
      </c>
      <c r="P286" t="n">
        <v>0</v>
      </c>
      <c r="Q286" t="n">
        <v>1</v>
      </c>
      <c r="R286" s="2" t="inlineStr">
        <is>
          <t>Fläcknycklar</t>
        </is>
      </c>
      <c r="S286">
        <f>HYPERLINK("https://klasma.github.io/Logging_2305/artfynd/A 12525-2025 artfynd.xlsx", "A 12525-2025")</f>
        <v/>
      </c>
      <c r="T286">
        <f>HYPERLINK("https://klasma.github.io/Logging_2305/kartor/A 12525-2025 karta.png", "A 12525-2025")</f>
        <v/>
      </c>
      <c r="V286">
        <f>HYPERLINK("https://klasma.github.io/Logging_2305/klagomål/A 12525-2025 FSC-klagomål.docx", "A 12525-2025")</f>
        <v/>
      </c>
      <c r="W286">
        <f>HYPERLINK("https://klasma.github.io/Logging_2305/klagomålsmail/A 12525-2025 FSC-klagomål mail.docx", "A 12525-2025")</f>
        <v/>
      </c>
      <c r="X286">
        <f>HYPERLINK("https://klasma.github.io/Logging_2305/tillsyn/A 12525-2025 tillsynsbegäran.docx", "A 12525-2025")</f>
        <v/>
      </c>
      <c r="Y286">
        <f>HYPERLINK("https://klasma.github.io/Logging_2305/tillsynsmail/A 12525-2025 tillsynsbegäran mail.docx", "A 12525-2025")</f>
        <v/>
      </c>
    </row>
    <row r="287" ht="15" customHeight="1">
      <c r="A287" t="inlineStr">
        <is>
          <t>A 41059-2025</t>
        </is>
      </c>
      <c r="B287" s="1" t="n">
        <v>45898.40703703704</v>
      </c>
      <c r="C287" s="1" t="n">
        <v>45976</v>
      </c>
      <c r="D287" t="inlineStr">
        <is>
          <t>JÄMTLANDS LÄN</t>
        </is>
      </c>
      <c r="E287" t="inlineStr">
        <is>
          <t>BRÄCKE</t>
        </is>
      </c>
      <c r="F287" t="inlineStr">
        <is>
          <t>SCA</t>
        </is>
      </c>
      <c r="G287" t="n">
        <v>8.9</v>
      </c>
      <c r="H287" t="n">
        <v>0</v>
      </c>
      <c r="I287" t="n">
        <v>0</v>
      </c>
      <c r="J287" t="n">
        <v>1</v>
      </c>
      <c r="K287" t="n">
        <v>0</v>
      </c>
      <c r="L287" t="n">
        <v>0</v>
      </c>
      <c r="M287" t="n">
        <v>0</v>
      </c>
      <c r="N287" t="n">
        <v>0</v>
      </c>
      <c r="O287" t="n">
        <v>1</v>
      </c>
      <c r="P287" t="n">
        <v>0</v>
      </c>
      <c r="Q287" t="n">
        <v>1</v>
      </c>
      <c r="R287" s="2" t="inlineStr">
        <is>
          <t>Lunglav</t>
        </is>
      </c>
      <c r="S287">
        <f>HYPERLINK("https://klasma.github.io/Logging_2305/artfynd/A 41059-2025 artfynd.xlsx", "A 41059-2025")</f>
        <v/>
      </c>
      <c r="T287">
        <f>HYPERLINK("https://klasma.github.io/Logging_2305/kartor/A 41059-2025 karta.png", "A 41059-2025")</f>
        <v/>
      </c>
      <c r="V287">
        <f>HYPERLINK("https://klasma.github.io/Logging_2305/klagomål/A 41059-2025 FSC-klagomål.docx", "A 41059-2025")</f>
        <v/>
      </c>
      <c r="W287">
        <f>HYPERLINK("https://klasma.github.io/Logging_2305/klagomålsmail/A 41059-2025 FSC-klagomål mail.docx", "A 41059-2025")</f>
        <v/>
      </c>
      <c r="X287">
        <f>HYPERLINK("https://klasma.github.io/Logging_2305/tillsyn/A 41059-2025 tillsynsbegäran.docx", "A 41059-2025")</f>
        <v/>
      </c>
      <c r="Y287">
        <f>HYPERLINK("https://klasma.github.io/Logging_2305/tillsynsmail/A 41059-2025 tillsynsbegäran mail.docx", "A 41059-2025")</f>
        <v/>
      </c>
    </row>
    <row r="288" ht="15" customHeight="1">
      <c r="A288" t="inlineStr">
        <is>
          <t>A 40869-2024</t>
        </is>
      </c>
      <c r="B288" s="1" t="n">
        <v>45558.59409722222</v>
      </c>
      <c r="C288" s="1" t="n">
        <v>45976</v>
      </c>
      <c r="D288" t="inlineStr">
        <is>
          <t>JÄMTLANDS LÄN</t>
        </is>
      </c>
      <c r="E288" t="inlineStr">
        <is>
          <t>BRÄCKE</t>
        </is>
      </c>
      <c r="F288" t="inlineStr">
        <is>
          <t>Naturvårdsverket</t>
        </is>
      </c>
      <c r="G288" t="n">
        <v>1.8</v>
      </c>
      <c r="H288" t="n">
        <v>0</v>
      </c>
      <c r="I288" t="n">
        <v>0</v>
      </c>
      <c r="J288" t="n">
        <v>1</v>
      </c>
      <c r="K288" t="n">
        <v>0</v>
      </c>
      <c r="L288" t="n">
        <v>0</v>
      </c>
      <c r="M288" t="n">
        <v>0</v>
      </c>
      <c r="N288" t="n">
        <v>0</v>
      </c>
      <c r="O288" t="n">
        <v>1</v>
      </c>
      <c r="P288" t="n">
        <v>0</v>
      </c>
      <c r="Q288" t="n">
        <v>1</v>
      </c>
      <c r="R288" s="2" t="inlineStr">
        <is>
          <t>Lunglav</t>
        </is>
      </c>
      <c r="S288">
        <f>HYPERLINK("https://klasma.github.io/Logging_2305/artfynd/A 40869-2024 artfynd.xlsx", "A 40869-2024")</f>
        <v/>
      </c>
      <c r="T288">
        <f>HYPERLINK("https://klasma.github.io/Logging_2305/kartor/A 40869-2024 karta.png", "A 40869-2024")</f>
        <v/>
      </c>
      <c r="V288">
        <f>HYPERLINK("https://klasma.github.io/Logging_2305/klagomål/A 40869-2024 FSC-klagomål.docx", "A 40869-2024")</f>
        <v/>
      </c>
      <c r="W288">
        <f>HYPERLINK("https://klasma.github.io/Logging_2305/klagomålsmail/A 40869-2024 FSC-klagomål mail.docx", "A 40869-2024")</f>
        <v/>
      </c>
      <c r="X288">
        <f>HYPERLINK("https://klasma.github.io/Logging_2305/tillsyn/A 40869-2024 tillsynsbegäran.docx", "A 40869-2024")</f>
        <v/>
      </c>
      <c r="Y288">
        <f>HYPERLINK("https://klasma.github.io/Logging_2305/tillsynsmail/A 40869-2024 tillsynsbegäran mail.docx", "A 40869-2024")</f>
        <v/>
      </c>
    </row>
    <row r="289" ht="15" customHeight="1">
      <c r="A289" t="inlineStr">
        <is>
          <t>A 11549-2025</t>
        </is>
      </c>
      <c r="B289" s="1" t="n">
        <v>45727.34460648148</v>
      </c>
      <c r="C289" s="1" t="n">
        <v>45976</v>
      </c>
      <c r="D289" t="inlineStr">
        <is>
          <t>JÄMTLANDS LÄN</t>
        </is>
      </c>
      <c r="E289" t="inlineStr">
        <is>
          <t>BRÄCKE</t>
        </is>
      </c>
      <c r="F289" t="inlineStr">
        <is>
          <t>SCA</t>
        </is>
      </c>
      <c r="G289" t="n">
        <v>6.4</v>
      </c>
      <c r="H289" t="n">
        <v>0</v>
      </c>
      <c r="I289" t="n">
        <v>0</v>
      </c>
      <c r="J289" t="n">
        <v>1</v>
      </c>
      <c r="K289" t="n">
        <v>0</v>
      </c>
      <c r="L289" t="n">
        <v>0</v>
      </c>
      <c r="M289" t="n">
        <v>0</v>
      </c>
      <c r="N289" t="n">
        <v>0</v>
      </c>
      <c r="O289" t="n">
        <v>1</v>
      </c>
      <c r="P289" t="n">
        <v>0</v>
      </c>
      <c r="Q289" t="n">
        <v>1</v>
      </c>
      <c r="R289" s="2" t="inlineStr">
        <is>
          <t>Vedtrappmossa</t>
        </is>
      </c>
      <c r="S289">
        <f>HYPERLINK("https://klasma.github.io/Logging_2305/artfynd/A 11549-2025 artfynd.xlsx", "A 11549-2025")</f>
        <v/>
      </c>
      <c r="T289">
        <f>HYPERLINK("https://klasma.github.io/Logging_2305/kartor/A 11549-2025 karta.png", "A 11549-2025")</f>
        <v/>
      </c>
      <c r="V289">
        <f>HYPERLINK("https://klasma.github.io/Logging_2305/klagomål/A 11549-2025 FSC-klagomål.docx", "A 11549-2025")</f>
        <v/>
      </c>
      <c r="W289">
        <f>HYPERLINK("https://klasma.github.io/Logging_2305/klagomålsmail/A 11549-2025 FSC-klagomål mail.docx", "A 11549-2025")</f>
        <v/>
      </c>
      <c r="X289">
        <f>HYPERLINK("https://klasma.github.io/Logging_2305/tillsyn/A 11549-2025 tillsynsbegäran.docx", "A 11549-2025")</f>
        <v/>
      </c>
      <c r="Y289">
        <f>HYPERLINK("https://klasma.github.io/Logging_2305/tillsynsmail/A 11549-2025 tillsynsbegäran mail.docx", "A 11549-2025")</f>
        <v/>
      </c>
    </row>
    <row r="290" ht="15" customHeight="1">
      <c r="A290" t="inlineStr">
        <is>
          <t>A 44323-2023</t>
        </is>
      </c>
      <c r="B290" s="1" t="n">
        <v>45188</v>
      </c>
      <c r="C290" s="1" t="n">
        <v>45976</v>
      </c>
      <c r="D290" t="inlineStr">
        <is>
          <t>JÄMTLANDS LÄN</t>
        </is>
      </c>
      <c r="E290" t="inlineStr">
        <is>
          <t>BRÄCKE</t>
        </is>
      </c>
      <c r="F290" t="inlineStr">
        <is>
          <t>Sveaskog</t>
        </is>
      </c>
      <c r="G290" t="n">
        <v>3.7</v>
      </c>
      <c r="H290" t="n">
        <v>0</v>
      </c>
      <c r="I290" t="n">
        <v>0</v>
      </c>
      <c r="J290" t="n">
        <v>1</v>
      </c>
      <c r="K290" t="n">
        <v>0</v>
      </c>
      <c r="L290" t="n">
        <v>0</v>
      </c>
      <c r="M290" t="n">
        <v>0</v>
      </c>
      <c r="N290" t="n">
        <v>0</v>
      </c>
      <c r="O290" t="n">
        <v>1</v>
      </c>
      <c r="P290" t="n">
        <v>0</v>
      </c>
      <c r="Q290" t="n">
        <v>1</v>
      </c>
      <c r="R290" s="2" t="inlineStr">
        <is>
          <t>Lunglav</t>
        </is>
      </c>
      <c r="S290">
        <f>HYPERLINK("https://klasma.github.io/Logging_2305/artfynd/A 44323-2023 artfynd.xlsx", "A 44323-2023")</f>
        <v/>
      </c>
      <c r="T290">
        <f>HYPERLINK("https://klasma.github.io/Logging_2305/kartor/A 44323-2023 karta.png", "A 44323-2023")</f>
        <v/>
      </c>
      <c r="V290">
        <f>HYPERLINK("https://klasma.github.io/Logging_2305/klagomål/A 44323-2023 FSC-klagomål.docx", "A 44323-2023")</f>
        <v/>
      </c>
      <c r="W290">
        <f>HYPERLINK("https://klasma.github.io/Logging_2305/klagomålsmail/A 44323-2023 FSC-klagomål mail.docx", "A 44323-2023")</f>
        <v/>
      </c>
      <c r="X290">
        <f>HYPERLINK("https://klasma.github.io/Logging_2305/tillsyn/A 44323-2023 tillsynsbegäran.docx", "A 44323-2023")</f>
        <v/>
      </c>
      <c r="Y290">
        <f>HYPERLINK("https://klasma.github.io/Logging_2305/tillsynsmail/A 44323-2023 tillsynsbegäran mail.docx", "A 44323-2023")</f>
        <v/>
      </c>
    </row>
    <row r="291" ht="15" customHeight="1">
      <c r="A291" t="inlineStr">
        <is>
          <t>A 725-2023</t>
        </is>
      </c>
      <c r="B291" s="1" t="n">
        <v>44930</v>
      </c>
      <c r="C291" s="1" t="n">
        <v>45976</v>
      </c>
      <c r="D291" t="inlineStr">
        <is>
          <t>JÄMTLANDS LÄN</t>
        </is>
      </c>
      <c r="E291" t="inlineStr">
        <is>
          <t>BRÄCKE</t>
        </is>
      </c>
      <c r="F291" t="inlineStr">
        <is>
          <t>SCA</t>
        </is>
      </c>
      <c r="G291" t="n">
        <v>0.9</v>
      </c>
      <c r="H291" t="n">
        <v>0</v>
      </c>
      <c r="I291" t="n">
        <v>0</v>
      </c>
      <c r="J291" t="n">
        <v>1</v>
      </c>
      <c r="K291" t="n">
        <v>0</v>
      </c>
      <c r="L291" t="n">
        <v>0</v>
      </c>
      <c r="M291" t="n">
        <v>0</v>
      </c>
      <c r="N291" t="n">
        <v>0</v>
      </c>
      <c r="O291" t="n">
        <v>1</v>
      </c>
      <c r="P291" t="n">
        <v>0</v>
      </c>
      <c r="Q291" t="n">
        <v>1</v>
      </c>
      <c r="R291" s="2" t="inlineStr">
        <is>
          <t>Kolflarnlav</t>
        </is>
      </c>
      <c r="S291">
        <f>HYPERLINK("https://klasma.github.io/Logging_2305/artfynd/A 725-2023 artfynd.xlsx", "A 725-2023")</f>
        <v/>
      </c>
      <c r="T291">
        <f>HYPERLINK("https://klasma.github.io/Logging_2305/kartor/A 725-2023 karta.png", "A 725-2023")</f>
        <v/>
      </c>
      <c r="V291">
        <f>HYPERLINK("https://klasma.github.io/Logging_2305/klagomål/A 725-2023 FSC-klagomål.docx", "A 725-2023")</f>
        <v/>
      </c>
      <c r="W291">
        <f>HYPERLINK("https://klasma.github.io/Logging_2305/klagomålsmail/A 725-2023 FSC-klagomål mail.docx", "A 725-2023")</f>
        <v/>
      </c>
      <c r="X291">
        <f>HYPERLINK("https://klasma.github.io/Logging_2305/tillsyn/A 725-2023 tillsynsbegäran.docx", "A 725-2023")</f>
        <v/>
      </c>
      <c r="Y291">
        <f>HYPERLINK("https://klasma.github.io/Logging_2305/tillsynsmail/A 725-2023 tillsynsbegäran mail.docx", "A 725-2023")</f>
        <v/>
      </c>
    </row>
    <row r="292" ht="15" customHeight="1">
      <c r="A292" t="inlineStr">
        <is>
          <t>A 40100-2023</t>
        </is>
      </c>
      <c r="B292" s="1" t="n">
        <v>45168</v>
      </c>
      <c r="C292" s="1" t="n">
        <v>45976</v>
      </c>
      <c r="D292" t="inlineStr">
        <is>
          <t>JÄMTLANDS LÄN</t>
        </is>
      </c>
      <c r="E292" t="inlineStr">
        <is>
          <t>BRÄCKE</t>
        </is>
      </c>
      <c r="F292" t="inlineStr">
        <is>
          <t>SCA</t>
        </is>
      </c>
      <c r="G292" t="n">
        <v>2.2</v>
      </c>
      <c r="H292" t="n">
        <v>1</v>
      </c>
      <c r="I292" t="n">
        <v>0</v>
      </c>
      <c r="J292" t="n">
        <v>0</v>
      </c>
      <c r="K292" t="n">
        <v>1</v>
      </c>
      <c r="L292" t="n">
        <v>0</v>
      </c>
      <c r="M292" t="n">
        <v>0</v>
      </c>
      <c r="N292" t="n">
        <v>0</v>
      </c>
      <c r="O292" t="n">
        <v>1</v>
      </c>
      <c r="P292" t="n">
        <v>1</v>
      </c>
      <c r="Q292" t="n">
        <v>1</v>
      </c>
      <c r="R292" s="2" t="inlineStr">
        <is>
          <t>Knärot</t>
        </is>
      </c>
      <c r="S292">
        <f>HYPERLINK("https://klasma.github.io/Logging_2305/artfynd/A 40100-2023 artfynd.xlsx", "A 40100-2023")</f>
        <v/>
      </c>
      <c r="T292">
        <f>HYPERLINK("https://klasma.github.io/Logging_2305/kartor/A 40100-2023 karta.png", "A 40100-2023")</f>
        <v/>
      </c>
      <c r="U292">
        <f>HYPERLINK("https://klasma.github.io/Logging_2305/knärot/A 40100-2023 karta knärot.png", "A 40100-2023")</f>
        <v/>
      </c>
      <c r="V292">
        <f>HYPERLINK("https://klasma.github.io/Logging_2305/klagomål/A 40100-2023 FSC-klagomål.docx", "A 40100-2023")</f>
        <v/>
      </c>
      <c r="W292">
        <f>HYPERLINK("https://klasma.github.io/Logging_2305/klagomålsmail/A 40100-2023 FSC-klagomål mail.docx", "A 40100-2023")</f>
        <v/>
      </c>
      <c r="X292">
        <f>HYPERLINK("https://klasma.github.io/Logging_2305/tillsyn/A 40100-2023 tillsynsbegäran.docx", "A 40100-2023")</f>
        <v/>
      </c>
      <c r="Y292">
        <f>HYPERLINK("https://klasma.github.io/Logging_2305/tillsynsmail/A 40100-2023 tillsynsbegäran mail.docx", "A 40100-2023")</f>
        <v/>
      </c>
    </row>
    <row r="293" ht="15" customHeight="1">
      <c r="A293" t="inlineStr">
        <is>
          <t>A 57797-2023</t>
        </is>
      </c>
      <c r="B293" s="1" t="n">
        <v>45246</v>
      </c>
      <c r="C293" s="1" t="n">
        <v>45976</v>
      </c>
      <c r="D293" t="inlineStr">
        <is>
          <t>JÄMTLANDS LÄN</t>
        </is>
      </c>
      <c r="E293" t="inlineStr">
        <is>
          <t>BRÄCKE</t>
        </is>
      </c>
      <c r="F293" t="inlineStr">
        <is>
          <t>SCA</t>
        </is>
      </c>
      <c r="G293" t="n">
        <v>2.7</v>
      </c>
      <c r="H293" t="n">
        <v>0</v>
      </c>
      <c r="I293" t="n">
        <v>1</v>
      </c>
      <c r="J293" t="n">
        <v>0</v>
      </c>
      <c r="K293" t="n">
        <v>0</v>
      </c>
      <c r="L293" t="n">
        <v>0</v>
      </c>
      <c r="M293" t="n">
        <v>0</v>
      </c>
      <c r="N293" t="n">
        <v>0</v>
      </c>
      <c r="O293" t="n">
        <v>0</v>
      </c>
      <c r="P293" t="n">
        <v>0</v>
      </c>
      <c r="Q293" t="n">
        <v>1</v>
      </c>
      <c r="R293" s="2" t="inlineStr">
        <is>
          <t>Korallblylav</t>
        </is>
      </c>
      <c r="S293">
        <f>HYPERLINK("https://klasma.github.io/Logging_2305/artfynd/A 57797-2023 artfynd.xlsx", "A 57797-2023")</f>
        <v/>
      </c>
      <c r="T293">
        <f>HYPERLINK("https://klasma.github.io/Logging_2305/kartor/A 57797-2023 karta.png", "A 57797-2023")</f>
        <v/>
      </c>
      <c r="V293">
        <f>HYPERLINK("https://klasma.github.io/Logging_2305/klagomål/A 57797-2023 FSC-klagomål.docx", "A 57797-2023")</f>
        <v/>
      </c>
      <c r="W293">
        <f>HYPERLINK("https://klasma.github.io/Logging_2305/klagomålsmail/A 57797-2023 FSC-klagomål mail.docx", "A 57797-2023")</f>
        <v/>
      </c>
      <c r="X293">
        <f>HYPERLINK("https://klasma.github.io/Logging_2305/tillsyn/A 57797-2023 tillsynsbegäran.docx", "A 57797-2023")</f>
        <v/>
      </c>
      <c r="Y293">
        <f>HYPERLINK("https://klasma.github.io/Logging_2305/tillsynsmail/A 57797-2023 tillsynsbegäran mail.docx", "A 57797-2023")</f>
        <v/>
      </c>
    </row>
    <row r="294" ht="15" customHeight="1">
      <c r="A294" t="inlineStr">
        <is>
          <t>A 51177-2025</t>
        </is>
      </c>
      <c r="B294" s="1" t="n">
        <v>45947.61255787037</v>
      </c>
      <c r="C294" s="1" t="n">
        <v>45976</v>
      </c>
      <c r="D294" t="inlineStr">
        <is>
          <t>JÄMTLANDS LÄN</t>
        </is>
      </c>
      <c r="E294" t="inlineStr">
        <is>
          <t>BRÄCKE</t>
        </is>
      </c>
      <c r="G294" t="n">
        <v>9.6</v>
      </c>
      <c r="H294" t="n">
        <v>0</v>
      </c>
      <c r="I294" t="n">
        <v>0</v>
      </c>
      <c r="J294" t="n">
        <v>1</v>
      </c>
      <c r="K294" t="n">
        <v>0</v>
      </c>
      <c r="L294" t="n">
        <v>0</v>
      </c>
      <c r="M294" t="n">
        <v>0</v>
      </c>
      <c r="N294" t="n">
        <v>0</v>
      </c>
      <c r="O294" t="n">
        <v>1</v>
      </c>
      <c r="P294" t="n">
        <v>0</v>
      </c>
      <c r="Q294" t="n">
        <v>1</v>
      </c>
      <c r="R294" s="2" t="inlineStr">
        <is>
          <t>Granticka</t>
        </is>
      </c>
      <c r="S294">
        <f>HYPERLINK("https://klasma.github.io/Logging_2305/artfynd/A 51177-2025 artfynd.xlsx", "A 51177-2025")</f>
        <v/>
      </c>
      <c r="T294">
        <f>HYPERLINK("https://klasma.github.io/Logging_2305/kartor/A 51177-2025 karta.png", "A 51177-2025")</f>
        <v/>
      </c>
      <c r="V294">
        <f>HYPERLINK("https://klasma.github.io/Logging_2305/klagomål/A 51177-2025 FSC-klagomål.docx", "A 51177-2025")</f>
        <v/>
      </c>
      <c r="W294">
        <f>HYPERLINK("https://klasma.github.io/Logging_2305/klagomålsmail/A 51177-2025 FSC-klagomål mail.docx", "A 51177-2025")</f>
        <v/>
      </c>
      <c r="X294">
        <f>HYPERLINK("https://klasma.github.io/Logging_2305/tillsyn/A 51177-2025 tillsynsbegäran.docx", "A 51177-2025")</f>
        <v/>
      </c>
      <c r="Y294">
        <f>HYPERLINK("https://klasma.github.io/Logging_2305/tillsynsmail/A 51177-2025 tillsynsbegäran mail.docx", "A 51177-2025")</f>
        <v/>
      </c>
    </row>
    <row r="295" ht="15" customHeight="1">
      <c r="A295" t="inlineStr">
        <is>
          <t>A 724-2023</t>
        </is>
      </c>
      <c r="B295" s="1" t="n">
        <v>44930.94215277778</v>
      </c>
      <c r="C295" s="1" t="n">
        <v>45976</v>
      </c>
      <c r="D295" t="inlineStr">
        <is>
          <t>JÄMTLANDS LÄN</t>
        </is>
      </c>
      <c r="E295" t="inlineStr">
        <is>
          <t>BRÄCKE</t>
        </is>
      </c>
      <c r="F295" t="inlineStr">
        <is>
          <t>SCA</t>
        </is>
      </c>
      <c r="G295" t="n">
        <v>4.6</v>
      </c>
      <c r="H295" t="n">
        <v>1</v>
      </c>
      <c r="I295" t="n">
        <v>0</v>
      </c>
      <c r="J295" t="n">
        <v>1</v>
      </c>
      <c r="K295" t="n">
        <v>0</v>
      </c>
      <c r="L295" t="n">
        <v>0</v>
      </c>
      <c r="M295" t="n">
        <v>0</v>
      </c>
      <c r="N295" t="n">
        <v>0</v>
      </c>
      <c r="O295" t="n">
        <v>1</v>
      </c>
      <c r="P295" t="n">
        <v>0</v>
      </c>
      <c r="Q295" t="n">
        <v>1</v>
      </c>
      <c r="R295" s="2" t="inlineStr">
        <is>
          <t>Tretåig hackspett</t>
        </is>
      </c>
      <c r="S295">
        <f>HYPERLINK("https://klasma.github.io/Logging_2305/artfynd/A 724-2023 artfynd.xlsx", "A 724-2023")</f>
        <v/>
      </c>
      <c r="T295">
        <f>HYPERLINK("https://klasma.github.io/Logging_2305/kartor/A 724-2023 karta.png", "A 724-2023")</f>
        <v/>
      </c>
      <c r="V295">
        <f>HYPERLINK("https://klasma.github.io/Logging_2305/klagomål/A 724-2023 FSC-klagomål.docx", "A 724-2023")</f>
        <v/>
      </c>
      <c r="W295">
        <f>HYPERLINK("https://klasma.github.io/Logging_2305/klagomålsmail/A 724-2023 FSC-klagomål mail.docx", "A 724-2023")</f>
        <v/>
      </c>
      <c r="X295">
        <f>HYPERLINK("https://klasma.github.io/Logging_2305/tillsyn/A 724-2023 tillsynsbegäran.docx", "A 724-2023")</f>
        <v/>
      </c>
      <c r="Y295">
        <f>HYPERLINK("https://klasma.github.io/Logging_2305/tillsynsmail/A 724-2023 tillsynsbegäran mail.docx", "A 724-2023")</f>
        <v/>
      </c>
      <c r="Z295">
        <f>HYPERLINK("https://klasma.github.io/Logging_2305/fåglar/A 724-2023 prioriterade fågelarter.docx", "A 724-2023")</f>
        <v/>
      </c>
    </row>
    <row r="296" ht="15" customHeight="1">
      <c r="A296" t="inlineStr">
        <is>
          <t>A 20866-2025</t>
        </is>
      </c>
      <c r="B296" s="1" t="n">
        <v>45777.34456018519</v>
      </c>
      <c r="C296" s="1" t="n">
        <v>45976</v>
      </c>
      <c r="D296" t="inlineStr">
        <is>
          <t>JÄMTLANDS LÄN</t>
        </is>
      </c>
      <c r="E296" t="inlineStr">
        <is>
          <t>BRÄCKE</t>
        </is>
      </c>
      <c r="F296" t="inlineStr">
        <is>
          <t>SCA</t>
        </is>
      </c>
      <c r="G296" t="n">
        <v>2.8</v>
      </c>
      <c r="H296" t="n">
        <v>0</v>
      </c>
      <c r="I296" t="n">
        <v>0</v>
      </c>
      <c r="J296" t="n">
        <v>1</v>
      </c>
      <c r="K296" t="n">
        <v>0</v>
      </c>
      <c r="L296" t="n">
        <v>0</v>
      </c>
      <c r="M296" t="n">
        <v>0</v>
      </c>
      <c r="N296" t="n">
        <v>0</v>
      </c>
      <c r="O296" t="n">
        <v>1</v>
      </c>
      <c r="P296" t="n">
        <v>0</v>
      </c>
      <c r="Q296" t="n">
        <v>1</v>
      </c>
      <c r="R296" s="2" t="inlineStr">
        <is>
          <t>Violettgrå tagellav</t>
        </is>
      </c>
      <c r="S296">
        <f>HYPERLINK("https://klasma.github.io/Logging_2305/artfynd/A 20866-2025 artfynd.xlsx", "A 20866-2025")</f>
        <v/>
      </c>
      <c r="T296">
        <f>HYPERLINK("https://klasma.github.io/Logging_2305/kartor/A 20866-2025 karta.png", "A 20866-2025")</f>
        <v/>
      </c>
      <c r="V296">
        <f>HYPERLINK("https://klasma.github.io/Logging_2305/klagomål/A 20866-2025 FSC-klagomål.docx", "A 20866-2025")</f>
        <v/>
      </c>
      <c r="W296">
        <f>HYPERLINK("https://klasma.github.io/Logging_2305/klagomålsmail/A 20866-2025 FSC-klagomål mail.docx", "A 20866-2025")</f>
        <v/>
      </c>
      <c r="X296">
        <f>HYPERLINK("https://klasma.github.io/Logging_2305/tillsyn/A 20866-2025 tillsynsbegäran.docx", "A 20866-2025")</f>
        <v/>
      </c>
      <c r="Y296">
        <f>HYPERLINK("https://klasma.github.io/Logging_2305/tillsynsmail/A 20866-2025 tillsynsbegäran mail.docx", "A 20866-2025")</f>
        <v/>
      </c>
    </row>
    <row r="297" ht="15" customHeight="1">
      <c r="A297" t="inlineStr">
        <is>
          <t>A 52226-2025</t>
        </is>
      </c>
      <c r="B297" s="1" t="n">
        <v>45953.44850694444</v>
      </c>
      <c r="C297" s="1" t="n">
        <v>45976</v>
      </c>
      <c r="D297" t="inlineStr">
        <is>
          <t>JÄMTLANDS LÄN</t>
        </is>
      </c>
      <c r="E297" t="inlineStr">
        <is>
          <t>BRÄCKE</t>
        </is>
      </c>
      <c r="F297" t="inlineStr">
        <is>
          <t>SCA</t>
        </is>
      </c>
      <c r="G297" t="n">
        <v>15.7</v>
      </c>
      <c r="H297" t="n">
        <v>0</v>
      </c>
      <c r="I297" t="n">
        <v>0</v>
      </c>
      <c r="J297" t="n">
        <v>1</v>
      </c>
      <c r="K297" t="n">
        <v>0</v>
      </c>
      <c r="L297" t="n">
        <v>0</v>
      </c>
      <c r="M297" t="n">
        <v>0</v>
      </c>
      <c r="N297" t="n">
        <v>0</v>
      </c>
      <c r="O297" t="n">
        <v>1</v>
      </c>
      <c r="P297" t="n">
        <v>0</v>
      </c>
      <c r="Q297" t="n">
        <v>1</v>
      </c>
      <c r="R297" s="2" t="inlineStr">
        <is>
          <t>Brunpudrad nållav</t>
        </is>
      </c>
      <c r="S297">
        <f>HYPERLINK("https://klasma.github.io/Logging_2305/artfynd/A 52226-2025 artfynd.xlsx", "A 52226-2025")</f>
        <v/>
      </c>
      <c r="T297">
        <f>HYPERLINK("https://klasma.github.io/Logging_2305/kartor/A 52226-2025 karta.png", "A 52226-2025")</f>
        <v/>
      </c>
      <c r="V297">
        <f>HYPERLINK("https://klasma.github.io/Logging_2305/klagomål/A 52226-2025 FSC-klagomål.docx", "A 52226-2025")</f>
        <v/>
      </c>
      <c r="W297">
        <f>HYPERLINK("https://klasma.github.io/Logging_2305/klagomålsmail/A 52226-2025 FSC-klagomål mail.docx", "A 52226-2025")</f>
        <v/>
      </c>
      <c r="X297">
        <f>HYPERLINK("https://klasma.github.io/Logging_2305/tillsyn/A 52226-2025 tillsynsbegäran.docx", "A 52226-2025")</f>
        <v/>
      </c>
      <c r="Y297">
        <f>HYPERLINK("https://klasma.github.io/Logging_2305/tillsynsmail/A 52226-2025 tillsynsbegäran mail.docx", "A 52226-2025")</f>
        <v/>
      </c>
    </row>
    <row r="298" ht="15" customHeight="1">
      <c r="A298" t="inlineStr">
        <is>
          <t>A 40097-2023</t>
        </is>
      </c>
      <c r="B298" s="1" t="n">
        <v>45168</v>
      </c>
      <c r="C298" s="1" t="n">
        <v>45976</v>
      </c>
      <c r="D298" t="inlineStr">
        <is>
          <t>JÄMTLANDS LÄN</t>
        </is>
      </c>
      <c r="E298" t="inlineStr">
        <is>
          <t>BRÄCKE</t>
        </is>
      </c>
      <c r="F298" t="inlineStr">
        <is>
          <t>SCA</t>
        </is>
      </c>
      <c r="G298" t="n">
        <v>3.8</v>
      </c>
      <c r="H298" t="n">
        <v>1</v>
      </c>
      <c r="I298" t="n">
        <v>0</v>
      </c>
      <c r="J298" t="n">
        <v>0</v>
      </c>
      <c r="K298" t="n">
        <v>1</v>
      </c>
      <c r="L298" t="n">
        <v>0</v>
      </c>
      <c r="M298" t="n">
        <v>0</v>
      </c>
      <c r="N298" t="n">
        <v>0</v>
      </c>
      <c r="O298" t="n">
        <v>1</v>
      </c>
      <c r="P298" t="n">
        <v>1</v>
      </c>
      <c r="Q298" t="n">
        <v>1</v>
      </c>
      <c r="R298" s="2" t="inlineStr">
        <is>
          <t>Knärot</t>
        </is>
      </c>
      <c r="S298">
        <f>HYPERLINK("https://klasma.github.io/Logging_2305/artfynd/A 40097-2023 artfynd.xlsx", "A 40097-2023")</f>
        <v/>
      </c>
      <c r="T298">
        <f>HYPERLINK("https://klasma.github.io/Logging_2305/kartor/A 40097-2023 karta.png", "A 40097-2023")</f>
        <v/>
      </c>
      <c r="U298">
        <f>HYPERLINK("https://klasma.github.io/Logging_2305/knärot/A 40097-2023 karta knärot.png", "A 40097-2023")</f>
        <v/>
      </c>
      <c r="V298">
        <f>HYPERLINK("https://klasma.github.io/Logging_2305/klagomål/A 40097-2023 FSC-klagomål.docx", "A 40097-2023")</f>
        <v/>
      </c>
      <c r="W298">
        <f>HYPERLINK("https://klasma.github.io/Logging_2305/klagomålsmail/A 40097-2023 FSC-klagomål mail.docx", "A 40097-2023")</f>
        <v/>
      </c>
      <c r="X298">
        <f>HYPERLINK("https://klasma.github.io/Logging_2305/tillsyn/A 40097-2023 tillsynsbegäran.docx", "A 40097-2023")</f>
        <v/>
      </c>
      <c r="Y298">
        <f>HYPERLINK("https://klasma.github.io/Logging_2305/tillsynsmail/A 40097-2023 tillsynsbegäran mail.docx", "A 40097-2023")</f>
        <v/>
      </c>
    </row>
    <row r="299" ht="15" customHeight="1">
      <c r="A299" t="inlineStr">
        <is>
          <t>A 41486-2024</t>
        </is>
      </c>
      <c r="B299" s="1" t="n">
        <v>45560.44907407407</v>
      </c>
      <c r="C299" s="1" t="n">
        <v>45976</v>
      </c>
      <c r="D299" t="inlineStr">
        <is>
          <t>JÄMTLANDS LÄN</t>
        </is>
      </c>
      <c r="E299" t="inlineStr">
        <is>
          <t>BRÄCKE</t>
        </is>
      </c>
      <c r="F299" t="inlineStr">
        <is>
          <t>SCA</t>
        </is>
      </c>
      <c r="G299" t="n">
        <v>5.3</v>
      </c>
      <c r="H299" t="n">
        <v>0</v>
      </c>
      <c r="I299" t="n">
        <v>0</v>
      </c>
      <c r="J299" t="n">
        <v>1</v>
      </c>
      <c r="K299" t="n">
        <v>0</v>
      </c>
      <c r="L299" t="n">
        <v>0</v>
      </c>
      <c r="M299" t="n">
        <v>0</v>
      </c>
      <c r="N299" t="n">
        <v>0</v>
      </c>
      <c r="O299" t="n">
        <v>1</v>
      </c>
      <c r="P299" t="n">
        <v>0</v>
      </c>
      <c r="Q299" t="n">
        <v>1</v>
      </c>
      <c r="R299" s="2" t="inlineStr">
        <is>
          <t>Lunglav</t>
        </is>
      </c>
      <c r="S299">
        <f>HYPERLINK("https://klasma.github.io/Logging_2305/artfynd/A 41486-2024 artfynd.xlsx", "A 41486-2024")</f>
        <v/>
      </c>
      <c r="T299">
        <f>HYPERLINK("https://klasma.github.io/Logging_2305/kartor/A 41486-2024 karta.png", "A 41486-2024")</f>
        <v/>
      </c>
      <c r="V299">
        <f>HYPERLINK("https://klasma.github.io/Logging_2305/klagomål/A 41486-2024 FSC-klagomål.docx", "A 41486-2024")</f>
        <v/>
      </c>
      <c r="W299">
        <f>HYPERLINK("https://klasma.github.io/Logging_2305/klagomålsmail/A 41486-2024 FSC-klagomål mail.docx", "A 41486-2024")</f>
        <v/>
      </c>
      <c r="X299">
        <f>HYPERLINK("https://klasma.github.io/Logging_2305/tillsyn/A 41486-2024 tillsynsbegäran.docx", "A 41486-2024")</f>
        <v/>
      </c>
      <c r="Y299">
        <f>HYPERLINK("https://klasma.github.io/Logging_2305/tillsynsmail/A 41486-2024 tillsynsbegäran mail.docx", "A 41486-2024")</f>
        <v/>
      </c>
    </row>
    <row r="300" ht="15" customHeight="1">
      <c r="A300" t="inlineStr">
        <is>
          <t>A 21428-2025</t>
        </is>
      </c>
      <c r="B300" s="1" t="n">
        <v>45782.51072916666</v>
      </c>
      <c r="C300" s="1" t="n">
        <v>45976</v>
      </c>
      <c r="D300" t="inlineStr">
        <is>
          <t>JÄMTLANDS LÄN</t>
        </is>
      </c>
      <c r="E300" t="inlineStr">
        <is>
          <t>BRÄCKE</t>
        </is>
      </c>
      <c r="F300" t="inlineStr">
        <is>
          <t>SCA</t>
        </is>
      </c>
      <c r="G300" t="n">
        <v>3</v>
      </c>
      <c r="H300" t="n">
        <v>0</v>
      </c>
      <c r="I300" t="n">
        <v>0</v>
      </c>
      <c r="J300" t="n">
        <v>1</v>
      </c>
      <c r="K300" t="n">
        <v>0</v>
      </c>
      <c r="L300" t="n">
        <v>0</v>
      </c>
      <c r="M300" t="n">
        <v>0</v>
      </c>
      <c r="N300" t="n">
        <v>0</v>
      </c>
      <c r="O300" t="n">
        <v>1</v>
      </c>
      <c r="P300" t="n">
        <v>0</v>
      </c>
      <c r="Q300" t="n">
        <v>1</v>
      </c>
      <c r="R300" s="2" t="inlineStr">
        <is>
          <t>Lunglav</t>
        </is>
      </c>
      <c r="S300">
        <f>HYPERLINK("https://klasma.github.io/Logging_2305/artfynd/A 21428-2025 artfynd.xlsx", "A 21428-2025")</f>
        <v/>
      </c>
      <c r="T300">
        <f>HYPERLINK("https://klasma.github.io/Logging_2305/kartor/A 21428-2025 karta.png", "A 21428-2025")</f>
        <v/>
      </c>
      <c r="V300">
        <f>HYPERLINK("https://klasma.github.io/Logging_2305/klagomål/A 21428-2025 FSC-klagomål.docx", "A 21428-2025")</f>
        <v/>
      </c>
      <c r="W300">
        <f>HYPERLINK("https://klasma.github.io/Logging_2305/klagomålsmail/A 21428-2025 FSC-klagomål mail.docx", "A 21428-2025")</f>
        <v/>
      </c>
      <c r="X300">
        <f>HYPERLINK("https://klasma.github.io/Logging_2305/tillsyn/A 21428-2025 tillsynsbegäran.docx", "A 21428-2025")</f>
        <v/>
      </c>
      <c r="Y300">
        <f>HYPERLINK("https://klasma.github.io/Logging_2305/tillsynsmail/A 21428-2025 tillsynsbegäran mail.docx", "A 21428-2025")</f>
        <v/>
      </c>
    </row>
    <row r="301" ht="15" customHeight="1">
      <c r="A301" t="inlineStr">
        <is>
          <t>A 44214-2025</t>
        </is>
      </c>
      <c r="B301" s="1" t="n">
        <v>45915.63579861111</v>
      </c>
      <c r="C301" s="1" t="n">
        <v>45976</v>
      </c>
      <c r="D301" t="inlineStr">
        <is>
          <t>JÄMTLANDS LÄN</t>
        </is>
      </c>
      <c r="E301" t="inlineStr">
        <is>
          <t>BRÄCKE</t>
        </is>
      </c>
      <c r="F301" t="inlineStr">
        <is>
          <t>SCA</t>
        </is>
      </c>
      <c r="G301" t="n">
        <v>4.9</v>
      </c>
      <c r="H301" t="n">
        <v>0</v>
      </c>
      <c r="I301" t="n">
        <v>0</v>
      </c>
      <c r="J301" t="n">
        <v>0</v>
      </c>
      <c r="K301" t="n">
        <v>0</v>
      </c>
      <c r="L301" t="n">
        <v>0</v>
      </c>
      <c r="M301" t="n">
        <v>0</v>
      </c>
      <c r="N301" t="n">
        <v>0</v>
      </c>
      <c r="O301" t="n">
        <v>1</v>
      </c>
      <c r="P301" t="n">
        <v>0</v>
      </c>
      <c r="Q301" t="n">
        <v>1</v>
      </c>
      <c r="R301" s="2" t="inlineStr">
        <is>
          <t>Gelatinfingersvamp</t>
        </is>
      </c>
      <c r="S301">
        <f>HYPERLINK("https://klasma.github.io/Logging_2305/artfynd/A 44214-2025 artfynd.xlsx", "A 44214-2025")</f>
        <v/>
      </c>
      <c r="T301">
        <f>HYPERLINK("https://klasma.github.io/Logging_2305/kartor/A 44214-2025 karta.png", "A 44214-2025")</f>
        <v/>
      </c>
      <c r="V301">
        <f>HYPERLINK("https://klasma.github.io/Logging_2305/klagomål/A 44214-2025 FSC-klagomål.docx", "A 44214-2025")</f>
        <v/>
      </c>
      <c r="W301">
        <f>HYPERLINK("https://klasma.github.io/Logging_2305/klagomålsmail/A 44214-2025 FSC-klagomål mail.docx", "A 44214-2025")</f>
        <v/>
      </c>
      <c r="X301">
        <f>HYPERLINK("https://klasma.github.io/Logging_2305/tillsyn/A 44214-2025 tillsynsbegäran.docx", "A 44214-2025")</f>
        <v/>
      </c>
      <c r="Y301">
        <f>HYPERLINK("https://klasma.github.io/Logging_2305/tillsynsmail/A 44214-2025 tillsynsbegäran mail.docx", "A 44214-2025")</f>
        <v/>
      </c>
    </row>
    <row r="302" ht="15" customHeight="1">
      <c r="A302" t="inlineStr">
        <is>
          <t>A 22651-2025</t>
        </is>
      </c>
      <c r="B302" s="1" t="n">
        <v>45789.46907407408</v>
      </c>
      <c r="C302" s="1" t="n">
        <v>45976</v>
      </c>
      <c r="D302" t="inlineStr">
        <is>
          <t>JÄMTLANDS LÄN</t>
        </is>
      </c>
      <c r="E302" t="inlineStr">
        <is>
          <t>BRÄCKE</t>
        </is>
      </c>
      <c r="F302" t="inlineStr">
        <is>
          <t>SCA</t>
        </is>
      </c>
      <c r="G302" t="n">
        <v>2.3</v>
      </c>
      <c r="H302" t="n">
        <v>1</v>
      </c>
      <c r="I302" t="n">
        <v>1</v>
      </c>
      <c r="J302" t="n">
        <v>0</v>
      </c>
      <c r="K302" t="n">
        <v>0</v>
      </c>
      <c r="L302" t="n">
        <v>0</v>
      </c>
      <c r="M302" t="n">
        <v>0</v>
      </c>
      <c r="N302" t="n">
        <v>0</v>
      </c>
      <c r="O302" t="n">
        <v>0</v>
      </c>
      <c r="P302" t="n">
        <v>0</v>
      </c>
      <c r="Q302" t="n">
        <v>1</v>
      </c>
      <c r="R302" s="2" t="inlineStr">
        <is>
          <t>Guckusko</t>
        </is>
      </c>
      <c r="S302">
        <f>HYPERLINK("https://klasma.github.io/Logging_2305/artfynd/A 22651-2025 artfynd.xlsx", "A 22651-2025")</f>
        <v/>
      </c>
      <c r="T302">
        <f>HYPERLINK("https://klasma.github.io/Logging_2305/kartor/A 22651-2025 karta.png", "A 22651-2025")</f>
        <v/>
      </c>
      <c r="V302">
        <f>HYPERLINK("https://klasma.github.io/Logging_2305/klagomål/A 22651-2025 FSC-klagomål.docx", "A 22651-2025")</f>
        <v/>
      </c>
      <c r="W302">
        <f>HYPERLINK("https://klasma.github.io/Logging_2305/klagomålsmail/A 22651-2025 FSC-klagomål mail.docx", "A 22651-2025")</f>
        <v/>
      </c>
      <c r="X302">
        <f>HYPERLINK("https://klasma.github.io/Logging_2305/tillsyn/A 22651-2025 tillsynsbegäran.docx", "A 22651-2025")</f>
        <v/>
      </c>
      <c r="Y302">
        <f>HYPERLINK("https://klasma.github.io/Logging_2305/tillsynsmail/A 22651-2025 tillsynsbegäran mail.docx", "A 22651-2025")</f>
        <v/>
      </c>
    </row>
    <row r="303" ht="15" customHeight="1">
      <c r="A303" t="inlineStr">
        <is>
          <t>A 44934-2025</t>
        </is>
      </c>
      <c r="B303" s="1" t="n">
        <v>45918.5737962963</v>
      </c>
      <c r="C303" s="1" t="n">
        <v>45976</v>
      </c>
      <c r="D303" t="inlineStr">
        <is>
          <t>JÄMTLANDS LÄN</t>
        </is>
      </c>
      <c r="E303" t="inlineStr">
        <is>
          <t>BRÄCKE</t>
        </is>
      </c>
      <c r="G303" t="n">
        <v>0.5</v>
      </c>
      <c r="H303" t="n">
        <v>0</v>
      </c>
      <c r="I303" t="n">
        <v>0</v>
      </c>
      <c r="J303" t="n">
        <v>1</v>
      </c>
      <c r="K303" t="n">
        <v>0</v>
      </c>
      <c r="L303" t="n">
        <v>0</v>
      </c>
      <c r="M303" t="n">
        <v>0</v>
      </c>
      <c r="N303" t="n">
        <v>0</v>
      </c>
      <c r="O303" t="n">
        <v>1</v>
      </c>
      <c r="P303" t="n">
        <v>0</v>
      </c>
      <c r="Q303" t="n">
        <v>1</v>
      </c>
      <c r="R303" s="2" t="inlineStr">
        <is>
          <t>Lunglav</t>
        </is>
      </c>
      <c r="S303">
        <f>HYPERLINK("https://klasma.github.io/Logging_2305/artfynd/A 44934-2025 artfynd.xlsx", "A 44934-2025")</f>
        <v/>
      </c>
      <c r="T303">
        <f>HYPERLINK("https://klasma.github.io/Logging_2305/kartor/A 44934-2025 karta.png", "A 44934-2025")</f>
        <v/>
      </c>
      <c r="V303">
        <f>HYPERLINK("https://klasma.github.io/Logging_2305/klagomål/A 44934-2025 FSC-klagomål.docx", "A 44934-2025")</f>
        <v/>
      </c>
      <c r="W303">
        <f>HYPERLINK("https://klasma.github.io/Logging_2305/klagomålsmail/A 44934-2025 FSC-klagomål mail.docx", "A 44934-2025")</f>
        <v/>
      </c>
      <c r="X303">
        <f>HYPERLINK("https://klasma.github.io/Logging_2305/tillsyn/A 44934-2025 tillsynsbegäran.docx", "A 44934-2025")</f>
        <v/>
      </c>
      <c r="Y303">
        <f>HYPERLINK("https://klasma.github.io/Logging_2305/tillsynsmail/A 44934-2025 tillsynsbegäran mail.docx", "A 44934-2025")</f>
        <v/>
      </c>
    </row>
    <row r="304" ht="15" customHeight="1">
      <c r="A304" t="inlineStr">
        <is>
          <t>A 44872-2025</t>
        </is>
      </c>
      <c r="B304" s="1" t="n">
        <v>45918.46957175926</v>
      </c>
      <c r="C304" s="1" t="n">
        <v>45976</v>
      </c>
      <c r="D304" t="inlineStr">
        <is>
          <t>JÄMTLANDS LÄN</t>
        </is>
      </c>
      <c r="E304" t="inlineStr">
        <is>
          <t>BRÄCKE</t>
        </is>
      </c>
      <c r="G304" t="n">
        <v>0.9</v>
      </c>
      <c r="H304" t="n">
        <v>0</v>
      </c>
      <c r="I304" t="n">
        <v>1</v>
      </c>
      <c r="J304" t="n">
        <v>0</v>
      </c>
      <c r="K304" t="n">
        <v>0</v>
      </c>
      <c r="L304" t="n">
        <v>0</v>
      </c>
      <c r="M304" t="n">
        <v>0</v>
      </c>
      <c r="N304" t="n">
        <v>0</v>
      </c>
      <c r="O304" t="n">
        <v>0</v>
      </c>
      <c r="P304" t="n">
        <v>0</v>
      </c>
      <c r="Q304" t="n">
        <v>1</v>
      </c>
      <c r="R304" s="2" t="inlineStr">
        <is>
          <t>Underviol</t>
        </is>
      </c>
      <c r="S304">
        <f>HYPERLINK("https://klasma.github.io/Logging_2305/artfynd/A 44872-2025 artfynd.xlsx", "A 44872-2025")</f>
        <v/>
      </c>
      <c r="T304">
        <f>HYPERLINK("https://klasma.github.io/Logging_2305/kartor/A 44872-2025 karta.png", "A 44872-2025")</f>
        <v/>
      </c>
      <c r="V304">
        <f>HYPERLINK("https://klasma.github.io/Logging_2305/klagomål/A 44872-2025 FSC-klagomål.docx", "A 44872-2025")</f>
        <v/>
      </c>
      <c r="W304">
        <f>HYPERLINK("https://klasma.github.io/Logging_2305/klagomålsmail/A 44872-2025 FSC-klagomål mail.docx", "A 44872-2025")</f>
        <v/>
      </c>
      <c r="X304">
        <f>HYPERLINK("https://klasma.github.io/Logging_2305/tillsyn/A 44872-2025 tillsynsbegäran.docx", "A 44872-2025")</f>
        <v/>
      </c>
      <c r="Y304">
        <f>HYPERLINK("https://klasma.github.io/Logging_2305/tillsynsmail/A 44872-2025 tillsynsbegäran mail.docx", "A 44872-2025")</f>
        <v/>
      </c>
    </row>
    <row r="305" ht="15" customHeight="1">
      <c r="A305" t="inlineStr">
        <is>
          <t>A 23460-2025</t>
        </is>
      </c>
      <c r="B305" s="1" t="n">
        <v>45792.42776620371</v>
      </c>
      <c r="C305" s="1" t="n">
        <v>45976</v>
      </c>
      <c r="D305" t="inlineStr">
        <is>
          <t>JÄMTLANDS LÄN</t>
        </is>
      </c>
      <c r="E305" t="inlineStr">
        <is>
          <t>BRÄCKE</t>
        </is>
      </c>
      <c r="F305" t="inlineStr">
        <is>
          <t>SCA</t>
        </is>
      </c>
      <c r="G305" t="n">
        <v>2.3</v>
      </c>
      <c r="H305" t="n">
        <v>0</v>
      </c>
      <c r="I305" t="n">
        <v>1</v>
      </c>
      <c r="J305" t="n">
        <v>0</v>
      </c>
      <c r="K305" t="n">
        <v>0</v>
      </c>
      <c r="L305" t="n">
        <v>0</v>
      </c>
      <c r="M305" t="n">
        <v>0</v>
      </c>
      <c r="N305" t="n">
        <v>0</v>
      </c>
      <c r="O305" t="n">
        <v>0</v>
      </c>
      <c r="P305" t="n">
        <v>0</v>
      </c>
      <c r="Q305" t="n">
        <v>1</v>
      </c>
      <c r="R305" s="2" t="inlineStr">
        <is>
          <t>Underviol</t>
        </is>
      </c>
      <c r="S305">
        <f>HYPERLINK("https://klasma.github.io/Logging_2305/artfynd/A 23460-2025 artfynd.xlsx", "A 23460-2025")</f>
        <v/>
      </c>
      <c r="T305">
        <f>HYPERLINK("https://klasma.github.io/Logging_2305/kartor/A 23460-2025 karta.png", "A 23460-2025")</f>
        <v/>
      </c>
      <c r="V305">
        <f>HYPERLINK("https://klasma.github.io/Logging_2305/klagomål/A 23460-2025 FSC-klagomål.docx", "A 23460-2025")</f>
        <v/>
      </c>
      <c r="W305">
        <f>HYPERLINK("https://klasma.github.io/Logging_2305/klagomålsmail/A 23460-2025 FSC-klagomål mail.docx", "A 23460-2025")</f>
        <v/>
      </c>
      <c r="X305">
        <f>HYPERLINK("https://klasma.github.io/Logging_2305/tillsyn/A 23460-2025 tillsynsbegäran.docx", "A 23460-2025")</f>
        <v/>
      </c>
      <c r="Y305">
        <f>HYPERLINK("https://klasma.github.io/Logging_2305/tillsynsmail/A 23460-2025 tillsynsbegäran mail.docx", "A 23460-2025")</f>
        <v/>
      </c>
    </row>
    <row r="306" ht="15" customHeight="1">
      <c r="A306" t="inlineStr">
        <is>
          <t>A 56156-2024</t>
        </is>
      </c>
      <c r="B306" s="1" t="n">
        <v>45624.53180555555</v>
      </c>
      <c r="C306" s="1" t="n">
        <v>45976</v>
      </c>
      <c r="D306" t="inlineStr">
        <is>
          <t>JÄMTLANDS LÄN</t>
        </is>
      </c>
      <c r="E306" t="inlineStr">
        <is>
          <t>BRÄCKE</t>
        </is>
      </c>
      <c r="F306" t="inlineStr">
        <is>
          <t>SCA</t>
        </is>
      </c>
      <c r="G306" t="n">
        <v>4.4</v>
      </c>
      <c r="H306" t="n">
        <v>0</v>
      </c>
      <c r="I306" t="n">
        <v>0</v>
      </c>
      <c r="J306" t="n">
        <v>1</v>
      </c>
      <c r="K306" t="n">
        <v>0</v>
      </c>
      <c r="L306" t="n">
        <v>0</v>
      </c>
      <c r="M306" t="n">
        <v>0</v>
      </c>
      <c r="N306" t="n">
        <v>0</v>
      </c>
      <c r="O306" t="n">
        <v>1</v>
      </c>
      <c r="P306" t="n">
        <v>0</v>
      </c>
      <c r="Q306" t="n">
        <v>1</v>
      </c>
      <c r="R306" s="2" t="inlineStr">
        <is>
          <t>Flattoppad klubbsvamp</t>
        </is>
      </c>
      <c r="S306">
        <f>HYPERLINK("https://klasma.github.io/Logging_2305/artfynd/A 56156-2024 artfynd.xlsx", "A 56156-2024")</f>
        <v/>
      </c>
      <c r="T306">
        <f>HYPERLINK("https://klasma.github.io/Logging_2305/kartor/A 56156-2024 karta.png", "A 56156-2024")</f>
        <v/>
      </c>
      <c r="V306">
        <f>HYPERLINK("https://klasma.github.io/Logging_2305/klagomål/A 56156-2024 FSC-klagomål.docx", "A 56156-2024")</f>
        <v/>
      </c>
      <c r="W306">
        <f>HYPERLINK("https://klasma.github.io/Logging_2305/klagomålsmail/A 56156-2024 FSC-klagomål mail.docx", "A 56156-2024")</f>
        <v/>
      </c>
      <c r="X306">
        <f>HYPERLINK("https://klasma.github.io/Logging_2305/tillsyn/A 56156-2024 tillsynsbegäran.docx", "A 56156-2024")</f>
        <v/>
      </c>
      <c r="Y306">
        <f>HYPERLINK("https://klasma.github.io/Logging_2305/tillsynsmail/A 56156-2024 tillsynsbegäran mail.docx", "A 56156-2024")</f>
        <v/>
      </c>
    </row>
    <row r="307" ht="15" customHeight="1">
      <c r="A307" t="inlineStr">
        <is>
          <t>A 15189-2025</t>
        </is>
      </c>
      <c r="B307" s="1" t="n">
        <v>45744.55259259259</v>
      </c>
      <c r="C307" s="1" t="n">
        <v>45976</v>
      </c>
      <c r="D307" t="inlineStr">
        <is>
          <t>JÄMTLANDS LÄN</t>
        </is>
      </c>
      <c r="E307" t="inlineStr">
        <is>
          <t>BRÄCKE</t>
        </is>
      </c>
      <c r="F307" t="inlineStr">
        <is>
          <t>SCA</t>
        </is>
      </c>
      <c r="G307" t="n">
        <v>4.6</v>
      </c>
      <c r="H307" t="n">
        <v>1</v>
      </c>
      <c r="I307" t="n">
        <v>0</v>
      </c>
      <c r="J307" t="n">
        <v>1</v>
      </c>
      <c r="K307" t="n">
        <v>0</v>
      </c>
      <c r="L307" t="n">
        <v>0</v>
      </c>
      <c r="M307" t="n">
        <v>0</v>
      </c>
      <c r="N307" t="n">
        <v>0</v>
      </c>
      <c r="O307" t="n">
        <v>1</v>
      </c>
      <c r="P307" t="n">
        <v>0</v>
      </c>
      <c r="Q307" t="n">
        <v>1</v>
      </c>
      <c r="R307" s="2" t="inlineStr">
        <is>
          <t>Tretåig hackspett</t>
        </is>
      </c>
      <c r="S307">
        <f>HYPERLINK("https://klasma.github.io/Logging_2305/artfynd/A 15189-2025 artfynd.xlsx", "A 15189-2025")</f>
        <v/>
      </c>
      <c r="T307">
        <f>HYPERLINK("https://klasma.github.io/Logging_2305/kartor/A 15189-2025 karta.png", "A 15189-2025")</f>
        <v/>
      </c>
      <c r="V307">
        <f>HYPERLINK("https://klasma.github.io/Logging_2305/klagomål/A 15189-2025 FSC-klagomål.docx", "A 15189-2025")</f>
        <v/>
      </c>
      <c r="W307">
        <f>HYPERLINK("https://klasma.github.io/Logging_2305/klagomålsmail/A 15189-2025 FSC-klagomål mail.docx", "A 15189-2025")</f>
        <v/>
      </c>
      <c r="X307">
        <f>HYPERLINK("https://klasma.github.io/Logging_2305/tillsyn/A 15189-2025 tillsynsbegäran.docx", "A 15189-2025")</f>
        <v/>
      </c>
      <c r="Y307">
        <f>HYPERLINK("https://klasma.github.io/Logging_2305/tillsynsmail/A 15189-2025 tillsynsbegäran mail.docx", "A 15189-2025")</f>
        <v/>
      </c>
      <c r="Z307">
        <f>HYPERLINK("https://klasma.github.io/Logging_2305/fåglar/A 15189-2025 prioriterade fågelarter.docx", "A 15189-2025")</f>
        <v/>
      </c>
    </row>
    <row r="308" ht="15" customHeight="1">
      <c r="A308" t="inlineStr">
        <is>
          <t>A 24094-2025</t>
        </is>
      </c>
      <c r="B308" s="1" t="n">
        <v>45796.57335648148</v>
      </c>
      <c r="C308" s="1" t="n">
        <v>45976</v>
      </c>
      <c r="D308" t="inlineStr">
        <is>
          <t>JÄMTLANDS LÄN</t>
        </is>
      </c>
      <c r="E308" t="inlineStr">
        <is>
          <t>BRÄCKE</t>
        </is>
      </c>
      <c r="F308" t="inlineStr">
        <is>
          <t>SCA</t>
        </is>
      </c>
      <c r="G308" t="n">
        <v>4.1</v>
      </c>
      <c r="H308" t="n">
        <v>0</v>
      </c>
      <c r="I308" t="n">
        <v>0</v>
      </c>
      <c r="J308" t="n">
        <v>1</v>
      </c>
      <c r="K308" t="n">
        <v>0</v>
      </c>
      <c r="L308" t="n">
        <v>0</v>
      </c>
      <c r="M308" t="n">
        <v>0</v>
      </c>
      <c r="N308" t="n">
        <v>0</v>
      </c>
      <c r="O308" t="n">
        <v>1</v>
      </c>
      <c r="P308" t="n">
        <v>0</v>
      </c>
      <c r="Q308" t="n">
        <v>1</v>
      </c>
      <c r="R308" s="2" t="inlineStr">
        <is>
          <t>Vedskivlav</t>
        </is>
      </c>
      <c r="S308">
        <f>HYPERLINK("https://klasma.github.io/Logging_2305/artfynd/A 24094-2025 artfynd.xlsx", "A 24094-2025")</f>
        <v/>
      </c>
      <c r="T308">
        <f>HYPERLINK("https://klasma.github.io/Logging_2305/kartor/A 24094-2025 karta.png", "A 24094-2025")</f>
        <v/>
      </c>
      <c r="V308">
        <f>HYPERLINK("https://klasma.github.io/Logging_2305/klagomål/A 24094-2025 FSC-klagomål.docx", "A 24094-2025")</f>
        <v/>
      </c>
      <c r="W308">
        <f>HYPERLINK("https://klasma.github.io/Logging_2305/klagomålsmail/A 24094-2025 FSC-klagomål mail.docx", "A 24094-2025")</f>
        <v/>
      </c>
      <c r="X308">
        <f>HYPERLINK("https://klasma.github.io/Logging_2305/tillsyn/A 24094-2025 tillsynsbegäran.docx", "A 24094-2025")</f>
        <v/>
      </c>
      <c r="Y308">
        <f>HYPERLINK("https://klasma.github.io/Logging_2305/tillsynsmail/A 24094-2025 tillsynsbegäran mail.docx", "A 24094-2025")</f>
        <v/>
      </c>
    </row>
    <row r="309" ht="15" customHeight="1">
      <c r="A309" t="inlineStr">
        <is>
          <t>A 24851-2025</t>
        </is>
      </c>
      <c r="B309" s="1" t="n">
        <v>45799.46967592592</v>
      </c>
      <c r="C309" s="1" t="n">
        <v>45976</v>
      </c>
      <c r="D309" t="inlineStr">
        <is>
          <t>JÄMTLANDS LÄN</t>
        </is>
      </c>
      <c r="E309" t="inlineStr">
        <is>
          <t>BRÄCKE</t>
        </is>
      </c>
      <c r="F309" t="inlineStr">
        <is>
          <t>SCA</t>
        </is>
      </c>
      <c r="G309" t="n">
        <v>4.1</v>
      </c>
      <c r="H309" t="n">
        <v>1</v>
      </c>
      <c r="I309" t="n">
        <v>0</v>
      </c>
      <c r="J309" t="n">
        <v>0</v>
      </c>
      <c r="K309" t="n">
        <v>0</v>
      </c>
      <c r="L309" t="n">
        <v>1</v>
      </c>
      <c r="M309" t="n">
        <v>0</v>
      </c>
      <c r="N309" t="n">
        <v>0</v>
      </c>
      <c r="O309" t="n">
        <v>1</v>
      </c>
      <c r="P309" t="n">
        <v>1</v>
      </c>
      <c r="Q309" t="n">
        <v>1</v>
      </c>
      <c r="R309" s="2" t="inlineStr">
        <is>
          <t>Violett guldvinge</t>
        </is>
      </c>
      <c r="S309">
        <f>HYPERLINK("https://klasma.github.io/Logging_2305/artfynd/A 24851-2025 artfynd.xlsx", "A 24851-2025")</f>
        <v/>
      </c>
      <c r="T309">
        <f>HYPERLINK("https://klasma.github.io/Logging_2305/kartor/A 24851-2025 karta.png", "A 24851-2025")</f>
        <v/>
      </c>
      <c r="V309">
        <f>HYPERLINK("https://klasma.github.io/Logging_2305/klagomål/A 24851-2025 FSC-klagomål.docx", "A 24851-2025")</f>
        <v/>
      </c>
      <c r="W309">
        <f>HYPERLINK("https://klasma.github.io/Logging_2305/klagomålsmail/A 24851-2025 FSC-klagomål mail.docx", "A 24851-2025")</f>
        <v/>
      </c>
      <c r="X309">
        <f>HYPERLINK("https://klasma.github.io/Logging_2305/tillsyn/A 24851-2025 tillsynsbegäran.docx", "A 24851-2025")</f>
        <v/>
      </c>
      <c r="Y309">
        <f>HYPERLINK("https://klasma.github.io/Logging_2305/tillsynsmail/A 24851-2025 tillsynsbegäran mail.docx", "A 24851-2025")</f>
        <v/>
      </c>
    </row>
    <row r="310" ht="15" customHeight="1">
      <c r="A310" t="inlineStr">
        <is>
          <t>A 35023-2022</t>
        </is>
      </c>
      <c r="B310" s="1" t="n">
        <v>44796</v>
      </c>
      <c r="C310" s="1" t="n">
        <v>45976</v>
      </c>
      <c r="D310" t="inlineStr">
        <is>
          <t>JÄMTLANDS LÄN</t>
        </is>
      </c>
      <c r="E310" t="inlineStr">
        <is>
          <t>BRÄCKE</t>
        </is>
      </c>
      <c r="F310" t="inlineStr">
        <is>
          <t>SCA</t>
        </is>
      </c>
      <c r="G310" t="n">
        <v>4.8</v>
      </c>
      <c r="H310" t="n">
        <v>0</v>
      </c>
      <c r="I310" t="n">
        <v>0</v>
      </c>
      <c r="J310" t="n">
        <v>1</v>
      </c>
      <c r="K310" t="n">
        <v>0</v>
      </c>
      <c r="L310" t="n">
        <v>0</v>
      </c>
      <c r="M310" t="n">
        <v>0</v>
      </c>
      <c r="N310" t="n">
        <v>0</v>
      </c>
      <c r="O310" t="n">
        <v>1</v>
      </c>
      <c r="P310" t="n">
        <v>0</v>
      </c>
      <c r="Q310" t="n">
        <v>1</v>
      </c>
      <c r="R310" s="2" t="inlineStr">
        <is>
          <t>Dvärgbägarlav</t>
        </is>
      </c>
      <c r="S310">
        <f>HYPERLINK("https://klasma.github.io/Logging_2305/artfynd/A 35023-2022 artfynd.xlsx", "A 35023-2022")</f>
        <v/>
      </c>
      <c r="T310">
        <f>HYPERLINK("https://klasma.github.io/Logging_2305/kartor/A 35023-2022 karta.png", "A 35023-2022")</f>
        <v/>
      </c>
      <c r="V310">
        <f>HYPERLINK("https://klasma.github.io/Logging_2305/klagomål/A 35023-2022 FSC-klagomål.docx", "A 35023-2022")</f>
        <v/>
      </c>
      <c r="W310">
        <f>HYPERLINK("https://klasma.github.io/Logging_2305/klagomålsmail/A 35023-2022 FSC-klagomål mail.docx", "A 35023-2022")</f>
        <v/>
      </c>
      <c r="X310">
        <f>HYPERLINK("https://klasma.github.io/Logging_2305/tillsyn/A 35023-2022 tillsynsbegäran.docx", "A 35023-2022")</f>
        <v/>
      </c>
      <c r="Y310">
        <f>HYPERLINK("https://klasma.github.io/Logging_2305/tillsynsmail/A 35023-2022 tillsynsbegäran mail.docx", "A 35023-2022")</f>
        <v/>
      </c>
    </row>
    <row r="311" ht="15" customHeight="1">
      <c r="A311" t="inlineStr">
        <is>
          <t>A 46435-2025</t>
        </is>
      </c>
      <c r="B311" s="1" t="n">
        <v>45925.63583333333</v>
      </c>
      <c r="C311" s="1" t="n">
        <v>45976</v>
      </c>
      <c r="D311" t="inlineStr">
        <is>
          <t>JÄMTLANDS LÄN</t>
        </is>
      </c>
      <c r="E311" t="inlineStr">
        <is>
          <t>BRÄCKE</t>
        </is>
      </c>
      <c r="F311" t="inlineStr">
        <is>
          <t>SCA</t>
        </is>
      </c>
      <c r="G311" t="n">
        <v>4</v>
      </c>
      <c r="H311" t="n">
        <v>0</v>
      </c>
      <c r="I311" t="n">
        <v>0</v>
      </c>
      <c r="J311" t="n">
        <v>1</v>
      </c>
      <c r="K311" t="n">
        <v>0</v>
      </c>
      <c r="L311" t="n">
        <v>0</v>
      </c>
      <c r="M311" t="n">
        <v>0</v>
      </c>
      <c r="N311" t="n">
        <v>0</v>
      </c>
      <c r="O311" t="n">
        <v>1</v>
      </c>
      <c r="P311" t="n">
        <v>0</v>
      </c>
      <c r="Q311" t="n">
        <v>1</v>
      </c>
      <c r="R311" s="2" t="inlineStr">
        <is>
          <t>Motaggsvamp</t>
        </is>
      </c>
      <c r="S311">
        <f>HYPERLINK("https://klasma.github.io/Logging_2305/artfynd/A 46435-2025 artfynd.xlsx", "A 46435-2025")</f>
        <v/>
      </c>
      <c r="T311">
        <f>HYPERLINK("https://klasma.github.io/Logging_2305/kartor/A 46435-2025 karta.png", "A 46435-2025")</f>
        <v/>
      </c>
      <c r="V311">
        <f>HYPERLINK("https://klasma.github.io/Logging_2305/klagomål/A 46435-2025 FSC-klagomål.docx", "A 46435-2025")</f>
        <v/>
      </c>
      <c r="W311">
        <f>HYPERLINK("https://klasma.github.io/Logging_2305/klagomålsmail/A 46435-2025 FSC-klagomål mail.docx", "A 46435-2025")</f>
        <v/>
      </c>
      <c r="X311">
        <f>HYPERLINK("https://klasma.github.io/Logging_2305/tillsyn/A 46435-2025 tillsynsbegäran.docx", "A 46435-2025")</f>
        <v/>
      </c>
      <c r="Y311">
        <f>HYPERLINK("https://klasma.github.io/Logging_2305/tillsynsmail/A 46435-2025 tillsynsbegäran mail.docx", "A 46435-2025")</f>
        <v/>
      </c>
    </row>
    <row r="312" ht="15" customHeight="1">
      <c r="A312" t="inlineStr">
        <is>
          <t>A 25718-2025</t>
        </is>
      </c>
      <c r="B312" s="1" t="n">
        <v>45803.69876157407</v>
      </c>
      <c r="C312" s="1" t="n">
        <v>45976</v>
      </c>
      <c r="D312" t="inlineStr">
        <is>
          <t>JÄMTLANDS LÄN</t>
        </is>
      </c>
      <c r="E312" t="inlineStr">
        <is>
          <t>BRÄCKE</t>
        </is>
      </c>
      <c r="F312" t="inlineStr">
        <is>
          <t>SCA</t>
        </is>
      </c>
      <c r="G312" t="n">
        <v>4.4</v>
      </c>
      <c r="H312" t="n">
        <v>1</v>
      </c>
      <c r="I312" t="n">
        <v>0</v>
      </c>
      <c r="J312" t="n">
        <v>0</v>
      </c>
      <c r="K312" t="n">
        <v>1</v>
      </c>
      <c r="L312" t="n">
        <v>0</v>
      </c>
      <c r="M312" t="n">
        <v>0</v>
      </c>
      <c r="N312" t="n">
        <v>0</v>
      </c>
      <c r="O312" t="n">
        <v>1</v>
      </c>
      <c r="P312" t="n">
        <v>1</v>
      </c>
      <c r="Q312" t="n">
        <v>1</v>
      </c>
      <c r="R312" s="2" t="inlineStr">
        <is>
          <t>Knärot</t>
        </is>
      </c>
      <c r="S312">
        <f>HYPERLINK("https://klasma.github.io/Logging_2305/artfynd/A 25718-2025 artfynd.xlsx", "A 25718-2025")</f>
        <v/>
      </c>
      <c r="T312">
        <f>HYPERLINK("https://klasma.github.io/Logging_2305/kartor/A 25718-2025 karta.png", "A 25718-2025")</f>
        <v/>
      </c>
      <c r="U312">
        <f>HYPERLINK("https://klasma.github.io/Logging_2305/knärot/A 25718-2025 karta knärot.png", "A 25718-2025")</f>
        <v/>
      </c>
      <c r="V312">
        <f>HYPERLINK("https://klasma.github.io/Logging_2305/klagomål/A 25718-2025 FSC-klagomål.docx", "A 25718-2025")</f>
        <v/>
      </c>
      <c r="W312">
        <f>HYPERLINK("https://klasma.github.io/Logging_2305/klagomålsmail/A 25718-2025 FSC-klagomål mail.docx", "A 25718-2025")</f>
        <v/>
      </c>
      <c r="X312">
        <f>HYPERLINK("https://klasma.github.io/Logging_2305/tillsyn/A 25718-2025 tillsynsbegäran.docx", "A 25718-2025")</f>
        <v/>
      </c>
      <c r="Y312">
        <f>HYPERLINK("https://klasma.github.io/Logging_2305/tillsynsmail/A 25718-2025 tillsynsbegäran mail.docx", "A 25718-2025")</f>
        <v/>
      </c>
    </row>
    <row r="313" ht="15" customHeight="1">
      <c r="A313" t="inlineStr">
        <is>
          <t>A 46626-2025</t>
        </is>
      </c>
      <c r="B313" s="1" t="n">
        <v>45926.4487037037</v>
      </c>
      <c r="C313" s="1" t="n">
        <v>45976</v>
      </c>
      <c r="D313" t="inlineStr">
        <is>
          <t>JÄMTLANDS LÄN</t>
        </is>
      </c>
      <c r="E313" t="inlineStr">
        <is>
          <t>BRÄCKE</t>
        </is>
      </c>
      <c r="F313" t="inlineStr">
        <is>
          <t>SCA</t>
        </is>
      </c>
      <c r="G313" t="n">
        <v>1.2</v>
      </c>
      <c r="H313" t="n">
        <v>0</v>
      </c>
      <c r="I313" t="n">
        <v>0</v>
      </c>
      <c r="J313" t="n">
        <v>1</v>
      </c>
      <c r="K313" t="n">
        <v>0</v>
      </c>
      <c r="L313" t="n">
        <v>0</v>
      </c>
      <c r="M313" t="n">
        <v>0</v>
      </c>
      <c r="N313" t="n">
        <v>0</v>
      </c>
      <c r="O313" t="n">
        <v>1</v>
      </c>
      <c r="P313" t="n">
        <v>0</v>
      </c>
      <c r="Q313" t="n">
        <v>1</v>
      </c>
      <c r="R313" s="2" t="inlineStr">
        <is>
          <t>Lunglav</t>
        </is>
      </c>
      <c r="S313">
        <f>HYPERLINK("https://klasma.github.io/Logging_2305/artfynd/A 46626-2025 artfynd.xlsx", "A 46626-2025")</f>
        <v/>
      </c>
      <c r="T313">
        <f>HYPERLINK("https://klasma.github.io/Logging_2305/kartor/A 46626-2025 karta.png", "A 46626-2025")</f>
        <v/>
      </c>
      <c r="V313">
        <f>HYPERLINK("https://klasma.github.io/Logging_2305/klagomål/A 46626-2025 FSC-klagomål.docx", "A 46626-2025")</f>
        <v/>
      </c>
      <c r="W313">
        <f>HYPERLINK("https://klasma.github.io/Logging_2305/klagomålsmail/A 46626-2025 FSC-klagomål mail.docx", "A 46626-2025")</f>
        <v/>
      </c>
      <c r="X313">
        <f>HYPERLINK("https://klasma.github.io/Logging_2305/tillsyn/A 46626-2025 tillsynsbegäran.docx", "A 46626-2025")</f>
        <v/>
      </c>
      <c r="Y313">
        <f>HYPERLINK("https://klasma.github.io/Logging_2305/tillsynsmail/A 46626-2025 tillsynsbegäran mail.docx", "A 46626-2025")</f>
        <v/>
      </c>
    </row>
    <row r="314" ht="15" customHeight="1">
      <c r="A314" t="inlineStr">
        <is>
          <t>A 12062-2023</t>
        </is>
      </c>
      <c r="B314" s="1" t="n">
        <v>44996</v>
      </c>
      <c r="C314" s="1" t="n">
        <v>45976</v>
      </c>
      <c r="D314" t="inlineStr">
        <is>
          <t>JÄMTLANDS LÄN</t>
        </is>
      </c>
      <c r="E314" t="inlineStr">
        <is>
          <t>BRÄCKE</t>
        </is>
      </c>
      <c r="G314" t="n">
        <v>5.4</v>
      </c>
      <c r="H314" t="n">
        <v>0</v>
      </c>
      <c r="I314" t="n">
        <v>0</v>
      </c>
      <c r="J314" t="n">
        <v>1</v>
      </c>
      <c r="K314" t="n">
        <v>0</v>
      </c>
      <c r="L314" t="n">
        <v>0</v>
      </c>
      <c r="M314" t="n">
        <v>0</v>
      </c>
      <c r="N314" t="n">
        <v>0</v>
      </c>
      <c r="O314" t="n">
        <v>1</v>
      </c>
      <c r="P314" t="n">
        <v>0</v>
      </c>
      <c r="Q314" t="n">
        <v>1</v>
      </c>
      <c r="R314" s="2" t="inlineStr">
        <is>
          <t>Lunglav</t>
        </is>
      </c>
      <c r="S314">
        <f>HYPERLINK("https://klasma.github.io/Logging_2305/artfynd/A 12062-2023 artfynd.xlsx", "A 12062-2023")</f>
        <v/>
      </c>
      <c r="T314">
        <f>HYPERLINK("https://klasma.github.io/Logging_2305/kartor/A 12062-2023 karta.png", "A 12062-2023")</f>
        <v/>
      </c>
      <c r="V314">
        <f>HYPERLINK("https://klasma.github.io/Logging_2305/klagomål/A 12062-2023 FSC-klagomål.docx", "A 12062-2023")</f>
        <v/>
      </c>
      <c r="W314">
        <f>HYPERLINK("https://klasma.github.io/Logging_2305/klagomålsmail/A 12062-2023 FSC-klagomål mail.docx", "A 12062-2023")</f>
        <v/>
      </c>
      <c r="X314">
        <f>HYPERLINK("https://klasma.github.io/Logging_2305/tillsyn/A 12062-2023 tillsynsbegäran.docx", "A 12062-2023")</f>
        <v/>
      </c>
      <c r="Y314">
        <f>HYPERLINK("https://klasma.github.io/Logging_2305/tillsynsmail/A 12062-2023 tillsynsbegäran mail.docx", "A 12062-2023")</f>
        <v/>
      </c>
    </row>
    <row r="315" ht="15" customHeight="1">
      <c r="A315" t="inlineStr">
        <is>
          <t>A 27061-2025</t>
        </is>
      </c>
      <c r="B315" s="1" t="n">
        <v>45811.6360300926</v>
      </c>
      <c r="C315" s="1" t="n">
        <v>45976</v>
      </c>
      <c r="D315" t="inlineStr">
        <is>
          <t>JÄMTLANDS LÄN</t>
        </is>
      </c>
      <c r="E315" t="inlineStr">
        <is>
          <t>BRÄCKE</t>
        </is>
      </c>
      <c r="F315" t="inlineStr">
        <is>
          <t>SCA</t>
        </is>
      </c>
      <c r="G315" t="n">
        <v>18.9</v>
      </c>
      <c r="H315" t="n">
        <v>0</v>
      </c>
      <c r="I315" t="n">
        <v>0</v>
      </c>
      <c r="J315" t="n">
        <v>1</v>
      </c>
      <c r="K315" t="n">
        <v>0</v>
      </c>
      <c r="L315" t="n">
        <v>0</v>
      </c>
      <c r="M315" t="n">
        <v>0</v>
      </c>
      <c r="N315" t="n">
        <v>0</v>
      </c>
      <c r="O315" t="n">
        <v>1</v>
      </c>
      <c r="P315" t="n">
        <v>0</v>
      </c>
      <c r="Q315" t="n">
        <v>1</v>
      </c>
      <c r="R315" s="2" t="inlineStr">
        <is>
          <t>Lunglav</t>
        </is>
      </c>
      <c r="S315">
        <f>HYPERLINK("https://klasma.github.io/Logging_2305/artfynd/A 27061-2025 artfynd.xlsx", "A 27061-2025")</f>
        <v/>
      </c>
      <c r="T315">
        <f>HYPERLINK("https://klasma.github.io/Logging_2305/kartor/A 27061-2025 karta.png", "A 27061-2025")</f>
        <v/>
      </c>
      <c r="V315">
        <f>HYPERLINK("https://klasma.github.io/Logging_2305/klagomål/A 27061-2025 FSC-klagomål.docx", "A 27061-2025")</f>
        <v/>
      </c>
      <c r="W315">
        <f>HYPERLINK("https://klasma.github.io/Logging_2305/klagomålsmail/A 27061-2025 FSC-klagomål mail.docx", "A 27061-2025")</f>
        <v/>
      </c>
      <c r="X315">
        <f>HYPERLINK("https://klasma.github.io/Logging_2305/tillsyn/A 27061-2025 tillsynsbegäran.docx", "A 27061-2025")</f>
        <v/>
      </c>
      <c r="Y315">
        <f>HYPERLINK("https://klasma.github.io/Logging_2305/tillsynsmail/A 27061-2025 tillsynsbegäran mail.docx", "A 27061-2025")</f>
        <v/>
      </c>
    </row>
    <row r="316" ht="15" customHeight="1">
      <c r="A316" t="inlineStr">
        <is>
          <t>A 53832-2024</t>
        </is>
      </c>
      <c r="B316" s="1" t="n">
        <v>45615</v>
      </c>
      <c r="C316" s="1" t="n">
        <v>45976</v>
      </c>
      <c r="D316" t="inlineStr">
        <is>
          <t>JÄMTLANDS LÄN</t>
        </is>
      </c>
      <c r="E316" t="inlineStr">
        <is>
          <t>BRÄCKE</t>
        </is>
      </c>
      <c r="F316" t="inlineStr">
        <is>
          <t>SCA</t>
        </is>
      </c>
      <c r="G316" t="n">
        <v>4</v>
      </c>
      <c r="H316" t="n">
        <v>0</v>
      </c>
      <c r="I316" t="n">
        <v>1</v>
      </c>
      <c r="J316" t="n">
        <v>0</v>
      </c>
      <c r="K316" t="n">
        <v>0</v>
      </c>
      <c r="L316" t="n">
        <v>0</v>
      </c>
      <c r="M316" t="n">
        <v>0</v>
      </c>
      <c r="N316" t="n">
        <v>0</v>
      </c>
      <c r="O316" t="n">
        <v>0</v>
      </c>
      <c r="P316" t="n">
        <v>0</v>
      </c>
      <c r="Q316" t="n">
        <v>1</v>
      </c>
      <c r="R316" s="2" t="inlineStr">
        <is>
          <t>Dropptaggsvamp</t>
        </is>
      </c>
      <c r="S316">
        <f>HYPERLINK("https://klasma.github.io/Logging_2305/artfynd/A 53832-2024 artfynd.xlsx", "A 53832-2024")</f>
        <v/>
      </c>
      <c r="T316">
        <f>HYPERLINK("https://klasma.github.io/Logging_2305/kartor/A 53832-2024 karta.png", "A 53832-2024")</f>
        <v/>
      </c>
      <c r="V316">
        <f>HYPERLINK("https://klasma.github.io/Logging_2305/klagomål/A 53832-2024 FSC-klagomål.docx", "A 53832-2024")</f>
        <v/>
      </c>
      <c r="W316">
        <f>HYPERLINK("https://klasma.github.io/Logging_2305/klagomålsmail/A 53832-2024 FSC-klagomål mail.docx", "A 53832-2024")</f>
        <v/>
      </c>
      <c r="X316">
        <f>HYPERLINK("https://klasma.github.io/Logging_2305/tillsyn/A 53832-2024 tillsynsbegäran.docx", "A 53832-2024")</f>
        <v/>
      </c>
      <c r="Y316">
        <f>HYPERLINK("https://klasma.github.io/Logging_2305/tillsynsmail/A 53832-2024 tillsynsbegäran mail.docx", "A 53832-2024")</f>
        <v/>
      </c>
    </row>
    <row r="317" ht="15" customHeight="1">
      <c r="A317" t="inlineStr">
        <is>
          <t>A 60051-2020</t>
        </is>
      </c>
      <c r="B317" s="1" t="n">
        <v>44151</v>
      </c>
      <c r="C317" s="1" t="n">
        <v>45976</v>
      </c>
      <c r="D317" t="inlineStr">
        <is>
          <t>JÄMTLANDS LÄN</t>
        </is>
      </c>
      <c r="E317" t="inlineStr">
        <is>
          <t>BRÄCKE</t>
        </is>
      </c>
      <c r="F317" t="inlineStr">
        <is>
          <t>SCA</t>
        </is>
      </c>
      <c r="G317" t="n">
        <v>9.300000000000001</v>
      </c>
      <c r="H317" t="n">
        <v>0</v>
      </c>
      <c r="I317" t="n">
        <v>0</v>
      </c>
      <c r="J317" t="n">
        <v>1</v>
      </c>
      <c r="K317" t="n">
        <v>0</v>
      </c>
      <c r="L317" t="n">
        <v>0</v>
      </c>
      <c r="M317" t="n">
        <v>0</v>
      </c>
      <c r="N317" t="n">
        <v>0</v>
      </c>
      <c r="O317" t="n">
        <v>1</v>
      </c>
      <c r="P317" t="n">
        <v>0</v>
      </c>
      <c r="Q317" t="n">
        <v>1</v>
      </c>
      <c r="R317" s="2" t="inlineStr">
        <is>
          <t>Lunglav</t>
        </is>
      </c>
      <c r="S317">
        <f>HYPERLINK("https://klasma.github.io/Logging_2305/artfynd/A 60051-2020 artfynd.xlsx", "A 60051-2020")</f>
        <v/>
      </c>
      <c r="T317">
        <f>HYPERLINK("https://klasma.github.io/Logging_2305/kartor/A 60051-2020 karta.png", "A 60051-2020")</f>
        <v/>
      </c>
      <c r="V317">
        <f>HYPERLINK("https://klasma.github.io/Logging_2305/klagomål/A 60051-2020 FSC-klagomål.docx", "A 60051-2020")</f>
        <v/>
      </c>
      <c r="W317">
        <f>HYPERLINK("https://klasma.github.io/Logging_2305/klagomålsmail/A 60051-2020 FSC-klagomål mail.docx", "A 60051-2020")</f>
        <v/>
      </c>
      <c r="X317">
        <f>HYPERLINK("https://klasma.github.io/Logging_2305/tillsyn/A 60051-2020 tillsynsbegäran.docx", "A 60051-2020")</f>
        <v/>
      </c>
      <c r="Y317">
        <f>HYPERLINK("https://klasma.github.io/Logging_2305/tillsynsmail/A 60051-2020 tillsynsbegäran mail.docx", "A 60051-2020")</f>
        <v/>
      </c>
    </row>
    <row r="318" ht="15" customHeight="1">
      <c r="A318" t="inlineStr">
        <is>
          <t>A 27860-2025</t>
        </is>
      </c>
      <c r="B318" s="1" t="n">
        <v>45817.41630787037</v>
      </c>
      <c r="C318" s="1" t="n">
        <v>45976</v>
      </c>
      <c r="D318" t="inlineStr">
        <is>
          <t>JÄMTLANDS LÄN</t>
        </is>
      </c>
      <c r="E318" t="inlineStr">
        <is>
          <t>BRÄCKE</t>
        </is>
      </c>
      <c r="G318" t="n">
        <v>7.9</v>
      </c>
      <c r="H318" t="n">
        <v>0</v>
      </c>
      <c r="I318" t="n">
        <v>0</v>
      </c>
      <c r="J318" t="n">
        <v>1</v>
      </c>
      <c r="K318" t="n">
        <v>0</v>
      </c>
      <c r="L318" t="n">
        <v>0</v>
      </c>
      <c r="M318" t="n">
        <v>0</v>
      </c>
      <c r="N318" t="n">
        <v>0</v>
      </c>
      <c r="O318" t="n">
        <v>1</v>
      </c>
      <c r="P318" t="n">
        <v>0</v>
      </c>
      <c r="Q318" t="n">
        <v>1</v>
      </c>
      <c r="R318" s="2" t="inlineStr">
        <is>
          <t>Blanksvart spiklav</t>
        </is>
      </c>
      <c r="S318">
        <f>HYPERLINK("https://klasma.github.io/Logging_2305/artfynd/A 27860-2025 artfynd.xlsx", "A 27860-2025")</f>
        <v/>
      </c>
      <c r="T318">
        <f>HYPERLINK("https://klasma.github.io/Logging_2305/kartor/A 27860-2025 karta.png", "A 27860-2025")</f>
        <v/>
      </c>
      <c r="V318">
        <f>HYPERLINK("https://klasma.github.io/Logging_2305/klagomål/A 27860-2025 FSC-klagomål.docx", "A 27860-2025")</f>
        <v/>
      </c>
      <c r="W318">
        <f>HYPERLINK("https://klasma.github.io/Logging_2305/klagomålsmail/A 27860-2025 FSC-klagomål mail.docx", "A 27860-2025")</f>
        <v/>
      </c>
      <c r="X318">
        <f>HYPERLINK("https://klasma.github.io/Logging_2305/tillsyn/A 27860-2025 tillsynsbegäran.docx", "A 27860-2025")</f>
        <v/>
      </c>
      <c r="Y318">
        <f>HYPERLINK("https://klasma.github.io/Logging_2305/tillsynsmail/A 27860-2025 tillsynsbegäran mail.docx", "A 27860-2025")</f>
        <v/>
      </c>
    </row>
    <row r="319" ht="15" customHeight="1">
      <c r="A319" t="inlineStr">
        <is>
          <t>A 28676-2025</t>
        </is>
      </c>
      <c r="B319" s="1" t="n">
        <v>45819.67771990741</v>
      </c>
      <c r="C319" s="1" t="n">
        <v>45976</v>
      </c>
      <c r="D319" t="inlineStr">
        <is>
          <t>JÄMTLANDS LÄN</t>
        </is>
      </c>
      <c r="E319" t="inlineStr">
        <is>
          <t>BRÄCKE</t>
        </is>
      </c>
      <c r="G319" t="n">
        <v>1.2</v>
      </c>
      <c r="H319" t="n">
        <v>0</v>
      </c>
      <c r="I319" t="n">
        <v>1</v>
      </c>
      <c r="J319" t="n">
        <v>0</v>
      </c>
      <c r="K319" t="n">
        <v>0</v>
      </c>
      <c r="L319" t="n">
        <v>0</v>
      </c>
      <c r="M319" t="n">
        <v>0</v>
      </c>
      <c r="N319" t="n">
        <v>0</v>
      </c>
      <c r="O319" t="n">
        <v>0</v>
      </c>
      <c r="P319" t="n">
        <v>0</v>
      </c>
      <c r="Q319" t="n">
        <v>1</v>
      </c>
      <c r="R319" s="2" t="inlineStr">
        <is>
          <t>Rödgul trumpetsvamp</t>
        </is>
      </c>
      <c r="S319">
        <f>HYPERLINK("https://klasma.github.io/Logging_2305/artfynd/A 28676-2025 artfynd.xlsx", "A 28676-2025")</f>
        <v/>
      </c>
      <c r="T319">
        <f>HYPERLINK("https://klasma.github.io/Logging_2305/kartor/A 28676-2025 karta.png", "A 28676-2025")</f>
        <v/>
      </c>
      <c r="V319">
        <f>HYPERLINK("https://klasma.github.io/Logging_2305/klagomål/A 28676-2025 FSC-klagomål.docx", "A 28676-2025")</f>
        <v/>
      </c>
      <c r="W319">
        <f>HYPERLINK("https://klasma.github.io/Logging_2305/klagomålsmail/A 28676-2025 FSC-klagomål mail.docx", "A 28676-2025")</f>
        <v/>
      </c>
      <c r="X319">
        <f>HYPERLINK("https://klasma.github.io/Logging_2305/tillsyn/A 28676-2025 tillsynsbegäran.docx", "A 28676-2025")</f>
        <v/>
      </c>
      <c r="Y319">
        <f>HYPERLINK("https://klasma.github.io/Logging_2305/tillsynsmail/A 28676-2025 tillsynsbegäran mail.docx", "A 28676-2025")</f>
        <v/>
      </c>
    </row>
    <row r="320" ht="15" customHeight="1">
      <c r="A320" t="inlineStr">
        <is>
          <t>A 48289-2025</t>
        </is>
      </c>
      <c r="B320" s="1" t="n">
        <v>45933.59482638889</v>
      </c>
      <c r="C320" s="1" t="n">
        <v>45976</v>
      </c>
      <c r="D320" t="inlineStr">
        <is>
          <t>JÄMTLANDS LÄN</t>
        </is>
      </c>
      <c r="E320" t="inlineStr">
        <is>
          <t>BRÄCKE</t>
        </is>
      </c>
      <c r="F320" t="inlineStr">
        <is>
          <t>SCA</t>
        </is>
      </c>
      <c r="G320" t="n">
        <v>10.9</v>
      </c>
      <c r="H320" t="n">
        <v>0</v>
      </c>
      <c r="I320" t="n">
        <v>0</v>
      </c>
      <c r="J320" t="n">
        <v>0</v>
      </c>
      <c r="K320" t="n">
        <v>0</v>
      </c>
      <c r="L320" t="n">
        <v>0</v>
      </c>
      <c r="M320" t="n">
        <v>0</v>
      </c>
      <c r="N320" t="n">
        <v>0</v>
      </c>
      <c r="O320" t="n">
        <v>1</v>
      </c>
      <c r="P320" t="n">
        <v>0</v>
      </c>
      <c r="Q320" t="n">
        <v>1</v>
      </c>
      <c r="R320" s="2" t="inlineStr">
        <is>
          <t>Gelatinfingersvamp</t>
        </is>
      </c>
      <c r="S320">
        <f>HYPERLINK("https://klasma.github.io/Logging_2305/artfynd/A 48289-2025 artfynd.xlsx", "A 48289-2025")</f>
        <v/>
      </c>
      <c r="T320">
        <f>HYPERLINK("https://klasma.github.io/Logging_2305/kartor/A 48289-2025 karta.png", "A 48289-2025")</f>
        <v/>
      </c>
      <c r="V320">
        <f>HYPERLINK("https://klasma.github.io/Logging_2305/klagomål/A 48289-2025 FSC-klagomål.docx", "A 48289-2025")</f>
        <v/>
      </c>
      <c r="W320">
        <f>HYPERLINK("https://klasma.github.io/Logging_2305/klagomålsmail/A 48289-2025 FSC-klagomål mail.docx", "A 48289-2025")</f>
        <v/>
      </c>
      <c r="X320">
        <f>HYPERLINK("https://klasma.github.io/Logging_2305/tillsyn/A 48289-2025 tillsynsbegäran.docx", "A 48289-2025")</f>
        <v/>
      </c>
      <c r="Y320">
        <f>HYPERLINK("https://klasma.github.io/Logging_2305/tillsynsmail/A 48289-2025 tillsynsbegäran mail.docx", "A 48289-2025")</f>
        <v/>
      </c>
    </row>
    <row r="321" ht="15" customHeight="1">
      <c r="A321" t="inlineStr">
        <is>
          <t>A 16573-2023</t>
        </is>
      </c>
      <c r="B321" s="1" t="n">
        <v>45029</v>
      </c>
      <c r="C321" s="1" t="n">
        <v>45976</v>
      </c>
      <c r="D321" t="inlineStr">
        <is>
          <t>JÄMTLANDS LÄN</t>
        </is>
      </c>
      <c r="E321" t="inlineStr">
        <is>
          <t>BRÄCKE</t>
        </is>
      </c>
      <c r="F321" t="inlineStr">
        <is>
          <t>SCA</t>
        </is>
      </c>
      <c r="G321" t="n">
        <v>9.5</v>
      </c>
      <c r="H321" t="n">
        <v>1</v>
      </c>
      <c r="I321" t="n">
        <v>0</v>
      </c>
      <c r="J321" t="n">
        <v>1</v>
      </c>
      <c r="K321" t="n">
        <v>0</v>
      </c>
      <c r="L321" t="n">
        <v>0</v>
      </c>
      <c r="M321" t="n">
        <v>0</v>
      </c>
      <c r="N321" t="n">
        <v>0</v>
      </c>
      <c r="O321" t="n">
        <v>1</v>
      </c>
      <c r="P321" t="n">
        <v>0</v>
      </c>
      <c r="Q321" t="n">
        <v>1</v>
      </c>
      <c r="R321" s="2" t="inlineStr">
        <is>
          <t>Tretåig hackspett</t>
        </is>
      </c>
      <c r="S321">
        <f>HYPERLINK("https://klasma.github.io/Logging_2305/artfynd/A 16573-2023 artfynd.xlsx", "A 16573-2023")</f>
        <v/>
      </c>
      <c r="T321">
        <f>HYPERLINK("https://klasma.github.io/Logging_2305/kartor/A 16573-2023 karta.png", "A 16573-2023")</f>
        <v/>
      </c>
      <c r="V321">
        <f>HYPERLINK("https://klasma.github.io/Logging_2305/klagomål/A 16573-2023 FSC-klagomål.docx", "A 16573-2023")</f>
        <v/>
      </c>
      <c r="W321">
        <f>HYPERLINK("https://klasma.github.io/Logging_2305/klagomålsmail/A 16573-2023 FSC-klagomål mail.docx", "A 16573-2023")</f>
        <v/>
      </c>
      <c r="X321">
        <f>HYPERLINK("https://klasma.github.io/Logging_2305/tillsyn/A 16573-2023 tillsynsbegäran.docx", "A 16573-2023")</f>
        <v/>
      </c>
      <c r="Y321">
        <f>HYPERLINK("https://klasma.github.io/Logging_2305/tillsynsmail/A 16573-2023 tillsynsbegäran mail.docx", "A 16573-2023")</f>
        <v/>
      </c>
      <c r="Z321">
        <f>HYPERLINK("https://klasma.github.io/Logging_2305/fåglar/A 16573-2023 prioriterade fågelarter.docx", "A 16573-2023")</f>
        <v/>
      </c>
    </row>
    <row r="322" ht="15" customHeight="1">
      <c r="A322" t="inlineStr">
        <is>
          <t>A 11614-2024</t>
        </is>
      </c>
      <c r="B322" s="1" t="n">
        <v>45373.42134259259</v>
      </c>
      <c r="C322" s="1" t="n">
        <v>45976</v>
      </c>
      <c r="D322" t="inlineStr">
        <is>
          <t>JÄMTLANDS LÄN</t>
        </is>
      </c>
      <c r="E322" t="inlineStr">
        <is>
          <t>BRÄCKE</t>
        </is>
      </c>
      <c r="G322" t="n">
        <v>4.3</v>
      </c>
      <c r="H322" t="n">
        <v>0</v>
      </c>
      <c r="I322" t="n">
        <v>1</v>
      </c>
      <c r="J322" t="n">
        <v>0</v>
      </c>
      <c r="K322" t="n">
        <v>0</v>
      </c>
      <c r="L322" t="n">
        <v>0</v>
      </c>
      <c r="M322" t="n">
        <v>0</v>
      </c>
      <c r="N322" t="n">
        <v>0</v>
      </c>
      <c r="O322" t="n">
        <v>0</v>
      </c>
      <c r="P322" t="n">
        <v>0</v>
      </c>
      <c r="Q322" t="n">
        <v>1</v>
      </c>
      <c r="R322" s="2" t="inlineStr">
        <is>
          <t>Dropptaggsvamp</t>
        </is>
      </c>
      <c r="S322">
        <f>HYPERLINK("https://klasma.github.io/Logging_2305/artfynd/A 11614-2024 artfynd.xlsx", "A 11614-2024")</f>
        <v/>
      </c>
      <c r="T322">
        <f>HYPERLINK("https://klasma.github.io/Logging_2305/kartor/A 11614-2024 karta.png", "A 11614-2024")</f>
        <v/>
      </c>
      <c r="V322">
        <f>HYPERLINK("https://klasma.github.io/Logging_2305/klagomål/A 11614-2024 FSC-klagomål.docx", "A 11614-2024")</f>
        <v/>
      </c>
      <c r="W322">
        <f>HYPERLINK("https://klasma.github.io/Logging_2305/klagomålsmail/A 11614-2024 FSC-klagomål mail.docx", "A 11614-2024")</f>
        <v/>
      </c>
      <c r="X322">
        <f>HYPERLINK("https://klasma.github.io/Logging_2305/tillsyn/A 11614-2024 tillsynsbegäran.docx", "A 11614-2024")</f>
        <v/>
      </c>
      <c r="Y322">
        <f>HYPERLINK("https://klasma.github.io/Logging_2305/tillsynsmail/A 11614-2024 tillsynsbegäran mail.docx", "A 11614-2024")</f>
        <v/>
      </c>
    </row>
    <row r="323" ht="15" customHeight="1">
      <c r="A323" t="inlineStr">
        <is>
          <t>A 20768-2024</t>
        </is>
      </c>
      <c r="B323" s="1" t="n">
        <v>45436.94594907408</v>
      </c>
      <c r="C323" s="1" t="n">
        <v>45976</v>
      </c>
      <c r="D323" t="inlineStr">
        <is>
          <t>JÄMTLANDS LÄN</t>
        </is>
      </c>
      <c r="E323" t="inlineStr">
        <is>
          <t>BRÄCKE</t>
        </is>
      </c>
      <c r="F323" t="inlineStr">
        <is>
          <t>SCA</t>
        </is>
      </c>
      <c r="G323" t="n">
        <v>12.6</v>
      </c>
      <c r="H323" t="n">
        <v>1</v>
      </c>
      <c r="I323" t="n">
        <v>0</v>
      </c>
      <c r="J323" t="n">
        <v>0</v>
      </c>
      <c r="K323" t="n">
        <v>1</v>
      </c>
      <c r="L323" t="n">
        <v>0</v>
      </c>
      <c r="M323" t="n">
        <v>0</v>
      </c>
      <c r="N323" t="n">
        <v>0</v>
      </c>
      <c r="O323" t="n">
        <v>1</v>
      </c>
      <c r="P323" t="n">
        <v>1</v>
      </c>
      <c r="Q323" t="n">
        <v>1</v>
      </c>
      <c r="R323" s="2" t="inlineStr">
        <is>
          <t>Doftticka</t>
        </is>
      </c>
      <c r="S323">
        <f>HYPERLINK("https://klasma.github.io/Logging_2305/artfynd/A 20768-2024 artfynd.xlsx", "A 20768-2024")</f>
        <v/>
      </c>
      <c r="T323">
        <f>HYPERLINK("https://klasma.github.io/Logging_2305/kartor/A 20768-2024 karta.png", "A 20768-2024")</f>
        <v/>
      </c>
      <c r="V323">
        <f>HYPERLINK("https://klasma.github.io/Logging_2305/klagomål/A 20768-2024 FSC-klagomål.docx", "A 20768-2024")</f>
        <v/>
      </c>
      <c r="W323">
        <f>HYPERLINK("https://klasma.github.io/Logging_2305/klagomålsmail/A 20768-2024 FSC-klagomål mail.docx", "A 20768-2024")</f>
        <v/>
      </c>
      <c r="X323">
        <f>HYPERLINK("https://klasma.github.io/Logging_2305/tillsyn/A 20768-2024 tillsynsbegäran.docx", "A 20768-2024")</f>
        <v/>
      </c>
      <c r="Y323">
        <f>HYPERLINK("https://klasma.github.io/Logging_2305/tillsynsmail/A 20768-2024 tillsynsbegäran mail.docx", "A 20768-2024")</f>
        <v/>
      </c>
    </row>
    <row r="324" ht="15" customHeight="1">
      <c r="A324" t="inlineStr">
        <is>
          <t>A 50513-2023</t>
        </is>
      </c>
      <c r="B324" s="1" t="n">
        <v>45216</v>
      </c>
      <c r="C324" s="1" t="n">
        <v>45976</v>
      </c>
      <c r="D324" t="inlineStr">
        <is>
          <t>JÄMTLANDS LÄN</t>
        </is>
      </c>
      <c r="E324" t="inlineStr">
        <is>
          <t>BRÄCKE</t>
        </is>
      </c>
      <c r="F324" t="inlineStr">
        <is>
          <t>SCA</t>
        </is>
      </c>
      <c r="G324" t="n">
        <v>1.7</v>
      </c>
      <c r="H324" t="n">
        <v>1</v>
      </c>
      <c r="I324" t="n">
        <v>0</v>
      </c>
      <c r="J324" t="n">
        <v>0</v>
      </c>
      <c r="K324" t="n">
        <v>0</v>
      </c>
      <c r="L324" t="n">
        <v>0</v>
      </c>
      <c r="M324" t="n">
        <v>0</v>
      </c>
      <c r="N324" t="n">
        <v>0</v>
      </c>
      <c r="O324" t="n">
        <v>0</v>
      </c>
      <c r="P324" t="n">
        <v>0</v>
      </c>
      <c r="Q324" t="n">
        <v>1</v>
      </c>
      <c r="R324" s="2" t="inlineStr">
        <is>
          <t>Grönsiska</t>
        </is>
      </c>
      <c r="S324">
        <f>HYPERLINK("https://klasma.github.io/Logging_2305/artfynd/A 50513-2023 artfynd.xlsx", "A 50513-2023")</f>
        <v/>
      </c>
      <c r="T324">
        <f>HYPERLINK("https://klasma.github.io/Logging_2305/kartor/A 50513-2023 karta.png", "A 50513-2023")</f>
        <v/>
      </c>
      <c r="V324">
        <f>HYPERLINK("https://klasma.github.io/Logging_2305/klagomål/A 50513-2023 FSC-klagomål.docx", "A 50513-2023")</f>
        <v/>
      </c>
      <c r="W324">
        <f>HYPERLINK("https://klasma.github.io/Logging_2305/klagomålsmail/A 50513-2023 FSC-klagomål mail.docx", "A 50513-2023")</f>
        <v/>
      </c>
      <c r="X324">
        <f>HYPERLINK("https://klasma.github.io/Logging_2305/tillsyn/A 50513-2023 tillsynsbegäran.docx", "A 50513-2023")</f>
        <v/>
      </c>
      <c r="Y324">
        <f>HYPERLINK("https://klasma.github.io/Logging_2305/tillsynsmail/A 50513-2023 tillsynsbegäran mail.docx", "A 50513-2023")</f>
        <v/>
      </c>
      <c r="Z324">
        <f>HYPERLINK("https://klasma.github.io/Logging_2305/fåglar/A 50513-2023 prioriterade fågelarter.docx", "A 50513-2023")</f>
        <v/>
      </c>
    </row>
    <row r="325" ht="15" customHeight="1">
      <c r="A325" t="inlineStr">
        <is>
          <t>A 31450-2025</t>
        </is>
      </c>
      <c r="B325" s="1" t="n">
        <v>45833.53162037037</v>
      </c>
      <c r="C325" s="1" t="n">
        <v>45976</v>
      </c>
      <c r="D325" t="inlineStr">
        <is>
          <t>JÄMTLANDS LÄN</t>
        </is>
      </c>
      <c r="E325" t="inlineStr">
        <is>
          <t>BRÄCKE</t>
        </is>
      </c>
      <c r="F325" t="inlineStr">
        <is>
          <t>SCA</t>
        </is>
      </c>
      <c r="G325" t="n">
        <v>1.6</v>
      </c>
      <c r="H325" t="n">
        <v>1</v>
      </c>
      <c r="I325" t="n">
        <v>1</v>
      </c>
      <c r="J325" t="n">
        <v>0</v>
      </c>
      <c r="K325" t="n">
        <v>0</v>
      </c>
      <c r="L325" t="n">
        <v>0</v>
      </c>
      <c r="M325" t="n">
        <v>0</v>
      </c>
      <c r="N325" t="n">
        <v>0</v>
      </c>
      <c r="O325" t="n">
        <v>0</v>
      </c>
      <c r="P325" t="n">
        <v>0</v>
      </c>
      <c r="Q325" t="n">
        <v>1</v>
      </c>
      <c r="R325" s="2" t="inlineStr">
        <is>
          <t>Plattlummer</t>
        </is>
      </c>
      <c r="S325">
        <f>HYPERLINK("https://klasma.github.io/Logging_2305/artfynd/A 31450-2025 artfynd.xlsx", "A 31450-2025")</f>
        <v/>
      </c>
      <c r="T325">
        <f>HYPERLINK("https://klasma.github.io/Logging_2305/kartor/A 31450-2025 karta.png", "A 31450-2025")</f>
        <v/>
      </c>
      <c r="V325">
        <f>HYPERLINK("https://klasma.github.io/Logging_2305/klagomål/A 31450-2025 FSC-klagomål.docx", "A 31450-2025")</f>
        <v/>
      </c>
      <c r="W325">
        <f>HYPERLINK("https://klasma.github.io/Logging_2305/klagomålsmail/A 31450-2025 FSC-klagomål mail.docx", "A 31450-2025")</f>
        <v/>
      </c>
      <c r="X325">
        <f>HYPERLINK("https://klasma.github.io/Logging_2305/tillsyn/A 31450-2025 tillsynsbegäran.docx", "A 31450-2025")</f>
        <v/>
      </c>
      <c r="Y325">
        <f>HYPERLINK("https://klasma.github.io/Logging_2305/tillsynsmail/A 31450-2025 tillsynsbegäran mail.docx", "A 31450-2025")</f>
        <v/>
      </c>
    </row>
    <row r="326" ht="15" customHeight="1">
      <c r="A326" t="inlineStr">
        <is>
          <t>A 49325-2023</t>
        </is>
      </c>
      <c r="B326" s="1" t="n">
        <v>45210</v>
      </c>
      <c r="C326" s="1" t="n">
        <v>45976</v>
      </c>
      <c r="D326" t="inlineStr">
        <is>
          <t>JÄMTLANDS LÄN</t>
        </is>
      </c>
      <c r="E326" t="inlineStr">
        <is>
          <t>BRÄCKE</t>
        </is>
      </c>
      <c r="F326" t="inlineStr">
        <is>
          <t>SCA</t>
        </is>
      </c>
      <c r="G326" t="n">
        <v>7</v>
      </c>
      <c r="H326" t="n">
        <v>1</v>
      </c>
      <c r="I326" t="n">
        <v>0</v>
      </c>
      <c r="J326" t="n">
        <v>0</v>
      </c>
      <c r="K326" t="n">
        <v>1</v>
      </c>
      <c r="L326" t="n">
        <v>0</v>
      </c>
      <c r="M326" t="n">
        <v>0</v>
      </c>
      <c r="N326" t="n">
        <v>0</v>
      </c>
      <c r="O326" t="n">
        <v>1</v>
      </c>
      <c r="P326" t="n">
        <v>1</v>
      </c>
      <c r="Q326" t="n">
        <v>1</v>
      </c>
      <c r="R326" s="2" t="inlineStr">
        <is>
          <t>Doftticka</t>
        </is>
      </c>
      <c r="S326">
        <f>HYPERLINK("https://klasma.github.io/Logging_2305/artfynd/A 49325-2023 artfynd.xlsx", "A 49325-2023")</f>
        <v/>
      </c>
      <c r="T326">
        <f>HYPERLINK("https://klasma.github.io/Logging_2305/kartor/A 49325-2023 karta.png", "A 49325-2023")</f>
        <v/>
      </c>
      <c r="V326">
        <f>HYPERLINK("https://klasma.github.io/Logging_2305/klagomål/A 49325-2023 FSC-klagomål.docx", "A 49325-2023")</f>
        <v/>
      </c>
      <c r="W326">
        <f>HYPERLINK("https://klasma.github.io/Logging_2305/klagomålsmail/A 49325-2023 FSC-klagomål mail.docx", "A 49325-2023")</f>
        <v/>
      </c>
      <c r="X326">
        <f>HYPERLINK("https://klasma.github.io/Logging_2305/tillsyn/A 49325-2023 tillsynsbegäran.docx", "A 49325-2023")</f>
        <v/>
      </c>
      <c r="Y326">
        <f>HYPERLINK("https://klasma.github.io/Logging_2305/tillsynsmail/A 49325-2023 tillsynsbegäran mail.docx", "A 49325-2023")</f>
        <v/>
      </c>
    </row>
    <row r="327" ht="15" customHeight="1">
      <c r="A327" t="inlineStr">
        <is>
          <t>A 34226-2025</t>
        </is>
      </c>
      <c r="B327" s="1" t="n">
        <v>45845.656875</v>
      </c>
      <c r="C327" s="1" t="n">
        <v>45976</v>
      </c>
      <c r="D327" t="inlineStr">
        <is>
          <t>JÄMTLANDS LÄN</t>
        </is>
      </c>
      <c r="E327" t="inlineStr">
        <is>
          <t>BRÄCKE</t>
        </is>
      </c>
      <c r="F327" t="inlineStr">
        <is>
          <t>SCA</t>
        </is>
      </c>
      <c r="G327" t="n">
        <v>9</v>
      </c>
      <c r="H327" t="n">
        <v>1</v>
      </c>
      <c r="I327" t="n">
        <v>0</v>
      </c>
      <c r="J327" t="n">
        <v>1</v>
      </c>
      <c r="K327" t="n">
        <v>0</v>
      </c>
      <c r="L327" t="n">
        <v>0</v>
      </c>
      <c r="M327" t="n">
        <v>0</v>
      </c>
      <c r="N327" t="n">
        <v>0</v>
      </c>
      <c r="O327" t="n">
        <v>1</v>
      </c>
      <c r="P327" t="n">
        <v>0</v>
      </c>
      <c r="Q327" t="n">
        <v>1</v>
      </c>
      <c r="R327" s="2" t="inlineStr">
        <is>
          <t>Talltita</t>
        </is>
      </c>
      <c r="S327">
        <f>HYPERLINK("https://klasma.github.io/Logging_2305/artfynd/A 34226-2025 artfynd.xlsx", "A 34226-2025")</f>
        <v/>
      </c>
      <c r="T327">
        <f>HYPERLINK("https://klasma.github.io/Logging_2305/kartor/A 34226-2025 karta.png", "A 34226-2025")</f>
        <v/>
      </c>
      <c r="V327">
        <f>HYPERLINK("https://klasma.github.io/Logging_2305/klagomål/A 34226-2025 FSC-klagomål.docx", "A 34226-2025")</f>
        <v/>
      </c>
      <c r="W327">
        <f>HYPERLINK("https://klasma.github.io/Logging_2305/klagomålsmail/A 34226-2025 FSC-klagomål mail.docx", "A 34226-2025")</f>
        <v/>
      </c>
      <c r="X327">
        <f>HYPERLINK("https://klasma.github.io/Logging_2305/tillsyn/A 34226-2025 tillsynsbegäran.docx", "A 34226-2025")</f>
        <v/>
      </c>
      <c r="Y327">
        <f>HYPERLINK("https://klasma.github.io/Logging_2305/tillsynsmail/A 34226-2025 tillsynsbegäran mail.docx", "A 34226-2025")</f>
        <v/>
      </c>
      <c r="Z327">
        <f>HYPERLINK("https://klasma.github.io/Logging_2305/fåglar/A 34226-2025 prioriterade fågelarter.docx", "A 34226-2025")</f>
        <v/>
      </c>
    </row>
    <row r="328" ht="15" customHeight="1">
      <c r="A328" t="inlineStr">
        <is>
          <t>A 34911-2025</t>
        </is>
      </c>
      <c r="B328" s="1" t="n">
        <v>45849.53545138889</v>
      </c>
      <c r="C328" s="1" t="n">
        <v>45976</v>
      </c>
      <c r="D328" t="inlineStr">
        <is>
          <t>JÄMTLANDS LÄN</t>
        </is>
      </c>
      <c r="E328" t="inlineStr">
        <is>
          <t>BRÄCKE</t>
        </is>
      </c>
      <c r="F328" t="inlineStr">
        <is>
          <t>Sveaskog</t>
        </is>
      </c>
      <c r="G328" t="n">
        <v>7.2</v>
      </c>
      <c r="H328" t="n">
        <v>1</v>
      </c>
      <c r="I328" t="n">
        <v>1</v>
      </c>
      <c r="J328" t="n">
        <v>0</v>
      </c>
      <c r="K328" t="n">
        <v>0</v>
      </c>
      <c r="L328" t="n">
        <v>0</v>
      </c>
      <c r="M328" t="n">
        <v>0</v>
      </c>
      <c r="N328" t="n">
        <v>0</v>
      </c>
      <c r="O328" t="n">
        <v>0</v>
      </c>
      <c r="P328" t="n">
        <v>0</v>
      </c>
      <c r="Q328" t="n">
        <v>1</v>
      </c>
      <c r="R328" s="2" t="inlineStr">
        <is>
          <t>Guckusko</t>
        </is>
      </c>
      <c r="S328">
        <f>HYPERLINK("https://klasma.github.io/Logging_2305/artfynd/A 34911-2025 artfynd.xlsx", "A 34911-2025")</f>
        <v/>
      </c>
      <c r="T328">
        <f>HYPERLINK("https://klasma.github.io/Logging_2305/kartor/A 34911-2025 karta.png", "A 34911-2025")</f>
        <v/>
      </c>
      <c r="V328">
        <f>HYPERLINK("https://klasma.github.io/Logging_2305/klagomål/A 34911-2025 FSC-klagomål.docx", "A 34911-2025")</f>
        <v/>
      </c>
      <c r="W328">
        <f>HYPERLINK("https://klasma.github.io/Logging_2305/klagomålsmail/A 34911-2025 FSC-klagomål mail.docx", "A 34911-2025")</f>
        <v/>
      </c>
      <c r="X328">
        <f>HYPERLINK("https://klasma.github.io/Logging_2305/tillsyn/A 34911-2025 tillsynsbegäran.docx", "A 34911-2025")</f>
        <v/>
      </c>
      <c r="Y328">
        <f>HYPERLINK("https://klasma.github.io/Logging_2305/tillsynsmail/A 34911-2025 tillsynsbegäran mail.docx", "A 34911-2025")</f>
        <v/>
      </c>
    </row>
    <row r="329" ht="15" customHeight="1">
      <c r="A329" t="inlineStr">
        <is>
          <t>A 11553-2024</t>
        </is>
      </c>
      <c r="B329" s="1" t="n">
        <v>45372.95811342593</v>
      </c>
      <c r="C329" s="1" t="n">
        <v>45976</v>
      </c>
      <c r="D329" t="inlineStr">
        <is>
          <t>JÄMTLANDS LÄN</t>
        </is>
      </c>
      <c r="E329" t="inlineStr">
        <is>
          <t>BRÄCKE</t>
        </is>
      </c>
      <c r="F329" t="inlineStr">
        <is>
          <t>Naturvårdsverket</t>
        </is>
      </c>
      <c r="G329" t="n">
        <v>1.9</v>
      </c>
      <c r="H329" t="n">
        <v>0</v>
      </c>
      <c r="I329" t="n">
        <v>1</v>
      </c>
      <c r="J329" t="n">
        <v>0</v>
      </c>
      <c r="K329" t="n">
        <v>0</v>
      </c>
      <c r="L329" t="n">
        <v>0</v>
      </c>
      <c r="M329" t="n">
        <v>0</v>
      </c>
      <c r="N329" t="n">
        <v>0</v>
      </c>
      <c r="O329" t="n">
        <v>0</v>
      </c>
      <c r="P329" t="n">
        <v>0</v>
      </c>
      <c r="Q329" t="n">
        <v>1</v>
      </c>
      <c r="R329" s="2" t="inlineStr">
        <is>
          <t>Dropptaggsvamp</t>
        </is>
      </c>
      <c r="S329">
        <f>HYPERLINK("https://klasma.github.io/Logging_2305/artfynd/A 11553-2024 artfynd.xlsx", "A 11553-2024")</f>
        <v/>
      </c>
      <c r="T329">
        <f>HYPERLINK("https://klasma.github.io/Logging_2305/kartor/A 11553-2024 karta.png", "A 11553-2024")</f>
        <v/>
      </c>
      <c r="V329">
        <f>HYPERLINK("https://klasma.github.io/Logging_2305/klagomål/A 11553-2024 FSC-klagomål.docx", "A 11553-2024")</f>
        <v/>
      </c>
      <c r="W329">
        <f>HYPERLINK("https://klasma.github.io/Logging_2305/klagomålsmail/A 11553-2024 FSC-klagomål mail.docx", "A 11553-2024")</f>
        <v/>
      </c>
      <c r="X329">
        <f>HYPERLINK("https://klasma.github.io/Logging_2305/tillsyn/A 11553-2024 tillsynsbegäran.docx", "A 11553-2024")</f>
        <v/>
      </c>
      <c r="Y329">
        <f>HYPERLINK("https://klasma.github.io/Logging_2305/tillsynsmail/A 11553-2024 tillsynsbegäran mail.docx", "A 11553-2024")</f>
        <v/>
      </c>
    </row>
    <row r="330" ht="15" customHeight="1">
      <c r="A330" t="inlineStr">
        <is>
          <t>A 35210-2025</t>
        </is>
      </c>
      <c r="B330" s="1" t="n">
        <v>45853.44842592593</v>
      </c>
      <c r="C330" s="1" t="n">
        <v>45976</v>
      </c>
      <c r="D330" t="inlineStr">
        <is>
          <t>JÄMTLANDS LÄN</t>
        </is>
      </c>
      <c r="E330" t="inlineStr">
        <is>
          <t>BRÄCKE</t>
        </is>
      </c>
      <c r="F330" t="inlineStr">
        <is>
          <t>SCA</t>
        </is>
      </c>
      <c r="G330" t="n">
        <v>2.6</v>
      </c>
      <c r="H330" t="n">
        <v>0</v>
      </c>
      <c r="I330" t="n">
        <v>0</v>
      </c>
      <c r="J330" t="n">
        <v>1</v>
      </c>
      <c r="K330" t="n">
        <v>0</v>
      </c>
      <c r="L330" t="n">
        <v>0</v>
      </c>
      <c r="M330" t="n">
        <v>0</v>
      </c>
      <c r="N330" t="n">
        <v>0</v>
      </c>
      <c r="O330" t="n">
        <v>1</v>
      </c>
      <c r="P330" t="n">
        <v>0</v>
      </c>
      <c r="Q330" t="n">
        <v>1</v>
      </c>
      <c r="R330" s="2" t="inlineStr">
        <is>
          <t>Lunglav</t>
        </is>
      </c>
      <c r="S330">
        <f>HYPERLINK("https://klasma.github.io/Logging_2305/artfynd/A 35210-2025 artfynd.xlsx", "A 35210-2025")</f>
        <v/>
      </c>
      <c r="T330">
        <f>HYPERLINK("https://klasma.github.io/Logging_2305/kartor/A 35210-2025 karta.png", "A 35210-2025")</f>
        <v/>
      </c>
      <c r="V330">
        <f>HYPERLINK("https://klasma.github.io/Logging_2305/klagomål/A 35210-2025 FSC-klagomål.docx", "A 35210-2025")</f>
        <v/>
      </c>
      <c r="W330">
        <f>HYPERLINK("https://klasma.github.io/Logging_2305/klagomålsmail/A 35210-2025 FSC-klagomål mail.docx", "A 35210-2025")</f>
        <v/>
      </c>
      <c r="X330">
        <f>HYPERLINK("https://klasma.github.io/Logging_2305/tillsyn/A 35210-2025 tillsynsbegäran.docx", "A 35210-2025")</f>
        <v/>
      </c>
      <c r="Y330">
        <f>HYPERLINK("https://klasma.github.io/Logging_2305/tillsynsmail/A 35210-2025 tillsynsbegäran mail.docx", "A 35210-2025")</f>
        <v/>
      </c>
    </row>
    <row r="331" ht="15" customHeight="1">
      <c r="A331" t="inlineStr">
        <is>
          <t>A 35328-2025</t>
        </is>
      </c>
      <c r="B331" s="1" t="n">
        <v>45854.53034722222</v>
      </c>
      <c r="C331" s="1" t="n">
        <v>45976</v>
      </c>
      <c r="D331" t="inlineStr">
        <is>
          <t>JÄMTLANDS LÄN</t>
        </is>
      </c>
      <c r="E331" t="inlineStr">
        <is>
          <t>BRÄCKE</t>
        </is>
      </c>
      <c r="F331" t="inlineStr">
        <is>
          <t>Sveaskog</t>
        </is>
      </c>
      <c r="G331" t="n">
        <v>4.8</v>
      </c>
      <c r="H331" t="n">
        <v>0</v>
      </c>
      <c r="I331" t="n">
        <v>0</v>
      </c>
      <c r="J331" t="n">
        <v>1</v>
      </c>
      <c r="K331" t="n">
        <v>0</v>
      </c>
      <c r="L331" t="n">
        <v>0</v>
      </c>
      <c r="M331" t="n">
        <v>0</v>
      </c>
      <c r="N331" t="n">
        <v>0</v>
      </c>
      <c r="O331" t="n">
        <v>1</v>
      </c>
      <c r="P331" t="n">
        <v>0</v>
      </c>
      <c r="Q331" t="n">
        <v>1</v>
      </c>
      <c r="R331" s="2" t="inlineStr">
        <is>
          <t>Lunglav</t>
        </is>
      </c>
      <c r="S331">
        <f>HYPERLINK("https://klasma.github.io/Logging_2305/artfynd/A 35328-2025 artfynd.xlsx", "A 35328-2025")</f>
        <v/>
      </c>
      <c r="T331">
        <f>HYPERLINK("https://klasma.github.io/Logging_2305/kartor/A 35328-2025 karta.png", "A 35328-2025")</f>
        <v/>
      </c>
      <c r="V331">
        <f>HYPERLINK("https://klasma.github.io/Logging_2305/klagomål/A 35328-2025 FSC-klagomål.docx", "A 35328-2025")</f>
        <v/>
      </c>
      <c r="W331">
        <f>HYPERLINK("https://klasma.github.io/Logging_2305/klagomålsmail/A 35328-2025 FSC-klagomål mail.docx", "A 35328-2025")</f>
        <v/>
      </c>
      <c r="X331">
        <f>HYPERLINK("https://klasma.github.io/Logging_2305/tillsyn/A 35328-2025 tillsynsbegäran.docx", "A 35328-2025")</f>
        <v/>
      </c>
      <c r="Y331">
        <f>HYPERLINK("https://klasma.github.io/Logging_2305/tillsynsmail/A 35328-2025 tillsynsbegäran mail.docx", "A 35328-2025")</f>
        <v/>
      </c>
    </row>
    <row r="332" ht="15" customHeight="1">
      <c r="A332" t="inlineStr">
        <is>
          <t>A 35579-2025</t>
        </is>
      </c>
      <c r="B332" s="1" t="n">
        <v>45856.67818287037</v>
      </c>
      <c r="C332" s="1" t="n">
        <v>45976</v>
      </c>
      <c r="D332" t="inlineStr">
        <is>
          <t>JÄMTLANDS LÄN</t>
        </is>
      </c>
      <c r="E332" t="inlineStr">
        <is>
          <t>BRÄCKE</t>
        </is>
      </c>
      <c r="F332" t="inlineStr">
        <is>
          <t>SCA</t>
        </is>
      </c>
      <c r="G332" t="n">
        <v>5.2</v>
      </c>
      <c r="H332" t="n">
        <v>0</v>
      </c>
      <c r="I332" t="n">
        <v>0</v>
      </c>
      <c r="J332" t="n">
        <v>1</v>
      </c>
      <c r="K332" t="n">
        <v>0</v>
      </c>
      <c r="L332" t="n">
        <v>0</v>
      </c>
      <c r="M332" t="n">
        <v>0</v>
      </c>
      <c r="N332" t="n">
        <v>0</v>
      </c>
      <c r="O332" t="n">
        <v>1</v>
      </c>
      <c r="P332" t="n">
        <v>0</v>
      </c>
      <c r="Q332" t="n">
        <v>1</v>
      </c>
      <c r="R332" s="2" t="inlineStr">
        <is>
          <t>Tallticka</t>
        </is>
      </c>
      <c r="S332">
        <f>HYPERLINK("https://klasma.github.io/Logging_2305/artfynd/A 35579-2025 artfynd.xlsx", "A 35579-2025")</f>
        <v/>
      </c>
      <c r="T332">
        <f>HYPERLINK("https://klasma.github.io/Logging_2305/kartor/A 35579-2025 karta.png", "A 35579-2025")</f>
        <v/>
      </c>
      <c r="V332">
        <f>HYPERLINK("https://klasma.github.io/Logging_2305/klagomål/A 35579-2025 FSC-klagomål.docx", "A 35579-2025")</f>
        <v/>
      </c>
      <c r="W332">
        <f>HYPERLINK("https://klasma.github.io/Logging_2305/klagomålsmail/A 35579-2025 FSC-klagomål mail.docx", "A 35579-2025")</f>
        <v/>
      </c>
      <c r="X332">
        <f>HYPERLINK("https://klasma.github.io/Logging_2305/tillsyn/A 35579-2025 tillsynsbegäran.docx", "A 35579-2025")</f>
        <v/>
      </c>
      <c r="Y332">
        <f>HYPERLINK("https://klasma.github.io/Logging_2305/tillsynsmail/A 35579-2025 tillsynsbegäran mail.docx", "A 35579-2025")</f>
        <v/>
      </c>
    </row>
    <row r="333" ht="15" customHeight="1">
      <c r="A333" t="inlineStr">
        <is>
          <t>A 2466-2025</t>
        </is>
      </c>
      <c r="B333" s="1" t="n">
        <v>45674.46958333333</v>
      </c>
      <c r="C333" s="1" t="n">
        <v>45976</v>
      </c>
      <c r="D333" t="inlineStr">
        <is>
          <t>JÄMTLANDS LÄN</t>
        </is>
      </c>
      <c r="E333" t="inlineStr">
        <is>
          <t>BRÄCKE</t>
        </is>
      </c>
      <c r="F333" t="inlineStr">
        <is>
          <t>SCA</t>
        </is>
      </c>
      <c r="G333" t="n">
        <v>2.4</v>
      </c>
      <c r="H333" t="n">
        <v>0</v>
      </c>
      <c r="I333" t="n">
        <v>0</v>
      </c>
      <c r="J333" t="n">
        <v>1</v>
      </c>
      <c r="K333" t="n">
        <v>0</v>
      </c>
      <c r="L333" t="n">
        <v>0</v>
      </c>
      <c r="M333" t="n">
        <v>0</v>
      </c>
      <c r="N333" t="n">
        <v>0</v>
      </c>
      <c r="O333" t="n">
        <v>1</v>
      </c>
      <c r="P333" t="n">
        <v>0</v>
      </c>
      <c r="Q333" t="n">
        <v>1</v>
      </c>
      <c r="R333" s="2" t="inlineStr">
        <is>
          <t>Lunglav</t>
        </is>
      </c>
      <c r="S333">
        <f>HYPERLINK("https://klasma.github.io/Logging_2305/artfynd/A 2466-2025 artfynd.xlsx", "A 2466-2025")</f>
        <v/>
      </c>
      <c r="T333">
        <f>HYPERLINK("https://klasma.github.io/Logging_2305/kartor/A 2466-2025 karta.png", "A 2466-2025")</f>
        <v/>
      </c>
      <c r="V333">
        <f>HYPERLINK("https://klasma.github.io/Logging_2305/klagomål/A 2466-2025 FSC-klagomål.docx", "A 2466-2025")</f>
        <v/>
      </c>
      <c r="W333">
        <f>HYPERLINK("https://klasma.github.io/Logging_2305/klagomålsmail/A 2466-2025 FSC-klagomål mail.docx", "A 2466-2025")</f>
        <v/>
      </c>
      <c r="X333">
        <f>HYPERLINK("https://klasma.github.io/Logging_2305/tillsyn/A 2466-2025 tillsynsbegäran.docx", "A 2466-2025")</f>
        <v/>
      </c>
      <c r="Y333">
        <f>HYPERLINK("https://klasma.github.io/Logging_2305/tillsynsmail/A 2466-2025 tillsynsbegäran mail.docx", "A 2466-2025")</f>
        <v/>
      </c>
    </row>
    <row r="334" ht="15" customHeight="1">
      <c r="A334" t="inlineStr">
        <is>
          <t>A 2882-2025</t>
        </is>
      </c>
      <c r="B334" s="1" t="n">
        <v>45677.69878472222</v>
      </c>
      <c r="C334" s="1" t="n">
        <v>45976</v>
      </c>
      <c r="D334" t="inlineStr">
        <is>
          <t>JÄMTLANDS LÄN</t>
        </is>
      </c>
      <c r="E334" t="inlineStr">
        <is>
          <t>BRÄCKE</t>
        </is>
      </c>
      <c r="F334" t="inlineStr">
        <is>
          <t>SCA</t>
        </is>
      </c>
      <c r="G334" t="n">
        <v>2.7</v>
      </c>
      <c r="H334" t="n">
        <v>0</v>
      </c>
      <c r="I334" t="n">
        <v>0</v>
      </c>
      <c r="J334" t="n">
        <v>1</v>
      </c>
      <c r="K334" t="n">
        <v>0</v>
      </c>
      <c r="L334" t="n">
        <v>0</v>
      </c>
      <c r="M334" t="n">
        <v>0</v>
      </c>
      <c r="N334" t="n">
        <v>0</v>
      </c>
      <c r="O334" t="n">
        <v>1</v>
      </c>
      <c r="P334" t="n">
        <v>0</v>
      </c>
      <c r="Q334" t="n">
        <v>1</v>
      </c>
      <c r="R334" s="2" t="inlineStr">
        <is>
          <t>Dvärgbägarlav</t>
        </is>
      </c>
      <c r="S334">
        <f>HYPERLINK("https://klasma.github.io/Logging_2305/artfynd/A 2882-2025 artfynd.xlsx", "A 2882-2025")</f>
        <v/>
      </c>
      <c r="T334">
        <f>HYPERLINK("https://klasma.github.io/Logging_2305/kartor/A 2882-2025 karta.png", "A 2882-2025")</f>
        <v/>
      </c>
      <c r="V334">
        <f>HYPERLINK("https://klasma.github.io/Logging_2305/klagomål/A 2882-2025 FSC-klagomål.docx", "A 2882-2025")</f>
        <v/>
      </c>
      <c r="W334">
        <f>HYPERLINK("https://klasma.github.io/Logging_2305/klagomålsmail/A 2882-2025 FSC-klagomål mail.docx", "A 2882-2025")</f>
        <v/>
      </c>
      <c r="X334">
        <f>HYPERLINK("https://klasma.github.io/Logging_2305/tillsyn/A 2882-2025 tillsynsbegäran.docx", "A 2882-2025")</f>
        <v/>
      </c>
      <c r="Y334">
        <f>HYPERLINK("https://klasma.github.io/Logging_2305/tillsynsmail/A 2882-2025 tillsynsbegäran mail.docx", "A 2882-2025")</f>
        <v/>
      </c>
    </row>
    <row r="335" ht="15" customHeight="1">
      <c r="A335" t="inlineStr">
        <is>
          <t>A 235-2022</t>
        </is>
      </c>
      <c r="B335" s="1" t="n">
        <v>44564</v>
      </c>
      <c r="C335" s="1" t="n">
        <v>45976</v>
      </c>
      <c r="D335" t="inlineStr">
        <is>
          <t>JÄMTLANDS LÄN</t>
        </is>
      </c>
      <c r="E335" t="inlineStr">
        <is>
          <t>BRÄCKE</t>
        </is>
      </c>
      <c r="F335" t="inlineStr">
        <is>
          <t>SCA</t>
        </is>
      </c>
      <c r="G335" t="n">
        <v>5.8</v>
      </c>
      <c r="H335" t="n">
        <v>0</v>
      </c>
      <c r="I335" t="n">
        <v>0</v>
      </c>
      <c r="J335" t="n">
        <v>1</v>
      </c>
      <c r="K335" t="n">
        <v>0</v>
      </c>
      <c r="L335" t="n">
        <v>0</v>
      </c>
      <c r="M335" t="n">
        <v>0</v>
      </c>
      <c r="N335" t="n">
        <v>0</v>
      </c>
      <c r="O335" t="n">
        <v>1</v>
      </c>
      <c r="P335" t="n">
        <v>0</v>
      </c>
      <c r="Q335" t="n">
        <v>1</v>
      </c>
      <c r="R335" s="2" t="inlineStr">
        <is>
          <t>Harticka</t>
        </is>
      </c>
      <c r="S335">
        <f>HYPERLINK("https://klasma.github.io/Logging_2305/artfynd/A 235-2022 artfynd.xlsx", "A 235-2022")</f>
        <v/>
      </c>
      <c r="T335">
        <f>HYPERLINK("https://klasma.github.io/Logging_2305/kartor/A 235-2022 karta.png", "A 235-2022")</f>
        <v/>
      </c>
      <c r="V335">
        <f>HYPERLINK("https://klasma.github.io/Logging_2305/klagomål/A 235-2022 FSC-klagomål.docx", "A 235-2022")</f>
        <v/>
      </c>
      <c r="W335">
        <f>HYPERLINK("https://klasma.github.io/Logging_2305/klagomålsmail/A 235-2022 FSC-klagomål mail.docx", "A 235-2022")</f>
        <v/>
      </c>
      <c r="X335">
        <f>HYPERLINK("https://klasma.github.io/Logging_2305/tillsyn/A 235-2022 tillsynsbegäran.docx", "A 235-2022")</f>
        <v/>
      </c>
      <c r="Y335">
        <f>HYPERLINK("https://klasma.github.io/Logging_2305/tillsynsmail/A 235-2022 tillsynsbegäran mail.docx", "A 235-2022")</f>
        <v/>
      </c>
    </row>
    <row r="336" ht="15" customHeight="1">
      <c r="A336" t="inlineStr">
        <is>
          <t>A 698-2025</t>
        </is>
      </c>
      <c r="B336" s="1" t="n">
        <v>45665.34416666667</v>
      </c>
      <c r="C336" s="1" t="n">
        <v>45976</v>
      </c>
      <c r="D336" t="inlineStr">
        <is>
          <t>JÄMTLANDS LÄN</t>
        </is>
      </c>
      <c r="E336" t="inlineStr">
        <is>
          <t>BRÄCKE</t>
        </is>
      </c>
      <c r="F336" t="inlineStr">
        <is>
          <t>SCA</t>
        </is>
      </c>
      <c r="G336" t="n">
        <v>4.6</v>
      </c>
      <c r="H336" t="n">
        <v>0</v>
      </c>
      <c r="I336" t="n">
        <v>0</v>
      </c>
      <c r="J336" t="n">
        <v>1</v>
      </c>
      <c r="K336" t="n">
        <v>0</v>
      </c>
      <c r="L336" t="n">
        <v>0</v>
      </c>
      <c r="M336" t="n">
        <v>0</v>
      </c>
      <c r="N336" t="n">
        <v>0</v>
      </c>
      <c r="O336" t="n">
        <v>1</v>
      </c>
      <c r="P336" t="n">
        <v>0</v>
      </c>
      <c r="Q336" t="n">
        <v>1</v>
      </c>
      <c r="R336" s="2" t="inlineStr">
        <is>
          <t>Lunglav</t>
        </is>
      </c>
      <c r="S336">
        <f>HYPERLINK("https://klasma.github.io/Logging_2305/artfynd/A 698-2025 artfynd.xlsx", "A 698-2025")</f>
        <v/>
      </c>
      <c r="T336">
        <f>HYPERLINK("https://klasma.github.io/Logging_2305/kartor/A 698-2025 karta.png", "A 698-2025")</f>
        <v/>
      </c>
      <c r="V336">
        <f>HYPERLINK("https://klasma.github.io/Logging_2305/klagomål/A 698-2025 FSC-klagomål.docx", "A 698-2025")</f>
        <v/>
      </c>
      <c r="W336">
        <f>HYPERLINK("https://klasma.github.io/Logging_2305/klagomålsmail/A 698-2025 FSC-klagomål mail.docx", "A 698-2025")</f>
        <v/>
      </c>
      <c r="X336">
        <f>HYPERLINK("https://klasma.github.io/Logging_2305/tillsyn/A 698-2025 tillsynsbegäran.docx", "A 698-2025")</f>
        <v/>
      </c>
      <c r="Y336">
        <f>HYPERLINK("https://klasma.github.io/Logging_2305/tillsynsmail/A 698-2025 tillsynsbegäran mail.docx", "A 698-2025")</f>
        <v/>
      </c>
    </row>
    <row r="337" ht="15" customHeight="1">
      <c r="A337" t="inlineStr">
        <is>
          <t>A 14374-2024</t>
        </is>
      </c>
      <c r="B337" s="1" t="n">
        <v>45393</v>
      </c>
      <c r="C337" s="1" t="n">
        <v>45976</v>
      </c>
      <c r="D337" t="inlineStr">
        <is>
          <t>JÄMTLANDS LÄN</t>
        </is>
      </c>
      <c r="E337" t="inlineStr">
        <is>
          <t>BRÄCKE</t>
        </is>
      </c>
      <c r="F337" t="inlineStr">
        <is>
          <t>SCA</t>
        </is>
      </c>
      <c r="G337" t="n">
        <v>0.8</v>
      </c>
      <c r="H337" t="n">
        <v>1</v>
      </c>
      <c r="I337" t="n">
        <v>0</v>
      </c>
      <c r="J337" t="n">
        <v>1</v>
      </c>
      <c r="K337" t="n">
        <v>0</v>
      </c>
      <c r="L337" t="n">
        <v>0</v>
      </c>
      <c r="M337" t="n">
        <v>0</v>
      </c>
      <c r="N337" t="n">
        <v>0</v>
      </c>
      <c r="O337" t="n">
        <v>1</v>
      </c>
      <c r="P337" t="n">
        <v>0</v>
      </c>
      <c r="Q337" t="n">
        <v>1</v>
      </c>
      <c r="R337" s="2" t="inlineStr">
        <is>
          <t>Kungsörn</t>
        </is>
      </c>
      <c r="S337">
        <f>HYPERLINK("https://klasma.github.io/Logging_2305/artfynd/A 14374-2024 artfynd.xlsx", "A 14374-2024")</f>
        <v/>
      </c>
      <c r="T337">
        <f>HYPERLINK("https://klasma.github.io/Logging_2305/kartor/A 14374-2024 karta.png", "A 14374-2024")</f>
        <v/>
      </c>
      <c r="V337">
        <f>HYPERLINK("https://klasma.github.io/Logging_2305/klagomål/A 14374-2024 FSC-klagomål.docx", "A 14374-2024")</f>
        <v/>
      </c>
      <c r="W337">
        <f>HYPERLINK("https://klasma.github.io/Logging_2305/klagomålsmail/A 14374-2024 FSC-klagomål mail.docx", "A 14374-2024")</f>
        <v/>
      </c>
      <c r="X337">
        <f>HYPERLINK("https://klasma.github.io/Logging_2305/tillsyn/A 14374-2024 tillsynsbegäran.docx", "A 14374-2024")</f>
        <v/>
      </c>
      <c r="Y337">
        <f>HYPERLINK("https://klasma.github.io/Logging_2305/tillsynsmail/A 14374-2024 tillsynsbegäran mail.docx", "A 14374-2024")</f>
        <v/>
      </c>
      <c r="Z337">
        <f>HYPERLINK("https://klasma.github.io/Logging_2305/fåglar/A 14374-2024 prioriterade fågelarter.docx", "A 14374-2024")</f>
        <v/>
      </c>
    </row>
    <row r="338" ht="15" customHeight="1">
      <c r="A338" t="inlineStr">
        <is>
          <t>A 39701-2022</t>
        </is>
      </c>
      <c r="B338" s="1" t="n">
        <v>44818</v>
      </c>
      <c r="C338" s="1" t="n">
        <v>45976</v>
      </c>
      <c r="D338" t="inlineStr">
        <is>
          <t>JÄMTLANDS LÄN</t>
        </is>
      </c>
      <c r="E338" t="inlineStr">
        <is>
          <t>BRÄCKE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64809-2020</t>
        </is>
      </c>
      <c r="B339" s="1" t="n">
        <v>44169</v>
      </c>
      <c r="C339" s="1" t="n">
        <v>45976</v>
      </c>
      <c r="D339" t="inlineStr">
        <is>
          <t>JÄMTLANDS LÄN</t>
        </is>
      </c>
      <c r="E339" t="inlineStr">
        <is>
          <t>BRÄCKE</t>
        </is>
      </c>
      <c r="F339" t="inlineStr">
        <is>
          <t>SCA</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1087-2022</t>
        </is>
      </c>
      <c r="B340" s="1" t="n">
        <v>44571</v>
      </c>
      <c r="C340" s="1" t="n">
        <v>45976</v>
      </c>
      <c r="D340" t="inlineStr">
        <is>
          <t>JÄMTLANDS LÄN</t>
        </is>
      </c>
      <c r="E340" t="inlineStr">
        <is>
          <t>BRÄCKE</t>
        </is>
      </c>
      <c r="G340" t="n">
        <v>3.7</v>
      </c>
      <c r="H340" t="n">
        <v>0</v>
      </c>
      <c r="I340" t="n">
        <v>0</v>
      </c>
      <c r="J340" t="n">
        <v>0</v>
      </c>
      <c r="K340" t="n">
        <v>0</v>
      </c>
      <c r="L340" t="n">
        <v>0</v>
      </c>
      <c r="M340" t="n">
        <v>0</v>
      </c>
      <c r="N340" t="n">
        <v>0</v>
      </c>
      <c r="O340" t="n">
        <v>0</v>
      </c>
      <c r="P340" t="n">
        <v>0</v>
      </c>
      <c r="Q340" t="n">
        <v>0</v>
      </c>
      <c r="R340" s="2" t="inlineStr"/>
    </row>
    <row r="341" ht="15" customHeight="1">
      <c r="A341" t="inlineStr">
        <is>
          <t>A 62970-2020</t>
        </is>
      </c>
      <c r="B341" s="1" t="n">
        <v>44162</v>
      </c>
      <c r="C341" s="1" t="n">
        <v>45976</v>
      </c>
      <c r="D341" t="inlineStr">
        <is>
          <t>JÄMTLANDS LÄN</t>
        </is>
      </c>
      <c r="E341" t="inlineStr">
        <is>
          <t>BRÄCKE</t>
        </is>
      </c>
      <c r="G341" t="n">
        <v>2.4</v>
      </c>
      <c r="H341" t="n">
        <v>0</v>
      </c>
      <c r="I341" t="n">
        <v>0</v>
      </c>
      <c r="J341" t="n">
        <v>0</v>
      </c>
      <c r="K341" t="n">
        <v>0</v>
      </c>
      <c r="L341" t="n">
        <v>0</v>
      </c>
      <c r="M341" t="n">
        <v>0</v>
      </c>
      <c r="N341" t="n">
        <v>0</v>
      </c>
      <c r="O341" t="n">
        <v>0</v>
      </c>
      <c r="P341" t="n">
        <v>0</v>
      </c>
      <c r="Q341" t="n">
        <v>0</v>
      </c>
      <c r="R341" s="2" t="inlineStr"/>
    </row>
    <row r="342" ht="15" customHeight="1">
      <c r="A342" t="inlineStr">
        <is>
          <t>A 36840-2022</t>
        </is>
      </c>
      <c r="B342" s="1" t="n">
        <v>44805</v>
      </c>
      <c r="C342" s="1" t="n">
        <v>45976</v>
      </c>
      <c r="D342" t="inlineStr">
        <is>
          <t>JÄMTLANDS LÄN</t>
        </is>
      </c>
      <c r="E342" t="inlineStr">
        <is>
          <t>BRÄCKE</t>
        </is>
      </c>
      <c r="G342" t="n">
        <v>1.2</v>
      </c>
      <c r="H342" t="n">
        <v>0</v>
      </c>
      <c r="I342" t="n">
        <v>0</v>
      </c>
      <c r="J342" t="n">
        <v>0</v>
      </c>
      <c r="K342" t="n">
        <v>0</v>
      </c>
      <c r="L342" t="n">
        <v>0</v>
      </c>
      <c r="M342" t="n">
        <v>0</v>
      </c>
      <c r="N342" t="n">
        <v>0</v>
      </c>
      <c r="O342" t="n">
        <v>0</v>
      </c>
      <c r="P342" t="n">
        <v>0</v>
      </c>
      <c r="Q342" t="n">
        <v>0</v>
      </c>
      <c r="R342" s="2" t="inlineStr"/>
    </row>
    <row r="343" ht="15" customHeight="1">
      <c r="A343" t="inlineStr">
        <is>
          <t>A 44752-2022</t>
        </is>
      </c>
      <c r="B343" s="1" t="n">
        <v>44840</v>
      </c>
      <c r="C343" s="1" t="n">
        <v>45976</v>
      </c>
      <c r="D343" t="inlineStr">
        <is>
          <t>JÄMTLANDS LÄN</t>
        </is>
      </c>
      <c r="E343" t="inlineStr">
        <is>
          <t>BRÄCKE</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51022-2022</t>
        </is>
      </c>
      <c r="B344" s="1" t="n">
        <v>44867</v>
      </c>
      <c r="C344" s="1" t="n">
        <v>45976</v>
      </c>
      <c r="D344" t="inlineStr">
        <is>
          <t>JÄMTLANDS LÄN</t>
        </is>
      </c>
      <c r="E344" t="inlineStr">
        <is>
          <t>BRÄCKE</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14079-2021</t>
        </is>
      </c>
      <c r="B345" s="1" t="n">
        <v>44277</v>
      </c>
      <c r="C345" s="1" t="n">
        <v>45976</v>
      </c>
      <c r="D345" t="inlineStr">
        <is>
          <t>JÄMTLANDS LÄN</t>
        </is>
      </c>
      <c r="E345" t="inlineStr">
        <is>
          <t>BRÄCKE</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54829-2022</t>
        </is>
      </c>
      <c r="B346" s="1" t="n">
        <v>44883</v>
      </c>
      <c r="C346" s="1" t="n">
        <v>45976</v>
      </c>
      <c r="D346" t="inlineStr">
        <is>
          <t>JÄMTLANDS LÄN</t>
        </is>
      </c>
      <c r="E346" t="inlineStr">
        <is>
          <t>BRÄCKE</t>
        </is>
      </c>
      <c r="F346" t="inlineStr">
        <is>
          <t>SCA</t>
        </is>
      </c>
      <c r="G346" t="n">
        <v>7.5</v>
      </c>
      <c r="H346" t="n">
        <v>0</v>
      </c>
      <c r="I346" t="n">
        <v>0</v>
      </c>
      <c r="J346" t="n">
        <v>0</v>
      </c>
      <c r="K346" t="n">
        <v>0</v>
      </c>
      <c r="L346" t="n">
        <v>0</v>
      </c>
      <c r="M346" t="n">
        <v>0</v>
      </c>
      <c r="N346" t="n">
        <v>0</v>
      </c>
      <c r="O346" t="n">
        <v>0</v>
      </c>
      <c r="P346" t="n">
        <v>0</v>
      </c>
      <c r="Q346" t="n">
        <v>0</v>
      </c>
      <c r="R346" s="2" t="inlineStr"/>
    </row>
    <row r="347" ht="15" customHeight="1">
      <c r="A347" t="inlineStr">
        <is>
          <t>A 52022-2021</t>
        </is>
      </c>
      <c r="B347" s="1" t="n">
        <v>44463</v>
      </c>
      <c r="C347" s="1" t="n">
        <v>45976</v>
      </c>
      <c r="D347" t="inlineStr">
        <is>
          <t>JÄMTLANDS LÄN</t>
        </is>
      </c>
      <c r="E347" t="inlineStr">
        <is>
          <t>BRÄCKE</t>
        </is>
      </c>
      <c r="G347" t="n">
        <v>8.4</v>
      </c>
      <c r="H347" t="n">
        <v>0</v>
      </c>
      <c r="I347" t="n">
        <v>0</v>
      </c>
      <c r="J347" t="n">
        <v>0</v>
      </c>
      <c r="K347" t="n">
        <v>0</v>
      </c>
      <c r="L347" t="n">
        <v>0</v>
      </c>
      <c r="M347" t="n">
        <v>0</v>
      </c>
      <c r="N347" t="n">
        <v>0</v>
      </c>
      <c r="O347" t="n">
        <v>0</v>
      </c>
      <c r="P347" t="n">
        <v>0</v>
      </c>
      <c r="Q347" t="n">
        <v>0</v>
      </c>
      <c r="R347" s="2" t="inlineStr"/>
    </row>
    <row r="348" ht="15" customHeight="1">
      <c r="A348" t="inlineStr">
        <is>
          <t>A 59322-2021</t>
        </is>
      </c>
      <c r="B348" s="1" t="n">
        <v>44490.94116898148</v>
      </c>
      <c r="C348" s="1" t="n">
        <v>45976</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66443-2020</t>
        </is>
      </c>
      <c r="B349" s="1" t="n">
        <v>44176</v>
      </c>
      <c r="C349" s="1" t="n">
        <v>45976</v>
      </c>
      <c r="D349" t="inlineStr">
        <is>
          <t>JÄMTLANDS LÄN</t>
        </is>
      </c>
      <c r="E349" t="inlineStr">
        <is>
          <t>BRÄCKE</t>
        </is>
      </c>
      <c r="G349" t="n">
        <v>2.8</v>
      </c>
      <c r="H349" t="n">
        <v>0</v>
      </c>
      <c r="I349" t="n">
        <v>0</v>
      </c>
      <c r="J349" t="n">
        <v>0</v>
      </c>
      <c r="K349" t="n">
        <v>0</v>
      </c>
      <c r="L349" t="n">
        <v>0</v>
      </c>
      <c r="M349" t="n">
        <v>0</v>
      </c>
      <c r="N349" t="n">
        <v>0</v>
      </c>
      <c r="O349" t="n">
        <v>0</v>
      </c>
      <c r="P349" t="n">
        <v>0</v>
      </c>
      <c r="Q349" t="n">
        <v>0</v>
      </c>
      <c r="R349" s="2" t="inlineStr"/>
    </row>
    <row r="350" ht="15" customHeight="1">
      <c r="A350" t="inlineStr">
        <is>
          <t>A 18006-2021</t>
        </is>
      </c>
      <c r="B350" s="1" t="n">
        <v>44301</v>
      </c>
      <c r="C350" s="1" t="n">
        <v>45976</v>
      </c>
      <c r="D350" t="inlineStr">
        <is>
          <t>JÄMTLANDS LÄN</t>
        </is>
      </c>
      <c r="E350" t="inlineStr">
        <is>
          <t>BRÄCKE</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1027-2021</t>
        </is>
      </c>
      <c r="B351" s="1" t="n">
        <v>44207</v>
      </c>
      <c r="C351" s="1" t="n">
        <v>45976</v>
      </c>
      <c r="D351" t="inlineStr">
        <is>
          <t>JÄMTLANDS LÄN</t>
        </is>
      </c>
      <c r="E351" t="inlineStr">
        <is>
          <t>BRÄCKE</t>
        </is>
      </c>
      <c r="G351" t="n">
        <v>2.7</v>
      </c>
      <c r="H351" t="n">
        <v>0</v>
      </c>
      <c r="I351" t="n">
        <v>0</v>
      </c>
      <c r="J351" t="n">
        <v>0</v>
      </c>
      <c r="K351" t="n">
        <v>0</v>
      </c>
      <c r="L351" t="n">
        <v>0</v>
      </c>
      <c r="M351" t="n">
        <v>0</v>
      </c>
      <c r="N351" t="n">
        <v>0</v>
      </c>
      <c r="O351" t="n">
        <v>0</v>
      </c>
      <c r="P351" t="n">
        <v>0</v>
      </c>
      <c r="Q351" t="n">
        <v>0</v>
      </c>
      <c r="R351" s="2" t="inlineStr"/>
    </row>
    <row r="352" ht="15" customHeight="1">
      <c r="A352" t="inlineStr">
        <is>
          <t>A 5380-2022</t>
        </is>
      </c>
      <c r="B352" s="1" t="n">
        <v>44594</v>
      </c>
      <c r="C352" s="1" t="n">
        <v>45976</v>
      </c>
      <c r="D352" t="inlineStr">
        <is>
          <t>JÄMTLANDS LÄN</t>
        </is>
      </c>
      <c r="E352" t="inlineStr">
        <is>
          <t>BRÄCKE</t>
        </is>
      </c>
      <c r="F352" t="inlineStr">
        <is>
          <t>SCA</t>
        </is>
      </c>
      <c r="G352" t="n">
        <v>18.3</v>
      </c>
      <c r="H352" t="n">
        <v>0</v>
      </c>
      <c r="I352" t="n">
        <v>0</v>
      </c>
      <c r="J352" t="n">
        <v>0</v>
      </c>
      <c r="K352" t="n">
        <v>0</v>
      </c>
      <c r="L352" t="n">
        <v>0</v>
      </c>
      <c r="M352" t="n">
        <v>0</v>
      </c>
      <c r="N352" t="n">
        <v>0</v>
      </c>
      <c r="O352" t="n">
        <v>0</v>
      </c>
      <c r="P352" t="n">
        <v>0</v>
      </c>
      <c r="Q352" t="n">
        <v>0</v>
      </c>
      <c r="R352" s="2" t="inlineStr"/>
      <c r="U352">
        <f>HYPERLINK("https://klasma.github.io/Logging_2305/knärot/A 5380-2022 karta knärot.png", "A 5380-2022")</f>
        <v/>
      </c>
      <c r="V352">
        <f>HYPERLINK("https://klasma.github.io/Logging_2305/klagomål/A 5380-2022 FSC-klagomål.docx", "A 5380-2022")</f>
        <v/>
      </c>
      <c r="W352">
        <f>HYPERLINK("https://klasma.github.io/Logging_2305/klagomålsmail/A 5380-2022 FSC-klagomål mail.docx", "A 5380-2022")</f>
        <v/>
      </c>
      <c r="X352">
        <f>HYPERLINK("https://klasma.github.io/Logging_2305/tillsyn/A 5380-2022 tillsynsbegäran.docx", "A 5380-2022")</f>
        <v/>
      </c>
      <c r="Y352">
        <f>HYPERLINK("https://klasma.github.io/Logging_2305/tillsynsmail/A 5380-2022 tillsynsbegäran mail.docx", "A 5380-2022")</f>
        <v/>
      </c>
    </row>
    <row r="353" ht="15" customHeight="1">
      <c r="A353" t="inlineStr">
        <is>
          <t>A 63590-2021</t>
        </is>
      </c>
      <c r="B353" s="1" t="n">
        <v>44508.92332175926</v>
      </c>
      <c r="C353" s="1" t="n">
        <v>45976</v>
      </c>
      <c r="D353" t="inlineStr">
        <is>
          <t>JÄMTLANDS LÄN</t>
        </is>
      </c>
      <c r="E353" t="inlineStr">
        <is>
          <t>BRÄCKE</t>
        </is>
      </c>
      <c r="G353" t="n">
        <v>9.1</v>
      </c>
      <c r="H353" t="n">
        <v>0</v>
      </c>
      <c r="I353" t="n">
        <v>0</v>
      </c>
      <c r="J353" t="n">
        <v>0</v>
      </c>
      <c r="K353" t="n">
        <v>0</v>
      </c>
      <c r="L353" t="n">
        <v>0</v>
      </c>
      <c r="M353" t="n">
        <v>0</v>
      </c>
      <c r="N353" t="n">
        <v>0</v>
      </c>
      <c r="O353" t="n">
        <v>0</v>
      </c>
      <c r="P353" t="n">
        <v>0</v>
      </c>
      <c r="Q353" t="n">
        <v>0</v>
      </c>
      <c r="R353" s="2" t="inlineStr"/>
    </row>
    <row r="354" ht="15" customHeight="1">
      <c r="A354" t="inlineStr">
        <is>
          <t>A 43421-2022</t>
        </is>
      </c>
      <c r="B354" s="1" t="n">
        <v>44834</v>
      </c>
      <c r="C354" s="1" t="n">
        <v>45976</v>
      </c>
      <c r="D354" t="inlineStr">
        <is>
          <t>JÄMTLANDS LÄN</t>
        </is>
      </c>
      <c r="E354" t="inlineStr">
        <is>
          <t>BRÄCKE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41474-2021</t>
        </is>
      </c>
      <c r="B355" s="1" t="n">
        <v>44424</v>
      </c>
      <c r="C355" s="1" t="n">
        <v>45976</v>
      </c>
      <c r="D355" t="inlineStr">
        <is>
          <t>JÄMTLANDS LÄN</t>
        </is>
      </c>
      <c r="E355" t="inlineStr">
        <is>
          <t>BRÄCKE</t>
        </is>
      </c>
      <c r="G355" t="n">
        <v>2.3</v>
      </c>
      <c r="H355" t="n">
        <v>0</v>
      </c>
      <c r="I355" t="n">
        <v>0</v>
      </c>
      <c r="J355" t="n">
        <v>0</v>
      </c>
      <c r="K355" t="n">
        <v>0</v>
      </c>
      <c r="L355" t="n">
        <v>0</v>
      </c>
      <c r="M355" t="n">
        <v>0</v>
      </c>
      <c r="N355" t="n">
        <v>0</v>
      </c>
      <c r="O355" t="n">
        <v>0</v>
      </c>
      <c r="P355" t="n">
        <v>0</v>
      </c>
      <c r="Q355" t="n">
        <v>0</v>
      </c>
      <c r="R355" s="2" t="inlineStr"/>
    </row>
    <row r="356" ht="15" customHeight="1">
      <c r="A356" t="inlineStr">
        <is>
          <t>A 30810-2022</t>
        </is>
      </c>
      <c r="B356" s="1" t="n">
        <v>44764.94164351852</v>
      </c>
      <c r="C356" s="1" t="n">
        <v>45976</v>
      </c>
      <c r="D356" t="inlineStr">
        <is>
          <t>JÄMTLANDS LÄN</t>
        </is>
      </c>
      <c r="E356" t="inlineStr">
        <is>
          <t>BRÄCKE</t>
        </is>
      </c>
      <c r="F356" t="inlineStr">
        <is>
          <t>SCA</t>
        </is>
      </c>
      <c r="G356" t="n">
        <v>3.4</v>
      </c>
      <c r="H356" t="n">
        <v>0</v>
      </c>
      <c r="I356" t="n">
        <v>0</v>
      </c>
      <c r="J356" t="n">
        <v>0</v>
      </c>
      <c r="K356" t="n">
        <v>0</v>
      </c>
      <c r="L356" t="n">
        <v>0</v>
      </c>
      <c r="M356" t="n">
        <v>0</v>
      </c>
      <c r="N356" t="n">
        <v>0</v>
      </c>
      <c r="O356" t="n">
        <v>0</v>
      </c>
      <c r="P356" t="n">
        <v>0</v>
      </c>
      <c r="Q356" t="n">
        <v>0</v>
      </c>
      <c r="R356" s="2" t="inlineStr"/>
    </row>
    <row r="357" ht="15" customHeight="1">
      <c r="A357" t="inlineStr">
        <is>
          <t>A 39702-2022</t>
        </is>
      </c>
      <c r="B357" s="1" t="n">
        <v>44818</v>
      </c>
      <c r="C357" s="1" t="n">
        <v>45976</v>
      </c>
      <c r="D357" t="inlineStr">
        <is>
          <t>JÄMTLANDS LÄN</t>
        </is>
      </c>
      <c r="E357" t="inlineStr">
        <is>
          <t>BRÄCKE</t>
        </is>
      </c>
      <c r="F357" t="inlineStr">
        <is>
          <t>SCA</t>
        </is>
      </c>
      <c r="G357" t="n">
        <v>5.6</v>
      </c>
      <c r="H357" t="n">
        <v>0</v>
      </c>
      <c r="I357" t="n">
        <v>0</v>
      </c>
      <c r="J357" t="n">
        <v>0</v>
      </c>
      <c r="K357" t="n">
        <v>0</v>
      </c>
      <c r="L357" t="n">
        <v>0</v>
      </c>
      <c r="M357" t="n">
        <v>0</v>
      </c>
      <c r="N357" t="n">
        <v>0</v>
      </c>
      <c r="O357" t="n">
        <v>0</v>
      </c>
      <c r="P357" t="n">
        <v>0</v>
      </c>
      <c r="Q357" t="n">
        <v>0</v>
      </c>
      <c r="R357" s="2" t="inlineStr"/>
    </row>
    <row r="358" ht="15" customHeight="1">
      <c r="A358" t="inlineStr">
        <is>
          <t>A 27261-2021</t>
        </is>
      </c>
      <c r="B358" s="1" t="n">
        <v>44350.93945601852</v>
      </c>
      <c r="C358" s="1" t="n">
        <v>45976</v>
      </c>
      <c r="D358" t="inlineStr">
        <is>
          <t>JÄMTLANDS LÄN</t>
        </is>
      </c>
      <c r="E358" t="inlineStr">
        <is>
          <t>BRÄCKE</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37232-2022</t>
        </is>
      </c>
      <c r="B359" s="1" t="n">
        <v>44806</v>
      </c>
      <c r="C359" s="1" t="n">
        <v>45976</v>
      </c>
      <c r="D359" t="inlineStr">
        <is>
          <t>JÄMTLANDS LÄN</t>
        </is>
      </c>
      <c r="E359" t="inlineStr">
        <is>
          <t>BRÄCKE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48927-2022</t>
        </is>
      </c>
      <c r="B360" s="1" t="n">
        <v>44859.95621527778</v>
      </c>
      <c r="C360" s="1" t="n">
        <v>45976</v>
      </c>
      <c r="D360" t="inlineStr">
        <is>
          <t>JÄMTLANDS LÄN</t>
        </is>
      </c>
      <c r="E360" t="inlineStr">
        <is>
          <t>BRÄCKE</t>
        </is>
      </c>
      <c r="F360" t="inlineStr">
        <is>
          <t>SCA</t>
        </is>
      </c>
      <c r="G360" t="n">
        <v>4.3</v>
      </c>
      <c r="H360" t="n">
        <v>0</v>
      </c>
      <c r="I360" t="n">
        <v>0</v>
      </c>
      <c r="J360" t="n">
        <v>0</v>
      </c>
      <c r="K360" t="n">
        <v>0</v>
      </c>
      <c r="L360" t="n">
        <v>0</v>
      </c>
      <c r="M360" t="n">
        <v>0</v>
      </c>
      <c r="N360" t="n">
        <v>0</v>
      </c>
      <c r="O360" t="n">
        <v>0</v>
      </c>
      <c r="P360" t="n">
        <v>0</v>
      </c>
      <c r="Q360" t="n">
        <v>0</v>
      </c>
      <c r="R360" s="2" t="inlineStr"/>
    </row>
    <row r="361" ht="15" customHeight="1">
      <c r="A361" t="inlineStr">
        <is>
          <t>A 63600-2021</t>
        </is>
      </c>
      <c r="B361" s="1" t="n">
        <v>44508</v>
      </c>
      <c r="C361" s="1" t="n">
        <v>45976</v>
      </c>
      <c r="D361" t="inlineStr">
        <is>
          <t>JÄMTLANDS LÄN</t>
        </is>
      </c>
      <c r="E361" t="inlineStr">
        <is>
          <t>BRÄCKE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49858-2022</t>
        </is>
      </c>
      <c r="B362" s="1" t="n">
        <v>44862</v>
      </c>
      <c r="C362" s="1" t="n">
        <v>45976</v>
      </c>
      <c r="D362" t="inlineStr">
        <is>
          <t>JÄMTLANDS LÄN</t>
        </is>
      </c>
      <c r="E362" t="inlineStr">
        <is>
          <t>BRÄCKE</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41175-2022</t>
        </is>
      </c>
      <c r="B363" s="1" t="n">
        <v>44825.94803240741</v>
      </c>
      <c r="C363" s="1" t="n">
        <v>45976</v>
      </c>
      <c r="D363" t="inlineStr">
        <is>
          <t>JÄMTLANDS LÄN</t>
        </is>
      </c>
      <c r="E363" t="inlineStr">
        <is>
          <t>BRÄCKE</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51095-2021</t>
        </is>
      </c>
      <c r="B364" s="1" t="n">
        <v>44461.38387731482</v>
      </c>
      <c r="C364" s="1" t="n">
        <v>45976</v>
      </c>
      <c r="D364" t="inlineStr">
        <is>
          <t>JÄMTLANDS LÄN</t>
        </is>
      </c>
      <c r="E364" t="inlineStr">
        <is>
          <t>BRÄCKE</t>
        </is>
      </c>
      <c r="G364" t="n">
        <v>0.8</v>
      </c>
      <c r="H364" t="n">
        <v>0</v>
      </c>
      <c r="I364" t="n">
        <v>0</v>
      </c>
      <c r="J364" t="n">
        <v>0</v>
      </c>
      <c r="K364" t="n">
        <v>0</v>
      </c>
      <c r="L364" t="n">
        <v>0</v>
      </c>
      <c r="M364" t="n">
        <v>0</v>
      </c>
      <c r="N364" t="n">
        <v>0</v>
      </c>
      <c r="O364" t="n">
        <v>0</v>
      </c>
      <c r="P364" t="n">
        <v>0</v>
      </c>
      <c r="Q364" t="n">
        <v>0</v>
      </c>
      <c r="R364" s="2" t="inlineStr"/>
    </row>
    <row r="365" ht="15" customHeight="1">
      <c r="A365" t="inlineStr">
        <is>
          <t>A 21722-2022</t>
        </is>
      </c>
      <c r="B365" s="1" t="n">
        <v>44706</v>
      </c>
      <c r="C365" s="1" t="n">
        <v>45976</v>
      </c>
      <c r="D365" t="inlineStr">
        <is>
          <t>JÄMTLANDS LÄN</t>
        </is>
      </c>
      <c r="E365" t="inlineStr">
        <is>
          <t>BRÄCKE</t>
        </is>
      </c>
      <c r="G365" t="n">
        <v>1.5</v>
      </c>
      <c r="H365" t="n">
        <v>0</v>
      </c>
      <c r="I365" t="n">
        <v>0</v>
      </c>
      <c r="J365" t="n">
        <v>0</v>
      </c>
      <c r="K365" t="n">
        <v>0</v>
      </c>
      <c r="L365" t="n">
        <v>0</v>
      </c>
      <c r="M365" t="n">
        <v>0</v>
      </c>
      <c r="N365" t="n">
        <v>0</v>
      </c>
      <c r="O365" t="n">
        <v>0</v>
      </c>
      <c r="P365" t="n">
        <v>0</v>
      </c>
      <c r="Q365" t="n">
        <v>0</v>
      </c>
      <c r="R365" s="2" t="inlineStr"/>
    </row>
    <row r="366" ht="15" customHeight="1">
      <c r="A366" t="inlineStr">
        <is>
          <t>A 49838-2022</t>
        </is>
      </c>
      <c r="B366" s="1" t="n">
        <v>44862.92952546296</v>
      </c>
      <c r="C366" s="1" t="n">
        <v>45976</v>
      </c>
      <c r="D366" t="inlineStr">
        <is>
          <t>JÄMTLANDS LÄN</t>
        </is>
      </c>
      <c r="E366" t="inlineStr">
        <is>
          <t>BRÄCKE</t>
        </is>
      </c>
      <c r="G366" t="n">
        <v>1.1</v>
      </c>
      <c r="H366" t="n">
        <v>0</v>
      </c>
      <c r="I366" t="n">
        <v>0</v>
      </c>
      <c r="J366" t="n">
        <v>0</v>
      </c>
      <c r="K366" t="n">
        <v>0</v>
      </c>
      <c r="L366" t="n">
        <v>0</v>
      </c>
      <c r="M366" t="n">
        <v>0</v>
      </c>
      <c r="N366" t="n">
        <v>0</v>
      </c>
      <c r="O366" t="n">
        <v>0</v>
      </c>
      <c r="P366" t="n">
        <v>0</v>
      </c>
      <c r="Q366" t="n">
        <v>0</v>
      </c>
      <c r="R366" s="2" t="inlineStr"/>
    </row>
    <row r="367" ht="15" customHeight="1">
      <c r="A367" t="inlineStr">
        <is>
          <t>A 69155-2021</t>
        </is>
      </c>
      <c r="B367" s="1" t="n">
        <v>44530.94708333333</v>
      </c>
      <c r="C367" s="1" t="n">
        <v>45976</v>
      </c>
      <c r="D367" t="inlineStr">
        <is>
          <t>JÄMTLANDS LÄN</t>
        </is>
      </c>
      <c r="E367" t="inlineStr">
        <is>
          <t>BRÄCKE</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33993-2022</t>
        </is>
      </c>
      <c r="B368" s="1" t="n">
        <v>44790</v>
      </c>
      <c r="C368" s="1" t="n">
        <v>45976</v>
      </c>
      <c r="D368" t="inlineStr">
        <is>
          <t>JÄMTLANDS LÄN</t>
        </is>
      </c>
      <c r="E368" t="inlineStr">
        <is>
          <t>BRÄCKE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54668-2022</t>
        </is>
      </c>
      <c r="B369" s="1" t="n">
        <v>44883</v>
      </c>
      <c r="C369" s="1" t="n">
        <v>45976</v>
      </c>
      <c r="D369" t="inlineStr">
        <is>
          <t>JÄMTLANDS LÄN</t>
        </is>
      </c>
      <c r="E369" t="inlineStr">
        <is>
          <t>BRÄCKE</t>
        </is>
      </c>
      <c r="G369" t="n">
        <v>2.8</v>
      </c>
      <c r="H369" t="n">
        <v>0</v>
      </c>
      <c r="I369" t="n">
        <v>0</v>
      </c>
      <c r="J369" t="n">
        <v>0</v>
      </c>
      <c r="K369" t="n">
        <v>0</v>
      </c>
      <c r="L369" t="n">
        <v>0</v>
      </c>
      <c r="M369" t="n">
        <v>0</v>
      </c>
      <c r="N369" t="n">
        <v>0</v>
      </c>
      <c r="O369" t="n">
        <v>0</v>
      </c>
      <c r="P369" t="n">
        <v>0</v>
      </c>
      <c r="Q369" t="n">
        <v>0</v>
      </c>
      <c r="R369" s="2" t="inlineStr"/>
    </row>
    <row r="370" ht="15" customHeight="1">
      <c r="A370" t="inlineStr">
        <is>
          <t>A 49839-2022</t>
        </is>
      </c>
      <c r="B370" s="1" t="n">
        <v>44862.92956018518</v>
      </c>
      <c r="C370" s="1" t="n">
        <v>45976</v>
      </c>
      <c r="D370" t="inlineStr">
        <is>
          <t>JÄMTLANDS LÄN</t>
        </is>
      </c>
      <c r="E370" t="inlineStr">
        <is>
          <t>BRÄCKE</t>
        </is>
      </c>
      <c r="G370" t="n">
        <v>0.9</v>
      </c>
      <c r="H370" t="n">
        <v>0</v>
      </c>
      <c r="I370" t="n">
        <v>0</v>
      </c>
      <c r="J370" t="n">
        <v>0</v>
      </c>
      <c r="K370" t="n">
        <v>0</v>
      </c>
      <c r="L370" t="n">
        <v>0</v>
      </c>
      <c r="M370" t="n">
        <v>0</v>
      </c>
      <c r="N370" t="n">
        <v>0</v>
      </c>
      <c r="O370" t="n">
        <v>0</v>
      </c>
      <c r="P370" t="n">
        <v>0</v>
      </c>
      <c r="Q370" t="n">
        <v>0</v>
      </c>
      <c r="R370" s="2" t="inlineStr"/>
    </row>
    <row r="371" ht="15" customHeight="1">
      <c r="A371" t="inlineStr">
        <is>
          <t>A 38593-2021</t>
        </is>
      </c>
      <c r="B371" s="1" t="n">
        <v>44407</v>
      </c>
      <c r="C371" s="1" t="n">
        <v>45976</v>
      </c>
      <c r="D371" t="inlineStr">
        <is>
          <t>JÄMTLANDS LÄN</t>
        </is>
      </c>
      <c r="E371" t="inlineStr">
        <is>
          <t>BRÄCKE</t>
        </is>
      </c>
      <c r="F371" t="inlineStr">
        <is>
          <t>SCA</t>
        </is>
      </c>
      <c r="G371" t="n">
        <v>0.6</v>
      </c>
      <c r="H371" t="n">
        <v>0</v>
      </c>
      <c r="I371" t="n">
        <v>0</v>
      </c>
      <c r="J371" t="n">
        <v>0</v>
      </c>
      <c r="K371" t="n">
        <v>0</v>
      </c>
      <c r="L371" t="n">
        <v>0</v>
      </c>
      <c r="M371" t="n">
        <v>0</v>
      </c>
      <c r="N371" t="n">
        <v>0</v>
      </c>
      <c r="O371" t="n">
        <v>0</v>
      </c>
      <c r="P371" t="n">
        <v>0</v>
      </c>
      <c r="Q371" t="n">
        <v>0</v>
      </c>
      <c r="R371" s="2" t="inlineStr"/>
    </row>
    <row r="372" ht="15" customHeight="1">
      <c r="A372" t="inlineStr">
        <is>
          <t>A 67622-2020</t>
        </is>
      </c>
      <c r="B372" s="1" t="n">
        <v>44181</v>
      </c>
      <c r="C372" s="1" t="n">
        <v>45976</v>
      </c>
      <c r="D372" t="inlineStr">
        <is>
          <t>JÄMTLANDS LÄN</t>
        </is>
      </c>
      <c r="E372" t="inlineStr">
        <is>
          <t>BRÄCKE</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47256-2022</t>
        </is>
      </c>
      <c r="B373" s="1" t="n">
        <v>44852.94697916666</v>
      </c>
      <c r="C373" s="1" t="n">
        <v>45976</v>
      </c>
      <c r="D373" t="inlineStr">
        <is>
          <t>JÄMTLANDS LÄN</t>
        </is>
      </c>
      <c r="E373" t="inlineStr">
        <is>
          <t>BRÄCKE</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47264-2022</t>
        </is>
      </c>
      <c r="B374" s="1" t="n">
        <v>44852.94967592593</v>
      </c>
      <c r="C374" s="1" t="n">
        <v>45976</v>
      </c>
      <c r="D374" t="inlineStr">
        <is>
          <t>JÄMTLANDS LÄN</t>
        </is>
      </c>
      <c r="E374" t="inlineStr">
        <is>
          <t>BRÄCKE</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41182-2022</t>
        </is>
      </c>
      <c r="B375" s="1" t="n">
        <v>44825.94918981481</v>
      </c>
      <c r="C375" s="1" t="n">
        <v>45976</v>
      </c>
      <c r="D375" t="inlineStr">
        <is>
          <t>JÄMTLANDS LÄN</t>
        </is>
      </c>
      <c r="E375" t="inlineStr">
        <is>
          <t>BRÄCKE</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63534-2021</t>
        </is>
      </c>
      <c r="B376" s="1" t="n">
        <v>44508.6696875</v>
      </c>
      <c r="C376" s="1" t="n">
        <v>45976</v>
      </c>
      <c r="D376" t="inlineStr">
        <is>
          <t>JÄMTLANDS LÄN</t>
        </is>
      </c>
      <c r="E376" t="inlineStr">
        <is>
          <t>BRÄCKE</t>
        </is>
      </c>
      <c r="G376" t="n">
        <v>6.6</v>
      </c>
      <c r="H376" t="n">
        <v>0</v>
      </c>
      <c r="I376" t="n">
        <v>0</v>
      </c>
      <c r="J376" t="n">
        <v>0</v>
      </c>
      <c r="K376" t="n">
        <v>0</v>
      </c>
      <c r="L376" t="n">
        <v>0</v>
      </c>
      <c r="M376" t="n">
        <v>0</v>
      </c>
      <c r="N376" t="n">
        <v>0</v>
      </c>
      <c r="O376" t="n">
        <v>0</v>
      </c>
      <c r="P376" t="n">
        <v>0</v>
      </c>
      <c r="Q376" t="n">
        <v>0</v>
      </c>
      <c r="R376" s="2" t="inlineStr"/>
    </row>
    <row r="377" ht="15" customHeight="1">
      <c r="A377" t="inlineStr">
        <is>
          <t>A 43142-2022</t>
        </is>
      </c>
      <c r="B377" s="1" t="n">
        <v>44833.95155092593</v>
      </c>
      <c r="C377" s="1" t="n">
        <v>45976</v>
      </c>
      <c r="D377" t="inlineStr">
        <is>
          <t>JÄMTLANDS LÄN</t>
        </is>
      </c>
      <c r="E377" t="inlineStr">
        <is>
          <t>BRÄCKE</t>
        </is>
      </c>
      <c r="F377" t="inlineStr">
        <is>
          <t>SCA</t>
        </is>
      </c>
      <c r="G377" t="n">
        <v>0.4</v>
      </c>
      <c r="H377" t="n">
        <v>0</v>
      </c>
      <c r="I377" t="n">
        <v>0</v>
      </c>
      <c r="J377" t="n">
        <v>0</v>
      </c>
      <c r="K377" t="n">
        <v>0</v>
      </c>
      <c r="L377" t="n">
        <v>0</v>
      </c>
      <c r="M377" t="n">
        <v>0</v>
      </c>
      <c r="N377" t="n">
        <v>0</v>
      </c>
      <c r="O377" t="n">
        <v>0</v>
      </c>
      <c r="P377" t="n">
        <v>0</v>
      </c>
      <c r="Q377" t="n">
        <v>0</v>
      </c>
      <c r="R377" s="2" t="inlineStr"/>
    </row>
    <row r="378" ht="15" customHeight="1">
      <c r="A378" t="inlineStr">
        <is>
          <t>A 68362-2020</t>
        </is>
      </c>
      <c r="B378" s="1" t="n">
        <v>44186</v>
      </c>
      <c r="C378" s="1" t="n">
        <v>45976</v>
      </c>
      <c r="D378" t="inlineStr">
        <is>
          <t>JÄMTLANDS LÄN</t>
        </is>
      </c>
      <c r="E378" t="inlineStr">
        <is>
          <t>BRÄCKE</t>
        </is>
      </c>
      <c r="G378" t="n">
        <v>4.5</v>
      </c>
      <c r="H378" t="n">
        <v>0</v>
      </c>
      <c r="I378" t="n">
        <v>0</v>
      </c>
      <c r="J378" t="n">
        <v>0</v>
      </c>
      <c r="K378" t="n">
        <v>0</v>
      </c>
      <c r="L378" t="n">
        <v>0</v>
      </c>
      <c r="M378" t="n">
        <v>0</v>
      </c>
      <c r="N378" t="n">
        <v>0</v>
      </c>
      <c r="O378" t="n">
        <v>0</v>
      </c>
      <c r="P378" t="n">
        <v>0</v>
      </c>
      <c r="Q378" t="n">
        <v>0</v>
      </c>
      <c r="R378" s="2" t="inlineStr"/>
    </row>
    <row r="379" ht="15" customHeight="1">
      <c r="A379" t="inlineStr">
        <is>
          <t>A 29930-2021</t>
        </is>
      </c>
      <c r="B379" s="1" t="n">
        <v>44362</v>
      </c>
      <c r="C379" s="1" t="n">
        <v>45976</v>
      </c>
      <c r="D379" t="inlineStr">
        <is>
          <t>JÄMTLANDS LÄN</t>
        </is>
      </c>
      <c r="E379" t="inlineStr">
        <is>
          <t>BRÄCKE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31093-2021</t>
        </is>
      </c>
      <c r="B380" s="1" t="n">
        <v>44368</v>
      </c>
      <c r="C380" s="1" t="n">
        <v>45976</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42806-2021</t>
        </is>
      </c>
      <c r="B381" s="1" t="n">
        <v>44428.94063657407</v>
      </c>
      <c r="C381" s="1" t="n">
        <v>45976</v>
      </c>
      <c r="D381" t="inlineStr">
        <is>
          <t>JÄMTLANDS LÄN</t>
        </is>
      </c>
      <c r="E381" t="inlineStr">
        <is>
          <t>BRÄCKE</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38956-2021</t>
        </is>
      </c>
      <c r="B382" s="1" t="n">
        <v>44411</v>
      </c>
      <c r="C382" s="1" t="n">
        <v>45976</v>
      </c>
      <c r="D382" t="inlineStr">
        <is>
          <t>JÄMTLANDS LÄN</t>
        </is>
      </c>
      <c r="E382" t="inlineStr">
        <is>
          <t>BRÄCKE</t>
        </is>
      </c>
      <c r="G382" t="n">
        <v>1.6</v>
      </c>
      <c r="H382" t="n">
        <v>0</v>
      </c>
      <c r="I382" t="n">
        <v>0</v>
      </c>
      <c r="J382" t="n">
        <v>0</v>
      </c>
      <c r="K382" t="n">
        <v>0</v>
      </c>
      <c r="L382" t="n">
        <v>0</v>
      </c>
      <c r="M382" t="n">
        <v>0</v>
      </c>
      <c r="N382" t="n">
        <v>0</v>
      </c>
      <c r="O382" t="n">
        <v>0</v>
      </c>
      <c r="P382" t="n">
        <v>0</v>
      </c>
      <c r="Q382" t="n">
        <v>0</v>
      </c>
      <c r="R382" s="2" t="inlineStr"/>
    </row>
    <row r="383" ht="15" customHeight="1">
      <c r="A383" t="inlineStr">
        <is>
          <t>A 28617-2021</t>
        </is>
      </c>
      <c r="B383" s="1" t="n">
        <v>44356</v>
      </c>
      <c r="C383" s="1" t="n">
        <v>45976</v>
      </c>
      <c r="D383" t="inlineStr">
        <is>
          <t>JÄMTLANDS LÄN</t>
        </is>
      </c>
      <c r="E383" t="inlineStr">
        <is>
          <t>BRÄCKE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47183-2022</t>
        </is>
      </c>
      <c r="B384" s="1" t="n">
        <v>44851</v>
      </c>
      <c r="C384" s="1" t="n">
        <v>45976</v>
      </c>
      <c r="D384" t="inlineStr">
        <is>
          <t>JÄMTLANDS LÄN</t>
        </is>
      </c>
      <c r="E384" t="inlineStr">
        <is>
          <t>BRÄCKE</t>
        </is>
      </c>
      <c r="G384" t="n">
        <v>2</v>
      </c>
      <c r="H384" t="n">
        <v>0</v>
      </c>
      <c r="I384" t="n">
        <v>0</v>
      </c>
      <c r="J384" t="n">
        <v>0</v>
      </c>
      <c r="K384" t="n">
        <v>0</v>
      </c>
      <c r="L384" t="n">
        <v>0</v>
      </c>
      <c r="M384" t="n">
        <v>0</v>
      </c>
      <c r="N384" t="n">
        <v>0</v>
      </c>
      <c r="O384" t="n">
        <v>0</v>
      </c>
      <c r="P384" t="n">
        <v>0</v>
      </c>
      <c r="Q384" t="n">
        <v>0</v>
      </c>
      <c r="R384" s="2" t="inlineStr"/>
    </row>
    <row r="385" ht="15" customHeight="1">
      <c r="A385" t="inlineStr">
        <is>
          <t>A 29603-2021</t>
        </is>
      </c>
      <c r="B385" s="1" t="n">
        <v>44361</v>
      </c>
      <c r="C385" s="1" t="n">
        <v>45976</v>
      </c>
      <c r="D385" t="inlineStr">
        <is>
          <t>JÄMTLANDS LÄN</t>
        </is>
      </c>
      <c r="E385" t="inlineStr">
        <is>
          <t>BRÄCKE</t>
        </is>
      </c>
      <c r="F385" t="inlineStr">
        <is>
          <t>Naturvårdsverket</t>
        </is>
      </c>
      <c r="G385" t="n">
        <v>3.9</v>
      </c>
      <c r="H385" t="n">
        <v>0</v>
      </c>
      <c r="I385" t="n">
        <v>0</v>
      </c>
      <c r="J385" t="n">
        <v>0</v>
      </c>
      <c r="K385" t="n">
        <v>0</v>
      </c>
      <c r="L385" t="n">
        <v>0</v>
      </c>
      <c r="M385" t="n">
        <v>0</v>
      </c>
      <c r="N385" t="n">
        <v>0</v>
      </c>
      <c r="O385" t="n">
        <v>0</v>
      </c>
      <c r="P385" t="n">
        <v>0</v>
      </c>
      <c r="Q385" t="n">
        <v>0</v>
      </c>
      <c r="R385" s="2" t="inlineStr"/>
    </row>
    <row r="386" ht="15" customHeight="1">
      <c r="A386" t="inlineStr">
        <is>
          <t>A 37234-2022</t>
        </is>
      </c>
      <c r="B386" s="1" t="n">
        <v>44806.94603009259</v>
      </c>
      <c r="C386" s="1" t="n">
        <v>45976</v>
      </c>
      <c r="D386" t="inlineStr">
        <is>
          <t>JÄMTLANDS LÄN</t>
        </is>
      </c>
      <c r="E386" t="inlineStr">
        <is>
          <t>BRÄCKE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51957-2021</t>
        </is>
      </c>
      <c r="B387" s="1" t="n">
        <v>44462.95658564815</v>
      </c>
      <c r="C387" s="1" t="n">
        <v>45976</v>
      </c>
      <c r="D387" t="inlineStr">
        <is>
          <t>JÄMTLANDS LÄN</t>
        </is>
      </c>
      <c r="E387" t="inlineStr">
        <is>
          <t>BRÄCKE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63995-2021</t>
        </is>
      </c>
      <c r="B388" s="1" t="n">
        <v>44509</v>
      </c>
      <c r="C388" s="1" t="n">
        <v>45976</v>
      </c>
      <c r="D388" t="inlineStr">
        <is>
          <t>JÄMTLANDS LÄN</t>
        </is>
      </c>
      <c r="E388" t="inlineStr">
        <is>
          <t>BRÄCKE</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64002-2021</t>
        </is>
      </c>
      <c r="B389" s="1" t="n">
        <v>44509.97879629629</v>
      </c>
      <c r="C389" s="1" t="n">
        <v>45976</v>
      </c>
      <c r="D389" t="inlineStr">
        <is>
          <t>JÄMTLANDS LÄN</t>
        </is>
      </c>
      <c r="E389" t="inlineStr">
        <is>
          <t>BRÄCKE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29929-2021</t>
        </is>
      </c>
      <c r="B390" s="1" t="n">
        <v>44362</v>
      </c>
      <c r="C390" s="1" t="n">
        <v>45976</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56639-2021</t>
        </is>
      </c>
      <c r="B391" s="1" t="n">
        <v>44480</v>
      </c>
      <c r="C391" s="1" t="n">
        <v>45976</v>
      </c>
      <c r="D391" t="inlineStr">
        <is>
          <t>JÄMTLANDS LÄN</t>
        </is>
      </c>
      <c r="E391" t="inlineStr">
        <is>
          <t>BRÄCKE</t>
        </is>
      </c>
      <c r="G391" t="n">
        <v>1.3</v>
      </c>
      <c r="H391" t="n">
        <v>0</v>
      </c>
      <c r="I391" t="n">
        <v>0</v>
      </c>
      <c r="J391" t="n">
        <v>0</v>
      </c>
      <c r="K391" t="n">
        <v>0</v>
      </c>
      <c r="L391" t="n">
        <v>0</v>
      </c>
      <c r="M391" t="n">
        <v>0</v>
      </c>
      <c r="N391" t="n">
        <v>0</v>
      </c>
      <c r="O391" t="n">
        <v>0</v>
      </c>
      <c r="P391" t="n">
        <v>0</v>
      </c>
      <c r="Q391" t="n">
        <v>0</v>
      </c>
      <c r="R391" s="2" t="inlineStr"/>
    </row>
    <row r="392" ht="15" customHeight="1">
      <c r="A392" t="inlineStr">
        <is>
          <t>A 21019-2021</t>
        </is>
      </c>
      <c r="B392" s="1" t="n">
        <v>44319.62415509259</v>
      </c>
      <c r="C392" s="1" t="n">
        <v>45976</v>
      </c>
      <c r="D392" t="inlineStr">
        <is>
          <t>JÄMTLANDS LÄN</t>
        </is>
      </c>
      <c r="E392" t="inlineStr">
        <is>
          <t>BRÄCKE</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70812-2021</t>
        </is>
      </c>
      <c r="B393" s="1" t="n">
        <v>44537</v>
      </c>
      <c r="C393" s="1" t="n">
        <v>45976</v>
      </c>
      <c r="D393" t="inlineStr">
        <is>
          <t>JÄMTLANDS LÄN</t>
        </is>
      </c>
      <c r="E393" t="inlineStr">
        <is>
          <t>BRÄCKE</t>
        </is>
      </c>
      <c r="G393" t="n">
        <v>3.4</v>
      </c>
      <c r="H393" t="n">
        <v>0</v>
      </c>
      <c r="I393" t="n">
        <v>0</v>
      </c>
      <c r="J393" t="n">
        <v>0</v>
      </c>
      <c r="K393" t="n">
        <v>0</v>
      </c>
      <c r="L393" t="n">
        <v>0</v>
      </c>
      <c r="M393" t="n">
        <v>0</v>
      </c>
      <c r="N393" t="n">
        <v>0</v>
      </c>
      <c r="O393" t="n">
        <v>0</v>
      </c>
      <c r="P393" t="n">
        <v>0</v>
      </c>
      <c r="Q393" t="n">
        <v>0</v>
      </c>
      <c r="R393" s="2" t="inlineStr"/>
    </row>
    <row r="394" ht="15" customHeight="1">
      <c r="A394" t="inlineStr">
        <is>
          <t>A 70813-2021</t>
        </is>
      </c>
      <c r="B394" s="1" t="n">
        <v>44537</v>
      </c>
      <c r="C394" s="1" t="n">
        <v>45976</v>
      </c>
      <c r="D394" t="inlineStr">
        <is>
          <t>JÄMTLANDS LÄN</t>
        </is>
      </c>
      <c r="E394" t="inlineStr">
        <is>
          <t>BRÄCKE</t>
        </is>
      </c>
      <c r="G394" t="n">
        <v>5.2</v>
      </c>
      <c r="H394" t="n">
        <v>0</v>
      </c>
      <c r="I394" t="n">
        <v>0</v>
      </c>
      <c r="J394" t="n">
        <v>0</v>
      </c>
      <c r="K394" t="n">
        <v>0</v>
      </c>
      <c r="L394" t="n">
        <v>0</v>
      </c>
      <c r="M394" t="n">
        <v>0</v>
      </c>
      <c r="N394" t="n">
        <v>0</v>
      </c>
      <c r="O394" t="n">
        <v>0</v>
      </c>
      <c r="P394" t="n">
        <v>0</v>
      </c>
      <c r="Q394" t="n">
        <v>0</v>
      </c>
      <c r="R394" s="2" t="inlineStr"/>
    </row>
    <row r="395" ht="15" customHeight="1">
      <c r="A395" t="inlineStr">
        <is>
          <t>A 56114-2021</t>
        </is>
      </c>
      <c r="B395" s="1" t="n">
        <v>44477.58694444445</v>
      </c>
      <c r="C395" s="1" t="n">
        <v>45976</v>
      </c>
      <c r="D395" t="inlineStr">
        <is>
          <t>JÄMTLANDS LÄN</t>
        </is>
      </c>
      <c r="E395" t="inlineStr">
        <is>
          <t>BRÄCKE</t>
        </is>
      </c>
      <c r="G395" t="n">
        <v>12.7</v>
      </c>
      <c r="H395" t="n">
        <v>0</v>
      </c>
      <c r="I395" t="n">
        <v>0</v>
      </c>
      <c r="J395" t="n">
        <v>0</v>
      </c>
      <c r="K395" t="n">
        <v>0</v>
      </c>
      <c r="L395" t="n">
        <v>0</v>
      </c>
      <c r="M395" t="n">
        <v>0</v>
      </c>
      <c r="N395" t="n">
        <v>0</v>
      </c>
      <c r="O395" t="n">
        <v>0</v>
      </c>
      <c r="P395" t="n">
        <v>0</v>
      </c>
      <c r="Q395" t="n">
        <v>0</v>
      </c>
      <c r="R395" s="2" t="inlineStr"/>
    </row>
    <row r="396" ht="15" customHeight="1">
      <c r="A396" t="inlineStr">
        <is>
          <t>A 40481-2021</t>
        </is>
      </c>
      <c r="B396" s="1" t="n">
        <v>44419.94328703704</v>
      </c>
      <c r="C396" s="1" t="n">
        <v>45976</v>
      </c>
      <c r="D396" t="inlineStr">
        <is>
          <t>JÄMTLANDS LÄN</t>
        </is>
      </c>
      <c r="E396" t="inlineStr">
        <is>
          <t>BRÄCKE</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21034-2021</t>
        </is>
      </c>
      <c r="B397" s="1" t="n">
        <v>44319</v>
      </c>
      <c r="C397" s="1" t="n">
        <v>45976</v>
      </c>
      <c r="D397" t="inlineStr">
        <is>
          <t>JÄMTLANDS LÄN</t>
        </is>
      </c>
      <c r="E397" t="inlineStr">
        <is>
          <t>BRÄCKE</t>
        </is>
      </c>
      <c r="G397" t="n">
        <v>3.3</v>
      </c>
      <c r="H397" t="n">
        <v>0</v>
      </c>
      <c r="I397" t="n">
        <v>0</v>
      </c>
      <c r="J397" t="n">
        <v>0</v>
      </c>
      <c r="K397" t="n">
        <v>0</v>
      </c>
      <c r="L397" t="n">
        <v>0</v>
      </c>
      <c r="M397" t="n">
        <v>0</v>
      </c>
      <c r="N397" t="n">
        <v>0</v>
      </c>
      <c r="O397" t="n">
        <v>0</v>
      </c>
      <c r="P397" t="n">
        <v>0</v>
      </c>
      <c r="Q397" t="n">
        <v>0</v>
      </c>
      <c r="R397" s="2" t="inlineStr"/>
    </row>
    <row r="398" ht="15" customHeight="1">
      <c r="A398" t="inlineStr">
        <is>
          <t>A 17173-2021</t>
        </is>
      </c>
      <c r="B398" s="1" t="n">
        <v>44295</v>
      </c>
      <c r="C398" s="1" t="n">
        <v>45976</v>
      </c>
      <c r="D398" t="inlineStr">
        <is>
          <t>JÄMTLANDS LÄN</t>
        </is>
      </c>
      <c r="E398" t="inlineStr">
        <is>
          <t>BRÄCKE</t>
        </is>
      </c>
      <c r="G398" t="n">
        <v>4.3</v>
      </c>
      <c r="H398" t="n">
        <v>0</v>
      </c>
      <c r="I398" t="n">
        <v>0</v>
      </c>
      <c r="J398" t="n">
        <v>0</v>
      </c>
      <c r="K398" t="n">
        <v>0</v>
      </c>
      <c r="L398" t="n">
        <v>0</v>
      </c>
      <c r="M398" t="n">
        <v>0</v>
      </c>
      <c r="N398" t="n">
        <v>0</v>
      </c>
      <c r="O398" t="n">
        <v>0</v>
      </c>
      <c r="P398" t="n">
        <v>0</v>
      </c>
      <c r="Q398" t="n">
        <v>0</v>
      </c>
      <c r="R398" s="2" t="inlineStr"/>
    </row>
    <row r="399" ht="15" customHeight="1">
      <c r="A399" t="inlineStr">
        <is>
          <t>A 48555-2022</t>
        </is>
      </c>
      <c r="B399" s="1" t="n">
        <v>44859</v>
      </c>
      <c r="C399" s="1" t="n">
        <v>45976</v>
      </c>
      <c r="D399" t="inlineStr">
        <is>
          <t>JÄMTLANDS LÄN</t>
        </is>
      </c>
      <c r="E399" t="inlineStr">
        <is>
          <t>BRÄCKE</t>
        </is>
      </c>
      <c r="G399" t="n">
        <v>1.6</v>
      </c>
      <c r="H399" t="n">
        <v>0</v>
      </c>
      <c r="I399" t="n">
        <v>0</v>
      </c>
      <c r="J399" t="n">
        <v>0</v>
      </c>
      <c r="K399" t="n">
        <v>0</v>
      </c>
      <c r="L399" t="n">
        <v>0</v>
      </c>
      <c r="M399" t="n">
        <v>0</v>
      </c>
      <c r="N399" t="n">
        <v>0</v>
      </c>
      <c r="O399" t="n">
        <v>0</v>
      </c>
      <c r="P399" t="n">
        <v>0</v>
      </c>
      <c r="Q399" t="n">
        <v>0</v>
      </c>
      <c r="R399" s="2" t="inlineStr"/>
    </row>
    <row r="400" ht="15" customHeight="1">
      <c r="A400" t="inlineStr">
        <is>
          <t>A 51020-2022</t>
        </is>
      </c>
      <c r="B400" s="1" t="n">
        <v>44867.95071759259</v>
      </c>
      <c r="C400" s="1" t="n">
        <v>45976</v>
      </c>
      <c r="D400" t="inlineStr">
        <is>
          <t>JÄMTLANDS LÄN</t>
        </is>
      </c>
      <c r="E400" t="inlineStr">
        <is>
          <t>BRÄCKE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16619-2021</t>
        </is>
      </c>
      <c r="B401" s="1" t="n">
        <v>44294</v>
      </c>
      <c r="C401" s="1" t="n">
        <v>45976</v>
      </c>
      <c r="D401" t="inlineStr">
        <is>
          <t>JÄMTLANDS LÄN</t>
        </is>
      </c>
      <c r="E401" t="inlineStr">
        <is>
          <t>BRÄCKE</t>
        </is>
      </c>
      <c r="G401" t="n">
        <v>10.3</v>
      </c>
      <c r="H401" t="n">
        <v>0</v>
      </c>
      <c r="I401" t="n">
        <v>0</v>
      </c>
      <c r="J401" t="n">
        <v>0</v>
      </c>
      <c r="K401" t="n">
        <v>0</v>
      </c>
      <c r="L401" t="n">
        <v>0</v>
      </c>
      <c r="M401" t="n">
        <v>0</v>
      </c>
      <c r="N401" t="n">
        <v>0</v>
      </c>
      <c r="O401" t="n">
        <v>0</v>
      </c>
      <c r="P401" t="n">
        <v>0</v>
      </c>
      <c r="Q401" t="n">
        <v>0</v>
      </c>
      <c r="R401" s="2" t="inlineStr"/>
    </row>
    <row r="402" ht="15" customHeight="1">
      <c r="A402" t="inlineStr">
        <is>
          <t>A 62954-2021</t>
        </is>
      </c>
      <c r="B402" s="1" t="n">
        <v>44504</v>
      </c>
      <c r="C402" s="1" t="n">
        <v>45976</v>
      </c>
      <c r="D402" t="inlineStr">
        <is>
          <t>JÄMTLANDS LÄN</t>
        </is>
      </c>
      <c r="E402" t="inlineStr">
        <is>
          <t>BRÄCKE</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37032-2022</t>
        </is>
      </c>
      <c r="B403" s="1" t="n">
        <v>44806</v>
      </c>
      <c r="C403" s="1" t="n">
        <v>45976</v>
      </c>
      <c r="D403" t="inlineStr">
        <is>
          <t>JÄMTLANDS LÄN</t>
        </is>
      </c>
      <c r="E403" t="inlineStr">
        <is>
          <t>BRÄCKE</t>
        </is>
      </c>
      <c r="G403" t="n">
        <v>0.7</v>
      </c>
      <c r="H403" t="n">
        <v>0</v>
      </c>
      <c r="I403" t="n">
        <v>0</v>
      </c>
      <c r="J403" t="n">
        <v>0</v>
      </c>
      <c r="K403" t="n">
        <v>0</v>
      </c>
      <c r="L403" t="n">
        <v>0</v>
      </c>
      <c r="M403" t="n">
        <v>0</v>
      </c>
      <c r="N403" t="n">
        <v>0</v>
      </c>
      <c r="O403" t="n">
        <v>0</v>
      </c>
      <c r="P403" t="n">
        <v>0</v>
      </c>
      <c r="Q403" t="n">
        <v>0</v>
      </c>
      <c r="R403" s="2" t="inlineStr"/>
    </row>
    <row r="404" ht="15" customHeight="1">
      <c r="A404" t="inlineStr">
        <is>
          <t>A 61602-2020</t>
        </is>
      </c>
      <c r="B404" s="1" t="n">
        <v>44158</v>
      </c>
      <c r="C404" s="1" t="n">
        <v>45976</v>
      </c>
      <c r="D404" t="inlineStr">
        <is>
          <t>JÄMTLANDS LÄN</t>
        </is>
      </c>
      <c r="E404" t="inlineStr">
        <is>
          <t>BRÄCKE</t>
        </is>
      </c>
      <c r="F404" t="inlineStr">
        <is>
          <t>Övriga Aktiebolag</t>
        </is>
      </c>
      <c r="G404" t="n">
        <v>3.6</v>
      </c>
      <c r="H404" t="n">
        <v>0</v>
      </c>
      <c r="I404" t="n">
        <v>0</v>
      </c>
      <c r="J404" t="n">
        <v>0</v>
      </c>
      <c r="K404" t="n">
        <v>0</v>
      </c>
      <c r="L404" t="n">
        <v>0</v>
      </c>
      <c r="M404" t="n">
        <v>0</v>
      </c>
      <c r="N404" t="n">
        <v>0</v>
      </c>
      <c r="O404" t="n">
        <v>0</v>
      </c>
      <c r="P404" t="n">
        <v>0</v>
      </c>
      <c r="Q404" t="n">
        <v>0</v>
      </c>
      <c r="R404" s="2" t="inlineStr"/>
    </row>
    <row r="405" ht="15" customHeight="1">
      <c r="A405" t="inlineStr">
        <is>
          <t>A 22702-2022</t>
        </is>
      </c>
      <c r="B405" s="1" t="n">
        <v>44714.57748842592</v>
      </c>
      <c r="C405" s="1" t="n">
        <v>45976</v>
      </c>
      <c r="D405" t="inlineStr">
        <is>
          <t>JÄMTLANDS LÄN</t>
        </is>
      </c>
      <c r="E405" t="inlineStr">
        <is>
          <t>BRÄCKE</t>
        </is>
      </c>
      <c r="G405" t="n">
        <v>4.6</v>
      </c>
      <c r="H405" t="n">
        <v>0</v>
      </c>
      <c r="I405" t="n">
        <v>0</v>
      </c>
      <c r="J405" t="n">
        <v>0</v>
      </c>
      <c r="K405" t="n">
        <v>0</v>
      </c>
      <c r="L405" t="n">
        <v>0</v>
      </c>
      <c r="M405" t="n">
        <v>0</v>
      </c>
      <c r="N405" t="n">
        <v>0</v>
      </c>
      <c r="O405" t="n">
        <v>0</v>
      </c>
      <c r="P405" t="n">
        <v>0</v>
      </c>
      <c r="Q405" t="n">
        <v>0</v>
      </c>
      <c r="R405" s="2" t="inlineStr"/>
    </row>
    <row r="406" ht="15" customHeight="1">
      <c r="A406" t="inlineStr">
        <is>
          <t>A 31980-2022</t>
        </is>
      </c>
      <c r="B406" s="1" t="n">
        <v>44777</v>
      </c>
      <c r="C406" s="1" t="n">
        <v>45976</v>
      </c>
      <c r="D406" t="inlineStr">
        <is>
          <t>JÄMTLANDS LÄN</t>
        </is>
      </c>
      <c r="E406" t="inlineStr">
        <is>
          <t>BRÄCKE</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45426-2022</t>
        </is>
      </c>
      <c r="B407" s="1" t="n">
        <v>44844</v>
      </c>
      <c r="C407" s="1" t="n">
        <v>45976</v>
      </c>
      <c r="D407" t="inlineStr">
        <is>
          <t>JÄMTLANDS LÄN</t>
        </is>
      </c>
      <c r="E407" t="inlineStr">
        <is>
          <t>BRÄCKE</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30483-2022</t>
        </is>
      </c>
      <c r="B408" s="1" t="n">
        <v>44761.94037037037</v>
      </c>
      <c r="C408" s="1" t="n">
        <v>45976</v>
      </c>
      <c r="D408" t="inlineStr">
        <is>
          <t>JÄMTLANDS LÄN</t>
        </is>
      </c>
      <c r="E408" t="inlineStr">
        <is>
          <t>BRÄCKE</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68901-2021</t>
        </is>
      </c>
      <c r="B409" s="1" t="n">
        <v>44526</v>
      </c>
      <c r="C409" s="1" t="n">
        <v>45976</v>
      </c>
      <c r="D409" t="inlineStr">
        <is>
          <t>JÄMTLANDS LÄN</t>
        </is>
      </c>
      <c r="E409" t="inlineStr">
        <is>
          <t>BRÄCKE</t>
        </is>
      </c>
      <c r="G409" t="n">
        <v>1.4</v>
      </c>
      <c r="H409" t="n">
        <v>0</v>
      </c>
      <c r="I409" t="n">
        <v>0</v>
      </c>
      <c r="J409" t="n">
        <v>0</v>
      </c>
      <c r="K409" t="n">
        <v>0</v>
      </c>
      <c r="L409" t="n">
        <v>0</v>
      </c>
      <c r="M409" t="n">
        <v>0</v>
      </c>
      <c r="N409" t="n">
        <v>0</v>
      </c>
      <c r="O409" t="n">
        <v>0</v>
      </c>
      <c r="P409" t="n">
        <v>0</v>
      </c>
      <c r="Q409" t="n">
        <v>0</v>
      </c>
      <c r="R409" s="2" t="inlineStr"/>
    </row>
    <row r="410" ht="15" customHeight="1">
      <c r="A410" t="inlineStr">
        <is>
          <t>A 27258-2021</t>
        </is>
      </c>
      <c r="B410" s="1" t="n">
        <v>44350.93927083333</v>
      </c>
      <c r="C410" s="1" t="n">
        <v>45976</v>
      </c>
      <c r="D410" t="inlineStr">
        <is>
          <t>JÄMTLANDS LÄN</t>
        </is>
      </c>
      <c r="E410" t="inlineStr">
        <is>
          <t>BRÄCKE</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56648-2021</t>
        </is>
      </c>
      <c r="B411" s="1" t="n">
        <v>44480.92122685185</v>
      </c>
      <c r="C411" s="1" t="n">
        <v>45976</v>
      </c>
      <c r="D411" t="inlineStr">
        <is>
          <t>JÄMTLANDS LÄN</t>
        </is>
      </c>
      <c r="E411" t="inlineStr">
        <is>
          <t>BRÄCKE</t>
        </is>
      </c>
      <c r="G411" t="n">
        <v>1.3</v>
      </c>
      <c r="H411" t="n">
        <v>0</v>
      </c>
      <c r="I411" t="n">
        <v>0</v>
      </c>
      <c r="J411" t="n">
        <v>0</v>
      </c>
      <c r="K411" t="n">
        <v>0</v>
      </c>
      <c r="L411" t="n">
        <v>0</v>
      </c>
      <c r="M411" t="n">
        <v>0</v>
      </c>
      <c r="N411" t="n">
        <v>0</v>
      </c>
      <c r="O411" t="n">
        <v>0</v>
      </c>
      <c r="P411" t="n">
        <v>0</v>
      </c>
      <c r="Q411" t="n">
        <v>0</v>
      </c>
      <c r="R411" s="2" t="inlineStr"/>
    </row>
    <row r="412" ht="15" customHeight="1">
      <c r="A412" t="inlineStr">
        <is>
          <t>A 32964-2022</t>
        </is>
      </c>
      <c r="B412" s="1" t="n">
        <v>44784.9250462963</v>
      </c>
      <c r="C412" s="1" t="n">
        <v>45976</v>
      </c>
      <c r="D412" t="inlineStr">
        <is>
          <t>JÄMTLANDS LÄN</t>
        </is>
      </c>
      <c r="E412" t="inlineStr">
        <is>
          <t>BRÄCKE</t>
        </is>
      </c>
      <c r="G412" t="n">
        <v>2.6</v>
      </c>
      <c r="H412" t="n">
        <v>0</v>
      </c>
      <c r="I412" t="n">
        <v>0</v>
      </c>
      <c r="J412" t="n">
        <v>0</v>
      </c>
      <c r="K412" t="n">
        <v>0</v>
      </c>
      <c r="L412" t="n">
        <v>0</v>
      </c>
      <c r="M412" t="n">
        <v>0</v>
      </c>
      <c r="N412" t="n">
        <v>0</v>
      </c>
      <c r="O412" t="n">
        <v>0</v>
      </c>
      <c r="P412" t="n">
        <v>0</v>
      </c>
      <c r="Q412" t="n">
        <v>0</v>
      </c>
      <c r="R412" s="2" t="inlineStr"/>
    </row>
    <row r="413" ht="15" customHeight="1">
      <c r="A413" t="inlineStr">
        <is>
          <t>A 63346-2021</t>
        </is>
      </c>
      <c r="B413" s="1" t="n">
        <v>44508.47607638889</v>
      </c>
      <c r="C413" s="1" t="n">
        <v>45976</v>
      </c>
      <c r="D413" t="inlineStr">
        <is>
          <t>JÄMTLANDS LÄN</t>
        </is>
      </c>
      <c r="E413" t="inlineStr">
        <is>
          <t>BRÄCKE</t>
        </is>
      </c>
      <c r="G413" t="n">
        <v>0.9</v>
      </c>
      <c r="H413" t="n">
        <v>0</v>
      </c>
      <c r="I413" t="n">
        <v>0</v>
      </c>
      <c r="J413" t="n">
        <v>0</v>
      </c>
      <c r="K413" t="n">
        <v>0</v>
      </c>
      <c r="L413" t="n">
        <v>0</v>
      </c>
      <c r="M413" t="n">
        <v>0</v>
      </c>
      <c r="N413" t="n">
        <v>0</v>
      </c>
      <c r="O413" t="n">
        <v>0</v>
      </c>
      <c r="P413" t="n">
        <v>0</v>
      </c>
      <c r="Q413" t="n">
        <v>0</v>
      </c>
      <c r="R413" s="2" t="inlineStr"/>
    </row>
    <row r="414" ht="15" customHeight="1">
      <c r="A414" t="inlineStr">
        <is>
          <t>A 37828-2022</t>
        </is>
      </c>
      <c r="B414" s="1" t="n">
        <v>44810.9428587963</v>
      </c>
      <c r="C414" s="1" t="n">
        <v>45976</v>
      </c>
      <c r="D414" t="inlineStr">
        <is>
          <t>JÄMTLANDS LÄN</t>
        </is>
      </c>
      <c r="E414" t="inlineStr">
        <is>
          <t>BRÄCKE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37829-2022</t>
        </is>
      </c>
      <c r="B415" s="1" t="n">
        <v>44810.94292824074</v>
      </c>
      <c r="C415" s="1" t="n">
        <v>45976</v>
      </c>
      <c r="D415" t="inlineStr">
        <is>
          <t>JÄMTLANDS LÄN</t>
        </is>
      </c>
      <c r="E415" t="inlineStr">
        <is>
          <t>BRÄCKE</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24950-2021</t>
        </is>
      </c>
      <c r="B416" s="1" t="n">
        <v>44341</v>
      </c>
      <c r="C416" s="1" t="n">
        <v>45976</v>
      </c>
      <c r="D416" t="inlineStr">
        <is>
          <t>JÄMTLANDS LÄN</t>
        </is>
      </c>
      <c r="E416" t="inlineStr">
        <is>
          <t>BRÄCKE</t>
        </is>
      </c>
      <c r="F416" t="inlineStr">
        <is>
          <t>Kyrkan</t>
        </is>
      </c>
      <c r="G416" t="n">
        <v>15.3</v>
      </c>
      <c r="H416" t="n">
        <v>0</v>
      </c>
      <c r="I416" t="n">
        <v>0</v>
      </c>
      <c r="J416" t="n">
        <v>0</v>
      </c>
      <c r="K416" t="n">
        <v>0</v>
      </c>
      <c r="L416" t="n">
        <v>0</v>
      </c>
      <c r="M416" t="n">
        <v>0</v>
      </c>
      <c r="N416" t="n">
        <v>0</v>
      </c>
      <c r="O416" t="n">
        <v>0</v>
      </c>
      <c r="P416" t="n">
        <v>0</v>
      </c>
      <c r="Q416" t="n">
        <v>0</v>
      </c>
      <c r="R416" s="2" t="inlineStr"/>
    </row>
    <row r="417" ht="15" customHeight="1">
      <c r="A417" t="inlineStr">
        <is>
          <t>A 16733-2021</t>
        </is>
      </c>
      <c r="B417" s="1" t="n">
        <v>44293</v>
      </c>
      <c r="C417" s="1" t="n">
        <v>45976</v>
      </c>
      <c r="D417" t="inlineStr">
        <is>
          <t>JÄMTLANDS LÄN</t>
        </is>
      </c>
      <c r="E417" t="inlineStr">
        <is>
          <t>BRÄCKE</t>
        </is>
      </c>
      <c r="G417" t="n">
        <v>4</v>
      </c>
      <c r="H417" t="n">
        <v>0</v>
      </c>
      <c r="I417" t="n">
        <v>0</v>
      </c>
      <c r="J417" t="n">
        <v>0</v>
      </c>
      <c r="K417" t="n">
        <v>0</v>
      </c>
      <c r="L417" t="n">
        <v>0</v>
      </c>
      <c r="M417" t="n">
        <v>0</v>
      </c>
      <c r="N417" t="n">
        <v>0</v>
      </c>
      <c r="O417" t="n">
        <v>0</v>
      </c>
      <c r="P417" t="n">
        <v>0</v>
      </c>
      <c r="Q417" t="n">
        <v>0</v>
      </c>
      <c r="R417" s="2" t="inlineStr"/>
    </row>
    <row r="418" ht="15" customHeight="1">
      <c r="A418" t="inlineStr">
        <is>
          <t>A 63579-2021</t>
        </is>
      </c>
      <c r="B418" s="1" t="n">
        <v>44508</v>
      </c>
      <c r="C418" s="1" t="n">
        <v>45976</v>
      </c>
      <c r="D418" t="inlineStr">
        <is>
          <t>JÄMTLANDS LÄN</t>
        </is>
      </c>
      <c r="E418" t="inlineStr">
        <is>
          <t>BRÄCKE</t>
        </is>
      </c>
      <c r="G418" t="n">
        <v>1.4</v>
      </c>
      <c r="H418" t="n">
        <v>0</v>
      </c>
      <c r="I418" t="n">
        <v>0</v>
      </c>
      <c r="J418" t="n">
        <v>0</v>
      </c>
      <c r="K418" t="n">
        <v>0</v>
      </c>
      <c r="L418" t="n">
        <v>0</v>
      </c>
      <c r="M418" t="n">
        <v>0</v>
      </c>
      <c r="N418" t="n">
        <v>0</v>
      </c>
      <c r="O418" t="n">
        <v>0</v>
      </c>
      <c r="P418" t="n">
        <v>0</v>
      </c>
      <c r="Q418" t="n">
        <v>0</v>
      </c>
      <c r="R418" s="2" t="inlineStr"/>
    </row>
    <row r="419" ht="15" customHeight="1">
      <c r="A419" t="inlineStr">
        <is>
          <t>A 41817-2022</t>
        </is>
      </c>
      <c r="B419" s="1" t="n">
        <v>44827</v>
      </c>
      <c r="C419" s="1" t="n">
        <v>45976</v>
      </c>
      <c r="D419" t="inlineStr">
        <is>
          <t>JÄMTLANDS LÄN</t>
        </is>
      </c>
      <c r="E419" t="inlineStr">
        <is>
          <t>BRÄCKE</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58269-2021</t>
        </is>
      </c>
      <c r="B420" s="1" t="n">
        <v>44487</v>
      </c>
      <c r="C420" s="1" t="n">
        <v>45976</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58272-2021</t>
        </is>
      </c>
      <c r="B421" s="1" t="n">
        <v>44487</v>
      </c>
      <c r="C421" s="1" t="n">
        <v>45976</v>
      </c>
      <c r="D421" t="inlineStr">
        <is>
          <t>JÄMTLANDS LÄN</t>
        </is>
      </c>
      <c r="E421" t="inlineStr">
        <is>
          <t>BRÄCKE</t>
        </is>
      </c>
      <c r="F421" t="inlineStr">
        <is>
          <t>SCA</t>
        </is>
      </c>
      <c r="G421" t="n">
        <v>6.1</v>
      </c>
      <c r="H421" t="n">
        <v>0</v>
      </c>
      <c r="I421" t="n">
        <v>0</v>
      </c>
      <c r="J421" t="n">
        <v>0</v>
      </c>
      <c r="K421" t="n">
        <v>0</v>
      </c>
      <c r="L421" t="n">
        <v>0</v>
      </c>
      <c r="M421" t="n">
        <v>0</v>
      </c>
      <c r="N421" t="n">
        <v>0</v>
      </c>
      <c r="O421" t="n">
        <v>0</v>
      </c>
      <c r="P421" t="n">
        <v>0</v>
      </c>
      <c r="Q421" t="n">
        <v>0</v>
      </c>
      <c r="R421" s="2" t="inlineStr"/>
    </row>
    <row r="422" ht="15" customHeight="1">
      <c r="A422" t="inlineStr">
        <is>
          <t>A 52022-2022</t>
        </is>
      </c>
      <c r="B422" s="1" t="n">
        <v>44872.95662037037</v>
      </c>
      <c r="C422" s="1" t="n">
        <v>45976</v>
      </c>
      <c r="D422" t="inlineStr">
        <is>
          <t>JÄMTLANDS LÄN</t>
        </is>
      </c>
      <c r="E422" t="inlineStr">
        <is>
          <t>BRÄCKE</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54567-2022</t>
        </is>
      </c>
      <c r="B423" s="1" t="n">
        <v>44882.95473379629</v>
      </c>
      <c r="C423" s="1" t="n">
        <v>45976</v>
      </c>
      <c r="D423" t="inlineStr">
        <is>
          <t>JÄMTLANDS LÄN</t>
        </is>
      </c>
      <c r="E423" t="inlineStr">
        <is>
          <t>BRÄCKE</t>
        </is>
      </c>
      <c r="F423" t="inlineStr">
        <is>
          <t>SCA</t>
        </is>
      </c>
      <c r="G423" t="n">
        <v>1</v>
      </c>
      <c r="H423" t="n">
        <v>0</v>
      </c>
      <c r="I423" t="n">
        <v>0</v>
      </c>
      <c r="J423" t="n">
        <v>0</v>
      </c>
      <c r="K423" t="n">
        <v>0</v>
      </c>
      <c r="L423" t="n">
        <v>0</v>
      </c>
      <c r="M423" t="n">
        <v>0</v>
      </c>
      <c r="N423" t="n">
        <v>0</v>
      </c>
      <c r="O423" t="n">
        <v>0</v>
      </c>
      <c r="P423" t="n">
        <v>0</v>
      </c>
      <c r="Q423" t="n">
        <v>0</v>
      </c>
      <c r="R423" s="2" t="inlineStr"/>
    </row>
    <row r="424" ht="15" customHeight="1">
      <c r="A424" t="inlineStr">
        <is>
          <t>A 53662-2022</t>
        </is>
      </c>
      <c r="B424" s="1" t="n">
        <v>44879.95628472222</v>
      </c>
      <c r="C424" s="1" t="n">
        <v>45976</v>
      </c>
      <c r="D424" t="inlineStr">
        <is>
          <t>JÄMTLANDS LÄN</t>
        </is>
      </c>
      <c r="E424" t="inlineStr">
        <is>
          <t>BRÄCKE</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38424-2021</t>
        </is>
      </c>
      <c r="B425" s="1" t="n">
        <v>44406.93799768519</v>
      </c>
      <c r="C425" s="1" t="n">
        <v>45976</v>
      </c>
      <c r="D425" t="inlineStr">
        <is>
          <t>JÄMTLANDS LÄN</t>
        </is>
      </c>
      <c r="E425" t="inlineStr">
        <is>
          <t>BRÄCKE</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16723-2021</t>
        </is>
      </c>
      <c r="B426" s="1" t="n">
        <v>44293</v>
      </c>
      <c r="C426" s="1" t="n">
        <v>45976</v>
      </c>
      <c r="D426" t="inlineStr">
        <is>
          <t>JÄMTLANDS LÄN</t>
        </is>
      </c>
      <c r="E426" t="inlineStr">
        <is>
          <t>BRÄCKE</t>
        </is>
      </c>
      <c r="G426" t="n">
        <v>1.7</v>
      </c>
      <c r="H426" t="n">
        <v>0</v>
      </c>
      <c r="I426" t="n">
        <v>0</v>
      </c>
      <c r="J426" t="n">
        <v>0</v>
      </c>
      <c r="K426" t="n">
        <v>0</v>
      </c>
      <c r="L426" t="n">
        <v>0</v>
      </c>
      <c r="M426" t="n">
        <v>0</v>
      </c>
      <c r="N426" t="n">
        <v>0</v>
      </c>
      <c r="O426" t="n">
        <v>0</v>
      </c>
      <c r="P426" t="n">
        <v>0</v>
      </c>
      <c r="Q426" t="n">
        <v>0</v>
      </c>
      <c r="R426" s="2" t="inlineStr"/>
    </row>
    <row r="427" ht="15" customHeight="1">
      <c r="A427" t="inlineStr">
        <is>
          <t>A 32101-2021</t>
        </is>
      </c>
      <c r="B427" s="1" t="n">
        <v>44370.94097222222</v>
      </c>
      <c r="C427" s="1" t="n">
        <v>45976</v>
      </c>
      <c r="D427" t="inlineStr">
        <is>
          <t>JÄMTLANDS LÄN</t>
        </is>
      </c>
      <c r="E427" t="inlineStr">
        <is>
          <t>BRÄCKE</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40278-2022</t>
        </is>
      </c>
      <c r="B428" s="1" t="n">
        <v>44820</v>
      </c>
      <c r="C428" s="1" t="n">
        <v>45976</v>
      </c>
      <c r="D428" t="inlineStr">
        <is>
          <t>JÄMTLANDS LÄN</t>
        </is>
      </c>
      <c r="E428" t="inlineStr">
        <is>
          <t>BRÄCKE</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27351-2022</t>
        </is>
      </c>
      <c r="B429" s="1" t="n">
        <v>44742.42644675926</v>
      </c>
      <c r="C429" s="1" t="n">
        <v>45976</v>
      </c>
      <c r="D429" t="inlineStr">
        <is>
          <t>JÄMTLANDS LÄN</t>
        </is>
      </c>
      <c r="E429" t="inlineStr">
        <is>
          <t>BRÄCKE</t>
        </is>
      </c>
      <c r="G429" t="n">
        <v>2</v>
      </c>
      <c r="H429" t="n">
        <v>0</v>
      </c>
      <c r="I429" t="n">
        <v>0</v>
      </c>
      <c r="J429" t="n">
        <v>0</v>
      </c>
      <c r="K429" t="n">
        <v>0</v>
      </c>
      <c r="L429" t="n">
        <v>0</v>
      </c>
      <c r="M429" t="n">
        <v>0</v>
      </c>
      <c r="N429" t="n">
        <v>0</v>
      </c>
      <c r="O429" t="n">
        <v>0</v>
      </c>
      <c r="P429" t="n">
        <v>0</v>
      </c>
      <c r="Q429" t="n">
        <v>0</v>
      </c>
      <c r="R429" s="2" t="inlineStr"/>
    </row>
    <row r="430" ht="15" customHeight="1">
      <c r="A430" t="inlineStr">
        <is>
          <t>A 17738-2022</t>
        </is>
      </c>
      <c r="B430" s="1" t="n">
        <v>44680.95217592592</v>
      </c>
      <c r="C430" s="1" t="n">
        <v>45976</v>
      </c>
      <c r="D430" t="inlineStr">
        <is>
          <t>JÄMTLANDS LÄN</t>
        </is>
      </c>
      <c r="E430" t="inlineStr">
        <is>
          <t>BRÄCKE</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47559-2021</t>
        </is>
      </c>
      <c r="B431" s="1" t="n">
        <v>44447</v>
      </c>
      <c r="C431" s="1" t="n">
        <v>45976</v>
      </c>
      <c r="D431" t="inlineStr">
        <is>
          <t>JÄMTLANDS LÄN</t>
        </is>
      </c>
      <c r="E431" t="inlineStr">
        <is>
          <t>BRÄCKE</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54809-2021</t>
        </is>
      </c>
      <c r="B432" s="1" t="n">
        <v>44473.94386574074</v>
      </c>
      <c r="C432" s="1" t="n">
        <v>45976</v>
      </c>
      <c r="D432" t="inlineStr">
        <is>
          <t>JÄMTLANDS LÄN</t>
        </is>
      </c>
      <c r="E432" t="inlineStr">
        <is>
          <t>BRÄCKE</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20069-2022</t>
        </is>
      </c>
      <c r="B433" s="1" t="n">
        <v>44697.94190972222</v>
      </c>
      <c r="C433" s="1" t="n">
        <v>45976</v>
      </c>
      <c r="D433" t="inlineStr">
        <is>
          <t>JÄMTLANDS LÄN</t>
        </is>
      </c>
      <c r="E433" t="inlineStr">
        <is>
          <t>BRÄCKE</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46793-2021</t>
        </is>
      </c>
      <c r="B434" s="1" t="n">
        <v>44445</v>
      </c>
      <c r="C434" s="1" t="n">
        <v>45976</v>
      </c>
      <c r="D434" t="inlineStr">
        <is>
          <t>JÄMTLANDS LÄN</t>
        </is>
      </c>
      <c r="E434" t="inlineStr">
        <is>
          <t>BRÄCKE</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18221-2022</t>
        </is>
      </c>
      <c r="B435" s="1" t="n">
        <v>44685</v>
      </c>
      <c r="C435" s="1" t="n">
        <v>45976</v>
      </c>
      <c r="D435" t="inlineStr">
        <is>
          <t>JÄMTLANDS LÄN</t>
        </is>
      </c>
      <c r="E435" t="inlineStr">
        <is>
          <t>BRÄCKE</t>
        </is>
      </c>
      <c r="G435" t="n">
        <v>1.5</v>
      </c>
      <c r="H435" t="n">
        <v>0</v>
      </c>
      <c r="I435" t="n">
        <v>0</v>
      </c>
      <c r="J435" t="n">
        <v>0</v>
      </c>
      <c r="K435" t="n">
        <v>0</v>
      </c>
      <c r="L435" t="n">
        <v>0</v>
      </c>
      <c r="M435" t="n">
        <v>0</v>
      </c>
      <c r="N435" t="n">
        <v>0</v>
      </c>
      <c r="O435" t="n">
        <v>0</v>
      </c>
      <c r="P435" t="n">
        <v>0</v>
      </c>
      <c r="Q435" t="n">
        <v>0</v>
      </c>
      <c r="R435" s="2" t="inlineStr"/>
    </row>
    <row r="436" ht="15" customHeight="1">
      <c r="A436" t="inlineStr">
        <is>
          <t>A 41825-2024</t>
        </is>
      </c>
      <c r="B436" s="1" t="n">
        <v>45561.39943287037</v>
      </c>
      <c r="C436" s="1" t="n">
        <v>45976</v>
      </c>
      <c r="D436" t="inlineStr">
        <is>
          <t>JÄMTLANDS LÄN</t>
        </is>
      </c>
      <c r="E436" t="inlineStr">
        <is>
          <t>BRÄCKE</t>
        </is>
      </c>
      <c r="G436" t="n">
        <v>0.9</v>
      </c>
      <c r="H436" t="n">
        <v>0</v>
      </c>
      <c r="I436" t="n">
        <v>0</v>
      </c>
      <c r="J436" t="n">
        <v>0</v>
      </c>
      <c r="K436" t="n">
        <v>0</v>
      </c>
      <c r="L436" t="n">
        <v>0</v>
      </c>
      <c r="M436" t="n">
        <v>0</v>
      </c>
      <c r="N436" t="n">
        <v>0</v>
      </c>
      <c r="O436" t="n">
        <v>0</v>
      </c>
      <c r="P436" t="n">
        <v>0</v>
      </c>
      <c r="Q436" t="n">
        <v>0</v>
      </c>
      <c r="R436" s="2" t="inlineStr"/>
    </row>
    <row r="437" ht="15" customHeight="1">
      <c r="A437" t="inlineStr">
        <is>
          <t>A 42656-2022</t>
        </is>
      </c>
      <c r="B437" s="1" t="n">
        <v>44831</v>
      </c>
      <c r="C437" s="1" t="n">
        <v>45976</v>
      </c>
      <c r="D437" t="inlineStr">
        <is>
          <t>JÄMTLANDS LÄN</t>
        </is>
      </c>
      <c r="E437" t="inlineStr">
        <is>
          <t>BRÄCKE</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53612-2021</t>
        </is>
      </c>
      <c r="B438" s="1" t="n">
        <v>44469</v>
      </c>
      <c r="C438" s="1" t="n">
        <v>45976</v>
      </c>
      <c r="D438" t="inlineStr">
        <is>
          <t>JÄMTLANDS LÄN</t>
        </is>
      </c>
      <c r="E438" t="inlineStr">
        <is>
          <t>BRÄCKE</t>
        </is>
      </c>
      <c r="G438" t="n">
        <v>1.7</v>
      </c>
      <c r="H438" t="n">
        <v>0</v>
      </c>
      <c r="I438" t="n">
        <v>0</v>
      </c>
      <c r="J438" t="n">
        <v>0</v>
      </c>
      <c r="K438" t="n">
        <v>0</v>
      </c>
      <c r="L438" t="n">
        <v>0</v>
      </c>
      <c r="M438" t="n">
        <v>0</v>
      </c>
      <c r="N438" t="n">
        <v>0</v>
      </c>
      <c r="O438" t="n">
        <v>0</v>
      </c>
      <c r="P438" t="n">
        <v>0</v>
      </c>
      <c r="Q438" t="n">
        <v>0</v>
      </c>
      <c r="R438" s="2" t="inlineStr"/>
    </row>
    <row r="439" ht="15" customHeight="1">
      <c r="A439" t="inlineStr">
        <is>
          <t>A 55900-2022</t>
        </is>
      </c>
      <c r="B439" s="1" t="n">
        <v>44888.95368055555</v>
      </c>
      <c r="C439" s="1" t="n">
        <v>45976</v>
      </c>
      <c r="D439" t="inlineStr">
        <is>
          <t>JÄMTLANDS LÄN</t>
        </is>
      </c>
      <c r="E439" t="inlineStr">
        <is>
          <t>BRÄCKE</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9553-2024</t>
        </is>
      </c>
      <c r="B440" s="1" t="n">
        <v>45360.03491898148</v>
      </c>
      <c r="C440" s="1" t="n">
        <v>45976</v>
      </c>
      <c r="D440" t="inlineStr">
        <is>
          <t>JÄMTLANDS LÄN</t>
        </is>
      </c>
      <c r="E440" t="inlineStr">
        <is>
          <t>BRÄCKE</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31342-2021</t>
        </is>
      </c>
      <c r="B441" s="1" t="n">
        <v>44368.93855324074</v>
      </c>
      <c r="C441" s="1" t="n">
        <v>45976</v>
      </c>
      <c r="D441" t="inlineStr">
        <is>
          <t>JÄMTLANDS LÄN</t>
        </is>
      </c>
      <c r="E441" t="inlineStr">
        <is>
          <t>BRÄCKE</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45701-2022</t>
        </is>
      </c>
      <c r="B442" s="1" t="n">
        <v>44845</v>
      </c>
      <c r="C442" s="1" t="n">
        <v>45976</v>
      </c>
      <c r="D442" t="inlineStr">
        <is>
          <t>JÄMTLANDS LÄN</t>
        </is>
      </c>
      <c r="E442" t="inlineStr">
        <is>
          <t>BRÄCKE</t>
        </is>
      </c>
      <c r="F442" t="inlineStr">
        <is>
          <t>SCA</t>
        </is>
      </c>
      <c r="G442" t="n">
        <v>2.9</v>
      </c>
      <c r="H442" t="n">
        <v>0</v>
      </c>
      <c r="I442" t="n">
        <v>0</v>
      </c>
      <c r="J442" t="n">
        <v>0</v>
      </c>
      <c r="K442" t="n">
        <v>0</v>
      </c>
      <c r="L442" t="n">
        <v>0</v>
      </c>
      <c r="M442" t="n">
        <v>0</v>
      </c>
      <c r="N442" t="n">
        <v>0</v>
      </c>
      <c r="O442" t="n">
        <v>0</v>
      </c>
      <c r="P442" t="n">
        <v>0</v>
      </c>
      <c r="Q442" t="n">
        <v>0</v>
      </c>
      <c r="R442" s="2" t="inlineStr"/>
    </row>
    <row r="443" ht="15" customHeight="1">
      <c r="A443" t="inlineStr">
        <is>
          <t>A 48079-2023</t>
        </is>
      </c>
      <c r="B443" s="1" t="n">
        <v>45204</v>
      </c>
      <c r="C443" s="1" t="n">
        <v>45976</v>
      </c>
      <c r="D443" t="inlineStr">
        <is>
          <t>JÄMTLANDS LÄN</t>
        </is>
      </c>
      <c r="E443" t="inlineStr">
        <is>
          <t>BRÄCKE</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72025-2021</t>
        </is>
      </c>
      <c r="B444" s="1" t="n">
        <v>44540</v>
      </c>
      <c r="C444" s="1" t="n">
        <v>45976</v>
      </c>
      <c r="D444" t="inlineStr">
        <is>
          <t>JÄMTLANDS LÄN</t>
        </is>
      </c>
      <c r="E444" t="inlineStr">
        <is>
          <t>BRÄCKE</t>
        </is>
      </c>
      <c r="G444" t="n">
        <v>11</v>
      </c>
      <c r="H444" t="n">
        <v>0</v>
      </c>
      <c r="I444" t="n">
        <v>0</v>
      </c>
      <c r="J444" t="n">
        <v>0</v>
      </c>
      <c r="K444" t="n">
        <v>0</v>
      </c>
      <c r="L444" t="n">
        <v>0</v>
      </c>
      <c r="M444" t="n">
        <v>0</v>
      </c>
      <c r="N444" t="n">
        <v>0</v>
      </c>
      <c r="O444" t="n">
        <v>0</v>
      </c>
      <c r="P444" t="n">
        <v>0</v>
      </c>
      <c r="Q444" t="n">
        <v>0</v>
      </c>
      <c r="R444" s="2" t="inlineStr"/>
    </row>
    <row r="445" ht="15" customHeight="1">
      <c r="A445" t="inlineStr">
        <is>
          <t>A 30490-2022</t>
        </is>
      </c>
      <c r="B445" s="1" t="n">
        <v>44761</v>
      </c>
      <c r="C445" s="1" t="n">
        <v>45976</v>
      </c>
      <c r="D445" t="inlineStr">
        <is>
          <t>JÄMTLANDS LÄN</t>
        </is>
      </c>
      <c r="E445" t="inlineStr">
        <is>
          <t>BRÄCKE</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58503-2022</t>
        </is>
      </c>
      <c r="B446" s="1" t="n">
        <v>44902.38313657408</v>
      </c>
      <c r="C446" s="1" t="n">
        <v>45976</v>
      </c>
      <c r="D446" t="inlineStr">
        <is>
          <t>JÄMTLANDS LÄN</t>
        </is>
      </c>
      <c r="E446" t="inlineStr">
        <is>
          <t>BRÄCKE</t>
        </is>
      </c>
      <c r="G446" t="n">
        <v>1.1</v>
      </c>
      <c r="H446" t="n">
        <v>0</v>
      </c>
      <c r="I446" t="n">
        <v>0</v>
      </c>
      <c r="J446" t="n">
        <v>0</v>
      </c>
      <c r="K446" t="n">
        <v>0</v>
      </c>
      <c r="L446" t="n">
        <v>0</v>
      </c>
      <c r="M446" t="n">
        <v>0</v>
      </c>
      <c r="N446" t="n">
        <v>0</v>
      </c>
      <c r="O446" t="n">
        <v>0</v>
      </c>
      <c r="P446" t="n">
        <v>0</v>
      </c>
      <c r="Q446" t="n">
        <v>0</v>
      </c>
      <c r="R446" s="2" t="inlineStr"/>
    </row>
    <row r="447" ht="15" customHeight="1">
      <c r="A447" t="inlineStr">
        <is>
          <t>A 28285-2022</t>
        </is>
      </c>
      <c r="B447" s="1" t="n">
        <v>44746</v>
      </c>
      <c r="C447" s="1" t="n">
        <v>45976</v>
      </c>
      <c r="D447" t="inlineStr">
        <is>
          <t>JÄMTLANDS LÄN</t>
        </is>
      </c>
      <c r="E447" t="inlineStr">
        <is>
          <t>BRÄCKE</t>
        </is>
      </c>
      <c r="F447" t="inlineStr">
        <is>
          <t>SCA</t>
        </is>
      </c>
      <c r="G447" t="n">
        <v>6.2</v>
      </c>
      <c r="H447" t="n">
        <v>0</v>
      </c>
      <c r="I447" t="n">
        <v>0</v>
      </c>
      <c r="J447" t="n">
        <v>0</v>
      </c>
      <c r="K447" t="n">
        <v>0</v>
      </c>
      <c r="L447" t="n">
        <v>0</v>
      </c>
      <c r="M447" t="n">
        <v>0</v>
      </c>
      <c r="N447" t="n">
        <v>0</v>
      </c>
      <c r="O447" t="n">
        <v>0</v>
      </c>
      <c r="P447" t="n">
        <v>0</v>
      </c>
      <c r="Q447" t="n">
        <v>0</v>
      </c>
      <c r="R447" s="2" t="inlineStr"/>
    </row>
    <row r="448" ht="15" customHeight="1">
      <c r="A448" t="inlineStr">
        <is>
          <t>A 46024-2022</t>
        </is>
      </c>
      <c r="B448" s="1" t="n">
        <v>44846.92635416667</v>
      </c>
      <c r="C448" s="1" t="n">
        <v>45976</v>
      </c>
      <c r="D448" t="inlineStr">
        <is>
          <t>JÄMTLANDS LÄN</t>
        </is>
      </c>
      <c r="E448" t="inlineStr">
        <is>
          <t>BRÄCKE</t>
        </is>
      </c>
      <c r="G448" t="n">
        <v>3</v>
      </c>
      <c r="H448" t="n">
        <v>0</v>
      </c>
      <c r="I448" t="n">
        <v>0</v>
      </c>
      <c r="J448" t="n">
        <v>0</v>
      </c>
      <c r="K448" t="n">
        <v>0</v>
      </c>
      <c r="L448" t="n">
        <v>0</v>
      </c>
      <c r="M448" t="n">
        <v>0</v>
      </c>
      <c r="N448" t="n">
        <v>0</v>
      </c>
      <c r="O448" t="n">
        <v>0</v>
      </c>
      <c r="P448" t="n">
        <v>0</v>
      </c>
      <c r="Q448" t="n">
        <v>0</v>
      </c>
      <c r="R448" s="2" t="inlineStr"/>
    </row>
    <row r="449" ht="15" customHeight="1">
      <c r="A449" t="inlineStr">
        <is>
          <t>A 37375-2021</t>
        </is>
      </c>
      <c r="B449" s="1" t="n">
        <v>44397</v>
      </c>
      <c r="C449" s="1" t="n">
        <v>45976</v>
      </c>
      <c r="D449" t="inlineStr">
        <is>
          <t>JÄMTLANDS LÄN</t>
        </is>
      </c>
      <c r="E449" t="inlineStr">
        <is>
          <t>BRÄCKE</t>
        </is>
      </c>
      <c r="F449" t="inlineStr">
        <is>
          <t>SCA</t>
        </is>
      </c>
      <c r="G449" t="n">
        <v>7.3</v>
      </c>
      <c r="H449" t="n">
        <v>0</v>
      </c>
      <c r="I449" t="n">
        <v>0</v>
      </c>
      <c r="J449" t="n">
        <v>0</v>
      </c>
      <c r="K449" t="n">
        <v>0</v>
      </c>
      <c r="L449" t="n">
        <v>0</v>
      </c>
      <c r="M449" t="n">
        <v>0</v>
      </c>
      <c r="N449" t="n">
        <v>0</v>
      </c>
      <c r="O449" t="n">
        <v>0</v>
      </c>
      <c r="P449" t="n">
        <v>0</v>
      </c>
      <c r="Q449" t="n">
        <v>0</v>
      </c>
      <c r="R449" s="2" t="inlineStr"/>
    </row>
    <row r="450" ht="15" customHeight="1">
      <c r="A450" t="inlineStr">
        <is>
          <t>A 22121-2024</t>
        </is>
      </c>
      <c r="B450" s="1" t="n">
        <v>45443.95271990741</v>
      </c>
      <c r="C450" s="1" t="n">
        <v>45976</v>
      </c>
      <c r="D450" t="inlineStr">
        <is>
          <t>JÄMTLANDS LÄN</t>
        </is>
      </c>
      <c r="E450" t="inlineStr">
        <is>
          <t>BRÄCKE</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49032-2024</t>
        </is>
      </c>
      <c r="B451" s="1" t="n">
        <v>45594.53152777778</v>
      </c>
      <c r="C451" s="1" t="n">
        <v>45976</v>
      </c>
      <c r="D451" t="inlineStr">
        <is>
          <t>JÄMTLANDS LÄN</t>
        </is>
      </c>
      <c r="E451" t="inlineStr">
        <is>
          <t>BRÄCKE</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58086-2024</t>
        </is>
      </c>
      <c r="B452" s="1" t="n">
        <v>45632.34436342592</v>
      </c>
      <c r="C452" s="1" t="n">
        <v>45976</v>
      </c>
      <c r="D452" t="inlineStr">
        <is>
          <t>JÄMTLANDS LÄN</t>
        </is>
      </c>
      <c r="E452" t="inlineStr">
        <is>
          <t>BRÄCKE</t>
        </is>
      </c>
      <c r="F452" t="inlineStr">
        <is>
          <t>SCA</t>
        </is>
      </c>
      <c r="G452" t="n">
        <v>3.7</v>
      </c>
      <c r="H452" t="n">
        <v>0</v>
      </c>
      <c r="I452" t="n">
        <v>0</v>
      </c>
      <c r="J452" t="n">
        <v>0</v>
      </c>
      <c r="K452" t="n">
        <v>0</v>
      </c>
      <c r="L452" t="n">
        <v>0</v>
      </c>
      <c r="M452" t="n">
        <v>0</v>
      </c>
      <c r="N452" t="n">
        <v>0</v>
      </c>
      <c r="O452" t="n">
        <v>0</v>
      </c>
      <c r="P452" t="n">
        <v>0</v>
      </c>
      <c r="Q452" t="n">
        <v>0</v>
      </c>
      <c r="R452" s="2" t="inlineStr"/>
    </row>
    <row r="453" ht="15" customHeight="1">
      <c r="A453" t="inlineStr">
        <is>
          <t>A 21654-2022</t>
        </is>
      </c>
      <c r="B453" s="1" t="n">
        <v>44706.94207175926</v>
      </c>
      <c r="C453" s="1" t="n">
        <v>45976</v>
      </c>
      <c r="D453" t="inlineStr">
        <is>
          <t>JÄMTLANDS LÄN</t>
        </is>
      </c>
      <c r="E453" t="inlineStr">
        <is>
          <t>BRÄCKE</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21656-2022</t>
        </is>
      </c>
      <c r="B454" s="1" t="n">
        <v>44706.9421875</v>
      </c>
      <c r="C454" s="1" t="n">
        <v>45976</v>
      </c>
      <c r="D454" t="inlineStr">
        <is>
          <t>JÄMTLANDS LÄN</t>
        </is>
      </c>
      <c r="E454" t="inlineStr">
        <is>
          <t>BRÄCKE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55663-2023</t>
        </is>
      </c>
      <c r="B455" s="1" t="n">
        <v>45238.96738425926</v>
      </c>
      <c r="C455" s="1" t="n">
        <v>45976</v>
      </c>
      <c r="D455" t="inlineStr">
        <is>
          <t>JÄMTLANDS LÄN</t>
        </is>
      </c>
      <c r="E455" t="inlineStr">
        <is>
          <t>BRÄCKE</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9707-2025</t>
        </is>
      </c>
      <c r="B456" s="1" t="n">
        <v>45716.38592592593</v>
      </c>
      <c r="C456" s="1" t="n">
        <v>45976</v>
      </c>
      <c r="D456" t="inlineStr">
        <is>
          <t>JÄMTLANDS LÄN</t>
        </is>
      </c>
      <c r="E456" t="inlineStr">
        <is>
          <t>BRÄCKE</t>
        </is>
      </c>
      <c r="F456" t="inlineStr">
        <is>
          <t>SCA</t>
        </is>
      </c>
      <c r="G456" t="n">
        <v>0.6</v>
      </c>
      <c r="H456" t="n">
        <v>0</v>
      </c>
      <c r="I456" t="n">
        <v>0</v>
      </c>
      <c r="J456" t="n">
        <v>0</v>
      </c>
      <c r="K456" t="n">
        <v>0</v>
      </c>
      <c r="L456" t="n">
        <v>0</v>
      </c>
      <c r="M456" t="n">
        <v>0</v>
      </c>
      <c r="N456" t="n">
        <v>0</v>
      </c>
      <c r="O456" t="n">
        <v>0</v>
      </c>
      <c r="P456" t="n">
        <v>0</v>
      </c>
      <c r="Q456" t="n">
        <v>0</v>
      </c>
      <c r="R456" s="2" t="inlineStr"/>
    </row>
    <row r="457" ht="15" customHeight="1">
      <c r="A457" t="inlineStr">
        <is>
          <t>A 56221-2021</t>
        </is>
      </c>
      <c r="B457" s="1" t="n">
        <v>44477</v>
      </c>
      <c r="C457" s="1" t="n">
        <v>45976</v>
      </c>
      <c r="D457" t="inlineStr">
        <is>
          <t>JÄMTLANDS LÄN</t>
        </is>
      </c>
      <c r="E457" t="inlineStr">
        <is>
          <t>BRÄCKE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49727-2023</t>
        </is>
      </c>
      <c r="B458" s="1" t="n">
        <v>45208</v>
      </c>
      <c r="C458" s="1" t="n">
        <v>45976</v>
      </c>
      <c r="D458" t="inlineStr">
        <is>
          <t>JÄMTLANDS LÄN</t>
        </is>
      </c>
      <c r="E458" t="inlineStr">
        <is>
          <t>BRÄCKE</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35010-2022</t>
        </is>
      </c>
      <c r="B459" s="1" t="n">
        <v>44796.94616898148</v>
      </c>
      <c r="C459" s="1" t="n">
        <v>45976</v>
      </c>
      <c r="D459" t="inlineStr">
        <is>
          <t>JÄMTLANDS LÄN</t>
        </is>
      </c>
      <c r="E459" t="inlineStr">
        <is>
          <t>BRÄCKE</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58758-2023</t>
        </is>
      </c>
      <c r="B460" s="1" t="n">
        <v>45251.93006944445</v>
      </c>
      <c r="C460" s="1" t="n">
        <v>45976</v>
      </c>
      <c r="D460" t="inlineStr">
        <is>
          <t>JÄMTLANDS LÄN</t>
        </is>
      </c>
      <c r="E460" t="inlineStr">
        <is>
          <t>BRÄCKE</t>
        </is>
      </c>
      <c r="G460" t="n">
        <v>1.4</v>
      </c>
      <c r="H460" t="n">
        <v>0</v>
      </c>
      <c r="I460" t="n">
        <v>0</v>
      </c>
      <c r="J460" t="n">
        <v>0</v>
      </c>
      <c r="K460" t="n">
        <v>0</v>
      </c>
      <c r="L460" t="n">
        <v>0</v>
      </c>
      <c r="M460" t="n">
        <v>0</v>
      </c>
      <c r="N460" t="n">
        <v>0</v>
      </c>
      <c r="O460" t="n">
        <v>0</v>
      </c>
      <c r="P460" t="n">
        <v>0</v>
      </c>
      <c r="Q460" t="n">
        <v>0</v>
      </c>
      <c r="R460" s="2" t="inlineStr"/>
    </row>
    <row r="461" ht="15" customHeight="1">
      <c r="A461" t="inlineStr">
        <is>
          <t>A 46602-2022</t>
        </is>
      </c>
      <c r="B461" s="1" t="n">
        <v>44848</v>
      </c>
      <c r="C461" s="1" t="n">
        <v>45976</v>
      </c>
      <c r="D461" t="inlineStr">
        <is>
          <t>JÄMTLANDS LÄN</t>
        </is>
      </c>
      <c r="E461" t="inlineStr">
        <is>
          <t>BRÄCKE</t>
        </is>
      </c>
      <c r="G461" t="n">
        <v>1.6</v>
      </c>
      <c r="H461" t="n">
        <v>0</v>
      </c>
      <c r="I461" t="n">
        <v>0</v>
      </c>
      <c r="J461" t="n">
        <v>0</v>
      </c>
      <c r="K461" t="n">
        <v>0</v>
      </c>
      <c r="L461" t="n">
        <v>0</v>
      </c>
      <c r="M461" t="n">
        <v>0</v>
      </c>
      <c r="N461" t="n">
        <v>0</v>
      </c>
      <c r="O461" t="n">
        <v>0</v>
      </c>
      <c r="P461" t="n">
        <v>0</v>
      </c>
      <c r="Q461" t="n">
        <v>0</v>
      </c>
      <c r="R461" s="2" t="inlineStr"/>
    </row>
    <row r="462" ht="15" customHeight="1">
      <c r="A462" t="inlineStr">
        <is>
          <t>A 13244-2023</t>
        </is>
      </c>
      <c r="B462" s="1" t="n">
        <v>45002</v>
      </c>
      <c r="C462" s="1" t="n">
        <v>45976</v>
      </c>
      <c r="D462" t="inlineStr">
        <is>
          <t>JÄMTLANDS LÄN</t>
        </is>
      </c>
      <c r="E462" t="inlineStr">
        <is>
          <t>BRÄCKE</t>
        </is>
      </c>
      <c r="G462" t="n">
        <v>1.1</v>
      </c>
      <c r="H462" t="n">
        <v>0</v>
      </c>
      <c r="I462" t="n">
        <v>0</v>
      </c>
      <c r="J462" t="n">
        <v>0</v>
      </c>
      <c r="K462" t="n">
        <v>0</v>
      </c>
      <c r="L462" t="n">
        <v>0</v>
      </c>
      <c r="M462" t="n">
        <v>0</v>
      </c>
      <c r="N462" t="n">
        <v>0</v>
      </c>
      <c r="O462" t="n">
        <v>0</v>
      </c>
      <c r="P462" t="n">
        <v>0</v>
      </c>
      <c r="Q462" t="n">
        <v>0</v>
      </c>
      <c r="R462" s="2" t="inlineStr"/>
    </row>
    <row r="463" ht="15" customHeight="1">
      <c r="A463" t="inlineStr">
        <is>
          <t>A 4542-2022</t>
        </is>
      </c>
      <c r="B463" s="1" t="n">
        <v>44590</v>
      </c>
      <c r="C463" s="1" t="n">
        <v>45976</v>
      </c>
      <c r="D463" t="inlineStr">
        <is>
          <t>JÄMTLANDS LÄN</t>
        </is>
      </c>
      <c r="E463" t="inlineStr">
        <is>
          <t>BRÄCKE</t>
        </is>
      </c>
      <c r="G463" t="n">
        <v>18.5</v>
      </c>
      <c r="H463" t="n">
        <v>0</v>
      </c>
      <c r="I463" t="n">
        <v>0</v>
      </c>
      <c r="J463" t="n">
        <v>0</v>
      </c>
      <c r="K463" t="n">
        <v>0</v>
      </c>
      <c r="L463" t="n">
        <v>0</v>
      </c>
      <c r="M463" t="n">
        <v>0</v>
      </c>
      <c r="N463" t="n">
        <v>0</v>
      </c>
      <c r="O463" t="n">
        <v>0</v>
      </c>
      <c r="P463" t="n">
        <v>0</v>
      </c>
      <c r="Q463" t="n">
        <v>0</v>
      </c>
      <c r="R463" s="2" t="inlineStr"/>
    </row>
    <row r="464" ht="15" customHeight="1">
      <c r="A464" t="inlineStr">
        <is>
          <t>A 56491-2024</t>
        </is>
      </c>
      <c r="B464" s="1" t="n">
        <v>45625.48987268518</v>
      </c>
      <c r="C464" s="1" t="n">
        <v>45976</v>
      </c>
      <c r="D464" t="inlineStr">
        <is>
          <t>JÄMTLANDS LÄN</t>
        </is>
      </c>
      <c r="E464" t="inlineStr">
        <is>
          <t>BRÄCKE</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19667-2025</t>
        </is>
      </c>
      <c r="B465" s="1" t="n">
        <v>45770.69820601852</v>
      </c>
      <c r="C465" s="1" t="n">
        <v>45976</v>
      </c>
      <c r="D465" t="inlineStr">
        <is>
          <t>JÄMTLANDS LÄN</t>
        </is>
      </c>
      <c r="E465" t="inlineStr">
        <is>
          <t>BRÄCKE</t>
        </is>
      </c>
      <c r="F465" t="inlineStr">
        <is>
          <t>Kyrkan</t>
        </is>
      </c>
      <c r="G465" t="n">
        <v>1</v>
      </c>
      <c r="H465" t="n">
        <v>0</v>
      </c>
      <c r="I465" t="n">
        <v>0</v>
      </c>
      <c r="J465" t="n">
        <v>0</v>
      </c>
      <c r="K465" t="n">
        <v>0</v>
      </c>
      <c r="L465" t="n">
        <v>0</v>
      </c>
      <c r="M465" t="n">
        <v>0</v>
      </c>
      <c r="N465" t="n">
        <v>0</v>
      </c>
      <c r="O465" t="n">
        <v>0</v>
      </c>
      <c r="P465" t="n">
        <v>0</v>
      </c>
      <c r="Q465" t="n">
        <v>0</v>
      </c>
      <c r="R465" s="2" t="inlineStr"/>
    </row>
    <row r="466" ht="15" customHeight="1">
      <c r="A466" t="inlineStr">
        <is>
          <t>A 26750-2022</t>
        </is>
      </c>
      <c r="B466" s="1" t="n">
        <v>44739.94125</v>
      </c>
      <c r="C466" s="1" t="n">
        <v>45976</v>
      </c>
      <c r="D466" t="inlineStr">
        <is>
          <t>JÄMTLANDS LÄN</t>
        </is>
      </c>
      <c r="E466" t="inlineStr">
        <is>
          <t>BRÄCKE</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73106-2021</t>
        </is>
      </c>
      <c r="B467" s="1" t="n">
        <v>44550.45646990741</v>
      </c>
      <c r="C467" s="1" t="n">
        <v>45976</v>
      </c>
      <c r="D467" t="inlineStr">
        <is>
          <t>JÄMTLANDS LÄN</t>
        </is>
      </c>
      <c r="E467" t="inlineStr">
        <is>
          <t>BRÄCKE</t>
        </is>
      </c>
      <c r="F467" t="inlineStr">
        <is>
          <t>Sveaskog</t>
        </is>
      </c>
      <c r="G467" t="n">
        <v>5.4</v>
      </c>
      <c r="H467" t="n">
        <v>0</v>
      </c>
      <c r="I467" t="n">
        <v>0</v>
      </c>
      <c r="J467" t="n">
        <v>0</v>
      </c>
      <c r="K467" t="n">
        <v>0</v>
      </c>
      <c r="L467" t="n">
        <v>0</v>
      </c>
      <c r="M467" t="n">
        <v>0</v>
      </c>
      <c r="N467" t="n">
        <v>0</v>
      </c>
      <c r="O467" t="n">
        <v>0</v>
      </c>
      <c r="P467" t="n">
        <v>0</v>
      </c>
      <c r="Q467" t="n">
        <v>0</v>
      </c>
      <c r="R467" s="2" t="inlineStr"/>
    </row>
    <row r="468" ht="15" customHeight="1">
      <c r="A468" t="inlineStr">
        <is>
          <t>A 2621-2024</t>
        </is>
      </c>
      <c r="B468" s="1" t="n">
        <v>45313.94908564815</v>
      </c>
      <c r="C468" s="1" t="n">
        <v>45976</v>
      </c>
      <c r="D468" t="inlineStr">
        <is>
          <t>JÄMTLANDS LÄN</t>
        </is>
      </c>
      <c r="E468" t="inlineStr">
        <is>
          <t>BRÄCKE</t>
        </is>
      </c>
      <c r="F468" t="inlineStr">
        <is>
          <t>SCA</t>
        </is>
      </c>
      <c r="G468" t="n">
        <v>0.6</v>
      </c>
      <c r="H468" t="n">
        <v>0</v>
      </c>
      <c r="I468" t="n">
        <v>0</v>
      </c>
      <c r="J468" t="n">
        <v>0</v>
      </c>
      <c r="K468" t="n">
        <v>0</v>
      </c>
      <c r="L468" t="n">
        <v>0</v>
      </c>
      <c r="M468" t="n">
        <v>0</v>
      </c>
      <c r="N468" t="n">
        <v>0</v>
      </c>
      <c r="O468" t="n">
        <v>0</v>
      </c>
      <c r="P468" t="n">
        <v>0</v>
      </c>
      <c r="Q468" t="n">
        <v>0</v>
      </c>
      <c r="R468" s="2" t="inlineStr"/>
    </row>
    <row r="469" ht="15" customHeight="1">
      <c r="A469" t="inlineStr">
        <is>
          <t>A 70807-2021</t>
        </is>
      </c>
      <c r="B469" s="1" t="n">
        <v>44537</v>
      </c>
      <c r="C469" s="1" t="n">
        <v>45976</v>
      </c>
      <c r="D469" t="inlineStr">
        <is>
          <t>JÄMTLANDS LÄN</t>
        </is>
      </c>
      <c r="E469" t="inlineStr">
        <is>
          <t>BRÄCKE</t>
        </is>
      </c>
      <c r="G469" t="n">
        <v>0.9</v>
      </c>
      <c r="H469" t="n">
        <v>0</v>
      </c>
      <c r="I469" t="n">
        <v>0</v>
      </c>
      <c r="J469" t="n">
        <v>0</v>
      </c>
      <c r="K469" t="n">
        <v>0</v>
      </c>
      <c r="L469" t="n">
        <v>0</v>
      </c>
      <c r="M469" t="n">
        <v>0</v>
      </c>
      <c r="N469" t="n">
        <v>0</v>
      </c>
      <c r="O469" t="n">
        <v>0</v>
      </c>
      <c r="P469" t="n">
        <v>0</v>
      </c>
      <c r="Q469" t="n">
        <v>0</v>
      </c>
      <c r="R469" s="2" t="inlineStr"/>
    </row>
    <row r="470" ht="15" customHeight="1">
      <c r="A470" t="inlineStr">
        <is>
          <t>A 34138-2023</t>
        </is>
      </c>
      <c r="B470" s="1" t="n">
        <v>45135</v>
      </c>
      <c r="C470" s="1" t="n">
        <v>45976</v>
      </c>
      <c r="D470" t="inlineStr">
        <is>
          <t>JÄMTLANDS LÄN</t>
        </is>
      </c>
      <c r="E470" t="inlineStr">
        <is>
          <t>BRÄCKE</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55523-2022</t>
        </is>
      </c>
      <c r="B471" s="1" t="n">
        <v>44887.94924768519</v>
      </c>
      <c r="C471" s="1" t="n">
        <v>45976</v>
      </c>
      <c r="D471" t="inlineStr">
        <is>
          <t>JÄMTLANDS LÄN</t>
        </is>
      </c>
      <c r="E471" t="inlineStr">
        <is>
          <t>BRÄCKE</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43832-2021</t>
        </is>
      </c>
      <c r="B472" s="1" t="n">
        <v>44433.9410300926</v>
      </c>
      <c r="C472" s="1" t="n">
        <v>45976</v>
      </c>
      <c r="D472" t="inlineStr">
        <is>
          <t>JÄMTLANDS LÄN</t>
        </is>
      </c>
      <c r="E472" t="inlineStr">
        <is>
          <t>BRÄCKE</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40711-2022</t>
        </is>
      </c>
      <c r="B473" s="1" t="n">
        <v>44820</v>
      </c>
      <c r="C473" s="1" t="n">
        <v>45976</v>
      </c>
      <c r="D473" t="inlineStr">
        <is>
          <t>JÄMTLANDS LÄN</t>
        </is>
      </c>
      <c r="E473" t="inlineStr">
        <is>
          <t>BRÄCKE</t>
        </is>
      </c>
      <c r="G473" t="n">
        <v>5.4</v>
      </c>
      <c r="H473" t="n">
        <v>0</v>
      </c>
      <c r="I473" t="n">
        <v>0</v>
      </c>
      <c r="J473" t="n">
        <v>0</v>
      </c>
      <c r="K473" t="n">
        <v>0</v>
      </c>
      <c r="L473" t="n">
        <v>0</v>
      </c>
      <c r="M473" t="n">
        <v>0</v>
      </c>
      <c r="N473" t="n">
        <v>0</v>
      </c>
      <c r="O473" t="n">
        <v>0</v>
      </c>
      <c r="P473" t="n">
        <v>0</v>
      </c>
      <c r="Q473" t="n">
        <v>0</v>
      </c>
      <c r="R473" s="2" t="inlineStr"/>
    </row>
    <row r="474" ht="15" customHeight="1">
      <c r="A474" t="inlineStr">
        <is>
          <t>A 1864-2022</t>
        </is>
      </c>
      <c r="B474" s="1" t="n">
        <v>44574</v>
      </c>
      <c r="C474" s="1" t="n">
        <v>45976</v>
      </c>
      <c r="D474" t="inlineStr">
        <is>
          <t>JÄMTLANDS LÄN</t>
        </is>
      </c>
      <c r="E474" t="inlineStr">
        <is>
          <t>BRÄCKE</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10536-2022</t>
        </is>
      </c>
      <c r="B475" s="1" t="n">
        <v>44623.92185185185</v>
      </c>
      <c r="C475" s="1" t="n">
        <v>45976</v>
      </c>
      <c r="D475" t="inlineStr">
        <is>
          <t>JÄMTLANDS LÄN</t>
        </is>
      </c>
      <c r="E475" t="inlineStr">
        <is>
          <t>BRÄCKE</t>
        </is>
      </c>
      <c r="G475" t="n">
        <v>3.1</v>
      </c>
      <c r="H475" t="n">
        <v>0</v>
      </c>
      <c r="I475" t="n">
        <v>0</v>
      </c>
      <c r="J475" t="n">
        <v>0</v>
      </c>
      <c r="K475" t="n">
        <v>0</v>
      </c>
      <c r="L475" t="n">
        <v>0</v>
      </c>
      <c r="M475" t="n">
        <v>0</v>
      </c>
      <c r="N475" t="n">
        <v>0</v>
      </c>
      <c r="O475" t="n">
        <v>0</v>
      </c>
      <c r="P475" t="n">
        <v>0</v>
      </c>
      <c r="Q475" t="n">
        <v>0</v>
      </c>
      <c r="R475" s="2" t="inlineStr"/>
    </row>
    <row r="476" ht="15" customHeight="1">
      <c r="A476" t="inlineStr">
        <is>
          <t>A 26302-2024</t>
        </is>
      </c>
      <c r="B476" s="1" t="n">
        <v>45468.9328587963</v>
      </c>
      <c r="C476" s="1" t="n">
        <v>45976</v>
      </c>
      <c r="D476" t="inlineStr">
        <is>
          <t>JÄMTLANDS LÄN</t>
        </is>
      </c>
      <c r="E476" t="inlineStr">
        <is>
          <t>BRÄCKE</t>
        </is>
      </c>
      <c r="G476" t="n">
        <v>0.5</v>
      </c>
      <c r="H476" t="n">
        <v>0</v>
      </c>
      <c r="I476" t="n">
        <v>0</v>
      </c>
      <c r="J476" t="n">
        <v>0</v>
      </c>
      <c r="K476" t="n">
        <v>0</v>
      </c>
      <c r="L476" t="n">
        <v>0</v>
      </c>
      <c r="M476" t="n">
        <v>0</v>
      </c>
      <c r="N476" t="n">
        <v>0</v>
      </c>
      <c r="O476" t="n">
        <v>0</v>
      </c>
      <c r="P476" t="n">
        <v>0</v>
      </c>
      <c r="Q476" t="n">
        <v>0</v>
      </c>
      <c r="R476" s="2" t="inlineStr"/>
    </row>
    <row r="477" ht="15" customHeight="1">
      <c r="A477" t="inlineStr">
        <is>
          <t>A 32471-2021</t>
        </is>
      </c>
      <c r="B477" s="1" t="n">
        <v>44371</v>
      </c>
      <c r="C477" s="1" t="n">
        <v>45976</v>
      </c>
      <c r="D477" t="inlineStr">
        <is>
          <t>JÄMTLANDS LÄN</t>
        </is>
      </c>
      <c r="E477" t="inlineStr">
        <is>
          <t>BRÄCKE</t>
        </is>
      </c>
      <c r="F477" t="inlineStr">
        <is>
          <t>SCA</t>
        </is>
      </c>
      <c r="G477" t="n">
        <v>0.2</v>
      </c>
      <c r="H477" t="n">
        <v>0</v>
      </c>
      <c r="I477" t="n">
        <v>0</v>
      </c>
      <c r="J477" t="n">
        <v>0</v>
      </c>
      <c r="K477" t="n">
        <v>0</v>
      </c>
      <c r="L477" t="n">
        <v>0</v>
      </c>
      <c r="M477" t="n">
        <v>0</v>
      </c>
      <c r="N477" t="n">
        <v>0</v>
      </c>
      <c r="O477" t="n">
        <v>0</v>
      </c>
      <c r="P477" t="n">
        <v>0</v>
      </c>
      <c r="Q477" t="n">
        <v>0</v>
      </c>
      <c r="R477" s="2" t="inlineStr"/>
    </row>
    <row r="478" ht="15" customHeight="1">
      <c r="A478" t="inlineStr">
        <is>
          <t>A 24432-2024</t>
        </is>
      </c>
      <c r="B478" s="1" t="n">
        <v>45457.96054398148</v>
      </c>
      <c r="C478" s="1" t="n">
        <v>45976</v>
      </c>
      <c r="D478" t="inlineStr">
        <is>
          <t>JÄMTLANDS LÄN</t>
        </is>
      </c>
      <c r="E478" t="inlineStr">
        <is>
          <t>BRÄCKE</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3179-2024</t>
        </is>
      </c>
      <c r="B479" s="1" t="n">
        <v>45316</v>
      </c>
      <c r="C479" s="1" t="n">
        <v>45976</v>
      </c>
      <c r="D479" t="inlineStr">
        <is>
          <t>JÄMTLANDS LÄN</t>
        </is>
      </c>
      <c r="E479" t="inlineStr">
        <is>
          <t>BRÄCKE</t>
        </is>
      </c>
      <c r="G479" t="n">
        <v>1.5</v>
      </c>
      <c r="H479" t="n">
        <v>0</v>
      </c>
      <c r="I479" t="n">
        <v>0</v>
      </c>
      <c r="J479" t="n">
        <v>0</v>
      </c>
      <c r="K479" t="n">
        <v>0</v>
      </c>
      <c r="L479" t="n">
        <v>0</v>
      </c>
      <c r="M479" t="n">
        <v>0</v>
      </c>
      <c r="N479" t="n">
        <v>0</v>
      </c>
      <c r="O479" t="n">
        <v>0</v>
      </c>
      <c r="P479" t="n">
        <v>0</v>
      </c>
      <c r="Q479" t="n">
        <v>0</v>
      </c>
      <c r="R479" s="2" t="inlineStr"/>
    </row>
    <row r="480" ht="15" customHeight="1">
      <c r="A480" t="inlineStr">
        <is>
          <t>A 50520-2024</t>
        </is>
      </c>
      <c r="B480" s="1" t="n">
        <v>45601.55320601852</v>
      </c>
      <c r="C480" s="1" t="n">
        <v>45976</v>
      </c>
      <c r="D480" t="inlineStr">
        <is>
          <t>JÄMTLANDS LÄN</t>
        </is>
      </c>
      <c r="E480" t="inlineStr">
        <is>
          <t>BRÄCKE</t>
        </is>
      </c>
      <c r="F480" t="inlineStr">
        <is>
          <t>SCA</t>
        </is>
      </c>
      <c r="G480" t="n">
        <v>3.7</v>
      </c>
      <c r="H480" t="n">
        <v>0</v>
      </c>
      <c r="I480" t="n">
        <v>0</v>
      </c>
      <c r="J480" t="n">
        <v>0</v>
      </c>
      <c r="K480" t="n">
        <v>0</v>
      </c>
      <c r="L480" t="n">
        <v>0</v>
      </c>
      <c r="M480" t="n">
        <v>0</v>
      </c>
      <c r="N480" t="n">
        <v>0</v>
      </c>
      <c r="O480" t="n">
        <v>0</v>
      </c>
      <c r="P480" t="n">
        <v>0</v>
      </c>
      <c r="Q480" t="n">
        <v>0</v>
      </c>
      <c r="R480" s="2" t="inlineStr"/>
    </row>
    <row r="481" ht="15" customHeight="1">
      <c r="A481" t="inlineStr">
        <is>
          <t>A 47257-2022</t>
        </is>
      </c>
      <c r="B481" s="1" t="n">
        <v>44852</v>
      </c>
      <c r="C481" s="1" t="n">
        <v>45976</v>
      </c>
      <c r="D481" t="inlineStr">
        <is>
          <t>JÄMTLANDS LÄN</t>
        </is>
      </c>
      <c r="E481" t="inlineStr">
        <is>
          <t>BRÄCKE</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40693-2024</t>
        </is>
      </c>
      <c r="B482" s="1" t="n">
        <v>45558.40670138889</v>
      </c>
      <c r="C482" s="1" t="n">
        <v>45976</v>
      </c>
      <c r="D482" t="inlineStr">
        <is>
          <t>JÄMTLANDS LÄN</t>
        </is>
      </c>
      <c r="E482" t="inlineStr">
        <is>
          <t>BRÄCKE</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13249-2025</t>
        </is>
      </c>
      <c r="B483" s="1" t="n">
        <v>45735.48996527777</v>
      </c>
      <c r="C483" s="1" t="n">
        <v>45976</v>
      </c>
      <c r="D483" t="inlineStr">
        <is>
          <t>JÄMTLANDS LÄN</t>
        </is>
      </c>
      <c r="E483" t="inlineStr">
        <is>
          <t>BRÄCKE</t>
        </is>
      </c>
      <c r="F483" t="inlineStr">
        <is>
          <t>SCA</t>
        </is>
      </c>
      <c r="G483" t="n">
        <v>8.9</v>
      </c>
      <c r="H483" t="n">
        <v>0</v>
      </c>
      <c r="I483" t="n">
        <v>0</v>
      </c>
      <c r="J483" t="n">
        <v>0</v>
      </c>
      <c r="K483" t="n">
        <v>0</v>
      </c>
      <c r="L483" t="n">
        <v>0</v>
      </c>
      <c r="M483" t="n">
        <v>0</v>
      </c>
      <c r="N483" t="n">
        <v>0</v>
      </c>
      <c r="O483" t="n">
        <v>0</v>
      </c>
      <c r="P483" t="n">
        <v>0</v>
      </c>
      <c r="Q483" t="n">
        <v>0</v>
      </c>
      <c r="R483" s="2" t="inlineStr"/>
    </row>
    <row r="484" ht="15" customHeight="1">
      <c r="A484" t="inlineStr">
        <is>
          <t>A 53047-2023</t>
        </is>
      </c>
      <c r="B484" s="1" t="n">
        <v>45226.96398148148</v>
      </c>
      <c r="C484" s="1" t="n">
        <v>45976</v>
      </c>
      <c r="D484" t="inlineStr">
        <is>
          <t>JÄMTLANDS LÄN</t>
        </is>
      </c>
      <c r="E484" t="inlineStr">
        <is>
          <t>BRÄCKE</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17313-2025</t>
        </is>
      </c>
      <c r="B485" s="1" t="n">
        <v>45756.61498842593</v>
      </c>
      <c r="C485" s="1" t="n">
        <v>45976</v>
      </c>
      <c r="D485" t="inlineStr">
        <is>
          <t>JÄMTLANDS LÄN</t>
        </is>
      </c>
      <c r="E485" t="inlineStr">
        <is>
          <t>BRÄCKE</t>
        </is>
      </c>
      <c r="G485" t="n">
        <v>2.4</v>
      </c>
      <c r="H485" t="n">
        <v>0</v>
      </c>
      <c r="I485" t="n">
        <v>0</v>
      </c>
      <c r="J485" t="n">
        <v>0</v>
      </c>
      <c r="K485" t="n">
        <v>0</v>
      </c>
      <c r="L485" t="n">
        <v>0</v>
      </c>
      <c r="M485" t="n">
        <v>0</v>
      </c>
      <c r="N485" t="n">
        <v>0</v>
      </c>
      <c r="O485" t="n">
        <v>0</v>
      </c>
      <c r="P485" t="n">
        <v>0</v>
      </c>
      <c r="Q485" t="n">
        <v>0</v>
      </c>
      <c r="R485" s="2" t="inlineStr"/>
    </row>
    <row r="486" ht="15" customHeight="1">
      <c r="A486" t="inlineStr">
        <is>
          <t>A 16117-2021</t>
        </is>
      </c>
      <c r="B486" s="1" t="n">
        <v>44291</v>
      </c>
      <c r="C486" s="1" t="n">
        <v>45976</v>
      </c>
      <c r="D486" t="inlineStr">
        <is>
          <t>JÄMTLANDS LÄN</t>
        </is>
      </c>
      <c r="E486" t="inlineStr">
        <is>
          <t>BRÄCKE</t>
        </is>
      </c>
      <c r="G486" t="n">
        <v>3.6</v>
      </c>
      <c r="H486" t="n">
        <v>0</v>
      </c>
      <c r="I486" t="n">
        <v>0</v>
      </c>
      <c r="J486" t="n">
        <v>0</v>
      </c>
      <c r="K486" t="n">
        <v>0</v>
      </c>
      <c r="L486" t="n">
        <v>0</v>
      </c>
      <c r="M486" t="n">
        <v>0</v>
      </c>
      <c r="N486" t="n">
        <v>0</v>
      </c>
      <c r="O486" t="n">
        <v>0</v>
      </c>
      <c r="P486" t="n">
        <v>0</v>
      </c>
      <c r="Q486" t="n">
        <v>0</v>
      </c>
      <c r="R486" s="2" t="inlineStr"/>
    </row>
    <row r="487" ht="15" customHeight="1">
      <c r="A487" t="inlineStr">
        <is>
          <t>A 49043-2023</t>
        </is>
      </c>
      <c r="B487" s="1" t="n">
        <v>45209.95743055556</v>
      </c>
      <c r="C487" s="1" t="n">
        <v>45976</v>
      </c>
      <c r="D487" t="inlineStr">
        <is>
          <t>JÄMTLANDS LÄN</t>
        </is>
      </c>
      <c r="E487" t="inlineStr">
        <is>
          <t>BRÄCKE</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35564-2021</t>
        </is>
      </c>
      <c r="B488" s="1" t="n">
        <v>44385.93597222222</v>
      </c>
      <c r="C488" s="1" t="n">
        <v>45976</v>
      </c>
      <c r="D488" t="inlineStr">
        <is>
          <t>JÄMTLANDS LÄN</t>
        </is>
      </c>
      <c r="E488" t="inlineStr">
        <is>
          <t>BRÄCKE</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15779-2025</t>
        </is>
      </c>
      <c r="B489" s="1" t="n">
        <v>45748.60634259259</v>
      </c>
      <c r="C489" s="1" t="n">
        <v>45976</v>
      </c>
      <c r="D489" t="inlineStr">
        <is>
          <t>JÄMTLANDS LÄN</t>
        </is>
      </c>
      <c r="E489" t="inlineStr">
        <is>
          <t>BRÄCKE</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10309-2023</t>
        </is>
      </c>
      <c r="B490" s="1" t="n">
        <v>44986</v>
      </c>
      <c r="C490" s="1" t="n">
        <v>45976</v>
      </c>
      <c r="D490" t="inlineStr">
        <is>
          <t>JÄMTLANDS LÄN</t>
        </is>
      </c>
      <c r="E490" t="inlineStr">
        <is>
          <t>BRÄCKE</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16322-2025</t>
        </is>
      </c>
      <c r="B491" s="1" t="n">
        <v>45751.34886574074</v>
      </c>
      <c r="C491" s="1" t="n">
        <v>45976</v>
      </c>
      <c r="D491" t="inlineStr">
        <is>
          <t>JÄMTLANDS LÄN</t>
        </is>
      </c>
      <c r="E491" t="inlineStr">
        <is>
          <t>BRÄCKE</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20093-2023</t>
        </is>
      </c>
      <c r="B492" s="1" t="n">
        <v>45054.94181712963</v>
      </c>
      <c r="C492" s="1" t="n">
        <v>45976</v>
      </c>
      <c r="D492" t="inlineStr">
        <is>
          <t>JÄMTLANDS LÄN</t>
        </is>
      </c>
      <c r="E492" t="inlineStr">
        <is>
          <t>BRÄCKE</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30685-2024</t>
        </is>
      </c>
      <c r="B493" s="1" t="n">
        <v>45495.95159722222</v>
      </c>
      <c r="C493" s="1" t="n">
        <v>45976</v>
      </c>
      <c r="D493" t="inlineStr">
        <is>
          <t>JÄMTLANDS LÄN</t>
        </is>
      </c>
      <c r="E493" t="inlineStr">
        <is>
          <t>BRÄCKE</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24717-2022</t>
        </is>
      </c>
      <c r="B494" s="1" t="n">
        <v>44727</v>
      </c>
      <c r="C494" s="1" t="n">
        <v>45976</v>
      </c>
      <c r="D494" t="inlineStr">
        <is>
          <t>JÄMTLANDS LÄN</t>
        </is>
      </c>
      <c r="E494" t="inlineStr">
        <is>
          <t>BRÄCKE</t>
        </is>
      </c>
      <c r="F494" t="inlineStr">
        <is>
          <t>SCA</t>
        </is>
      </c>
      <c r="G494" t="n">
        <v>5.2</v>
      </c>
      <c r="H494" t="n">
        <v>0</v>
      </c>
      <c r="I494" t="n">
        <v>0</v>
      </c>
      <c r="J494" t="n">
        <v>0</v>
      </c>
      <c r="K494" t="n">
        <v>0</v>
      </c>
      <c r="L494" t="n">
        <v>0</v>
      </c>
      <c r="M494" t="n">
        <v>0</v>
      </c>
      <c r="N494" t="n">
        <v>0</v>
      </c>
      <c r="O494" t="n">
        <v>0</v>
      </c>
      <c r="P494" t="n">
        <v>0</v>
      </c>
      <c r="Q494" t="n">
        <v>0</v>
      </c>
      <c r="R494" s="2" t="inlineStr"/>
    </row>
    <row r="495" ht="15" customHeight="1">
      <c r="A495" t="inlineStr">
        <is>
          <t>A 29835-2022</t>
        </is>
      </c>
      <c r="B495" s="1" t="n">
        <v>44755.94592592592</v>
      </c>
      <c r="C495" s="1" t="n">
        <v>45976</v>
      </c>
      <c r="D495" t="inlineStr">
        <is>
          <t>JÄMTLANDS LÄN</t>
        </is>
      </c>
      <c r="E495" t="inlineStr">
        <is>
          <t>BRÄCKE</t>
        </is>
      </c>
      <c r="F495" t="inlineStr">
        <is>
          <t>SCA</t>
        </is>
      </c>
      <c r="G495" t="n">
        <v>4</v>
      </c>
      <c r="H495" t="n">
        <v>0</v>
      </c>
      <c r="I495" t="n">
        <v>0</v>
      </c>
      <c r="J495" t="n">
        <v>0</v>
      </c>
      <c r="K495" t="n">
        <v>0</v>
      </c>
      <c r="L495" t="n">
        <v>0</v>
      </c>
      <c r="M495" t="n">
        <v>0</v>
      </c>
      <c r="N495" t="n">
        <v>0</v>
      </c>
      <c r="O495" t="n">
        <v>0</v>
      </c>
      <c r="P495" t="n">
        <v>0</v>
      </c>
      <c r="Q495" t="n">
        <v>0</v>
      </c>
      <c r="R495" s="2" t="inlineStr"/>
    </row>
    <row r="496" ht="15" customHeight="1">
      <c r="A496" t="inlineStr">
        <is>
          <t>A 54571-2021</t>
        </is>
      </c>
      <c r="B496" s="1" t="n">
        <v>44473</v>
      </c>
      <c r="C496" s="1" t="n">
        <v>45976</v>
      </c>
      <c r="D496" t="inlineStr">
        <is>
          <t>JÄMTLANDS LÄN</t>
        </is>
      </c>
      <c r="E496" t="inlineStr">
        <is>
          <t>BRÄCKE</t>
        </is>
      </c>
      <c r="G496" t="n">
        <v>3</v>
      </c>
      <c r="H496" t="n">
        <v>0</v>
      </c>
      <c r="I496" t="n">
        <v>0</v>
      </c>
      <c r="J496" t="n">
        <v>0</v>
      </c>
      <c r="K496" t="n">
        <v>0</v>
      </c>
      <c r="L496" t="n">
        <v>0</v>
      </c>
      <c r="M496" t="n">
        <v>0</v>
      </c>
      <c r="N496" t="n">
        <v>0</v>
      </c>
      <c r="O496" t="n">
        <v>0</v>
      </c>
      <c r="P496" t="n">
        <v>0</v>
      </c>
      <c r="Q496" t="n">
        <v>0</v>
      </c>
      <c r="R496" s="2" t="inlineStr"/>
    </row>
    <row r="497" ht="15" customHeight="1">
      <c r="A497" t="inlineStr">
        <is>
          <t>A 57586-2024</t>
        </is>
      </c>
      <c r="B497" s="1" t="n">
        <v>45630.49229166667</v>
      </c>
      <c r="C497" s="1" t="n">
        <v>45976</v>
      </c>
      <c r="D497" t="inlineStr">
        <is>
          <t>JÄMTLANDS LÄN</t>
        </is>
      </c>
      <c r="E497" t="inlineStr">
        <is>
          <t>BRÄCKE</t>
        </is>
      </c>
      <c r="G497" t="n">
        <v>0.1</v>
      </c>
      <c r="H497" t="n">
        <v>0</v>
      </c>
      <c r="I497" t="n">
        <v>0</v>
      </c>
      <c r="J497" t="n">
        <v>0</v>
      </c>
      <c r="K497" t="n">
        <v>0</v>
      </c>
      <c r="L497" t="n">
        <v>0</v>
      </c>
      <c r="M497" t="n">
        <v>0</v>
      </c>
      <c r="N497" t="n">
        <v>0</v>
      </c>
      <c r="O497" t="n">
        <v>0</v>
      </c>
      <c r="P497" t="n">
        <v>0</v>
      </c>
      <c r="Q497" t="n">
        <v>0</v>
      </c>
      <c r="R497" s="2" t="inlineStr"/>
    </row>
    <row r="498" ht="15" customHeight="1">
      <c r="A498" t="inlineStr">
        <is>
          <t>A 23640-2024</t>
        </is>
      </c>
      <c r="B498" s="1" t="n">
        <v>45454.49516203703</v>
      </c>
      <c r="C498" s="1" t="n">
        <v>45976</v>
      </c>
      <c r="D498" t="inlineStr">
        <is>
          <t>JÄMTLANDS LÄN</t>
        </is>
      </c>
      <c r="E498" t="inlineStr">
        <is>
          <t>BRÄCKE</t>
        </is>
      </c>
      <c r="G498" t="n">
        <v>19.4</v>
      </c>
      <c r="H498" t="n">
        <v>0</v>
      </c>
      <c r="I498" t="n">
        <v>0</v>
      </c>
      <c r="J498" t="n">
        <v>0</v>
      </c>
      <c r="K498" t="n">
        <v>0</v>
      </c>
      <c r="L498" t="n">
        <v>0</v>
      </c>
      <c r="M498" t="n">
        <v>0</v>
      </c>
      <c r="N498" t="n">
        <v>0</v>
      </c>
      <c r="O498" t="n">
        <v>0</v>
      </c>
      <c r="P498" t="n">
        <v>0</v>
      </c>
      <c r="Q498" t="n">
        <v>0</v>
      </c>
      <c r="R498" s="2" t="inlineStr"/>
    </row>
    <row r="499" ht="15" customHeight="1">
      <c r="A499" t="inlineStr">
        <is>
          <t>A 57942-2023</t>
        </is>
      </c>
      <c r="B499" s="1" t="n">
        <v>45244</v>
      </c>
      <c r="C499" s="1" t="n">
        <v>45976</v>
      </c>
      <c r="D499" t="inlineStr">
        <is>
          <t>JÄMTLANDS LÄN</t>
        </is>
      </c>
      <c r="E499" t="inlineStr">
        <is>
          <t>BRÄCKE</t>
        </is>
      </c>
      <c r="G499" t="n">
        <v>3.9</v>
      </c>
      <c r="H499" t="n">
        <v>0</v>
      </c>
      <c r="I499" t="n">
        <v>0</v>
      </c>
      <c r="J499" t="n">
        <v>0</v>
      </c>
      <c r="K499" t="n">
        <v>0</v>
      </c>
      <c r="L499" t="n">
        <v>0</v>
      </c>
      <c r="M499" t="n">
        <v>0</v>
      </c>
      <c r="N499" t="n">
        <v>0</v>
      </c>
      <c r="O499" t="n">
        <v>0</v>
      </c>
      <c r="P499" t="n">
        <v>0</v>
      </c>
      <c r="Q499" t="n">
        <v>0</v>
      </c>
      <c r="R499" s="2" t="inlineStr"/>
    </row>
    <row r="500" ht="15" customHeight="1">
      <c r="A500" t="inlineStr">
        <is>
          <t>A 3025-2021</t>
        </is>
      </c>
      <c r="B500" s="1" t="n">
        <v>44216</v>
      </c>
      <c r="C500" s="1" t="n">
        <v>45976</v>
      </c>
      <c r="D500" t="inlineStr">
        <is>
          <t>JÄMTLANDS LÄN</t>
        </is>
      </c>
      <c r="E500" t="inlineStr">
        <is>
          <t>BRÄCKE</t>
        </is>
      </c>
      <c r="G500" t="n">
        <v>2.8</v>
      </c>
      <c r="H500" t="n">
        <v>0</v>
      </c>
      <c r="I500" t="n">
        <v>0</v>
      </c>
      <c r="J500" t="n">
        <v>0</v>
      </c>
      <c r="K500" t="n">
        <v>0</v>
      </c>
      <c r="L500" t="n">
        <v>0</v>
      </c>
      <c r="M500" t="n">
        <v>0</v>
      </c>
      <c r="N500" t="n">
        <v>0</v>
      </c>
      <c r="O500" t="n">
        <v>0</v>
      </c>
      <c r="P500" t="n">
        <v>0</v>
      </c>
      <c r="Q500" t="n">
        <v>0</v>
      </c>
      <c r="R500" s="2" t="inlineStr"/>
    </row>
    <row r="501" ht="15" customHeight="1">
      <c r="A501" t="inlineStr">
        <is>
          <t>A 64643-2023</t>
        </is>
      </c>
      <c r="B501" s="1" t="n">
        <v>45281</v>
      </c>
      <c r="C501" s="1" t="n">
        <v>45976</v>
      </c>
      <c r="D501" t="inlineStr">
        <is>
          <t>JÄMTLANDS LÄN</t>
        </is>
      </c>
      <c r="E501" t="inlineStr">
        <is>
          <t>BRÄCKE</t>
        </is>
      </c>
      <c r="G501" t="n">
        <v>0.6</v>
      </c>
      <c r="H501" t="n">
        <v>0</v>
      </c>
      <c r="I501" t="n">
        <v>0</v>
      </c>
      <c r="J501" t="n">
        <v>0</v>
      </c>
      <c r="K501" t="n">
        <v>0</v>
      </c>
      <c r="L501" t="n">
        <v>0</v>
      </c>
      <c r="M501" t="n">
        <v>0</v>
      </c>
      <c r="N501" t="n">
        <v>0</v>
      </c>
      <c r="O501" t="n">
        <v>0</v>
      </c>
      <c r="P501" t="n">
        <v>0</v>
      </c>
      <c r="Q501" t="n">
        <v>0</v>
      </c>
      <c r="R501" s="2" t="inlineStr"/>
    </row>
    <row r="502" ht="15" customHeight="1">
      <c r="A502" t="inlineStr">
        <is>
          <t>A 26139-2022</t>
        </is>
      </c>
      <c r="B502" s="1" t="n">
        <v>44734</v>
      </c>
      <c r="C502" s="1" t="n">
        <v>45976</v>
      </c>
      <c r="D502" t="inlineStr">
        <is>
          <t>JÄMTLANDS LÄN</t>
        </is>
      </c>
      <c r="E502" t="inlineStr">
        <is>
          <t>BRÄCKE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50223-2023</t>
        </is>
      </c>
      <c r="B503" s="1" t="n">
        <v>45215.94747685185</v>
      </c>
      <c r="C503" s="1" t="n">
        <v>45976</v>
      </c>
      <c r="D503" t="inlineStr">
        <is>
          <t>JÄMTLANDS LÄN</t>
        </is>
      </c>
      <c r="E503" t="inlineStr">
        <is>
          <t>BRÄCKE</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48816-2022</t>
        </is>
      </c>
      <c r="B504" s="1" t="n">
        <v>44859</v>
      </c>
      <c r="C504" s="1" t="n">
        <v>45976</v>
      </c>
      <c r="D504" t="inlineStr">
        <is>
          <t>JÄMTLANDS LÄN</t>
        </is>
      </c>
      <c r="E504" t="inlineStr">
        <is>
          <t>BRÄCKE</t>
        </is>
      </c>
      <c r="G504" t="n">
        <v>13.3</v>
      </c>
      <c r="H504" t="n">
        <v>0</v>
      </c>
      <c r="I504" t="n">
        <v>0</v>
      </c>
      <c r="J504" t="n">
        <v>0</v>
      </c>
      <c r="K504" t="n">
        <v>0</v>
      </c>
      <c r="L504" t="n">
        <v>0</v>
      </c>
      <c r="M504" t="n">
        <v>0</v>
      </c>
      <c r="N504" t="n">
        <v>0</v>
      </c>
      <c r="O504" t="n">
        <v>0</v>
      </c>
      <c r="P504" t="n">
        <v>0</v>
      </c>
      <c r="Q504" t="n">
        <v>0</v>
      </c>
      <c r="R504" s="2" t="inlineStr"/>
    </row>
    <row r="505" ht="15" customHeight="1">
      <c r="A505" t="inlineStr">
        <is>
          <t>A 46860-2023</t>
        </is>
      </c>
      <c r="B505" s="1" t="n">
        <v>45200.12724537037</v>
      </c>
      <c r="C505" s="1" t="n">
        <v>45976</v>
      </c>
      <c r="D505" t="inlineStr">
        <is>
          <t>JÄMTLANDS LÄN</t>
        </is>
      </c>
      <c r="E505" t="inlineStr">
        <is>
          <t>BRÄCKE</t>
        </is>
      </c>
      <c r="G505" t="n">
        <v>1.3</v>
      </c>
      <c r="H505" t="n">
        <v>0</v>
      </c>
      <c r="I505" t="n">
        <v>0</v>
      </c>
      <c r="J505" t="n">
        <v>0</v>
      </c>
      <c r="K505" t="n">
        <v>0</v>
      </c>
      <c r="L505" t="n">
        <v>0</v>
      </c>
      <c r="M505" t="n">
        <v>0</v>
      </c>
      <c r="N505" t="n">
        <v>0</v>
      </c>
      <c r="O505" t="n">
        <v>0</v>
      </c>
      <c r="P505" t="n">
        <v>0</v>
      </c>
      <c r="Q505" t="n">
        <v>0</v>
      </c>
      <c r="R505" s="2" t="inlineStr"/>
    </row>
    <row r="506" ht="15" customHeight="1">
      <c r="A506" t="inlineStr">
        <is>
          <t>A 29314-2021</t>
        </is>
      </c>
      <c r="B506" s="1" t="n">
        <v>44361</v>
      </c>
      <c r="C506" s="1" t="n">
        <v>45976</v>
      </c>
      <c r="D506" t="inlineStr">
        <is>
          <t>JÄMTLANDS LÄN</t>
        </is>
      </c>
      <c r="E506" t="inlineStr">
        <is>
          <t>BRÄCKE</t>
        </is>
      </c>
      <c r="G506" t="n">
        <v>1</v>
      </c>
      <c r="H506" t="n">
        <v>0</v>
      </c>
      <c r="I506" t="n">
        <v>0</v>
      </c>
      <c r="J506" t="n">
        <v>0</v>
      </c>
      <c r="K506" t="n">
        <v>0</v>
      </c>
      <c r="L506" t="n">
        <v>0</v>
      </c>
      <c r="M506" t="n">
        <v>0</v>
      </c>
      <c r="N506" t="n">
        <v>0</v>
      </c>
      <c r="O506" t="n">
        <v>0</v>
      </c>
      <c r="P506" t="n">
        <v>0</v>
      </c>
      <c r="Q506" t="n">
        <v>0</v>
      </c>
      <c r="R506" s="2" t="inlineStr"/>
    </row>
    <row r="507" ht="15" customHeight="1">
      <c r="A507" t="inlineStr">
        <is>
          <t>A 24195-2023</t>
        </is>
      </c>
      <c r="B507" s="1" t="n">
        <v>45079</v>
      </c>
      <c r="C507" s="1" t="n">
        <v>45976</v>
      </c>
      <c r="D507" t="inlineStr">
        <is>
          <t>JÄMTLANDS LÄN</t>
        </is>
      </c>
      <c r="E507" t="inlineStr">
        <is>
          <t>BRÄCKE</t>
        </is>
      </c>
      <c r="G507" t="n">
        <v>1.5</v>
      </c>
      <c r="H507" t="n">
        <v>0</v>
      </c>
      <c r="I507" t="n">
        <v>0</v>
      </c>
      <c r="J507" t="n">
        <v>0</v>
      </c>
      <c r="K507" t="n">
        <v>0</v>
      </c>
      <c r="L507" t="n">
        <v>0</v>
      </c>
      <c r="M507" t="n">
        <v>0</v>
      </c>
      <c r="N507" t="n">
        <v>0</v>
      </c>
      <c r="O507" t="n">
        <v>0</v>
      </c>
      <c r="P507" t="n">
        <v>0</v>
      </c>
      <c r="Q507" t="n">
        <v>0</v>
      </c>
      <c r="R507" s="2" t="inlineStr"/>
    </row>
    <row r="508" ht="15" customHeight="1">
      <c r="A508" t="inlineStr">
        <is>
          <t>A 33033-2023</t>
        </is>
      </c>
      <c r="B508" s="1" t="n">
        <v>45125.95037037037</v>
      </c>
      <c r="C508" s="1" t="n">
        <v>45976</v>
      </c>
      <c r="D508" t="inlineStr">
        <is>
          <t>JÄMTLANDS LÄN</t>
        </is>
      </c>
      <c r="E508" t="inlineStr">
        <is>
          <t>BRÄCKE</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66285-2021</t>
        </is>
      </c>
      <c r="B509" s="1" t="n">
        <v>44518</v>
      </c>
      <c r="C509" s="1" t="n">
        <v>45976</v>
      </c>
      <c r="D509" t="inlineStr">
        <is>
          <t>JÄMTLANDS LÄN</t>
        </is>
      </c>
      <c r="E509" t="inlineStr">
        <is>
          <t>BRÄCKE</t>
        </is>
      </c>
      <c r="G509" t="n">
        <v>11.9</v>
      </c>
      <c r="H509" t="n">
        <v>0</v>
      </c>
      <c r="I509" t="n">
        <v>0</v>
      </c>
      <c r="J509" t="n">
        <v>0</v>
      </c>
      <c r="K509" t="n">
        <v>0</v>
      </c>
      <c r="L509" t="n">
        <v>0</v>
      </c>
      <c r="M509" t="n">
        <v>0</v>
      </c>
      <c r="N509" t="n">
        <v>0</v>
      </c>
      <c r="O509" t="n">
        <v>0</v>
      </c>
      <c r="P509" t="n">
        <v>0</v>
      </c>
      <c r="Q509" t="n">
        <v>0</v>
      </c>
      <c r="R509" s="2" t="inlineStr"/>
    </row>
    <row r="510" ht="15" customHeight="1">
      <c r="A510" t="inlineStr">
        <is>
          <t>A 3389-2024</t>
        </is>
      </c>
      <c r="B510" s="1" t="n">
        <v>45317.9409837963</v>
      </c>
      <c r="C510" s="1" t="n">
        <v>45976</v>
      </c>
      <c r="D510" t="inlineStr">
        <is>
          <t>JÄMTLANDS LÄN</t>
        </is>
      </c>
      <c r="E510" t="inlineStr">
        <is>
          <t>BRÄCKE</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23771-2023</t>
        </is>
      </c>
      <c r="B511" s="1" t="n">
        <v>45077</v>
      </c>
      <c r="C511" s="1" t="n">
        <v>45976</v>
      </c>
      <c r="D511" t="inlineStr">
        <is>
          <t>JÄMTLANDS LÄN</t>
        </is>
      </c>
      <c r="E511" t="inlineStr">
        <is>
          <t>BRÄCKE</t>
        </is>
      </c>
      <c r="F511" t="inlineStr">
        <is>
          <t>SCA</t>
        </is>
      </c>
      <c r="G511" t="n">
        <v>4.8</v>
      </c>
      <c r="H511" t="n">
        <v>0</v>
      </c>
      <c r="I511" t="n">
        <v>0</v>
      </c>
      <c r="J511" t="n">
        <v>0</v>
      </c>
      <c r="K511" t="n">
        <v>0</v>
      </c>
      <c r="L511" t="n">
        <v>0</v>
      </c>
      <c r="M511" t="n">
        <v>0</v>
      </c>
      <c r="N511" t="n">
        <v>0</v>
      </c>
      <c r="O511" t="n">
        <v>0</v>
      </c>
      <c r="P511" t="n">
        <v>0</v>
      </c>
      <c r="Q511" t="n">
        <v>0</v>
      </c>
      <c r="R511" s="2" t="inlineStr"/>
    </row>
    <row r="512" ht="15" customHeight="1">
      <c r="A512" t="inlineStr">
        <is>
          <t>A 49646-2023</t>
        </is>
      </c>
      <c r="B512" s="1" t="n">
        <v>45211</v>
      </c>
      <c r="C512" s="1" t="n">
        <v>45976</v>
      </c>
      <c r="D512" t="inlineStr">
        <is>
          <t>JÄMTLANDS LÄN</t>
        </is>
      </c>
      <c r="E512" t="inlineStr">
        <is>
          <t>BRÄCKE</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19810-2022</t>
        </is>
      </c>
      <c r="B513" s="1" t="n">
        <v>44694.93921296296</v>
      </c>
      <c r="C513" s="1" t="n">
        <v>45976</v>
      </c>
      <c r="D513" t="inlineStr">
        <is>
          <t>JÄMTLANDS LÄN</t>
        </is>
      </c>
      <c r="E513" t="inlineStr">
        <is>
          <t>BRÄCKE</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17209-2023</t>
        </is>
      </c>
      <c r="B514" s="1" t="n">
        <v>45034</v>
      </c>
      <c r="C514" s="1" t="n">
        <v>45976</v>
      </c>
      <c r="D514" t="inlineStr">
        <is>
          <t>JÄMTLANDS LÄN</t>
        </is>
      </c>
      <c r="E514" t="inlineStr">
        <is>
          <t>BRÄCKE</t>
        </is>
      </c>
      <c r="G514" t="n">
        <v>11.1</v>
      </c>
      <c r="H514" t="n">
        <v>0</v>
      </c>
      <c r="I514" t="n">
        <v>0</v>
      </c>
      <c r="J514" t="n">
        <v>0</v>
      </c>
      <c r="K514" t="n">
        <v>0</v>
      </c>
      <c r="L514" t="n">
        <v>0</v>
      </c>
      <c r="M514" t="n">
        <v>0</v>
      </c>
      <c r="N514" t="n">
        <v>0</v>
      </c>
      <c r="O514" t="n">
        <v>0</v>
      </c>
      <c r="P514" t="n">
        <v>0</v>
      </c>
      <c r="Q514" t="n">
        <v>0</v>
      </c>
      <c r="R514" s="2" t="inlineStr"/>
    </row>
    <row r="515" ht="15" customHeight="1">
      <c r="A515" t="inlineStr">
        <is>
          <t>A 21183-2023</t>
        </is>
      </c>
      <c r="B515" s="1" t="n">
        <v>45058</v>
      </c>
      <c r="C515" s="1" t="n">
        <v>45976</v>
      </c>
      <c r="D515" t="inlineStr">
        <is>
          <t>JÄMTLANDS LÄN</t>
        </is>
      </c>
      <c r="E515" t="inlineStr">
        <is>
          <t>BRÄCKE</t>
        </is>
      </c>
      <c r="G515" t="n">
        <v>1.5</v>
      </c>
      <c r="H515" t="n">
        <v>0</v>
      </c>
      <c r="I515" t="n">
        <v>0</v>
      </c>
      <c r="J515" t="n">
        <v>0</v>
      </c>
      <c r="K515" t="n">
        <v>0</v>
      </c>
      <c r="L515" t="n">
        <v>0</v>
      </c>
      <c r="M515" t="n">
        <v>0</v>
      </c>
      <c r="N515" t="n">
        <v>0</v>
      </c>
      <c r="O515" t="n">
        <v>0</v>
      </c>
      <c r="P515" t="n">
        <v>0</v>
      </c>
      <c r="Q515" t="n">
        <v>0</v>
      </c>
      <c r="R515" s="2" t="inlineStr"/>
    </row>
    <row r="516" ht="15" customHeight="1">
      <c r="A516" t="inlineStr">
        <is>
          <t>A 20879-2023</t>
        </is>
      </c>
      <c r="B516" s="1" t="n">
        <v>45058.94399305555</v>
      </c>
      <c r="C516" s="1" t="n">
        <v>45976</v>
      </c>
      <c r="D516" t="inlineStr">
        <is>
          <t>JÄMTLANDS LÄN</t>
        </is>
      </c>
      <c r="E516" t="inlineStr">
        <is>
          <t>BRÄCKE</t>
        </is>
      </c>
      <c r="F516" t="inlineStr">
        <is>
          <t>Naturvårdsverket</t>
        </is>
      </c>
      <c r="G516" t="n">
        <v>0.9</v>
      </c>
      <c r="H516" t="n">
        <v>0</v>
      </c>
      <c r="I516" t="n">
        <v>0</v>
      </c>
      <c r="J516" t="n">
        <v>0</v>
      </c>
      <c r="K516" t="n">
        <v>0</v>
      </c>
      <c r="L516" t="n">
        <v>0</v>
      </c>
      <c r="M516" t="n">
        <v>0</v>
      </c>
      <c r="N516" t="n">
        <v>0</v>
      </c>
      <c r="O516" t="n">
        <v>0</v>
      </c>
      <c r="P516" t="n">
        <v>0</v>
      </c>
      <c r="Q516" t="n">
        <v>0</v>
      </c>
      <c r="R516" s="2" t="inlineStr"/>
    </row>
    <row r="517" ht="15" customHeight="1">
      <c r="A517" t="inlineStr">
        <is>
          <t>A 18965-2025</t>
        </is>
      </c>
      <c r="B517" s="1" t="n">
        <v>45764.53155092592</v>
      </c>
      <c r="C517" s="1" t="n">
        <v>45976</v>
      </c>
      <c r="D517" t="inlineStr">
        <is>
          <t>JÄMTLANDS LÄN</t>
        </is>
      </c>
      <c r="E517" t="inlineStr">
        <is>
          <t>BRÄCKE</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18982-2025</t>
        </is>
      </c>
      <c r="B518" s="1" t="n">
        <v>45764.55288194444</v>
      </c>
      <c r="C518" s="1" t="n">
        <v>45976</v>
      </c>
      <c r="D518" t="inlineStr">
        <is>
          <t>JÄMTLANDS LÄN</t>
        </is>
      </c>
      <c r="E518" t="inlineStr">
        <is>
          <t>BRÄCKE</t>
        </is>
      </c>
      <c r="F518" t="inlineStr">
        <is>
          <t>SCA</t>
        </is>
      </c>
      <c r="G518" t="n">
        <v>10.3</v>
      </c>
      <c r="H518" t="n">
        <v>0</v>
      </c>
      <c r="I518" t="n">
        <v>0</v>
      </c>
      <c r="J518" t="n">
        <v>0</v>
      </c>
      <c r="K518" t="n">
        <v>0</v>
      </c>
      <c r="L518" t="n">
        <v>0</v>
      </c>
      <c r="M518" t="n">
        <v>0</v>
      </c>
      <c r="N518" t="n">
        <v>0</v>
      </c>
      <c r="O518" t="n">
        <v>0</v>
      </c>
      <c r="P518" t="n">
        <v>0</v>
      </c>
      <c r="Q518" t="n">
        <v>0</v>
      </c>
      <c r="R518" s="2" t="inlineStr"/>
    </row>
    <row r="519" ht="15" customHeight="1">
      <c r="A519" t="inlineStr">
        <is>
          <t>A 61663-2022</t>
        </is>
      </c>
      <c r="B519" s="1" t="n">
        <v>44916</v>
      </c>
      <c r="C519" s="1" t="n">
        <v>45976</v>
      </c>
      <c r="D519" t="inlineStr">
        <is>
          <t>JÄMTLANDS LÄN</t>
        </is>
      </c>
      <c r="E519" t="inlineStr">
        <is>
          <t>BRÄCKE</t>
        </is>
      </c>
      <c r="F519" t="inlineStr">
        <is>
          <t>SCA</t>
        </is>
      </c>
      <c r="G519" t="n">
        <v>1.3</v>
      </c>
      <c r="H519" t="n">
        <v>0</v>
      </c>
      <c r="I519" t="n">
        <v>0</v>
      </c>
      <c r="J519" t="n">
        <v>0</v>
      </c>
      <c r="K519" t="n">
        <v>0</v>
      </c>
      <c r="L519" t="n">
        <v>0</v>
      </c>
      <c r="M519" t="n">
        <v>0</v>
      </c>
      <c r="N519" t="n">
        <v>0</v>
      </c>
      <c r="O519" t="n">
        <v>0</v>
      </c>
      <c r="P519" t="n">
        <v>0</v>
      </c>
      <c r="Q519" t="n">
        <v>0</v>
      </c>
      <c r="R519" s="2" t="inlineStr"/>
    </row>
    <row r="520" ht="15" customHeight="1">
      <c r="A520" t="inlineStr">
        <is>
          <t>A 43785-2022</t>
        </is>
      </c>
      <c r="B520" s="1" t="n">
        <v>44837</v>
      </c>
      <c r="C520" s="1" t="n">
        <v>45976</v>
      </c>
      <c r="D520" t="inlineStr">
        <is>
          <t>JÄMTLANDS LÄN</t>
        </is>
      </c>
      <c r="E520" t="inlineStr">
        <is>
          <t>BRÄCKE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58079-2023</t>
        </is>
      </c>
      <c r="B521" s="1" t="n">
        <v>45247.96510416667</v>
      </c>
      <c r="C521" s="1" t="n">
        <v>45976</v>
      </c>
      <c r="D521" t="inlineStr">
        <is>
          <t>JÄMTLANDS LÄN</t>
        </is>
      </c>
      <c r="E521" t="inlineStr">
        <is>
          <t>BRÄCKE</t>
        </is>
      </c>
      <c r="F521" t="inlineStr">
        <is>
          <t>SCA</t>
        </is>
      </c>
      <c r="G521" t="n">
        <v>6.4</v>
      </c>
      <c r="H521" t="n">
        <v>0</v>
      </c>
      <c r="I521" t="n">
        <v>0</v>
      </c>
      <c r="J521" t="n">
        <v>0</v>
      </c>
      <c r="K521" t="n">
        <v>0</v>
      </c>
      <c r="L521" t="n">
        <v>0</v>
      </c>
      <c r="M521" t="n">
        <v>0</v>
      </c>
      <c r="N521" t="n">
        <v>0</v>
      </c>
      <c r="O521" t="n">
        <v>0</v>
      </c>
      <c r="P521" t="n">
        <v>0</v>
      </c>
      <c r="Q521" t="n">
        <v>0</v>
      </c>
      <c r="R521" s="2" t="inlineStr"/>
    </row>
    <row r="522" ht="15" customHeight="1">
      <c r="A522" t="inlineStr">
        <is>
          <t>A 24056-2022</t>
        </is>
      </c>
      <c r="B522" s="1" t="n">
        <v>44724.938125</v>
      </c>
      <c r="C522" s="1" t="n">
        <v>45976</v>
      </c>
      <c r="D522" t="inlineStr">
        <is>
          <t>JÄMTLANDS LÄN</t>
        </is>
      </c>
      <c r="E522" t="inlineStr">
        <is>
          <t>BRÄCKE</t>
        </is>
      </c>
      <c r="G522" t="n">
        <v>1.4</v>
      </c>
      <c r="H522" t="n">
        <v>0</v>
      </c>
      <c r="I522" t="n">
        <v>0</v>
      </c>
      <c r="J522" t="n">
        <v>0</v>
      </c>
      <c r="K522" t="n">
        <v>0</v>
      </c>
      <c r="L522" t="n">
        <v>0</v>
      </c>
      <c r="M522" t="n">
        <v>0</v>
      </c>
      <c r="N522" t="n">
        <v>0</v>
      </c>
      <c r="O522" t="n">
        <v>0</v>
      </c>
      <c r="P522" t="n">
        <v>0</v>
      </c>
      <c r="Q522" t="n">
        <v>0</v>
      </c>
      <c r="R522" s="2" t="inlineStr"/>
    </row>
    <row r="523" ht="15" customHeight="1">
      <c r="A523" t="inlineStr">
        <is>
          <t>A 62953-2021</t>
        </is>
      </c>
      <c r="B523" s="1" t="n">
        <v>44504</v>
      </c>
      <c r="C523" s="1" t="n">
        <v>45976</v>
      </c>
      <c r="D523" t="inlineStr">
        <is>
          <t>JÄMTLANDS LÄN</t>
        </is>
      </c>
      <c r="E523" t="inlineStr">
        <is>
          <t>BRÄCKE</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31978-2022</t>
        </is>
      </c>
      <c r="B524" s="1" t="n">
        <v>44777.95574074074</v>
      </c>
      <c r="C524" s="1" t="n">
        <v>45976</v>
      </c>
      <c r="D524" t="inlineStr">
        <is>
          <t>JÄMTLANDS LÄN</t>
        </is>
      </c>
      <c r="E524" t="inlineStr">
        <is>
          <t>BRÄCKE</t>
        </is>
      </c>
      <c r="F524" t="inlineStr">
        <is>
          <t>SCA</t>
        </is>
      </c>
      <c r="G524" t="n">
        <v>3</v>
      </c>
      <c r="H524" t="n">
        <v>0</v>
      </c>
      <c r="I524" t="n">
        <v>0</v>
      </c>
      <c r="J524" t="n">
        <v>0</v>
      </c>
      <c r="K524" t="n">
        <v>0</v>
      </c>
      <c r="L524" t="n">
        <v>0</v>
      </c>
      <c r="M524" t="n">
        <v>0</v>
      </c>
      <c r="N524" t="n">
        <v>0</v>
      </c>
      <c r="O524" t="n">
        <v>0</v>
      </c>
      <c r="P524" t="n">
        <v>0</v>
      </c>
      <c r="Q524" t="n">
        <v>0</v>
      </c>
      <c r="R524" s="2" t="inlineStr"/>
    </row>
    <row r="525" ht="15" customHeight="1">
      <c r="A525" t="inlineStr">
        <is>
          <t>A 46952-2021</t>
        </is>
      </c>
      <c r="B525" s="1" t="n">
        <v>44446</v>
      </c>
      <c r="C525" s="1" t="n">
        <v>45976</v>
      </c>
      <c r="D525" t="inlineStr">
        <is>
          <t>JÄMTLANDS LÄN</t>
        </is>
      </c>
      <c r="E525" t="inlineStr">
        <is>
          <t>BRÄCKE</t>
        </is>
      </c>
      <c r="G525" t="n">
        <v>2.1</v>
      </c>
      <c r="H525" t="n">
        <v>0</v>
      </c>
      <c r="I525" t="n">
        <v>0</v>
      </c>
      <c r="J525" t="n">
        <v>0</v>
      </c>
      <c r="K525" t="n">
        <v>0</v>
      </c>
      <c r="L525" t="n">
        <v>0</v>
      </c>
      <c r="M525" t="n">
        <v>0</v>
      </c>
      <c r="N525" t="n">
        <v>0</v>
      </c>
      <c r="O525" t="n">
        <v>0</v>
      </c>
      <c r="P525" t="n">
        <v>0</v>
      </c>
      <c r="Q525" t="n">
        <v>0</v>
      </c>
      <c r="R525" s="2" t="inlineStr"/>
    </row>
    <row r="526" ht="15" customHeight="1">
      <c r="A526" t="inlineStr">
        <is>
          <t>A 36534-2025</t>
        </is>
      </c>
      <c r="B526" s="1" t="n">
        <v>45869.61495370371</v>
      </c>
      <c r="C526" s="1" t="n">
        <v>45976</v>
      </c>
      <c r="D526" t="inlineStr">
        <is>
          <t>JÄMTLANDS LÄN</t>
        </is>
      </c>
      <c r="E526" t="inlineStr">
        <is>
          <t>BRÄCKE</t>
        </is>
      </c>
      <c r="F526" t="inlineStr">
        <is>
          <t>SCA</t>
        </is>
      </c>
      <c r="G526" t="n">
        <v>22.1</v>
      </c>
      <c r="H526" t="n">
        <v>0</v>
      </c>
      <c r="I526" t="n">
        <v>0</v>
      </c>
      <c r="J526" t="n">
        <v>0</v>
      </c>
      <c r="K526" t="n">
        <v>0</v>
      </c>
      <c r="L526" t="n">
        <v>0</v>
      </c>
      <c r="M526" t="n">
        <v>0</v>
      </c>
      <c r="N526" t="n">
        <v>0</v>
      </c>
      <c r="O526" t="n">
        <v>0</v>
      </c>
      <c r="P526" t="n">
        <v>0</v>
      </c>
      <c r="Q526" t="n">
        <v>0</v>
      </c>
      <c r="R526" s="2" t="inlineStr"/>
    </row>
    <row r="527" ht="15" customHeight="1">
      <c r="A527" t="inlineStr">
        <is>
          <t>A 39122-2024</t>
        </is>
      </c>
      <c r="B527" s="1" t="n">
        <v>45548.5940162037</v>
      </c>
      <c r="C527" s="1" t="n">
        <v>45976</v>
      </c>
      <c r="D527" t="inlineStr">
        <is>
          <t>JÄMTLANDS LÄN</t>
        </is>
      </c>
      <c r="E527" t="inlineStr">
        <is>
          <t>BRÄCKE</t>
        </is>
      </c>
      <c r="F527" t="inlineStr">
        <is>
          <t>SCA</t>
        </is>
      </c>
      <c r="G527" t="n">
        <v>3.7</v>
      </c>
      <c r="H527" t="n">
        <v>0</v>
      </c>
      <c r="I527" t="n">
        <v>0</v>
      </c>
      <c r="J527" t="n">
        <v>0</v>
      </c>
      <c r="K527" t="n">
        <v>0</v>
      </c>
      <c r="L527" t="n">
        <v>0</v>
      </c>
      <c r="M527" t="n">
        <v>0</v>
      </c>
      <c r="N527" t="n">
        <v>0</v>
      </c>
      <c r="O527" t="n">
        <v>0</v>
      </c>
      <c r="P527" t="n">
        <v>0</v>
      </c>
      <c r="Q527" t="n">
        <v>0</v>
      </c>
      <c r="R527" s="2" t="inlineStr"/>
    </row>
    <row r="528" ht="15" customHeight="1">
      <c r="A528" t="inlineStr">
        <is>
          <t>A 20624-2023</t>
        </is>
      </c>
      <c r="B528" s="1" t="n">
        <v>45057.94346064814</v>
      </c>
      <c r="C528" s="1" t="n">
        <v>45976</v>
      </c>
      <c r="D528" t="inlineStr">
        <is>
          <t>JÄMTLANDS LÄN</t>
        </is>
      </c>
      <c r="E528" t="inlineStr">
        <is>
          <t>BRÄCKE</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11699-2025</t>
        </is>
      </c>
      <c r="B529" s="1" t="n">
        <v>45727.57402777778</v>
      </c>
      <c r="C529" s="1" t="n">
        <v>45976</v>
      </c>
      <c r="D529" t="inlineStr">
        <is>
          <t>JÄMTLANDS LÄN</t>
        </is>
      </c>
      <c r="E529" t="inlineStr">
        <is>
          <t>BRÄCKE</t>
        </is>
      </c>
      <c r="F529" t="inlineStr">
        <is>
          <t>SCA</t>
        </is>
      </c>
      <c r="G529" t="n">
        <v>4.6</v>
      </c>
      <c r="H529" t="n">
        <v>0</v>
      </c>
      <c r="I529" t="n">
        <v>0</v>
      </c>
      <c r="J529" t="n">
        <v>0</v>
      </c>
      <c r="K529" t="n">
        <v>0</v>
      </c>
      <c r="L529" t="n">
        <v>0</v>
      </c>
      <c r="M529" t="n">
        <v>0</v>
      </c>
      <c r="N529" t="n">
        <v>0</v>
      </c>
      <c r="O529" t="n">
        <v>0</v>
      </c>
      <c r="P529" t="n">
        <v>0</v>
      </c>
      <c r="Q529" t="n">
        <v>0</v>
      </c>
      <c r="R529" s="2" t="inlineStr"/>
    </row>
    <row r="530" ht="15" customHeight="1">
      <c r="A530" t="inlineStr">
        <is>
          <t>A 44082-2024</t>
        </is>
      </c>
      <c r="B530" s="1" t="n">
        <v>45572.61549768518</v>
      </c>
      <c r="C530" s="1" t="n">
        <v>45976</v>
      </c>
      <c r="D530" t="inlineStr">
        <is>
          <t>JÄMTLANDS LÄN</t>
        </is>
      </c>
      <c r="E530" t="inlineStr">
        <is>
          <t>BRÄCKE</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64302-2023</t>
        </is>
      </c>
      <c r="B531" s="1" t="n">
        <v>45280</v>
      </c>
      <c r="C531" s="1" t="n">
        <v>45976</v>
      </c>
      <c r="D531" t="inlineStr">
        <is>
          <t>JÄMTLANDS LÄN</t>
        </is>
      </c>
      <c r="E531" t="inlineStr">
        <is>
          <t>BRÄCKE</t>
        </is>
      </c>
      <c r="G531" t="n">
        <v>0.6</v>
      </c>
      <c r="H531" t="n">
        <v>0</v>
      </c>
      <c r="I531" t="n">
        <v>0</v>
      </c>
      <c r="J531" t="n">
        <v>0</v>
      </c>
      <c r="K531" t="n">
        <v>0</v>
      </c>
      <c r="L531" t="n">
        <v>0</v>
      </c>
      <c r="M531" t="n">
        <v>0</v>
      </c>
      <c r="N531" t="n">
        <v>0</v>
      </c>
      <c r="O531" t="n">
        <v>0</v>
      </c>
      <c r="P531" t="n">
        <v>0</v>
      </c>
      <c r="Q531" t="n">
        <v>0</v>
      </c>
      <c r="R531" s="2" t="inlineStr"/>
    </row>
    <row r="532" ht="15" customHeight="1">
      <c r="A532" t="inlineStr">
        <is>
          <t>A 48425-2023</t>
        </is>
      </c>
      <c r="B532" s="1" t="n">
        <v>45205</v>
      </c>
      <c r="C532" s="1" t="n">
        <v>45976</v>
      </c>
      <c r="D532" t="inlineStr">
        <is>
          <t>JÄMTLANDS LÄN</t>
        </is>
      </c>
      <c r="E532" t="inlineStr">
        <is>
          <t>BRÄCKE</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24974-2024</t>
        </is>
      </c>
      <c r="B533" s="1" t="n">
        <v>45461</v>
      </c>
      <c r="C533" s="1" t="n">
        <v>45976</v>
      </c>
      <c r="D533" t="inlineStr">
        <is>
          <t>JÄMTLANDS LÄN</t>
        </is>
      </c>
      <c r="E533" t="inlineStr">
        <is>
          <t>BRÄCKE</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8853-2025</t>
        </is>
      </c>
      <c r="B534" s="1" t="n">
        <v>45713.34482638889</v>
      </c>
      <c r="C534" s="1" t="n">
        <v>45976</v>
      </c>
      <c r="D534" t="inlineStr">
        <is>
          <t>JÄMTLANDS LÄN</t>
        </is>
      </c>
      <c r="E534" t="inlineStr">
        <is>
          <t>BRÄCKE</t>
        </is>
      </c>
      <c r="F534" t="inlineStr">
        <is>
          <t>SCA</t>
        </is>
      </c>
      <c r="G534" t="n">
        <v>15.7</v>
      </c>
      <c r="H534" t="n">
        <v>0</v>
      </c>
      <c r="I534" t="n">
        <v>0</v>
      </c>
      <c r="J534" t="n">
        <v>0</v>
      </c>
      <c r="K534" t="n">
        <v>0</v>
      </c>
      <c r="L534" t="n">
        <v>0</v>
      </c>
      <c r="M534" t="n">
        <v>0</v>
      </c>
      <c r="N534" t="n">
        <v>0</v>
      </c>
      <c r="O534" t="n">
        <v>0</v>
      </c>
      <c r="P534" t="n">
        <v>0</v>
      </c>
      <c r="Q534" t="n">
        <v>0</v>
      </c>
      <c r="R534" s="2" t="inlineStr"/>
    </row>
    <row r="535" ht="15" customHeight="1">
      <c r="A535" t="inlineStr">
        <is>
          <t>A 48900-2023</t>
        </is>
      </c>
      <c r="B535" s="1" t="n">
        <v>45209</v>
      </c>
      <c r="C535" s="1" t="n">
        <v>45976</v>
      </c>
      <c r="D535" t="inlineStr">
        <is>
          <t>JÄMTLANDS LÄN</t>
        </is>
      </c>
      <c r="E535" t="inlineStr">
        <is>
          <t>BRÄCKE</t>
        </is>
      </c>
      <c r="G535" t="n">
        <v>4.9</v>
      </c>
      <c r="H535" t="n">
        <v>0</v>
      </c>
      <c r="I535" t="n">
        <v>0</v>
      </c>
      <c r="J535" t="n">
        <v>0</v>
      </c>
      <c r="K535" t="n">
        <v>0</v>
      </c>
      <c r="L535" t="n">
        <v>0</v>
      </c>
      <c r="M535" t="n">
        <v>0</v>
      </c>
      <c r="N535" t="n">
        <v>0</v>
      </c>
      <c r="O535" t="n">
        <v>0</v>
      </c>
      <c r="P535" t="n">
        <v>0</v>
      </c>
      <c r="Q535" t="n">
        <v>0</v>
      </c>
      <c r="R535" s="2" t="inlineStr"/>
    </row>
    <row r="536" ht="15" customHeight="1">
      <c r="A536" t="inlineStr">
        <is>
          <t>A 12900-2023</t>
        </is>
      </c>
      <c r="B536" s="1" t="n">
        <v>45001</v>
      </c>
      <c r="C536" s="1" t="n">
        <v>45976</v>
      </c>
      <c r="D536" t="inlineStr">
        <is>
          <t>JÄMTLANDS LÄN</t>
        </is>
      </c>
      <c r="E536" t="inlineStr">
        <is>
          <t>BRÄCKE</t>
        </is>
      </c>
      <c r="G536" t="n">
        <v>1.3</v>
      </c>
      <c r="H536" t="n">
        <v>0</v>
      </c>
      <c r="I536" t="n">
        <v>0</v>
      </c>
      <c r="J536" t="n">
        <v>0</v>
      </c>
      <c r="K536" t="n">
        <v>0</v>
      </c>
      <c r="L536" t="n">
        <v>0</v>
      </c>
      <c r="M536" t="n">
        <v>0</v>
      </c>
      <c r="N536" t="n">
        <v>0</v>
      </c>
      <c r="O536" t="n">
        <v>0</v>
      </c>
      <c r="P536" t="n">
        <v>0</v>
      </c>
      <c r="Q536" t="n">
        <v>0</v>
      </c>
      <c r="R536" s="2" t="inlineStr"/>
    </row>
    <row r="537" ht="15" customHeight="1">
      <c r="A537" t="inlineStr">
        <is>
          <t>A 41831-2024</t>
        </is>
      </c>
      <c r="B537" s="1" t="n">
        <v>45561.40703703704</v>
      </c>
      <c r="C537" s="1" t="n">
        <v>45976</v>
      </c>
      <c r="D537" t="inlineStr">
        <is>
          <t>JÄMTLANDS LÄN</t>
        </is>
      </c>
      <c r="E537" t="inlineStr">
        <is>
          <t>BRÄCKE</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28738-2022</t>
        </is>
      </c>
      <c r="B538" s="1" t="n">
        <v>44748.94701388889</v>
      </c>
      <c r="C538" s="1" t="n">
        <v>45976</v>
      </c>
      <c r="D538" t="inlineStr">
        <is>
          <t>JÄMTLANDS LÄN</t>
        </is>
      </c>
      <c r="E538" t="inlineStr">
        <is>
          <t>BRÄCKE</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26437-2022</t>
        </is>
      </c>
      <c r="B539" s="1" t="n">
        <v>44736.93912037037</v>
      </c>
      <c r="C539" s="1" t="n">
        <v>45976</v>
      </c>
      <c r="D539" t="inlineStr">
        <is>
          <t>JÄMTLANDS LÄN</t>
        </is>
      </c>
      <c r="E539" t="inlineStr">
        <is>
          <t>BRÄCKE</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55221-2024</t>
        </is>
      </c>
      <c r="B540" s="1" t="n">
        <v>45621.57369212963</v>
      </c>
      <c r="C540" s="1" t="n">
        <v>45976</v>
      </c>
      <c r="D540" t="inlineStr">
        <is>
          <t>JÄMTLANDS LÄN</t>
        </is>
      </c>
      <c r="E540" t="inlineStr">
        <is>
          <t>BRÄCKE</t>
        </is>
      </c>
      <c r="G540" t="n">
        <v>2.8</v>
      </c>
      <c r="H540" t="n">
        <v>0</v>
      </c>
      <c r="I540" t="n">
        <v>0</v>
      </c>
      <c r="J540" t="n">
        <v>0</v>
      </c>
      <c r="K540" t="n">
        <v>0</v>
      </c>
      <c r="L540" t="n">
        <v>0</v>
      </c>
      <c r="M540" t="n">
        <v>0</v>
      </c>
      <c r="N540" t="n">
        <v>0</v>
      </c>
      <c r="O540" t="n">
        <v>0</v>
      </c>
      <c r="P540" t="n">
        <v>0</v>
      </c>
      <c r="Q540" t="n">
        <v>0</v>
      </c>
      <c r="R540" s="2" t="inlineStr"/>
    </row>
    <row r="541" ht="15" customHeight="1">
      <c r="A541" t="inlineStr">
        <is>
          <t>A 1347-2025</t>
        </is>
      </c>
      <c r="B541" s="1" t="n">
        <v>45667.61490740741</v>
      </c>
      <c r="C541" s="1" t="n">
        <v>45976</v>
      </c>
      <c r="D541" t="inlineStr">
        <is>
          <t>JÄMTLANDS LÄN</t>
        </is>
      </c>
      <c r="E541" t="inlineStr">
        <is>
          <t>BRÄCKE</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53260-2024</t>
        </is>
      </c>
      <c r="B542" s="1" t="n">
        <v>45614</v>
      </c>
      <c r="C542" s="1" t="n">
        <v>45976</v>
      </c>
      <c r="D542" t="inlineStr">
        <is>
          <t>JÄMTLANDS LÄN</t>
        </is>
      </c>
      <c r="E542" t="inlineStr">
        <is>
          <t>BRÄCKE</t>
        </is>
      </c>
      <c r="F542" t="inlineStr">
        <is>
          <t>SCA</t>
        </is>
      </c>
      <c r="G542" t="n">
        <v>9</v>
      </c>
      <c r="H542" t="n">
        <v>0</v>
      </c>
      <c r="I542" t="n">
        <v>0</v>
      </c>
      <c r="J542" t="n">
        <v>0</v>
      </c>
      <c r="K542" t="n">
        <v>0</v>
      </c>
      <c r="L542" t="n">
        <v>0</v>
      </c>
      <c r="M542" t="n">
        <v>0</v>
      </c>
      <c r="N542" t="n">
        <v>0</v>
      </c>
      <c r="O542" t="n">
        <v>0</v>
      </c>
      <c r="P542" t="n">
        <v>0</v>
      </c>
      <c r="Q542" t="n">
        <v>0</v>
      </c>
      <c r="R542" s="2" t="inlineStr"/>
    </row>
    <row r="543" ht="15" customHeight="1">
      <c r="A543" t="inlineStr">
        <is>
          <t>A 1127-2025</t>
        </is>
      </c>
      <c r="B543" s="1" t="n">
        <v>45666.67756944444</v>
      </c>
      <c r="C543" s="1" t="n">
        <v>45976</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59416-2023</t>
        </is>
      </c>
      <c r="B544" s="1" t="n">
        <v>45253</v>
      </c>
      <c r="C544" s="1" t="n">
        <v>45976</v>
      </c>
      <c r="D544" t="inlineStr">
        <is>
          <t>JÄMTLANDS LÄN</t>
        </is>
      </c>
      <c r="E544" t="inlineStr">
        <is>
          <t>BRÄCKE</t>
        </is>
      </c>
      <c r="F544" t="inlineStr">
        <is>
          <t>SCA</t>
        </is>
      </c>
      <c r="G544" t="n">
        <v>3.1</v>
      </c>
      <c r="H544" t="n">
        <v>0</v>
      </c>
      <c r="I544" t="n">
        <v>0</v>
      </c>
      <c r="J544" t="n">
        <v>0</v>
      </c>
      <c r="K544" t="n">
        <v>0</v>
      </c>
      <c r="L544" t="n">
        <v>0</v>
      </c>
      <c r="M544" t="n">
        <v>0</v>
      </c>
      <c r="N544" t="n">
        <v>0</v>
      </c>
      <c r="O544" t="n">
        <v>0</v>
      </c>
      <c r="P544" t="n">
        <v>0</v>
      </c>
      <c r="Q544" t="n">
        <v>0</v>
      </c>
      <c r="R544" s="2" t="inlineStr"/>
    </row>
    <row r="545" ht="15" customHeight="1">
      <c r="A545" t="inlineStr">
        <is>
          <t>A 14290-2025</t>
        </is>
      </c>
      <c r="B545" s="1" t="n">
        <v>45740.67755787037</v>
      </c>
      <c r="C545" s="1" t="n">
        <v>45976</v>
      </c>
      <c r="D545" t="inlineStr">
        <is>
          <t>JÄMTLANDS LÄN</t>
        </is>
      </c>
      <c r="E545" t="inlineStr">
        <is>
          <t>BRÄCKE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49709-2024</t>
        </is>
      </c>
      <c r="B546" s="1" t="n">
        <v>45596.69858796296</v>
      </c>
      <c r="C546" s="1" t="n">
        <v>45976</v>
      </c>
      <c r="D546" t="inlineStr">
        <is>
          <t>JÄMTLANDS LÄN</t>
        </is>
      </c>
      <c r="E546" t="inlineStr">
        <is>
          <t>BRÄCKE</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5052-2024</t>
        </is>
      </c>
      <c r="B547" s="1" t="n">
        <v>45329.93077546296</v>
      </c>
      <c r="C547" s="1" t="n">
        <v>45976</v>
      </c>
      <c r="D547" t="inlineStr">
        <is>
          <t>JÄMTLANDS LÄN</t>
        </is>
      </c>
      <c r="E547" t="inlineStr">
        <is>
          <t>BRÄCKE</t>
        </is>
      </c>
      <c r="G547" t="n">
        <v>0.9</v>
      </c>
      <c r="H547" t="n">
        <v>0</v>
      </c>
      <c r="I547" t="n">
        <v>0</v>
      </c>
      <c r="J547" t="n">
        <v>0</v>
      </c>
      <c r="K547" t="n">
        <v>0</v>
      </c>
      <c r="L547" t="n">
        <v>0</v>
      </c>
      <c r="M547" t="n">
        <v>0</v>
      </c>
      <c r="N547" t="n">
        <v>0</v>
      </c>
      <c r="O547" t="n">
        <v>0</v>
      </c>
      <c r="P547" t="n">
        <v>0</v>
      </c>
      <c r="Q547" t="n">
        <v>0</v>
      </c>
      <c r="R547" s="2" t="inlineStr"/>
    </row>
    <row r="548" ht="15" customHeight="1">
      <c r="A548" t="inlineStr">
        <is>
          <t>A 5053-2024</t>
        </is>
      </c>
      <c r="B548" s="1" t="n">
        <v>45329.93084490741</v>
      </c>
      <c r="C548" s="1" t="n">
        <v>45976</v>
      </c>
      <c r="D548" t="inlineStr">
        <is>
          <t>JÄMTLANDS LÄN</t>
        </is>
      </c>
      <c r="E548" t="inlineStr">
        <is>
          <t>BRÄCKE</t>
        </is>
      </c>
      <c r="G548" t="n">
        <v>2.2</v>
      </c>
      <c r="H548" t="n">
        <v>0</v>
      </c>
      <c r="I548" t="n">
        <v>0</v>
      </c>
      <c r="J548" t="n">
        <v>0</v>
      </c>
      <c r="K548" t="n">
        <v>0</v>
      </c>
      <c r="L548" t="n">
        <v>0</v>
      </c>
      <c r="M548" t="n">
        <v>0</v>
      </c>
      <c r="N548" t="n">
        <v>0</v>
      </c>
      <c r="O548" t="n">
        <v>0</v>
      </c>
      <c r="P548" t="n">
        <v>0</v>
      </c>
      <c r="Q548" t="n">
        <v>0</v>
      </c>
      <c r="R548" s="2" t="inlineStr"/>
    </row>
    <row r="549" ht="15" customHeight="1">
      <c r="A549" t="inlineStr">
        <is>
          <t>A 17568-2023</t>
        </is>
      </c>
      <c r="B549" s="1" t="n">
        <v>45036</v>
      </c>
      <c r="C549" s="1" t="n">
        <v>45976</v>
      </c>
      <c r="D549" t="inlineStr">
        <is>
          <t>JÄMTLANDS LÄN</t>
        </is>
      </c>
      <c r="E549" t="inlineStr">
        <is>
          <t>BRÄCKE</t>
        </is>
      </c>
      <c r="G549" t="n">
        <v>5</v>
      </c>
      <c r="H549" t="n">
        <v>0</v>
      </c>
      <c r="I549" t="n">
        <v>0</v>
      </c>
      <c r="J549" t="n">
        <v>0</v>
      </c>
      <c r="K549" t="n">
        <v>0</v>
      </c>
      <c r="L549" t="n">
        <v>0</v>
      </c>
      <c r="M549" t="n">
        <v>0</v>
      </c>
      <c r="N549" t="n">
        <v>0</v>
      </c>
      <c r="O549" t="n">
        <v>0</v>
      </c>
      <c r="P549" t="n">
        <v>0</v>
      </c>
      <c r="Q549" t="n">
        <v>0</v>
      </c>
      <c r="R549" s="2" t="inlineStr"/>
    </row>
    <row r="550" ht="15" customHeight="1">
      <c r="A550" t="inlineStr">
        <is>
          <t>A 16372-2023</t>
        </is>
      </c>
      <c r="B550" s="1" t="n">
        <v>45028.94083333333</v>
      </c>
      <c r="C550" s="1" t="n">
        <v>45976</v>
      </c>
      <c r="D550" t="inlineStr">
        <is>
          <t>JÄMTLANDS LÄN</t>
        </is>
      </c>
      <c r="E550" t="inlineStr">
        <is>
          <t>BRÄCKE</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31692-2024</t>
        </is>
      </c>
      <c r="B551" s="1" t="n">
        <v>45507.95684027778</v>
      </c>
      <c r="C551" s="1" t="n">
        <v>45976</v>
      </c>
      <c r="D551" t="inlineStr">
        <is>
          <t>JÄMTLANDS LÄN</t>
        </is>
      </c>
      <c r="E551" t="inlineStr">
        <is>
          <t>BRÄCKE</t>
        </is>
      </c>
      <c r="F551" t="inlineStr">
        <is>
          <t>SCA</t>
        </is>
      </c>
      <c r="G551" t="n">
        <v>3</v>
      </c>
      <c r="H551" t="n">
        <v>0</v>
      </c>
      <c r="I551" t="n">
        <v>0</v>
      </c>
      <c r="J551" t="n">
        <v>0</v>
      </c>
      <c r="K551" t="n">
        <v>0</v>
      </c>
      <c r="L551" t="n">
        <v>0</v>
      </c>
      <c r="M551" t="n">
        <v>0</v>
      </c>
      <c r="N551" t="n">
        <v>0</v>
      </c>
      <c r="O551" t="n">
        <v>0</v>
      </c>
      <c r="P551" t="n">
        <v>0</v>
      </c>
      <c r="Q551" t="n">
        <v>0</v>
      </c>
      <c r="R551" s="2" t="inlineStr"/>
    </row>
    <row r="552" ht="15" customHeight="1">
      <c r="A552" t="inlineStr">
        <is>
          <t>A 49185-2024</t>
        </is>
      </c>
      <c r="B552" s="1" t="n">
        <v>45595.34466435185</v>
      </c>
      <c r="C552" s="1" t="n">
        <v>45976</v>
      </c>
      <c r="D552" t="inlineStr">
        <is>
          <t>JÄMTLANDS LÄN</t>
        </is>
      </c>
      <c r="E552" t="inlineStr">
        <is>
          <t>BRÄCKE</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37117-2025</t>
        </is>
      </c>
      <c r="B553" s="1" t="n">
        <v>45875.51163194444</v>
      </c>
      <c r="C553" s="1" t="n">
        <v>45976</v>
      </c>
      <c r="D553" t="inlineStr">
        <is>
          <t>JÄMTLANDS LÄN</t>
        </is>
      </c>
      <c r="E553" t="inlineStr">
        <is>
          <t>BRÄCKE</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51270-2022</t>
        </is>
      </c>
      <c r="B554" s="1" t="n">
        <v>44866</v>
      </c>
      <c r="C554" s="1" t="n">
        <v>45976</v>
      </c>
      <c r="D554" t="inlineStr">
        <is>
          <t>JÄMTLANDS LÄN</t>
        </is>
      </c>
      <c r="E554" t="inlineStr">
        <is>
          <t>BRÄCKE</t>
        </is>
      </c>
      <c r="F554" t="inlineStr">
        <is>
          <t>Kommuner</t>
        </is>
      </c>
      <c r="G554" t="n">
        <v>2.2</v>
      </c>
      <c r="H554" t="n">
        <v>0</v>
      </c>
      <c r="I554" t="n">
        <v>0</v>
      </c>
      <c r="J554" t="n">
        <v>0</v>
      </c>
      <c r="K554" t="n">
        <v>0</v>
      </c>
      <c r="L554" t="n">
        <v>0</v>
      </c>
      <c r="M554" t="n">
        <v>0</v>
      </c>
      <c r="N554" t="n">
        <v>0</v>
      </c>
      <c r="O554" t="n">
        <v>0</v>
      </c>
      <c r="P554" t="n">
        <v>0</v>
      </c>
      <c r="Q554" t="n">
        <v>0</v>
      </c>
      <c r="R554" s="2" t="inlineStr"/>
    </row>
    <row r="555" ht="15" customHeight="1">
      <c r="A555" t="inlineStr">
        <is>
          <t>A 6291-2025</t>
        </is>
      </c>
      <c r="B555" s="1" t="n">
        <v>45698.65653935185</v>
      </c>
      <c r="C555" s="1" t="n">
        <v>45976</v>
      </c>
      <c r="D555" t="inlineStr">
        <is>
          <t>JÄMTLANDS LÄN</t>
        </is>
      </c>
      <c r="E555" t="inlineStr">
        <is>
          <t>BRÄCKE</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61141-2020</t>
        </is>
      </c>
      <c r="B556" s="1" t="n">
        <v>44154</v>
      </c>
      <c r="C556" s="1" t="n">
        <v>45976</v>
      </c>
      <c r="D556" t="inlineStr">
        <is>
          <t>JÄMTLANDS LÄN</t>
        </is>
      </c>
      <c r="E556" t="inlineStr">
        <is>
          <t>BRÄCKE</t>
        </is>
      </c>
      <c r="G556" t="n">
        <v>4.3</v>
      </c>
      <c r="H556" t="n">
        <v>0</v>
      </c>
      <c r="I556" t="n">
        <v>0</v>
      </c>
      <c r="J556" t="n">
        <v>0</v>
      </c>
      <c r="K556" t="n">
        <v>0</v>
      </c>
      <c r="L556" t="n">
        <v>0</v>
      </c>
      <c r="M556" t="n">
        <v>0</v>
      </c>
      <c r="N556" t="n">
        <v>0</v>
      </c>
      <c r="O556" t="n">
        <v>0</v>
      </c>
      <c r="P556" t="n">
        <v>0</v>
      </c>
      <c r="Q556" t="n">
        <v>0</v>
      </c>
      <c r="R556" s="2" t="inlineStr"/>
    </row>
    <row r="557" ht="15" customHeight="1">
      <c r="A557" t="inlineStr">
        <is>
          <t>A 61144-2020</t>
        </is>
      </c>
      <c r="B557" s="1" t="n">
        <v>44154</v>
      </c>
      <c r="C557" s="1" t="n">
        <v>45976</v>
      </c>
      <c r="D557" t="inlineStr">
        <is>
          <t>JÄMTLANDS LÄN</t>
        </is>
      </c>
      <c r="E557" t="inlineStr">
        <is>
          <t>BRÄCKE</t>
        </is>
      </c>
      <c r="G557" t="n">
        <v>12.8</v>
      </c>
      <c r="H557" t="n">
        <v>0</v>
      </c>
      <c r="I557" t="n">
        <v>0</v>
      </c>
      <c r="J557" t="n">
        <v>0</v>
      </c>
      <c r="K557" t="n">
        <v>0</v>
      </c>
      <c r="L557" t="n">
        <v>0</v>
      </c>
      <c r="M557" t="n">
        <v>0</v>
      </c>
      <c r="N557" t="n">
        <v>0</v>
      </c>
      <c r="O557" t="n">
        <v>0</v>
      </c>
      <c r="P557" t="n">
        <v>0</v>
      </c>
      <c r="Q557" t="n">
        <v>0</v>
      </c>
      <c r="R557" s="2" t="inlineStr"/>
    </row>
    <row r="558" ht="15" customHeight="1">
      <c r="A558" t="inlineStr">
        <is>
          <t>A 37116-2025</t>
        </is>
      </c>
      <c r="B558" s="1" t="n">
        <v>45875.51150462963</v>
      </c>
      <c r="C558" s="1" t="n">
        <v>45976</v>
      </c>
      <c r="D558" t="inlineStr">
        <is>
          <t>JÄMTLANDS LÄN</t>
        </is>
      </c>
      <c r="E558" t="inlineStr">
        <is>
          <t>BRÄCKE</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64495-2020</t>
        </is>
      </c>
      <c r="B559" s="1" t="n">
        <v>44168</v>
      </c>
      <c r="C559" s="1" t="n">
        <v>45976</v>
      </c>
      <c r="D559" t="inlineStr">
        <is>
          <t>JÄMTLANDS LÄN</t>
        </is>
      </c>
      <c r="E559" t="inlineStr">
        <is>
          <t>BRÄCKE</t>
        </is>
      </c>
      <c r="G559" t="n">
        <v>2.4</v>
      </c>
      <c r="H559" t="n">
        <v>0</v>
      </c>
      <c r="I559" t="n">
        <v>0</v>
      </c>
      <c r="J559" t="n">
        <v>0</v>
      </c>
      <c r="K559" t="n">
        <v>0</v>
      </c>
      <c r="L559" t="n">
        <v>0</v>
      </c>
      <c r="M559" t="n">
        <v>0</v>
      </c>
      <c r="N559" t="n">
        <v>0</v>
      </c>
      <c r="O559" t="n">
        <v>0</v>
      </c>
      <c r="P559" t="n">
        <v>0</v>
      </c>
      <c r="Q559" t="n">
        <v>0</v>
      </c>
      <c r="R559" s="2" t="inlineStr"/>
    </row>
    <row r="560" ht="15" customHeight="1">
      <c r="A560" t="inlineStr">
        <is>
          <t>A 57011-2022</t>
        </is>
      </c>
      <c r="B560" s="1" t="n">
        <v>44894</v>
      </c>
      <c r="C560" s="1" t="n">
        <v>45976</v>
      </c>
      <c r="D560" t="inlineStr">
        <is>
          <t>JÄMTLANDS LÄN</t>
        </is>
      </c>
      <c r="E560" t="inlineStr">
        <is>
          <t>BRÄCKE</t>
        </is>
      </c>
      <c r="F560" t="inlineStr">
        <is>
          <t>SCA</t>
        </is>
      </c>
      <c r="G560" t="n">
        <v>1.7</v>
      </c>
      <c r="H560" t="n">
        <v>0</v>
      </c>
      <c r="I560" t="n">
        <v>0</v>
      </c>
      <c r="J560" t="n">
        <v>0</v>
      </c>
      <c r="K560" t="n">
        <v>0</v>
      </c>
      <c r="L560" t="n">
        <v>0</v>
      </c>
      <c r="M560" t="n">
        <v>0</v>
      </c>
      <c r="N560" t="n">
        <v>0</v>
      </c>
      <c r="O560" t="n">
        <v>0</v>
      </c>
      <c r="P560" t="n">
        <v>0</v>
      </c>
      <c r="Q560" t="n">
        <v>0</v>
      </c>
      <c r="R560" s="2" t="inlineStr"/>
    </row>
    <row r="561" ht="15" customHeight="1">
      <c r="A561" t="inlineStr">
        <is>
          <t>A 26351-2023</t>
        </is>
      </c>
      <c r="B561" s="1" t="n">
        <v>45091</v>
      </c>
      <c r="C561" s="1" t="n">
        <v>45976</v>
      </c>
      <c r="D561" t="inlineStr">
        <is>
          <t>JÄMTLANDS LÄN</t>
        </is>
      </c>
      <c r="E561" t="inlineStr">
        <is>
          <t>BRÄCKE</t>
        </is>
      </c>
      <c r="F561" t="inlineStr">
        <is>
          <t>SCA</t>
        </is>
      </c>
      <c r="G561" t="n">
        <v>7.8</v>
      </c>
      <c r="H561" t="n">
        <v>0</v>
      </c>
      <c r="I561" t="n">
        <v>0</v>
      </c>
      <c r="J561" t="n">
        <v>0</v>
      </c>
      <c r="K561" t="n">
        <v>0</v>
      </c>
      <c r="L561" t="n">
        <v>0</v>
      </c>
      <c r="M561" t="n">
        <v>0</v>
      </c>
      <c r="N561" t="n">
        <v>0</v>
      </c>
      <c r="O561" t="n">
        <v>0</v>
      </c>
      <c r="P561" t="n">
        <v>0</v>
      </c>
      <c r="Q561" t="n">
        <v>0</v>
      </c>
      <c r="R561" s="2" t="inlineStr"/>
    </row>
    <row r="562" ht="15" customHeight="1">
      <c r="A562" t="inlineStr">
        <is>
          <t>A 51832-2023</t>
        </is>
      </c>
      <c r="B562" s="1" t="n">
        <v>45222.96841435185</v>
      </c>
      <c r="C562" s="1" t="n">
        <v>45976</v>
      </c>
      <c r="D562" t="inlineStr">
        <is>
          <t>JÄMTLANDS LÄN</t>
        </is>
      </c>
      <c r="E562" t="inlineStr">
        <is>
          <t>BRÄCKE</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38862-2024</t>
        </is>
      </c>
      <c r="B563" s="1" t="n">
        <v>45547.63063657407</v>
      </c>
      <c r="C563" s="1" t="n">
        <v>45976</v>
      </c>
      <c r="D563" t="inlineStr">
        <is>
          <t>JÄMTLANDS LÄN</t>
        </is>
      </c>
      <c r="E563" t="inlineStr">
        <is>
          <t>BRÄCKE</t>
        </is>
      </c>
      <c r="G563" t="n">
        <v>3.1</v>
      </c>
      <c r="H563" t="n">
        <v>0</v>
      </c>
      <c r="I563" t="n">
        <v>0</v>
      </c>
      <c r="J563" t="n">
        <v>0</v>
      </c>
      <c r="K563" t="n">
        <v>0</v>
      </c>
      <c r="L563" t="n">
        <v>0</v>
      </c>
      <c r="M563" t="n">
        <v>0</v>
      </c>
      <c r="N563" t="n">
        <v>0</v>
      </c>
      <c r="O563" t="n">
        <v>0</v>
      </c>
      <c r="P563" t="n">
        <v>0</v>
      </c>
      <c r="Q563" t="n">
        <v>0</v>
      </c>
      <c r="R563" s="2" t="inlineStr"/>
    </row>
    <row r="564" ht="15" customHeight="1">
      <c r="A564" t="inlineStr">
        <is>
          <t>A 57412-2023</t>
        </is>
      </c>
      <c r="B564" s="1" t="n">
        <v>45245</v>
      </c>
      <c r="C564" s="1" t="n">
        <v>45976</v>
      </c>
      <c r="D564" t="inlineStr">
        <is>
          <t>JÄMTLANDS LÄN</t>
        </is>
      </c>
      <c r="E564" t="inlineStr">
        <is>
          <t>BRÄCKE</t>
        </is>
      </c>
      <c r="F564" t="inlineStr">
        <is>
          <t>SCA</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57419-2023</t>
        </is>
      </c>
      <c r="B565" s="1" t="n">
        <v>45245.96983796296</v>
      </c>
      <c r="C565" s="1" t="n">
        <v>45976</v>
      </c>
      <c r="D565" t="inlineStr">
        <is>
          <t>JÄMTLANDS LÄN</t>
        </is>
      </c>
      <c r="E565" t="inlineStr">
        <is>
          <t>BRÄCKE</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37093-2025</t>
        </is>
      </c>
      <c r="B566" s="1" t="n">
        <v>45875.46909722222</v>
      </c>
      <c r="C566" s="1" t="n">
        <v>45976</v>
      </c>
      <c r="D566" t="inlineStr">
        <is>
          <t>JÄMTLANDS LÄN</t>
        </is>
      </c>
      <c r="E566" t="inlineStr">
        <is>
          <t>BRÄCKE</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62871-2020</t>
        </is>
      </c>
      <c r="B567" s="1" t="n">
        <v>44161</v>
      </c>
      <c r="C567" s="1" t="n">
        <v>45976</v>
      </c>
      <c r="D567" t="inlineStr">
        <is>
          <t>JÄMTLANDS LÄN</t>
        </is>
      </c>
      <c r="E567" t="inlineStr">
        <is>
          <t>BRÄCKE</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41647-2023</t>
        </is>
      </c>
      <c r="B568" s="1" t="n">
        <v>45175.95690972222</v>
      </c>
      <c r="C568" s="1" t="n">
        <v>45976</v>
      </c>
      <c r="D568" t="inlineStr">
        <is>
          <t>JÄMTLANDS LÄN</t>
        </is>
      </c>
      <c r="E568" t="inlineStr">
        <is>
          <t>BRÄCKE</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37185-2025</t>
        </is>
      </c>
      <c r="B569" s="1" t="n">
        <v>45875.63608796296</v>
      </c>
      <c r="C569" s="1" t="n">
        <v>45976</v>
      </c>
      <c r="D569" t="inlineStr">
        <is>
          <t>JÄMTLANDS LÄN</t>
        </is>
      </c>
      <c r="E569" t="inlineStr">
        <is>
          <t>BRÄCKE</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37074-2025</t>
        </is>
      </c>
      <c r="B570" s="1" t="n">
        <v>45875.40717592592</v>
      </c>
      <c r="C570" s="1" t="n">
        <v>45976</v>
      </c>
      <c r="D570" t="inlineStr">
        <is>
          <t>JÄMTLANDS LÄN</t>
        </is>
      </c>
      <c r="E570" t="inlineStr">
        <is>
          <t>BRÄCKE</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10486-2025</t>
        </is>
      </c>
      <c r="B571" s="1" t="n">
        <v>45721.34410879629</v>
      </c>
      <c r="C571" s="1" t="n">
        <v>45976</v>
      </c>
      <c r="D571" t="inlineStr">
        <is>
          <t>JÄMTLANDS LÄN</t>
        </is>
      </c>
      <c r="E571" t="inlineStr">
        <is>
          <t>BRÄCKE</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4904-2025</t>
        </is>
      </c>
      <c r="B572" s="1" t="n">
        <v>45688.68020833333</v>
      </c>
      <c r="C572" s="1" t="n">
        <v>45976</v>
      </c>
      <c r="D572" t="inlineStr">
        <is>
          <t>JÄMTLANDS LÄN</t>
        </is>
      </c>
      <c r="E572" t="inlineStr">
        <is>
          <t>BRÄCKE</t>
        </is>
      </c>
      <c r="F572" t="inlineStr">
        <is>
          <t>SCA</t>
        </is>
      </c>
      <c r="G572" t="n">
        <v>3.9</v>
      </c>
      <c r="H572" t="n">
        <v>0</v>
      </c>
      <c r="I572" t="n">
        <v>0</v>
      </c>
      <c r="J572" t="n">
        <v>0</v>
      </c>
      <c r="K572" t="n">
        <v>0</v>
      </c>
      <c r="L572" t="n">
        <v>0</v>
      </c>
      <c r="M572" t="n">
        <v>0</v>
      </c>
      <c r="N572" t="n">
        <v>0</v>
      </c>
      <c r="O572" t="n">
        <v>0</v>
      </c>
      <c r="P572" t="n">
        <v>0</v>
      </c>
      <c r="Q572" t="n">
        <v>0</v>
      </c>
      <c r="R572" s="2" t="inlineStr"/>
    </row>
    <row r="573" ht="15" customHeight="1">
      <c r="A573" t="inlineStr">
        <is>
          <t>A 10110-2025</t>
        </is>
      </c>
      <c r="B573" s="1" t="n">
        <v>45719.58855324074</v>
      </c>
      <c r="C573" s="1" t="n">
        <v>45976</v>
      </c>
      <c r="D573" t="inlineStr">
        <is>
          <t>JÄMTLANDS LÄN</t>
        </is>
      </c>
      <c r="E573" t="inlineStr">
        <is>
          <t>BRÄCKE</t>
        </is>
      </c>
      <c r="G573" t="n">
        <v>1.2</v>
      </c>
      <c r="H573" t="n">
        <v>0</v>
      </c>
      <c r="I573" t="n">
        <v>0</v>
      </c>
      <c r="J573" t="n">
        <v>0</v>
      </c>
      <c r="K573" t="n">
        <v>0</v>
      </c>
      <c r="L573" t="n">
        <v>0</v>
      </c>
      <c r="M573" t="n">
        <v>0</v>
      </c>
      <c r="N573" t="n">
        <v>0</v>
      </c>
      <c r="O573" t="n">
        <v>0</v>
      </c>
      <c r="P573" t="n">
        <v>0</v>
      </c>
      <c r="Q573" t="n">
        <v>0</v>
      </c>
      <c r="R573" s="2" t="inlineStr"/>
    </row>
    <row r="574" ht="15" customHeight="1">
      <c r="A574" t="inlineStr">
        <is>
          <t>A 36970-2025</t>
        </is>
      </c>
      <c r="B574" s="1" t="n">
        <v>45874.63700231481</v>
      </c>
      <c r="C574" s="1" t="n">
        <v>45976</v>
      </c>
      <c r="D574" t="inlineStr">
        <is>
          <t>JÄMTLANDS LÄN</t>
        </is>
      </c>
      <c r="E574" t="inlineStr">
        <is>
          <t>BRÄCKE</t>
        </is>
      </c>
      <c r="F574" t="inlineStr">
        <is>
          <t>SCA</t>
        </is>
      </c>
      <c r="G574" t="n">
        <v>2.9</v>
      </c>
      <c r="H574" t="n">
        <v>0</v>
      </c>
      <c r="I574" t="n">
        <v>0</v>
      </c>
      <c r="J574" t="n">
        <v>0</v>
      </c>
      <c r="K574" t="n">
        <v>0</v>
      </c>
      <c r="L574" t="n">
        <v>0</v>
      </c>
      <c r="M574" t="n">
        <v>0</v>
      </c>
      <c r="N574" t="n">
        <v>0</v>
      </c>
      <c r="O574" t="n">
        <v>0</v>
      </c>
      <c r="P574" t="n">
        <v>0</v>
      </c>
      <c r="Q574" t="n">
        <v>0</v>
      </c>
      <c r="R574" s="2" t="inlineStr"/>
    </row>
    <row r="575" ht="15" customHeight="1">
      <c r="A575" t="inlineStr">
        <is>
          <t>A 22978-2024</t>
        </is>
      </c>
      <c r="B575" s="1" t="n">
        <v>45449</v>
      </c>
      <c r="C575" s="1" t="n">
        <v>45976</v>
      </c>
      <c r="D575" t="inlineStr">
        <is>
          <t>JÄMTLANDS LÄN</t>
        </is>
      </c>
      <c r="E575" t="inlineStr">
        <is>
          <t>BRÄCKE</t>
        </is>
      </c>
      <c r="G575" t="n">
        <v>3.9</v>
      </c>
      <c r="H575" t="n">
        <v>0</v>
      </c>
      <c r="I575" t="n">
        <v>0</v>
      </c>
      <c r="J575" t="n">
        <v>0</v>
      </c>
      <c r="K575" t="n">
        <v>0</v>
      </c>
      <c r="L575" t="n">
        <v>0</v>
      </c>
      <c r="M575" t="n">
        <v>0</v>
      </c>
      <c r="N575" t="n">
        <v>0</v>
      </c>
      <c r="O575" t="n">
        <v>0</v>
      </c>
      <c r="P575" t="n">
        <v>0</v>
      </c>
      <c r="Q575" t="n">
        <v>0</v>
      </c>
      <c r="R575" s="2" t="inlineStr"/>
    </row>
    <row r="576" ht="15" customHeight="1">
      <c r="A576" t="inlineStr">
        <is>
          <t>A 37459-2025</t>
        </is>
      </c>
      <c r="B576" s="1" t="n">
        <v>45877.57327546296</v>
      </c>
      <c r="C576" s="1" t="n">
        <v>45976</v>
      </c>
      <c r="D576" t="inlineStr">
        <is>
          <t>JÄMTLANDS LÄN</t>
        </is>
      </c>
      <c r="E576" t="inlineStr">
        <is>
          <t>BRÄCKE</t>
        </is>
      </c>
      <c r="G576" t="n">
        <v>2</v>
      </c>
      <c r="H576" t="n">
        <v>0</v>
      </c>
      <c r="I576" t="n">
        <v>0</v>
      </c>
      <c r="J576" t="n">
        <v>0</v>
      </c>
      <c r="K576" t="n">
        <v>0</v>
      </c>
      <c r="L576" t="n">
        <v>0</v>
      </c>
      <c r="M576" t="n">
        <v>0</v>
      </c>
      <c r="N576" t="n">
        <v>0</v>
      </c>
      <c r="O576" t="n">
        <v>0</v>
      </c>
      <c r="P576" t="n">
        <v>0</v>
      </c>
      <c r="Q576" t="n">
        <v>0</v>
      </c>
      <c r="R576" s="2" t="inlineStr"/>
    </row>
    <row r="577" ht="15" customHeight="1">
      <c r="A577" t="inlineStr">
        <is>
          <t>A 53608-2024</t>
        </is>
      </c>
      <c r="B577" s="1" t="n">
        <v>45614</v>
      </c>
      <c r="C577" s="1" t="n">
        <v>45976</v>
      </c>
      <c r="D577" t="inlineStr">
        <is>
          <t>JÄMTLANDS LÄN</t>
        </is>
      </c>
      <c r="E577" t="inlineStr">
        <is>
          <t>BRÄCKE</t>
        </is>
      </c>
      <c r="F577" t="inlineStr">
        <is>
          <t>SCA</t>
        </is>
      </c>
      <c r="G577" t="n">
        <v>6.6</v>
      </c>
      <c r="H577" t="n">
        <v>0</v>
      </c>
      <c r="I577" t="n">
        <v>0</v>
      </c>
      <c r="J577" t="n">
        <v>0</v>
      </c>
      <c r="K577" t="n">
        <v>0</v>
      </c>
      <c r="L577" t="n">
        <v>0</v>
      </c>
      <c r="M577" t="n">
        <v>0</v>
      </c>
      <c r="N577" t="n">
        <v>0</v>
      </c>
      <c r="O577" t="n">
        <v>0</v>
      </c>
      <c r="P577" t="n">
        <v>0</v>
      </c>
      <c r="Q577" t="n">
        <v>0</v>
      </c>
      <c r="R577" s="2" t="inlineStr"/>
    </row>
    <row r="578" ht="15" customHeight="1">
      <c r="A578" t="inlineStr">
        <is>
          <t>A 52127-2023</t>
        </is>
      </c>
      <c r="B578" s="1" t="n">
        <v>45223.96543981481</v>
      </c>
      <c r="C578" s="1" t="n">
        <v>45976</v>
      </c>
      <c r="D578" t="inlineStr">
        <is>
          <t>JÄMTLANDS LÄN</t>
        </is>
      </c>
      <c r="E578" t="inlineStr">
        <is>
          <t>BRÄCKE</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37405-2025</t>
        </is>
      </c>
      <c r="B579" s="1" t="n">
        <v>45877.44858796296</v>
      </c>
      <c r="C579" s="1" t="n">
        <v>45976</v>
      </c>
      <c r="D579" t="inlineStr">
        <is>
          <t>JÄMTLANDS LÄN</t>
        </is>
      </c>
      <c r="E579" t="inlineStr">
        <is>
          <t>BRÄCKE</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37464-2025</t>
        </is>
      </c>
      <c r="B580" s="1" t="n">
        <v>45877.57395833333</v>
      </c>
      <c r="C580" s="1" t="n">
        <v>45976</v>
      </c>
      <c r="D580" t="inlineStr">
        <is>
          <t>JÄMTLANDS LÄN</t>
        </is>
      </c>
      <c r="E580" t="inlineStr">
        <is>
          <t>BRÄCKE</t>
        </is>
      </c>
      <c r="G580" t="n">
        <v>2.8</v>
      </c>
      <c r="H580" t="n">
        <v>0</v>
      </c>
      <c r="I580" t="n">
        <v>0</v>
      </c>
      <c r="J580" t="n">
        <v>0</v>
      </c>
      <c r="K580" t="n">
        <v>0</v>
      </c>
      <c r="L580" t="n">
        <v>0</v>
      </c>
      <c r="M580" t="n">
        <v>0</v>
      </c>
      <c r="N580" t="n">
        <v>0</v>
      </c>
      <c r="O580" t="n">
        <v>0</v>
      </c>
      <c r="P580" t="n">
        <v>0</v>
      </c>
      <c r="Q580" t="n">
        <v>0</v>
      </c>
      <c r="R580" s="2" t="inlineStr"/>
    </row>
    <row r="581" ht="15" customHeight="1">
      <c r="A581" t="inlineStr">
        <is>
          <t>A 12601-2022</t>
        </is>
      </c>
      <c r="B581" s="1" t="n">
        <v>44638</v>
      </c>
      <c r="C581" s="1" t="n">
        <v>45976</v>
      </c>
      <c r="D581" t="inlineStr">
        <is>
          <t>JÄMTLANDS LÄN</t>
        </is>
      </c>
      <c r="E581" t="inlineStr">
        <is>
          <t>BRÄCKE</t>
        </is>
      </c>
      <c r="G581" t="n">
        <v>3.1</v>
      </c>
      <c r="H581" t="n">
        <v>0</v>
      </c>
      <c r="I581" t="n">
        <v>0</v>
      </c>
      <c r="J581" t="n">
        <v>0</v>
      </c>
      <c r="K581" t="n">
        <v>0</v>
      </c>
      <c r="L581" t="n">
        <v>0</v>
      </c>
      <c r="M581" t="n">
        <v>0</v>
      </c>
      <c r="N581" t="n">
        <v>0</v>
      </c>
      <c r="O581" t="n">
        <v>0</v>
      </c>
      <c r="P581" t="n">
        <v>0</v>
      </c>
      <c r="Q581" t="n">
        <v>0</v>
      </c>
      <c r="R581" s="2" t="inlineStr"/>
    </row>
    <row r="582" ht="15" customHeight="1">
      <c r="A582" t="inlineStr">
        <is>
          <t>A 35903-2024</t>
        </is>
      </c>
      <c r="B582" s="1" t="n">
        <v>45533.40648148148</v>
      </c>
      <c r="C582" s="1" t="n">
        <v>45976</v>
      </c>
      <c r="D582" t="inlineStr">
        <is>
          <t>JÄMTLANDS LÄN</t>
        </is>
      </c>
      <c r="E582" t="inlineStr">
        <is>
          <t>BRÄCKE</t>
        </is>
      </c>
      <c r="F582" t="inlineStr">
        <is>
          <t>SCA</t>
        </is>
      </c>
      <c r="G582" t="n">
        <v>2.8</v>
      </c>
      <c r="H582" t="n">
        <v>0</v>
      </c>
      <c r="I582" t="n">
        <v>0</v>
      </c>
      <c r="J582" t="n">
        <v>0</v>
      </c>
      <c r="K582" t="n">
        <v>0</v>
      </c>
      <c r="L582" t="n">
        <v>0</v>
      </c>
      <c r="M582" t="n">
        <v>0</v>
      </c>
      <c r="N582" t="n">
        <v>0</v>
      </c>
      <c r="O582" t="n">
        <v>0</v>
      </c>
      <c r="P582" t="n">
        <v>0</v>
      </c>
      <c r="Q582" t="n">
        <v>0</v>
      </c>
      <c r="R582" s="2" t="inlineStr"/>
    </row>
    <row r="583" ht="15" customHeight="1">
      <c r="A583" t="inlineStr">
        <is>
          <t>A 37377-2025</t>
        </is>
      </c>
      <c r="B583" s="1" t="n">
        <v>45877.3653125</v>
      </c>
      <c r="C583" s="1" t="n">
        <v>45976</v>
      </c>
      <c r="D583" t="inlineStr">
        <is>
          <t>JÄMTLANDS LÄN</t>
        </is>
      </c>
      <c r="E583" t="inlineStr">
        <is>
          <t>BRÄCKE</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7027-2022</t>
        </is>
      </c>
      <c r="B584" s="1" t="n">
        <v>44603.46644675926</v>
      </c>
      <c r="C584" s="1" t="n">
        <v>45976</v>
      </c>
      <c r="D584" t="inlineStr">
        <is>
          <t>JÄMTLANDS LÄN</t>
        </is>
      </c>
      <c r="E584" t="inlineStr">
        <is>
          <t>BRÄCKE</t>
        </is>
      </c>
      <c r="G584" t="n">
        <v>3.7</v>
      </c>
      <c r="H584" t="n">
        <v>0</v>
      </c>
      <c r="I584" t="n">
        <v>0</v>
      </c>
      <c r="J584" t="n">
        <v>0</v>
      </c>
      <c r="K584" t="n">
        <v>0</v>
      </c>
      <c r="L584" t="n">
        <v>0</v>
      </c>
      <c r="M584" t="n">
        <v>0</v>
      </c>
      <c r="N584" t="n">
        <v>0</v>
      </c>
      <c r="O584" t="n">
        <v>0</v>
      </c>
      <c r="P584" t="n">
        <v>0</v>
      </c>
      <c r="Q584" t="n">
        <v>0</v>
      </c>
      <c r="R584" s="2" t="inlineStr"/>
    </row>
    <row r="585" ht="15" customHeight="1">
      <c r="A585" t="inlineStr">
        <is>
          <t>A 45939-2024</t>
        </is>
      </c>
      <c r="B585" s="1" t="n">
        <v>45580.53155092592</v>
      </c>
      <c r="C585" s="1" t="n">
        <v>45976</v>
      </c>
      <c r="D585" t="inlineStr">
        <is>
          <t>JÄMTLANDS LÄN</t>
        </is>
      </c>
      <c r="E585" t="inlineStr">
        <is>
          <t>BRÄCKE</t>
        </is>
      </c>
      <c r="F585" t="inlineStr">
        <is>
          <t>Naturvårdsverket</t>
        </is>
      </c>
      <c r="G585" t="n">
        <v>0.9</v>
      </c>
      <c r="H585" t="n">
        <v>0</v>
      </c>
      <c r="I585" t="n">
        <v>0</v>
      </c>
      <c r="J585" t="n">
        <v>0</v>
      </c>
      <c r="K585" t="n">
        <v>0</v>
      </c>
      <c r="L585" t="n">
        <v>0</v>
      </c>
      <c r="M585" t="n">
        <v>0</v>
      </c>
      <c r="N585" t="n">
        <v>0</v>
      </c>
      <c r="O585" t="n">
        <v>0</v>
      </c>
      <c r="P585" t="n">
        <v>0</v>
      </c>
      <c r="Q585" t="n">
        <v>0</v>
      </c>
      <c r="R585" s="2" t="inlineStr"/>
    </row>
    <row r="586" ht="15" customHeight="1">
      <c r="A586" t="inlineStr">
        <is>
          <t>A 37394-2025</t>
        </is>
      </c>
      <c r="B586" s="1" t="n">
        <v>45877.4275462963</v>
      </c>
      <c r="C586" s="1" t="n">
        <v>45976</v>
      </c>
      <c r="D586" t="inlineStr">
        <is>
          <t>JÄMTLANDS LÄN</t>
        </is>
      </c>
      <c r="E586" t="inlineStr">
        <is>
          <t>BRÄCKE</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29456-2024</t>
        </is>
      </c>
      <c r="B587" s="1" t="n">
        <v>45483.96898148148</v>
      </c>
      <c r="C587" s="1" t="n">
        <v>45976</v>
      </c>
      <c r="D587" t="inlineStr">
        <is>
          <t>JÄMTLANDS LÄN</t>
        </is>
      </c>
      <c r="E587" t="inlineStr">
        <is>
          <t>BRÄCKE</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37412-2025</t>
        </is>
      </c>
      <c r="B588" s="1" t="n">
        <v>45877.46915509259</v>
      </c>
      <c r="C588" s="1" t="n">
        <v>45976</v>
      </c>
      <c r="D588" t="inlineStr">
        <is>
          <t>JÄMTLANDS LÄN</t>
        </is>
      </c>
      <c r="E588" t="inlineStr">
        <is>
          <t>BRÄCKE</t>
        </is>
      </c>
      <c r="G588" t="n">
        <v>2.2</v>
      </c>
      <c r="H588" t="n">
        <v>0</v>
      </c>
      <c r="I588" t="n">
        <v>0</v>
      </c>
      <c r="J588" t="n">
        <v>0</v>
      </c>
      <c r="K588" t="n">
        <v>0</v>
      </c>
      <c r="L588" t="n">
        <v>0</v>
      </c>
      <c r="M588" t="n">
        <v>0</v>
      </c>
      <c r="N588" t="n">
        <v>0</v>
      </c>
      <c r="O588" t="n">
        <v>0</v>
      </c>
      <c r="P588" t="n">
        <v>0</v>
      </c>
      <c r="Q588" t="n">
        <v>0</v>
      </c>
      <c r="R588" s="2" t="inlineStr"/>
    </row>
    <row r="589" ht="15" customHeight="1">
      <c r="A589" t="inlineStr">
        <is>
          <t>A 37403-2025</t>
        </is>
      </c>
      <c r="B589" s="1" t="n">
        <v>45877.44828703703</v>
      </c>
      <c r="C589" s="1" t="n">
        <v>45976</v>
      </c>
      <c r="D589" t="inlineStr">
        <is>
          <t>JÄMTLANDS LÄN</t>
        </is>
      </c>
      <c r="E589" t="inlineStr">
        <is>
          <t>BRÄCKE</t>
        </is>
      </c>
      <c r="F589" t="inlineStr">
        <is>
          <t>SCA</t>
        </is>
      </c>
      <c r="G589" t="n">
        <v>6</v>
      </c>
      <c r="H589" t="n">
        <v>0</v>
      </c>
      <c r="I589" t="n">
        <v>0</v>
      </c>
      <c r="J589" t="n">
        <v>0</v>
      </c>
      <c r="K589" t="n">
        <v>0</v>
      </c>
      <c r="L589" t="n">
        <v>0</v>
      </c>
      <c r="M589" t="n">
        <v>0</v>
      </c>
      <c r="N589" t="n">
        <v>0</v>
      </c>
      <c r="O589" t="n">
        <v>0</v>
      </c>
      <c r="P589" t="n">
        <v>0</v>
      </c>
      <c r="Q589" t="n">
        <v>0</v>
      </c>
      <c r="R589" s="2" t="inlineStr"/>
    </row>
    <row r="590" ht="15" customHeight="1">
      <c r="A590" t="inlineStr">
        <is>
          <t>A 37411-2025</t>
        </is>
      </c>
      <c r="B590" s="1" t="n">
        <v>45877.46912037037</v>
      </c>
      <c r="C590" s="1" t="n">
        <v>45976</v>
      </c>
      <c r="D590" t="inlineStr">
        <is>
          <t>JÄMTLANDS LÄN</t>
        </is>
      </c>
      <c r="E590" t="inlineStr">
        <is>
          <t>BRÄCKE</t>
        </is>
      </c>
      <c r="G590" t="n">
        <v>0.5</v>
      </c>
      <c r="H590" t="n">
        <v>0</v>
      </c>
      <c r="I590" t="n">
        <v>0</v>
      </c>
      <c r="J590" t="n">
        <v>0</v>
      </c>
      <c r="K590" t="n">
        <v>0</v>
      </c>
      <c r="L590" t="n">
        <v>0</v>
      </c>
      <c r="M590" t="n">
        <v>0</v>
      </c>
      <c r="N590" t="n">
        <v>0</v>
      </c>
      <c r="O590" t="n">
        <v>0</v>
      </c>
      <c r="P590" t="n">
        <v>0</v>
      </c>
      <c r="Q590" t="n">
        <v>0</v>
      </c>
      <c r="R590" s="2" t="inlineStr"/>
    </row>
    <row r="591" ht="15" customHeight="1">
      <c r="A591" t="inlineStr">
        <is>
          <t>A 29460-2024</t>
        </is>
      </c>
      <c r="B591" s="1" t="n">
        <v>45483.96952546296</v>
      </c>
      <c r="C591" s="1" t="n">
        <v>45976</v>
      </c>
      <c r="D591" t="inlineStr">
        <is>
          <t>JÄMTLANDS LÄN</t>
        </is>
      </c>
      <c r="E591" t="inlineStr">
        <is>
          <t>BRÄCKE</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37460-2025</t>
        </is>
      </c>
      <c r="B592" s="1" t="n">
        <v>45877.57342592593</v>
      </c>
      <c r="C592" s="1" t="n">
        <v>45976</v>
      </c>
      <c r="D592" t="inlineStr">
        <is>
          <t>JÄMTLANDS LÄN</t>
        </is>
      </c>
      <c r="E592" t="inlineStr">
        <is>
          <t>BRÄCKE</t>
        </is>
      </c>
      <c r="G592" t="n">
        <v>1.4</v>
      </c>
      <c r="H592" t="n">
        <v>0</v>
      </c>
      <c r="I592" t="n">
        <v>0</v>
      </c>
      <c r="J592" t="n">
        <v>0</v>
      </c>
      <c r="K592" t="n">
        <v>0</v>
      </c>
      <c r="L592" t="n">
        <v>0</v>
      </c>
      <c r="M592" t="n">
        <v>0</v>
      </c>
      <c r="N592" t="n">
        <v>0</v>
      </c>
      <c r="O592" t="n">
        <v>0</v>
      </c>
      <c r="P592" t="n">
        <v>0</v>
      </c>
      <c r="Q592" t="n">
        <v>0</v>
      </c>
      <c r="R592" s="2" t="inlineStr"/>
    </row>
    <row r="593" ht="15" customHeight="1">
      <c r="A593" t="inlineStr">
        <is>
          <t>A 40313-2021</t>
        </is>
      </c>
      <c r="B593" s="1" t="n">
        <v>44419.50186342592</v>
      </c>
      <c r="C593" s="1" t="n">
        <v>45976</v>
      </c>
      <c r="D593" t="inlineStr">
        <is>
          <t>JÄMTLANDS LÄN</t>
        </is>
      </c>
      <c r="E593" t="inlineStr">
        <is>
          <t>BRÄCKE</t>
        </is>
      </c>
      <c r="G593" t="n">
        <v>5.7</v>
      </c>
      <c r="H593" t="n">
        <v>0</v>
      </c>
      <c r="I593" t="n">
        <v>0</v>
      </c>
      <c r="J593" t="n">
        <v>0</v>
      </c>
      <c r="K593" t="n">
        <v>0</v>
      </c>
      <c r="L593" t="n">
        <v>0</v>
      </c>
      <c r="M593" t="n">
        <v>0</v>
      </c>
      <c r="N593" t="n">
        <v>0</v>
      </c>
      <c r="O593" t="n">
        <v>0</v>
      </c>
      <c r="P593" t="n">
        <v>0</v>
      </c>
      <c r="Q593" t="n">
        <v>0</v>
      </c>
      <c r="R593" s="2" t="inlineStr"/>
    </row>
    <row r="594" ht="15" customHeight="1">
      <c r="A594" t="inlineStr">
        <is>
          <t>A 25674-2023</t>
        </is>
      </c>
      <c r="B594" s="1" t="n">
        <v>45089</v>
      </c>
      <c r="C594" s="1" t="n">
        <v>45976</v>
      </c>
      <c r="D594" t="inlineStr">
        <is>
          <t>JÄMTLANDS LÄN</t>
        </is>
      </c>
      <c r="E594" t="inlineStr">
        <is>
          <t>BRÄCKE</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37241-2025</t>
        </is>
      </c>
      <c r="B595" s="1" t="n">
        <v>45876.38599537037</v>
      </c>
      <c r="C595" s="1" t="n">
        <v>45976</v>
      </c>
      <c r="D595" t="inlineStr">
        <is>
          <t>JÄMTLANDS LÄN</t>
        </is>
      </c>
      <c r="E595" t="inlineStr">
        <is>
          <t>BRÄCKE</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16634-2025</t>
        </is>
      </c>
      <c r="B596" s="1" t="n">
        <v>45754.3653125</v>
      </c>
      <c r="C596" s="1" t="n">
        <v>45976</v>
      </c>
      <c r="D596" t="inlineStr">
        <is>
          <t>JÄMTLANDS LÄN</t>
        </is>
      </c>
      <c r="E596" t="inlineStr">
        <is>
          <t>BRÄCKE</t>
        </is>
      </c>
      <c r="F596" t="inlineStr">
        <is>
          <t>SCA</t>
        </is>
      </c>
      <c r="G596" t="n">
        <v>4.7</v>
      </c>
      <c r="H596" t="n">
        <v>0</v>
      </c>
      <c r="I596" t="n">
        <v>0</v>
      </c>
      <c r="J596" t="n">
        <v>0</v>
      </c>
      <c r="K596" t="n">
        <v>0</v>
      </c>
      <c r="L596" t="n">
        <v>0</v>
      </c>
      <c r="M596" t="n">
        <v>0</v>
      </c>
      <c r="N596" t="n">
        <v>0</v>
      </c>
      <c r="O596" t="n">
        <v>0</v>
      </c>
      <c r="P596" t="n">
        <v>0</v>
      </c>
      <c r="Q596" t="n">
        <v>0</v>
      </c>
      <c r="R596" s="2" t="inlineStr"/>
    </row>
    <row r="597" ht="15" customHeight="1">
      <c r="A597" t="inlineStr">
        <is>
          <t>A 37423-2025</t>
        </is>
      </c>
      <c r="B597" s="1" t="n">
        <v>45877.48996527777</v>
      </c>
      <c r="C597" s="1" t="n">
        <v>45976</v>
      </c>
      <c r="D597" t="inlineStr">
        <is>
          <t>JÄMTLANDS LÄN</t>
        </is>
      </c>
      <c r="E597" t="inlineStr">
        <is>
          <t>BRÄCKE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35395-2024</t>
        </is>
      </c>
      <c r="B598" s="1" t="n">
        <v>45531.403125</v>
      </c>
      <c r="C598" s="1" t="n">
        <v>45976</v>
      </c>
      <c r="D598" t="inlineStr">
        <is>
          <t>JÄMTLANDS LÄN</t>
        </is>
      </c>
      <c r="E598" t="inlineStr">
        <is>
          <t>BRÄCKE</t>
        </is>
      </c>
      <c r="F598" t="inlineStr">
        <is>
          <t>SCA</t>
        </is>
      </c>
      <c r="G598" t="n">
        <v>23.2</v>
      </c>
      <c r="H598" t="n">
        <v>0</v>
      </c>
      <c r="I598" t="n">
        <v>0</v>
      </c>
      <c r="J598" t="n">
        <v>0</v>
      </c>
      <c r="K598" t="n">
        <v>0</v>
      </c>
      <c r="L598" t="n">
        <v>0</v>
      </c>
      <c r="M598" t="n">
        <v>0</v>
      </c>
      <c r="N598" t="n">
        <v>0</v>
      </c>
      <c r="O598" t="n">
        <v>0</v>
      </c>
      <c r="P598" t="n">
        <v>0</v>
      </c>
      <c r="Q598" t="n">
        <v>0</v>
      </c>
      <c r="R598" s="2" t="inlineStr"/>
    </row>
    <row r="599" ht="15" customHeight="1">
      <c r="A599" t="inlineStr">
        <is>
          <t>A 35400-2024</t>
        </is>
      </c>
      <c r="B599" s="1" t="n">
        <v>45531.40457175926</v>
      </c>
      <c r="C599" s="1" t="n">
        <v>45976</v>
      </c>
      <c r="D599" t="inlineStr">
        <is>
          <t>JÄMTLANDS LÄN</t>
        </is>
      </c>
      <c r="E599" t="inlineStr">
        <is>
          <t>BRÄCKE</t>
        </is>
      </c>
      <c r="F599" t="inlineStr">
        <is>
          <t>SCA</t>
        </is>
      </c>
      <c r="G599" t="n">
        <v>2.8</v>
      </c>
      <c r="H599" t="n">
        <v>0</v>
      </c>
      <c r="I599" t="n">
        <v>0</v>
      </c>
      <c r="J599" t="n">
        <v>0</v>
      </c>
      <c r="K599" t="n">
        <v>0</v>
      </c>
      <c r="L599" t="n">
        <v>0</v>
      </c>
      <c r="M599" t="n">
        <v>0</v>
      </c>
      <c r="N599" t="n">
        <v>0</v>
      </c>
      <c r="O599" t="n">
        <v>0</v>
      </c>
      <c r="P599" t="n">
        <v>0</v>
      </c>
      <c r="Q599" t="n">
        <v>0</v>
      </c>
      <c r="R599" s="2" t="inlineStr"/>
    </row>
    <row r="600" ht="15" customHeight="1">
      <c r="A600" t="inlineStr">
        <is>
          <t>A 25413-2024</t>
        </is>
      </c>
      <c r="B600" s="1" t="n">
        <v>45462</v>
      </c>
      <c r="C600" s="1" t="n">
        <v>45976</v>
      </c>
      <c r="D600" t="inlineStr">
        <is>
          <t>JÄMTLANDS LÄN</t>
        </is>
      </c>
      <c r="E600" t="inlineStr">
        <is>
          <t>BRÄCKE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37974-2025</t>
        </is>
      </c>
      <c r="B601" s="1" t="n">
        <v>45881.67743055556</v>
      </c>
      <c r="C601" s="1" t="n">
        <v>45976</v>
      </c>
      <c r="D601" t="inlineStr">
        <is>
          <t>JÄMTLANDS LÄN</t>
        </is>
      </c>
      <c r="E601" t="inlineStr">
        <is>
          <t>BRÄCKE</t>
        </is>
      </c>
      <c r="F601" t="inlineStr">
        <is>
          <t>SCA</t>
        </is>
      </c>
      <c r="G601" t="n">
        <v>5</v>
      </c>
      <c r="H601" t="n">
        <v>0</v>
      </c>
      <c r="I601" t="n">
        <v>0</v>
      </c>
      <c r="J601" t="n">
        <v>0</v>
      </c>
      <c r="K601" t="n">
        <v>0</v>
      </c>
      <c r="L601" t="n">
        <v>0</v>
      </c>
      <c r="M601" t="n">
        <v>0</v>
      </c>
      <c r="N601" t="n">
        <v>0</v>
      </c>
      <c r="O601" t="n">
        <v>0</v>
      </c>
      <c r="P601" t="n">
        <v>0</v>
      </c>
      <c r="Q601" t="n">
        <v>0</v>
      </c>
      <c r="R601" s="2" t="inlineStr"/>
    </row>
    <row r="602" ht="15" customHeight="1">
      <c r="A602" t="inlineStr">
        <is>
          <t>A 18626-2024</t>
        </is>
      </c>
      <c r="B602" s="1" t="n">
        <v>45425.96429398148</v>
      </c>
      <c r="C602" s="1" t="n">
        <v>45976</v>
      </c>
      <c r="D602" t="inlineStr">
        <is>
          <t>JÄMTLANDS LÄN</t>
        </is>
      </c>
      <c r="E602" t="inlineStr">
        <is>
          <t>BRÄCKE</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37887-2025</t>
        </is>
      </c>
      <c r="B603" s="1" t="n">
        <v>45881.51099537037</v>
      </c>
      <c r="C603" s="1" t="n">
        <v>45976</v>
      </c>
      <c r="D603" t="inlineStr">
        <is>
          <t>JÄMTLANDS LÄN</t>
        </is>
      </c>
      <c r="E603" t="inlineStr">
        <is>
          <t>BRÄCKE</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30592-2021</t>
        </is>
      </c>
      <c r="B604" s="1" t="n">
        <v>44364.93850694445</v>
      </c>
      <c r="C604" s="1" t="n">
        <v>45976</v>
      </c>
      <c r="D604" t="inlineStr">
        <is>
          <t>JÄMTLANDS LÄN</t>
        </is>
      </c>
      <c r="E604" t="inlineStr">
        <is>
          <t>BRÄCKE</t>
        </is>
      </c>
      <c r="F604" t="inlineStr">
        <is>
          <t>SCA</t>
        </is>
      </c>
      <c r="G604" t="n">
        <v>22.4</v>
      </c>
      <c r="H604" t="n">
        <v>0</v>
      </c>
      <c r="I604" t="n">
        <v>0</v>
      </c>
      <c r="J604" t="n">
        <v>0</v>
      </c>
      <c r="K604" t="n">
        <v>0</v>
      </c>
      <c r="L604" t="n">
        <v>0</v>
      </c>
      <c r="M604" t="n">
        <v>0</v>
      </c>
      <c r="N604" t="n">
        <v>0</v>
      </c>
      <c r="O604" t="n">
        <v>0</v>
      </c>
      <c r="P604" t="n">
        <v>0</v>
      </c>
      <c r="Q604" t="n">
        <v>0</v>
      </c>
      <c r="R604" s="2" t="inlineStr"/>
    </row>
    <row r="605" ht="15" customHeight="1">
      <c r="A605" t="inlineStr">
        <is>
          <t>A 37585-2025</t>
        </is>
      </c>
      <c r="B605" s="1" t="n">
        <v>45880.40076388889</v>
      </c>
      <c r="C605" s="1" t="n">
        <v>45976</v>
      </c>
      <c r="D605" t="inlineStr">
        <is>
          <t>JÄMTLANDS LÄN</t>
        </is>
      </c>
      <c r="E605" t="inlineStr">
        <is>
          <t>BRÄCKE</t>
        </is>
      </c>
      <c r="G605" t="n">
        <v>3.6</v>
      </c>
      <c r="H605" t="n">
        <v>0</v>
      </c>
      <c r="I605" t="n">
        <v>0</v>
      </c>
      <c r="J605" t="n">
        <v>0</v>
      </c>
      <c r="K605" t="n">
        <v>0</v>
      </c>
      <c r="L605" t="n">
        <v>0</v>
      </c>
      <c r="M605" t="n">
        <v>0</v>
      </c>
      <c r="N605" t="n">
        <v>0</v>
      </c>
      <c r="O605" t="n">
        <v>0</v>
      </c>
      <c r="P605" t="n">
        <v>0</v>
      </c>
      <c r="Q605" t="n">
        <v>0</v>
      </c>
      <c r="R605" s="2" t="inlineStr"/>
    </row>
    <row r="606" ht="15" customHeight="1">
      <c r="A606" t="inlineStr">
        <is>
          <t>A 35766-2023</t>
        </is>
      </c>
      <c r="B606" s="1" t="n">
        <v>45147</v>
      </c>
      <c r="C606" s="1" t="n">
        <v>45976</v>
      </c>
      <c r="D606" t="inlineStr">
        <is>
          <t>JÄMTLANDS LÄN</t>
        </is>
      </c>
      <c r="E606" t="inlineStr">
        <is>
          <t>BRÄCKE</t>
        </is>
      </c>
      <c r="G606" t="n">
        <v>2.2</v>
      </c>
      <c r="H606" t="n">
        <v>0</v>
      </c>
      <c r="I606" t="n">
        <v>0</v>
      </c>
      <c r="J606" t="n">
        <v>0</v>
      </c>
      <c r="K606" t="n">
        <v>0</v>
      </c>
      <c r="L606" t="n">
        <v>0</v>
      </c>
      <c r="M606" t="n">
        <v>0</v>
      </c>
      <c r="N606" t="n">
        <v>0</v>
      </c>
      <c r="O606" t="n">
        <v>0</v>
      </c>
      <c r="P606" t="n">
        <v>0</v>
      </c>
      <c r="Q606" t="n">
        <v>0</v>
      </c>
      <c r="R606" s="2" t="inlineStr"/>
    </row>
    <row r="607" ht="15" customHeight="1">
      <c r="A607" t="inlineStr">
        <is>
          <t>A 42959-2024</t>
        </is>
      </c>
      <c r="B607" s="1" t="n">
        <v>45567.37144675926</v>
      </c>
      <c r="C607" s="1" t="n">
        <v>45976</v>
      </c>
      <c r="D607" t="inlineStr">
        <is>
          <t>JÄMTLANDS LÄN</t>
        </is>
      </c>
      <c r="E607" t="inlineStr">
        <is>
          <t>BRÄCKE</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7943-2025</t>
        </is>
      </c>
      <c r="B608" s="1" t="n">
        <v>45707.40697916667</v>
      </c>
      <c r="C608" s="1" t="n">
        <v>45976</v>
      </c>
      <c r="D608" t="inlineStr">
        <is>
          <t>JÄMTLANDS LÄN</t>
        </is>
      </c>
      <c r="E608" t="inlineStr">
        <is>
          <t>BRÄCKE</t>
        </is>
      </c>
      <c r="F608" t="inlineStr">
        <is>
          <t>SCA</t>
        </is>
      </c>
      <c r="G608" t="n">
        <v>5.8</v>
      </c>
      <c r="H608" t="n">
        <v>0</v>
      </c>
      <c r="I608" t="n">
        <v>0</v>
      </c>
      <c r="J608" t="n">
        <v>0</v>
      </c>
      <c r="K608" t="n">
        <v>0</v>
      </c>
      <c r="L608" t="n">
        <v>0</v>
      </c>
      <c r="M608" t="n">
        <v>0</v>
      </c>
      <c r="N608" t="n">
        <v>0</v>
      </c>
      <c r="O608" t="n">
        <v>0</v>
      </c>
      <c r="P608" t="n">
        <v>0</v>
      </c>
      <c r="Q608" t="n">
        <v>0</v>
      </c>
      <c r="R608" s="2" t="inlineStr"/>
    </row>
    <row r="609" ht="15" customHeight="1">
      <c r="A609" t="inlineStr">
        <is>
          <t>A 37709-2025</t>
        </is>
      </c>
      <c r="B609" s="1" t="n">
        <v>45880.59458333333</v>
      </c>
      <c r="C609" s="1" t="n">
        <v>45976</v>
      </c>
      <c r="D609" t="inlineStr">
        <is>
          <t>JÄMTLANDS LÄN</t>
        </is>
      </c>
      <c r="E609" t="inlineStr">
        <is>
          <t>BRÄCKE</t>
        </is>
      </c>
      <c r="F609" t="inlineStr">
        <is>
          <t>SCA</t>
        </is>
      </c>
      <c r="G609" t="n">
        <v>3.6</v>
      </c>
      <c r="H609" t="n">
        <v>0</v>
      </c>
      <c r="I609" t="n">
        <v>0</v>
      </c>
      <c r="J609" t="n">
        <v>0</v>
      </c>
      <c r="K609" t="n">
        <v>0</v>
      </c>
      <c r="L609" t="n">
        <v>0</v>
      </c>
      <c r="M609" t="n">
        <v>0</v>
      </c>
      <c r="N609" t="n">
        <v>0</v>
      </c>
      <c r="O609" t="n">
        <v>0</v>
      </c>
      <c r="P609" t="n">
        <v>0</v>
      </c>
      <c r="Q609" t="n">
        <v>0</v>
      </c>
      <c r="R609" s="2" t="inlineStr"/>
    </row>
    <row r="610" ht="15" customHeight="1">
      <c r="A610" t="inlineStr">
        <is>
          <t>A 31567-2024</t>
        </is>
      </c>
      <c r="B610" s="1" t="n">
        <v>45505.96689814814</v>
      </c>
      <c r="C610" s="1" t="n">
        <v>45976</v>
      </c>
      <c r="D610" t="inlineStr">
        <is>
          <t>JÄMTLANDS LÄN</t>
        </is>
      </c>
      <c r="E610" t="inlineStr">
        <is>
          <t>BRÄCKE</t>
        </is>
      </c>
      <c r="F610" t="inlineStr">
        <is>
          <t>SCA</t>
        </is>
      </c>
      <c r="G610" t="n">
        <v>2.8</v>
      </c>
      <c r="H610" t="n">
        <v>0</v>
      </c>
      <c r="I610" t="n">
        <v>0</v>
      </c>
      <c r="J610" t="n">
        <v>0</v>
      </c>
      <c r="K610" t="n">
        <v>0</v>
      </c>
      <c r="L610" t="n">
        <v>0</v>
      </c>
      <c r="M610" t="n">
        <v>0</v>
      </c>
      <c r="N610" t="n">
        <v>0</v>
      </c>
      <c r="O610" t="n">
        <v>0</v>
      </c>
      <c r="P610" t="n">
        <v>0</v>
      </c>
      <c r="Q610" t="n">
        <v>0</v>
      </c>
      <c r="R610" s="2" t="inlineStr"/>
    </row>
    <row r="611" ht="15" customHeight="1">
      <c r="A611" t="inlineStr">
        <is>
          <t>A 50220-2023</t>
        </is>
      </c>
      <c r="B611" s="1" t="n">
        <v>45215</v>
      </c>
      <c r="C611" s="1" t="n">
        <v>45976</v>
      </c>
      <c r="D611" t="inlineStr">
        <is>
          <t>JÄMTLANDS LÄN</t>
        </is>
      </c>
      <c r="E611" t="inlineStr">
        <is>
          <t>BRÄCKE</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31888-2024</t>
        </is>
      </c>
      <c r="B612" s="1" t="n">
        <v>45509</v>
      </c>
      <c r="C612" s="1" t="n">
        <v>45976</v>
      </c>
      <c r="D612" t="inlineStr">
        <is>
          <t>JÄMTLANDS LÄN</t>
        </is>
      </c>
      <c r="E612" t="inlineStr">
        <is>
          <t>BRÄCKE</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37938-2025</t>
        </is>
      </c>
      <c r="B613" s="1" t="n">
        <v>45880</v>
      </c>
      <c r="C613" s="1" t="n">
        <v>45976</v>
      </c>
      <c r="D613" t="inlineStr">
        <is>
          <t>JÄMTLANDS LÄN</t>
        </is>
      </c>
      <c r="E613" t="inlineStr">
        <is>
          <t>BRÄCKE</t>
        </is>
      </c>
      <c r="G613" t="n">
        <v>1.8</v>
      </c>
      <c r="H613" t="n">
        <v>0</v>
      </c>
      <c r="I613" t="n">
        <v>0</v>
      </c>
      <c r="J613" t="n">
        <v>0</v>
      </c>
      <c r="K613" t="n">
        <v>0</v>
      </c>
      <c r="L613" t="n">
        <v>0</v>
      </c>
      <c r="M613" t="n">
        <v>0</v>
      </c>
      <c r="N613" t="n">
        <v>0</v>
      </c>
      <c r="O613" t="n">
        <v>0</v>
      </c>
      <c r="P613" t="n">
        <v>0</v>
      </c>
      <c r="Q613" t="n">
        <v>0</v>
      </c>
      <c r="R613" s="2" t="inlineStr"/>
    </row>
    <row r="614" ht="15" customHeight="1">
      <c r="A614" t="inlineStr">
        <is>
          <t>A 6345-2023</t>
        </is>
      </c>
      <c r="B614" s="1" t="n">
        <v>44960</v>
      </c>
      <c r="C614" s="1" t="n">
        <v>45976</v>
      </c>
      <c r="D614" t="inlineStr">
        <is>
          <t>JÄMTLANDS LÄN</t>
        </is>
      </c>
      <c r="E614" t="inlineStr">
        <is>
          <t>BRÄCKE</t>
        </is>
      </c>
      <c r="G614" t="n">
        <v>11.4</v>
      </c>
      <c r="H614" t="n">
        <v>0</v>
      </c>
      <c r="I614" t="n">
        <v>0</v>
      </c>
      <c r="J614" t="n">
        <v>0</v>
      </c>
      <c r="K614" t="n">
        <v>0</v>
      </c>
      <c r="L614" t="n">
        <v>0</v>
      </c>
      <c r="M614" t="n">
        <v>0</v>
      </c>
      <c r="N614" t="n">
        <v>0</v>
      </c>
      <c r="O614" t="n">
        <v>0</v>
      </c>
      <c r="P614" t="n">
        <v>0</v>
      </c>
      <c r="Q614" t="n">
        <v>0</v>
      </c>
      <c r="R614" s="2" t="inlineStr"/>
    </row>
    <row r="615" ht="15" customHeight="1">
      <c r="A615" t="inlineStr">
        <is>
          <t>A 38030-2025</t>
        </is>
      </c>
      <c r="B615" s="1" t="n">
        <v>45882.36521990741</v>
      </c>
      <c r="C615" s="1" t="n">
        <v>45976</v>
      </c>
      <c r="D615" t="inlineStr">
        <is>
          <t>JÄMTLANDS LÄN</t>
        </is>
      </c>
      <c r="E615" t="inlineStr">
        <is>
          <t>BRÄCKE</t>
        </is>
      </c>
      <c r="F615" t="inlineStr">
        <is>
          <t>SCA</t>
        </is>
      </c>
      <c r="G615" t="n">
        <v>11.6</v>
      </c>
      <c r="H615" t="n">
        <v>0</v>
      </c>
      <c r="I615" t="n">
        <v>0</v>
      </c>
      <c r="J615" t="n">
        <v>0</v>
      </c>
      <c r="K615" t="n">
        <v>0</v>
      </c>
      <c r="L615" t="n">
        <v>0</v>
      </c>
      <c r="M615" t="n">
        <v>0</v>
      </c>
      <c r="N615" t="n">
        <v>0</v>
      </c>
      <c r="O615" t="n">
        <v>0</v>
      </c>
      <c r="P615" t="n">
        <v>0</v>
      </c>
      <c r="Q615" t="n">
        <v>0</v>
      </c>
      <c r="R615" s="2" t="inlineStr"/>
    </row>
    <row r="616" ht="15" customHeight="1">
      <c r="A616" t="inlineStr">
        <is>
          <t>A 59369-2022</t>
        </is>
      </c>
      <c r="B616" s="1" t="n">
        <v>44904.94859953703</v>
      </c>
      <c r="C616" s="1" t="n">
        <v>45976</v>
      </c>
      <c r="D616" t="inlineStr">
        <is>
          <t>JÄMTLANDS LÄN</t>
        </is>
      </c>
      <c r="E616" t="inlineStr">
        <is>
          <t>BRÄCKE</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38324-2025</t>
        </is>
      </c>
      <c r="B617" s="1" t="n">
        <v>45883.49037037037</v>
      </c>
      <c r="C617" s="1" t="n">
        <v>45976</v>
      </c>
      <c r="D617" t="inlineStr">
        <is>
          <t>JÄMTLANDS LÄN</t>
        </is>
      </c>
      <c r="E617" t="inlineStr">
        <is>
          <t>BRÄCKE</t>
        </is>
      </c>
      <c r="F617" t="inlineStr">
        <is>
          <t>SCA</t>
        </is>
      </c>
      <c r="G617" t="n">
        <v>7</v>
      </c>
      <c r="H617" t="n">
        <v>0</v>
      </c>
      <c r="I617" t="n">
        <v>0</v>
      </c>
      <c r="J617" t="n">
        <v>0</v>
      </c>
      <c r="K617" t="n">
        <v>0</v>
      </c>
      <c r="L617" t="n">
        <v>0</v>
      </c>
      <c r="M617" t="n">
        <v>0</v>
      </c>
      <c r="N617" t="n">
        <v>0</v>
      </c>
      <c r="O617" t="n">
        <v>0</v>
      </c>
      <c r="P617" t="n">
        <v>0</v>
      </c>
      <c r="Q617" t="n">
        <v>0</v>
      </c>
      <c r="R617" s="2" t="inlineStr"/>
    </row>
    <row r="618" ht="15" customHeight="1">
      <c r="A618" t="inlineStr">
        <is>
          <t>A 26100-2021</t>
        </is>
      </c>
      <c r="B618" s="1" t="n">
        <v>44344.93584490741</v>
      </c>
      <c r="C618" s="1" t="n">
        <v>45976</v>
      </c>
      <c r="D618" t="inlineStr">
        <is>
          <t>JÄMTLANDS LÄN</t>
        </is>
      </c>
      <c r="E618" t="inlineStr">
        <is>
          <t>BRÄCKE</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38072-2025</t>
        </is>
      </c>
      <c r="B619" s="1" t="n">
        <v>45882</v>
      </c>
      <c r="C619" s="1" t="n">
        <v>45976</v>
      </c>
      <c r="D619" t="inlineStr">
        <is>
          <t>JÄMTLANDS LÄN</t>
        </is>
      </c>
      <c r="E619" t="inlineStr">
        <is>
          <t>BRÄCKE</t>
        </is>
      </c>
      <c r="G619" t="n">
        <v>1.8</v>
      </c>
      <c r="H619" t="n">
        <v>0</v>
      </c>
      <c r="I619" t="n">
        <v>0</v>
      </c>
      <c r="J619" t="n">
        <v>0</v>
      </c>
      <c r="K619" t="n">
        <v>0</v>
      </c>
      <c r="L619" t="n">
        <v>0</v>
      </c>
      <c r="M619" t="n">
        <v>0</v>
      </c>
      <c r="N619" t="n">
        <v>0</v>
      </c>
      <c r="O619" t="n">
        <v>0</v>
      </c>
      <c r="P619" t="n">
        <v>0</v>
      </c>
      <c r="Q619" t="n">
        <v>0</v>
      </c>
      <c r="R619" s="2" t="inlineStr"/>
    </row>
    <row r="620" ht="15" customHeight="1">
      <c r="A620" t="inlineStr">
        <is>
          <t>A 38304-2025</t>
        </is>
      </c>
      <c r="B620" s="1" t="n">
        <v>45883.46912037037</v>
      </c>
      <c r="C620" s="1" t="n">
        <v>45976</v>
      </c>
      <c r="D620" t="inlineStr">
        <is>
          <t>JÄMTLANDS LÄN</t>
        </is>
      </c>
      <c r="E620" t="inlineStr">
        <is>
          <t>BRÄCKE</t>
        </is>
      </c>
      <c r="G620" t="n">
        <v>10</v>
      </c>
      <c r="H620" t="n">
        <v>0</v>
      </c>
      <c r="I620" t="n">
        <v>0</v>
      </c>
      <c r="J620" t="n">
        <v>0</v>
      </c>
      <c r="K620" t="n">
        <v>0</v>
      </c>
      <c r="L620" t="n">
        <v>0</v>
      </c>
      <c r="M620" t="n">
        <v>0</v>
      </c>
      <c r="N620" t="n">
        <v>0</v>
      </c>
      <c r="O620" t="n">
        <v>0</v>
      </c>
      <c r="P620" t="n">
        <v>0</v>
      </c>
      <c r="Q620" t="n">
        <v>0</v>
      </c>
      <c r="R620" s="2" t="inlineStr"/>
    </row>
    <row r="621" ht="15" customHeight="1">
      <c r="A621" t="inlineStr">
        <is>
          <t>A 38361-2025</t>
        </is>
      </c>
      <c r="B621" s="1" t="n">
        <v>45883.53303240741</v>
      </c>
      <c r="C621" s="1" t="n">
        <v>45976</v>
      </c>
      <c r="D621" t="inlineStr">
        <is>
          <t>JÄMTLANDS LÄN</t>
        </is>
      </c>
      <c r="E621" t="inlineStr">
        <is>
          <t>BRÄCKE</t>
        </is>
      </c>
      <c r="F621" t="inlineStr">
        <is>
          <t>SCA</t>
        </is>
      </c>
      <c r="G621" t="n">
        <v>3.8</v>
      </c>
      <c r="H621" t="n">
        <v>0</v>
      </c>
      <c r="I621" t="n">
        <v>0</v>
      </c>
      <c r="J621" t="n">
        <v>0</v>
      </c>
      <c r="K621" t="n">
        <v>0</v>
      </c>
      <c r="L621" t="n">
        <v>0</v>
      </c>
      <c r="M621" t="n">
        <v>0</v>
      </c>
      <c r="N621" t="n">
        <v>0</v>
      </c>
      <c r="O621" t="n">
        <v>0</v>
      </c>
      <c r="P621" t="n">
        <v>0</v>
      </c>
      <c r="Q621" t="n">
        <v>0</v>
      </c>
      <c r="R621" s="2" t="inlineStr"/>
    </row>
    <row r="622" ht="15" customHeight="1">
      <c r="A622" t="inlineStr">
        <is>
          <t>A 38456-2025</t>
        </is>
      </c>
      <c r="B622" s="1" t="n">
        <v>45883.69831018519</v>
      </c>
      <c r="C622" s="1" t="n">
        <v>45976</v>
      </c>
      <c r="D622" t="inlineStr">
        <is>
          <t>JÄMTLANDS LÄN</t>
        </is>
      </c>
      <c r="E622" t="inlineStr">
        <is>
          <t>BRÄCKE</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58740-2023</t>
        </is>
      </c>
      <c r="B623" s="1" t="n">
        <v>45251.92890046296</v>
      </c>
      <c r="C623" s="1" t="n">
        <v>45976</v>
      </c>
      <c r="D623" t="inlineStr">
        <is>
          <t>JÄMTLANDS LÄN</t>
        </is>
      </c>
      <c r="E623" t="inlineStr">
        <is>
          <t>BRÄCKE</t>
        </is>
      </c>
      <c r="G623" t="n">
        <v>1.4</v>
      </c>
      <c r="H623" t="n">
        <v>0</v>
      </c>
      <c r="I623" t="n">
        <v>0</v>
      </c>
      <c r="J623" t="n">
        <v>0</v>
      </c>
      <c r="K623" t="n">
        <v>0</v>
      </c>
      <c r="L623" t="n">
        <v>0</v>
      </c>
      <c r="M623" t="n">
        <v>0</v>
      </c>
      <c r="N623" t="n">
        <v>0</v>
      </c>
      <c r="O623" t="n">
        <v>0</v>
      </c>
      <c r="P623" t="n">
        <v>0</v>
      </c>
      <c r="Q623" t="n">
        <v>0</v>
      </c>
      <c r="R623" s="2" t="inlineStr"/>
    </row>
    <row r="624" ht="15" customHeight="1">
      <c r="A624" t="inlineStr">
        <is>
          <t>A 38326-2025</t>
        </is>
      </c>
      <c r="B624" s="1" t="n">
        <v>45883.49070601852</v>
      </c>
      <c r="C624" s="1" t="n">
        <v>45976</v>
      </c>
      <c r="D624" t="inlineStr">
        <is>
          <t>JÄMTLANDS LÄN</t>
        </is>
      </c>
      <c r="E624" t="inlineStr">
        <is>
          <t>BRÄCKE</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38333-2025</t>
        </is>
      </c>
      <c r="B625" s="1" t="n">
        <v>45883.49164351852</v>
      </c>
      <c r="C625" s="1" t="n">
        <v>45976</v>
      </c>
      <c r="D625" t="inlineStr">
        <is>
          <t>JÄMTLANDS LÄN</t>
        </is>
      </c>
      <c r="E625" t="inlineStr">
        <is>
          <t>BRÄCKE</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38459-2025</t>
        </is>
      </c>
      <c r="B626" s="1" t="n">
        <v>45883.71927083333</v>
      </c>
      <c r="C626" s="1" t="n">
        <v>45976</v>
      </c>
      <c r="D626" t="inlineStr">
        <is>
          <t>JÄMTLANDS LÄN</t>
        </is>
      </c>
      <c r="E626" t="inlineStr">
        <is>
          <t>BRÄCKE</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59846-2024</t>
        </is>
      </c>
      <c r="B627" s="1" t="n">
        <v>45639.67769675926</v>
      </c>
      <c r="C627" s="1" t="n">
        <v>45976</v>
      </c>
      <c r="D627" t="inlineStr">
        <is>
          <t>JÄMTLANDS LÄN</t>
        </is>
      </c>
      <c r="E627" t="inlineStr">
        <is>
          <t>BRÄCKE</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38095-2025</t>
        </is>
      </c>
      <c r="B628" s="1" t="n">
        <v>45882.49050925926</v>
      </c>
      <c r="C628" s="1" t="n">
        <v>45976</v>
      </c>
      <c r="D628" t="inlineStr">
        <is>
          <t>JÄMTLANDS LÄN</t>
        </is>
      </c>
      <c r="E628" t="inlineStr">
        <is>
          <t>BRÄCKE</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38381-2025</t>
        </is>
      </c>
      <c r="B629" s="1" t="n">
        <v>45883.57380787037</v>
      </c>
      <c r="C629" s="1" t="n">
        <v>45976</v>
      </c>
      <c r="D629" t="inlineStr">
        <is>
          <t>JÄMTLANDS LÄN</t>
        </is>
      </c>
      <c r="E629" t="inlineStr">
        <is>
          <t>BRÄCKE</t>
        </is>
      </c>
      <c r="G629" t="n">
        <v>11.1</v>
      </c>
      <c r="H629" t="n">
        <v>0</v>
      </c>
      <c r="I629" t="n">
        <v>0</v>
      </c>
      <c r="J629" t="n">
        <v>0</v>
      </c>
      <c r="K629" t="n">
        <v>0</v>
      </c>
      <c r="L629" t="n">
        <v>0</v>
      </c>
      <c r="M629" t="n">
        <v>0</v>
      </c>
      <c r="N629" t="n">
        <v>0</v>
      </c>
      <c r="O629" t="n">
        <v>0</v>
      </c>
      <c r="P629" t="n">
        <v>0</v>
      </c>
      <c r="Q629" t="n">
        <v>0</v>
      </c>
      <c r="R629" s="2" t="inlineStr"/>
    </row>
    <row r="630" ht="15" customHeight="1">
      <c r="A630" t="inlineStr">
        <is>
          <t>A 38329-2025</t>
        </is>
      </c>
      <c r="B630" s="1" t="n">
        <v>45883.49111111111</v>
      </c>
      <c r="C630" s="1" t="n">
        <v>45976</v>
      </c>
      <c r="D630" t="inlineStr">
        <is>
          <t>JÄMTLANDS LÄN</t>
        </is>
      </c>
      <c r="E630" t="inlineStr">
        <is>
          <t>BRÄCKE</t>
        </is>
      </c>
      <c r="F630" t="inlineStr">
        <is>
          <t>SCA</t>
        </is>
      </c>
      <c r="G630" t="n">
        <v>4</v>
      </c>
      <c r="H630" t="n">
        <v>0</v>
      </c>
      <c r="I630" t="n">
        <v>0</v>
      </c>
      <c r="J630" t="n">
        <v>0</v>
      </c>
      <c r="K630" t="n">
        <v>0</v>
      </c>
      <c r="L630" t="n">
        <v>0</v>
      </c>
      <c r="M630" t="n">
        <v>0</v>
      </c>
      <c r="N630" t="n">
        <v>0</v>
      </c>
      <c r="O630" t="n">
        <v>0</v>
      </c>
      <c r="P630" t="n">
        <v>0</v>
      </c>
      <c r="Q630" t="n">
        <v>0</v>
      </c>
      <c r="R630" s="2" t="inlineStr"/>
    </row>
    <row r="631" ht="15" customHeight="1">
      <c r="A631" t="inlineStr">
        <is>
          <t>A 38123-2025</t>
        </is>
      </c>
      <c r="B631" s="1" t="n">
        <v>45882.55259259259</v>
      </c>
      <c r="C631" s="1" t="n">
        <v>45976</v>
      </c>
      <c r="D631" t="inlineStr">
        <is>
          <t>JÄMTLANDS LÄN</t>
        </is>
      </c>
      <c r="E631" t="inlineStr">
        <is>
          <t>BRÄCKE</t>
        </is>
      </c>
      <c r="G631" t="n">
        <v>3.8</v>
      </c>
      <c r="H631" t="n">
        <v>0</v>
      </c>
      <c r="I631" t="n">
        <v>0</v>
      </c>
      <c r="J631" t="n">
        <v>0</v>
      </c>
      <c r="K631" t="n">
        <v>0</v>
      </c>
      <c r="L631" t="n">
        <v>0</v>
      </c>
      <c r="M631" t="n">
        <v>0</v>
      </c>
      <c r="N631" t="n">
        <v>0</v>
      </c>
      <c r="O631" t="n">
        <v>0</v>
      </c>
      <c r="P631" t="n">
        <v>0</v>
      </c>
      <c r="Q631" t="n">
        <v>0</v>
      </c>
      <c r="R631" s="2" t="inlineStr"/>
    </row>
    <row r="632" ht="15" customHeight="1">
      <c r="A632" t="inlineStr">
        <is>
          <t>A 29941-2023</t>
        </is>
      </c>
      <c r="B632" s="1" t="n">
        <v>45107</v>
      </c>
      <c r="C632" s="1" t="n">
        <v>45976</v>
      </c>
      <c r="D632" t="inlineStr">
        <is>
          <t>JÄMTLANDS LÄN</t>
        </is>
      </c>
      <c r="E632" t="inlineStr">
        <is>
          <t>BRÄCKE</t>
        </is>
      </c>
      <c r="G632" t="n">
        <v>6.1</v>
      </c>
      <c r="H632" t="n">
        <v>0</v>
      </c>
      <c r="I632" t="n">
        <v>0</v>
      </c>
      <c r="J632" t="n">
        <v>0</v>
      </c>
      <c r="K632" t="n">
        <v>0</v>
      </c>
      <c r="L632" t="n">
        <v>0</v>
      </c>
      <c r="M632" t="n">
        <v>0</v>
      </c>
      <c r="N632" t="n">
        <v>0</v>
      </c>
      <c r="O632" t="n">
        <v>0</v>
      </c>
      <c r="P632" t="n">
        <v>0</v>
      </c>
      <c r="Q632" t="n">
        <v>0</v>
      </c>
      <c r="R632" s="2" t="inlineStr"/>
    </row>
    <row r="633" ht="15" customHeight="1">
      <c r="A633" t="inlineStr">
        <is>
          <t>A 23687-2022</t>
        </is>
      </c>
      <c r="B633" s="1" t="n">
        <v>44721</v>
      </c>
      <c r="C633" s="1" t="n">
        <v>45976</v>
      </c>
      <c r="D633" t="inlineStr">
        <is>
          <t>JÄMTLANDS LÄN</t>
        </is>
      </c>
      <c r="E633" t="inlineStr">
        <is>
          <t>BRÄCKE</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50840-2023</t>
        </is>
      </c>
      <c r="B634" s="1" t="n">
        <v>45217</v>
      </c>
      <c r="C634" s="1" t="n">
        <v>45976</v>
      </c>
      <c r="D634" t="inlineStr">
        <is>
          <t>JÄMTLANDS LÄN</t>
        </is>
      </c>
      <c r="E634" t="inlineStr">
        <is>
          <t>BRÄCKE</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38378-2025</t>
        </is>
      </c>
      <c r="B635" s="1" t="n">
        <v>45883.57368055556</v>
      </c>
      <c r="C635" s="1" t="n">
        <v>45976</v>
      </c>
      <c r="D635" t="inlineStr">
        <is>
          <t>JÄMTLANDS LÄN</t>
        </is>
      </c>
      <c r="E635" t="inlineStr">
        <is>
          <t>BRÄCKE</t>
        </is>
      </c>
      <c r="G635" t="n">
        <v>0.7</v>
      </c>
      <c r="H635" t="n">
        <v>0</v>
      </c>
      <c r="I635" t="n">
        <v>0</v>
      </c>
      <c r="J635" t="n">
        <v>0</v>
      </c>
      <c r="K635" t="n">
        <v>0</v>
      </c>
      <c r="L635" t="n">
        <v>0</v>
      </c>
      <c r="M635" t="n">
        <v>0</v>
      </c>
      <c r="N635" t="n">
        <v>0</v>
      </c>
      <c r="O635" t="n">
        <v>0</v>
      </c>
      <c r="P635" t="n">
        <v>0</v>
      </c>
      <c r="Q635" t="n">
        <v>0</v>
      </c>
      <c r="R635" s="2" t="inlineStr"/>
    </row>
    <row r="636" ht="15" customHeight="1">
      <c r="A636" t="inlineStr">
        <is>
          <t>A 38391-2025</t>
        </is>
      </c>
      <c r="B636" s="1" t="n">
        <v>45883.57501157407</v>
      </c>
      <c r="C636" s="1" t="n">
        <v>45976</v>
      </c>
      <c r="D636" t="inlineStr">
        <is>
          <t>JÄMTLANDS LÄN</t>
        </is>
      </c>
      <c r="E636" t="inlineStr">
        <is>
          <t>BRÄCKE</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38328-2025</t>
        </is>
      </c>
      <c r="B637" s="1" t="n">
        <v>45883.4909837963</v>
      </c>
      <c r="C637" s="1" t="n">
        <v>45976</v>
      </c>
      <c r="D637" t="inlineStr">
        <is>
          <t>JÄMTLANDS LÄN</t>
        </is>
      </c>
      <c r="E637" t="inlineStr">
        <is>
          <t>BRÄCKE</t>
        </is>
      </c>
      <c r="F637" t="inlineStr">
        <is>
          <t>SCA</t>
        </is>
      </c>
      <c r="G637" t="n">
        <v>3.4</v>
      </c>
      <c r="H637" t="n">
        <v>0</v>
      </c>
      <c r="I637" t="n">
        <v>0</v>
      </c>
      <c r="J637" t="n">
        <v>0</v>
      </c>
      <c r="K637" t="n">
        <v>0</v>
      </c>
      <c r="L637" t="n">
        <v>0</v>
      </c>
      <c r="M637" t="n">
        <v>0</v>
      </c>
      <c r="N637" t="n">
        <v>0</v>
      </c>
      <c r="O637" t="n">
        <v>0</v>
      </c>
      <c r="P637" t="n">
        <v>0</v>
      </c>
      <c r="Q637" t="n">
        <v>0</v>
      </c>
      <c r="R637" s="2" t="inlineStr"/>
    </row>
    <row r="638" ht="15" customHeight="1">
      <c r="A638" t="inlineStr">
        <is>
          <t>A 38358-2025</t>
        </is>
      </c>
      <c r="B638" s="1" t="n">
        <v>45883.5327662037</v>
      </c>
      <c r="C638" s="1" t="n">
        <v>45976</v>
      </c>
      <c r="D638" t="inlineStr">
        <is>
          <t>JÄMTLANDS LÄN</t>
        </is>
      </c>
      <c r="E638" t="inlineStr">
        <is>
          <t>BRÄCKE</t>
        </is>
      </c>
      <c r="F638" t="inlineStr">
        <is>
          <t>SCA</t>
        </is>
      </c>
      <c r="G638" t="n">
        <v>0.3</v>
      </c>
      <c r="H638" t="n">
        <v>0</v>
      </c>
      <c r="I638" t="n">
        <v>0</v>
      </c>
      <c r="J638" t="n">
        <v>0</v>
      </c>
      <c r="K638" t="n">
        <v>0</v>
      </c>
      <c r="L638" t="n">
        <v>0</v>
      </c>
      <c r="M638" t="n">
        <v>0</v>
      </c>
      <c r="N638" t="n">
        <v>0</v>
      </c>
      <c r="O638" t="n">
        <v>0</v>
      </c>
      <c r="P638" t="n">
        <v>0</v>
      </c>
      <c r="Q638" t="n">
        <v>0</v>
      </c>
      <c r="R638" s="2" t="inlineStr"/>
    </row>
    <row r="639" ht="15" customHeight="1">
      <c r="A639" t="inlineStr">
        <is>
          <t>A 38025-2025</t>
        </is>
      </c>
      <c r="B639" s="1" t="n">
        <v>45882.34527777778</v>
      </c>
      <c r="C639" s="1" t="n">
        <v>45976</v>
      </c>
      <c r="D639" t="inlineStr">
        <is>
          <t>JÄMTLANDS LÄN</t>
        </is>
      </c>
      <c r="E639" t="inlineStr">
        <is>
          <t>BRÄCKE</t>
        </is>
      </c>
      <c r="F639" t="inlineStr">
        <is>
          <t>SCA</t>
        </is>
      </c>
      <c r="G639" t="n">
        <v>3.3</v>
      </c>
      <c r="H639" t="n">
        <v>0</v>
      </c>
      <c r="I639" t="n">
        <v>0</v>
      </c>
      <c r="J639" t="n">
        <v>0</v>
      </c>
      <c r="K639" t="n">
        <v>0</v>
      </c>
      <c r="L639" t="n">
        <v>0</v>
      </c>
      <c r="M639" t="n">
        <v>0</v>
      </c>
      <c r="N639" t="n">
        <v>0</v>
      </c>
      <c r="O639" t="n">
        <v>0</v>
      </c>
      <c r="P639" t="n">
        <v>0</v>
      </c>
      <c r="Q639" t="n">
        <v>0</v>
      </c>
      <c r="R639" s="2" t="inlineStr"/>
    </row>
    <row r="640" ht="15" customHeight="1">
      <c r="A640" t="inlineStr">
        <is>
          <t>A 48284-2021</t>
        </is>
      </c>
      <c r="B640" s="1" t="n">
        <v>44449.75931712963</v>
      </c>
      <c r="C640" s="1" t="n">
        <v>45976</v>
      </c>
      <c r="D640" t="inlineStr">
        <is>
          <t>JÄMTLANDS LÄN</t>
        </is>
      </c>
      <c r="E640" t="inlineStr">
        <is>
          <t>BRÄCKE</t>
        </is>
      </c>
      <c r="G640" t="n">
        <v>12.9</v>
      </c>
      <c r="H640" t="n">
        <v>0</v>
      </c>
      <c r="I640" t="n">
        <v>0</v>
      </c>
      <c r="J640" t="n">
        <v>0</v>
      </c>
      <c r="K640" t="n">
        <v>0</v>
      </c>
      <c r="L640" t="n">
        <v>0</v>
      </c>
      <c r="M640" t="n">
        <v>0</v>
      </c>
      <c r="N640" t="n">
        <v>0</v>
      </c>
      <c r="O640" t="n">
        <v>0</v>
      </c>
      <c r="P640" t="n">
        <v>0</v>
      </c>
      <c r="Q640" t="n">
        <v>0</v>
      </c>
      <c r="R640" s="2" t="inlineStr"/>
    </row>
    <row r="641" ht="15" customHeight="1">
      <c r="A641" t="inlineStr">
        <is>
          <t>A 4170-2024</t>
        </is>
      </c>
      <c r="B641" s="1" t="n">
        <v>45323.94685185186</v>
      </c>
      <c r="C641" s="1" t="n">
        <v>45976</v>
      </c>
      <c r="D641" t="inlineStr">
        <is>
          <t>JÄMTLANDS LÄN</t>
        </is>
      </c>
      <c r="E641" t="inlineStr">
        <is>
          <t>BRÄCKE</t>
        </is>
      </c>
      <c r="F641" t="inlineStr">
        <is>
          <t>SCA</t>
        </is>
      </c>
      <c r="G641" t="n">
        <v>9.1</v>
      </c>
      <c r="H641" t="n">
        <v>0</v>
      </c>
      <c r="I641" t="n">
        <v>0</v>
      </c>
      <c r="J641" t="n">
        <v>0</v>
      </c>
      <c r="K641" t="n">
        <v>0</v>
      </c>
      <c r="L641" t="n">
        <v>0</v>
      </c>
      <c r="M641" t="n">
        <v>0</v>
      </c>
      <c r="N641" t="n">
        <v>0</v>
      </c>
      <c r="O641" t="n">
        <v>0</v>
      </c>
      <c r="P641" t="n">
        <v>0</v>
      </c>
      <c r="Q641" t="n">
        <v>0</v>
      </c>
      <c r="R641" s="2" t="inlineStr"/>
    </row>
    <row r="642" ht="15" customHeight="1">
      <c r="A642" t="inlineStr">
        <is>
          <t>A 38245-2025</t>
        </is>
      </c>
      <c r="B642" s="1" t="n">
        <v>45883.36563657408</v>
      </c>
      <c r="C642" s="1" t="n">
        <v>45976</v>
      </c>
      <c r="D642" t="inlineStr">
        <is>
          <t>JÄMTLANDS LÄN</t>
        </is>
      </c>
      <c r="E642" t="inlineStr">
        <is>
          <t>BRÄCKE</t>
        </is>
      </c>
      <c r="G642" t="n">
        <v>4.8</v>
      </c>
      <c r="H642" t="n">
        <v>0</v>
      </c>
      <c r="I642" t="n">
        <v>0</v>
      </c>
      <c r="J642" t="n">
        <v>0</v>
      </c>
      <c r="K642" t="n">
        <v>0</v>
      </c>
      <c r="L642" t="n">
        <v>0</v>
      </c>
      <c r="M642" t="n">
        <v>0</v>
      </c>
      <c r="N642" t="n">
        <v>0</v>
      </c>
      <c r="O642" t="n">
        <v>0</v>
      </c>
      <c r="P642" t="n">
        <v>0</v>
      </c>
      <c r="Q642" t="n">
        <v>0</v>
      </c>
      <c r="R642" s="2" t="inlineStr"/>
    </row>
    <row r="643" ht="15" customHeight="1">
      <c r="A643" t="inlineStr">
        <is>
          <t>A 14664-2024</t>
        </is>
      </c>
      <c r="B643" s="1" t="n">
        <v>45397.41673611111</v>
      </c>
      <c r="C643" s="1" t="n">
        <v>45976</v>
      </c>
      <c r="D643" t="inlineStr">
        <is>
          <t>JÄMTLANDS LÄN</t>
        </is>
      </c>
      <c r="E643" t="inlineStr">
        <is>
          <t>BRÄCKE</t>
        </is>
      </c>
      <c r="G643" t="n">
        <v>4.5</v>
      </c>
      <c r="H643" t="n">
        <v>0</v>
      </c>
      <c r="I643" t="n">
        <v>0</v>
      </c>
      <c r="J643" t="n">
        <v>0</v>
      </c>
      <c r="K643" t="n">
        <v>0</v>
      </c>
      <c r="L643" t="n">
        <v>0</v>
      </c>
      <c r="M643" t="n">
        <v>0</v>
      </c>
      <c r="N643" t="n">
        <v>0</v>
      </c>
      <c r="O643" t="n">
        <v>0</v>
      </c>
      <c r="P643" t="n">
        <v>0</v>
      </c>
      <c r="Q643" t="n">
        <v>0</v>
      </c>
      <c r="R643" s="2" t="inlineStr"/>
    </row>
    <row r="644" ht="15" customHeight="1">
      <c r="A644" t="inlineStr">
        <is>
          <t>A 38353-2025</t>
        </is>
      </c>
      <c r="B644" s="1" t="n">
        <v>45883.53201388889</v>
      </c>
      <c r="C644" s="1" t="n">
        <v>45976</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12452-2025</t>
        </is>
      </c>
      <c r="B645" s="1" t="n">
        <v>45730.51483796296</v>
      </c>
      <c r="C645" s="1" t="n">
        <v>45976</v>
      </c>
      <c r="D645" t="inlineStr">
        <is>
          <t>JÄMTLANDS LÄN</t>
        </is>
      </c>
      <c r="E645" t="inlineStr">
        <is>
          <t>BRÄCKE</t>
        </is>
      </c>
      <c r="G645" t="n">
        <v>2.5</v>
      </c>
      <c r="H645" t="n">
        <v>0</v>
      </c>
      <c r="I645" t="n">
        <v>0</v>
      </c>
      <c r="J645" t="n">
        <v>0</v>
      </c>
      <c r="K645" t="n">
        <v>0</v>
      </c>
      <c r="L645" t="n">
        <v>0</v>
      </c>
      <c r="M645" t="n">
        <v>0</v>
      </c>
      <c r="N645" t="n">
        <v>0</v>
      </c>
      <c r="O645" t="n">
        <v>0</v>
      </c>
      <c r="P645" t="n">
        <v>0</v>
      </c>
      <c r="Q645" t="n">
        <v>0</v>
      </c>
      <c r="R645" s="2" t="inlineStr"/>
    </row>
    <row r="646" ht="15" customHeight="1">
      <c r="A646" t="inlineStr">
        <is>
          <t>A 53278-2022</t>
        </is>
      </c>
      <c r="B646" s="1" t="n">
        <v>44876.94785879629</v>
      </c>
      <c r="C646" s="1" t="n">
        <v>45976</v>
      </c>
      <c r="D646" t="inlineStr">
        <is>
          <t>JÄMTLANDS LÄN</t>
        </is>
      </c>
      <c r="E646" t="inlineStr">
        <is>
          <t>BRÄCKE</t>
        </is>
      </c>
      <c r="G646" t="n">
        <v>2</v>
      </c>
      <c r="H646" t="n">
        <v>0</v>
      </c>
      <c r="I646" t="n">
        <v>0</v>
      </c>
      <c r="J646" t="n">
        <v>0</v>
      </c>
      <c r="K646" t="n">
        <v>0</v>
      </c>
      <c r="L646" t="n">
        <v>0</v>
      </c>
      <c r="M646" t="n">
        <v>0</v>
      </c>
      <c r="N646" t="n">
        <v>0</v>
      </c>
      <c r="O646" t="n">
        <v>0</v>
      </c>
      <c r="P646" t="n">
        <v>0</v>
      </c>
      <c r="Q646" t="n">
        <v>0</v>
      </c>
      <c r="R646" s="2" t="inlineStr"/>
    </row>
    <row r="647" ht="15" customHeight="1">
      <c r="A647" t="inlineStr">
        <is>
          <t>A 37824-2025</t>
        </is>
      </c>
      <c r="B647" s="1" t="n">
        <v>45881.40686342592</v>
      </c>
      <c r="C647" s="1" t="n">
        <v>45976</v>
      </c>
      <c r="D647" t="inlineStr">
        <is>
          <t>JÄMTLANDS LÄN</t>
        </is>
      </c>
      <c r="E647" t="inlineStr">
        <is>
          <t>BRÄCKE</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38278-2025</t>
        </is>
      </c>
      <c r="B648" s="1" t="n">
        <v>45883.41405092592</v>
      </c>
      <c r="C648" s="1" t="n">
        <v>45976</v>
      </c>
      <c r="D648" t="inlineStr">
        <is>
          <t>JÄMTLANDS LÄN</t>
        </is>
      </c>
      <c r="E648" t="inlineStr">
        <is>
          <t>BRÄCKE</t>
        </is>
      </c>
      <c r="G648" t="n">
        <v>2.8</v>
      </c>
      <c r="H648" t="n">
        <v>0</v>
      </c>
      <c r="I648" t="n">
        <v>0</v>
      </c>
      <c r="J648" t="n">
        <v>0</v>
      </c>
      <c r="K648" t="n">
        <v>0</v>
      </c>
      <c r="L648" t="n">
        <v>0</v>
      </c>
      <c r="M648" t="n">
        <v>0</v>
      </c>
      <c r="N648" t="n">
        <v>0</v>
      </c>
      <c r="O648" t="n">
        <v>0</v>
      </c>
      <c r="P648" t="n">
        <v>0</v>
      </c>
      <c r="Q648" t="n">
        <v>0</v>
      </c>
      <c r="R648" s="2" t="inlineStr"/>
    </row>
    <row r="649" ht="15" customHeight="1">
      <c r="A649" t="inlineStr">
        <is>
          <t>A 38352-2025</t>
        </is>
      </c>
      <c r="B649" s="1" t="n">
        <v>45883.53186342592</v>
      </c>
      <c r="C649" s="1" t="n">
        <v>45976</v>
      </c>
      <c r="D649" t="inlineStr">
        <is>
          <t>JÄMTLANDS LÄN</t>
        </is>
      </c>
      <c r="E649" t="inlineStr">
        <is>
          <t>BRÄCKE</t>
        </is>
      </c>
      <c r="F649" t="inlineStr">
        <is>
          <t>SCA</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38379-2025</t>
        </is>
      </c>
      <c r="B650" s="1" t="n">
        <v>45883.57377314815</v>
      </c>
      <c r="C650" s="1" t="n">
        <v>45976</v>
      </c>
      <c r="D650" t="inlineStr">
        <is>
          <t>JÄMTLANDS LÄN</t>
        </is>
      </c>
      <c r="E650" t="inlineStr">
        <is>
          <t>BRÄCKE</t>
        </is>
      </c>
      <c r="G650" t="n">
        <v>0.7</v>
      </c>
      <c r="H650" t="n">
        <v>0</v>
      </c>
      <c r="I650" t="n">
        <v>0</v>
      </c>
      <c r="J650" t="n">
        <v>0</v>
      </c>
      <c r="K650" t="n">
        <v>0</v>
      </c>
      <c r="L650" t="n">
        <v>0</v>
      </c>
      <c r="M650" t="n">
        <v>0</v>
      </c>
      <c r="N650" t="n">
        <v>0</v>
      </c>
      <c r="O650" t="n">
        <v>0</v>
      </c>
      <c r="P650" t="n">
        <v>0</v>
      </c>
      <c r="Q650" t="n">
        <v>0</v>
      </c>
      <c r="R650" s="2" t="inlineStr"/>
    </row>
    <row r="651" ht="15" customHeight="1">
      <c r="A651" t="inlineStr">
        <is>
          <t>A 38461-2025</t>
        </is>
      </c>
      <c r="B651" s="1" t="n">
        <v>45883.71962962963</v>
      </c>
      <c r="C651" s="1" t="n">
        <v>45976</v>
      </c>
      <c r="D651" t="inlineStr">
        <is>
          <t>JÄMTLANDS LÄN</t>
        </is>
      </c>
      <c r="E651" t="inlineStr">
        <is>
          <t>BRÄCKE</t>
        </is>
      </c>
      <c r="F651" t="inlineStr">
        <is>
          <t>SCA</t>
        </is>
      </c>
      <c r="G651" t="n">
        <v>5.3</v>
      </c>
      <c r="H651" t="n">
        <v>0</v>
      </c>
      <c r="I651" t="n">
        <v>0</v>
      </c>
      <c r="J651" t="n">
        <v>0</v>
      </c>
      <c r="K651" t="n">
        <v>0</v>
      </c>
      <c r="L651" t="n">
        <v>0</v>
      </c>
      <c r="M651" t="n">
        <v>0</v>
      </c>
      <c r="N651" t="n">
        <v>0</v>
      </c>
      <c r="O651" t="n">
        <v>0</v>
      </c>
      <c r="P651" t="n">
        <v>0</v>
      </c>
      <c r="Q651" t="n">
        <v>0</v>
      </c>
      <c r="R651" s="2" t="inlineStr"/>
    </row>
    <row r="652" ht="15" customHeight="1">
      <c r="A652" t="inlineStr">
        <is>
          <t>A 38241-2025</t>
        </is>
      </c>
      <c r="B652" s="1" t="n">
        <v>45883.36541666667</v>
      </c>
      <c r="C652" s="1" t="n">
        <v>45976</v>
      </c>
      <c r="D652" t="inlineStr">
        <is>
          <t>JÄMTLANDS LÄN</t>
        </is>
      </c>
      <c r="E652" t="inlineStr">
        <is>
          <t>BRÄCKE</t>
        </is>
      </c>
      <c r="G652" t="n">
        <v>1</v>
      </c>
      <c r="H652" t="n">
        <v>0</v>
      </c>
      <c r="I652" t="n">
        <v>0</v>
      </c>
      <c r="J652" t="n">
        <v>0</v>
      </c>
      <c r="K652" t="n">
        <v>0</v>
      </c>
      <c r="L652" t="n">
        <v>0</v>
      </c>
      <c r="M652" t="n">
        <v>0</v>
      </c>
      <c r="N652" t="n">
        <v>0</v>
      </c>
      <c r="O652" t="n">
        <v>0</v>
      </c>
      <c r="P652" t="n">
        <v>0</v>
      </c>
      <c r="Q652" t="n">
        <v>0</v>
      </c>
      <c r="R652" s="2" t="inlineStr"/>
    </row>
    <row r="653" ht="15" customHeight="1">
      <c r="A653" t="inlineStr">
        <is>
          <t>A 35501-2022</t>
        </is>
      </c>
      <c r="B653" s="1" t="n">
        <v>44798.94827546296</v>
      </c>
      <c r="C653" s="1" t="n">
        <v>45976</v>
      </c>
      <c r="D653" t="inlineStr">
        <is>
          <t>JÄMTLANDS LÄN</t>
        </is>
      </c>
      <c r="E653" t="inlineStr">
        <is>
          <t>BRÄCKE</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12864-2024</t>
        </is>
      </c>
      <c r="B654" s="1" t="n">
        <v>45384.9415625</v>
      </c>
      <c r="C654" s="1" t="n">
        <v>45976</v>
      </c>
      <c r="D654" t="inlineStr">
        <is>
          <t>JÄMTLANDS LÄN</t>
        </is>
      </c>
      <c r="E654" t="inlineStr">
        <is>
          <t>BRÄCKE</t>
        </is>
      </c>
      <c r="F654" t="inlineStr">
        <is>
          <t>SCA</t>
        </is>
      </c>
      <c r="G654" t="n">
        <v>7.6</v>
      </c>
      <c r="H654" t="n">
        <v>0</v>
      </c>
      <c r="I654" t="n">
        <v>0</v>
      </c>
      <c r="J654" t="n">
        <v>0</v>
      </c>
      <c r="K654" t="n">
        <v>0</v>
      </c>
      <c r="L654" t="n">
        <v>0</v>
      </c>
      <c r="M654" t="n">
        <v>0</v>
      </c>
      <c r="N654" t="n">
        <v>0</v>
      </c>
      <c r="O654" t="n">
        <v>0</v>
      </c>
      <c r="P654" t="n">
        <v>0</v>
      </c>
      <c r="Q654" t="n">
        <v>0</v>
      </c>
      <c r="R654" s="2" t="inlineStr"/>
    </row>
    <row r="655" ht="15" customHeight="1">
      <c r="A655" t="inlineStr">
        <is>
          <t>A 12891-2024</t>
        </is>
      </c>
      <c r="B655" s="1" t="n">
        <v>45385</v>
      </c>
      <c r="C655" s="1" t="n">
        <v>45976</v>
      </c>
      <c r="D655" t="inlineStr">
        <is>
          <t>JÄMTLANDS LÄN</t>
        </is>
      </c>
      <c r="E655" t="inlineStr">
        <is>
          <t>BRÄCKE</t>
        </is>
      </c>
      <c r="F655" t="inlineStr">
        <is>
          <t>Kyrkan</t>
        </is>
      </c>
      <c r="G655" t="n">
        <v>0.4</v>
      </c>
      <c r="H655" t="n">
        <v>0</v>
      </c>
      <c r="I655" t="n">
        <v>0</v>
      </c>
      <c r="J655" t="n">
        <v>0</v>
      </c>
      <c r="K655" t="n">
        <v>0</v>
      </c>
      <c r="L655" t="n">
        <v>0</v>
      </c>
      <c r="M655" t="n">
        <v>0</v>
      </c>
      <c r="N655" t="n">
        <v>0</v>
      </c>
      <c r="O655" t="n">
        <v>0</v>
      </c>
      <c r="P655" t="n">
        <v>0</v>
      </c>
      <c r="Q655" t="n">
        <v>0</v>
      </c>
      <c r="R655" s="2" t="inlineStr"/>
    </row>
    <row r="656" ht="15" customHeight="1">
      <c r="A656" t="inlineStr">
        <is>
          <t>A 2581-2025</t>
        </is>
      </c>
      <c r="B656" s="1" t="n">
        <v>45674.67771990741</v>
      </c>
      <c r="C656" s="1" t="n">
        <v>45976</v>
      </c>
      <c r="D656" t="inlineStr">
        <is>
          <t>JÄMTLANDS LÄN</t>
        </is>
      </c>
      <c r="E656" t="inlineStr">
        <is>
          <t>BRÄCKE</t>
        </is>
      </c>
      <c r="F656" t="inlineStr">
        <is>
          <t>SCA</t>
        </is>
      </c>
      <c r="G656" t="n">
        <v>4.6</v>
      </c>
      <c r="H656" t="n">
        <v>0</v>
      </c>
      <c r="I656" t="n">
        <v>0</v>
      </c>
      <c r="J656" t="n">
        <v>0</v>
      </c>
      <c r="K656" t="n">
        <v>0</v>
      </c>
      <c r="L656" t="n">
        <v>0</v>
      </c>
      <c r="M656" t="n">
        <v>0</v>
      </c>
      <c r="N656" t="n">
        <v>0</v>
      </c>
      <c r="O656" t="n">
        <v>0</v>
      </c>
      <c r="P656" t="n">
        <v>0</v>
      </c>
      <c r="Q656" t="n">
        <v>0</v>
      </c>
      <c r="R656" s="2" t="inlineStr"/>
    </row>
    <row r="657" ht="15" customHeight="1">
      <c r="A657" t="inlineStr">
        <is>
          <t>A 59417-2023</t>
        </is>
      </c>
      <c r="B657" s="1" t="n">
        <v>45253</v>
      </c>
      <c r="C657" s="1" t="n">
        <v>45976</v>
      </c>
      <c r="D657" t="inlineStr">
        <is>
          <t>JÄMTLANDS LÄN</t>
        </is>
      </c>
      <c r="E657" t="inlineStr">
        <is>
          <t>BRÄCKE</t>
        </is>
      </c>
      <c r="F657" t="inlineStr">
        <is>
          <t>SCA</t>
        </is>
      </c>
      <c r="G657" t="n">
        <v>2.5</v>
      </c>
      <c r="H657" t="n">
        <v>0</v>
      </c>
      <c r="I657" t="n">
        <v>0</v>
      </c>
      <c r="J657" t="n">
        <v>0</v>
      </c>
      <c r="K657" t="n">
        <v>0</v>
      </c>
      <c r="L657" t="n">
        <v>0</v>
      </c>
      <c r="M657" t="n">
        <v>0</v>
      </c>
      <c r="N657" t="n">
        <v>0</v>
      </c>
      <c r="O657" t="n">
        <v>0</v>
      </c>
      <c r="P657" t="n">
        <v>0</v>
      </c>
      <c r="Q657" t="n">
        <v>0</v>
      </c>
      <c r="R657" s="2" t="inlineStr"/>
    </row>
    <row r="658" ht="15" customHeight="1">
      <c r="A658" t="inlineStr">
        <is>
          <t>A 53046-2023</t>
        </is>
      </c>
      <c r="B658" s="1" t="n">
        <v>45226.96388888889</v>
      </c>
      <c r="C658" s="1" t="n">
        <v>45976</v>
      </c>
      <c r="D658" t="inlineStr">
        <is>
          <t>JÄMTLANDS LÄN</t>
        </is>
      </c>
      <c r="E658" t="inlineStr">
        <is>
          <t>BRÄCKE</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54243-2022</t>
        </is>
      </c>
      <c r="B659" s="1" t="n">
        <v>44881</v>
      </c>
      <c r="C659" s="1" t="n">
        <v>45976</v>
      </c>
      <c r="D659" t="inlineStr">
        <is>
          <t>JÄMTLANDS LÄN</t>
        </is>
      </c>
      <c r="E659" t="inlineStr">
        <is>
          <t>BRÄCKE</t>
        </is>
      </c>
      <c r="F659" t="inlineStr">
        <is>
          <t>SCA</t>
        </is>
      </c>
      <c r="G659" t="n">
        <v>0.6</v>
      </c>
      <c r="H659" t="n">
        <v>0</v>
      </c>
      <c r="I659" t="n">
        <v>0</v>
      </c>
      <c r="J659" t="n">
        <v>0</v>
      </c>
      <c r="K659" t="n">
        <v>0</v>
      </c>
      <c r="L659" t="n">
        <v>0</v>
      </c>
      <c r="M659" t="n">
        <v>0</v>
      </c>
      <c r="N659" t="n">
        <v>0</v>
      </c>
      <c r="O659" t="n">
        <v>0</v>
      </c>
      <c r="P659" t="n">
        <v>0</v>
      </c>
      <c r="Q659" t="n">
        <v>0</v>
      </c>
      <c r="R659" s="2" t="inlineStr"/>
    </row>
    <row r="660" ht="15" customHeight="1">
      <c r="A660" t="inlineStr">
        <is>
          <t>A 31471-2023</t>
        </is>
      </c>
      <c r="B660" s="1" t="n">
        <v>45104</v>
      </c>
      <c r="C660" s="1" t="n">
        <v>45976</v>
      </c>
      <c r="D660" t="inlineStr">
        <is>
          <t>JÄMTLANDS LÄN</t>
        </is>
      </c>
      <c r="E660" t="inlineStr">
        <is>
          <t>BRÄCKE</t>
        </is>
      </c>
      <c r="G660" t="n">
        <v>0.3</v>
      </c>
      <c r="H660" t="n">
        <v>0</v>
      </c>
      <c r="I660" t="n">
        <v>0</v>
      </c>
      <c r="J660" t="n">
        <v>0</v>
      </c>
      <c r="K660" t="n">
        <v>0</v>
      </c>
      <c r="L660" t="n">
        <v>0</v>
      </c>
      <c r="M660" t="n">
        <v>0</v>
      </c>
      <c r="N660" t="n">
        <v>0</v>
      </c>
      <c r="O660" t="n">
        <v>0</v>
      </c>
      <c r="P660" t="n">
        <v>0</v>
      </c>
      <c r="Q660" t="n">
        <v>0</v>
      </c>
      <c r="R660" s="2" t="inlineStr"/>
    </row>
    <row r="661" ht="15" customHeight="1">
      <c r="A661" t="inlineStr">
        <is>
          <t>A 14492-2024</t>
        </is>
      </c>
      <c r="B661" s="1" t="n">
        <v>45394.58215277778</v>
      </c>
      <c r="C661" s="1" t="n">
        <v>45976</v>
      </c>
      <c r="D661" t="inlineStr">
        <is>
          <t>JÄMTLANDS LÄN</t>
        </is>
      </c>
      <c r="E661" t="inlineStr">
        <is>
          <t>BRÄCKE</t>
        </is>
      </c>
      <c r="G661" t="n">
        <v>16.6</v>
      </c>
      <c r="H661" t="n">
        <v>0</v>
      </c>
      <c r="I661" t="n">
        <v>0</v>
      </c>
      <c r="J661" t="n">
        <v>0</v>
      </c>
      <c r="K661" t="n">
        <v>0</v>
      </c>
      <c r="L661" t="n">
        <v>0</v>
      </c>
      <c r="M661" t="n">
        <v>0</v>
      </c>
      <c r="N661" t="n">
        <v>0</v>
      </c>
      <c r="O661" t="n">
        <v>0</v>
      </c>
      <c r="P661" t="n">
        <v>0</v>
      </c>
      <c r="Q661" t="n">
        <v>0</v>
      </c>
      <c r="R661" s="2" t="inlineStr"/>
    </row>
    <row r="662" ht="15" customHeight="1">
      <c r="A662" t="inlineStr">
        <is>
          <t>A 41923-2023</t>
        </is>
      </c>
      <c r="B662" s="1" t="n">
        <v>45176</v>
      </c>
      <c r="C662" s="1" t="n">
        <v>45976</v>
      </c>
      <c r="D662" t="inlineStr">
        <is>
          <t>JÄMTLANDS LÄN</t>
        </is>
      </c>
      <c r="E662" t="inlineStr">
        <is>
          <t>BRÄCKE</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17973-2025</t>
        </is>
      </c>
      <c r="B663" s="1" t="n">
        <v>45761.36490740741</v>
      </c>
      <c r="C663" s="1" t="n">
        <v>45976</v>
      </c>
      <c r="D663" t="inlineStr">
        <is>
          <t>JÄMTLANDS LÄN</t>
        </is>
      </c>
      <c r="E663" t="inlineStr">
        <is>
          <t>BRÄCKE</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17977-2025</t>
        </is>
      </c>
      <c r="B664" s="1" t="n">
        <v>45761.36550925926</v>
      </c>
      <c r="C664" s="1" t="n">
        <v>45976</v>
      </c>
      <c r="D664" t="inlineStr">
        <is>
          <t>JÄMTLANDS LÄN</t>
        </is>
      </c>
      <c r="E664" t="inlineStr">
        <is>
          <t>BRÄCKE</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54568-2022</t>
        </is>
      </c>
      <c r="B665" s="1" t="n">
        <v>44882.95480324074</v>
      </c>
      <c r="C665" s="1" t="n">
        <v>45976</v>
      </c>
      <c r="D665" t="inlineStr">
        <is>
          <t>JÄMTLANDS LÄN</t>
        </is>
      </c>
      <c r="E665" t="inlineStr">
        <is>
          <t>BRÄCKE</t>
        </is>
      </c>
      <c r="F665" t="inlineStr">
        <is>
          <t>SCA</t>
        </is>
      </c>
      <c r="G665" t="n">
        <v>2.7</v>
      </c>
      <c r="H665" t="n">
        <v>0</v>
      </c>
      <c r="I665" t="n">
        <v>0</v>
      </c>
      <c r="J665" t="n">
        <v>0</v>
      </c>
      <c r="K665" t="n">
        <v>0</v>
      </c>
      <c r="L665" t="n">
        <v>0</v>
      </c>
      <c r="M665" t="n">
        <v>0</v>
      </c>
      <c r="N665" t="n">
        <v>0</v>
      </c>
      <c r="O665" t="n">
        <v>0</v>
      </c>
      <c r="P665" t="n">
        <v>0</v>
      </c>
      <c r="Q665" t="n">
        <v>0</v>
      </c>
      <c r="R665" s="2" t="inlineStr"/>
    </row>
    <row r="666" ht="15" customHeight="1">
      <c r="A666" t="inlineStr">
        <is>
          <t>A 29323-2023</t>
        </is>
      </c>
      <c r="B666" s="1" t="n">
        <v>45105</v>
      </c>
      <c r="C666" s="1" t="n">
        <v>45976</v>
      </c>
      <c r="D666" t="inlineStr">
        <is>
          <t>JÄMTLANDS LÄN</t>
        </is>
      </c>
      <c r="E666" t="inlineStr">
        <is>
          <t>BRÄCKE</t>
        </is>
      </c>
      <c r="F666" t="inlineStr">
        <is>
          <t>SCA</t>
        </is>
      </c>
      <c r="G666" t="n">
        <v>3.4</v>
      </c>
      <c r="H666" t="n">
        <v>0</v>
      </c>
      <c r="I666" t="n">
        <v>0</v>
      </c>
      <c r="J666" t="n">
        <v>0</v>
      </c>
      <c r="K666" t="n">
        <v>0</v>
      </c>
      <c r="L666" t="n">
        <v>0</v>
      </c>
      <c r="M666" t="n">
        <v>0</v>
      </c>
      <c r="N666" t="n">
        <v>0</v>
      </c>
      <c r="O666" t="n">
        <v>0</v>
      </c>
      <c r="P666" t="n">
        <v>0</v>
      </c>
      <c r="Q666" t="n">
        <v>0</v>
      </c>
      <c r="R666" s="2" t="inlineStr"/>
    </row>
    <row r="667" ht="15" customHeight="1">
      <c r="A667" t="inlineStr">
        <is>
          <t>A 18640-2024</t>
        </is>
      </c>
      <c r="B667" s="1" t="n">
        <v>45425.96644675926</v>
      </c>
      <c r="C667" s="1" t="n">
        <v>45976</v>
      </c>
      <c r="D667" t="inlineStr">
        <is>
          <t>JÄMTLANDS LÄN</t>
        </is>
      </c>
      <c r="E667" t="inlineStr">
        <is>
          <t>BRÄCKE</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41418-2024</t>
        </is>
      </c>
      <c r="B668" s="1" t="n">
        <v>45560.34599537037</v>
      </c>
      <c r="C668" s="1" t="n">
        <v>45976</v>
      </c>
      <c r="D668" t="inlineStr">
        <is>
          <t>JÄMTLANDS LÄN</t>
        </is>
      </c>
      <c r="E668" t="inlineStr">
        <is>
          <t>BRÄCKE</t>
        </is>
      </c>
      <c r="F668" t="inlineStr">
        <is>
          <t>SCA</t>
        </is>
      </c>
      <c r="G668" t="n">
        <v>0.5</v>
      </c>
      <c r="H668" t="n">
        <v>0</v>
      </c>
      <c r="I668" t="n">
        <v>0</v>
      </c>
      <c r="J668" t="n">
        <v>0</v>
      </c>
      <c r="K668" t="n">
        <v>0</v>
      </c>
      <c r="L668" t="n">
        <v>0</v>
      </c>
      <c r="M668" t="n">
        <v>0</v>
      </c>
      <c r="N668" t="n">
        <v>0</v>
      </c>
      <c r="O668" t="n">
        <v>0</v>
      </c>
      <c r="P668" t="n">
        <v>0</v>
      </c>
      <c r="Q668" t="n">
        <v>0</v>
      </c>
      <c r="R668" s="2" t="inlineStr"/>
    </row>
    <row r="669" ht="15" customHeight="1">
      <c r="A669" t="inlineStr">
        <is>
          <t>A 41419-2024</t>
        </is>
      </c>
      <c r="B669" s="1" t="n">
        <v>45560</v>
      </c>
      <c r="C669" s="1" t="n">
        <v>45976</v>
      </c>
      <c r="D669" t="inlineStr">
        <is>
          <t>JÄMTLANDS LÄN</t>
        </is>
      </c>
      <c r="E669" t="inlineStr">
        <is>
          <t>BRÄCKE</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25676-2023</t>
        </is>
      </c>
      <c r="B670" s="1" t="n">
        <v>45089.93925925926</v>
      </c>
      <c r="C670" s="1" t="n">
        <v>45976</v>
      </c>
      <c r="D670" t="inlineStr">
        <is>
          <t>JÄMTLANDS LÄN</t>
        </is>
      </c>
      <c r="E670" t="inlineStr">
        <is>
          <t>BRÄCKE</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39930-2022</t>
        </is>
      </c>
      <c r="B671" s="1" t="n">
        <v>44819</v>
      </c>
      <c r="C671" s="1" t="n">
        <v>45976</v>
      </c>
      <c r="D671" t="inlineStr">
        <is>
          <t>JÄMTLANDS LÄN</t>
        </is>
      </c>
      <c r="E671" t="inlineStr">
        <is>
          <t>BRÄCKE</t>
        </is>
      </c>
      <c r="F671" t="inlineStr">
        <is>
          <t>SCA</t>
        </is>
      </c>
      <c r="G671" t="n">
        <v>7.6</v>
      </c>
      <c r="H671" t="n">
        <v>0</v>
      </c>
      <c r="I671" t="n">
        <v>0</v>
      </c>
      <c r="J671" t="n">
        <v>0</v>
      </c>
      <c r="K671" t="n">
        <v>0</v>
      </c>
      <c r="L671" t="n">
        <v>0</v>
      </c>
      <c r="M671" t="n">
        <v>0</v>
      </c>
      <c r="N671" t="n">
        <v>0</v>
      </c>
      <c r="O671" t="n">
        <v>0</v>
      </c>
      <c r="P671" t="n">
        <v>0</v>
      </c>
      <c r="Q671" t="n">
        <v>0</v>
      </c>
      <c r="R671" s="2" t="inlineStr"/>
    </row>
    <row r="672" ht="15" customHeight="1">
      <c r="A672" t="inlineStr">
        <is>
          <t>A 16462-2024</t>
        </is>
      </c>
      <c r="B672" s="1" t="n">
        <v>45408.05018518519</v>
      </c>
      <c r="C672" s="1" t="n">
        <v>45976</v>
      </c>
      <c r="D672" t="inlineStr">
        <is>
          <t>JÄMTLANDS LÄN</t>
        </is>
      </c>
      <c r="E672" t="inlineStr">
        <is>
          <t>BRÄCKE</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41450-2024</t>
        </is>
      </c>
      <c r="B673" s="1" t="n">
        <v>45560.40653935185</v>
      </c>
      <c r="C673" s="1" t="n">
        <v>45976</v>
      </c>
      <c r="D673" t="inlineStr">
        <is>
          <t>JÄMTLANDS LÄN</t>
        </is>
      </c>
      <c r="E673" t="inlineStr">
        <is>
          <t>BRÄCKE</t>
        </is>
      </c>
      <c r="G673" t="n">
        <v>7.5</v>
      </c>
      <c r="H673" t="n">
        <v>0</v>
      </c>
      <c r="I673" t="n">
        <v>0</v>
      </c>
      <c r="J673" t="n">
        <v>0</v>
      </c>
      <c r="K673" t="n">
        <v>0</v>
      </c>
      <c r="L673" t="n">
        <v>0</v>
      </c>
      <c r="M673" t="n">
        <v>0</v>
      </c>
      <c r="N673" t="n">
        <v>0</v>
      </c>
      <c r="O673" t="n">
        <v>0</v>
      </c>
      <c r="P673" t="n">
        <v>0</v>
      </c>
      <c r="Q673" t="n">
        <v>0</v>
      </c>
      <c r="R673" s="2" t="inlineStr"/>
    </row>
    <row r="674" ht="15" customHeight="1">
      <c r="A674" t="inlineStr">
        <is>
          <t>A 14373-2024</t>
        </is>
      </c>
      <c r="B674" s="1" t="n">
        <v>45393</v>
      </c>
      <c r="C674" s="1" t="n">
        <v>45976</v>
      </c>
      <c r="D674" t="inlineStr">
        <is>
          <t>JÄMTLANDS LÄN</t>
        </is>
      </c>
      <c r="E674" t="inlineStr">
        <is>
          <t>BRÄCKE</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38847-2025</t>
        </is>
      </c>
      <c r="B675" s="1" t="n">
        <v>45887.54438657407</v>
      </c>
      <c r="C675" s="1" t="n">
        <v>45976</v>
      </c>
      <c r="D675" t="inlineStr">
        <is>
          <t>JÄMTLANDS LÄN</t>
        </is>
      </c>
      <c r="E675" t="inlineStr">
        <is>
          <t>BRÄCKE</t>
        </is>
      </c>
      <c r="G675" t="n">
        <v>4</v>
      </c>
      <c r="H675" t="n">
        <v>0</v>
      </c>
      <c r="I675" t="n">
        <v>0</v>
      </c>
      <c r="J675" t="n">
        <v>0</v>
      </c>
      <c r="K675" t="n">
        <v>0</v>
      </c>
      <c r="L675" t="n">
        <v>0</v>
      </c>
      <c r="M675" t="n">
        <v>0</v>
      </c>
      <c r="N675" t="n">
        <v>0</v>
      </c>
      <c r="O675" t="n">
        <v>0</v>
      </c>
      <c r="P675" t="n">
        <v>0</v>
      </c>
      <c r="Q675" t="n">
        <v>0</v>
      </c>
      <c r="R675" s="2" t="inlineStr"/>
    </row>
    <row r="676" ht="15" customHeight="1">
      <c r="A676" t="inlineStr">
        <is>
          <t>A 49085-2023</t>
        </is>
      </c>
      <c r="B676" s="1" t="n">
        <v>45204</v>
      </c>
      <c r="C676" s="1" t="n">
        <v>45976</v>
      </c>
      <c r="D676" t="inlineStr">
        <is>
          <t>JÄMTLANDS LÄN</t>
        </is>
      </c>
      <c r="E676" t="inlineStr">
        <is>
          <t>BRÄCKE</t>
        </is>
      </c>
      <c r="G676" t="n">
        <v>2.1</v>
      </c>
      <c r="H676" t="n">
        <v>0</v>
      </c>
      <c r="I676" t="n">
        <v>0</v>
      </c>
      <c r="J676" t="n">
        <v>0</v>
      </c>
      <c r="K676" t="n">
        <v>0</v>
      </c>
      <c r="L676" t="n">
        <v>0</v>
      </c>
      <c r="M676" t="n">
        <v>0</v>
      </c>
      <c r="N676" t="n">
        <v>0</v>
      </c>
      <c r="O676" t="n">
        <v>0</v>
      </c>
      <c r="P676" t="n">
        <v>0</v>
      </c>
      <c r="Q676" t="n">
        <v>0</v>
      </c>
      <c r="R676" s="2" t="inlineStr"/>
    </row>
    <row r="677" ht="15" customHeight="1">
      <c r="A677" t="inlineStr">
        <is>
          <t>A 3787-2025</t>
        </is>
      </c>
      <c r="B677" s="1" t="n">
        <v>45681.6362037037</v>
      </c>
      <c r="C677" s="1" t="n">
        <v>45976</v>
      </c>
      <c r="D677" t="inlineStr">
        <is>
          <t>JÄMTLANDS LÄN</t>
        </is>
      </c>
      <c r="E677" t="inlineStr">
        <is>
          <t>BRÄCKE</t>
        </is>
      </c>
      <c r="F677" t="inlineStr">
        <is>
          <t>SCA</t>
        </is>
      </c>
      <c r="G677" t="n">
        <v>6.8</v>
      </c>
      <c r="H677" t="n">
        <v>0</v>
      </c>
      <c r="I677" t="n">
        <v>0</v>
      </c>
      <c r="J677" t="n">
        <v>0</v>
      </c>
      <c r="K677" t="n">
        <v>0</v>
      </c>
      <c r="L677" t="n">
        <v>0</v>
      </c>
      <c r="M677" t="n">
        <v>0</v>
      </c>
      <c r="N677" t="n">
        <v>0</v>
      </c>
      <c r="O677" t="n">
        <v>0</v>
      </c>
      <c r="P677" t="n">
        <v>0</v>
      </c>
      <c r="Q677" t="n">
        <v>0</v>
      </c>
      <c r="R677" s="2" t="inlineStr"/>
    </row>
    <row r="678" ht="15" customHeight="1">
      <c r="A678" t="inlineStr">
        <is>
          <t>A 58547-2022</t>
        </is>
      </c>
      <c r="B678" s="1" t="n">
        <v>44894</v>
      </c>
      <c r="C678" s="1" t="n">
        <v>45976</v>
      </c>
      <c r="D678" t="inlineStr">
        <is>
          <t>JÄMTLANDS LÄN</t>
        </is>
      </c>
      <c r="E678" t="inlineStr">
        <is>
          <t>BRÄCKE</t>
        </is>
      </c>
      <c r="G678" t="n">
        <v>0.6</v>
      </c>
      <c r="H678" t="n">
        <v>0</v>
      </c>
      <c r="I678" t="n">
        <v>0</v>
      </c>
      <c r="J678" t="n">
        <v>0</v>
      </c>
      <c r="K678" t="n">
        <v>0</v>
      </c>
      <c r="L678" t="n">
        <v>0</v>
      </c>
      <c r="M678" t="n">
        <v>0</v>
      </c>
      <c r="N678" t="n">
        <v>0</v>
      </c>
      <c r="O678" t="n">
        <v>0</v>
      </c>
      <c r="P678" t="n">
        <v>0</v>
      </c>
      <c r="Q678" t="n">
        <v>0</v>
      </c>
      <c r="R678" s="2" t="inlineStr"/>
    </row>
    <row r="679" ht="15" customHeight="1">
      <c r="A679" t="inlineStr">
        <is>
          <t>A 10769-2025</t>
        </is>
      </c>
      <c r="B679" s="1" t="n">
        <v>45722.4690625</v>
      </c>
      <c r="C679" s="1" t="n">
        <v>45976</v>
      </c>
      <c r="D679" t="inlineStr">
        <is>
          <t>JÄMTLANDS LÄN</t>
        </is>
      </c>
      <c r="E679" t="inlineStr">
        <is>
          <t>BRÄCKE</t>
        </is>
      </c>
      <c r="F679" t="inlineStr">
        <is>
          <t>SCA</t>
        </is>
      </c>
      <c r="G679" t="n">
        <v>18.7</v>
      </c>
      <c r="H679" t="n">
        <v>0</v>
      </c>
      <c r="I679" t="n">
        <v>0</v>
      </c>
      <c r="J679" t="n">
        <v>0</v>
      </c>
      <c r="K679" t="n">
        <v>0</v>
      </c>
      <c r="L679" t="n">
        <v>0</v>
      </c>
      <c r="M679" t="n">
        <v>0</v>
      </c>
      <c r="N679" t="n">
        <v>0</v>
      </c>
      <c r="O679" t="n">
        <v>0</v>
      </c>
      <c r="P679" t="n">
        <v>0</v>
      </c>
      <c r="Q679" t="n">
        <v>0</v>
      </c>
      <c r="R679" s="2" t="inlineStr"/>
    </row>
    <row r="680" ht="15" customHeight="1">
      <c r="A680" t="inlineStr">
        <is>
          <t>A 13083-2025</t>
        </is>
      </c>
      <c r="B680" s="1" t="n">
        <v>45734</v>
      </c>
      <c r="C680" s="1" t="n">
        <v>45976</v>
      </c>
      <c r="D680" t="inlineStr">
        <is>
          <t>JÄMTLANDS LÄN</t>
        </is>
      </c>
      <c r="E680" t="inlineStr">
        <is>
          <t>BRÄCKE</t>
        </is>
      </c>
      <c r="G680" t="n">
        <v>5.7</v>
      </c>
      <c r="H680" t="n">
        <v>0</v>
      </c>
      <c r="I680" t="n">
        <v>0</v>
      </c>
      <c r="J680" t="n">
        <v>0</v>
      </c>
      <c r="K680" t="n">
        <v>0</v>
      </c>
      <c r="L680" t="n">
        <v>0</v>
      </c>
      <c r="M680" t="n">
        <v>0</v>
      </c>
      <c r="N680" t="n">
        <v>0</v>
      </c>
      <c r="O680" t="n">
        <v>0</v>
      </c>
      <c r="P680" t="n">
        <v>0</v>
      </c>
      <c r="Q680" t="n">
        <v>0</v>
      </c>
      <c r="R680" s="2" t="inlineStr"/>
    </row>
    <row r="681" ht="15" customHeight="1">
      <c r="A681" t="inlineStr">
        <is>
          <t>A 58776-2023</t>
        </is>
      </c>
      <c r="B681" s="1" t="n">
        <v>45251.96740740741</v>
      </c>
      <c r="C681" s="1" t="n">
        <v>45976</v>
      </c>
      <c r="D681" t="inlineStr">
        <is>
          <t>JÄMTLANDS LÄN</t>
        </is>
      </c>
      <c r="E681" t="inlineStr">
        <is>
          <t>BRÄCKE</t>
        </is>
      </c>
      <c r="F681" t="inlineStr">
        <is>
          <t>SCA</t>
        </is>
      </c>
      <c r="G681" t="n">
        <v>4.7</v>
      </c>
      <c r="H681" t="n">
        <v>0</v>
      </c>
      <c r="I681" t="n">
        <v>0</v>
      </c>
      <c r="J681" t="n">
        <v>0</v>
      </c>
      <c r="K681" t="n">
        <v>0</v>
      </c>
      <c r="L681" t="n">
        <v>0</v>
      </c>
      <c r="M681" t="n">
        <v>0</v>
      </c>
      <c r="N681" t="n">
        <v>0</v>
      </c>
      <c r="O681" t="n">
        <v>0</v>
      </c>
      <c r="P681" t="n">
        <v>0</v>
      </c>
      <c r="Q681" t="n">
        <v>0</v>
      </c>
      <c r="R681" s="2" t="inlineStr"/>
    </row>
    <row r="682" ht="15" customHeight="1">
      <c r="A682" t="inlineStr">
        <is>
          <t>A 37959-2024</t>
        </is>
      </c>
      <c r="B682" s="1" t="n">
        <v>45544.53870370371</v>
      </c>
      <c r="C682" s="1" t="n">
        <v>45976</v>
      </c>
      <c r="D682" t="inlineStr">
        <is>
          <t>JÄMTLANDS LÄN</t>
        </is>
      </c>
      <c r="E682" t="inlineStr">
        <is>
          <t>BRÄCKE</t>
        </is>
      </c>
      <c r="G682" t="n">
        <v>6.5</v>
      </c>
      <c r="H682" t="n">
        <v>0</v>
      </c>
      <c r="I682" t="n">
        <v>0</v>
      </c>
      <c r="J682" t="n">
        <v>0</v>
      </c>
      <c r="K682" t="n">
        <v>0</v>
      </c>
      <c r="L682" t="n">
        <v>0</v>
      </c>
      <c r="M682" t="n">
        <v>0</v>
      </c>
      <c r="N682" t="n">
        <v>0</v>
      </c>
      <c r="O682" t="n">
        <v>0</v>
      </c>
      <c r="P682" t="n">
        <v>0</v>
      </c>
      <c r="Q682" t="n">
        <v>0</v>
      </c>
      <c r="R682" s="2" t="inlineStr"/>
    </row>
    <row r="683" ht="15" customHeight="1">
      <c r="A683" t="inlineStr">
        <is>
          <t>A 17905-2025</t>
        </is>
      </c>
      <c r="B683" s="1" t="n">
        <v>45758.71907407408</v>
      </c>
      <c r="C683" s="1" t="n">
        <v>45976</v>
      </c>
      <c r="D683" t="inlineStr">
        <is>
          <t>JÄMTLANDS LÄN</t>
        </is>
      </c>
      <c r="E683" t="inlineStr">
        <is>
          <t>BRÄCKE</t>
        </is>
      </c>
      <c r="G683" t="n">
        <v>1.5</v>
      </c>
      <c r="H683" t="n">
        <v>0</v>
      </c>
      <c r="I683" t="n">
        <v>0</v>
      </c>
      <c r="J683" t="n">
        <v>0</v>
      </c>
      <c r="K683" t="n">
        <v>0</v>
      </c>
      <c r="L683" t="n">
        <v>0</v>
      </c>
      <c r="M683" t="n">
        <v>0</v>
      </c>
      <c r="N683" t="n">
        <v>0</v>
      </c>
      <c r="O683" t="n">
        <v>0</v>
      </c>
      <c r="P683" t="n">
        <v>0</v>
      </c>
      <c r="Q683" t="n">
        <v>0</v>
      </c>
      <c r="R683" s="2" t="inlineStr"/>
    </row>
    <row r="684" ht="15" customHeight="1">
      <c r="A684" t="inlineStr">
        <is>
          <t>A 8386-2025</t>
        </is>
      </c>
      <c r="B684" s="1" t="n">
        <v>45709.35850694445</v>
      </c>
      <c r="C684" s="1" t="n">
        <v>45976</v>
      </c>
      <c r="D684" t="inlineStr">
        <is>
          <t>JÄMTLANDS LÄN</t>
        </is>
      </c>
      <c r="E684" t="inlineStr">
        <is>
          <t>BRÄCKE</t>
        </is>
      </c>
      <c r="G684" t="n">
        <v>0.7</v>
      </c>
      <c r="H684" t="n">
        <v>0</v>
      </c>
      <c r="I684" t="n">
        <v>0</v>
      </c>
      <c r="J684" t="n">
        <v>0</v>
      </c>
      <c r="K684" t="n">
        <v>0</v>
      </c>
      <c r="L684" t="n">
        <v>0</v>
      </c>
      <c r="M684" t="n">
        <v>0</v>
      </c>
      <c r="N684" t="n">
        <v>0</v>
      </c>
      <c r="O684" t="n">
        <v>0</v>
      </c>
      <c r="P684" t="n">
        <v>0</v>
      </c>
      <c r="Q684" t="n">
        <v>0</v>
      </c>
      <c r="R684" s="2" t="inlineStr"/>
    </row>
    <row r="685" ht="15" customHeight="1">
      <c r="A685" t="inlineStr">
        <is>
          <t>A 59910-2022</t>
        </is>
      </c>
      <c r="B685" s="1" t="n">
        <v>44908</v>
      </c>
      <c r="C685" s="1" t="n">
        <v>45976</v>
      </c>
      <c r="D685" t="inlineStr">
        <is>
          <t>JÄMTLANDS LÄN</t>
        </is>
      </c>
      <c r="E685" t="inlineStr">
        <is>
          <t>BRÄCKE</t>
        </is>
      </c>
      <c r="F685" t="inlineStr">
        <is>
          <t>SCA</t>
        </is>
      </c>
      <c r="G685" t="n">
        <v>11.2</v>
      </c>
      <c r="H685" t="n">
        <v>0</v>
      </c>
      <c r="I685" t="n">
        <v>0</v>
      </c>
      <c r="J685" t="n">
        <v>0</v>
      </c>
      <c r="K685" t="n">
        <v>0</v>
      </c>
      <c r="L685" t="n">
        <v>0</v>
      </c>
      <c r="M685" t="n">
        <v>0</v>
      </c>
      <c r="N685" t="n">
        <v>0</v>
      </c>
      <c r="O685" t="n">
        <v>0</v>
      </c>
      <c r="P685" t="n">
        <v>0</v>
      </c>
      <c r="Q685" t="n">
        <v>0</v>
      </c>
      <c r="R685" s="2" t="inlineStr"/>
    </row>
    <row r="686" ht="15" customHeight="1">
      <c r="A686" t="inlineStr">
        <is>
          <t>A 59915-2022</t>
        </is>
      </c>
      <c r="B686" s="1" t="n">
        <v>44908.96019675926</v>
      </c>
      <c r="C686" s="1" t="n">
        <v>45976</v>
      </c>
      <c r="D686" t="inlineStr">
        <is>
          <t>JÄMTLANDS LÄN</t>
        </is>
      </c>
      <c r="E686" t="inlineStr">
        <is>
          <t>BRÄCKE</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39662-2024</t>
        </is>
      </c>
      <c r="B687" s="1" t="n">
        <v>45552.51068287037</v>
      </c>
      <c r="C687" s="1" t="n">
        <v>45976</v>
      </c>
      <c r="D687" t="inlineStr">
        <is>
          <t>JÄMTLANDS LÄN</t>
        </is>
      </c>
      <c r="E687" t="inlineStr">
        <is>
          <t>BRÄCKE</t>
        </is>
      </c>
      <c r="F687" t="inlineStr">
        <is>
          <t>SCA</t>
        </is>
      </c>
      <c r="G687" t="n">
        <v>11.3</v>
      </c>
      <c r="H687" t="n">
        <v>0</v>
      </c>
      <c r="I687" t="n">
        <v>0</v>
      </c>
      <c r="J687" t="n">
        <v>0</v>
      </c>
      <c r="K687" t="n">
        <v>0</v>
      </c>
      <c r="L687" t="n">
        <v>0</v>
      </c>
      <c r="M687" t="n">
        <v>0</v>
      </c>
      <c r="N687" t="n">
        <v>0</v>
      </c>
      <c r="O687" t="n">
        <v>0</v>
      </c>
      <c r="P687" t="n">
        <v>0</v>
      </c>
      <c r="Q687" t="n">
        <v>0</v>
      </c>
      <c r="R687" s="2" t="inlineStr"/>
    </row>
    <row r="688" ht="15" customHeight="1">
      <c r="A688" t="inlineStr">
        <is>
          <t>A 20276-2023</t>
        </is>
      </c>
      <c r="B688" s="1" t="n">
        <v>45055.94465277778</v>
      </c>
      <c r="C688" s="1" t="n">
        <v>45976</v>
      </c>
      <c r="D688" t="inlineStr">
        <is>
          <t>JÄMTLANDS LÄN</t>
        </is>
      </c>
      <c r="E688" t="inlineStr">
        <is>
          <t>BRÄCKE</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10857-2024</t>
        </is>
      </c>
      <c r="B689" s="1" t="n">
        <v>45370.01916666667</v>
      </c>
      <c r="C689" s="1" t="n">
        <v>45976</v>
      </c>
      <c r="D689" t="inlineStr">
        <is>
          <t>JÄMTLANDS LÄN</t>
        </is>
      </c>
      <c r="E689" t="inlineStr">
        <is>
          <t>BRÄCKE</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17606-2025</t>
        </is>
      </c>
      <c r="B690" s="1" t="n">
        <v>45757.73796296296</v>
      </c>
      <c r="C690" s="1" t="n">
        <v>45976</v>
      </c>
      <c r="D690" t="inlineStr">
        <is>
          <t>JÄMTLANDS LÄN</t>
        </is>
      </c>
      <c r="E690" t="inlineStr">
        <is>
          <t>BRÄCKE</t>
        </is>
      </c>
      <c r="G690" t="n">
        <v>1.5</v>
      </c>
      <c r="H690" t="n">
        <v>0</v>
      </c>
      <c r="I690" t="n">
        <v>0</v>
      </c>
      <c r="J690" t="n">
        <v>0</v>
      </c>
      <c r="K690" t="n">
        <v>0</v>
      </c>
      <c r="L690" t="n">
        <v>0</v>
      </c>
      <c r="M690" t="n">
        <v>0</v>
      </c>
      <c r="N690" t="n">
        <v>0</v>
      </c>
      <c r="O690" t="n">
        <v>0</v>
      </c>
      <c r="P690" t="n">
        <v>0</v>
      </c>
      <c r="Q690" t="n">
        <v>0</v>
      </c>
      <c r="R690" s="2" t="inlineStr"/>
    </row>
    <row r="691" ht="15" customHeight="1">
      <c r="A691" t="inlineStr">
        <is>
          <t>A 23534-2024</t>
        </is>
      </c>
      <c r="B691" s="1" t="n">
        <v>45453.95170138889</v>
      </c>
      <c r="C691" s="1" t="n">
        <v>45976</v>
      </c>
      <c r="D691" t="inlineStr">
        <is>
          <t>JÄMTLANDS LÄN</t>
        </is>
      </c>
      <c r="E691" t="inlineStr">
        <is>
          <t>BRÄCKE</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13095-2025</t>
        </is>
      </c>
      <c r="B692" s="1" t="n">
        <v>45734.65609953704</v>
      </c>
      <c r="C692" s="1" t="n">
        <v>45976</v>
      </c>
      <c r="D692" t="inlineStr">
        <is>
          <t>JÄMTLANDS LÄN</t>
        </is>
      </c>
      <c r="E692" t="inlineStr">
        <is>
          <t>BRÄCKE</t>
        </is>
      </c>
      <c r="G692" t="n">
        <v>7.9</v>
      </c>
      <c r="H692" t="n">
        <v>0</v>
      </c>
      <c r="I692" t="n">
        <v>0</v>
      </c>
      <c r="J692" t="n">
        <v>0</v>
      </c>
      <c r="K692" t="n">
        <v>0</v>
      </c>
      <c r="L692" t="n">
        <v>0</v>
      </c>
      <c r="M692" t="n">
        <v>0</v>
      </c>
      <c r="N692" t="n">
        <v>0</v>
      </c>
      <c r="O692" t="n">
        <v>0</v>
      </c>
      <c r="P692" t="n">
        <v>0</v>
      </c>
      <c r="Q692" t="n">
        <v>0</v>
      </c>
      <c r="R692" s="2" t="inlineStr"/>
    </row>
    <row r="693" ht="15" customHeight="1">
      <c r="A693" t="inlineStr">
        <is>
          <t>A 53578-2024</t>
        </is>
      </c>
      <c r="B693" s="1" t="n">
        <v>45614</v>
      </c>
      <c r="C693" s="1" t="n">
        <v>45976</v>
      </c>
      <c r="D693" t="inlineStr">
        <is>
          <t>JÄMTLANDS LÄN</t>
        </is>
      </c>
      <c r="E693" t="inlineStr">
        <is>
          <t>BRÄCKE</t>
        </is>
      </c>
      <c r="G693" t="n">
        <v>0.7</v>
      </c>
      <c r="H693" t="n">
        <v>0</v>
      </c>
      <c r="I693" t="n">
        <v>0</v>
      </c>
      <c r="J693" t="n">
        <v>0</v>
      </c>
      <c r="K693" t="n">
        <v>0</v>
      </c>
      <c r="L693" t="n">
        <v>0</v>
      </c>
      <c r="M693" t="n">
        <v>0</v>
      </c>
      <c r="N693" t="n">
        <v>0</v>
      </c>
      <c r="O693" t="n">
        <v>0</v>
      </c>
      <c r="P693" t="n">
        <v>0</v>
      </c>
      <c r="Q693" t="n">
        <v>0</v>
      </c>
      <c r="R693" s="2" t="inlineStr"/>
    </row>
    <row r="694" ht="15" customHeight="1">
      <c r="A694" t="inlineStr">
        <is>
          <t>A 58461-2023</t>
        </is>
      </c>
      <c r="B694" s="1" t="n">
        <v>45250</v>
      </c>
      <c r="C694" s="1" t="n">
        <v>45976</v>
      </c>
      <c r="D694" t="inlineStr">
        <is>
          <t>JÄMTLANDS LÄN</t>
        </is>
      </c>
      <c r="E694" t="inlineStr">
        <is>
          <t>BRÄCKE</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58467-2023</t>
        </is>
      </c>
      <c r="B695" s="1" t="n">
        <v>45250.96192129629</v>
      </c>
      <c r="C695" s="1" t="n">
        <v>45976</v>
      </c>
      <c r="D695" t="inlineStr">
        <is>
          <t>JÄMTLANDS LÄN</t>
        </is>
      </c>
      <c r="E695" t="inlineStr">
        <is>
          <t>BRÄCKE</t>
        </is>
      </c>
      <c r="F695" t="inlineStr">
        <is>
          <t>SCA</t>
        </is>
      </c>
      <c r="G695" t="n">
        <v>9.1</v>
      </c>
      <c r="H695" t="n">
        <v>0</v>
      </c>
      <c r="I695" t="n">
        <v>0</v>
      </c>
      <c r="J695" t="n">
        <v>0</v>
      </c>
      <c r="K695" t="n">
        <v>0</v>
      </c>
      <c r="L695" t="n">
        <v>0</v>
      </c>
      <c r="M695" t="n">
        <v>0</v>
      </c>
      <c r="N695" t="n">
        <v>0</v>
      </c>
      <c r="O695" t="n">
        <v>0</v>
      </c>
      <c r="P695" t="n">
        <v>0</v>
      </c>
      <c r="Q695" t="n">
        <v>0</v>
      </c>
      <c r="R695" s="2" t="inlineStr"/>
    </row>
    <row r="696" ht="15" customHeight="1">
      <c r="A696" t="inlineStr">
        <is>
          <t>A 56895-2021</t>
        </is>
      </c>
      <c r="B696" s="1" t="n">
        <v>44481.92086805555</v>
      </c>
      <c r="C696" s="1" t="n">
        <v>45976</v>
      </c>
      <c r="D696" t="inlineStr">
        <is>
          <t>JÄMTLANDS LÄN</t>
        </is>
      </c>
      <c r="E696" t="inlineStr">
        <is>
          <t>BRÄCKE</t>
        </is>
      </c>
      <c r="G696" t="n">
        <v>1.6</v>
      </c>
      <c r="H696" t="n">
        <v>0</v>
      </c>
      <c r="I696" t="n">
        <v>0</v>
      </c>
      <c r="J696" t="n">
        <v>0</v>
      </c>
      <c r="K696" t="n">
        <v>0</v>
      </c>
      <c r="L696" t="n">
        <v>0</v>
      </c>
      <c r="M696" t="n">
        <v>0</v>
      </c>
      <c r="N696" t="n">
        <v>0</v>
      </c>
      <c r="O696" t="n">
        <v>0</v>
      </c>
      <c r="P696" t="n">
        <v>0</v>
      </c>
      <c r="Q696" t="n">
        <v>0</v>
      </c>
      <c r="R696" s="2" t="inlineStr"/>
    </row>
    <row r="697" ht="15" customHeight="1">
      <c r="A697" t="inlineStr">
        <is>
          <t>A 31517-2024</t>
        </is>
      </c>
      <c r="B697" s="1" t="n">
        <v>45505</v>
      </c>
      <c r="C697" s="1" t="n">
        <v>45976</v>
      </c>
      <c r="D697" t="inlineStr">
        <is>
          <t>JÄMTLANDS LÄN</t>
        </is>
      </c>
      <c r="E697" t="inlineStr">
        <is>
          <t>BRÄCKE</t>
        </is>
      </c>
      <c r="F697" t="inlineStr">
        <is>
          <t>SCA</t>
        </is>
      </c>
      <c r="G697" t="n">
        <v>0.3</v>
      </c>
      <c r="H697" t="n">
        <v>0</v>
      </c>
      <c r="I697" t="n">
        <v>0</v>
      </c>
      <c r="J697" t="n">
        <v>0</v>
      </c>
      <c r="K697" t="n">
        <v>0</v>
      </c>
      <c r="L697" t="n">
        <v>0</v>
      </c>
      <c r="M697" t="n">
        <v>0</v>
      </c>
      <c r="N697" t="n">
        <v>0</v>
      </c>
      <c r="O697" t="n">
        <v>0</v>
      </c>
      <c r="P697" t="n">
        <v>0</v>
      </c>
      <c r="Q697" t="n">
        <v>0</v>
      </c>
      <c r="R697" s="2" t="inlineStr"/>
    </row>
    <row r="698" ht="15" customHeight="1">
      <c r="A698" t="inlineStr">
        <is>
          <t>A 23767-2023</t>
        </is>
      </c>
      <c r="B698" s="1" t="n">
        <v>45077</v>
      </c>
      <c r="C698" s="1" t="n">
        <v>45976</v>
      </c>
      <c r="D698" t="inlineStr">
        <is>
          <t>JÄMTLANDS LÄN</t>
        </is>
      </c>
      <c r="E698" t="inlineStr">
        <is>
          <t>BRÄCKE</t>
        </is>
      </c>
      <c r="F698" t="inlineStr">
        <is>
          <t>SCA</t>
        </is>
      </c>
      <c r="G698" t="n">
        <v>3.2</v>
      </c>
      <c r="H698" t="n">
        <v>0</v>
      </c>
      <c r="I698" t="n">
        <v>0</v>
      </c>
      <c r="J698" t="n">
        <v>0</v>
      </c>
      <c r="K698" t="n">
        <v>0</v>
      </c>
      <c r="L698" t="n">
        <v>0</v>
      </c>
      <c r="M698" t="n">
        <v>0</v>
      </c>
      <c r="N698" t="n">
        <v>0</v>
      </c>
      <c r="O698" t="n">
        <v>0</v>
      </c>
      <c r="P698" t="n">
        <v>0</v>
      </c>
      <c r="Q698" t="n">
        <v>0</v>
      </c>
      <c r="R698" s="2" t="inlineStr"/>
    </row>
    <row r="699" ht="15" customHeight="1">
      <c r="A699" t="inlineStr">
        <is>
          <t>A 23773-2023</t>
        </is>
      </c>
      <c r="B699" s="1" t="n">
        <v>45077.94631944445</v>
      </c>
      <c r="C699" s="1" t="n">
        <v>45976</v>
      </c>
      <c r="D699" t="inlineStr">
        <is>
          <t>JÄMTLANDS LÄN</t>
        </is>
      </c>
      <c r="E699" t="inlineStr">
        <is>
          <t>BRÄCKE</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2483-2025</t>
        </is>
      </c>
      <c r="B700" s="1" t="n">
        <v>45673</v>
      </c>
      <c r="C700" s="1" t="n">
        <v>45976</v>
      </c>
      <c r="D700" t="inlineStr">
        <is>
          <t>JÄMTLANDS LÄN</t>
        </is>
      </c>
      <c r="E700" t="inlineStr">
        <is>
          <t>BRÄCKE</t>
        </is>
      </c>
      <c r="G700" t="n">
        <v>6.3</v>
      </c>
      <c r="H700" t="n">
        <v>0</v>
      </c>
      <c r="I700" t="n">
        <v>0</v>
      </c>
      <c r="J700" t="n">
        <v>0</v>
      </c>
      <c r="K700" t="n">
        <v>0</v>
      </c>
      <c r="L700" t="n">
        <v>0</v>
      </c>
      <c r="M700" t="n">
        <v>0</v>
      </c>
      <c r="N700" t="n">
        <v>0</v>
      </c>
      <c r="O700" t="n">
        <v>0</v>
      </c>
      <c r="P700" t="n">
        <v>0</v>
      </c>
      <c r="Q700" t="n">
        <v>0</v>
      </c>
      <c r="R700" s="2" t="inlineStr"/>
    </row>
    <row r="701" ht="15" customHeight="1">
      <c r="A701" t="inlineStr">
        <is>
          <t>A 4887-2025</t>
        </is>
      </c>
      <c r="B701" s="1" t="n">
        <v>45688.67800925926</v>
      </c>
      <c r="C701" s="1" t="n">
        <v>45976</v>
      </c>
      <c r="D701" t="inlineStr">
        <is>
          <t>JÄMTLANDS LÄN</t>
        </is>
      </c>
      <c r="E701" t="inlineStr">
        <is>
          <t>BRÄCKE</t>
        </is>
      </c>
      <c r="F701" t="inlineStr">
        <is>
          <t>SCA</t>
        </is>
      </c>
      <c r="G701" t="n">
        <v>9.4</v>
      </c>
      <c r="H701" t="n">
        <v>0</v>
      </c>
      <c r="I701" t="n">
        <v>0</v>
      </c>
      <c r="J701" t="n">
        <v>0</v>
      </c>
      <c r="K701" t="n">
        <v>0</v>
      </c>
      <c r="L701" t="n">
        <v>0</v>
      </c>
      <c r="M701" t="n">
        <v>0</v>
      </c>
      <c r="N701" t="n">
        <v>0</v>
      </c>
      <c r="O701" t="n">
        <v>0</v>
      </c>
      <c r="P701" t="n">
        <v>0</v>
      </c>
      <c r="Q701" t="n">
        <v>0</v>
      </c>
      <c r="R701" s="2" t="inlineStr"/>
    </row>
    <row r="702" ht="15" customHeight="1">
      <c r="A702" t="inlineStr">
        <is>
          <t>A 4893-2025</t>
        </is>
      </c>
      <c r="B702" s="1" t="n">
        <v>45688.67871527778</v>
      </c>
      <c r="C702" s="1" t="n">
        <v>45976</v>
      </c>
      <c r="D702" t="inlineStr">
        <is>
          <t>JÄMTLANDS LÄN</t>
        </is>
      </c>
      <c r="E702" t="inlineStr">
        <is>
          <t>BRÄCKE</t>
        </is>
      </c>
      <c r="F702" t="inlineStr">
        <is>
          <t>SCA</t>
        </is>
      </c>
      <c r="G702" t="n">
        <v>4.4</v>
      </c>
      <c r="H702" t="n">
        <v>0</v>
      </c>
      <c r="I702" t="n">
        <v>0</v>
      </c>
      <c r="J702" t="n">
        <v>0</v>
      </c>
      <c r="K702" t="n">
        <v>0</v>
      </c>
      <c r="L702" t="n">
        <v>0</v>
      </c>
      <c r="M702" t="n">
        <v>0</v>
      </c>
      <c r="N702" t="n">
        <v>0</v>
      </c>
      <c r="O702" t="n">
        <v>0</v>
      </c>
      <c r="P702" t="n">
        <v>0</v>
      </c>
      <c r="Q702" t="n">
        <v>0</v>
      </c>
      <c r="R702" s="2" t="inlineStr"/>
    </row>
    <row r="703" ht="15" customHeight="1">
      <c r="A703" t="inlineStr">
        <is>
          <t>A 54328-2023</t>
        </is>
      </c>
      <c r="B703" s="1" t="n">
        <v>45232.95774305556</v>
      </c>
      <c r="C703" s="1" t="n">
        <v>45976</v>
      </c>
      <c r="D703" t="inlineStr">
        <is>
          <t>JÄMTLANDS LÄN</t>
        </is>
      </c>
      <c r="E703" t="inlineStr">
        <is>
          <t>BRÄCKE</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8891-2025</t>
        </is>
      </c>
      <c r="B704" s="1" t="n">
        <v>45713.39917824074</v>
      </c>
      <c r="C704" s="1" t="n">
        <v>45976</v>
      </c>
      <c r="D704" t="inlineStr">
        <is>
          <t>JÄMTLANDS LÄN</t>
        </is>
      </c>
      <c r="E704" t="inlineStr">
        <is>
          <t>BRÄCKE</t>
        </is>
      </c>
      <c r="G704" t="n">
        <v>1</v>
      </c>
      <c r="H704" t="n">
        <v>0</v>
      </c>
      <c r="I704" t="n">
        <v>0</v>
      </c>
      <c r="J704" t="n">
        <v>0</v>
      </c>
      <c r="K704" t="n">
        <v>0</v>
      </c>
      <c r="L704" t="n">
        <v>0</v>
      </c>
      <c r="M704" t="n">
        <v>0</v>
      </c>
      <c r="N704" t="n">
        <v>0</v>
      </c>
      <c r="O704" t="n">
        <v>0</v>
      </c>
      <c r="P704" t="n">
        <v>0</v>
      </c>
      <c r="Q704" t="n">
        <v>0</v>
      </c>
      <c r="R704" s="2" t="inlineStr"/>
    </row>
    <row r="705" ht="15" customHeight="1">
      <c r="A705" t="inlineStr">
        <is>
          <t>A 38775-2025</t>
        </is>
      </c>
      <c r="B705" s="1" t="n">
        <v>45887.42667824074</v>
      </c>
      <c r="C705" s="1" t="n">
        <v>45976</v>
      </c>
      <c r="D705" t="inlineStr">
        <is>
          <t>JÄMTLANDS LÄN</t>
        </is>
      </c>
      <c r="E705" t="inlineStr">
        <is>
          <t>BRÄCKE</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38280-2021</t>
        </is>
      </c>
      <c r="B706" s="1" t="n">
        <v>44405</v>
      </c>
      <c r="C706" s="1" t="n">
        <v>45976</v>
      </c>
      <c r="D706" t="inlineStr">
        <is>
          <t>JÄMTLANDS LÄN</t>
        </is>
      </c>
      <c r="E706" t="inlineStr">
        <is>
          <t>BRÄCKE</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54600-2023</t>
        </is>
      </c>
      <c r="B707" s="1" t="n">
        <v>45233.95663194444</v>
      </c>
      <c r="C707" s="1" t="n">
        <v>45976</v>
      </c>
      <c r="D707" t="inlineStr">
        <is>
          <t>JÄMTLANDS LÄN</t>
        </is>
      </c>
      <c r="E707" t="inlineStr">
        <is>
          <t>BRÄCKE</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26923-2024</t>
        </is>
      </c>
      <c r="B708" s="1" t="n">
        <v>45470.93094907407</v>
      </c>
      <c r="C708" s="1" t="n">
        <v>45976</v>
      </c>
      <c r="D708" t="inlineStr">
        <is>
          <t>JÄMTLANDS LÄN</t>
        </is>
      </c>
      <c r="E708" t="inlineStr">
        <is>
          <t>BRÄCKE</t>
        </is>
      </c>
      <c r="G708" t="n">
        <v>2.7</v>
      </c>
      <c r="H708" t="n">
        <v>0</v>
      </c>
      <c r="I708" t="n">
        <v>0</v>
      </c>
      <c r="J708" t="n">
        <v>0</v>
      </c>
      <c r="K708" t="n">
        <v>0</v>
      </c>
      <c r="L708" t="n">
        <v>0</v>
      </c>
      <c r="M708" t="n">
        <v>0</v>
      </c>
      <c r="N708" t="n">
        <v>0</v>
      </c>
      <c r="O708" t="n">
        <v>0</v>
      </c>
      <c r="P708" t="n">
        <v>0</v>
      </c>
      <c r="Q708" t="n">
        <v>0</v>
      </c>
      <c r="R708" s="2" t="inlineStr"/>
    </row>
    <row r="709" ht="15" customHeight="1">
      <c r="A709" t="inlineStr">
        <is>
          <t>A 4861-2025</t>
        </is>
      </c>
      <c r="B709" s="1" t="n">
        <v>45688.67481481482</v>
      </c>
      <c r="C709" s="1" t="n">
        <v>45976</v>
      </c>
      <c r="D709" t="inlineStr">
        <is>
          <t>JÄMTLANDS LÄN</t>
        </is>
      </c>
      <c r="E709" t="inlineStr">
        <is>
          <t>BRÄCKE</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29314-2021</t>
        </is>
      </c>
      <c r="B710" s="1" t="n">
        <v>44361</v>
      </c>
      <c r="C710" s="1" t="n">
        <v>45976</v>
      </c>
      <c r="D710" t="inlineStr">
        <is>
          <t>JÄMTLANDS LÄN</t>
        </is>
      </c>
      <c r="E710" t="inlineStr">
        <is>
          <t>BRÄCKE</t>
        </is>
      </c>
      <c r="G710" t="n">
        <v>9.6</v>
      </c>
      <c r="H710" t="n">
        <v>0</v>
      </c>
      <c r="I710" t="n">
        <v>0</v>
      </c>
      <c r="J710" t="n">
        <v>0</v>
      </c>
      <c r="K710" t="n">
        <v>0</v>
      </c>
      <c r="L710" t="n">
        <v>0</v>
      </c>
      <c r="M710" t="n">
        <v>0</v>
      </c>
      <c r="N710" t="n">
        <v>0</v>
      </c>
      <c r="O710" t="n">
        <v>0</v>
      </c>
      <c r="P710" t="n">
        <v>0</v>
      </c>
      <c r="Q710" t="n">
        <v>0</v>
      </c>
      <c r="R710" s="2" t="inlineStr"/>
    </row>
    <row r="711" ht="15" customHeight="1">
      <c r="A711" t="inlineStr">
        <is>
          <t>A 37238-2023</t>
        </is>
      </c>
      <c r="B711" s="1" t="n">
        <v>45155.95366898148</v>
      </c>
      <c r="C711" s="1" t="n">
        <v>45976</v>
      </c>
      <c r="D711" t="inlineStr">
        <is>
          <t>JÄMTLANDS LÄN</t>
        </is>
      </c>
      <c r="E711" t="inlineStr">
        <is>
          <t>BRÄCKE</t>
        </is>
      </c>
      <c r="F711" t="inlineStr">
        <is>
          <t>SCA</t>
        </is>
      </c>
      <c r="G711" t="n">
        <v>3.8</v>
      </c>
      <c r="H711" t="n">
        <v>0</v>
      </c>
      <c r="I711" t="n">
        <v>0</v>
      </c>
      <c r="J711" t="n">
        <v>0</v>
      </c>
      <c r="K711" t="n">
        <v>0</v>
      </c>
      <c r="L711" t="n">
        <v>0</v>
      </c>
      <c r="M711" t="n">
        <v>0</v>
      </c>
      <c r="N711" t="n">
        <v>0</v>
      </c>
      <c r="O711" t="n">
        <v>0</v>
      </c>
      <c r="P711" t="n">
        <v>0</v>
      </c>
      <c r="Q711" t="n">
        <v>0</v>
      </c>
      <c r="R711" s="2" t="inlineStr"/>
    </row>
    <row r="712" ht="15" customHeight="1">
      <c r="A712" t="inlineStr">
        <is>
          <t>A 8422-2022</t>
        </is>
      </c>
      <c r="B712" s="1" t="n">
        <v>44610</v>
      </c>
      <c r="C712" s="1" t="n">
        <v>45976</v>
      </c>
      <c r="D712" t="inlineStr">
        <is>
          <t>JÄMTLANDS LÄN</t>
        </is>
      </c>
      <c r="E712" t="inlineStr">
        <is>
          <t>BRÄCKE</t>
        </is>
      </c>
      <c r="F712" t="inlineStr">
        <is>
          <t>SCA</t>
        </is>
      </c>
      <c r="G712" t="n">
        <v>0.5</v>
      </c>
      <c r="H712" t="n">
        <v>0</v>
      </c>
      <c r="I712" t="n">
        <v>0</v>
      </c>
      <c r="J712" t="n">
        <v>0</v>
      </c>
      <c r="K712" t="n">
        <v>0</v>
      </c>
      <c r="L712" t="n">
        <v>0</v>
      </c>
      <c r="M712" t="n">
        <v>0</v>
      </c>
      <c r="N712" t="n">
        <v>0</v>
      </c>
      <c r="O712" t="n">
        <v>0</v>
      </c>
      <c r="P712" t="n">
        <v>0</v>
      </c>
      <c r="Q712" t="n">
        <v>0</v>
      </c>
      <c r="R712" s="2" t="inlineStr"/>
    </row>
    <row r="713" ht="15" customHeight="1">
      <c r="A713" t="inlineStr">
        <is>
          <t>A 3031-2023</t>
        </is>
      </c>
      <c r="B713" s="1" t="n">
        <v>44945</v>
      </c>
      <c r="C713" s="1" t="n">
        <v>45976</v>
      </c>
      <c r="D713" t="inlineStr">
        <is>
          <t>JÄMTLANDS LÄN</t>
        </is>
      </c>
      <c r="E713" t="inlineStr">
        <is>
          <t>BRÄCKE</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3033-2023</t>
        </is>
      </c>
      <c r="B714" s="1" t="n">
        <v>44945</v>
      </c>
      <c r="C714" s="1" t="n">
        <v>45976</v>
      </c>
      <c r="D714" t="inlineStr">
        <is>
          <t>JÄMTLANDS LÄN</t>
        </is>
      </c>
      <c r="E714" t="inlineStr">
        <is>
          <t>BRÄCKE</t>
        </is>
      </c>
      <c r="F714" t="inlineStr">
        <is>
          <t>SCA</t>
        </is>
      </c>
      <c r="G714" t="n">
        <v>3.7</v>
      </c>
      <c r="H714" t="n">
        <v>0</v>
      </c>
      <c r="I714" t="n">
        <v>0</v>
      </c>
      <c r="J714" t="n">
        <v>0</v>
      </c>
      <c r="K714" t="n">
        <v>0</v>
      </c>
      <c r="L714" t="n">
        <v>0</v>
      </c>
      <c r="M714" t="n">
        <v>0</v>
      </c>
      <c r="N714" t="n">
        <v>0</v>
      </c>
      <c r="O714" t="n">
        <v>0</v>
      </c>
      <c r="P714" t="n">
        <v>0</v>
      </c>
      <c r="Q714" t="n">
        <v>0</v>
      </c>
      <c r="R714" s="2" t="inlineStr"/>
    </row>
    <row r="715" ht="15" customHeight="1">
      <c r="A715" t="inlineStr">
        <is>
          <t>A 3036-2023</t>
        </is>
      </c>
      <c r="B715" s="1" t="n">
        <v>44945.94201388889</v>
      </c>
      <c r="C715" s="1" t="n">
        <v>45976</v>
      </c>
      <c r="D715" t="inlineStr">
        <is>
          <t>JÄMTLANDS LÄN</t>
        </is>
      </c>
      <c r="E715" t="inlineStr">
        <is>
          <t>BRÄCKE</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38842-2025</t>
        </is>
      </c>
      <c r="B716" s="1" t="n">
        <v>45887.54003472222</v>
      </c>
      <c r="C716" s="1" t="n">
        <v>45976</v>
      </c>
      <c r="D716" t="inlineStr">
        <is>
          <t>JÄMTLANDS LÄN</t>
        </is>
      </c>
      <c r="E716" t="inlineStr">
        <is>
          <t>BRÄCKE</t>
        </is>
      </c>
      <c r="G716" t="n">
        <v>6.3</v>
      </c>
      <c r="H716" t="n">
        <v>0</v>
      </c>
      <c r="I716" t="n">
        <v>0</v>
      </c>
      <c r="J716" t="n">
        <v>0</v>
      </c>
      <c r="K716" t="n">
        <v>0</v>
      </c>
      <c r="L716" t="n">
        <v>0</v>
      </c>
      <c r="M716" t="n">
        <v>0</v>
      </c>
      <c r="N716" t="n">
        <v>0</v>
      </c>
      <c r="O716" t="n">
        <v>0</v>
      </c>
      <c r="P716" t="n">
        <v>0</v>
      </c>
      <c r="Q716" t="n">
        <v>0</v>
      </c>
      <c r="R716" s="2" t="inlineStr"/>
    </row>
    <row r="717" ht="15" customHeight="1">
      <c r="A717" t="inlineStr">
        <is>
          <t>A 38811-2025</t>
        </is>
      </c>
      <c r="B717" s="1" t="n">
        <v>45887.48994212963</v>
      </c>
      <c r="C717" s="1" t="n">
        <v>45976</v>
      </c>
      <c r="D717" t="inlineStr">
        <is>
          <t>JÄMTLANDS LÄN</t>
        </is>
      </c>
      <c r="E717" t="inlineStr">
        <is>
          <t>BRÄCKE</t>
        </is>
      </c>
      <c r="F717" t="inlineStr">
        <is>
          <t>SCA</t>
        </is>
      </c>
      <c r="G717" t="n">
        <v>2.3</v>
      </c>
      <c r="H717" t="n">
        <v>0</v>
      </c>
      <c r="I717" t="n">
        <v>0</v>
      </c>
      <c r="J717" t="n">
        <v>0</v>
      </c>
      <c r="K717" t="n">
        <v>0</v>
      </c>
      <c r="L717" t="n">
        <v>0</v>
      </c>
      <c r="M717" t="n">
        <v>0</v>
      </c>
      <c r="N717" t="n">
        <v>0</v>
      </c>
      <c r="O717" t="n">
        <v>0</v>
      </c>
      <c r="P717" t="n">
        <v>0</v>
      </c>
      <c r="Q717" t="n">
        <v>0</v>
      </c>
      <c r="R717" s="2" t="inlineStr"/>
    </row>
    <row r="718" ht="15" customHeight="1">
      <c r="A718" t="inlineStr">
        <is>
          <t>A 38812-2025</t>
        </is>
      </c>
      <c r="B718" s="1" t="n">
        <v>45887.49016203704</v>
      </c>
      <c r="C718" s="1" t="n">
        <v>45976</v>
      </c>
      <c r="D718" t="inlineStr">
        <is>
          <t>JÄMTLANDS LÄN</t>
        </is>
      </c>
      <c r="E718" t="inlineStr">
        <is>
          <t>BRÄCKE</t>
        </is>
      </c>
      <c r="F718" t="inlineStr">
        <is>
          <t>SCA</t>
        </is>
      </c>
      <c r="G718" t="n">
        <v>2.5</v>
      </c>
      <c r="H718" t="n">
        <v>0</v>
      </c>
      <c r="I718" t="n">
        <v>0</v>
      </c>
      <c r="J718" t="n">
        <v>0</v>
      </c>
      <c r="K718" t="n">
        <v>0</v>
      </c>
      <c r="L718" t="n">
        <v>0</v>
      </c>
      <c r="M718" t="n">
        <v>0</v>
      </c>
      <c r="N718" t="n">
        <v>0</v>
      </c>
      <c r="O718" t="n">
        <v>0</v>
      </c>
      <c r="P718" t="n">
        <v>0</v>
      </c>
      <c r="Q718" t="n">
        <v>0</v>
      </c>
      <c r="R718" s="2" t="inlineStr"/>
    </row>
    <row r="719" ht="15" customHeight="1">
      <c r="A719" t="inlineStr">
        <is>
          <t>A 38835-2025</t>
        </is>
      </c>
      <c r="B719" s="1" t="n">
        <v>45887.53195601852</v>
      </c>
      <c r="C719" s="1" t="n">
        <v>45976</v>
      </c>
      <c r="D719" t="inlineStr">
        <is>
          <t>JÄMTLANDS LÄN</t>
        </is>
      </c>
      <c r="E719" t="inlineStr">
        <is>
          <t>BRÄCKE</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20265-2023</t>
        </is>
      </c>
      <c r="B720" s="1" t="n">
        <v>45055.94337962963</v>
      </c>
      <c r="C720" s="1" t="n">
        <v>45976</v>
      </c>
      <c r="D720" t="inlineStr">
        <is>
          <t>JÄMTLANDS LÄN</t>
        </is>
      </c>
      <c r="E720" t="inlineStr">
        <is>
          <t>BRÄCKE</t>
        </is>
      </c>
      <c r="G720" t="n">
        <v>4.7</v>
      </c>
      <c r="H720" t="n">
        <v>0</v>
      </c>
      <c r="I720" t="n">
        <v>0</v>
      </c>
      <c r="J720" t="n">
        <v>0</v>
      </c>
      <c r="K720" t="n">
        <v>0</v>
      </c>
      <c r="L720" t="n">
        <v>0</v>
      </c>
      <c r="M720" t="n">
        <v>0</v>
      </c>
      <c r="N720" t="n">
        <v>0</v>
      </c>
      <c r="O720" t="n">
        <v>0</v>
      </c>
      <c r="P720" t="n">
        <v>0</v>
      </c>
      <c r="Q720" t="n">
        <v>0</v>
      </c>
      <c r="R720" s="2" t="inlineStr"/>
    </row>
    <row r="721" ht="15" customHeight="1">
      <c r="A721" t="inlineStr">
        <is>
          <t>A 13069-2025</t>
        </is>
      </c>
      <c r="B721" s="1" t="n">
        <v>45734.61494212963</v>
      </c>
      <c r="C721" s="1" t="n">
        <v>45976</v>
      </c>
      <c r="D721" t="inlineStr">
        <is>
          <t>JÄMTLANDS LÄN</t>
        </is>
      </c>
      <c r="E721" t="inlineStr">
        <is>
          <t>BRÄCKE</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13165-2025</t>
        </is>
      </c>
      <c r="B722" s="1" t="n">
        <v>45735.36491898148</v>
      </c>
      <c r="C722" s="1" t="n">
        <v>45976</v>
      </c>
      <c r="D722" t="inlineStr">
        <is>
          <t>JÄMTLANDS LÄN</t>
        </is>
      </c>
      <c r="E722" t="inlineStr">
        <is>
          <t>BRÄCKE</t>
        </is>
      </c>
      <c r="F722" t="inlineStr">
        <is>
          <t>SCA</t>
        </is>
      </c>
      <c r="G722" t="n">
        <v>9.1</v>
      </c>
      <c r="H722" t="n">
        <v>0</v>
      </c>
      <c r="I722" t="n">
        <v>0</v>
      </c>
      <c r="J722" t="n">
        <v>0</v>
      </c>
      <c r="K722" t="n">
        <v>0</v>
      </c>
      <c r="L722" t="n">
        <v>0</v>
      </c>
      <c r="M722" t="n">
        <v>0</v>
      </c>
      <c r="N722" t="n">
        <v>0</v>
      </c>
      <c r="O722" t="n">
        <v>0</v>
      </c>
      <c r="P722" t="n">
        <v>0</v>
      </c>
      <c r="Q722" t="n">
        <v>0</v>
      </c>
      <c r="R722" s="2" t="inlineStr"/>
    </row>
    <row r="723" ht="15" customHeight="1">
      <c r="A723" t="inlineStr">
        <is>
          <t>A 28077-2024</t>
        </is>
      </c>
      <c r="B723" s="1" t="n">
        <v>45476.58508101852</v>
      </c>
      <c r="C723" s="1" t="n">
        <v>45976</v>
      </c>
      <c r="D723" t="inlineStr">
        <is>
          <t>JÄMTLANDS LÄN</t>
        </is>
      </c>
      <c r="E723" t="inlineStr">
        <is>
          <t>BRÄCKE</t>
        </is>
      </c>
      <c r="G723" t="n">
        <v>18.3</v>
      </c>
      <c r="H723" t="n">
        <v>0</v>
      </c>
      <c r="I723" t="n">
        <v>0</v>
      </c>
      <c r="J723" t="n">
        <v>0</v>
      </c>
      <c r="K723" t="n">
        <v>0</v>
      </c>
      <c r="L723" t="n">
        <v>0</v>
      </c>
      <c r="M723" t="n">
        <v>0</v>
      </c>
      <c r="N723" t="n">
        <v>0</v>
      </c>
      <c r="O723" t="n">
        <v>0</v>
      </c>
      <c r="P723" t="n">
        <v>0</v>
      </c>
      <c r="Q723" t="n">
        <v>0</v>
      </c>
      <c r="R723" s="2" t="inlineStr"/>
    </row>
    <row r="724" ht="15" customHeight="1">
      <c r="A724" t="inlineStr">
        <is>
          <t>A 62074-2023</t>
        </is>
      </c>
      <c r="B724" s="1" t="n">
        <v>45266</v>
      </c>
      <c r="C724" s="1" t="n">
        <v>45976</v>
      </c>
      <c r="D724" t="inlineStr">
        <is>
          <t>JÄMTLANDS LÄN</t>
        </is>
      </c>
      <c r="E724" t="inlineStr">
        <is>
          <t>BRÄCKE</t>
        </is>
      </c>
      <c r="G724" t="n">
        <v>1.3</v>
      </c>
      <c r="H724" t="n">
        <v>0</v>
      </c>
      <c r="I724" t="n">
        <v>0</v>
      </c>
      <c r="J724" t="n">
        <v>0</v>
      </c>
      <c r="K724" t="n">
        <v>0</v>
      </c>
      <c r="L724" t="n">
        <v>0</v>
      </c>
      <c r="M724" t="n">
        <v>0</v>
      </c>
      <c r="N724" t="n">
        <v>0</v>
      </c>
      <c r="O724" t="n">
        <v>0</v>
      </c>
      <c r="P724" t="n">
        <v>0</v>
      </c>
      <c r="Q724" t="n">
        <v>0</v>
      </c>
      <c r="R724" s="2" t="inlineStr"/>
    </row>
    <row r="725" ht="15" customHeight="1">
      <c r="A725" t="inlineStr">
        <is>
          <t>A 40765-2023</t>
        </is>
      </c>
      <c r="B725" s="1" t="n">
        <v>45170</v>
      </c>
      <c r="C725" s="1" t="n">
        <v>45976</v>
      </c>
      <c r="D725" t="inlineStr">
        <is>
          <t>JÄMTLANDS LÄN</t>
        </is>
      </c>
      <c r="E725" t="inlineStr">
        <is>
          <t>BRÄCKE</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38834-2025</t>
        </is>
      </c>
      <c r="B726" s="1" t="n">
        <v>45887.53174768519</v>
      </c>
      <c r="C726" s="1" t="n">
        <v>45976</v>
      </c>
      <c r="D726" t="inlineStr">
        <is>
          <t>JÄMTLANDS LÄN</t>
        </is>
      </c>
      <c r="E726" t="inlineStr">
        <is>
          <t>BRÄCKE</t>
        </is>
      </c>
      <c r="F726" t="inlineStr">
        <is>
          <t>SCA</t>
        </is>
      </c>
      <c r="G726" t="n">
        <v>6.3</v>
      </c>
      <c r="H726" t="n">
        <v>0</v>
      </c>
      <c r="I726" t="n">
        <v>0</v>
      </c>
      <c r="J726" t="n">
        <v>0</v>
      </c>
      <c r="K726" t="n">
        <v>0</v>
      </c>
      <c r="L726" t="n">
        <v>0</v>
      </c>
      <c r="M726" t="n">
        <v>0</v>
      </c>
      <c r="N726" t="n">
        <v>0</v>
      </c>
      <c r="O726" t="n">
        <v>0</v>
      </c>
      <c r="P726" t="n">
        <v>0</v>
      </c>
      <c r="Q726" t="n">
        <v>0</v>
      </c>
      <c r="R726" s="2" t="inlineStr"/>
    </row>
    <row r="727" ht="15" customHeight="1">
      <c r="A727" t="inlineStr">
        <is>
          <t>A 12762-2025</t>
        </is>
      </c>
      <c r="B727" s="1" t="n">
        <v>45733.57340277778</v>
      </c>
      <c r="C727" s="1" t="n">
        <v>45976</v>
      </c>
      <c r="D727" t="inlineStr">
        <is>
          <t>JÄMTLANDS LÄN</t>
        </is>
      </c>
      <c r="E727" t="inlineStr">
        <is>
          <t>BRÄCKE</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58082-2023</t>
        </is>
      </c>
      <c r="B728" s="1" t="n">
        <v>45247.96538194444</v>
      </c>
      <c r="C728" s="1" t="n">
        <v>45976</v>
      </c>
      <c r="D728" t="inlineStr">
        <is>
          <t>JÄMTLANDS LÄN</t>
        </is>
      </c>
      <c r="E728" t="inlineStr">
        <is>
          <t>BRÄCKE</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58083-2023</t>
        </is>
      </c>
      <c r="B729" s="1" t="n">
        <v>45247</v>
      </c>
      <c r="C729" s="1" t="n">
        <v>45976</v>
      </c>
      <c r="D729" t="inlineStr">
        <is>
          <t>JÄMTLANDS LÄN</t>
        </is>
      </c>
      <c r="E729" t="inlineStr">
        <is>
          <t>BRÄCKE</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4381-2023</t>
        </is>
      </c>
      <c r="B730" s="1" t="n">
        <v>44955</v>
      </c>
      <c r="C730" s="1" t="n">
        <v>45976</v>
      </c>
      <c r="D730" t="inlineStr">
        <is>
          <t>JÄMTLANDS LÄN</t>
        </is>
      </c>
      <c r="E730" t="inlineStr">
        <is>
          <t>BRÄCKE</t>
        </is>
      </c>
      <c r="G730" t="n">
        <v>2.1</v>
      </c>
      <c r="H730" t="n">
        <v>0</v>
      </c>
      <c r="I730" t="n">
        <v>0</v>
      </c>
      <c r="J730" t="n">
        <v>0</v>
      </c>
      <c r="K730" t="n">
        <v>0</v>
      </c>
      <c r="L730" t="n">
        <v>0</v>
      </c>
      <c r="M730" t="n">
        <v>0</v>
      </c>
      <c r="N730" t="n">
        <v>0</v>
      </c>
      <c r="O730" t="n">
        <v>0</v>
      </c>
      <c r="P730" t="n">
        <v>0</v>
      </c>
      <c r="Q730" t="n">
        <v>0</v>
      </c>
      <c r="R730" s="2" t="inlineStr"/>
    </row>
    <row r="731" ht="15" customHeight="1">
      <c r="A731" t="inlineStr">
        <is>
          <t>A 24874-2024</t>
        </is>
      </c>
      <c r="B731" s="1" t="n">
        <v>45461.52280092592</v>
      </c>
      <c r="C731" s="1" t="n">
        <v>45976</v>
      </c>
      <c r="D731" t="inlineStr">
        <is>
          <t>JÄMTLANDS LÄN</t>
        </is>
      </c>
      <c r="E731" t="inlineStr">
        <is>
          <t>BRÄCKE</t>
        </is>
      </c>
      <c r="G731" t="n">
        <v>12</v>
      </c>
      <c r="H731" t="n">
        <v>0</v>
      </c>
      <c r="I731" t="n">
        <v>0</v>
      </c>
      <c r="J731" t="n">
        <v>0</v>
      </c>
      <c r="K731" t="n">
        <v>0</v>
      </c>
      <c r="L731" t="n">
        <v>0</v>
      </c>
      <c r="M731" t="n">
        <v>0</v>
      </c>
      <c r="N731" t="n">
        <v>0</v>
      </c>
      <c r="O731" t="n">
        <v>0</v>
      </c>
      <c r="P731" t="n">
        <v>0</v>
      </c>
      <c r="Q731" t="n">
        <v>0</v>
      </c>
      <c r="R731" s="2" t="inlineStr"/>
    </row>
    <row r="732" ht="15" customHeight="1">
      <c r="A732" t="inlineStr">
        <is>
          <t>A 24878-2024</t>
        </is>
      </c>
      <c r="B732" s="1" t="n">
        <v>45461.55193287037</v>
      </c>
      <c r="C732" s="1" t="n">
        <v>45976</v>
      </c>
      <c r="D732" t="inlineStr">
        <is>
          <t>JÄMTLANDS LÄN</t>
        </is>
      </c>
      <c r="E732" t="inlineStr">
        <is>
          <t>BRÄCKE</t>
        </is>
      </c>
      <c r="G732" t="n">
        <v>3.8</v>
      </c>
      <c r="H732" t="n">
        <v>0</v>
      </c>
      <c r="I732" t="n">
        <v>0</v>
      </c>
      <c r="J732" t="n">
        <v>0</v>
      </c>
      <c r="K732" t="n">
        <v>0</v>
      </c>
      <c r="L732" t="n">
        <v>0</v>
      </c>
      <c r="M732" t="n">
        <v>0</v>
      </c>
      <c r="N732" t="n">
        <v>0</v>
      </c>
      <c r="O732" t="n">
        <v>0</v>
      </c>
      <c r="P732" t="n">
        <v>0</v>
      </c>
      <c r="Q732" t="n">
        <v>0</v>
      </c>
      <c r="R732" s="2" t="inlineStr"/>
    </row>
    <row r="733" ht="15" customHeight="1">
      <c r="A733" t="inlineStr">
        <is>
          <t>A 22986-2023</t>
        </is>
      </c>
      <c r="B733" s="1" t="n">
        <v>45072.94140046297</v>
      </c>
      <c r="C733" s="1" t="n">
        <v>45976</v>
      </c>
      <c r="D733" t="inlineStr">
        <is>
          <t>JÄMTLANDS LÄN</t>
        </is>
      </c>
      <c r="E733" t="inlineStr">
        <is>
          <t>BRÄCKE</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1799-2024</t>
        </is>
      </c>
      <c r="B734" s="1" t="n">
        <v>45307</v>
      </c>
      <c r="C734" s="1" t="n">
        <v>45976</v>
      </c>
      <c r="D734" t="inlineStr">
        <is>
          <t>JÄMTLANDS LÄN</t>
        </is>
      </c>
      <c r="E734" t="inlineStr">
        <is>
          <t>BRÄCKE</t>
        </is>
      </c>
      <c r="G734" t="n">
        <v>4.5</v>
      </c>
      <c r="H734" t="n">
        <v>0</v>
      </c>
      <c r="I734" t="n">
        <v>0</v>
      </c>
      <c r="J734" t="n">
        <v>0</v>
      </c>
      <c r="K734" t="n">
        <v>0</v>
      </c>
      <c r="L734" t="n">
        <v>0</v>
      </c>
      <c r="M734" t="n">
        <v>0</v>
      </c>
      <c r="N734" t="n">
        <v>0</v>
      </c>
      <c r="O734" t="n">
        <v>0</v>
      </c>
      <c r="P734" t="n">
        <v>0</v>
      </c>
      <c r="Q734" t="n">
        <v>0</v>
      </c>
      <c r="R734" s="2" t="inlineStr"/>
    </row>
    <row r="735" ht="15" customHeight="1">
      <c r="A735" t="inlineStr">
        <is>
          <t>A 42290-2022</t>
        </is>
      </c>
      <c r="B735" s="1" t="n">
        <v>44830</v>
      </c>
      <c r="C735" s="1" t="n">
        <v>45976</v>
      </c>
      <c r="D735" t="inlineStr">
        <is>
          <t>JÄMTLANDS LÄN</t>
        </is>
      </c>
      <c r="E735" t="inlineStr">
        <is>
          <t>BRÄCKE</t>
        </is>
      </c>
      <c r="F735" t="inlineStr">
        <is>
          <t>SCA</t>
        </is>
      </c>
      <c r="G735" t="n">
        <v>5.4</v>
      </c>
      <c r="H735" t="n">
        <v>0</v>
      </c>
      <c r="I735" t="n">
        <v>0</v>
      </c>
      <c r="J735" t="n">
        <v>0</v>
      </c>
      <c r="K735" t="n">
        <v>0</v>
      </c>
      <c r="L735" t="n">
        <v>0</v>
      </c>
      <c r="M735" t="n">
        <v>0</v>
      </c>
      <c r="N735" t="n">
        <v>0</v>
      </c>
      <c r="O735" t="n">
        <v>0</v>
      </c>
      <c r="P735" t="n">
        <v>0</v>
      </c>
      <c r="Q735" t="n">
        <v>0</v>
      </c>
      <c r="R735" s="2" t="inlineStr"/>
    </row>
    <row r="736" ht="15" customHeight="1">
      <c r="A736" t="inlineStr">
        <is>
          <t>A 50151-2023</t>
        </is>
      </c>
      <c r="B736" s="1" t="n">
        <v>45208</v>
      </c>
      <c r="C736" s="1" t="n">
        <v>45976</v>
      </c>
      <c r="D736" t="inlineStr">
        <is>
          <t>JÄMTLANDS LÄN</t>
        </is>
      </c>
      <c r="E736" t="inlineStr">
        <is>
          <t>BRÄCKE</t>
        </is>
      </c>
      <c r="G736" t="n">
        <v>0.8</v>
      </c>
      <c r="H736" t="n">
        <v>0</v>
      </c>
      <c r="I736" t="n">
        <v>0</v>
      </c>
      <c r="J736" t="n">
        <v>0</v>
      </c>
      <c r="K736" t="n">
        <v>0</v>
      </c>
      <c r="L736" t="n">
        <v>0</v>
      </c>
      <c r="M736" t="n">
        <v>0</v>
      </c>
      <c r="N736" t="n">
        <v>0</v>
      </c>
      <c r="O736" t="n">
        <v>0</v>
      </c>
      <c r="P736" t="n">
        <v>0</v>
      </c>
      <c r="Q736" t="n">
        <v>0</v>
      </c>
      <c r="R736" s="2" t="inlineStr"/>
    </row>
    <row r="737" ht="15" customHeight="1">
      <c r="A737" t="inlineStr">
        <is>
          <t>A 30719-2022</t>
        </is>
      </c>
      <c r="B737" s="1" t="n">
        <v>44763.94347222222</v>
      </c>
      <c r="C737" s="1" t="n">
        <v>45976</v>
      </c>
      <c r="D737" t="inlineStr">
        <is>
          <t>JÄMTLANDS LÄN</t>
        </is>
      </c>
      <c r="E737" t="inlineStr">
        <is>
          <t>BRÄCKE</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49707-2024</t>
        </is>
      </c>
      <c r="B738" s="1" t="n">
        <v>45596.69832175926</v>
      </c>
      <c r="C738" s="1" t="n">
        <v>45976</v>
      </c>
      <c r="D738" t="inlineStr">
        <is>
          <t>JÄMTLANDS LÄN</t>
        </is>
      </c>
      <c r="E738" t="inlineStr">
        <is>
          <t>BRÄCKE</t>
        </is>
      </c>
      <c r="F738" t="inlineStr">
        <is>
          <t>SCA</t>
        </is>
      </c>
      <c r="G738" t="n">
        <v>2.8</v>
      </c>
      <c r="H738" t="n">
        <v>0</v>
      </c>
      <c r="I738" t="n">
        <v>0</v>
      </c>
      <c r="J738" t="n">
        <v>0</v>
      </c>
      <c r="K738" t="n">
        <v>0</v>
      </c>
      <c r="L738" t="n">
        <v>0</v>
      </c>
      <c r="M738" t="n">
        <v>0</v>
      </c>
      <c r="N738" t="n">
        <v>0</v>
      </c>
      <c r="O738" t="n">
        <v>0</v>
      </c>
      <c r="P738" t="n">
        <v>0</v>
      </c>
      <c r="Q738" t="n">
        <v>0</v>
      </c>
      <c r="R738" s="2" t="inlineStr"/>
    </row>
    <row r="739" ht="15" customHeight="1">
      <c r="A739" t="inlineStr">
        <is>
          <t>A 61079-2024</t>
        </is>
      </c>
      <c r="B739" s="1" t="n">
        <v>45645.51072916666</v>
      </c>
      <c r="C739" s="1" t="n">
        <v>45976</v>
      </c>
      <c r="D739" t="inlineStr">
        <is>
          <t>JÄMTLANDS LÄN</t>
        </is>
      </c>
      <c r="E739" t="inlineStr">
        <is>
          <t>BRÄCKE</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48433-2023</t>
        </is>
      </c>
      <c r="B740" s="1" t="n">
        <v>45205</v>
      </c>
      <c r="C740" s="1" t="n">
        <v>45976</v>
      </c>
      <c r="D740" t="inlineStr">
        <is>
          <t>JÄMTLANDS LÄN</t>
        </is>
      </c>
      <c r="E740" t="inlineStr">
        <is>
          <t>BRÄCKE</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58078-2023</t>
        </is>
      </c>
      <c r="B741" s="1" t="n">
        <v>45247.965</v>
      </c>
      <c r="C741" s="1" t="n">
        <v>45976</v>
      </c>
      <c r="D741" t="inlineStr">
        <is>
          <t>JÄMTLANDS LÄN</t>
        </is>
      </c>
      <c r="E741" t="inlineStr">
        <is>
          <t>BRÄCKE</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48473-2023</t>
        </is>
      </c>
      <c r="B742" s="1" t="n">
        <v>45206.95770833334</v>
      </c>
      <c r="C742" s="1" t="n">
        <v>45976</v>
      </c>
      <c r="D742" t="inlineStr">
        <is>
          <t>JÄMTLANDS LÄN</t>
        </is>
      </c>
      <c r="E742" t="inlineStr">
        <is>
          <t>BRÄCKE</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55662-2023</t>
        </is>
      </c>
      <c r="B743" s="1" t="n">
        <v>45238.96730324074</v>
      </c>
      <c r="C743" s="1" t="n">
        <v>45976</v>
      </c>
      <c r="D743" t="inlineStr">
        <is>
          <t>JÄMTLANDS LÄN</t>
        </is>
      </c>
      <c r="E743" t="inlineStr">
        <is>
          <t>BRÄCKE</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23491-2025</t>
        </is>
      </c>
      <c r="B744" s="1" t="n">
        <v>45792.46924768519</v>
      </c>
      <c r="C744" s="1" t="n">
        <v>45976</v>
      </c>
      <c r="D744" t="inlineStr">
        <is>
          <t>JÄMTLANDS LÄN</t>
        </is>
      </c>
      <c r="E744" t="inlineStr">
        <is>
          <t>BRÄCKE</t>
        </is>
      </c>
      <c r="F744" t="inlineStr">
        <is>
          <t>SCA</t>
        </is>
      </c>
      <c r="G744" t="n">
        <v>11.8</v>
      </c>
      <c r="H744" t="n">
        <v>0</v>
      </c>
      <c r="I744" t="n">
        <v>0</v>
      </c>
      <c r="J744" t="n">
        <v>0</v>
      </c>
      <c r="K744" t="n">
        <v>0</v>
      </c>
      <c r="L744" t="n">
        <v>0</v>
      </c>
      <c r="M744" t="n">
        <v>0</v>
      </c>
      <c r="N744" t="n">
        <v>0</v>
      </c>
      <c r="O744" t="n">
        <v>0</v>
      </c>
      <c r="P744" t="n">
        <v>0</v>
      </c>
      <c r="Q744" t="n">
        <v>0</v>
      </c>
      <c r="R744" s="2" t="inlineStr"/>
    </row>
    <row r="745" ht="15" customHeight="1">
      <c r="A745" t="inlineStr">
        <is>
          <t>A 19342-2025</t>
        </is>
      </c>
      <c r="B745" s="1" t="n">
        <v>45769.59520833333</v>
      </c>
      <c r="C745" s="1" t="n">
        <v>45976</v>
      </c>
      <c r="D745" t="inlineStr">
        <is>
          <t>JÄMTLANDS LÄN</t>
        </is>
      </c>
      <c r="E745" t="inlineStr">
        <is>
          <t>BRÄCKE</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39273-2025</t>
        </is>
      </c>
      <c r="B746" s="1" t="n">
        <v>45889.38655092593</v>
      </c>
      <c r="C746" s="1" t="n">
        <v>45976</v>
      </c>
      <c r="D746" t="inlineStr">
        <is>
          <t>JÄMTLANDS LÄN</t>
        </is>
      </c>
      <c r="E746" t="inlineStr">
        <is>
          <t>BRÄCKE</t>
        </is>
      </c>
      <c r="F746" t="inlineStr">
        <is>
          <t>SCA</t>
        </is>
      </c>
      <c r="G746" t="n">
        <v>3</v>
      </c>
      <c r="H746" t="n">
        <v>0</v>
      </c>
      <c r="I746" t="n">
        <v>0</v>
      </c>
      <c r="J746" t="n">
        <v>0</v>
      </c>
      <c r="K746" t="n">
        <v>0</v>
      </c>
      <c r="L746" t="n">
        <v>0</v>
      </c>
      <c r="M746" t="n">
        <v>0</v>
      </c>
      <c r="N746" t="n">
        <v>0</v>
      </c>
      <c r="O746" t="n">
        <v>0</v>
      </c>
      <c r="P746" t="n">
        <v>0</v>
      </c>
      <c r="Q746" t="n">
        <v>0</v>
      </c>
      <c r="R746" s="2" t="inlineStr"/>
    </row>
    <row r="747" ht="15" customHeight="1">
      <c r="A747" t="inlineStr">
        <is>
          <t>A 18047-2025</t>
        </is>
      </c>
      <c r="B747" s="1" t="n">
        <v>45761.46606481481</v>
      </c>
      <c r="C747" s="1" t="n">
        <v>45976</v>
      </c>
      <c r="D747" t="inlineStr">
        <is>
          <t>JÄMTLANDS LÄN</t>
        </is>
      </c>
      <c r="E747" t="inlineStr">
        <is>
          <t>BRÄCKE</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33112-2024</t>
        </is>
      </c>
      <c r="B748" s="1" t="n">
        <v>45517.92994212963</v>
      </c>
      <c r="C748" s="1" t="n">
        <v>45976</v>
      </c>
      <c r="D748" t="inlineStr">
        <is>
          <t>JÄMTLANDS LÄN</t>
        </is>
      </c>
      <c r="E748" t="inlineStr">
        <is>
          <t>BRÄCKE</t>
        </is>
      </c>
      <c r="G748" t="n">
        <v>0.7</v>
      </c>
      <c r="H748" t="n">
        <v>0</v>
      </c>
      <c r="I748" t="n">
        <v>0</v>
      </c>
      <c r="J748" t="n">
        <v>0</v>
      </c>
      <c r="K748" t="n">
        <v>0</v>
      </c>
      <c r="L748" t="n">
        <v>0</v>
      </c>
      <c r="M748" t="n">
        <v>0</v>
      </c>
      <c r="N748" t="n">
        <v>0</v>
      </c>
      <c r="O748" t="n">
        <v>0</v>
      </c>
      <c r="P748" t="n">
        <v>0</v>
      </c>
      <c r="Q748" t="n">
        <v>0</v>
      </c>
      <c r="R748" s="2" t="inlineStr"/>
    </row>
    <row r="749" ht="15" customHeight="1">
      <c r="A749" t="inlineStr">
        <is>
          <t>A 10476-2022</t>
        </is>
      </c>
      <c r="B749" s="1" t="n">
        <v>44623</v>
      </c>
      <c r="C749" s="1" t="n">
        <v>45976</v>
      </c>
      <c r="D749" t="inlineStr">
        <is>
          <t>JÄMTLANDS LÄN</t>
        </is>
      </c>
      <c r="E749" t="inlineStr">
        <is>
          <t>BRÄCKE</t>
        </is>
      </c>
      <c r="G749" t="n">
        <v>3.8</v>
      </c>
      <c r="H749" t="n">
        <v>0</v>
      </c>
      <c r="I749" t="n">
        <v>0</v>
      </c>
      <c r="J749" t="n">
        <v>0</v>
      </c>
      <c r="K749" t="n">
        <v>0</v>
      </c>
      <c r="L749" t="n">
        <v>0</v>
      </c>
      <c r="M749" t="n">
        <v>0</v>
      </c>
      <c r="N749" t="n">
        <v>0</v>
      </c>
      <c r="O749" t="n">
        <v>0</v>
      </c>
      <c r="P749" t="n">
        <v>0</v>
      </c>
      <c r="Q749" t="n">
        <v>0</v>
      </c>
      <c r="R749" s="2" t="inlineStr"/>
    </row>
    <row r="750" ht="15" customHeight="1">
      <c r="A750" t="inlineStr">
        <is>
          <t>A 10542-2022</t>
        </is>
      </c>
      <c r="B750" s="1" t="n">
        <v>44623.92204861111</v>
      </c>
      <c r="C750" s="1" t="n">
        <v>45976</v>
      </c>
      <c r="D750" t="inlineStr">
        <is>
          <t>JÄMTLANDS LÄN</t>
        </is>
      </c>
      <c r="E750" t="inlineStr">
        <is>
          <t>BRÄCKE</t>
        </is>
      </c>
      <c r="G750" t="n">
        <v>2.9</v>
      </c>
      <c r="H750" t="n">
        <v>0</v>
      </c>
      <c r="I750" t="n">
        <v>0</v>
      </c>
      <c r="J750" t="n">
        <v>0</v>
      </c>
      <c r="K750" t="n">
        <v>0</v>
      </c>
      <c r="L750" t="n">
        <v>0</v>
      </c>
      <c r="M750" t="n">
        <v>0</v>
      </c>
      <c r="N750" t="n">
        <v>0</v>
      </c>
      <c r="O750" t="n">
        <v>0</v>
      </c>
      <c r="P750" t="n">
        <v>0</v>
      </c>
      <c r="Q750" t="n">
        <v>0</v>
      </c>
      <c r="R750" s="2" t="inlineStr"/>
    </row>
    <row r="751" ht="15" customHeight="1">
      <c r="A751" t="inlineStr">
        <is>
          <t>A 32636-2024</t>
        </is>
      </c>
      <c r="B751" s="1" t="n">
        <v>45513.96137731482</v>
      </c>
      <c r="C751" s="1" t="n">
        <v>45976</v>
      </c>
      <c r="D751" t="inlineStr">
        <is>
          <t>JÄMTLANDS LÄN</t>
        </is>
      </c>
      <c r="E751" t="inlineStr">
        <is>
          <t>BRÄCKE</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39385-2025</t>
        </is>
      </c>
      <c r="B752" s="1" t="n">
        <v>45889.61550925926</v>
      </c>
      <c r="C752" s="1" t="n">
        <v>45976</v>
      </c>
      <c r="D752" t="inlineStr">
        <is>
          <t>JÄMTLANDS LÄN</t>
        </is>
      </c>
      <c r="E752" t="inlineStr">
        <is>
          <t>BRÄCKE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49861-2022</t>
        </is>
      </c>
      <c r="B753" s="1" t="n">
        <v>44862</v>
      </c>
      <c r="C753" s="1" t="n">
        <v>45976</v>
      </c>
      <c r="D753" t="inlineStr">
        <is>
          <t>JÄMTLANDS LÄN</t>
        </is>
      </c>
      <c r="E753" t="inlineStr">
        <is>
          <t>BRÄCKE</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20003-2024</t>
        </is>
      </c>
      <c r="B754" s="1" t="n">
        <v>45433.94275462963</v>
      </c>
      <c r="C754" s="1" t="n">
        <v>45976</v>
      </c>
      <c r="D754" t="inlineStr">
        <is>
          <t>JÄMTLANDS LÄN</t>
        </is>
      </c>
      <c r="E754" t="inlineStr">
        <is>
          <t>BRÄCKE</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20009-2024</t>
        </is>
      </c>
      <c r="B755" s="1" t="n">
        <v>45433.94325231481</v>
      </c>
      <c r="C755" s="1" t="n">
        <v>45976</v>
      </c>
      <c r="D755" t="inlineStr">
        <is>
          <t>JÄMTLANDS LÄN</t>
        </is>
      </c>
      <c r="E755" t="inlineStr">
        <is>
          <t>BRÄCKE</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39344-2025</t>
        </is>
      </c>
      <c r="B756" s="1" t="n">
        <v>45889.53175925926</v>
      </c>
      <c r="C756" s="1" t="n">
        <v>45976</v>
      </c>
      <c r="D756" t="inlineStr">
        <is>
          <t>JÄMTLANDS LÄN</t>
        </is>
      </c>
      <c r="E756" t="inlineStr">
        <is>
          <t>BRÄCKE</t>
        </is>
      </c>
      <c r="F756" t="inlineStr">
        <is>
          <t>SCA</t>
        </is>
      </c>
      <c r="G756" t="n">
        <v>9.6</v>
      </c>
      <c r="H756" t="n">
        <v>0</v>
      </c>
      <c r="I756" t="n">
        <v>0</v>
      </c>
      <c r="J756" t="n">
        <v>0</v>
      </c>
      <c r="K756" t="n">
        <v>0</v>
      </c>
      <c r="L756" t="n">
        <v>0</v>
      </c>
      <c r="M756" t="n">
        <v>0</v>
      </c>
      <c r="N756" t="n">
        <v>0</v>
      </c>
      <c r="O756" t="n">
        <v>0</v>
      </c>
      <c r="P756" t="n">
        <v>0</v>
      </c>
      <c r="Q756" t="n">
        <v>0</v>
      </c>
      <c r="R756" s="2" t="inlineStr"/>
    </row>
    <row r="757" ht="15" customHeight="1">
      <c r="A757" t="inlineStr">
        <is>
          <t>A 39355-2025</t>
        </is>
      </c>
      <c r="B757" s="1" t="n">
        <v>45889.55252314815</v>
      </c>
      <c r="C757" s="1" t="n">
        <v>45976</v>
      </c>
      <c r="D757" t="inlineStr">
        <is>
          <t>JÄMTLANDS LÄN</t>
        </is>
      </c>
      <c r="E757" t="inlineStr">
        <is>
          <t>BRÄCKE</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39377-2025</t>
        </is>
      </c>
      <c r="B758" s="1" t="n">
        <v>45889.59434027778</v>
      </c>
      <c r="C758" s="1" t="n">
        <v>45976</v>
      </c>
      <c r="D758" t="inlineStr">
        <is>
          <t>JÄMTLANDS LÄN</t>
        </is>
      </c>
      <c r="E758" t="inlineStr">
        <is>
          <t>BRÄCKE</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1914-2025</t>
        </is>
      </c>
      <c r="B759" s="1" t="n">
        <v>45671.65984953703</v>
      </c>
      <c r="C759" s="1" t="n">
        <v>45976</v>
      </c>
      <c r="D759" t="inlineStr">
        <is>
          <t>JÄMTLANDS LÄN</t>
        </is>
      </c>
      <c r="E759" t="inlineStr">
        <is>
          <t>BRÄCKE</t>
        </is>
      </c>
      <c r="G759" t="n">
        <v>2.9</v>
      </c>
      <c r="H759" t="n">
        <v>0</v>
      </c>
      <c r="I759" t="n">
        <v>0</v>
      </c>
      <c r="J759" t="n">
        <v>0</v>
      </c>
      <c r="K759" t="n">
        <v>0</v>
      </c>
      <c r="L759" t="n">
        <v>0</v>
      </c>
      <c r="M759" t="n">
        <v>0</v>
      </c>
      <c r="N759" t="n">
        <v>0</v>
      </c>
      <c r="O759" t="n">
        <v>0</v>
      </c>
      <c r="P759" t="n">
        <v>0</v>
      </c>
      <c r="Q759" t="n">
        <v>0</v>
      </c>
      <c r="R759" s="2" t="inlineStr"/>
    </row>
    <row r="760" ht="15" customHeight="1">
      <c r="A760" t="inlineStr">
        <is>
          <t>A 39376-2025</t>
        </is>
      </c>
      <c r="B760" s="1" t="n">
        <v>45889.59425925926</v>
      </c>
      <c r="C760" s="1" t="n">
        <v>45976</v>
      </c>
      <c r="D760" t="inlineStr">
        <is>
          <t>JÄMTLANDS LÄN</t>
        </is>
      </c>
      <c r="E760" t="inlineStr">
        <is>
          <t>BRÄCKE</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39086-2025</t>
        </is>
      </c>
      <c r="B761" s="1" t="n">
        <v>45888.49046296296</v>
      </c>
      <c r="C761" s="1" t="n">
        <v>45976</v>
      </c>
      <c r="D761" t="inlineStr">
        <is>
          <t>JÄMTLANDS LÄN</t>
        </is>
      </c>
      <c r="E761" t="inlineStr">
        <is>
          <t>BRÄCKE</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9387-2025</t>
        </is>
      </c>
      <c r="B762" s="1" t="n">
        <v>45715.34461805555</v>
      </c>
      <c r="C762" s="1" t="n">
        <v>45976</v>
      </c>
      <c r="D762" t="inlineStr">
        <is>
          <t>JÄMTLANDS LÄN</t>
        </is>
      </c>
      <c r="E762" t="inlineStr">
        <is>
          <t>BRÄCKE</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39272-2025</t>
        </is>
      </c>
      <c r="B763" s="1" t="n">
        <v>45889.38640046296</v>
      </c>
      <c r="C763" s="1" t="n">
        <v>45976</v>
      </c>
      <c r="D763" t="inlineStr">
        <is>
          <t>JÄMTLANDS LÄN</t>
        </is>
      </c>
      <c r="E763" t="inlineStr">
        <is>
          <t>BRÄCKE</t>
        </is>
      </c>
      <c r="F763" t="inlineStr">
        <is>
          <t>SCA</t>
        </is>
      </c>
      <c r="G763" t="n">
        <v>13.1</v>
      </c>
      <c r="H763" t="n">
        <v>0</v>
      </c>
      <c r="I763" t="n">
        <v>0</v>
      </c>
      <c r="J763" t="n">
        <v>0</v>
      </c>
      <c r="K763" t="n">
        <v>0</v>
      </c>
      <c r="L763" t="n">
        <v>0</v>
      </c>
      <c r="M763" t="n">
        <v>0</v>
      </c>
      <c r="N763" t="n">
        <v>0</v>
      </c>
      <c r="O763" t="n">
        <v>0</v>
      </c>
      <c r="P763" t="n">
        <v>0</v>
      </c>
      <c r="Q763" t="n">
        <v>0</v>
      </c>
      <c r="R763" s="2" t="inlineStr"/>
    </row>
    <row r="764" ht="15" customHeight="1">
      <c r="A764" t="inlineStr">
        <is>
          <t>A 33870-2023</t>
        </is>
      </c>
      <c r="B764" s="1" t="n">
        <v>45133.95326388889</v>
      </c>
      <c r="C764" s="1" t="n">
        <v>45976</v>
      </c>
      <c r="D764" t="inlineStr">
        <is>
          <t>JÄMTLANDS LÄN</t>
        </is>
      </c>
      <c r="E764" t="inlineStr">
        <is>
          <t>BRÄCKE</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39100-2025</t>
        </is>
      </c>
      <c r="B765" s="1" t="n">
        <v>45888.5108912037</v>
      </c>
      <c r="C765" s="1" t="n">
        <v>45976</v>
      </c>
      <c r="D765" t="inlineStr">
        <is>
          <t>JÄMTLANDS LÄN</t>
        </is>
      </c>
      <c r="E765" t="inlineStr">
        <is>
          <t>BRÄCKE</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17016-2024</t>
        </is>
      </c>
      <c r="B766" s="1" t="n">
        <v>45411</v>
      </c>
      <c r="C766" s="1" t="n">
        <v>45976</v>
      </c>
      <c r="D766" t="inlineStr">
        <is>
          <t>JÄMTLANDS LÄN</t>
        </is>
      </c>
      <c r="E766" t="inlineStr">
        <is>
          <t>BRÄCKE</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39088-2025</t>
        </is>
      </c>
      <c r="B767" s="1" t="n">
        <v>45888.49105324074</v>
      </c>
      <c r="C767" s="1" t="n">
        <v>45976</v>
      </c>
      <c r="D767" t="inlineStr">
        <is>
          <t>JÄMTLANDS LÄN</t>
        </is>
      </c>
      <c r="E767" t="inlineStr">
        <is>
          <t>BRÄCKE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39117-2025</t>
        </is>
      </c>
      <c r="B768" s="1" t="n">
        <v>45888.55275462963</v>
      </c>
      <c r="C768" s="1" t="n">
        <v>45976</v>
      </c>
      <c r="D768" t="inlineStr">
        <is>
          <t>JÄMTLANDS LÄN</t>
        </is>
      </c>
      <c r="E768" t="inlineStr">
        <is>
          <t>BRÄCKE</t>
        </is>
      </c>
      <c r="F768" t="inlineStr">
        <is>
          <t>SCA</t>
        </is>
      </c>
      <c r="G768" t="n">
        <v>6.9</v>
      </c>
      <c r="H768" t="n">
        <v>0</v>
      </c>
      <c r="I768" t="n">
        <v>0</v>
      </c>
      <c r="J768" t="n">
        <v>0</v>
      </c>
      <c r="K768" t="n">
        <v>0</v>
      </c>
      <c r="L768" t="n">
        <v>0</v>
      </c>
      <c r="M768" t="n">
        <v>0</v>
      </c>
      <c r="N768" t="n">
        <v>0</v>
      </c>
      <c r="O768" t="n">
        <v>0</v>
      </c>
      <c r="P768" t="n">
        <v>0</v>
      </c>
      <c r="Q768" t="n">
        <v>0</v>
      </c>
      <c r="R768" s="2" t="inlineStr"/>
    </row>
    <row r="769" ht="15" customHeight="1">
      <c r="A769" t="inlineStr">
        <is>
          <t>A 17252-2025</t>
        </is>
      </c>
      <c r="B769" s="1" t="n">
        <v>45756.5109837963</v>
      </c>
      <c r="C769" s="1" t="n">
        <v>45976</v>
      </c>
      <c r="D769" t="inlineStr">
        <is>
          <t>JÄMTLANDS LÄN</t>
        </is>
      </c>
      <c r="E769" t="inlineStr">
        <is>
          <t>BRÄCKE</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39052-2025</t>
        </is>
      </c>
      <c r="B770" s="1" t="n">
        <v>45888.44829861111</v>
      </c>
      <c r="C770" s="1" t="n">
        <v>45976</v>
      </c>
      <c r="D770" t="inlineStr">
        <is>
          <t>JÄMTLANDS LÄN</t>
        </is>
      </c>
      <c r="E770" t="inlineStr">
        <is>
          <t>BRÄCKE</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39087-2025</t>
        </is>
      </c>
      <c r="B771" s="1" t="n">
        <v>45888.49076388889</v>
      </c>
      <c r="C771" s="1" t="n">
        <v>45976</v>
      </c>
      <c r="D771" t="inlineStr">
        <is>
          <t>JÄMTLANDS LÄN</t>
        </is>
      </c>
      <c r="E771" t="inlineStr">
        <is>
          <t>BRÄCKE</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47550-2024</t>
        </is>
      </c>
      <c r="B772" s="1" t="n">
        <v>45587.66041666667</v>
      </c>
      <c r="C772" s="1" t="n">
        <v>45976</v>
      </c>
      <c r="D772" t="inlineStr">
        <is>
          <t>JÄMTLANDS LÄN</t>
        </is>
      </c>
      <c r="E772" t="inlineStr">
        <is>
          <t>BRÄCKE</t>
        </is>
      </c>
      <c r="G772" t="n">
        <v>5.3</v>
      </c>
      <c r="H772" t="n">
        <v>0</v>
      </c>
      <c r="I772" t="n">
        <v>0</v>
      </c>
      <c r="J772" t="n">
        <v>0</v>
      </c>
      <c r="K772" t="n">
        <v>0</v>
      </c>
      <c r="L772" t="n">
        <v>0</v>
      </c>
      <c r="M772" t="n">
        <v>0</v>
      </c>
      <c r="N772" t="n">
        <v>0</v>
      </c>
      <c r="O772" t="n">
        <v>0</v>
      </c>
      <c r="P772" t="n">
        <v>0</v>
      </c>
      <c r="Q772" t="n">
        <v>0</v>
      </c>
      <c r="R772" s="2" t="inlineStr"/>
    </row>
    <row r="773" ht="15" customHeight="1">
      <c r="A773" t="inlineStr">
        <is>
          <t>A 37960-2024</t>
        </is>
      </c>
      <c r="B773" s="1" t="n">
        <v>45544.53925925926</v>
      </c>
      <c r="C773" s="1" t="n">
        <v>45976</v>
      </c>
      <c r="D773" t="inlineStr">
        <is>
          <t>JÄMTLANDS LÄN</t>
        </is>
      </c>
      <c r="E773" t="inlineStr">
        <is>
          <t>BRÄCKE</t>
        </is>
      </c>
      <c r="G773" t="n">
        <v>2.3</v>
      </c>
      <c r="H773" t="n">
        <v>0</v>
      </c>
      <c r="I773" t="n">
        <v>0</v>
      </c>
      <c r="J773" t="n">
        <v>0</v>
      </c>
      <c r="K773" t="n">
        <v>0</v>
      </c>
      <c r="L773" t="n">
        <v>0</v>
      </c>
      <c r="M773" t="n">
        <v>0</v>
      </c>
      <c r="N773" t="n">
        <v>0</v>
      </c>
      <c r="O773" t="n">
        <v>0</v>
      </c>
      <c r="P773" t="n">
        <v>0</v>
      </c>
      <c r="Q773" t="n">
        <v>0</v>
      </c>
      <c r="R773" s="2" t="inlineStr"/>
    </row>
    <row r="774" ht="15" customHeight="1">
      <c r="A774" t="inlineStr">
        <is>
          <t>A 43551-2023</t>
        </is>
      </c>
      <c r="B774" s="1" t="n">
        <v>45181</v>
      </c>
      <c r="C774" s="1" t="n">
        <v>45976</v>
      </c>
      <c r="D774" t="inlineStr">
        <is>
          <t>JÄMTLANDS LÄN</t>
        </is>
      </c>
      <c r="E774" t="inlineStr">
        <is>
          <t>BRÄCKE</t>
        </is>
      </c>
      <c r="G774" t="n">
        <v>1.9</v>
      </c>
      <c r="H774" t="n">
        <v>0</v>
      </c>
      <c r="I774" t="n">
        <v>0</v>
      </c>
      <c r="J774" t="n">
        <v>0</v>
      </c>
      <c r="K774" t="n">
        <v>0</v>
      </c>
      <c r="L774" t="n">
        <v>0</v>
      </c>
      <c r="M774" t="n">
        <v>0</v>
      </c>
      <c r="N774" t="n">
        <v>0</v>
      </c>
      <c r="O774" t="n">
        <v>0</v>
      </c>
      <c r="P774" t="n">
        <v>0</v>
      </c>
      <c r="Q774" t="n">
        <v>0</v>
      </c>
      <c r="R774" s="2" t="inlineStr"/>
    </row>
    <row r="775" ht="15" customHeight="1">
      <c r="A775" t="inlineStr">
        <is>
          <t>A 39680-2025</t>
        </is>
      </c>
      <c r="B775" s="1" t="n">
        <v>45890.65677083333</v>
      </c>
      <c r="C775" s="1" t="n">
        <v>45976</v>
      </c>
      <c r="D775" t="inlineStr">
        <is>
          <t>JÄMTLANDS LÄN</t>
        </is>
      </c>
      <c r="E775" t="inlineStr">
        <is>
          <t>BRÄCKE</t>
        </is>
      </c>
      <c r="G775" t="n">
        <v>3.3</v>
      </c>
      <c r="H775" t="n">
        <v>0</v>
      </c>
      <c r="I775" t="n">
        <v>0</v>
      </c>
      <c r="J775" t="n">
        <v>0</v>
      </c>
      <c r="K775" t="n">
        <v>0</v>
      </c>
      <c r="L775" t="n">
        <v>0</v>
      </c>
      <c r="M775" t="n">
        <v>0</v>
      </c>
      <c r="N775" t="n">
        <v>0</v>
      </c>
      <c r="O775" t="n">
        <v>0</v>
      </c>
      <c r="P775" t="n">
        <v>0</v>
      </c>
      <c r="Q775" t="n">
        <v>0</v>
      </c>
      <c r="R775" s="2" t="inlineStr"/>
    </row>
    <row r="776" ht="15" customHeight="1">
      <c r="A776" t="inlineStr">
        <is>
          <t>A 39506-2025</t>
        </is>
      </c>
      <c r="B776" s="1" t="n">
        <v>45890.40703703704</v>
      </c>
      <c r="C776" s="1" t="n">
        <v>45976</v>
      </c>
      <c r="D776" t="inlineStr">
        <is>
          <t>JÄMTLANDS LÄN</t>
        </is>
      </c>
      <c r="E776" t="inlineStr">
        <is>
          <t>BRÄCKE</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49526-2024</t>
        </is>
      </c>
      <c r="B777" s="1" t="n">
        <v>45596.40731481482</v>
      </c>
      <c r="C777" s="1" t="n">
        <v>45976</v>
      </c>
      <c r="D777" t="inlineStr">
        <is>
          <t>JÄMTLANDS LÄN</t>
        </is>
      </c>
      <c r="E777" t="inlineStr">
        <is>
          <t>BRÄCKE</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15261-2025</t>
        </is>
      </c>
      <c r="B778" s="1" t="n">
        <v>45744</v>
      </c>
      <c r="C778" s="1" t="n">
        <v>45976</v>
      </c>
      <c r="D778" t="inlineStr">
        <is>
          <t>JÄMTLANDS LÄN</t>
        </is>
      </c>
      <c r="E778" t="inlineStr">
        <is>
          <t>BRÄCKE</t>
        </is>
      </c>
      <c r="F778" t="inlineStr">
        <is>
          <t>SCA</t>
        </is>
      </c>
      <c r="G778" t="n">
        <v>9</v>
      </c>
      <c r="H778" t="n">
        <v>0</v>
      </c>
      <c r="I778" t="n">
        <v>0</v>
      </c>
      <c r="J778" t="n">
        <v>0</v>
      </c>
      <c r="K778" t="n">
        <v>0</v>
      </c>
      <c r="L778" t="n">
        <v>0</v>
      </c>
      <c r="M778" t="n">
        <v>0</v>
      </c>
      <c r="N778" t="n">
        <v>0</v>
      </c>
      <c r="O778" t="n">
        <v>0</v>
      </c>
      <c r="P778" t="n">
        <v>0</v>
      </c>
      <c r="Q778" t="n">
        <v>0</v>
      </c>
      <c r="R778" s="2" t="inlineStr"/>
    </row>
    <row r="779" ht="15" customHeight="1">
      <c r="A779" t="inlineStr">
        <is>
          <t>A 39505-2025</t>
        </is>
      </c>
      <c r="B779" s="1" t="n">
        <v>45890.40689814815</v>
      </c>
      <c r="C779" s="1" t="n">
        <v>45976</v>
      </c>
      <c r="D779" t="inlineStr">
        <is>
          <t>JÄMTLANDS LÄN</t>
        </is>
      </c>
      <c r="E779" t="inlineStr">
        <is>
          <t>BRÄCKE</t>
        </is>
      </c>
      <c r="F779" t="inlineStr">
        <is>
          <t>SCA</t>
        </is>
      </c>
      <c r="G779" t="n">
        <v>3.3</v>
      </c>
      <c r="H779" t="n">
        <v>0</v>
      </c>
      <c r="I779" t="n">
        <v>0</v>
      </c>
      <c r="J779" t="n">
        <v>0</v>
      </c>
      <c r="K779" t="n">
        <v>0</v>
      </c>
      <c r="L779" t="n">
        <v>0</v>
      </c>
      <c r="M779" t="n">
        <v>0</v>
      </c>
      <c r="N779" t="n">
        <v>0</v>
      </c>
      <c r="O779" t="n">
        <v>0</v>
      </c>
      <c r="P779" t="n">
        <v>0</v>
      </c>
      <c r="Q779" t="n">
        <v>0</v>
      </c>
      <c r="R779" s="2" t="inlineStr"/>
    </row>
    <row r="780" ht="15" customHeight="1">
      <c r="A780" t="inlineStr">
        <is>
          <t>A 39532-2025</t>
        </is>
      </c>
      <c r="B780" s="1" t="n">
        <v>45890.44847222222</v>
      </c>
      <c r="C780" s="1" t="n">
        <v>45976</v>
      </c>
      <c r="D780" t="inlineStr">
        <is>
          <t>JÄMTLANDS LÄN</t>
        </is>
      </c>
      <c r="E780" t="inlineStr">
        <is>
          <t>BRÄCKE</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39487-2025</t>
        </is>
      </c>
      <c r="B781" s="1" t="n">
        <v>45890.3650462963</v>
      </c>
      <c r="C781" s="1" t="n">
        <v>45976</v>
      </c>
      <c r="D781" t="inlineStr">
        <is>
          <t>JÄMTLANDS LÄN</t>
        </is>
      </c>
      <c r="E781" t="inlineStr">
        <is>
          <t>BRÄCKE</t>
        </is>
      </c>
      <c r="F781" t="inlineStr">
        <is>
          <t>SCA</t>
        </is>
      </c>
      <c r="G781" t="n">
        <v>4.2</v>
      </c>
      <c r="H781" t="n">
        <v>0</v>
      </c>
      <c r="I781" t="n">
        <v>0</v>
      </c>
      <c r="J781" t="n">
        <v>0</v>
      </c>
      <c r="K781" t="n">
        <v>0</v>
      </c>
      <c r="L781" t="n">
        <v>0</v>
      </c>
      <c r="M781" t="n">
        <v>0</v>
      </c>
      <c r="N781" t="n">
        <v>0</v>
      </c>
      <c r="O781" t="n">
        <v>0</v>
      </c>
      <c r="P781" t="n">
        <v>0</v>
      </c>
      <c r="Q781" t="n">
        <v>0</v>
      </c>
      <c r="R781" s="2" t="inlineStr"/>
    </row>
    <row r="782" ht="15" customHeight="1">
      <c r="A782" t="inlineStr">
        <is>
          <t>A 9824-2025</t>
        </is>
      </c>
      <c r="B782" s="1" t="n">
        <v>45716</v>
      </c>
      <c r="C782" s="1" t="n">
        <v>45976</v>
      </c>
      <c r="D782" t="inlineStr">
        <is>
          <t>JÄMTLANDS LÄN</t>
        </is>
      </c>
      <c r="E782" t="inlineStr">
        <is>
          <t>BRÄCKE</t>
        </is>
      </c>
      <c r="F782" t="inlineStr">
        <is>
          <t>SCA</t>
        </is>
      </c>
      <c r="G782" t="n">
        <v>7.3</v>
      </c>
      <c r="H782" t="n">
        <v>0</v>
      </c>
      <c r="I782" t="n">
        <v>0</v>
      </c>
      <c r="J782" t="n">
        <v>0</v>
      </c>
      <c r="K782" t="n">
        <v>0</v>
      </c>
      <c r="L782" t="n">
        <v>0</v>
      </c>
      <c r="M782" t="n">
        <v>0</v>
      </c>
      <c r="N782" t="n">
        <v>0</v>
      </c>
      <c r="O782" t="n">
        <v>0</v>
      </c>
      <c r="P782" t="n">
        <v>0</v>
      </c>
      <c r="Q782" t="n">
        <v>0</v>
      </c>
      <c r="R782" s="2" t="inlineStr"/>
    </row>
    <row r="783" ht="15" customHeight="1">
      <c r="A783" t="inlineStr">
        <is>
          <t>A 55976-2024</t>
        </is>
      </c>
      <c r="B783" s="1" t="n">
        <v>45623.65659722222</v>
      </c>
      <c r="C783" s="1" t="n">
        <v>45976</v>
      </c>
      <c r="D783" t="inlineStr">
        <is>
          <t>JÄMTLANDS LÄN</t>
        </is>
      </c>
      <c r="E783" t="inlineStr">
        <is>
          <t>BRÄCKE</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22116-2024</t>
        </is>
      </c>
      <c r="B784" s="1" t="n">
        <v>45443.95230324074</v>
      </c>
      <c r="C784" s="1" t="n">
        <v>45976</v>
      </c>
      <c r="D784" t="inlineStr">
        <is>
          <t>JÄMTLANDS LÄN</t>
        </is>
      </c>
      <c r="E784" t="inlineStr">
        <is>
          <t>BRÄCKE</t>
        </is>
      </c>
      <c r="F784" t="inlineStr">
        <is>
          <t>SCA</t>
        </is>
      </c>
      <c r="G784" t="n">
        <v>6.1</v>
      </c>
      <c r="H784" t="n">
        <v>0</v>
      </c>
      <c r="I784" t="n">
        <v>0</v>
      </c>
      <c r="J784" t="n">
        <v>0</v>
      </c>
      <c r="K784" t="n">
        <v>0</v>
      </c>
      <c r="L784" t="n">
        <v>0</v>
      </c>
      <c r="M784" t="n">
        <v>0</v>
      </c>
      <c r="N784" t="n">
        <v>0</v>
      </c>
      <c r="O784" t="n">
        <v>0</v>
      </c>
      <c r="P784" t="n">
        <v>0</v>
      </c>
      <c r="Q784" t="n">
        <v>0</v>
      </c>
      <c r="R784" s="2" t="inlineStr"/>
    </row>
    <row r="785" ht="15" customHeight="1">
      <c r="A785" t="inlineStr">
        <is>
          <t>A 11545-2025</t>
        </is>
      </c>
      <c r="B785" s="1" t="n">
        <v>45727</v>
      </c>
      <c r="C785" s="1" t="n">
        <v>45976</v>
      </c>
      <c r="D785" t="inlineStr">
        <is>
          <t>JÄMTLANDS LÄN</t>
        </is>
      </c>
      <c r="E785" t="inlineStr">
        <is>
          <t>BRÄCKE</t>
        </is>
      </c>
      <c r="F785" t="inlineStr">
        <is>
          <t>SCA</t>
        </is>
      </c>
      <c r="G785" t="n">
        <v>5.1</v>
      </c>
      <c r="H785" t="n">
        <v>0</v>
      </c>
      <c r="I785" t="n">
        <v>0</v>
      </c>
      <c r="J785" t="n">
        <v>0</v>
      </c>
      <c r="K785" t="n">
        <v>0</v>
      </c>
      <c r="L785" t="n">
        <v>0</v>
      </c>
      <c r="M785" t="n">
        <v>0</v>
      </c>
      <c r="N785" t="n">
        <v>0</v>
      </c>
      <c r="O785" t="n">
        <v>0</v>
      </c>
      <c r="P785" t="n">
        <v>0</v>
      </c>
      <c r="Q785" t="n">
        <v>0</v>
      </c>
      <c r="R785" s="2" t="inlineStr"/>
    </row>
    <row r="786" ht="15" customHeight="1">
      <c r="A786" t="inlineStr">
        <is>
          <t>A 18066-2025</t>
        </is>
      </c>
      <c r="B786" s="1" t="n">
        <v>45761.49002314815</v>
      </c>
      <c r="C786" s="1" t="n">
        <v>45976</v>
      </c>
      <c r="D786" t="inlineStr">
        <is>
          <t>JÄMTLANDS LÄN</t>
        </is>
      </c>
      <c r="E786" t="inlineStr">
        <is>
          <t>BRÄCKE</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45304-2022</t>
        </is>
      </c>
      <c r="B787" s="1" t="n">
        <v>44841</v>
      </c>
      <c r="C787" s="1" t="n">
        <v>45976</v>
      </c>
      <c r="D787" t="inlineStr">
        <is>
          <t>JÄMTLANDS LÄN</t>
        </is>
      </c>
      <c r="E787" t="inlineStr">
        <is>
          <t>BRÄCKE</t>
        </is>
      </c>
      <c r="G787" t="n">
        <v>3.8</v>
      </c>
      <c r="H787" t="n">
        <v>0</v>
      </c>
      <c r="I787" t="n">
        <v>0</v>
      </c>
      <c r="J787" t="n">
        <v>0</v>
      </c>
      <c r="K787" t="n">
        <v>0</v>
      </c>
      <c r="L787" t="n">
        <v>0</v>
      </c>
      <c r="M787" t="n">
        <v>0</v>
      </c>
      <c r="N787" t="n">
        <v>0</v>
      </c>
      <c r="O787" t="n">
        <v>0</v>
      </c>
      <c r="P787" t="n">
        <v>0</v>
      </c>
      <c r="Q787" t="n">
        <v>0</v>
      </c>
      <c r="R787" s="2" t="inlineStr"/>
    </row>
    <row r="788" ht="15" customHeight="1">
      <c r="A788" t="inlineStr">
        <is>
          <t>A 39933-2025</t>
        </is>
      </c>
      <c r="B788" s="1" t="n">
        <v>45891.71150462963</v>
      </c>
      <c r="C788" s="1" t="n">
        <v>45976</v>
      </c>
      <c r="D788" t="inlineStr">
        <is>
          <t>JÄMTLANDS LÄN</t>
        </is>
      </c>
      <c r="E788" t="inlineStr">
        <is>
          <t>BRÄCKE</t>
        </is>
      </c>
      <c r="G788" t="n">
        <v>15.1</v>
      </c>
      <c r="H788" t="n">
        <v>0</v>
      </c>
      <c r="I788" t="n">
        <v>0</v>
      </c>
      <c r="J788" t="n">
        <v>0</v>
      </c>
      <c r="K788" t="n">
        <v>0</v>
      </c>
      <c r="L788" t="n">
        <v>0</v>
      </c>
      <c r="M788" t="n">
        <v>0</v>
      </c>
      <c r="N788" t="n">
        <v>0</v>
      </c>
      <c r="O788" t="n">
        <v>0</v>
      </c>
      <c r="P788" t="n">
        <v>0</v>
      </c>
      <c r="Q788" t="n">
        <v>0</v>
      </c>
      <c r="R788" s="2" t="inlineStr"/>
    </row>
    <row r="789" ht="15" customHeight="1">
      <c r="A789" t="inlineStr">
        <is>
          <t>A 57066-2024</t>
        </is>
      </c>
      <c r="B789" s="1" t="n">
        <v>45629.35359953704</v>
      </c>
      <c r="C789" s="1" t="n">
        <v>45976</v>
      </c>
      <c r="D789" t="inlineStr">
        <is>
          <t>JÄMTLANDS LÄN</t>
        </is>
      </c>
      <c r="E789" t="inlineStr">
        <is>
          <t>BRÄCKE</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61787-2023</t>
        </is>
      </c>
      <c r="B790" s="1" t="n">
        <v>45265.95765046297</v>
      </c>
      <c r="C790" s="1" t="n">
        <v>45976</v>
      </c>
      <c r="D790" t="inlineStr">
        <is>
          <t>JÄMTLANDS LÄN</t>
        </is>
      </c>
      <c r="E790" t="inlineStr">
        <is>
          <t>BRÄCKE</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39996-2024</t>
        </is>
      </c>
      <c r="B791" s="1" t="n">
        <v>45553.63585648148</v>
      </c>
      <c r="C791" s="1" t="n">
        <v>45976</v>
      </c>
      <c r="D791" t="inlineStr">
        <is>
          <t>JÄMTLANDS LÄN</t>
        </is>
      </c>
      <c r="E791" t="inlineStr">
        <is>
          <t>BRÄCKE</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18600-2024</t>
        </is>
      </c>
      <c r="B792" s="1" t="n">
        <v>45425.92462962963</v>
      </c>
      <c r="C792" s="1" t="n">
        <v>45976</v>
      </c>
      <c r="D792" t="inlineStr">
        <is>
          <t>JÄMTLANDS LÄN</t>
        </is>
      </c>
      <c r="E792" t="inlineStr">
        <is>
          <t>BRÄCKE</t>
        </is>
      </c>
      <c r="G792" t="n">
        <v>0.9</v>
      </c>
      <c r="H792" t="n">
        <v>0</v>
      </c>
      <c r="I792" t="n">
        <v>0</v>
      </c>
      <c r="J792" t="n">
        <v>0</v>
      </c>
      <c r="K792" t="n">
        <v>0</v>
      </c>
      <c r="L792" t="n">
        <v>0</v>
      </c>
      <c r="M792" t="n">
        <v>0</v>
      </c>
      <c r="N792" t="n">
        <v>0</v>
      </c>
      <c r="O792" t="n">
        <v>0</v>
      </c>
      <c r="P792" t="n">
        <v>0</v>
      </c>
      <c r="Q792" t="n">
        <v>0</v>
      </c>
      <c r="R792" s="2" t="inlineStr"/>
    </row>
    <row r="793" ht="15" customHeight="1">
      <c r="A793" t="inlineStr">
        <is>
          <t>A 39767-2025</t>
        </is>
      </c>
      <c r="B793" s="1" t="n">
        <v>45891.44828703703</v>
      </c>
      <c r="C793" s="1" t="n">
        <v>45976</v>
      </c>
      <c r="D793" t="inlineStr">
        <is>
          <t>JÄMTLANDS LÄN</t>
        </is>
      </c>
      <c r="E793" t="inlineStr">
        <is>
          <t>BRÄCKE</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37173-2024</t>
        </is>
      </c>
      <c r="B794" s="1" t="n">
        <v>45539.63597222222</v>
      </c>
      <c r="C794" s="1" t="n">
        <v>45976</v>
      </c>
      <c r="D794" t="inlineStr">
        <is>
          <t>JÄMTLANDS LÄN</t>
        </is>
      </c>
      <c r="E794" t="inlineStr">
        <is>
          <t>BRÄCKE</t>
        </is>
      </c>
      <c r="G794" t="n">
        <v>3.8</v>
      </c>
      <c r="H794" t="n">
        <v>0</v>
      </c>
      <c r="I794" t="n">
        <v>0</v>
      </c>
      <c r="J794" t="n">
        <v>0</v>
      </c>
      <c r="K794" t="n">
        <v>0</v>
      </c>
      <c r="L794" t="n">
        <v>0</v>
      </c>
      <c r="M794" t="n">
        <v>0</v>
      </c>
      <c r="N794" t="n">
        <v>0</v>
      </c>
      <c r="O794" t="n">
        <v>0</v>
      </c>
      <c r="P794" t="n">
        <v>0</v>
      </c>
      <c r="Q794" t="n">
        <v>0</v>
      </c>
      <c r="R794" s="2" t="inlineStr"/>
    </row>
    <row r="795" ht="15" customHeight="1">
      <c r="A795" t="inlineStr">
        <is>
          <t>A 52227-2024</t>
        </is>
      </c>
      <c r="B795" s="1" t="n">
        <v>45608.60768518518</v>
      </c>
      <c r="C795" s="1" t="n">
        <v>45976</v>
      </c>
      <c r="D795" t="inlineStr">
        <is>
          <t>JÄMTLANDS LÄN</t>
        </is>
      </c>
      <c r="E795" t="inlineStr">
        <is>
          <t>BRÄCKE</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39535-2025</t>
        </is>
      </c>
      <c r="B796" s="1" t="n">
        <v>45890.44881944444</v>
      </c>
      <c r="C796" s="1" t="n">
        <v>45976</v>
      </c>
      <c r="D796" t="inlineStr">
        <is>
          <t>JÄMTLANDS LÄN</t>
        </is>
      </c>
      <c r="E796" t="inlineStr">
        <is>
          <t>BRÄCKE</t>
        </is>
      </c>
      <c r="G796" t="n">
        <v>6.4</v>
      </c>
      <c r="H796" t="n">
        <v>0</v>
      </c>
      <c r="I796" t="n">
        <v>0</v>
      </c>
      <c r="J796" t="n">
        <v>0</v>
      </c>
      <c r="K796" t="n">
        <v>0</v>
      </c>
      <c r="L796" t="n">
        <v>0</v>
      </c>
      <c r="M796" t="n">
        <v>0</v>
      </c>
      <c r="N796" t="n">
        <v>0</v>
      </c>
      <c r="O796" t="n">
        <v>0</v>
      </c>
      <c r="P796" t="n">
        <v>0</v>
      </c>
      <c r="Q796" t="n">
        <v>0</v>
      </c>
      <c r="R796" s="2" t="inlineStr"/>
    </row>
    <row r="797" ht="15" customHeight="1">
      <c r="A797" t="inlineStr">
        <is>
          <t>A 39745-2025</t>
        </is>
      </c>
      <c r="B797" s="1" t="n">
        <v>45891.38579861111</v>
      </c>
      <c r="C797" s="1" t="n">
        <v>45976</v>
      </c>
      <c r="D797" t="inlineStr">
        <is>
          <t>JÄMTLANDS LÄN</t>
        </is>
      </c>
      <c r="E797" t="inlineStr">
        <is>
          <t>BRÄCKE</t>
        </is>
      </c>
      <c r="G797" t="n">
        <v>3.4</v>
      </c>
      <c r="H797" t="n">
        <v>0</v>
      </c>
      <c r="I797" t="n">
        <v>0</v>
      </c>
      <c r="J797" t="n">
        <v>0</v>
      </c>
      <c r="K797" t="n">
        <v>0</v>
      </c>
      <c r="L797" t="n">
        <v>0</v>
      </c>
      <c r="M797" t="n">
        <v>0</v>
      </c>
      <c r="N797" t="n">
        <v>0</v>
      </c>
      <c r="O797" t="n">
        <v>0</v>
      </c>
      <c r="P797" t="n">
        <v>0</v>
      </c>
      <c r="Q797" t="n">
        <v>0</v>
      </c>
      <c r="R797" s="2" t="inlineStr"/>
    </row>
    <row r="798" ht="15" customHeight="1">
      <c r="A798" t="inlineStr">
        <is>
          <t>A 47560-2021</t>
        </is>
      </c>
      <c r="B798" s="1" t="n">
        <v>44447.94313657407</v>
      </c>
      <c r="C798" s="1" t="n">
        <v>45976</v>
      </c>
      <c r="D798" t="inlineStr">
        <is>
          <t>JÄMTLANDS LÄN</t>
        </is>
      </c>
      <c r="E798" t="inlineStr">
        <is>
          <t>BRÄCKE</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30287-2024</t>
        </is>
      </c>
      <c r="B799" s="1" t="n">
        <v>45490.6452199074</v>
      </c>
      <c r="C799" s="1" t="n">
        <v>45976</v>
      </c>
      <c r="D799" t="inlineStr">
        <is>
          <t>JÄMTLANDS LÄN</t>
        </is>
      </c>
      <c r="E799" t="inlineStr">
        <is>
          <t>BRÄCKE</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2065-2024</t>
        </is>
      </c>
      <c r="B800" s="1" t="n">
        <v>45308.97871527778</v>
      </c>
      <c r="C800" s="1" t="n">
        <v>45976</v>
      </c>
      <c r="D800" t="inlineStr">
        <is>
          <t>JÄMTLANDS LÄN</t>
        </is>
      </c>
      <c r="E800" t="inlineStr">
        <is>
          <t>BRÄCKE</t>
        </is>
      </c>
      <c r="F800" t="inlineStr">
        <is>
          <t>SCA</t>
        </is>
      </c>
      <c r="G800" t="n">
        <v>6</v>
      </c>
      <c r="H800" t="n">
        <v>0</v>
      </c>
      <c r="I800" t="n">
        <v>0</v>
      </c>
      <c r="J800" t="n">
        <v>0</v>
      </c>
      <c r="K800" t="n">
        <v>0</v>
      </c>
      <c r="L800" t="n">
        <v>0</v>
      </c>
      <c r="M800" t="n">
        <v>0</v>
      </c>
      <c r="N800" t="n">
        <v>0</v>
      </c>
      <c r="O800" t="n">
        <v>0</v>
      </c>
      <c r="P800" t="n">
        <v>0</v>
      </c>
      <c r="Q800" t="n">
        <v>0</v>
      </c>
      <c r="R800" s="2" t="inlineStr"/>
    </row>
    <row r="801" ht="15" customHeight="1">
      <c r="A801" t="inlineStr">
        <is>
          <t>A 59774-2024</t>
        </is>
      </c>
      <c r="B801" s="1" t="n">
        <v>45639.56954861111</v>
      </c>
      <c r="C801" s="1" t="n">
        <v>45976</v>
      </c>
      <c r="D801" t="inlineStr">
        <is>
          <t>JÄMTLANDS LÄN</t>
        </is>
      </c>
      <c r="E801" t="inlineStr">
        <is>
          <t>BRÄCKE</t>
        </is>
      </c>
      <c r="G801" t="n">
        <v>2.4</v>
      </c>
      <c r="H801" t="n">
        <v>0</v>
      </c>
      <c r="I801" t="n">
        <v>0</v>
      </c>
      <c r="J801" t="n">
        <v>0</v>
      </c>
      <c r="K801" t="n">
        <v>0</v>
      </c>
      <c r="L801" t="n">
        <v>0</v>
      </c>
      <c r="M801" t="n">
        <v>0</v>
      </c>
      <c r="N801" t="n">
        <v>0</v>
      </c>
      <c r="O801" t="n">
        <v>0</v>
      </c>
      <c r="P801" t="n">
        <v>0</v>
      </c>
      <c r="Q801" t="n">
        <v>0</v>
      </c>
      <c r="R801" s="2" t="inlineStr"/>
    </row>
    <row r="802" ht="15" customHeight="1">
      <c r="A802" t="inlineStr">
        <is>
          <t>A 39901-2025</t>
        </is>
      </c>
      <c r="B802" s="1" t="n">
        <v>45891.63577546296</v>
      </c>
      <c r="C802" s="1" t="n">
        <v>45976</v>
      </c>
      <c r="D802" t="inlineStr">
        <is>
          <t>JÄMTLANDS LÄN</t>
        </is>
      </c>
      <c r="E802" t="inlineStr">
        <is>
          <t>BRÄCKE</t>
        </is>
      </c>
      <c r="G802" t="n">
        <v>2.3</v>
      </c>
      <c r="H802" t="n">
        <v>0</v>
      </c>
      <c r="I802" t="n">
        <v>0</v>
      </c>
      <c r="J802" t="n">
        <v>0</v>
      </c>
      <c r="K802" t="n">
        <v>0</v>
      </c>
      <c r="L802" t="n">
        <v>0</v>
      </c>
      <c r="M802" t="n">
        <v>0</v>
      </c>
      <c r="N802" t="n">
        <v>0</v>
      </c>
      <c r="O802" t="n">
        <v>0</v>
      </c>
      <c r="P802" t="n">
        <v>0</v>
      </c>
      <c r="Q802" t="n">
        <v>0</v>
      </c>
      <c r="R802" s="2" t="inlineStr"/>
    </row>
    <row r="803" ht="15" customHeight="1">
      <c r="A803" t="inlineStr">
        <is>
          <t>A 11309-2025</t>
        </is>
      </c>
      <c r="B803" s="1" t="n">
        <v>45726</v>
      </c>
      <c r="C803" s="1" t="n">
        <v>45976</v>
      </c>
      <c r="D803" t="inlineStr">
        <is>
          <t>JÄMTLANDS LÄN</t>
        </is>
      </c>
      <c r="E803" t="inlineStr">
        <is>
          <t>BRÄCKE</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782-2025</t>
        </is>
      </c>
      <c r="B804" s="1" t="n">
        <v>45665.48423611111</v>
      </c>
      <c r="C804" s="1" t="n">
        <v>45976</v>
      </c>
      <c r="D804" t="inlineStr">
        <is>
          <t>JÄMTLANDS LÄN</t>
        </is>
      </c>
      <c r="E804" t="inlineStr">
        <is>
          <t>BRÄCKE</t>
        </is>
      </c>
      <c r="G804" t="n">
        <v>1.1</v>
      </c>
      <c r="H804" t="n">
        <v>0</v>
      </c>
      <c r="I804" t="n">
        <v>0</v>
      </c>
      <c r="J804" t="n">
        <v>0</v>
      </c>
      <c r="K804" t="n">
        <v>0</v>
      </c>
      <c r="L804" t="n">
        <v>0</v>
      </c>
      <c r="M804" t="n">
        <v>0</v>
      </c>
      <c r="N804" t="n">
        <v>0</v>
      </c>
      <c r="O804" t="n">
        <v>0</v>
      </c>
      <c r="P804" t="n">
        <v>0</v>
      </c>
      <c r="Q804" t="n">
        <v>0</v>
      </c>
      <c r="R804" s="2" t="inlineStr"/>
    </row>
    <row r="805" ht="15" customHeight="1">
      <c r="A805" t="inlineStr">
        <is>
          <t>A 54447-2023</t>
        </is>
      </c>
      <c r="B805" s="1" t="n">
        <v>45233.44271990741</v>
      </c>
      <c r="C805" s="1" t="n">
        <v>45976</v>
      </c>
      <c r="D805" t="inlineStr">
        <is>
          <t>JÄMTLANDS LÄN</t>
        </is>
      </c>
      <c r="E805" t="inlineStr">
        <is>
          <t>BRÄCKE</t>
        </is>
      </c>
      <c r="G805" t="n">
        <v>1.2</v>
      </c>
      <c r="H805" t="n">
        <v>0</v>
      </c>
      <c r="I805" t="n">
        <v>0</v>
      </c>
      <c r="J805" t="n">
        <v>0</v>
      </c>
      <c r="K805" t="n">
        <v>0</v>
      </c>
      <c r="L805" t="n">
        <v>0</v>
      </c>
      <c r="M805" t="n">
        <v>0</v>
      </c>
      <c r="N805" t="n">
        <v>0</v>
      </c>
      <c r="O805" t="n">
        <v>0</v>
      </c>
      <c r="P805" t="n">
        <v>0</v>
      </c>
      <c r="Q805" t="n">
        <v>0</v>
      </c>
      <c r="R805" s="2" t="inlineStr"/>
    </row>
    <row r="806" ht="15" customHeight="1">
      <c r="A806" t="inlineStr">
        <is>
          <t>A 41936-2023</t>
        </is>
      </c>
      <c r="B806" s="1" t="n">
        <v>45176.94594907408</v>
      </c>
      <c r="C806" s="1" t="n">
        <v>45976</v>
      </c>
      <c r="D806" t="inlineStr">
        <is>
          <t>JÄMTLANDS LÄN</t>
        </is>
      </c>
      <c r="E806" t="inlineStr">
        <is>
          <t>BRÄCKE</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6213-2025</t>
        </is>
      </c>
      <c r="B807" s="1" t="n">
        <v>45698.51072916666</v>
      </c>
      <c r="C807" s="1" t="n">
        <v>45976</v>
      </c>
      <c r="D807" t="inlineStr">
        <is>
          <t>JÄMTLANDS LÄN</t>
        </is>
      </c>
      <c r="E807" t="inlineStr">
        <is>
          <t>BRÄCKE</t>
        </is>
      </c>
      <c r="F807" t="inlineStr">
        <is>
          <t>SCA</t>
        </is>
      </c>
      <c r="G807" t="n">
        <v>11.4</v>
      </c>
      <c r="H807" t="n">
        <v>0</v>
      </c>
      <c r="I807" t="n">
        <v>0</v>
      </c>
      <c r="J807" t="n">
        <v>0</v>
      </c>
      <c r="K807" t="n">
        <v>0</v>
      </c>
      <c r="L807" t="n">
        <v>0</v>
      </c>
      <c r="M807" t="n">
        <v>0</v>
      </c>
      <c r="N807" t="n">
        <v>0</v>
      </c>
      <c r="O807" t="n">
        <v>0</v>
      </c>
      <c r="P807" t="n">
        <v>0</v>
      </c>
      <c r="Q807" t="n">
        <v>0</v>
      </c>
      <c r="R807" s="2" t="inlineStr"/>
    </row>
    <row r="808" ht="15" customHeight="1">
      <c r="A808" t="inlineStr">
        <is>
          <t>A 23723-2025</t>
        </is>
      </c>
      <c r="B808" s="1" t="n">
        <v>45793</v>
      </c>
      <c r="C808" s="1" t="n">
        <v>45976</v>
      </c>
      <c r="D808" t="inlineStr">
        <is>
          <t>JÄMTLANDS LÄN</t>
        </is>
      </c>
      <c r="E808" t="inlineStr">
        <is>
          <t>BRÄCKE</t>
        </is>
      </c>
      <c r="F808" t="inlineStr">
        <is>
          <t>SCA</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28766-2024</t>
        </is>
      </c>
      <c r="B809" s="1" t="n">
        <v>45478</v>
      </c>
      <c r="C809" s="1" t="n">
        <v>45976</v>
      </c>
      <c r="D809" t="inlineStr">
        <is>
          <t>JÄMTLANDS LÄN</t>
        </is>
      </c>
      <c r="E809" t="inlineStr">
        <is>
          <t>BRÄCKE</t>
        </is>
      </c>
      <c r="F809" t="inlineStr">
        <is>
          <t>Sveaskog</t>
        </is>
      </c>
      <c r="G809" t="n">
        <v>2.1</v>
      </c>
      <c r="H809" t="n">
        <v>0</v>
      </c>
      <c r="I809" t="n">
        <v>0</v>
      </c>
      <c r="J809" t="n">
        <v>0</v>
      </c>
      <c r="K809" t="n">
        <v>0</v>
      </c>
      <c r="L809" t="n">
        <v>0</v>
      </c>
      <c r="M809" t="n">
        <v>0</v>
      </c>
      <c r="N809" t="n">
        <v>0</v>
      </c>
      <c r="O809" t="n">
        <v>0</v>
      </c>
      <c r="P809" t="n">
        <v>0</v>
      </c>
      <c r="Q809" t="n">
        <v>0</v>
      </c>
      <c r="R809" s="2" t="inlineStr"/>
    </row>
    <row r="810" ht="15" customHeight="1">
      <c r="A810" t="inlineStr">
        <is>
          <t>A 13668-2024</t>
        </is>
      </c>
      <c r="B810" s="1" t="n">
        <v>45387</v>
      </c>
      <c r="C810" s="1" t="n">
        <v>45976</v>
      </c>
      <c r="D810" t="inlineStr">
        <is>
          <t>JÄMTLANDS LÄN</t>
        </is>
      </c>
      <c r="E810" t="inlineStr">
        <is>
          <t>BRÄCKE</t>
        </is>
      </c>
      <c r="G810" t="n">
        <v>8.1</v>
      </c>
      <c r="H810" t="n">
        <v>0</v>
      </c>
      <c r="I810" t="n">
        <v>0</v>
      </c>
      <c r="J810" t="n">
        <v>0</v>
      </c>
      <c r="K810" t="n">
        <v>0</v>
      </c>
      <c r="L810" t="n">
        <v>0</v>
      </c>
      <c r="M810" t="n">
        <v>0</v>
      </c>
      <c r="N810" t="n">
        <v>0</v>
      </c>
      <c r="O810" t="n">
        <v>0</v>
      </c>
      <c r="P810" t="n">
        <v>0</v>
      </c>
      <c r="Q810" t="n">
        <v>0</v>
      </c>
      <c r="R810" s="2" t="inlineStr"/>
    </row>
    <row r="811" ht="15" customHeight="1">
      <c r="A811" t="inlineStr">
        <is>
          <t>A 4123-2025</t>
        </is>
      </c>
      <c r="B811" s="1" t="n">
        <v>45685.27107638889</v>
      </c>
      <c r="C811" s="1" t="n">
        <v>45976</v>
      </c>
      <c r="D811" t="inlineStr">
        <is>
          <t>JÄMTLANDS LÄN</t>
        </is>
      </c>
      <c r="E811" t="inlineStr">
        <is>
          <t>BRÄCKE</t>
        </is>
      </c>
      <c r="G811" t="n">
        <v>0.3</v>
      </c>
      <c r="H811" t="n">
        <v>0</v>
      </c>
      <c r="I811" t="n">
        <v>0</v>
      </c>
      <c r="J811" t="n">
        <v>0</v>
      </c>
      <c r="K811" t="n">
        <v>0</v>
      </c>
      <c r="L811" t="n">
        <v>0</v>
      </c>
      <c r="M811" t="n">
        <v>0</v>
      </c>
      <c r="N811" t="n">
        <v>0</v>
      </c>
      <c r="O811" t="n">
        <v>0</v>
      </c>
      <c r="P811" t="n">
        <v>0</v>
      </c>
      <c r="Q811" t="n">
        <v>0</v>
      </c>
      <c r="R811" s="2" t="inlineStr"/>
    </row>
    <row r="812" ht="15" customHeight="1">
      <c r="A812" t="inlineStr">
        <is>
          <t>A 27354-2023</t>
        </is>
      </c>
      <c r="B812" s="1" t="n">
        <v>45096</v>
      </c>
      <c r="C812" s="1" t="n">
        <v>45976</v>
      </c>
      <c r="D812" t="inlineStr">
        <is>
          <t>JÄMTLANDS LÄN</t>
        </is>
      </c>
      <c r="E812" t="inlineStr">
        <is>
          <t>BRÄCKE</t>
        </is>
      </c>
      <c r="G812" t="n">
        <v>2.3</v>
      </c>
      <c r="H812" t="n">
        <v>0</v>
      </c>
      <c r="I812" t="n">
        <v>0</v>
      </c>
      <c r="J812" t="n">
        <v>0</v>
      </c>
      <c r="K812" t="n">
        <v>0</v>
      </c>
      <c r="L812" t="n">
        <v>0</v>
      </c>
      <c r="M812" t="n">
        <v>0</v>
      </c>
      <c r="N812" t="n">
        <v>0</v>
      </c>
      <c r="O812" t="n">
        <v>0</v>
      </c>
      <c r="P812" t="n">
        <v>0</v>
      </c>
      <c r="Q812" t="n">
        <v>0</v>
      </c>
      <c r="R812" s="2" t="inlineStr"/>
    </row>
    <row r="813" ht="15" customHeight="1">
      <c r="A813" t="inlineStr">
        <is>
          <t>A 48562-2025</t>
        </is>
      </c>
      <c r="B813" s="1" t="n">
        <v>45936.43636574074</v>
      </c>
      <c r="C813" s="1" t="n">
        <v>45976</v>
      </c>
      <c r="D813" t="inlineStr">
        <is>
          <t>JÄMTLANDS LÄN</t>
        </is>
      </c>
      <c r="E813" t="inlineStr">
        <is>
          <t>BRÄCKE</t>
        </is>
      </c>
      <c r="F813" t="inlineStr">
        <is>
          <t>Övriga Aktiebolag</t>
        </is>
      </c>
      <c r="G813" t="n">
        <v>6.6</v>
      </c>
      <c r="H813" t="n">
        <v>0</v>
      </c>
      <c r="I813" t="n">
        <v>0</v>
      </c>
      <c r="J813" t="n">
        <v>0</v>
      </c>
      <c r="K813" t="n">
        <v>0</v>
      </c>
      <c r="L813" t="n">
        <v>0</v>
      </c>
      <c r="M813" t="n">
        <v>0</v>
      </c>
      <c r="N813" t="n">
        <v>0</v>
      </c>
      <c r="O813" t="n">
        <v>0</v>
      </c>
      <c r="P813" t="n">
        <v>0</v>
      </c>
      <c r="Q813" t="n">
        <v>0</v>
      </c>
      <c r="R813" s="2" t="inlineStr"/>
    </row>
    <row r="814" ht="15" customHeight="1">
      <c r="A814" t="inlineStr">
        <is>
          <t>A 40411-2025</t>
        </is>
      </c>
      <c r="B814" s="1" t="n">
        <v>45895.57373842593</v>
      </c>
      <c r="C814" s="1" t="n">
        <v>45976</v>
      </c>
      <c r="D814" t="inlineStr">
        <is>
          <t>JÄMTLANDS LÄN</t>
        </is>
      </c>
      <c r="E814" t="inlineStr">
        <is>
          <t>BRÄCKE</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59419-2023</t>
        </is>
      </c>
      <c r="B815" s="1" t="n">
        <v>45253.96864583333</v>
      </c>
      <c r="C815" s="1" t="n">
        <v>45976</v>
      </c>
      <c r="D815" t="inlineStr">
        <is>
          <t>JÄMTLANDS LÄN</t>
        </is>
      </c>
      <c r="E815" t="inlineStr">
        <is>
          <t>BRÄCKE</t>
        </is>
      </c>
      <c r="F815" t="inlineStr">
        <is>
          <t>SCA</t>
        </is>
      </c>
      <c r="G815" t="n">
        <v>0.8</v>
      </c>
      <c r="H815" t="n">
        <v>0</v>
      </c>
      <c r="I815" t="n">
        <v>0</v>
      </c>
      <c r="J815" t="n">
        <v>0</v>
      </c>
      <c r="K815" t="n">
        <v>0</v>
      </c>
      <c r="L815" t="n">
        <v>0</v>
      </c>
      <c r="M815" t="n">
        <v>0</v>
      </c>
      <c r="N815" t="n">
        <v>0</v>
      </c>
      <c r="O815" t="n">
        <v>0</v>
      </c>
      <c r="P815" t="n">
        <v>0</v>
      </c>
      <c r="Q815" t="n">
        <v>0</v>
      </c>
      <c r="R815" s="2" t="inlineStr"/>
    </row>
    <row r="816" ht="15" customHeight="1">
      <c r="A816" t="inlineStr">
        <is>
          <t>A 8865-2023</t>
        </is>
      </c>
      <c r="B816" s="1" t="n">
        <v>44978</v>
      </c>
      <c r="C816" s="1" t="n">
        <v>45976</v>
      </c>
      <c r="D816" t="inlineStr">
        <is>
          <t>JÄMTLANDS LÄN</t>
        </is>
      </c>
      <c r="E816" t="inlineStr">
        <is>
          <t>BRÄCKE</t>
        </is>
      </c>
      <c r="G816" t="n">
        <v>2.9</v>
      </c>
      <c r="H816" t="n">
        <v>0</v>
      </c>
      <c r="I816" t="n">
        <v>0</v>
      </c>
      <c r="J816" t="n">
        <v>0</v>
      </c>
      <c r="K816" t="n">
        <v>0</v>
      </c>
      <c r="L816" t="n">
        <v>0</v>
      </c>
      <c r="M816" t="n">
        <v>0</v>
      </c>
      <c r="N816" t="n">
        <v>0</v>
      </c>
      <c r="O816" t="n">
        <v>0</v>
      </c>
      <c r="P816" t="n">
        <v>0</v>
      </c>
      <c r="Q816" t="n">
        <v>0</v>
      </c>
      <c r="R816" s="2" t="inlineStr"/>
    </row>
    <row r="817" ht="15" customHeight="1">
      <c r="A817" t="inlineStr">
        <is>
          <t>A 62102-2024</t>
        </is>
      </c>
      <c r="B817" s="1" t="n">
        <v>45656.51145833333</v>
      </c>
      <c r="C817" s="1" t="n">
        <v>45976</v>
      </c>
      <c r="D817" t="inlineStr">
        <is>
          <t>JÄMTLANDS LÄN</t>
        </is>
      </c>
      <c r="E817" t="inlineStr">
        <is>
          <t>BRÄCKE</t>
        </is>
      </c>
      <c r="F817" t="inlineStr">
        <is>
          <t>SCA</t>
        </is>
      </c>
      <c r="G817" t="n">
        <v>0.9</v>
      </c>
      <c r="H817" t="n">
        <v>0</v>
      </c>
      <c r="I817" t="n">
        <v>0</v>
      </c>
      <c r="J817" t="n">
        <v>0</v>
      </c>
      <c r="K817" t="n">
        <v>0</v>
      </c>
      <c r="L817" t="n">
        <v>0</v>
      </c>
      <c r="M817" t="n">
        <v>0</v>
      </c>
      <c r="N817" t="n">
        <v>0</v>
      </c>
      <c r="O817" t="n">
        <v>0</v>
      </c>
      <c r="P817" t="n">
        <v>0</v>
      </c>
      <c r="Q817" t="n">
        <v>0</v>
      </c>
      <c r="R817" s="2" t="inlineStr"/>
    </row>
    <row r="818" ht="15" customHeight="1">
      <c r="A818" t="inlineStr">
        <is>
          <t>A 48660-2025</t>
        </is>
      </c>
      <c r="B818" s="1" t="n">
        <v>45936.56836805555</v>
      </c>
      <c r="C818" s="1" t="n">
        <v>45976</v>
      </c>
      <c r="D818" t="inlineStr">
        <is>
          <t>JÄMTLANDS LÄN</t>
        </is>
      </c>
      <c r="E818" t="inlineStr">
        <is>
          <t>BRÄCKE</t>
        </is>
      </c>
      <c r="F818" t="inlineStr">
        <is>
          <t>Övriga Aktiebolag</t>
        </is>
      </c>
      <c r="G818" t="n">
        <v>0.8</v>
      </c>
      <c r="H818" t="n">
        <v>0</v>
      </c>
      <c r="I818" t="n">
        <v>0</v>
      </c>
      <c r="J818" t="n">
        <v>0</v>
      </c>
      <c r="K818" t="n">
        <v>0</v>
      </c>
      <c r="L818" t="n">
        <v>0</v>
      </c>
      <c r="M818" t="n">
        <v>0</v>
      </c>
      <c r="N818" t="n">
        <v>0</v>
      </c>
      <c r="O818" t="n">
        <v>0</v>
      </c>
      <c r="P818" t="n">
        <v>0</v>
      </c>
      <c r="Q818" t="n">
        <v>0</v>
      </c>
      <c r="R818" s="2" t="inlineStr"/>
    </row>
    <row r="819" ht="15" customHeight="1">
      <c r="A819" t="inlineStr">
        <is>
          <t>A 68968-2020</t>
        </is>
      </c>
      <c r="B819" s="1" t="n">
        <v>44187</v>
      </c>
      <c r="C819" s="1" t="n">
        <v>45976</v>
      </c>
      <c r="D819" t="inlineStr">
        <is>
          <t>JÄMTLANDS LÄN</t>
        </is>
      </c>
      <c r="E819" t="inlineStr">
        <is>
          <t>BRÄCKE</t>
        </is>
      </c>
      <c r="G819" t="n">
        <v>14.2</v>
      </c>
      <c r="H819" t="n">
        <v>0</v>
      </c>
      <c r="I819" t="n">
        <v>0</v>
      </c>
      <c r="J819" t="n">
        <v>0</v>
      </c>
      <c r="K819" t="n">
        <v>0</v>
      </c>
      <c r="L819" t="n">
        <v>0</v>
      </c>
      <c r="M819" t="n">
        <v>0</v>
      </c>
      <c r="N819" t="n">
        <v>0</v>
      </c>
      <c r="O819" t="n">
        <v>0</v>
      </c>
      <c r="P819" t="n">
        <v>0</v>
      </c>
      <c r="Q819" t="n">
        <v>0</v>
      </c>
      <c r="R819" s="2" t="inlineStr"/>
    </row>
    <row r="820" ht="15" customHeight="1">
      <c r="A820" t="inlineStr">
        <is>
          <t>A 22459-2024</t>
        </is>
      </c>
      <c r="B820" s="1" t="n">
        <v>45446.94972222222</v>
      </c>
      <c r="C820" s="1" t="n">
        <v>45976</v>
      </c>
      <c r="D820" t="inlineStr">
        <is>
          <t>JÄMTLANDS LÄN</t>
        </is>
      </c>
      <c r="E820" t="inlineStr">
        <is>
          <t>BRÄCKE</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61483-2024</t>
        </is>
      </c>
      <c r="B821" s="1" t="n">
        <v>45646.52915509259</v>
      </c>
      <c r="C821" s="1" t="n">
        <v>45976</v>
      </c>
      <c r="D821" t="inlineStr">
        <is>
          <t>JÄMTLANDS LÄN</t>
        </is>
      </c>
      <c r="E821" t="inlineStr">
        <is>
          <t>BRÄCKE</t>
        </is>
      </c>
      <c r="F821" t="inlineStr">
        <is>
          <t>Övriga Aktiebolag</t>
        </is>
      </c>
      <c r="G821" t="n">
        <v>13.8</v>
      </c>
      <c r="H821" t="n">
        <v>0</v>
      </c>
      <c r="I821" t="n">
        <v>0</v>
      </c>
      <c r="J821" t="n">
        <v>0</v>
      </c>
      <c r="K821" t="n">
        <v>0</v>
      </c>
      <c r="L821" t="n">
        <v>0</v>
      </c>
      <c r="M821" t="n">
        <v>0</v>
      </c>
      <c r="N821" t="n">
        <v>0</v>
      </c>
      <c r="O821" t="n">
        <v>0</v>
      </c>
      <c r="P821" t="n">
        <v>0</v>
      </c>
      <c r="Q821" t="n">
        <v>0</v>
      </c>
      <c r="R821" s="2" t="inlineStr"/>
    </row>
    <row r="822" ht="15" customHeight="1">
      <c r="A822" t="inlineStr">
        <is>
          <t>A 14630-2025</t>
        </is>
      </c>
      <c r="B822" s="1" t="n">
        <v>45742.42767361111</v>
      </c>
      <c r="C822" s="1" t="n">
        <v>45976</v>
      </c>
      <c r="D822" t="inlineStr">
        <is>
          <t>JÄMTLANDS LÄN</t>
        </is>
      </c>
      <c r="E822" t="inlineStr">
        <is>
          <t>BRÄCKE</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5169-2025</t>
        </is>
      </c>
      <c r="B823" s="1" t="n">
        <v>45691.61571759259</v>
      </c>
      <c r="C823" s="1" t="n">
        <v>45976</v>
      </c>
      <c r="D823" t="inlineStr">
        <is>
          <t>JÄMTLANDS LÄN</t>
        </is>
      </c>
      <c r="E823" t="inlineStr">
        <is>
          <t>BRÄCKE</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8958-2023</t>
        </is>
      </c>
      <c r="B824" s="1" t="n">
        <v>44979.47976851852</v>
      </c>
      <c r="C824" s="1" t="n">
        <v>45976</v>
      </c>
      <c r="D824" t="inlineStr">
        <is>
          <t>JÄMTLANDS LÄN</t>
        </is>
      </c>
      <c r="E824" t="inlineStr">
        <is>
          <t>BRÄCKE</t>
        </is>
      </c>
      <c r="G824" t="n">
        <v>4.9</v>
      </c>
      <c r="H824" t="n">
        <v>0</v>
      </c>
      <c r="I824" t="n">
        <v>0</v>
      </c>
      <c r="J824" t="n">
        <v>0</v>
      </c>
      <c r="K824" t="n">
        <v>0</v>
      </c>
      <c r="L824" t="n">
        <v>0</v>
      </c>
      <c r="M824" t="n">
        <v>0</v>
      </c>
      <c r="N824" t="n">
        <v>0</v>
      </c>
      <c r="O824" t="n">
        <v>0</v>
      </c>
      <c r="P824" t="n">
        <v>0</v>
      </c>
      <c r="Q824" t="n">
        <v>0</v>
      </c>
      <c r="R824" s="2" t="inlineStr"/>
    </row>
    <row r="825" ht="15" customHeight="1">
      <c r="A825" t="inlineStr">
        <is>
          <t>A 19485-2023</t>
        </is>
      </c>
      <c r="B825" s="1" t="n">
        <v>45049</v>
      </c>
      <c r="C825" s="1" t="n">
        <v>45976</v>
      </c>
      <c r="D825" t="inlineStr">
        <is>
          <t>JÄMTLANDS LÄN</t>
        </is>
      </c>
      <c r="E825" t="inlineStr">
        <is>
          <t>BRÄCKE</t>
        </is>
      </c>
      <c r="G825" t="n">
        <v>2.6</v>
      </c>
      <c r="H825" t="n">
        <v>0</v>
      </c>
      <c r="I825" t="n">
        <v>0</v>
      </c>
      <c r="J825" t="n">
        <v>0</v>
      </c>
      <c r="K825" t="n">
        <v>0</v>
      </c>
      <c r="L825" t="n">
        <v>0</v>
      </c>
      <c r="M825" t="n">
        <v>0</v>
      </c>
      <c r="N825" t="n">
        <v>0</v>
      </c>
      <c r="O825" t="n">
        <v>0</v>
      </c>
      <c r="P825" t="n">
        <v>0</v>
      </c>
      <c r="Q825" t="n">
        <v>0</v>
      </c>
      <c r="R825" s="2" t="inlineStr"/>
    </row>
    <row r="826" ht="15" customHeight="1">
      <c r="A826" t="inlineStr">
        <is>
          <t>A 6768-2023</t>
        </is>
      </c>
      <c r="B826" s="1" t="n">
        <v>44966.93079861111</v>
      </c>
      <c r="C826" s="1" t="n">
        <v>45976</v>
      </c>
      <c r="D826" t="inlineStr">
        <is>
          <t>JÄMTLANDS LÄN</t>
        </is>
      </c>
      <c r="E826" t="inlineStr">
        <is>
          <t>BRÄCKE</t>
        </is>
      </c>
      <c r="G826" t="n">
        <v>3.4</v>
      </c>
      <c r="H826" t="n">
        <v>0</v>
      </c>
      <c r="I826" t="n">
        <v>0</v>
      </c>
      <c r="J826" t="n">
        <v>0</v>
      </c>
      <c r="K826" t="n">
        <v>0</v>
      </c>
      <c r="L826" t="n">
        <v>0</v>
      </c>
      <c r="M826" t="n">
        <v>0</v>
      </c>
      <c r="N826" t="n">
        <v>0</v>
      </c>
      <c r="O826" t="n">
        <v>0</v>
      </c>
      <c r="P826" t="n">
        <v>0</v>
      </c>
      <c r="Q826" t="n">
        <v>0</v>
      </c>
      <c r="R826" s="2" t="inlineStr"/>
      <c r="U826">
        <f>HYPERLINK("https://klasma.github.io/Logging_2305/knärot/A 6768-2023 karta knärot.png", "A 6768-2023")</f>
        <v/>
      </c>
      <c r="V826">
        <f>HYPERLINK("https://klasma.github.io/Logging_2305/klagomål/A 6768-2023 FSC-klagomål.docx", "A 6768-2023")</f>
        <v/>
      </c>
      <c r="W826">
        <f>HYPERLINK("https://klasma.github.io/Logging_2305/klagomålsmail/A 6768-2023 FSC-klagomål mail.docx", "A 6768-2023")</f>
        <v/>
      </c>
      <c r="X826">
        <f>HYPERLINK("https://klasma.github.io/Logging_2305/tillsyn/A 6768-2023 tillsynsbegäran.docx", "A 6768-2023")</f>
        <v/>
      </c>
      <c r="Y826">
        <f>HYPERLINK("https://klasma.github.io/Logging_2305/tillsynsmail/A 6768-2023 tillsynsbegäran mail.docx", "A 6768-2023")</f>
        <v/>
      </c>
    </row>
    <row r="827" ht="15" customHeight="1">
      <c r="A827" t="inlineStr">
        <is>
          <t>A 20798-2024</t>
        </is>
      </c>
      <c r="B827" s="1" t="n">
        <v>45438.94798611111</v>
      </c>
      <c r="C827" s="1" t="n">
        <v>45976</v>
      </c>
      <c r="D827" t="inlineStr">
        <is>
          <t>JÄMTLANDS LÄN</t>
        </is>
      </c>
      <c r="E827" t="inlineStr">
        <is>
          <t>BRÄCKE</t>
        </is>
      </c>
      <c r="F827" t="inlineStr">
        <is>
          <t>SCA</t>
        </is>
      </c>
      <c r="G827" t="n">
        <v>7.4</v>
      </c>
      <c r="H827" t="n">
        <v>0</v>
      </c>
      <c r="I827" t="n">
        <v>0</v>
      </c>
      <c r="J827" t="n">
        <v>0</v>
      </c>
      <c r="K827" t="n">
        <v>0</v>
      </c>
      <c r="L827" t="n">
        <v>0</v>
      </c>
      <c r="M827" t="n">
        <v>0</v>
      </c>
      <c r="N827" t="n">
        <v>0</v>
      </c>
      <c r="O827" t="n">
        <v>0</v>
      </c>
      <c r="P827" t="n">
        <v>0</v>
      </c>
      <c r="Q827" t="n">
        <v>0</v>
      </c>
      <c r="R827" s="2" t="inlineStr"/>
    </row>
    <row r="828" ht="15" customHeight="1">
      <c r="A828" t="inlineStr">
        <is>
          <t>A 45758-2024</t>
        </is>
      </c>
      <c r="B828" s="1" t="n">
        <v>45579.6357175926</v>
      </c>
      <c r="C828" s="1" t="n">
        <v>45976</v>
      </c>
      <c r="D828" t="inlineStr">
        <is>
          <t>JÄMTLANDS LÄN</t>
        </is>
      </c>
      <c r="E828" t="inlineStr">
        <is>
          <t>BRÄCKE</t>
        </is>
      </c>
      <c r="F828" t="inlineStr">
        <is>
          <t>SCA</t>
        </is>
      </c>
      <c r="G828" t="n">
        <v>4.1</v>
      </c>
      <c r="H828" t="n">
        <v>0</v>
      </c>
      <c r="I828" t="n">
        <v>0</v>
      </c>
      <c r="J828" t="n">
        <v>0</v>
      </c>
      <c r="K828" t="n">
        <v>0</v>
      </c>
      <c r="L828" t="n">
        <v>0</v>
      </c>
      <c r="M828" t="n">
        <v>0</v>
      </c>
      <c r="N828" t="n">
        <v>0</v>
      </c>
      <c r="O828" t="n">
        <v>0</v>
      </c>
      <c r="P828" t="n">
        <v>0</v>
      </c>
      <c r="Q828" t="n">
        <v>0</v>
      </c>
      <c r="R828" s="2" t="inlineStr"/>
    </row>
    <row r="829" ht="15" customHeight="1">
      <c r="A829" t="inlineStr">
        <is>
          <t>A 48770-2023</t>
        </is>
      </c>
      <c r="B829" s="1" t="n">
        <v>45208.9489699074</v>
      </c>
      <c r="C829" s="1" t="n">
        <v>45976</v>
      </c>
      <c r="D829" t="inlineStr">
        <is>
          <t>JÄMTLANDS LÄN</t>
        </is>
      </c>
      <c r="E829" t="inlineStr">
        <is>
          <t>BRÄCKE</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48435-2023</t>
        </is>
      </c>
      <c r="B830" s="1" t="n">
        <v>45205</v>
      </c>
      <c r="C830" s="1" t="n">
        <v>45976</v>
      </c>
      <c r="D830" t="inlineStr">
        <is>
          <t>JÄMTLANDS LÄN</t>
        </is>
      </c>
      <c r="E830" t="inlineStr">
        <is>
          <t>BRÄCKE</t>
        </is>
      </c>
      <c r="F830" t="inlineStr">
        <is>
          <t>SCA</t>
        </is>
      </c>
      <c r="G830" t="n">
        <v>2.9</v>
      </c>
      <c r="H830" t="n">
        <v>0</v>
      </c>
      <c r="I830" t="n">
        <v>0</v>
      </c>
      <c r="J830" t="n">
        <v>0</v>
      </c>
      <c r="K830" t="n">
        <v>0</v>
      </c>
      <c r="L830" t="n">
        <v>0</v>
      </c>
      <c r="M830" t="n">
        <v>0</v>
      </c>
      <c r="N830" t="n">
        <v>0</v>
      </c>
      <c r="O830" t="n">
        <v>0</v>
      </c>
      <c r="P830" t="n">
        <v>0</v>
      </c>
      <c r="Q830" t="n">
        <v>0</v>
      </c>
      <c r="R830" s="2" t="inlineStr"/>
    </row>
    <row r="831" ht="15" customHeight="1">
      <c r="A831" t="inlineStr">
        <is>
          <t>A 48480-2023</t>
        </is>
      </c>
      <c r="B831" s="1" t="n">
        <v>45206.95831018518</v>
      </c>
      <c r="C831" s="1" t="n">
        <v>45976</v>
      </c>
      <c r="D831" t="inlineStr">
        <is>
          <t>JÄMTLANDS LÄN</t>
        </is>
      </c>
      <c r="E831" t="inlineStr">
        <is>
          <t>BRÄCKE</t>
        </is>
      </c>
      <c r="F831" t="inlineStr">
        <is>
          <t>SCA</t>
        </is>
      </c>
      <c r="G831" t="n">
        <v>4.5</v>
      </c>
      <c r="H831" t="n">
        <v>0</v>
      </c>
      <c r="I831" t="n">
        <v>0</v>
      </c>
      <c r="J831" t="n">
        <v>0</v>
      </c>
      <c r="K831" t="n">
        <v>0</v>
      </c>
      <c r="L831" t="n">
        <v>0</v>
      </c>
      <c r="M831" t="n">
        <v>0</v>
      </c>
      <c r="N831" t="n">
        <v>0</v>
      </c>
      <c r="O831" t="n">
        <v>0</v>
      </c>
      <c r="P831" t="n">
        <v>0</v>
      </c>
      <c r="Q831" t="n">
        <v>0</v>
      </c>
      <c r="R831" s="2" t="inlineStr"/>
    </row>
    <row r="832" ht="15" customHeight="1">
      <c r="A832" t="inlineStr">
        <is>
          <t>A 45807-2024</t>
        </is>
      </c>
      <c r="B832" s="1" t="n">
        <v>45579.69815972223</v>
      </c>
      <c r="C832" s="1" t="n">
        <v>45976</v>
      </c>
      <c r="D832" t="inlineStr">
        <is>
          <t>JÄMTLANDS LÄN</t>
        </is>
      </c>
      <c r="E832" t="inlineStr">
        <is>
          <t>BRÄCKE</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11438-2025</t>
        </is>
      </c>
      <c r="B833" s="1" t="n">
        <v>45726.61552083334</v>
      </c>
      <c r="C833" s="1" t="n">
        <v>45976</v>
      </c>
      <c r="D833" t="inlineStr">
        <is>
          <t>JÄMTLANDS LÄN</t>
        </is>
      </c>
      <c r="E833" t="inlineStr">
        <is>
          <t>BRÄCKE</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48706-2025</t>
        </is>
      </c>
      <c r="B834" s="1" t="n">
        <v>45936.62423611111</v>
      </c>
      <c r="C834" s="1" t="n">
        <v>45976</v>
      </c>
      <c r="D834" t="inlineStr">
        <is>
          <t>JÄMTLANDS LÄN</t>
        </is>
      </c>
      <c r="E834" t="inlineStr">
        <is>
          <t>BRÄCKE</t>
        </is>
      </c>
      <c r="F834" t="inlineStr">
        <is>
          <t>Övriga Aktiebolag</t>
        </is>
      </c>
      <c r="G834" t="n">
        <v>3.4</v>
      </c>
      <c r="H834" t="n">
        <v>0</v>
      </c>
      <c r="I834" t="n">
        <v>0</v>
      </c>
      <c r="J834" t="n">
        <v>0</v>
      </c>
      <c r="K834" t="n">
        <v>0</v>
      </c>
      <c r="L834" t="n">
        <v>0</v>
      </c>
      <c r="M834" t="n">
        <v>0</v>
      </c>
      <c r="N834" t="n">
        <v>0</v>
      </c>
      <c r="O834" t="n">
        <v>0</v>
      </c>
      <c r="P834" t="n">
        <v>0</v>
      </c>
      <c r="Q834" t="n">
        <v>0</v>
      </c>
      <c r="R834" s="2" t="inlineStr"/>
    </row>
    <row r="835" ht="15" customHeight="1">
      <c r="A835" t="inlineStr">
        <is>
          <t>A 783-2025</t>
        </is>
      </c>
      <c r="B835" s="1" t="n">
        <v>45665.49290509259</v>
      </c>
      <c r="C835" s="1" t="n">
        <v>45976</v>
      </c>
      <c r="D835" t="inlineStr">
        <is>
          <t>JÄMTLANDS LÄN</t>
        </is>
      </c>
      <c r="E835" t="inlineStr">
        <is>
          <t>BRÄCKE</t>
        </is>
      </c>
      <c r="G835" t="n">
        <v>4</v>
      </c>
      <c r="H835" t="n">
        <v>0</v>
      </c>
      <c r="I835" t="n">
        <v>0</v>
      </c>
      <c r="J835" t="n">
        <v>0</v>
      </c>
      <c r="K835" t="n">
        <v>0</v>
      </c>
      <c r="L835" t="n">
        <v>0</v>
      </c>
      <c r="M835" t="n">
        <v>0</v>
      </c>
      <c r="N835" t="n">
        <v>0</v>
      </c>
      <c r="O835" t="n">
        <v>0</v>
      </c>
      <c r="P835" t="n">
        <v>0</v>
      </c>
      <c r="Q835" t="n">
        <v>0</v>
      </c>
      <c r="R835" s="2" t="inlineStr"/>
    </row>
    <row r="836" ht="15" customHeight="1">
      <c r="A836" t="inlineStr">
        <is>
          <t>A 55512-2022</t>
        </is>
      </c>
      <c r="B836" s="1" t="n">
        <v>44887</v>
      </c>
      <c r="C836" s="1" t="n">
        <v>45976</v>
      </c>
      <c r="D836" t="inlineStr">
        <is>
          <t>JÄMTLANDS LÄN</t>
        </is>
      </c>
      <c r="E836" t="inlineStr">
        <is>
          <t>BRÄCKE</t>
        </is>
      </c>
      <c r="G836" t="n">
        <v>3.9</v>
      </c>
      <c r="H836" t="n">
        <v>0</v>
      </c>
      <c r="I836" t="n">
        <v>0</v>
      </c>
      <c r="J836" t="n">
        <v>0</v>
      </c>
      <c r="K836" t="n">
        <v>0</v>
      </c>
      <c r="L836" t="n">
        <v>0</v>
      </c>
      <c r="M836" t="n">
        <v>0</v>
      </c>
      <c r="N836" t="n">
        <v>0</v>
      </c>
      <c r="O836" t="n">
        <v>0</v>
      </c>
      <c r="P836" t="n">
        <v>0</v>
      </c>
      <c r="Q836" t="n">
        <v>0</v>
      </c>
      <c r="R836" s="2" t="inlineStr"/>
    </row>
    <row r="837" ht="15" customHeight="1">
      <c r="A837" t="inlineStr">
        <is>
          <t>A 52610-2024</t>
        </is>
      </c>
      <c r="B837" s="1" t="n">
        <v>45609.78957175926</v>
      </c>
      <c r="C837" s="1" t="n">
        <v>45976</v>
      </c>
      <c r="D837" t="inlineStr">
        <is>
          <t>JÄMTLANDS LÄN</t>
        </is>
      </c>
      <c r="E837" t="inlineStr">
        <is>
          <t>BRÄCKE</t>
        </is>
      </c>
      <c r="G837" t="n">
        <v>16.7</v>
      </c>
      <c r="H837" t="n">
        <v>0</v>
      </c>
      <c r="I837" t="n">
        <v>0</v>
      </c>
      <c r="J837" t="n">
        <v>0</v>
      </c>
      <c r="K837" t="n">
        <v>0</v>
      </c>
      <c r="L837" t="n">
        <v>0</v>
      </c>
      <c r="M837" t="n">
        <v>0</v>
      </c>
      <c r="N837" t="n">
        <v>0</v>
      </c>
      <c r="O837" t="n">
        <v>0</v>
      </c>
      <c r="P837" t="n">
        <v>0</v>
      </c>
      <c r="Q837" t="n">
        <v>0</v>
      </c>
      <c r="R837" s="2" t="inlineStr"/>
    </row>
    <row r="838" ht="15" customHeight="1">
      <c r="A838" t="inlineStr">
        <is>
          <t>A 2064-2024</t>
        </is>
      </c>
      <c r="B838" s="1" t="n">
        <v>45308</v>
      </c>
      <c r="C838" s="1" t="n">
        <v>45976</v>
      </c>
      <c r="D838" t="inlineStr">
        <is>
          <t>JÄMTLANDS LÄN</t>
        </is>
      </c>
      <c r="E838" t="inlineStr">
        <is>
          <t>BRÄCKE</t>
        </is>
      </c>
      <c r="F838" t="inlineStr">
        <is>
          <t>SCA</t>
        </is>
      </c>
      <c r="G838" t="n">
        <v>2</v>
      </c>
      <c r="H838" t="n">
        <v>0</v>
      </c>
      <c r="I838" t="n">
        <v>0</v>
      </c>
      <c r="J838" t="n">
        <v>0</v>
      </c>
      <c r="K838" t="n">
        <v>0</v>
      </c>
      <c r="L838" t="n">
        <v>0</v>
      </c>
      <c r="M838" t="n">
        <v>0</v>
      </c>
      <c r="N838" t="n">
        <v>0</v>
      </c>
      <c r="O838" t="n">
        <v>0</v>
      </c>
      <c r="P838" t="n">
        <v>0</v>
      </c>
      <c r="Q838" t="n">
        <v>0</v>
      </c>
      <c r="R838" s="2" t="inlineStr"/>
    </row>
    <row r="839" ht="15" customHeight="1">
      <c r="A839" t="inlineStr">
        <is>
          <t>A 34410-2021</t>
        </is>
      </c>
      <c r="B839" s="1" t="n">
        <v>44379.94194444444</v>
      </c>
      <c r="C839" s="1" t="n">
        <v>45976</v>
      </c>
      <c r="D839" t="inlineStr">
        <is>
          <t>JÄMTLANDS LÄN</t>
        </is>
      </c>
      <c r="E839" t="inlineStr">
        <is>
          <t>BRÄCKE</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55468-2024</t>
        </is>
      </c>
      <c r="B840" s="1" t="n">
        <v>45622.43024305555</v>
      </c>
      <c r="C840" s="1" t="n">
        <v>45976</v>
      </c>
      <c r="D840" t="inlineStr">
        <is>
          <t>JÄMTLANDS LÄN</t>
        </is>
      </c>
      <c r="E840" t="inlineStr">
        <is>
          <t>BRÄCKE</t>
        </is>
      </c>
      <c r="G840" t="n">
        <v>5.6</v>
      </c>
      <c r="H840" t="n">
        <v>0</v>
      </c>
      <c r="I840" t="n">
        <v>0</v>
      </c>
      <c r="J840" t="n">
        <v>0</v>
      </c>
      <c r="K840" t="n">
        <v>0</v>
      </c>
      <c r="L840" t="n">
        <v>0</v>
      </c>
      <c r="M840" t="n">
        <v>0</v>
      </c>
      <c r="N840" t="n">
        <v>0</v>
      </c>
      <c r="O840" t="n">
        <v>0</v>
      </c>
      <c r="P840" t="n">
        <v>0</v>
      </c>
      <c r="Q840" t="n">
        <v>0</v>
      </c>
      <c r="R840" s="2" t="inlineStr"/>
    </row>
    <row r="841" ht="15" customHeight="1">
      <c r="A841" t="inlineStr">
        <is>
          <t>A 58039-2021</t>
        </is>
      </c>
      <c r="B841" s="1" t="n">
        <v>44487</v>
      </c>
      <c r="C841" s="1" t="n">
        <v>45976</v>
      </c>
      <c r="D841" t="inlineStr">
        <is>
          <t>JÄMTLANDS LÄN</t>
        </is>
      </c>
      <c r="E841" t="inlineStr">
        <is>
          <t>BRÄCKE</t>
        </is>
      </c>
      <c r="G841" t="n">
        <v>7.4</v>
      </c>
      <c r="H841" t="n">
        <v>0</v>
      </c>
      <c r="I841" t="n">
        <v>0</v>
      </c>
      <c r="J841" t="n">
        <v>0</v>
      </c>
      <c r="K841" t="n">
        <v>0</v>
      </c>
      <c r="L841" t="n">
        <v>0</v>
      </c>
      <c r="M841" t="n">
        <v>0</v>
      </c>
      <c r="N841" t="n">
        <v>0</v>
      </c>
      <c r="O841" t="n">
        <v>0</v>
      </c>
      <c r="P841" t="n">
        <v>0</v>
      </c>
      <c r="Q841" t="n">
        <v>0</v>
      </c>
      <c r="R841" s="2" t="inlineStr"/>
    </row>
    <row r="842" ht="15" customHeight="1">
      <c r="A842" t="inlineStr">
        <is>
          <t>A 9386-2025</t>
        </is>
      </c>
      <c r="B842" s="1" t="n">
        <v>45715.34450231482</v>
      </c>
      <c r="C842" s="1" t="n">
        <v>45976</v>
      </c>
      <c r="D842" t="inlineStr">
        <is>
          <t>JÄMTLANDS LÄN</t>
        </is>
      </c>
      <c r="E842" t="inlineStr">
        <is>
          <t>BRÄCKE</t>
        </is>
      </c>
      <c r="F842" t="inlineStr">
        <is>
          <t>SCA</t>
        </is>
      </c>
      <c r="G842" t="n">
        <v>6</v>
      </c>
      <c r="H842" t="n">
        <v>0</v>
      </c>
      <c r="I842" t="n">
        <v>0</v>
      </c>
      <c r="J842" t="n">
        <v>0</v>
      </c>
      <c r="K842" t="n">
        <v>0</v>
      </c>
      <c r="L842" t="n">
        <v>0</v>
      </c>
      <c r="M842" t="n">
        <v>0</v>
      </c>
      <c r="N842" t="n">
        <v>0</v>
      </c>
      <c r="O842" t="n">
        <v>0</v>
      </c>
      <c r="P842" t="n">
        <v>0</v>
      </c>
      <c r="Q842" t="n">
        <v>0</v>
      </c>
      <c r="R842" s="2" t="inlineStr"/>
    </row>
    <row r="843" ht="15" customHeight="1">
      <c r="A843" t="inlineStr">
        <is>
          <t>A 9467-2025</t>
        </is>
      </c>
      <c r="B843" s="1" t="n">
        <v>45715.46903935185</v>
      </c>
      <c r="C843" s="1" t="n">
        <v>45976</v>
      </c>
      <c r="D843" t="inlineStr">
        <is>
          <t>JÄMTLANDS LÄN</t>
        </is>
      </c>
      <c r="E843" t="inlineStr">
        <is>
          <t>BRÄCKE</t>
        </is>
      </c>
      <c r="F843" t="inlineStr">
        <is>
          <t>SCA</t>
        </is>
      </c>
      <c r="G843" t="n">
        <v>2.4</v>
      </c>
      <c r="H843" t="n">
        <v>0</v>
      </c>
      <c r="I843" t="n">
        <v>0</v>
      </c>
      <c r="J843" t="n">
        <v>0</v>
      </c>
      <c r="K843" t="n">
        <v>0</v>
      </c>
      <c r="L843" t="n">
        <v>0</v>
      </c>
      <c r="M843" t="n">
        <v>0</v>
      </c>
      <c r="N843" t="n">
        <v>0</v>
      </c>
      <c r="O843" t="n">
        <v>0</v>
      </c>
      <c r="P843" t="n">
        <v>0</v>
      </c>
      <c r="Q843" t="n">
        <v>0</v>
      </c>
      <c r="R843" s="2" t="inlineStr"/>
    </row>
    <row r="844" ht="15" customHeight="1">
      <c r="A844" t="inlineStr">
        <is>
          <t>A 39509-2023</t>
        </is>
      </c>
      <c r="B844" s="1" t="n">
        <v>45166.95824074074</v>
      </c>
      <c r="C844" s="1" t="n">
        <v>45976</v>
      </c>
      <c r="D844" t="inlineStr">
        <is>
          <t>JÄMTLANDS LÄN</t>
        </is>
      </c>
      <c r="E844" t="inlineStr">
        <is>
          <t>BRÄCKE</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27256-2021</t>
        </is>
      </c>
      <c r="B845" s="1" t="n">
        <v>44350</v>
      </c>
      <c r="C845" s="1" t="n">
        <v>45976</v>
      </c>
      <c r="D845" t="inlineStr">
        <is>
          <t>JÄMTLANDS LÄN</t>
        </is>
      </c>
      <c r="E845" t="inlineStr">
        <is>
          <t>BRÄCKE</t>
        </is>
      </c>
      <c r="F845" t="inlineStr">
        <is>
          <t>SCA</t>
        </is>
      </c>
      <c r="G845" t="n">
        <v>0.7</v>
      </c>
      <c r="H845" t="n">
        <v>0</v>
      </c>
      <c r="I845" t="n">
        <v>0</v>
      </c>
      <c r="J845" t="n">
        <v>0</v>
      </c>
      <c r="K845" t="n">
        <v>0</v>
      </c>
      <c r="L845" t="n">
        <v>0</v>
      </c>
      <c r="M845" t="n">
        <v>0</v>
      </c>
      <c r="N845" t="n">
        <v>0</v>
      </c>
      <c r="O845" t="n">
        <v>0</v>
      </c>
      <c r="P845" t="n">
        <v>0</v>
      </c>
      <c r="Q845" t="n">
        <v>0</v>
      </c>
      <c r="R845" s="2" t="inlineStr"/>
    </row>
    <row r="846" ht="15" customHeight="1">
      <c r="A846" t="inlineStr">
        <is>
          <t>A 58903-2024</t>
        </is>
      </c>
      <c r="B846" s="1" t="n">
        <v>45636.4775</v>
      </c>
      <c r="C846" s="1" t="n">
        <v>45976</v>
      </c>
      <c r="D846" t="inlineStr">
        <is>
          <t>JÄMTLANDS LÄN</t>
        </is>
      </c>
      <c r="E846" t="inlineStr">
        <is>
          <t>BRÄCKE</t>
        </is>
      </c>
      <c r="F846" t="inlineStr">
        <is>
          <t>Övriga Aktiebolag</t>
        </is>
      </c>
      <c r="G846" t="n">
        <v>2.8</v>
      </c>
      <c r="H846" t="n">
        <v>0</v>
      </c>
      <c r="I846" t="n">
        <v>0</v>
      </c>
      <c r="J846" t="n">
        <v>0</v>
      </c>
      <c r="K846" t="n">
        <v>0</v>
      </c>
      <c r="L846" t="n">
        <v>0</v>
      </c>
      <c r="M846" t="n">
        <v>0</v>
      </c>
      <c r="N846" t="n">
        <v>0</v>
      </c>
      <c r="O846" t="n">
        <v>0</v>
      </c>
      <c r="P846" t="n">
        <v>0</v>
      </c>
      <c r="Q846" t="n">
        <v>0</v>
      </c>
      <c r="R846" s="2" t="inlineStr"/>
    </row>
    <row r="847" ht="15" customHeight="1">
      <c r="A847" t="inlineStr">
        <is>
          <t>A 5004-2023</t>
        </is>
      </c>
      <c r="B847" s="1" t="n">
        <v>44956</v>
      </c>
      <c r="C847" s="1" t="n">
        <v>45976</v>
      </c>
      <c r="D847" t="inlineStr">
        <is>
          <t>JÄMTLANDS LÄN</t>
        </is>
      </c>
      <c r="E847" t="inlineStr">
        <is>
          <t>BRÄCKE</t>
        </is>
      </c>
      <c r="G847" t="n">
        <v>1.1</v>
      </c>
      <c r="H847" t="n">
        <v>0</v>
      </c>
      <c r="I847" t="n">
        <v>0</v>
      </c>
      <c r="J847" t="n">
        <v>0</v>
      </c>
      <c r="K847" t="n">
        <v>0</v>
      </c>
      <c r="L847" t="n">
        <v>0</v>
      </c>
      <c r="M847" t="n">
        <v>0</v>
      </c>
      <c r="N847" t="n">
        <v>0</v>
      </c>
      <c r="O847" t="n">
        <v>0</v>
      </c>
      <c r="P847" t="n">
        <v>0</v>
      </c>
      <c r="Q847" t="n">
        <v>0</v>
      </c>
      <c r="R847" s="2" t="inlineStr"/>
    </row>
    <row r="848" ht="15" customHeight="1">
      <c r="A848" t="inlineStr">
        <is>
          <t>A 39937-2022</t>
        </is>
      </c>
      <c r="B848" s="1" t="n">
        <v>44819.9487962963</v>
      </c>
      <c r="C848" s="1" t="n">
        <v>45976</v>
      </c>
      <c r="D848" t="inlineStr">
        <is>
          <t>JÄMTLANDS LÄN</t>
        </is>
      </c>
      <c r="E848" t="inlineStr">
        <is>
          <t>BRÄCKE</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48851-2025</t>
        </is>
      </c>
      <c r="B849" s="1" t="n">
        <v>45937.42969907408</v>
      </c>
      <c r="C849" s="1" t="n">
        <v>45976</v>
      </c>
      <c r="D849" t="inlineStr">
        <is>
          <t>JÄMTLANDS LÄN</t>
        </is>
      </c>
      <c r="E849" t="inlineStr">
        <is>
          <t>BRÄCKE</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4121-2025</t>
        </is>
      </c>
      <c r="B850" s="1" t="n">
        <v>45685.26607638889</v>
      </c>
      <c r="C850" s="1" t="n">
        <v>45976</v>
      </c>
      <c r="D850" t="inlineStr">
        <is>
          <t>JÄMTLANDS LÄN</t>
        </is>
      </c>
      <c r="E850" t="inlineStr">
        <is>
          <t>BRÄCKE</t>
        </is>
      </c>
      <c r="G850" t="n">
        <v>1.5</v>
      </c>
      <c r="H850" t="n">
        <v>0</v>
      </c>
      <c r="I850" t="n">
        <v>0</v>
      </c>
      <c r="J850" t="n">
        <v>0</v>
      </c>
      <c r="K850" t="n">
        <v>0</v>
      </c>
      <c r="L850" t="n">
        <v>0</v>
      </c>
      <c r="M850" t="n">
        <v>0</v>
      </c>
      <c r="N850" t="n">
        <v>0</v>
      </c>
      <c r="O850" t="n">
        <v>0</v>
      </c>
      <c r="P850" t="n">
        <v>0</v>
      </c>
      <c r="Q850" t="n">
        <v>0</v>
      </c>
      <c r="R850" s="2" t="inlineStr"/>
    </row>
    <row r="851" ht="15" customHeight="1">
      <c r="A851" t="inlineStr">
        <is>
          <t>A 60954-2023</t>
        </is>
      </c>
      <c r="B851" s="1" t="n">
        <v>45261.45638888889</v>
      </c>
      <c r="C851" s="1" t="n">
        <v>45976</v>
      </c>
      <c r="D851" t="inlineStr">
        <is>
          <t>JÄMTLANDS LÄN</t>
        </is>
      </c>
      <c r="E851" t="inlineStr">
        <is>
          <t>BRÄCKE</t>
        </is>
      </c>
      <c r="G851" t="n">
        <v>8.4</v>
      </c>
      <c r="H851" t="n">
        <v>0</v>
      </c>
      <c r="I851" t="n">
        <v>0</v>
      </c>
      <c r="J851" t="n">
        <v>0</v>
      </c>
      <c r="K851" t="n">
        <v>0</v>
      </c>
      <c r="L851" t="n">
        <v>0</v>
      </c>
      <c r="M851" t="n">
        <v>0</v>
      </c>
      <c r="N851" t="n">
        <v>0</v>
      </c>
      <c r="O851" t="n">
        <v>0</v>
      </c>
      <c r="P851" t="n">
        <v>0</v>
      </c>
      <c r="Q851" t="n">
        <v>0</v>
      </c>
      <c r="R851" s="2" t="inlineStr"/>
    </row>
    <row r="852" ht="15" customHeight="1">
      <c r="A852" t="inlineStr">
        <is>
          <t>A 18057-2025</t>
        </is>
      </c>
      <c r="B852" s="1" t="n">
        <v>45761.47681712963</v>
      </c>
      <c r="C852" s="1" t="n">
        <v>45976</v>
      </c>
      <c r="D852" t="inlineStr">
        <is>
          <t>JÄMTLANDS LÄN</t>
        </is>
      </c>
      <c r="E852" t="inlineStr">
        <is>
          <t>BRÄCKE</t>
        </is>
      </c>
      <c r="G852" t="n">
        <v>4.3</v>
      </c>
      <c r="H852" t="n">
        <v>0</v>
      </c>
      <c r="I852" t="n">
        <v>0</v>
      </c>
      <c r="J852" t="n">
        <v>0</v>
      </c>
      <c r="K852" t="n">
        <v>0</v>
      </c>
      <c r="L852" t="n">
        <v>0</v>
      </c>
      <c r="M852" t="n">
        <v>0</v>
      </c>
      <c r="N852" t="n">
        <v>0</v>
      </c>
      <c r="O852" t="n">
        <v>0</v>
      </c>
      <c r="P852" t="n">
        <v>0</v>
      </c>
      <c r="Q852" t="n">
        <v>0</v>
      </c>
      <c r="R852" s="2" t="inlineStr"/>
    </row>
    <row r="853" ht="15" customHeight="1">
      <c r="A853" t="inlineStr">
        <is>
          <t>A 18065-2025</t>
        </is>
      </c>
      <c r="B853" s="1" t="n">
        <v>45761.48989583334</v>
      </c>
      <c r="C853" s="1" t="n">
        <v>45976</v>
      </c>
      <c r="D853" t="inlineStr">
        <is>
          <t>JÄMTLANDS LÄN</t>
        </is>
      </c>
      <c r="E853" t="inlineStr">
        <is>
          <t>BRÄCKE</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1504-2025</t>
        </is>
      </c>
      <c r="B854" s="1" t="n">
        <v>45670.42738425926</v>
      </c>
      <c r="C854" s="1" t="n">
        <v>45976</v>
      </c>
      <c r="D854" t="inlineStr">
        <is>
          <t>JÄMTLANDS LÄN</t>
        </is>
      </c>
      <c r="E854" t="inlineStr">
        <is>
          <t>BRÄCKE</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44324-2023</t>
        </is>
      </c>
      <c r="B855" s="1" t="n">
        <v>45188</v>
      </c>
      <c r="C855" s="1" t="n">
        <v>45976</v>
      </c>
      <c r="D855" t="inlineStr">
        <is>
          <t>JÄMTLANDS LÄN</t>
        </is>
      </c>
      <c r="E855" t="inlineStr">
        <is>
          <t>BRÄCKE</t>
        </is>
      </c>
      <c r="F855" t="inlineStr">
        <is>
          <t>Sveaskog</t>
        </is>
      </c>
      <c r="G855" t="n">
        <v>2</v>
      </c>
      <c r="H855" t="n">
        <v>0</v>
      </c>
      <c r="I855" t="n">
        <v>0</v>
      </c>
      <c r="J855" t="n">
        <v>0</v>
      </c>
      <c r="K855" t="n">
        <v>0</v>
      </c>
      <c r="L855" t="n">
        <v>0</v>
      </c>
      <c r="M855" t="n">
        <v>0</v>
      </c>
      <c r="N855" t="n">
        <v>0</v>
      </c>
      <c r="O855" t="n">
        <v>0</v>
      </c>
      <c r="P855" t="n">
        <v>0</v>
      </c>
      <c r="Q855" t="n">
        <v>0</v>
      </c>
      <c r="R855" s="2" t="inlineStr"/>
    </row>
    <row r="856" ht="15" customHeight="1">
      <c r="A856" t="inlineStr">
        <is>
          <t>A 28903-2021</t>
        </is>
      </c>
      <c r="B856" s="1" t="n">
        <v>44357</v>
      </c>
      <c r="C856" s="1" t="n">
        <v>45976</v>
      </c>
      <c r="D856" t="inlineStr">
        <is>
          <t>JÄMTLANDS LÄN</t>
        </is>
      </c>
      <c r="E856" t="inlineStr">
        <is>
          <t>BRÄCKE</t>
        </is>
      </c>
      <c r="F856" t="inlineStr">
        <is>
          <t>SCA</t>
        </is>
      </c>
      <c r="G856" t="n">
        <v>1.9</v>
      </c>
      <c r="H856" t="n">
        <v>0</v>
      </c>
      <c r="I856" t="n">
        <v>0</v>
      </c>
      <c r="J856" t="n">
        <v>0</v>
      </c>
      <c r="K856" t="n">
        <v>0</v>
      </c>
      <c r="L856" t="n">
        <v>0</v>
      </c>
      <c r="M856" t="n">
        <v>0</v>
      </c>
      <c r="N856" t="n">
        <v>0</v>
      </c>
      <c r="O856" t="n">
        <v>0</v>
      </c>
      <c r="P856" t="n">
        <v>0</v>
      </c>
      <c r="Q856" t="n">
        <v>0</v>
      </c>
      <c r="R856" s="2" t="inlineStr"/>
    </row>
    <row r="857" ht="15" customHeight="1">
      <c r="A857" t="inlineStr">
        <is>
          <t>A 46601-2022</t>
        </is>
      </c>
      <c r="B857" s="1" t="n">
        <v>44848</v>
      </c>
      <c r="C857" s="1" t="n">
        <v>45976</v>
      </c>
      <c r="D857" t="inlineStr">
        <is>
          <t>JÄMTLANDS LÄN</t>
        </is>
      </c>
      <c r="E857" t="inlineStr">
        <is>
          <t>BRÄCKE</t>
        </is>
      </c>
      <c r="G857" t="n">
        <v>2.7</v>
      </c>
      <c r="H857" t="n">
        <v>0</v>
      </c>
      <c r="I857" t="n">
        <v>0</v>
      </c>
      <c r="J857" t="n">
        <v>0</v>
      </c>
      <c r="K857" t="n">
        <v>0</v>
      </c>
      <c r="L857" t="n">
        <v>0</v>
      </c>
      <c r="M857" t="n">
        <v>0</v>
      </c>
      <c r="N857" t="n">
        <v>0</v>
      </c>
      <c r="O857" t="n">
        <v>0</v>
      </c>
      <c r="P857" t="n">
        <v>0</v>
      </c>
      <c r="Q857" t="n">
        <v>0</v>
      </c>
      <c r="R857" s="2" t="inlineStr"/>
    </row>
    <row r="858" ht="15" customHeight="1">
      <c r="A858" t="inlineStr">
        <is>
          <t>A 48982-2025</t>
        </is>
      </c>
      <c r="B858" s="1" t="n">
        <v>45937.57377314815</v>
      </c>
      <c r="C858" s="1" t="n">
        <v>45976</v>
      </c>
      <c r="D858" t="inlineStr">
        <is>
          <t>JÄMTLANDS LÄN</t>
        </is>
      </c>
      <c r="E858" t="inlineStr">
        <is>
          <t>BRÄCKE</t>
        </is>
      </c>
      <c r="F858" t="inlineStr">
        <is>
          <t>SCA</t>
        </is>
      </c>
      <c r="G858" t="n">
        <v>5.8</v>
      </c>
      <c r="H858" t="n">
        <v>0</v>
      </c>
      <c r="I858" t="n">
        <v>0</v>
      </c>
      <c r="J858" t="n">
        <v>0</v>
      </c>
      <c r="K858" t="n">
        <v>0</v>
      </c>
      <c r="L858" t="n">
        <v>0</v>
      </c>
      <c r="M858" t="n">
        <v>0</v>
      </c>
      <c r="N858" t="n">
        <v>0</v>
      </c>
      <c r="O858" t="n">
        <v>0</v>
      </c>
      <c r="P858" t="n">
        <v>0</v>
      </c>
      <c r="Q858" t="n">
        <v>0</v>
      </c>
      <c r="R858" s="2" t="inlineStr"/>
    </row>
    <row r="859" ht="15" customHeight="1">
      <c r="A859" t="inlineStr">
        <is>
          <t>A 24053-2022</t>
        </is>
      </c>
      <c r="B859" s="1" t="n">
        <v>44724.93731481482</v>
      </c>
      <c r="C859" s="1" t="n">
        <v>45976</v>
      </c>
      <c r="D859" t="inlineStr">
        <is>
          <t>JÄMTLANDS LÄN</t>
        </is>
      </c>
      <c r="E859" t="inlineStr">
        <is>
          <t>BRÄCKE</t>
        </is>
      </c>
      <c r="G859" t="n">
        <v>1</v>
      </c>
      <c r="H859" t="n">
        <v>0</v>
      </c>
      <c r="I859" t="n">
        <v>0</v>
      </c>
      <c r="J859" t="n">
        <v>0</v>
      </c>
      <c r="K859" t="n">
        <v>0</v>
      </c>
      <c r="L859" t="n">
        <v>0</v>
      </c>
      <c r="M859" t="n">
        <v>0</v>
      </c>
      <c r="N859" t="n">
        <v>0</v>
      </c>
      <c r="O859" t="n">
        <v>0</v>
      </c>
      <c r="P859" t="n">
        <v>0</v>
      </c>
      <c r="Q859" t="n">
        <v>0</v>
      </c>
      <c r="R859" s="2" t="inlineStr"/>
    </row>
    <row r="860" ht="15" customHeight="1">
      <c r="A860" t="inlineStr">
        <is>
          <t>A 17182-2024</t>
        </is>
      </c>
      <c r="B860" s="1" t="n">
        <v>45412.97984953703</v>
      </c>
      <c r="C860" s="1" t="n">
        <v>45976</v>
      </c>
      <c r="D860" t="inlineStr">
        <is>
          <t>JÄMTLANDS LÄN</t>
        </is>
      </c>
      <c r="E860" t="inlineStr">
        <is>
          <t>BRÄCKE</t>
        </is>
      </c>
      <c r="F860" t="inlineStr">
        <is>
          <t>SCA</t>
        </is>
      </c>
      <c r="G860" t="n">
        <v>4.9</v>
      </c>
      <c r="H860" t="n">
        <v>0</v>
      </c>
      <c r="I860" t="n">
        <v>0</v>
      </c>
      <c r="J860" t="n">
        <v>0</v>
      </c>
      <c r="K860" t="n">
        <v>0</v>
      </c>
      <c r="L860" t="n">
        <v>0</v>
      </c>
      <c r="M860" t="n">
        <v>0</v>
      </c>
      <c r="N860" t="n">
        <v>0</v>
      </c>
      <c r="O860" t="n">
        <v>0</v>
      </c>
      <c r="P860" t="n">
        <v>0</v>
      </c>
      <c r="Q860" t="n">
        <v>0</v>
      </c>
      <c r="R860" s="2" t="inlineStr"/>
    </row>
    <row r="861" ht="15" customHeight="1">
      <c r="A861" t="inlineStr">
        <is>
          <t>A 17097-2025</t>
        </is>
      </c>
      <c r="B861" s="1" t="n">
        <v>45755</v>
      </c>
      <c r="C861" s="1" t="n">
        <v>45976</v>
      </c>
      <c r="D861" t="inlineStr">
        <is>
          <t>JÄMTLANDS LÄN</t>
        </is>
      </c>
      <c r="E861" t="inlineStr">
        <is>
          <t>BRÄCKE</t>
        </is>
      </c>
      <c r="F861" t="inlineStr">
        <is>
          <t>SCA</t>
        </is>
      </c>
      <c r="G861" t="n">
        <v>29.9</v>
      </c>
      <c r="H861" t="n">
        <v>0</v>
      </c>
      <c r="I861" t="n">
        <v>0</v>
      </c>
      <c r="J861" t="n">
        <v>0</v>
      </c>
      <c r="K861" t="n">
        <v>0</v>
      </c>
      <c r="L861" t="n">
        <v>0</v>
      </c>
      <c r="M861" t="n">
        <v>0</v>
      </c>
      <c r="N861" t="n">
        <v>0</v>
      </c>
      <c r="O861" t="n">
        <v>0</v>
      </c>
      <c r="P861" t="n">
        <v>0</v>
      </c>
      <c r="Q861" t="n">
        <v>0</v>
      </c>
      <c r="R861" s="2" t="inlineStr"/>
    </row>
    <row r="862" ht="15" customHeight="1">
      <c r="A862" t="inlineStr">
        <is>
          <t>A 172-2025</t>
        </is>
      </c>
      <c r="B862" s="1" t="n">
        <v>45659.6565625</v>
      </c>
      <c r="C862" s="1" t="n">
        <v>45976</v>
      </c>
      <c r="D862" t="inlineStr">
        <is>
          <t>JÄMTLANDS LÄN</t>
        </is>
      </c>
      <c r="E862" t="inlineStr">
        <is>
          <t>BRÄCKE</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46939-2023</t>
        </is>
      </c>
      <c r="B863" s="1" t="n">
        <v>45195</v>
      </c>
      <c r="C863" s="1" t="n">
        <v>45976</v>
      </c>
      <c r="D863" t="inlineStr">
        <is>
          <t>JÄMTLANDS LÄN</t>
        </is>
      </c>
      <c r="E863" t="inlineStr">
        <is>
          <t>BRÄCKE</t>
        </is>
      </c>
      <c r="G863" t="n">
        <v>13.4</v>
      </c>
      <c r="H863" t="n">
        <v>0</v>
      </c>
      <c r="I863" t="n">
        <v>0</v>
      </c>
      <c r="J863" t="n">
        <v>0</v>
      </c>
      <c r="K863" t="n">
        <v>0</v>
      </c>
      <c r="L863" t="n">
        <v>0</v>
      </c>
      <c r="M863" t="n">
        <v>0</v>
      </c>
      <c r="N863" t="n">
        <v>0</v>
      </c>
      <c r="O863" t="n">
        <v>0</v>
      </c>
      <c r="P863" t="n">
        <v>0</v>
      </c>
      <c r="Q863" t="n">
        <v>0</v>
      </c>
      <c r="R863" s="2" t="inlineStr"/>
    </row>
    <row r="864" ht="15" customHeight="1">
      <c r="A864" t="inlineStr">
        <is>
          <t>A 49046-2025</t>
        </is>
      </c>
      <c r="B864" s="1" t="n">
        <v>45937.63693287037</v>
      </c>
      <c r="C864" s="1" t="n">
        <v>45976</v>
      </c>
      <c r="D864" t="inlineStr">
        <is>
          <t>JÄMTLANDS LÄN</t>
        </is>
      </c>
      <c r="E864" t="inlineStr">
        <is>
          <t>BRÄCKE</t>
        </is>
      </c>
      <c r="F864" t="inlineStr">
        <is>
          <t>SCA</t>
        </is>
      </c>
      <c r="G864" t="n">
        <v>8.5</v>
      </c>
      <c r="H864" t="n">
        <v>0</v>
      </c>
      <c r="I864" t="n">
        <v>0</v>
      </c>
      <c r="J864" t="n">
        <v>0</v>
      </c>
      <c r="K864" t="n">
        <v>0</v>
      </c>
      <c r="L864" t="n">
        <v>0</v>
      </c>
      <c r="M864" t="n">
        <v>0</v>
      </c>
      <c r="N864" t="n">
        <v>0</v>
      </c>
      <c r="O864" t="n">
        <v>0</v>
      </c>
      <c r="P864" t="n">
        <v>0</v>
      </c>
      <c r="Q864" t="n">
        <v>0</v>
      </c>
      <c r="R864" s="2" t="inlineStr"/>
    </row>
    <row r="865" ht="15" customHeight="1">
      <c r="A865" t="inlineStr">
        <is>
          <t>A 12732-2025</t>
        </is>
      </c>
      <c r="B865" s="1" t="n">
        <v>45733.51090277778</v>
      </c>
      <c r="C865" s="1" t="n">
        <v>45976</v>
      </c>
      <c r="D865" t="inlineStr">
        <is>
          <t>JÄMTLANDS LÄN</t>
        </is>
      </c>
      <c r="E865" t="inlineStr">
        <is>
          <t>BRÄCKE</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11371-2025</t>
        </is>
      </c>
      <c r="B866" s="1" t="n">
        <v>45726.55258101852</v>
      </c>
      <c r="C866" s="1" t="n">
        <v>45976</v>
      </c>
      <c r="D866" t="inlineStr">
        <is>
          <t>JÄMTLANDS LÄN</t>
        </is>
      </c>
      <c r="E866" t="inlineStr">
        <is>
          <t>BRÄCKE</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231-2025</t>
        </is>
      </c>
      <c r="B867" s="1" t="n">
        <v>45660.36972222223</v>
      </c>
      <c r="C867" s="1" t="n">
        <v>45976</v>
      </c>
      <c r="D867" t="inlineStr">
        <is>
          <t>JÄMTLANDS LÄN</t>
        </is>
      </c>
      <c r="E867" t="inlineStr">
        <is>
          <t>BRÄCKE</t>
        </is>
      </c>
      <c r="G867" t="n">
        <v>2.8</v>
      </c>
      <c r="H867" t="n">
        <v>0</v>
      </c>
      <c r="I867" t="n">
        <v>0</v>
      </c>
      <c r="J867" t="n">
        <v>0</v>
      </c>
      <c r="K867" t="n">
        <v>0</v>
      </c>
      <c r="L867" t="n">
        <v>0</v>
      </c>
      <c r="M867" t="n">
        <v>0</v>
      </c>
      <c r="N867" t="n">
        <v>0</v>
      </c>
      <c r="O867" t="n">
        <v>0</v>
      </c>
      <c r="P867" t="n">
        <v>0</v>
      </c>
      <c r="Q867" t="n">
        <v>0</v>
      </c>
      <c r="R867" s="2" t="inlineStr"/>
    </row>
    <row r="868" ht="15" customHeight="1">
      <c r="A868" t="inlineStr">
        <is>
          <t>A 278-2025</t>
        </is>
      </c>
      <c r="B868" s="1" t="n">
        <v>45660.49075231481</v>
      </c>
      <c r="C868" s="1" t="n">
        <v>45976</v>
      </c>
      <c r="D868" t="inlineStr">
        <is>
          <t>JÄMTLANDS LÄN</t>
        </is>
      </c>
      <c r="E868" t="inlineStr">
        <is>
          <t>BRÄCKE</t>
        </is>
      </c>
      <c r="G868" t="n">
        <v>0.5</v>
      </c>
      <c r="H868" t="n">
        <v>0</v>
      </c>
      <c r="I868" t="n">
        <v>0</v>
      </c>
      <c r="J868" t="n">
        <v>0</v>
      </c>
      <c r="K868" t="n">
        <v>0</v>
      </c>
      <c r="L868" t="n">
        <v>0</v>
      </c>
      <c r="M868" t="n">
        <v>0</v>
      </c>
      <c r="N868" t="n">
        <v>0</v>
      </c>
      <c r="O868" t="n">
        <v>0</v>
      </c>
      <c r="P868" t="n">
        <v>0</v>
      </c>
      <c r="Q868" t="n">
        <v>0</v>
      </c>
      <c r="R868" s="2" t="inlineStr"/>
    </row>
    <row r="869" ht="15" customHeight="1">
      <c r="A869" t="inlineStr">
        <is>
          <t>A 40334-2025</t>
        </is>
      </c>
      <c r="B869" s="1" t="n">
        <v>45895</v>
      </c>
      <c r="C869" s="1" t="n">
        <v>45976</v>
      </c>
      <c r="D869" t="inlineStr">
        <is>
          <t>JÄMTLANDS LÄN</t>
        </is>
      </c>
      <c r="E869" t="inlineStr">
        <is>
          <t>BRÄCKE</t>
        </is>
      </c>
      <c r="G869" t="n">
        <v>5.4</v>
      </c>
      <c r="H869" t="n">
        <v>0</v>
      </c>
      <c r="I869" t="n">
        <v>0</v>
      </c>
      <c r="J869" t="n">
        <v>0</v>
      </c>
      <c r="K869" t="n">
        <v>0</v>
      </c>
      <c r="L869" t="n">
        <v>0</v>
      </c>
      <c r="M869" t="n">
        <v>0</v>
      </c>
      <c r="N869" t="n">
        <v>0</v>
      </c>
      <c r="O869" t="n">
        <v>0</v>
      </c>
      <c r="P869" t="n">
        <v>0</v>
      </c>
      <c r="Q869" t="n">
        <v>0</v>
      </c>
      <c r="R869" s="2" t="inlineStr"/>
    </row>
    <row r="870" ht="15" customHeight="1">
      <c r="A870" t="inlineStr">
        <is>
          <t>A 40903-2025</t>
        </is>
      </c>
      <c r="B870" s="1" t="n">
        <v>45897.61609953704</v>
      </c>
      <c r="C870" s="1" t="n">
        <v>45976</v>
      </c>
      <c r="D870" t="inlineStr">
        <is>
          <t>JÄMTLANDS LÄN</t>
        </is>
      </c>
      <c r="E870" t="inlineStr">
        <is>
          <t>BRÄCKE</t>
        </is>
      </c>
      <c r="G870" t="n">
        <v>2.9</v>
      </c>
      <c r="H870" t="n">
        <v>0</v>
      </c>
      <c r="I870" t="n">
        <v>0</v>
      </c>
      <c r="J870" t="n">
        <v>0</v>
      </c>
      <c r="K870" t="n">
        <v>0</v>
      </c>
      <c r="L870" t="n">
        <v>0</v>
      </c>
      <c r="M870" t="n">
        <v>0</v>
      </c>
      <c r="N870" t="n">
        <v>0</v>
      </c>
      <c r="O870" t="n">
        <v>0</v>
      </c>
      <c r="P870" t="n">
        <v>0</v>
      </c>
      <c r="Q870" t="n">
        <v>0</v>
      </c>
      <c r="R870" s="2" t="inlineStr"/>
    </row>
    <row r="871" ht="15" customHeight="1">
      <c r="A871" t="inlineStr">
        <is>
          <t>A 16059-2024</t>
        </is>
      </c>
      <c r="B871" s="1" t="n">
        <v>45406.04950231482</v>
      </c>
      <c r="C871" s="1" t="n">
        <v>45976</v>
      </c>
      <c r="D871" t="inlineStr">
        <is>
          <t>JÄMTLANDS LÄN</t>
        </is>
      </c>
      <c r="E871" t="inlineStr">
        <is>
          <t>BRÄCKE</t>
        </is>
      </c>
      <c r="F871" t="inlineStr">
        <is>
          <t>SCA</t>
        </is>
      </c>
      <c r="G871" t="n">
        <v>3</v>
      </c>
      <c r="H871" t="n">
        <v>0</v>
      </c>
      <c r="I871" t="n">
        <v>0</v>
      </c>
      <c r="J871" t="n">
        <v>0</v>
      </c>
      <c r="K871" t="n">
        <v>0</v>
      </c>
      <c r="L871" t="n">
        <v>0</v>
      </c>
      <c r="M871" t="n">
        <v>0</v>
      </c>
      <c r="N871" t="n">
        <v>0</v>
      </c>
      <c r="O871" t="n">
        <v>0</v>
      </c>
      <c r="P871" t="n">
        <v>0</v>
      </c>
      <c r="Q871" t="n">
        <v>0</v>
      </c>
      <c r="R871" s="2" t="inlineStr"/>
    </row>
    <row r="872" ht="15" customHeight="1">
      <c r="A872" t="inlineStr">
        <is>
          <t>A 40749-2025</t>
        </is>
      </c>
      <c r="B872" s="1" t="n">
        <v>45897.38248842592</v>
      </c>
      <c r="C872" s="1" t="n">
        <v>45976</v>
      </c>
      <c r="D872" t="inlineStr">
        <is>
          <t>JÄMTLANDS LÄN</t>
        </is>
      </c>
      <c r="E872" t="inlineStr">
        <is>
          <t>BRÄCKE</t>
        </is>
      </c>
      <c r="G872" t="n">
        <v>4.1</v>
      </c>
      <c r="H872" t="n">
        <v>0</v>
      </c>
      <c r="I872" t="n">
        <v>0</v>
      </c>
      <c r="J872" t="n">
        <v>0</v>
      </c>
      <c r="K872" t="n">
        <v>0</v>
      </c>
      <c r="L872" t="n">
        <v>0</v>
      </c>
      <c r="M872" t="n">
        <v>0</v>
      </c>
      <c r="N872" t="n">
        <v>0</v>
      </c>
      <c r="O872" t="n">
        <v>0</v>
      </c>
      <c r="P872" t="n">
        <v>0</v>
      </c>
      <c r="Q872" t="n">
        <v>0</v>
      </c>
      <c r="R872" s="2" t="inlineStr"/>
    </row>
    <row r="873" ht="15" customHeight="1">
      <c r="A873" t="inlineStr">
        <is>
          <t>A 12889-2024</t>
        </is>
      </c>
      <c r="B873" s="1" t="n">
        <v>45385</v>
      </c>
      <c r="C873" s="1" t="n">
        <v>45976</v>
      </c>
      <c r="D873" t="inlineStr">
        <is>
          <t>JÄMTLANDS LÄN</t>
        </is>
      </c>
      <c r="E873" t="inlineStr">
        <is>
          <t>BRÄCKE</t>
        </is>
      </c>
      <c r="F873" t="inlineStr">
        <is>
          <t>Kyrkan</t>
        </is>
      </c>
      <c r="G873" t="n">
        <v>12.1</v>
      </c>
      <c r="H873" t="n">
        <v>0</v>
      </c>
      <c r="I873" t="n">
        <v>0</v>
      </c>
      <c r="J873" t="n">
        <v>0</v>
      </c>
      <c r="K873" t="n">
        <v>0</v>
      </c>
      <c r="L873" t="n">
        <v>0</v>
      </c>
      <c r="M873" t="n">
        <v>0</v>
      </c>
      <c r="N873" t="n">
        <v>0</v>
      </c>
      <c r="O873" t="n">
        <v>0</v>
      </c>
      <c r="P873" t="n">
        <v>0</v>
      </c>
      <c r="Q873" t="n">
        <v>0</v>
      </c>
      <c r="R873" s="2" t="inlineStr"/>
    </row>
    <row r="874" ht="15" customHeight="1">
      <c r="A874" t="inlineStr">
        <is>
          <t>A 40607-2025</t>
        </is>
      </c>
      <c r="B874" s="1" t="n">
        <v>45896</v>
      </c>
      <c r="C874" s="1" t="n">
        <v>45976</v>
      </c>
      <c r="D874" t="inlineStr">
        <is>
          <t>JÄMTLANDS LÄN</t>
        </is>
      </c>
      <c r="E874" t="inlineStr">
        <is>
          <t>BRÄCKE</t>
        </is>
      </c>
      <c r="F874" t="inlineStr">
        <is>
          <t>SCA</t>
        </is>
      </c>
      <c r="G874" t="n">
        <v>3.7</v>
      </c>
      <c r="H874" t="n">
        <v>0</v>
      </c>
      <c r="I874" t="n">
        <v>0</v>
      </c>
      <c r="J874" t="n">
        <v>0</v>
      </c>
      <c r="K874" t="n">
        <v>0</v>
      </c>
      <c r="L874" t="n">
        <v>0</v>
      </c>
      <c r="M874" t="n">
        <v>0</v>
      </c>
      <c r="N874" t="n">
        <v>0</v>
      </c>
      <c r="O874" t="n">
        <v>0</v>
      </c>
      <c r="P874" t="n">
        <v>0</v>
      </c>
      <c r="Q874" t="n">
        <v>0</v>
      </c>
      <c r="R874" s="2" t="inlineStr"/>
    </row>
    <row r="875" ht="15" customHeight="1">
      <c r="A875" t="inlineStr">
        <is>
          <t>A 49260-2025</t>
        </is>
      </c>
      <c r="B875" s="1" t="n">
        <v>45938.49702546297</v>
      </c>
      <c r="C875" s="1" t="n">
        <v>45976</v>
      </c>
      <c r="D875" t="inlineStr">
        <is>
          <t>JÄMTLANDS LÄN</t>
        </is>
      </c>
      <c r="E875" t="inlineStr">
        <is>
          <t>BRÄCKE</t>
        </is>
      </c>
      <c r="G875" t="n">
        <v>4.2</v>
      </c>
      <c r="H875" t="n">
        <v>0</v>
      </c>
      <c r="I875" t="n">
        <v>0</v>
      </c>
      <c r="J875" t="n">
        <v>0</v>
      </c>
      <c r="K875" t="n">
        <v>0</v>
      </c>
      <c r="L875" t="n">
        <v>0</v>
      </c>
      <c r="M875" t="n">
        <v>0</v>
      </c>
      <c r="N875" t="n">
        <v>0</v>
      </c>
      <c r="O875" t="n">
        <v>0</v>
      </c>
      <c r="P875" t="n">
        <v>0</v>
      </c>
      <c r="Q875" t="n">
        <v>0</v>
      </c>
      <c r="R875" s="2" t="inlineStr"/>
    </row>
    <row r="876" ht="15" customHeight="1">
      <c r="A876" t="inlineStr">
        <is>
          <t>A 6622-2025</t>
        </is>
      </c>
      <c r="B876" s="1" t="n">
        <v>45700.36594907408</v>
      </c>
      <c r="C876" s="1" t="n">
        <v>45976</v>
      </c>
      <c r="D876" t="inlineStr">
        <is>
          <t>JÄMTLANDS LÄN</t>
        </is>
      </c>
      <c r="E876" t="inlineStr">
        <is>
          <t>BRÄCKE</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40793-2025</t>
        </is>
      </c>
      <c r="B877" s="1" t="n">
        <v>45897.44868055556</v>
      </c>
      <c r="C877" s="1" t="n">
        <v>45976</v>
      </c>
      <c r="D877" t="inlineStr">
        <is>
          <t>JÄMTLANDS LÄN</t>
        </is>
      </c>
      <c r="E877" t="inlineStr">
        <is>
          <t>BRÄCKE</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47486-2023</t>
        </is>
      </c>
      <c r="B878" s="1" t="n">
        <v>45202.94155092593</v>
      </c>
      <c r="C878" s="1" t="n">
        <v>45976</v>
      </c>
      <c r="D878" t="inlineStr">
        <is>
          <t>JÄMTLANDS LÄN</t>
        </is>
      </c>
      <c r="E878" t="inlineStr">
        <is>
          <t>BRÄCKE</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47487-2023</t>
        </is>
      </c>
      <c r="B879" s="1" t="n">
        <v>45202.94162037037</v>
      </c>
      <c r="C879" s="1" t="n">
        <v>45976</v>
      </c>
      <c r="D879" t="inlineStr">
        <is>
          <t>JÄMTLANDS LÄN</t>
        </is>
      </c>
      <c r="E879" t="inlineStr">
        <is>
          <t>BRÄCKE</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41722-2023</t>
        </is>
      </c>
      <c r="B880" s="1" t="n">
        <v>45176.4012037037</v>
      </c>
      <c r="C880" s="1" t="n">
        <v>45976</v>
      </c>
      <c r="D880" t="inlineStr">
        <is>
          <t>JÄMTLANDS LÄN</t>
        </is>
      </c>
      <c r="E880" t="inlineStr">
        <is>
          <t>BRÄCKE</t>
        </is>
      </c>
      <c r="G880" t="n">
        <v>21.3</v>
      </c>
      <c r="H880" t="n">
        <v>0</v>
      </c>
      <c r="I880" t="n">
        <v>0</v>
      </c>
      <c r="J880" t="n">
        <v>0</v>
      </c>
      <c r="K880" t="n">
        <v>0</v>
      </c>
      <c r="L880" t="n">
        <v>0</v>
      </c>
      <c r="M880" t="n">
        <v>0</v>
      </c>
      <c r="N880" t="n">
        <v>0</v>
      </c>
      <c r="O880" t="n">
        <v>0</v>
      </c>
      <c r="P880" t="n">
        <v>0</v>
      </c>
      <c r="Q880" t="n">
        <v>0</v>
      </c>
      <c r="R880" s="2" t="inlineStr"/>
    </row>
    <row r="881" ht="15" customHeight="1">
      <c r="A881" t="inlineStr">
        <is>
          <t>A 4882-2025</t>
        </is>
      </c>
      <c r="B881" s="1" t="n">
        <v>45688.67729166667</v>
      </c>
      <c r="C881" s="1" t="n">
        <v>45976</v>
      </c>
      <c r="D881" t="inlineStr">
        <is>
          <t>JÄMTLANDS LÄN</t>
        </is>
      </c>
      <c r="E881" t="inlineStr">
        <is>
          <t>BRÄCKE</t>
        </is>
      </c>
      <c r="F881" t="inlineStr">
        <is>
          <t>SCA</t>
        </is>
      </c>
      <c r="G881" t="n">
        <v>5</v>
      </c>
      <c r="H881" t="n">
        <v>0</v>
      </c>
      <c r="I881" t="n">
        <v>0</v>
      </c>
      <c r="J881" t="n">
        <v>0</v>
      </c>
      <c r="K881" t="n">
        <v>0</v>
      </c>
      <c r="L881" t="n">
        <v>0</v>
      </c>
      <c r="M881" t="n">
        <v>0</v>
      </c>
      <c r="N881" t="n">
        <v>0</v>
      </c>
      <c r="O881" t="n">
        <v>0</v>
      </c>
      <c r="P881" t="n">
        <v>0</v>
      </c>
      <c r="Q881" t="n">
        <v>0</v>
      </c>
      <c r="R881" s="2" t="inlineStr"/>
    </row>
    <row r="882" ht="15" customHeight="1">
      <c r="A882" t="inlineStr">
        <is>
          <t>A 11331-2024</t>
        </is>
      </c>
      <c r="B882" s="1" t="n">
        <v>45372.04696759259</v>
      </c>
      <c r="C882" s="1" t="n">
        <v>45976</v>
      </c>
      <c r="D882" t="inlineStr">
        <is>
          <t>JÄMTLANDS LÄN</t>
        </is>
      </c>
      <c r="E882" t="inlineStr">
        <is>
          <t>BRÄCKE</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30478-2022</t>
        </is>
      </c>
      <c r="B883" s="1" t="n">
        <v>44761</v>
      </c>
      <c r="C883" s="1" t="n">
        <v>45976</v>
      </c>
      <c r="D883" t="inlineStr">
        <is>
          <t>JÄMTLANDS LÄN</t>
        </is>
      </c>
      <c r="E883" t="inlineStr">
        <is>
          <t>BRÄCKE</t>
        </is>
      </c>
      <c r="F883" t="inlineStr">
        <is>
          <t>SCA</t>
        </is>
      </c>
      <c r="G883" t="n">
        <v>5.3</v>
      </c>
      <c r="H883" t="n">
        <v>0</v>
      </c>
      <c r="I883" t="n">
        <v>0</v>
      </c>
      <c r="J883" t="n">
        <v>0</v>
      </c>
      <c r="K883" t="n">
        <v>0</v>
      </c>
      <c r="L883" t="n">
        <v>0</v>
      </c>
      <c r="M883" t="n">
        <v>0</v>
      </c>
      <c r="N883" t="n">
        <v>0</v>
      </c>
      <c r="O883" t="n">
        <v>0</v>
      </c>
      <c r="P883" t="n">
        <v>0</v>
      </c>
      <c r="Q883" t="n">
        <v>0</v>
      </c>
      <c r="R883" s="2" t="inlineStr"/>
    </row>
    <row r="884" ht="15" customHeight="1">
      <c r="A884" t="inlineStr">
        <is>
          <t>A 4915-2025</t>
        </is>
      </c>
      <c r="B884" s="1" t="n">
        <v>45688.68184027778</v>
      </c>
      <c r="C884" s="1" t="n">
        <v>45976</v>
      </c>
      <c r="D884" t="inlineStr">
        <is>
          <t>JÄMTLANDS LÄN</t>
        </is>
      </c>
      <c r="E884" t="inlineStr">
        <is>
          <t>BRÄCKE</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40834-2025</t>
        </is>
      </c>
      <c r="B885" s="1" t="n">
        <v>45897.51135416667</v>
      </c>
      <c r="C885" s="1" t="n">
        <v>45976</v>
      </c>
      <c r="D885" t="inlineStr">
        <is>
          <t>JÄMTLANDS LÄN</t>
        </is>
      </c>
      <c r="E885" t="inlineStr">
        <is>
          <t>BRÄCKE</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40843-2025</t>
        </is>
      </c>
      <c r="B886" s="1" t="n">
        <v>45897.5321412037</v>
      </c>
      <c r="C886" s="1" t="n">
        <v>45976</v>
      </c>
      <c r="D886" t="inlineStr">
        <is>
          <t>JÄMTLANDS LÄN</t>
        </is>
      </c>
      <c r="E886" t="inlineStr">
        <is>
          <t>BRÄCKE</t>
        </is>
      </c>
      <c r="F886" t="inlineStr">
        <is>
          <t>SCA</t>
        </is>
      </c>
      <c r="G886" t="n">
        <v>4.7</v>
      </c>
      <c r="H886" t="n">
        <v>0</v>
      </c>
      <c r="I886" t="n">
        <v>0</v>
      </c>
      <c r="J886" t="n">
        <v>0</v>
      </c>
      <c r="K886" t="n">
        <v>0</v>
      </c>
      <c r="L886" t="n">
        <v>0</v>
      </c>
      <c r="M886" t="n">
        <v>0</v>
      </c>
      <c r="N886" t="n">
        <v>0</v>
      </c>
      <c r="O886" t="n">
        <v>0</v>
      </c>
      <c r="P886" t="n">
        <v>0</v>
      </c>
      <c r="Q886" t="n">
        <v>0</v>
      </c>
      <c r="R886" s="2" t="inlineStr"/>
    </row>
    <row r="887" ht="15" customHeight="1">
      <c r="A887" t="inlineStr">
        <is>
          <t>A 40871-2025</t>
        </is>
      </c>
      <c r="B887" s="1" t="n">
        <v>45897.57418981481</v>
      </c>
      <c r="C887" s="1" t="n">
        <v>45976</v>
      </c>
      <c r="D887" t="inlineStr">
        <is>
          <t>JÄMTLANDS LÄN</t>
        </is>
      </c>
      <c r="E887" t="inlineStr">
        <is>
          <t>BRÄCKE</t>
        </is>
      </c>
      <c r="G887" t="n">
        <v>2.9</v>
      </c>
      <c r="H887" t="n">
        <v>0</v>
      </c>
      <c r="I887" t="n">
        <v>0</v>
      </c>
      <c r="J887" t="n">
        <v>0</v>
      </c>
      <c r="K887" t="n">
        <v>0</v>
      </c>
      <c r="L887" t="n">
        <v>0</v>
      </c>
      <c r="M887" t="n">
        <v>0</v>
      </c>
      <c r="N887" t="n">
        <v>0</v>
      </c>
      <c r="O887" t="n">
        <v>0</v>
      </c>
      <c r="P887" t="n">
        <v>0</v>
      </c>
      <c r="Q887" t="n">
        <v>0</v>
      </c>
      <c r="R887" s="2" t="inlineStr"/>
    </row>
    <row r="888" ht="15" customHeight="1">
      <c r="A888" t="inlineStr">
        <is>
          <t>A 56896-2021</t>
        </is>
      </c>
      <c r="B888" s="1" t="n">
        <v>44481.92091435185</v>
      </c>
      <c r="C888" s="1" t="n">
        <v>45976</v>
      </c>
      <c r="D888" t="inlineStr">
        <is>
          <t>JÄMTLANDS LÄN</t>
        </is>
      </c>
      <c r="E888" t="inlineStr">
        <is>
          <t>BRÄCKE</t>
        </is>
      </c>
      <c r="G888" t="n">
        <v>1.3</v>
      </c>
      <c r="H888" t="n">
        <v>0</v>
      </c>
      <c r="I888" t="n">
        <v>0</v>
      </c>
      <c r="J888" t="n">
        <v>0</v>
      </c>
      <c r="K888" t="n">
        <v>0</v>
      </c>
      <c r="L888" t="n">
        <v>0</v>
      </c>
      <c r="M888" t="n">
        <v>0</v>
      </c>
      <c r="N888" t="n">
        <v>0</v>
      </c>
      <c r="O888" t="n">
        <v>0</v>
      </c>
      <c r="P888" t="n">
        <v>0</v>
      </c>
      <c r="Q888" t="n">
        <v>0</v>
      </c>
      <c r="R888" s="2" t="inlineStr"/>
    </row>
    <row r="889" ht="15" customHeight="1">
      <c r="A889" t="inlineStr">
        <is>
          <t>A 40769-2021</t>
        </is>
      </c>
      <c r="B889" s="1" t="n">
        <v>44420</v>
      </c>
      <c r="C889" s="1" t="n">
        <v>45976</v>
      </c>
      <c r="D889" t="inlineStr">
        <is>
          <t>JÄMTLANDS LÄN</t>
        </is>
      </c>
      <c r="E889" t="inlineStr">
        <is>
          <t>BRÄCKE</t>
        </is>
      </c>
      <c r="F889" t="inlineStr">
        <is>
          <t>SCA</t>
        </is>
      </c>
      <c r="G889" t="n">
        <v>2.9</v>
      </c>
      <c r="H889" t="n">
        <v>0</v>
      </c>
      <c r="I889" t="n">
        <v>0</v>
      </c>
      <c r="J889" t="n">
        <v>0</v>
      </c>
      <c r="K889" t="n">
        <v>0</v>
      </c>
      <c r="L889" t="n">
        <v>0</v>
      </c>
      <c r="M889" t="n">
        <v>0</v>
      </c>
      <c r="N889" t="n">
        <v>0</v>
      </c>
      <c r="O889" t="n">
        <v>0</v>
      </c>
      <c r="P889" t="n">
        <v>0</v>
      </c>
      <c r="Q889" t="n">
        <v>0</v>
      </c>
      <c r="R889" s="2" t="inlineStr"/>
    </row>
    <row r="890" ht="15" customHeight="1">
      <c r="A890" t="inlineStr">
        <is>
          <t>A 52269-2023</t>
        </is>
      </c>
      <c r="B890" s="1" t="n">
        <v>45217</v>
      </c>
      <c r="C890" s="1" t="n">
        <v>45976</v>
      </c>
      <c r="D890" t="inlineStr">
        <is>
          <t>JÄMTLANDS LÄN</t>
        </is>
      </c>
      <c r="E890" t="inlineStr">
        <is>
          <t>BRÄCKE</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51167-2023</t>
        </is>
      </c>
      <c r="B891" s="1" t="n">
        <v>45219.38388888889</v>
      </c>
      <c r="C891" s="1" t="n">
        <v>45976</v>
      </c>
      <c r="D891" t="inlineStr">
        <is>
          <t>JÄMTLANDS LÄN</t>
        </is>
      </c>
      <c r="E891" t="inlineStr">
        <is>
          <t>BRÄCKE</t>
        </is>
      </c>
      <c r="G891" t="n">
        <v>1.9</v>
      </c>
      <c r="H891" t="n">
        <v>0</v>
      </c>
      <c r="I891" t="n">
        <v>0</v>
      </c>
      <c r="J891" t="n">
        <v>0</v>
      </c>
      <c r="K891" t="n">
        <v>0</v>
      </c>
      <c r="L891" t="n">
        <v>0</v>
      </c>
      <c r="M891" t="n">
        <v>0</v>
      </c>
      <c r="N891" t="n">
        <v>0</v>
      </c>
      <c r="O891" t="n">
        <v>0</v>
      </c>
      <c r="P891" t="n">
        <v>0</v>
      </c>
      <c r="Q891" t="n">
        <v>0</v>
      </c>
      <c r="R891" s="2" t="inlineStr"/>
    </row>
    <row r="892" ht="15" customHeight="1">
      <c r="A892" t="inlineStr">
        <is>
          <t>A 40757-2025</t>
        </is>
      </c>
      <c r="B892" s="1" t="n">
        <v>45897.39034722222</v>
      </c>
      <c r="C892" s="1" t="n">
        <v>45976</v>
      </c>
      <c r="D892" t="inlineStr">
        <is>
          <t>JÄMTLANDS LÄN</t>
        </is>
      </c>
      <c r="E892" t="inlineStr">
        <is>
          <t>BRÄCKE</t>
        </is>
      </c>
      <c r="G892" t="n">
        <v>1.6</v>
      </c>
      <c r="H892" t="n">
        <v>0</v>
      </c>
      <c r="I892" t="n">
        <v>0</v>
      </c>
      <c r="J892" t="n">
        <v>0</v>
      </c>
      <c r="K892" t="n">
        <v>0</v>
      </c>
      <c r="L892" t="n">
        <v>0</v>
      </c>
      <c r="M892" t="n">
        <v>0</v>
      </c>
      <c r="N892" t="n">
        <v>0</v>
      </c>
      <c r="O892" t="n">
        <v>0</v>
      </c>
      <c r="P892" t="n">
        <v>0</v>
      </c>
      <c r="Q892" t="n">
        <v>0</v>
      </c>
      <c r="R892" s="2" t="inlineStr"/>
    </row>
    <row r="893" ht="15" customHeight="1">
      <c r="A893" t="inlineStr">
        <is>
          <t>A 53407-2022</t>
        </is>
      </c>
      <c r="B893" s="1" t="n">
        <v>44874</v>
      </c>
      <c r="C893" s="1" t="n">
        <v>45976</v>
      </c>
      <c r="D893" t="inlineStr">
        <is>
          <t>JÄMTLANDS LÄN</t>
        </is>
      </c>
      <c r="E893" t="inlineStr">
        <is>
          <t>BRÄCKE</t>
        </is>
      </c>
      <c r="G893" t="n">
        <v>1.8</v>
      </c>
      <c r="H893" t="n">
        <v>0</v>
      </c>
      <c r="I893" t="n">
        <v>0</v>
      </c>
      <c r="J893" t="n">
        <v>0</v>
      </c>
      <c r="K893" t="n">
        <v>0</v>
      </c>
      <c r="L893" t="n">
        <v>0</v>
      </c>
      <c r="M893" t="n">
        <v>0</v>
      </c>
      <c r="N893" t="n">
        <v>0</v>
      </c>
      <c r="O893" t="n">
        <v>0</v>
      </c>
      <c r="P893" t="n">
        <v>0</v>
      </c>
      <c r="Q893" t="n">
        <v>0</v>
      </c>
      <c r="R893" s="2" t="inlineStr"/>
    </row>
    <row r="894" ht="15" customHeight="1">
      <c r="A894" t="inlineStr">
        <is>
          <t>A 49276-2025</t>
        </is>
      </c>
      <c r="B894" s="1" t="n">
        <v>45938.50738425926</v>
      </c>
      <c r="C894" s="1" t="n">
        <v>45976</v>
      </c>
      <c r="D894" t="inlineStr">
        <is>
          <t>JÄMTLANDS LÄN</t>
        </is>
      </c>
      <c r="E894" t="inlineStr">
        <is>
          <t>BRÄCKE</t>
        </is>
      </c>
      <c r="G894" t="n">
        <v>1.7</v>
      </c>
      <c r="H894" t="n">
        <v>0</v>
      </c>
      <c r="I894" t="n">
        <v>0</v>
      </c>
      <c r="J894" t="n">
        <v>0</v>
      </c>
      <c r="K894" t="n">
        <v>0</v>
      </c>
      <c r="L894" t="n">
        <v>0</v>
      </c>
      <c r="M894" t="n">
        <v>0</v>
      </c>
      <c r="N894" t="n">
        <v>0</v>
      </c>
      <c r="O894" t="n">
        <v>0</v>
      </c>
      <c r="P894" t="n">
        <v>0</v>
      </c>
      <c r="Q894" t="n">
        <v>0</v>
      </c>
      <c r="R894" s="2" t="inlineStr"/>
    </row>
    <row r="895" ht="15" customHeight="1">
      <c r="A895" t="inlineStr">
        <is>
          <t>A 21117-2023</t>
        </is>
      </c>
      <c r="B895" s="1" t="n">
        <v>45061</v>
      </c>
      <c r="C895" s="1" t="n">
        <v>45976</v>
      </c>
      <c r="D895" t="inlineStr">
        <is>
          <t>JÄMTLANDS LÄN</t>
        </is>
      </c>
      <c r="E895" t="inlineStr">
        <is>
          <t>BRÄCKE</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29572-2024</t>
        </is>
      </c>
      <c r="B896" s="1" t="n">
        <v>45484.55929398148</v>
      </c>
      <c r="C896" s="1" t="n">
        <v>45976</v>
      </c>
      <c r="D896" t="inlineStr">
        <is>
          <t>JÄMTLANDS LÄN</t>
        </is>
      </c>
      <c r="E896" t="inlineStr">
        <is>
          <t>BRÄCKE</t>
        </is>
      </c>
      <c r="F896" t="inlineStr">
        <is>
          <t>Övriga Aktiebolag</t>
        </is>
      </c>
      <c r="G896" t="n">
        <v>2.2</v>
      </c>
      <c r="H896" t="n">
        <v>0</v>
      </c>
      <c r="I896" t="n">
        <v>0</v>
      </c>
      <c r="J896" t="n">
        <v>0</v>
      </c>
      <c r="K896" t="n">
        <v>0</v>
      </c>
      <c r="L896" t="n">
        <v>0</v>
      </c>
      <c r="M896" t="n">
        <v>0</v>
      </c>
      <c r="N896" t="n">
        <v>0</v>
      </c>
      <c r="O896" t="n">
        <v>0</v>
      </c>
      <c r="P896" t="n">
        <v>0</v>
      </c>
      <c r="Q896" t="n">
        <v>0</v>
      </c>
      <c r="R896" s="2" t="inlineStr"/>
    </row>
    <row r="897" ht="15" customHeight="1">
      <c r="A897" t="inlineStr">
        <is>
          <t>A 14178-2021</t>
        </is>
      </c>
      <c r="B897" s="1" t="n">
        <v>44278</v>
      </c>
      <c r="C897" s="1" t="n">
        <v>45976</v>
      </c>
      <c r="D897" t="inlineStr">
        <is>
          <t>JÄMTLANDS LÄN</t>
        </is>
      </c>
      <c r="E897" t="inlineStr">
        <is>
          <t>BRÄCKE</t>
        </is>
      </c>
      <c r="G897" t="n">
        <v>0.7</v>
      </c>
      <c r="H897" t="n">
        <v>0</v>
      </c>
      <c r="I897" t="n">
        <v>0</v>
      </c>
      <c r="J897" t="n">
        <v>0</v>
      </c>
      <c r="K897" t="n">
        <v>0</v>
      </c>
      <c r="L897" t="n">
        <v>0</v>
      </c>
      <c r="M897" t="n">
        <v>0</v>
      </c>
      <c r="N897" t="n">
        <v>0</v>
      </c>
      <c r="O897" t="n">
        <v>0</v>
      </c>
      <c r="P897" t="n">
        <v>0</v>
      </c>
      <c r="Q897" t="n">
        <v>0</v>
      </c>
      <c r="R897" s="2" t="inlineStr"/>
    </row>
    <row r="898" ht="15" customHeight="1">
      <c r="A898" t="inlineStr">
        <is>
          <t>A 40868-2025</t>
        </is>
      </c>
      <c r="B898" s="1" t="n">
        <v>45897.57365740741</v>
      </c>
      <c r="C898" s="1" t="n">
        <v>45976</v>
      </c>
      <c r="D898" t="inlineStr">
        <is>
          <t>JÄMTLANDS LÄN</t>
        </is>
      </c>
      <c r="E898" t="inlineStr">
        <is>
          <t>BRÄCKE</t>
        </is>
      </c>
      <c r="F898" t="inlineStr">
        <is>
          <t>SCA</t>
        </is>
      </c>
      <c r="G898" t="n">
        <v>5.6</v>
      </c>
      <c r="H898" t="n">
        <v>0</v>
      </c>
      <c r="I898" t="n">
        <v>0</v>
      </c>
      <c r="J898" t="n">
        <v>0</v>
      </c>
      <c r="K898" t="n">
        <v>0</v>
      </c>
      <c r="L898" t="n">
        <v>0</v>
      </c>
      <c r="M898" t="n">
        <v>0</v>
      </c>
      <c r="N898" t="n">
        <v>0</v>
      </c>
      <c r="O898" t="n">
        <v>0</v>
      </c>
      <c r="P898" t="n">
        <v>0</v>
      </c>
      <c r="Q898" t="n">
        <v>0</v>
      </c>
      <c r="R898" s="2" t="inlineStr"/>
    </row>
    <row r="899" ht="15" customHeight="1">
      <c r="A899" t="inlineStr">
        <is>
          <t>A 40869-2025</t>
        </is>
      </c>
      <c r="B899" s="1" t="n">
        <v>45897.57383101852</v>
      </c>
      <c r="C899" s="1" t="n">
        <v>45976</v>
      </c>
      <c r="D899" t="inlineStr">
        <is>
          <t>JÄMTLANDS LÄN</t>
        </is>
      </c>
      <c r="E899" t="inlineStr">
        <is>
          <t>BRÄCKE</t>
        </is>
      </c>
      <c r="G899" t="n">
        <v>4.8</v>
      </c>
      <c r="H899" t="n">
        <v>0</v>
      </c>
      <c r="I899" t="n">
        <v>0</v>
      </c>
      <c r="J899" t="n">
        <v>0</v>
      </c>
      <c r="K899" t="n">
        <v>0</v>
      </c>
      <c r="L899" t="n">
        <v>0</v>
      </c>
      <c r="M899" t="n">
        <v>0</v>
      </c>
      <c r="N899" t="n">
        <v>0</v>
      </c>
      <c r="O899" t="n">
        <v>0</v>
      </c>
      <c r="P899" t="n">
        <v>0</v>
      </c>
      <c r="Q899" t="n">
        <v>0</v>
      </c>
      <c r="R899" s="2" t="inlineStr"/>
    </row>
    <row r="900" ht="15" customHeight="1">
      <c r="A900" t="inlineStr">
        <is>
          <t>A 26278-2024</t>
        </is>
      </c>
      <c r="B900" s="1" t="n">
        <v>45468.68905092592</v>
      </c>
      <c r="C900" s="1" t="n">
        <v>45976</v>
      </c>
      <c r="D900" t="inlineStr">
        <is>
          <t>JÄMTLANDS LÄN</t>
        </is>
      </c>
      <c r="E900" t="inlineStr">
        <is>
          <t>BRÄCKE</t>
        </is>
      </c>
      <c r="G900" t="n">
        <v>1.7</v>
      </c>
      <c r="H900" t="n">
        <v>0</v>
      </c>
      <c r="I900" t="n">
        <v>0</v>
      </c>
      <c r="J900" t="n">
        <v>0</v>
      </c>
      <c r="K900" t="n">
        <v>0</v>
      </c>
      <c r="L900" t="n">
        <v>0</v>
      </c>
      <c r="M900" t="n">
        <v>0</v>
      </c>
      <c r="N900" t="n">
        <v>0</v>
      </c>
      <c r="O900" t="n">
        <v>0</v>
      </c>
      <c r="P900" t="n">
        <v>0</v>
      </c>
      <c r="Q900" t="n">
        <v>0</v>
      </c>
      <c r="R900" s="2" t="inlineStr"/>
    </row>
    <row r="901" ht="15" customHeight="1">
      <c r="A901" t="inlineStr">
        <is>
          <t>A 40748-2025</t>
        </is>
      </c>
      <c r="B901" s="1" t="n">
        <v>45897.38009259259</v>
      </c>
      <c r="C901" s="1" t="n">
        <v>45976</v>
      </c>
      <c r="D901" t="inlineStr">
        <is>
          <t>JÄMTLANDS LÄN</t>
        </is>
      </c>
      <c r="E901" t="inlineStr">
        <is>
          <t>BRÄCKE</t>
        </is>
      </c>
      <c r="G901" t="n">
        <v>2</v>
      </c>
      <c r="H901" t="n">
        <v>0</v>
      </c>
      <c r="I901" t="n">
        <v>0</v>
      </c>
      <c r="J901" t="n">
        <v>0</v>
      </c>
      <c r="K901" t="n">
        <v>0</v>
      </c>
      <c r="L901" t="n">
        <v>0</v>
      </c>
      <c r="M901" t="n">
        <v>0</v>
      </c>
      <c r="N901" t="n">
        <v>0</v>
      </c>
      <c r="O901" t="n">
        <v>0</v>
      </c>
      <c r="P901" t="n">
        <v>0</v>
      </c>
      <c r="Q901" t="n">
        <v>0</v>
      </c>
      <c r="R901" s="2" t="inlineStr"/>
    </row>
    <row r="902" ht="15" customHeight="1">
      <c r="A902" t="inlineStr">
        <is>
          <t>A 26350-2023</t>
        </is>
      </c>
      <c r="B902" s="1" t="n">
        <v>45091.9421412037</v>
      </c>
      <c r="C902" s="1" t="n">
        <v>45976</v>
      </c>
      <c r="D902" t="inlineStr">
        <is>
          <t>JÄMTLANDS LÄN</t>
        </is>
      </c>
      <c r="E902" t="inlineStr">
        <is>
          <t>BRÄCKE</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61662-2022</t>
        </is>
      </c>
      <c r="B903" s="1" t="n">
        <v>44916.96359953703</v>
      </c>
      <c r="C903" s="1" t="n">
        <v>45976</v>
      </c>
      <c r="D903" t="inlineStr">
        <is>
          <t>JÄMTLANDS LÄN</t>
        </is>
      </c>
      <c r="E903" t="inlineStr">
        <is>
          <t>BRÄCKE</t>
        </is>
      </c>
      <c r="F903" t="inlineStr">
        <is>
          <t>SCA</t>
        </is>
      </c>
      <c r="G903" t="n">
        <v>0.8</v>
      </c>
      <c r="H903" t="n">
        <v>0</v>
      </c>
      <c r="I903" t="n">
        <v>0</v>
      </c>
      <c r="J903" t="n">
        <v>0</v>
      </c>
      <c r="K903" t="n">
        <v>0</v>
      </c>
      <c r="L903" t="n">
        <v>0</v>
      </c>
      <c r="M903" t="n">
        <v>0</v>
      </c>
      <c r="N903" t="n">
        <v>0</v>
      </c>
      <c r="O903" t="n">
        <v>0</v>
      </c>
      <c r="P903" t="n">
        <v>0</v>
      </c>
      <c r="Q903" t="n">
        <v>0</v>
      </c>
      <c r="R903" s="2" t="inlineStr"/>
    </row>
    <row r="904" ht="15" customHeight="1">
      <c r="A904" t="inlineStr">
        <is>
          <t>A 40832-2025</t>
        </is>
      </c>
      <c r="B904" s="1" t="n">
        <v>45897.51096064815</v>
      </c>
      <c r="C904" s="1" t="n">
        <v>45976</v>
      </c>
      <c r="D904" t="inlineStr">
        <is>
          <t>JÄMTLANDS LÄN</t>
        </is>
      </c>
      <c r="E904" t="inlineStr">
        <is>
          <t>BRÄCKE</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44841-2024</t>
        </is>
      </c>
      <c r="B905" s="1" t="n">
        <v>45574.71900462963</v>
      </c>
      <c r="C905" s="1" t="n">
        <v>45976</v>
      </c>
      <c r="D905" t="inlineStr">
        <is>
          <t>JÄMTLANDS LÄN</t>
        </is>
      </c>
      <c r="E905" t="inlineStr">
        <is>
          <t>BRÄCKE</t>
        </is>
      </c>
      <c r="F905" t="inlineStr">
        <is>
          <t>SCA</t>
        </is>
      </c>
      <c r="G905" t="n">
        <v>4.6</v>
      </c>
      <c r="H905" t="n">
        <v>0</v>
      </c>
      <c r="I905" t="n">
        <v>0</v>
      </c>
      <c r="J905" t="n">
        <v>0</v>
      </c>
      <c r="K905" t="n">
        <v>0</v>
      </c>
      <c r="L905" t="n">
        <v>0</v>
      </c>
      <c r="M905" t="n">
        <v>0</v>
      </c>
      <c r="N905" t="n">
        <v>0</v>
      </c>
      <c r="O905" t="n">
        <v>0</v>
      </c>
      <c r="P905" t="n">
        <v>0</v>
      </c>
      <c r="Q905" t="n">
        <v>0</v>
      </c>
      <c r="R905" s="2" t="inlineStr"/>
    </row>
    <row r="906" ht="15" customHeight="1">
      <c r="A906" t="inlineStr">
        <is>
          <t>A 15262-2025</t>
        </is>
      </c>
      <c r="B906" s="1" t="n">
        <v>45744.65693287037</v>
      </c>
      <c r="C906" s="1" t="n">
        <v>45976</v>
      </c>
      <c r="D906" t="inlineStr">
        <is>
          <t>JÄMTLANDS LÄN</t>
        </is>
      </c>
      <c r="E906" t="inlineStr">
        <is>
          <t>BRÄCKE</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40410-2023</t>
        </is>
      </c>
      <c r="B907" s="1" t="n">
        <v>45169</v>
      </c>
      <c r="C907" s="1" t="n">
        <v>45976</v>
      </c>
      <c r="D907" t="inlineStr">
        <is>
          <t>JÄMTLANDS LÄN</t>
        </is>
      </c>
      <c r="E907" t="inlineStr">
        <is>
          <t>BRÄCKE</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40809-2025</t>
        </is>
      </c>
      <c r="B908" s="1" t="n">
        <v>45897.46936342592</v>
      </c>
      <c r="C908" s="1" t="n">
        <v>45976</v>
      </c>
      <c r="D908" t="inlineStr">
        <is>
          <t>JÄMTLANDS LÄN</t>
        </is>
      </c>
      <c r="E908" t="inlineStr">
        <is>
          <t>BRÄCKE</t>
        </is>
      </c>
      <c r="F908" t="inlineStr">
        <is>
          <t>SCA</t>
        </is>
      </c>
      <c r="G908" t="n">
        <v>0.5</v>
      </c>
      <c r="H908" t="n">
        <v>0</v>
      </c>
      <c r="I908" t="n">
        <v>0</v>
      </c>
      <c r="J908" t="n">
        <v>0</v>
      </c>
      <c r="K908" t="n">
        <v>0</v>
      </c>
      <c r="L908" t="n">
        <v>0</v>
      </c>
      <c r="M908" t="n">
        <v>0</v>
      </c>
      <c r="N908" t="n">
        <v>0</v>
      </c>
      <c r="O908" t="n">
        <v>0</v>
      </c>
      <c r="P908" t="n">
        <v>0</v>
      </c>
      <c r="Q908" t="n">
        <v>0</v>
      </c>
      <c r="R908" s="2" t="inlineStr"/>
    </row>
    <row r="909" ht="15" customHeight="1">
      <c r="A909" t="inlineStr">
        <is>
          <t>A 38302-2024</t>
        </is>
      </c>
      <c r="B909" s="1" t="n">
        <v>45545.63614583333</v>
      </c>
      <c r="C909" s="1" t="n">
        <v>45976</v>
      </c>
      <c r="D909" t="inlineStr">
        <is>
          <t>JÄMTLANDS LÄN</t>
        </is>
      </c>
      <c r="E909" t="inlineStr">
        <is>
          <t>BRÄCKE</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51161-2023</t>
        </is>
      </c>
      <c r="B910" s="1" t="n">
        <v>45219.38019675926</v>
      </c>
      <c r="C910" s="1" t="n">
        <v>45976</v>
      </c>
      <c r="D910" t="inlineStr">
        <is>
          <t>JÄMTLANDS LÄN</t>
        </is>
      </c>
      <c r="E910" t="inlineStr">
        <is>
          <t>BRÄCKE</t>
        </is>
      </c>
      <c r="G910" t="n">
        <v>2.5</v>
      </c>
      <c r="H910" t="n">
        <v>0</v>
      </c>
      <c r="I910" t="n">
        <v>0</v>
      </c>
      <c r="J910" t="n">
        <v>0</v>
      </c>
      <c r="K910" t="n">
        <v>0</v>
      </c>
      <c r="L910" t="n">
        <v>0</v>
      </c>
      <c r="M910" t="n">
        <v>0</v>
      </c>
      <c r="N910" t="n">
        <v>0</v>
      </c>
      <c r="O910" t="n">
        <v>0</v>
      </c>
      <c r="P910" t="n">
        <v>0</v>
      </c>
      <c r="Q910" t="n">
        <v>0</v>
      </c>
      <c r="R910" s="2" t="inlineStr"/>
    </row>
    <row r="911" ht="15" customHeight="1">
      <c r="A911" t="inlineStr">
        <is>
          <t>A 15243-2025</t>
        </is>
      </c>
      <c r="B911" s="1" t="n">
        <v>45744.61537037037</v>
      </c>
      <c r="C911" s="1" t="n">
        <v>45976</v>
      </c>
      <c r="D911" t="inlineStr">
        <is>
          <t>JÄMTLANDS LÄN</t>
        </is>
      </c>
      <c r="E911" t="inlineStr">
        <is>
          <t>BRÄCKE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52714-2022</t>
        </is>
      </c>
      <c r="B912" s="1" t="n">
        <v>44874.95511574074</v>
      </c>
      <c r="C912" s="1" t="n">
        <v>45976</v>
      </c>
      <c r="D912" t="inlineStr">
        <is>
          <t>JÄMTLANDS LÄN</t>
        </is>
      </c>
      <c r="E912" t="inlineStr">
        <is>
          <t>BRÄCKE</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37504-2023</t>
        </is>
      </c>
      <c r="B913" s="1" t="n">
        <v>45157.59725694444</v>
      </c>
      <c r="C913" s="1" t="n">
        <v>45976</v>
      </c>
      <c r="D913" t="inlineStr">
        <is>
          <t>JÄMTLANDS LÄN</t>
        </is>
      </c>
      <c r="E913" t="inlineStr">
        <is>
          <t>BRÄCKE</t>
        </is>
      </c>
      <c r="F913" t="inlineStr">
        <is>
          <t>Sveaskog</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49666-2025</t>
        </is>
      </c>
      <c r="B914" s="1" t="n">
        <v>45939.63657407407</v>
      </c>
      <c r="C914" s="1" t="n">
        <v>45976</v>
      </c>
      <c r="D914" t="inlineStr">
        <is>
          <t>JÄMTLANDS LÄN</t>
        </is>
      </c>
      <c r="E914" t="inlineStr">
        <is>
          <t>BRÄCKE</t>
        </is>
      </c>
      <c r="F914" t="inlineStr">
        <is>
          <t>SCA</t>
        </is>
      </c>
      <c r="G914" t="n">
        <v>4.1</v>
      </c>
      <c r="H914" t="n">
        <v>0</v>
      </c>
      <c r="I914" t="n">
        <v>0</v>
      </c>
      <c r="J914" t="n">
        <v>0</v>
      </c>
      <c r="K914" t="n">
        <v>0</v>
      </c>
      <c r="L914" t="n">
        <v>0</v>
      </c>
      <c r="M914" t="n">
        <v>0</v>
      </c>
      <c r="N914" t="n">
        <v>0</v>
      </c>
      <c r="O914" t="n">
        <v>0</v>
      </c>
      <c r="P914" t="n">
        <v>0</v>
      </c>
      <c r="Q914" t="n">
        <v>0</v>
      </c>
      <c r="R914" s="2" t="inlineStr"/>
    </row>
    <row r="915" ht="15" customHeight="1">
      <c r="A915" t="inlineStr">
        <is>
          <t>A 40959-2025</t>
        </is>
      </c>
      <c r="B915" s="1" t="n">
        <v>45897.67890046296</v>
      </c>
      <c r="C915" s="1" t="n">
        <v>45976</v>
      </c>
      <c r="D915" t="inlineStr">
        <is>
          <t>JÄMTLANDS LÄN</t>
        </is>
      </c>
      <c r="E915" t="inlineStr">
        <is>
          <t>BRÄCKE</t>
        </is>
      </c>
      <c r="F915" t="inlineStr">
        <is>
          <t>Naturvårdsverket</t>
        </is>
      </c>
      <c r="G915" t="n">
        <v>12.6</v>
      </c>
      <c r="H915" t="n">
        <v>0</v>
      </c>
      <c r="I915" t="n">
        <v>0</v>
      </c>
      <c r="J915" t="n">
        <v>0</v>
      </c>
      <c r="K915" t="n">
        <v>0</v>
      </c>
      <c r="L915" t="n">
        <v>0</v>
      </c>
      <c r="M915" t="n">
        <v>0</v>
      </c>
      <c r="N915" t="n">
        <v>0</v>
      </c>
      <c r="O915" t="n">
        <v>0</v>
      </c>
      <c r="P915" t="n">
        <v>0</v>
      </c>
      <c r="Q915" t="n">
        <v>0</v>
      </c>
      <c r="R915" s="2" t="inlineStr"/>
    </row>
    <row r="916" ht="15" customHeight="1">
      <c r="A916" t="inlineStr">
        <is>
          <t>A 7123-2025</t>
        </is>
      </c>
      <c r="B916" s="1" t="n">
        <v>45702.34427083333</v>
      </c>
      <c r="C916" s="1" t="n">
        <v>45976</v>
      </c>
      <c r="D916" t="inlineStr">
        <is>
          <t>JÄMTLANDS LÄN</t>
        </is>
      </c>
      <c r="E916" t="inlineStr">
        <is>
          <t>BRÄCKE</t>
        </is>
      </c>
      <c r="F916" t="inlineStr">
        <is>
          <t>SCA</t>
        </is>
      </c>
      <c r="G916" t="n">
        <v>0.7</v>
      </c>
      <c r="H916" t="n">
        <v>0</v>
      </c>
      <c r="I916" t="n">
        <v>0</v>
      </c>
      <c r="J916" t="n">
        <v>0</v>
      </c>
      <c r="K916" t="n">
        <v>0</v>
      </c>
      <c r="L916" t="n">
        <v>0</v>
      </c>
      <c r="M916" t="n">
        <v>0</v>
      </c>
      <c r="N916" t="n">
        <v>0</v>
      </c>
      <c r="O916" t="n">
        <v>0</v>
      </c>
      <c r="P916" t="n">
        <v>0</v>
      </c>
      <c r="Q916" t="n">
        <v>0</v>
      </c>
      <c r="R916" s="2" t="inlineStr"/>
    </row>
    <row r="917" ht="15" customHeight="1">
      <c r="A917" t="inlineStr">
        <is>
          <t>A 25883-2022</t>
        </is>
      </c>
      <c r="B917" s="1" t="n">
        <v>44733</v>
      </c>
      <c r="C917" s="1" t="n">
        <v>45976</v>
      </c>
      <c r="D917" t="inlineStr">
        <is>
          <t>JÄMTLANDS LÄN</t>
        </is>
      </c>
      <c r="E917" t="inlineStr">
        <is>
          <t>BRÄCKE</t>
        </is>
      </c>
      <c r="F917" t="inlineStr">
        <is>
          <t>Övriga Aktiebolag</t>
        </is>
      </c>
      <c r="G917" t="n">
        <v>23.4</v>
      </c>
      <c r="H917" t="n">
        <v>0</v>
      </c>
      <c r="I917" t="n">
        <v>0</v>
      </c>
      <c r="J917" t="n">
        <v>0</v>
      </c>
      <c r="K917" t="n">
        <v>0</v>
      </c>
      <c r="L917" t="n">
        <v>0</v>
      </c>
      <c r="M917" t="n">
        <v>0</v>
      </c>
      <c r="N917" t="n">
        <v>0</v>
      </c>
      <c r="O917" t="n">
        <v>0</v>
      </c>
      <c r="P917" t="n">
        <v>0</v>
      </c>
      <c r="Q917" t="n">
        <v>0</v>
      </c>
      <c r="R917" s="2" t="inlineStr"/>
    </row>
    <row r="918" ht="15" customHeight="1">
      <c r="A918" t="inlineStr">
        <is>
          <t>A 40094-2023</t>
        </is>
      </c>
      <c r="B918" s="1" t="n">
        <v>45168</v>
      </c>
      <c r="C918" s="1" t="n">
        <v>45976</v>
      </c>
      <c r="D918" t="inlineStr">
        <is>
          <t>JÄMTLANDS LÄN</t>
        </is>
      </c>
      <c r="E918" t="inlineStr">
        <is>
          <t>BRÄCKE</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49292-2025</t>
        </is>
      </c>
      <c r="B919" s="1" t="n">
        <v>45938.53203703704</v>
      </c>
      <c r="C919" s="1" t="n">
        <v>45976</v>
      </c>
      <c r="D919" t="inlineStr">
        <is>
          <t>JÄMTLANDS LÄN</t>
        </is>
      </c>
      <c r="E919" t="inlineStr">
        <is>
          <t>BRÄCKE</t>
        </is>
      </c>
      <c r="G919" t="n">
        <v>4.4</v>
      </c>
      <c r="H919" t="n">
        <v>0</v>
      </c>
      <c r="I919" t="n">
        <v>0</v>
      </c>
      <c r="J919" t="n">
        <v>0</v>
      </c>
      <c r="K919" t="n">
        <v>0</v>
      </c>
      <c r="L919" t="n">
        <v>0</v>
      </c>
      <c r="M919" t="n">
        <v>0</v>
      </c>
      <c r="N919" t="n">
        <v>0</v>
      </c>
      <c r="O919" t="n">
        <v>0</v>
      </c>
      <c r="P919" t="n">
        <v>0</v>
      </c>
      <c r="Q919" t="n">
        <v>0</v>
      </c>
      <c r="R919" s="2" t="inlineStr"/>
    </row>
    <row r="920" ht="15" customHeight="1">
      <c r="A920" t="inlineStr">
        <is>
          <t>A 48342-2024</t>
        </is>
      </c>
      <c r="B920" s="1" t="n">
        <v>45590.55238425926</v>
      </c>
      <c r="C920" s="1" t="n">
        <v>45976</v>
      </c>
      <c r="D920" t="inlineStr">
        <is>
          <t>JÄMTLANDS LÄN</t>
        </is>
      </c>
      <c r="E920" t="inlineStr">
        <is>
          <t>BRÄCKE</t>
        </is>
      </c>
      <c r="F920" t="inlineStr">
        <is>
          <t>SCA</t>
        </is>
      </c>
      <c r="G920" t="n">
        <v>3.5</v>
      </c>
      <c r="H920" t="n">
        <v>0</v>
      </c>
      <c r="I920" t="n">
        <v>0</v>
      </c>
      <c r="J920" t="n">
        <v>0</v>
      </c>
      <c r="K920" t="n">
        <v>0</v>
      </c>
      <c r="L920" t="n">
        <v>0</v>
      </c>
      <c r="M920" t="n">
        <v>0</v>
      </c>
      <c r="N920" t="n">
        <v>0</v>
      </c>
      <c r="O920" t="n">
        <v>0</v>
      </c>
      <c r="P920" t="n">
        <v>0</v>
      </c>
      <c r="Q920" t="n">
        <v>0</v>
      </c>
      <c r="R920" s="2" t="inlineStr"/>
    </row>
    <row r="921" ht="15" customHeight="1">
      <c r="A921" t="inlineStr">
        <is>
          <t>A 35398-2024</t>
        </is>
      </c>
      <c r="B921" s="1" t="n">
        <v>45531.40420138889</v>
      </c>
      <c r="C921" s="1" t="n">
        <v>45976</v>
      </c>
      <c r="D921" t="inlineStr">
        <is>
          <t>JÄMTLANDS LÄN</t>
        </is>
      </c>
      <c r="E921" t="inlineStr">
        <is>
          <t>BRÄCKE</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13525-2022</t>
        </is>
      </c>
      <c r="B922" s="1" t="n">
        <v>44648</v>
      </c>
      <c r="C922" s="1" t="n">
        <v>45976</v>
      </c>
      <c r="D922" t="inlineStr">
        <is>
          <t>JÄMTLANDS LÄN</t>
        </is>
      </c>
      <c r="E922" t="inlineStr">
        <is>
          <t>BRÄCKE</t>
        </is>
      </c>
      <c r="G922" t="n">
        <v>0.5</v>
      </c>
      <c r="H922" t="n">
        <v>0</v>
      </c>
      <c r="I922" t="n">
        <v>0</v>
      </c>
      <c r="J922" t="n">
        <v>0</v>
      </c>
      <c r="K922" t="n">
        <v>0</v>
      </c>
      <c r="L922" t="n">
        <v>0</v>
      </c>
      <c r="M922" t="n">
        <v>0</v>
      </c>
      <c r="N922" t="n">
        <v>0</v>
      </c>
      <c r="O922" t="n">
        <v>0</v>
      </c>
      <c r="P922" t="n">
        <v>0</v>
      </c>
      <c r="Q922" t="n">
        <v>0</v>
      </c>
      <c r="R922" s="2" t="inlineStr"/>
    </row>
    <row r="923" ht="15" customHeight="1">
      <c r="A923" t="inlineStr">
        <is>
          <t>A 44445-2022</t>
        </is>
      </c>
      <c r="B923" s="1" t="n">
        <v>44839.95482638889</v>
      </c>
      <c r="C923" s="1" t="n">
        <v>45976</v>
      </c>
      <c r="D923" t="inlineStr">
        <is>
          <t>JÄMTLANDS LÄN</t>
        </is>
      </c>
      <c r="E923" t="inlineStr">
        <is>
          <t>BRÄCKE</t>
        </is>
      </c>
      <c r="F923" t="inlineStr">
        <is>
          <t>SCA</t>
        </is>
      </c>
      <c r="G923" t="n">
        <v>5</v>
      </c>
      <c r="H923" t="n">
        <v>0</v>
      </c>
      <c r="I923" t="n">
        <v>0</v>
      </c>
      <c r="J923" t="n">
        <v>0</v>
      </c>
      <c r="K923" t="n">
        <v>0</v>
      </c>
      <c r="L923" t="n">
        <v>0</v>
      </c>
      <c r="M923" t="n">
        <v>0</v>
      </c>
      <c r="N923" t="n">
        <v>0</v>
      </c>
      <c r="O923" t="n">
        <v>0</v>
      </c>
      <c r="P923" t="n">
        <v>0</v>
      </c>
      <c r="Q923" t="n">
        <v>0</v>
      </c>
      <c r="R923" s="2" t="inlineStr"/>
    </row>
    <row r="924" ht="15" customHeight="1">
      <c r="A924" t="inlineStr">
        <is>
          <t>A 68763-2021</t>
        </is>
      </c>
      <c r="B924" s="1" t="n">
        <v>44529</v>
      </c>
      <c r="C924" s="1" t="n">
        <v>45976</v>
      </c>
      <c r="D924" t="inlineStr">
        <is>
          <t>JÄMTLANDS LÄN</t>
        </is>
      </c>
      <c r="E924" t="inlineStr">
        <is>
          <t>BRÄCKE</t>
        </is>
      </c>
      <c r="G924" t="n">
        <v>1.7</v>
      </c>
      <c r="H924" t="n">
        <v>0</v>
      </c>
      <c r="I924" t="n">
        <v>0</v>
      </c>
      <c r="J924" t="n">
        <v>0</v>
      </c>
      <c r="K924" t="n">
        <v>0</v>
      </c>
      <c r="L924" t="n">
        <v>0</v>
      </c>
      <c r="M924" t="n">
        <v>0</v>
      </c>
      <c r="N924" t="n">
        <v>0</v>
      </c>
      <c r="O924" t="n">
        <v>0</v>
      </c>
      <c r="P924" t="n">
        <v>0</v>
      </c>
      <c r="Q924" t="n">
        <v>0</v>
      </c>
      <c r="R924" s="2" t="inlineStr"/>
    </row>
    <row r="925" ht="15" customHeight="1">
      <c r="A925" t="inlineStr">
        <is>
          <t>A 40908-2025</t>
        </is>
      </c>
      <c r="B925" s="1" t="n">
        <v>45897.61657407408</v>
      </c>
      <c r="C925" s="1" t="n">
        <v>45976</v>
      </c>
      <c r="D925" t="inlineStr">
        <is>
          <t>JÄMTLANDS LÄN</t>
        </is>
      </c>
      <c r="E925" t="inlineStr">
        <is>
          <t>BRÄCKE</t>
        </is>
      </c>
      <c r="F925" t="inlineStr">
        <is>
          <t>SCA</t>
        </is>
      </c>
      <c r="G925" t="n">
        <v>4.5</v>
      </c>
      <c r="H925" t="n">
        <v>0</v>
      </c>
      <c r="I925" t="n">
        <v>0</v>
      </c>
      <c r="J925" t="n">
        <v>0</v>
      </c>
      <c r="K925" t="n">
        <v>0</v>
      </c>
      <c r="L925" t="n">
        <v>0</v>
      </c>
      <c r="M925" t="n">
        <v>0</v>
      </c>
      <c r="N925" t="n">
        <v>0</v>
      </c>
      <c r="O925" t="n">
        <v>0</v>
      </c>
      <c r="P925" t="n">
        <v>0</v>
      </c>
      <c r="Q925" t="n">
        <v>0</v>
      </c>
      <c r="R925" s="2" t="inlineStr"/>
    </row>
    <row r="926" ht="15" customHeight="1">
      <c r="A926" t="inlineStr">
        <is>
          <t>A 49255-2025</t>
        </is>
      </c>
      <c r="B926" s="1" t="n">
        <v>45938.49164351852</v>
      </c>
      <c r="C926" s="1" t="n">
        <v>45976</v>
      </c>
      <c r="D926" t="inlineStr">
        <is>
          <t>JÄMTLANDS LÄN</t>
        </is>
      </c>
      <c r="E926" t="inlineStr">
        <is>
          <t>BRÄCKE</t>
        </is>
      </c>
      <c r="F926" t="inlineStr">
        <is>
          <t>SCA</t>
        </is>
      </c>
      <c r="G926" t="n">
        <v>3</v>
      </c>
      <c r="H926" t="n">
        <v>0</v>
      </c>
      <c r="I926" t="n">
        <v>0</v>
      </c>
      <c r="J926" t="n">
        <v>0</v>
      </c>
      <c r="K926" t="n">
        <v>0</v>
      </c>
      <c r="L926" t="n">
        <v>0</v>
      </c>
      <c r="M926" t="n">
        <v>0</v>
      </c>
      <c r="N926" t="n">
        <v>0</v>
      </c>
      <c r="O926" t="n">
        <v>0</v>
      </c>
      <c r="P926" t="n">
        <v>0</v>
      </c>
      <c r="Q926" t="n">
        <v>0</v>
      </c>
      <c r="R926" s="2" t="inlineStr"/>
    </row>
    <row r="927" ht="15" customHeight="1">
      <c r="A927" t="inlineStr">
        <is>
          <t>A 23752-2023</t>
        </is>
      </c>
      <c r="B927" s="1" t="n">
        <v>45077.92935185185</v>
      </c>
      <c r="C927" s="1" t="n">
        <v>45976</v>
      </c>
      <c r="D927" t="inlineStr">
        <is>
          <t>JÄMTLANDS LÄN</t>
        </is>
      </c>
      <c r="E927" t="inlineStr">
        <is>
          <t>BRÄCKE</t>
        </is>
      </c>
      <c r="G927" t="n">
        <v>0.8</v>
      </c>
      <c r="H927" t="n">
        <v>0</v>
      </c>
      <c r="I927" t="n">
        <v>0</v>
      </c>
      <c r="J927" t="n">
        <v>0</v>
      </c>
      <c r="K927" t="n">
        <v>0</v>
      </c>
      <c r="L927" t="n">
        <v>0</v>
      </c>
      <c r="M927" t="n">
        <v>0</v>
      </c>
      <c r="N927" t="n">
        <v>0</v>
      </c>
      <c r="O927" t="n">
        <v>0</v>
      </c>
      <c r="P927" t="n">
        <v>0</v>
      </c>
      <c r="Q927" t="n">
        <v>0</v>
      </c>
      <c r="R927" s="2" t="inlineStr"/>
    </row>
    <row r="928" ht="15" customHeight="1">
      <c r="A928" t="inlineStr">
        <is>
          <t>A 38105-2024</t>
        </is>
      </c>
      <c r="B928" s="1" t="n">
        <v>45545.36538194444</v>
      </c>
      <c r="C928" s="1" t="n">
        <v>45976</v>
      </c>
      <c r="D928" t="inlineStr">
        <is>
          <t>JÄMTLANDS LÄN</t>
        </is>
      </c>
      <c r="E928" t="inlineStr">
        <is>
          <t>BRÄCKE</t>
        </is>
      </c>
      <c r="G928" t="n">
        <v>1</v>
      </c>
      <c r="H928" t="n">
        <v>0</v>
      </c>
      <c r="I928" t="n">
        <v>0</v>
      </c>
      <c r="J928" t="n">
        <v>0</v>
      </c>
      <c r="K928" t="n">
        <v>0</v>
      </c>
      <c r="L928" t="n">
        <v>0</v>
      </c>
      <c r="M928" t="n">
        <v>0</v>
      </c>
      <c r="N928" t="n">
        <v>0</v>
      </c>
      <c r="O928" t="n">
        <v>0</v>
      </c>
      <c r="P928" t="n">
        <v>0</v>
      </c>
      <c r="Q928" t="n">
        <v>0</v>
      </c>
      <c r="R928" s="2" t="inlineStr"/>
    </row>
    <row r="929" ht="15" customHeight="1">
      <c r="A929" t="inlineStr">
        <is>
          <t>A 55436-2024</t>
        </is>
      </c>
      <c r="B929" s="1" t="n">
        <v>45622.4022337963</v>
      </c>
      <c r="C929" s="1" t="n">
        <v>45976</v>
      </c>
      <c r="D929" t="inlineStr">
        <is>
          <t>JÄMTLANDS LÄN</t>
        </is>
      </c>
      <c r="E929" t="inlineStr">
        <is>
          <t>BRÄCKE</t>
        </is>
      </c>
      <c r="G929" t="n">
        <v>1.9</v>
      </c>
      <c r="H929" t="n">
        <v>0</v>
      </c>
      <c r="I929" t="n">
        <v>0</v>
      </c>
      <c r="J929" t="n">
        <v>0</v>
      </c>
      <c r="K929" t="n">
        <v>0</v>
      </c>
      <c r="L929" t="n">
        <v>0</v>
      </c>
      <c r="M929" t="n">
        <v>0</v>
      </c>
      <c r="N929" t="n">
        <v>0</v>
      </c>
      <c r="O929" t="n">
        <v>0</v>
      </c>
      <c r="P929" t="n">
        <v>0</v>
      </c>
      <c r="Q929" t="n">
        <v>0</v>
      </c>
      <c r="R929" s="2" t="inlineStr"/>
    </row>
    <row r="930" ht="15" customHeight="1">
      <c r="A930" t="inlineStr">
        <is>
          <t>A 56047-2024</t>
        </is>
      </c>
      <c r="B930" s="1" t="n">
        <v>45624.34450231482</v>
      </c>
      <c r="C930" s="1" t="n">
        <v>45976</v>
      </c>
      <c r="D930" t="inlineStr">
        <is>
          <t>JÄMTLANDS LÄN</t>
        </is>
      </c>
      <c r="E930" t="inlineStr">
        <is>
          <t>BRÄCKE</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40900-2025</t>
        </is>
      </c>
      <c r="B931" s="1" t="n">
        <v>45897.61546296296</v>
      </c>
      <c r="C931" s="1" t="n">
        <v>45976</v>
      </c>
      <c r="D931" t="inlineStr">
        <is>
          <t>JÄMTLANDS LÄN</t>
        </is>
      </c>
      <c r="E931" t="inlineStr">
        <is>
          <t>BRÄCKE</t>
        </is>
      </c>
      <c r="G931" t="n">
        <v>4.8</v>
      </c>
      <c r="H931" t="n">
        <v>0</v>
      </c>
      <c r="I931" t="n">
        <v>0</v>
      </c>
      <c r="J931" t="n">
        <v>0</v>
      </c>
      <c r="K931" t="n">
        <v>0</v>
      </c>
      <c r="L931" t="n">
        <v>0</v>
      </c>
      <c r="M931" t="n">
        <v>0</v>
      </c>
      <c r="N931" t="n">
        <v>0</v>
      </c>
      <c r="O931" t="n">
        <v>0</v>
      </c>
      <c r="P931" t="n">
        <v>0</v>
      </c>
      <c r="Q931" t="n">
        <v>0</v>
      </c>
      <c r="R931" s="2" t="inlineStr"/>
    </row>
    <row r="932" ht="15" customHeight="1">
      <c r="A932" t="inlineStr">
        <is>
          <t>A 24307-2024</t>
        </is>
      </c>
      <c r="B932" s="1" t="n">
        <v>45457.49471064815</v>
      </c>
      <c r="C932" s="1" t="n">
        <v>45976</v>
      </c>
      <c r="D932" t="inlineStr">
        <is>
          <t>JÄMTLANDS LÄN</t>
        </is>
      </c>
      <c r="E932" t="inlineStr">
        <is>
          <t>BRÄCKE</t>
        </is>
      </c>
      <c r="G932" t="n">
        <v>19</v>
      </c>
      <c r="H932" t="n">
        <v>0</v>
      </c>
      <c r="I932" t="n">
        <v>0</v>
      </c>
      <c r="J932" t="n">
        <v>0</v>
      </c>
      <c r="K932" t="n">
        <v>0</v>
      </c>
      <c r="L932" t="n">
        <v>0</v>
      </c>
      <c r="M932" t="n">
        <v>0</v>
      </c>
      <c r="N932" t="n">
        <v>0</v>
      </c>
      <c r="O932" t="n">
        <v>0</v>
      </c>
      <c r="P932" t="n">
        <v>0</v>
      </c>
      <c r="Q932" t="n">
        <v>0</v>
      </c>
      <c r="R932" s="2" t="inlineStr"/>
    </row>
    <row r="933" ht="15" customHeight="1">
      <c r="A933" t="inlineStr">
        <is>
          <t>A 60654-2024</t>
        </is>
      </c>
      <c r="B933" s="1" t="n">
        <v>45644</v>
      </c>
      <c r="C933" s="1" t="n">
        <v>45976</v>
      </c>
      <c r="D933" t="inlineStr">
        <is>
          <t>JÄMTLANDS LÄN</t>
        </is>
      </c>
      <c r="E933" t="inlineStr">
        <is>
          <t>BRÄCKE</t>
        </is>
      </c>
      <c r="G933" t="n">
        <v>1.9</v>
      </c>
      <c r="H933" t="n">
        <v>0</v>
      </c>
      <c r="I933" t="n">
        <v>0</v>
      </c>
      <c r="J933" t="n">
        <v>0</v>
      </c>
      <c r="K933" t="n">
        <v>0</v>
      </c>
      <c r="L933" t="n">
        <v>0</v>
      </c>
      <c r="M933" t="n">
        <v>0</v>
      </c>
      <c r="N933" t="n">
        <v>0</v>
      </c>
      <c r="O933" t="n">
        <v>0</v>
      </c>
      <c r="P933" t="n">
        <v>0</v>
      </c>
      <c r="Q933" t="n">
        <v>0</v>
      </c>
      <c r="R933" s="2" t="inlineStr"/>
    </row>
    <row r="934" ht="15" customHeight="1">
      <c r="A934" t="inlineStr">
        <is>
          <t>A 5527-2025</t>
        </is>
      </c>
      <c r="B934" s="1" t="n">
        <v>45693.42859953704</v>
      </c>
      <c r="C934" s="1" t="n">
        <v>45976</v>
      </c>
      <c r="D934" t="inlineStr">
        <is>
          <t>JÄMTLANDS LÄN</t>
        </is>
      </c>
      <c r="E934" t="inlineStr">
        <is>
          <t>BRÄCKE</t>
        </is>
      </c>
      <c r="G934" t="n">
        <v>4.8</v>
      </c>
      <c r="H934" t="n">
        <v>0</v>
      </c>
      <c r="I934" t="n">
        <v>0</v>
      </c>
      <c r="J934" t="n">
        <v>0</v>
      </c>
      <c r="K934" t="n">
        <v>0</v>
      </c>
      <c r="L934" t="n">
        <v>0</v>
      </c>
      <c r="M934" t="n">
        <v>0</v>
      </c>
      <c r="N934" t="n">
        <v>0</v>
      </c>
      <c r="O934" t="n">
        <v>0</v>
      </c>
      <c r="P934" t="n">
        <v>0</v>
      </c>
      <c r="Q934" t="n">
        <v>0</v>
      </c>
      <c r="R934" s="2" t="inlineStr"/>
    </row>
    <row r="935" ht="15" customHeight="1">
      <c r="A935" t="inlineStr">
        <is>
          <t>A 57414-2023</t>
        </is>
      </c>
      <c r="B935" s="1" t="n">
        <v>45245.96939814815</v>
      </c>
      <c r="C935" s="1" t="n">
        <v>45976</v>
      </c>
      <c r="D935" t="inlineStr">
        <is>
          <t>JÄMTLANDS LÄN</t>
        </is>
      </c>
      <c r="E935" t="inlineStr">
        <is>
          <t>BRÄCKE</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2498-2025</t>
        </is>
      </c>
      <c r="B936" s="1" t="n">
        <v>45674.5315625</v>
      </c>
      <c r="C936" s="1" t="n">
        <v>45976</v>
      </c>
      <c r="D936" t="inlineStr">
        <is>
          <t>JÄMTLANDS LÄN</t>
        </is>
      </c>
      <c r="E936" t="inlineStr">
        <is>
          <t>BRÄCKE</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2511-2025</t>
        </is>
      </c>
      <c r="B937" s="1" t="n">
        <v>45674.57393518519</v>
      </c>
      <c r="C937" s="1" t="n">
        <v>45976</v>
      </c>
      <c r="D937" t="inlineStr">
        <is>
          <t>JÄMTLANDS LÄN</t>
        </is>
      </c>
      <c r="E937" t="inlineStr">
        <is>
          <t>BRÄCKE</t>
        </is>
      </c>
      <c r="F937" t="inlineStr">
        <is>
          <t>SCA</t>
        </is>
      </c>
      <c r="G937" t="n">
        <v>10.5</v>
      </c>
      <c r="H937" t="n">
        <v>0</v>
      </c>
      <c r="I937" t="n">
        <v>0</v>
      </c>
      <c r="J937" t="n">
        <v>0</v>
      </c>
      <c r="K937" t="n">
        <v>0</v>
      </c>
      <c r="L937" t="n">
        <v>0</v>
      </c>
      <c r="M937" t="n">
        <v>0</v>
      </c>
      <c r="N937" t="n">
        <v>0</v>
      </c>
      <c r="O937" t="n">
        <v>0</v>
      </c>
      <c r="P937" t="n">
        <v>0</v>
      </c>
      <c r="Q937" t="n">
        <v>0</v>
      </c>
      <c r="R937" s="2" t="inlineStr"/>
    </row>
    <row r="938" ht="15" customHeight="1">
      <c r="A938" t="inlineStr">
        <is>
          <t>A 50522-2024</t>
        </is>
      </c>
      <c r="B938" s="1" t="n">
        <v>45601.55399305555</v>
      </c>
      <c r="C938" s="1" t="n">
        <v>45976</v>
      </c>
      <c r="D938" t="inlineStr">
        <is>
          <t>JÄMTLANDS LÄN</t>
        </is>
      </c>
      <c r="E938" t="inlineStr">
        <is>
          <t>BRÄCKE</t>
        </is>
      </c>
      <c r="G938" t="n">
        <v>1</v>
      </c>
      <c r="H938" t="n">
        <v>0</v>
      </c>
      <c r="I938" t="n">
        <v>0</v>
      </c>
      <c r="J938" t="n">
        <v>0</v>
      </c>
      <c r="K938" t="n">
        <v>0</v>
      </c>
      <c r="L938" t="n">
        <v>0</v>
      </c>
      <c r="M938" t="n">
        <v>0</v>
      </c>
      <c r="N938" t="n">
        <v>0</v>
      </c>
      <c r="O938" t="n">
        <v>0</v>
      </c>
      <c r="P938" t="n">
        <v>0</v>
      </c>
      <c r="Q938" t="n">
        <v>0</v>
      </c>
      <c r="R938" s="2" t="inlineStr"/>
    </row>
    <row r="939" ht="15" customHeight="1">
      <c r="A939" t="inlineStr">
        <is>
          <t>A 45974-2024</t>
        </is>
      </c>
      <c r="B939" s="1" t="n">
        <v>45580.59408564815</v>
      </c>
      <c r="C939" s="1" t="n">
        <v>45976</v>
      </c>
      <c r="D939" t="inlineStr">
        <is>
          <t>JÄMTLANDS LÄN</t>
        </is>
      </c>
      <c r="E939" t="inlineStr">
        <is>
          <t>BRÄCKE</t>
        </is>
      </c>
      <c r="F939" t="inlineStr">
        <is>
          <t>Naturvårdsverket</t>
        </is>
      </c>
      <c r="G939" t="n">
        <v>0.3</v>
      </c>
      <c r="H939" t="n">
        <v>0</v>
      </c>
      <c r="I939" t="n">
        <v>0</v>
      </c>
      <c r="J939" t="n">
        <v>0</v>
      </c>
      <c r="K939" t="n">
        <v>0</v>
      </c>
      <c r="L939" t="n">
        <v>0</v>
      </c>
      <c r="M939" t="n">
        <v>0</v>
      </c>
      <c r="N939" t="n">
        <v>0</v>
      </c>
      <c r="O939" t="n">
        <v>0</v>
      </c>
      <c r="P939" t="n">
        <v>0</v>
      </c>
      <c r="Q939" t="n">
        <v>0</v>
      </c>
      <c r="R939" s="2" t="inlineStr"/>
    </row>
    <row r="940" ht="15" customHeight="1">
      <c r="A940" t="inlineStr">
        <is>
          <t>A 59586-2023</t>
        </is>
      </c>
      <c r="B940" s="1" t="n">
        <v>45254.61172453704</v>
      </c>
      <c r="C940" s="1" t="n">
        <v>45976</v>
      </c>
      <c r="D940" t="inlineStr">
        <is>
          <t>JÄMTLANDS LÄN</t>
        </is>
      </c>
      <c r="E940" t="inlineStr">
        <is>
          <t>BRÄCKE</t>
        </is>
      </c>
      <c r="G940" t="n">
        <v>1.9</v>
      </c>
      <c r="H940" t="n">
        <v>0</v>
      </c>
      <c r="I940" t="n">
        <v>0</v>
      </c>
      <c r="J940" t="n">
        <v>0</v>
      </c>
      <c r="K940" t="n">
        <v>0</v>
      </c>
      <c r="L940" t="n">
        <v>0</v>
      </c>
      <c r="M940" t="n">
        <v>0</v>
      </c>
      <c r="N940" t="n">
        <v>0</v>
      </c>
      <c r="O940" t="n">
        <v>0</v>
      </c>
      <c r="P940" t="n">
        <v>0</v>
      </c>
      <c r="Q940" t="n">
        <v>0</v>
      </c>
      <c r="R940" s="2" t="inlineStr"/>
    </row>
    <row r="941" ht="15" customHeight="1">
      <c r="A941" t="inlineStr">
        <is>
          <t>A 48440-2024</t>
        </is>
      </c>
      <c r="B941" s="1" t="n">
        <v>45590.67774305555</v>
      </c>
      <c r="C941" s="1" t="n">
        <v>45976</v>
      </c>
      <c r="D941" t="inlineStr">
        <is>
          <t>JÄMTLANDS LÄN</t>
        </is>
      </c>
      <c r="E941" t="inlineStr">
        <is>
          <t>BRÄCKE</t>
        </is>
      </c>
      <c r="G941" t="n">
        <v>3.5</v>
      </c>
      <c r="H941" t="n">
        <v>0</v>
      </c>
      <c r="I941" t="n">
        <v>0</v>
      </c>
      <c r="J941" t="n">
        <v>0</v>
      </c>
      <c r="K941" t="n">
        <v>0</v>
      </c>
      <c r="L941" t="n">
        <v>0</v>
      </c>
      <c r="M941" t="n">
        <v>0</v>
      </c>
      <c r="N941" t="n">
        <v>0</v>
      </c>
      <c r="O941" t="n">
        <v>0</v>
      </c>
      <c r="P941" t="n">
        <v>0</v>
      </c>
      <c r="Q941" t="n">
        <v>0</v>
      </c>
      <c r="R941" s="2" t="inlineStr"/>
    </row>
    <row r="942" ht="15" customHeight="1">
      <c r="A942" t="inlineStr">
        <is>
          <t>A 41297-2025</t>
        </is>
      </c>
      <c r="B942" s="1" t="n">
        <v>45898.66872685185</v>
      </c>
      <c r="C942" s="1" t="n">
        <v>45976</v>
      </c>
      <c r="D942" t="inlineStr">
        <is>
          <t>JÄMTLANDS LÄN</t>
        </is>
      </c>
      <c r="E942" t="inlineStr">
        <is>
          <t>BRÄCKE</t>
        </is>
      </c>
      <c r="F942" t="inlineStr">
        <is>
          <t>Övriga Aktiebolag</t>
        </is>
      </c>
      <c r="G942" t="n">
        <v>2.8</v>
      </c>
      <c r="H942" t="n">
        <v>0</v>
      </c>
      <c r="I942" t="n">
        <v>0</v>
      </c>
      <c r="J942" t="n">
        <v>0</v>
      </c>
      <c r="K942" t="n">
        <v>0</v>
      </c>
      <c r="L942" t="n">
        <v>0</v>
      </c>
      <c r="M942" t="n">
        <v>0</v>
      </c>
      <c r="N942" t="n">
        <v>0</v>
      </c>
      <c r="O942" t="n">
        <v>0</v>
      </c>
      <c r="P942" t="n">
        <v>0</v>
      </c>
      <c r="Q942" t="n">
        <v>0</v>
      </c>
      <c r="R942" s="2" t="inlineStr"/>
    </row>
    <row r="943" ht="15" customHeight="1">
      <c r="A943" t="inlineStr">
        <is>
          <t>A 23443-2022</t>
        </is>
      </c>
      <c r="B943" s="1" t="n">
        <v>44720.94112268519</v>
      </c>
      <c r="C943" s="1" t="n">
        <v>45976</v>
      </c>
      <c r="D943" t="inlineStr">
        <is>
          <t>JÄMTLANDS LÄN</t>
        </is>
      </c>
      <c r="E943" t="inlineStr">
        <is>
          <t>BRÄCKE</t>
        </is>
      </c>
      <c r="G943" t="n">
        <v>1.9</v>
      </c>
      <c r="H943" t="n">
        <v>0</v>
      </c>
      <c r="I943" t="n">
        <v>0</v>
      </c>
      <c r="J943" t="n">
        <v>0</v>
      </c>
      <c r="K943" t="n">
        <v>0</v>
      </c>
      <c r="L943" t="n">
        <v>0</v>
      </c>
      <c r="M943" t="n">
        <v>0</v>
      </c>
      <c r="N943" t="n">
        <v>0</v>
      </c>
      <c r="O943" t="n">
        <v>0</v>
      </c>
      <c r="P943" t="n">
        <v>0</v>
      </c>
      <c r="Q943" t="n">
        <v>0</v>
      </c>
      <c r="R943" s="2" t="inlineStr"/>
    </row>
    <row r="944" ht="15" customHeight="1">
      <c r="A944" t="inlineStr">
        <is>
          <t>A 41196-2025</t>
        </is>
      </c>
      <c r="B944" s="1" t="n">
        <v>45898.57332175926</v>
      </c>
      <c r="C944" s="1" t="n">
        <v>45976</v>
      </c>
      <c r="D944" t="inlineStr">
        <is>
          <t>JÄMTLANDS LÄN</t>
        </is>
      </c>
      <c r="E944" t="inlineStr">
        <is>
          <t>BRÄCKE</t>
        </is>
      </c>
      <c r="G944" t="n">
        <v>0.8</v>
      </c>
      <c r="H944" t="n">
        <v>0</v>
      </c>
      <c r="I944" t="n">
        <v>0</v>
      </c>
      <c r="J944" t="n">
        <v>0</v>
      </c>
      <c r="K944" t="n">
        <v>0</v>
      </c>
      <c r="L944" t="n">
        <v>0</v>
      </c>
      <c r="M944" t="n">
        <v>0</v>
      </c>
      <c r="N944" t="n">
        <v>0</v>
      </c>
      <c r="O944" t="n">
        <v>0</v>
      </c>
      <c r="P944" t="n">
        <v>0</v>
      </c>
      <c r="Q944" t="n">
        <v>0</v>
      </c>
      <c r="R944" s="2" t="inlineStr"/>
    </row>
    <row r="945" ht="15" customHeight="1">
      <c r="A945" t="inlineStr">
        <is>
          <t>A 56429-2024</t>
        </is>
      </c>
      <c r="B945" s="1" t="n">
        <v>45625.40149305556</v>
      </c>
      <c r="C945" s="1" t="n">
        <v>45976</v>
      </c>
      <c r="D945" t="inlineStr">
        <is>
          <t>JÄMTLANDS LÄN</t>
        </is>
      </c>
      <c r="E945" t="inlineStr">
        <is>
          <t>BRÄCKE</t>
        </is>
      </c>
      <c r="G945" t="n">
        <v>1.7</v>
      </c>
      <c r="H945" t="n">
        <v>0</v>
      </c>
      <c r="I945" t="n">
        <v>0</v>
      </c>
      <c r="J945" t="n">
        <v>0</v>
      </c>
      <c r="K945" t="n">
        <v>0</v>
      </c>
      <c r="L945" t="n">
        <v>0</v>
      </c>
      <c r="M945" t="n">
        <v>0</v>
      </c>
      <c r="N945" t="n">
        <v>0</v>
      </c>
      <c r="O945" t="n">
        <v>0</v>
      </c>
      <c r="P945" t="n">
        <v>0</v>
      </c>
      <c r="Q945" t="n">
        <v>0</v>
      </c>
      <c r="R945" s="2" t="inlineStr"/>
    </row>
    <row r="946" ht="15" customHeight="1">
      <c r="A946" t="inlineStr">
        <is>
          <t>A 56432-2024</t>
        </is>
      </c>
      <c r="B946" s="1" t="n">
        <v>45625.40679398148</v>
      </c>
      <c r="C946" s="1" t="n">
        <v>45976</v>
      </c>
      <c r="D946" t="inlineStr">
        <is>
          <t>JÄMTLANDS LÄN</t>
        </is>
      </c>
      <c r="E946" t="inlineStr">
        <is>
          <t>BRÄCKE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41026-2025</t>
        </is>
      </c>
      <c r="B947" s="1" t="n">
        <v>45898.36888888889</v>
      </c>
      <c r="C947" s="1" t="n">
        <v>45976</v>
      </c>
      <c r="D947" t="inlineStr">
        <is>
          <t>JÄMTLANDS LÄN</t>
        </is>
      </c>
      <c r="E947" t="inlineStr">
        <is>
          <t>BRÄCKE</t>
        </is>
      </c>
      <c r="F947" t="inlineStr">
        <is>
          <t>Övriga Aktiebolag</t>
        </is>
      </c>
      <c r="G947" t="n">
        <v>10.3</v>
      </c>
      <c r="H947" t="n">
        <v>0</v>
      </c>
      <c r="I947" t="n">
        <v>0</v>
      </c>
      <c r="J947" t="n">
        <v>0</v>
      </c>
      <c r="K947" t="n">
        <v>0</v>
      </c>
      <c r="L947" t="n">
        <v>0</v>
      </c>
      <c r="M947" t="n">
        <v>0</v>
      </c>
      <c r="N947" t="n">
        <v>0</v>
      </c>
      <c r="O947" t="n">
        <v>0</v>
      </c>
      <c r="P947" t="n">
        <v>0</v>
      </c>
      <c r="Q947" t="n">
        <v>0</v>
      </c>
      <c r="R947" s="2" t="inlineStr"/>
    </row>
    <row r="948" ht="15" customHeight="1">
      <c r="A948" t="inlineStr">
        <is>
          <t>A 11548-2023</t>
        </is>
      </c>
      <c r="B948" s="1" t="n">
        <v>44993.9484837963</v>
      </c>
      <c r="C948" s="1" t="n">
        <v>45976</v>
      </c>
      <c r="D948" t="inlineStr">
        <is>
          <t>JÄMTLANDS LÄN</t>
        </is>
      </c>
      <c r="E948" t="inlineStr">
        <is>
          <t>BRÄCKE</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41600-2025</t>
        </is>
      </c>
      <c r="B949" s="1" t="n">
        <v>45901.65686342592</v>
      </c>
      <c r="C949" s="1" t="n">
        <v>45976</v>
      </c>
      <c r="D949" t="inlineStr">
        <is>
          <t>JÄMTLANDS LÄN</t>
        </is>
      </c>
      <c r="E949" t="inlineStr">
        <is>
          <t>BRÄCKE</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41367-2025</t>
        </is>
      </c>
      <c r="B950" s="1" t="n">
        <v>45900.55118055556</v>
      </c>
      <c r="C950" s="1" t="n">
        <v>45976</v>
      </c>
      <c r="D950" t="inlineStr">
        <is>
          <t>JÄMTLANDS LÄN</t>
        </is>
      </c>
      <c r="E950" t="inlineStr">
        <is>
          <t>BRÄCKE</t>
        </is>
      </c>
      <c r="G950" t="n">
        <v>2</v>
      </c>
      <c r="H950" t="n">
        <v>0</v>
      </c>
      <c r="I950" t="n">
        <v>0</v>
      </c>
      <c r="J950" t="n">
        <v>0</v>
      </c>
      <c r="K950" t="n">
        <v>0</v>
      </c>
      <c r="L950" t="n">
        <v>0</v>
      </c>
      <c r="M950" t="n">
        <v>0</v>
      </c>
      <c r="N950" t="n">
        <v>0</v>
      </c>
      <c r="O950" t="n">
        <v>0</v>
      </c>
      <c r="P950" t="n">
        <v>0</v>
      </c>
      <c r="Q950" t="n">
        <v>0</v>
      </c>
      <c r="R950" s="2" t="inlineStr"/>
    </row>
    <row r="951" ht="15" customHeight="1">
      <c r="A951" t="inlineStr">
        <is>
          <t>A 31467-2023</t>
        </is>
      </c>
      <c r="B951" s="1" t="n">
        <v>45104</v>
      </c>
      <c r="C951" s="1" t="n">
        <v>45976</v>
      </c>
      <c r="D951" t="inlineStr">
        <is>
          <t>JÄMTLANDS LÄN</t>
        </is>
      </c>
      <c r="E951" t="inlineStr">
        <is>
          <t>BRÄCKE</t>
        </is>
      </c>
      <c r="G951" t="n">
        <v>5.2</v>
      </c>
      <c r="H951" t="n">
        <v>0</v>
      </c>
      <c r="I951" t="n">
        <v>0</v>
      </c>
      <c r="J951" t="n">
        <v>0</v>
      </c>
      <c r="K951" t="n">
        <v>0</v>
      </c>
      <c r="L951" t="n">
        <v>0</v>
      </c>
      <c r="M951" t="n">
        <v>0</v>
      </c>
      <c r="N951" t="n">
        <v>0</v>
      </c>
      <c r="O951" t="n">
        <v>0</v>
      </c>
      <c r="P951" t="n">
        <v>0</v>
      </c>
      <c r="Q951" t="n">
        <v>0</v>
      </c>
      <c r="R951" s="2" t="inlineStr"/>
    </row>
    <row r="952" ht="15" customHeight="1">
      <c r="A952" t="inlineStr">
        <is>
          <t>A 49826-2025</t>
        </is>
      </c>
      <c r="B952" s="1" t="n">
        <v>45940.44829861111</v>
      </c>
      <c r="C952" s="1" t="n">
        <v>45976</v>
      </c>
      <c r="D952" t="inlineStr">
        <is>
          <t>JÄMTLANDS LÄN</t>
        </is>
      </c>
      <c r="E952" t="inlineStr">
        <is>
          <t>BRÄCKE</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24062-2024</t>
        </is>
      </c>
      <c r="B953" s="1" t="n">
        <v>45456.54141203704</v>
      </c>
      <c r="C953" s="1" t="n">
        <v>45976</v>
      </c>
      <c r="D953" t="inlineStr">
        <is>
          <t>JÄMTLANDS LÄN</t>
        </is>
      </c>
      <c r="E953" t="inlineStr">
        <is>
          <t>BRÄCKE</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50079-2025</t>
        </is>
      </c>
      <c r="B954" s="1" t="n">
        <v>45943.46916666667</v>
      </c>
      <c r="C954" s="1" t="n">
        <v>45976</v>
      </c>
      <c r="D954" t="inlineStr">
        <is>
          <t>JÄMTLANDS LÄN</t>
        </is>
      </c>
      <c r="E954" t="inlineStr">
        <is>
          <t>BRÄCKE</t>
        </is>
      </c>
      <c r="F954" t="inlineStr">
        <is>
          <t>SCA</t>
        </is>
      </c>
      <c r="G954" t="n">
        <v>5.2</v>
      </c>
      <c r="H954" t="n">
        <v>0</v>
      </c>
      <c r="I954" t="n">
        <v>0</v>
      </c>
      <c r="J954" t="n">
        <v>0</v>
      </c>
      <c r="K954" t="n">
        <v>0</v>
      </c>
      <c r="L954" t="n">
        <v>0</v>
      </c>
      <c r="M954" t="n">
        <v>0</v>
      </c>
      <c r="N954" t="n">
        <v>0</v>
      </c>
      <c r="O954" t="n">
        <v>0</v>
      </c>
      <c r="P954" t="n">
        <v>0</v>
      </c>
      <c r="Q954" t="n">
        <v>0</v>
      </c>
      <c r="R954" s="2" t="inlineStr"/>
    </row>
    <row r="955" ht="15" customHeight="1">
      <c r="A955" t="inlineStr">
        <is>
          <t>A 35896-2023</t>
        </is>
      </c>
      <c r="B955" s="1" t="n">
        <v>45148</v>
      </c>
      <c r="C955" s="1" t="n">
        <v>45976</v>
      </c>
      <c r="D955" t="inlineStr">
        <is>
          <t>JÄMTLANDS LÄN</t>
        </is>
      </c>
      <c r="E955" t="inlineStr">
        <is>
          <t>BRÄCKE</t>
        </is>
      </c>
      <c r="G955" t="n">
        <v>3.6</v>
      </c>
      <c r="H955" t="n">
        <v>0</v>
      </c>
      <c r="I955" t="n">
        <v>0</v>
      </c>
      <c r="J955" t="n">
        <v>0</v>
      </c>
      <c r="K955" t="n">
        <v>0</v>
      </c>
      <c r="L955" t="n">
        <v>0</v>
      </c>
      <c r="M955" t="n">
        <v>0</v>
      </c>
      <c r="N955" t="n">
        <v>0</v>
      </c>
      <c r="O955" t="n">
        <v>0</v>
      </c>
      <c r="P955" t="n">
        <v>0</v>
      </c>
      <c r="Q955" t="n">
        <v>0</v>
      </c>
      <c r="R955" s="2" t="inlineStr"/>
    </row>
    <row r="956" ht="15" customHeight="1">
      <c r="A956" t="inlineStr">
        <is>
          <t>A 36551-2024</t>
        </is>
      </c>
      <c r="B956" s="1" t="n">
        <v>45537.468125</v>
      </c>
      <c r="C956" s="1" t="n">
        <v>45976</v>
      </c>
      <c r="D956" t="inlineStr">
        <is>
          <t>JÄMTLANDS LÄN</t>
        </is>
      </c>
      <c r="E956" t="inlineStr">
        <is>
          <t>BRÄCKE</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14798-2023</t>
        </is>
      </c>
      <c r="B957" s="1" t="n">
        <v>45014.61738425926</v>
      </c>
      <c r="C957" s="1" t="n">
        <v>45976</v>
      </c>
      <c r="D957" t="inlineStr">
        <is>
          <t>JÄMTLANDS LÄN</t>
        </is>
      </c>
      <c r="E957" t="inlineStr">
        <is>
          <t>BRÄCKE</t>
        </is>
      </c>
      <c r="G957" t="n">
        <v>3.5</v>
      </c>
      <c r="H957" t="n">
        <v>0</v>
      </c>
      <c r="I957" t="n">
        <v>0</v>
      </c>
      <c r="J957" t="n">
        <v>0</v>
      </c>
      <c r="K957" t="n">
        <v>0</v>
      </c>
      <c r="L957" t="n">
        <v>0</v>
      </c>
      <c r="M957" t="n">
        <v>0</v>
      </c>
      <c r="N957" t="n">
        <v>0</v>
      </c>
      <c r="O957" t="n">
        <v>0</v>
      </c>
      <c r="P957" t="n">
        <v>0</v>
      </c>
      <c r="Q957" t="n">
        <v>0</v>
      </c>
      <c r="R957" s="2" t="inlineStr"/>
    </row>
    <row r="958" ht="15" customHeight="1">
      <c r="A958" t="inlineStr">
        <is>
          <t>A 49399-2024</t>
        </is>
      </c>
      <c r="B958" s="1" t="n">
        <v>45595.67138888889</v>
      </c>
      <c r="C958" s="1" t="n">
        <v>45976</v>
      </c>
      <c r="D958" t="inlineStr">
        <is>
          <t>JÄMTLANDS LÄN</t>
        </is>
      </c>
      <c r="E958" t="inlineStr">
        <is>
          <t>BRÄCKE</t>
        </is>
      </c>
      <c r="F958" t="inlineStr">
        <is>
          <t>SCA</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58449-2024</t>
        </is>
      </c>
      <c r="B959" s="1" t="n">
        <v>45635.34413194445</v>
      </c>
      <c r="C959" s="1" t="n">
        <v>45976</v>
      </c>
      <c r="D959" t="inlineStr">
        <is>
          <t>JÄMTLANDS LÄN</t>
        </is>
      </c>
      <c r="E959" t="inlineStr">
        <is>
          <t>BRÄCKE</t>
        </is>
      </c>
      <c r="F959" t="inlineStr">
        <is>
          <t>SCA</t>
        </is>
      </c>
      <c r="G959" t="n">
        <v>4.4</v>
      </c>
      <c r="H959" t="n">
        <v>0</v>
      </c>
      <c r="I959" t="n">
        <v>0</v>
      </c>
      <c r="J959" t="n">
        <v>0</v>
      </c>
      <c r="K959" t="n">
        <v>0</v>
      </c>
      <c r="L959" t="n">
        <v>0</v>
      </c>
      <c r="M959" t="n">
        <v>0</v>
      </c>
      <c r="N959" t="n">
        <v>0</v>
      </c>
      <c r="O959" t="n">
        <v>0</v>
      </c>
      <c r="P959" t="n">
        <v>0</v>
      </c>
      <c r="Q959" t="n">
        <v>0</v>
      </c>
      <c r="R959" s="2" t="inlineStr"/>
    </row>
    <row r="960" ht="15" customHeight="1">
      <c r="A960" t="inlineStr">
        <is>
          <t>A 49400-2024</t>
        </is>
      </c>
      <c r="B960" s="1" t="n">
        <v>45595.67152777778</v>
      </c>
      <c r="C960" s="1" t="n">
        <v>45976</v>
      </c>
      <c r="D960" t="inlineStr">
        <is>
          <t>JÄMTLANDS LÄN</t>
        </is>
      </c>
      <c r="E960" t="inlineStr">
        <is>
          <t>BRÄCKE</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41094-2025</t>
        </is>
      </c>
      <c r="B961" s="1" t="n">
        <v>45898.44246527777</v>
      </c>
      <c r="C961" s="1" t="n">
        <v>45976</v>
      </c>
      <c r="D961" t="inlineStr">
        <is>
          <t>JÄMTLANDS LÄN</t>
        </is>
      </c>
      <c r="E961" t="inlineStr">
        <is>
          <t>BRÄCKE</t>
        </is>
      </c>
      <c r="F961" t="inlineStr">
        <is>
          <t>Övriga Aktiebolag</t>
        </is>
      </c>
      <c r="G961" t="n">
        <v>1</v>
      </c>
      <c r="H961" t="n">
        <v>0</v>
      </c>
      <c r="I961" t="n">
        <v>0</v>
      </c>
      <c r="J961" t="n">
        <v>0</v>
      </c>
      <c r="K961" t="n">
        <v>0</v>
      </c>
      <c r="L961" t="n">
        <v>0</v>
      </c>
      <c r="M961" t="n">
        <v>0</v>
      </c>
      <c r="N961" t="n">
        <v>0</v>
      </c>
      <c r="O961" t="n">
        <v>0</v>
      </c>
      <c r="P961" t="n">
        <v>0</v>
      </c>
      <c r="Q961" t="n">
        <v>0</v>
      </c>
      <c r="R961" s="2" t="inlineStr"/>
    </row>
    <row r="962" ht="15" customHeight="1">
      <c r="A962" t="inlineStr">
        <is>
          <t>A 41236-2025</t>
        </is>
      </c>
      <c r="B962" s="1" t="n">
        <v>45898.59565972222</v>
      </c>
      <c r="C962" s="1" t="n">
        <v>45976</v>
      </c>
      <c r="D962" t="inlineStr">
        <is>
          <t>JÄMTLANDS LÄN</t>
        </is>
      </c>
      <c r="E962" t="inlineStr">
        <is>
          <t>BRÄCKE</t>
        </is>
      </c>
      <c r="G962" t="n">
        <v>2.6</v>
      </c>
      <c r="H962" t="n">
        <v>0</v>
      </c>
      <c r="I962" t="n">
        <v>0</v>
      </c>
      <c r="J962" t="n">
        <v>0</v>
      </c>
      <c r="K962" t="n">
        <v>0</v>
      </c>
      <c r="L962" t="n">
        <v>0</v>
      </c>
      <c r="M962" t="n">
        <v>0</v>
      </c>
      <c r="N962" t="n">
        <v>0</v>
      </c>
      <c r="O962" t="n">
        <v>0</v>
      </c>
      <c r="P962" t="n">
        <v>0</v>
      </c>
      <c r="Q962" t="n">
        <v>0</v>
      </c>
      <c r="R962" s="2" t="inlineStr"/>
    </row>
    <row r="963" ht="15" customHeight="1">
      <c r="A963" t="inlineStr">
        <is>
          <t>A 4635-2022</t>
        </is>
      </c>
      <c r="B963" s="1" t="n">
        <v>44592.41413194445</v>
      </c>
      <c r="C963" s="1" t="n">
        <v>45976</v>
      </c>
      <c r="D963" t="inlineStr">
        <is>
          <t>JÄMTLANDS LÄN</t>
        </is>
      </c>
      <c r="E963" t="inlineStr">
        <is>
          <t>BRÄCKE</t>
        </is>
      </c>
      <c r="G963" t="n">
        <v>3.7</v>
      </c>
      <c r="H963" t="n">
        <v>0</v>
      </c>
      <c r="I963" t="n">
        <v>0</v>
      </c>
      <c r="J963" t="n">
        <v>0</v>
      </c>
      <c r="K963" t="n">
        <v>0</v>
      </c>
      <c r="L963" t="n">
        <v>0</v>
      </c>
      <c r="M963" t="n">
        <v>0</v>
      </c>
      <c r="N963" t="n">
        <v>0</v>
      </c>
      <c r="O963" t="n">
        <v>0</v>
      </c>
      <c r="P963" t="n">
        <v>0</v>
      </c>
      <c r="Q963" t="n">
        <v>0</v>
      </c>
      <c r="R963" s="2" t="inlineStr"/>
    </row>
    <row r="964" ht="15" customHeight="1">
      <c r="A964" t="inlineStr">
        <is>
          <t>A 58491-2024</t>
        </is>
      </c>
      <c r="B964" s="1" t="n">
        <v>45635.40408564815</v>
      </c>
      <c r="C964" s="1" t="n">
        <v>45976</v>
      </c>
      <c r="D964" t="inlineStr">
        <is>
          <t>JÄMTLANDS LÄN</t>
        </is>
      </c>
      <c r="E964" t="inlineStr">
        <is>
          <t>BRÄCKE</t>
        </is>
      </c>
      <c r="G964" t="n">
        <v>0.6</v>
      </c>
      <c r="H964" t="n">
        <v>0</v>
      </c>
      <c r="I964" t="n">
        <v>0</v>
      </c>
      <c r="J964" t="n">
        <v>0</v>
      </c>
      <c r="K964" t="n">
        <v>0</v>
      </c>
      <c r="L964" t="n">
        <v>0</v>
      </c>
      <c r="M964" t="n">
        <v>0</v>
      </c>
      <c r="N964" t="n">
        <v>0</v>
      </c>
      <c r="O964" t="n">
        <v>0</v>
      </c>
      <c r="P964" t="n">
        <v>0</v>
      </c>
      <c r="Q964" t="n">
        <v>0</v>
      </c>
      <c r="R964" s="2" t="inlineStr"/>
    </row>
    <row r="965" ht="15" customHeight="1">
      <c r="A965" t="inlineStr">
        <is>
          <t>A 25883-2024</t>
        </is>
      </c>
      <c r="B965" s="1" t="n">
        <v>45467.49233796296</v>
      </c>
      <c r="C965" s="1" t="n">
        <v>45976</v>
      </c>
      <c r="D965" t="inlineStr">
        <is>
          <t>JÄMTLANDS LÄN</t>
        </is>
      </c>
      <c r="E965" t="inlineStr">
        <is>
          <t>BRÄCKE</t>
        </is>
      </c>
      <c r="G965" t="n">
        <v>1.8</v>
      </c>
      <c r="H965" t="n">
        <v>0</v>
      </c>
      <c r="I965" t="n">
        <v>0</v>
      </c>
      <c r="J965" t="n">
        <v>0</v>
      </c>
      <c r="K965" t="n">
        <v>0</v>
      </c>
      <c r="L965" t="n">
        <v>0</v>
      </c>
      <c r="M965" t="n">
        <v>0</v>
      </c>
      <c r="N965" t="n">
        <v>0</v>
      </c>
      <c r="O965" t="n">
        <v>0</v>
      </c>
      <c r="P965" t="n">
        <v>0</v>
      </c>
      <c r="Q965" t="n">
        <v>0</v>
      </c>
      <c r="R965" s="2" t="inlineStr"/>
    </row>
    <row r="966" ht="15" customHeight="1">
      <c r="A966" t="inlineStr">
        <is>
          <t>A 48419-2023</t>
        </is>
      </c>
      <c r="B966" s="1" t="n">
        <v>45205</v>
      </c>
      <c r="C966" s="1" t="n">
        <v>45976</v>
      </c>
      <c r="D966" t="inlineStr">
        <is>
          <t>JÄMTLANDS LÄN</t>
        </is>
      </c>
      <c r="E966" t="inlineStr">
        <is>
          <t>BRÄCKE</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41285-2025</t>
        </is>
      </c>
      <c r="B967" s="1" t="n">
        <v>45898.63637731481</v>
      </c>
      <c r="C967" s="1" t="n">
        <v>45976</v>
      </c>
      <c r="D967" t="inlineStr">
        <is>
          <t>JÄMTLANDS LÄN</t>
        </is>
      </c>
      <c r="E967" t="inlineStr">
        <is>
          <t>BRÄCKE</t>
        </is>
      </c>
      <c r="F967" t="inlineStr">
        <is>
          <t>Övriga Aktiebolag</t>
        </is>
      </c>
      <c r="G967" t="n">
        <v>0.8</v>
      </c>
      <c r="H967" t="n">
        <v>0</v>
      </c>
      <c r="I967" t="n">
        <v>0</v>
      </c>
      <c r="J967" t="n">
        <v>0</v>
      </c>
      <c r="K967" t="n">
        <v>0</v>
      </c>
      <c r="L967" t="n">
        <v>0</v>
      </c>
      <c r="M967" t="n">
        <v>0</v>
      </c>
      <c r="N967" t="n">
        <v>0</v>
      </c>
      <c r="O967" t="n">
        <v>0</v>
      </c>
      <c r="P967" t="n">
        <v>0</v>
      </c>
      <c r="Q967" t="n">
        <v>0</v>
      </c>
      <c r="R967" s="2" t="inlineStr"/>
    </row>
    <row r="968" ht="15" customHeight="1">
      <c r="A968" t="inlineStr">
        <is>
          <t>A 41344-2025</t>
        </is>
      </c>
      <c r="B968" s="1" t="n">
        <v>45899.46899305555</v>
      </c>
      <c r="C968" s="1" t="n">
        <v>45976</v>
      </c>
      <c r="D968" t="inlineStr">
        <is>
          <t>JÄMTLANDS LÄN</t>
        </is>
      </c>
      <c r="E968" t="inlineStr">
        <is>
          <t>BRÄCKE</t>
        </is>
      </c>
      <c r="G968" t="n">
        <v>1.5</v>
      </c>
      <c r="H968" t="n">
        <v>0</v>
      </c>
      <c r="I968" t="n">
        <v>0</v>
      </c>
      <c r="J968" t="n">
        <v>0</v>
      </c>
      <c r="K968" t="n">
        <v>0</v>
      </c>
      <c r="L968" t="n">
        <v>0</v>
      </c>
      <c r="M968" t="n">
        <v>0</v>
      </c>
      <c r="N968" t="n">
        <v>0</v>
      </c>
      <c r="O968" t="n">
        <v>0</v>
      </c>
      <c r="P968" t="n">
        <v>0</v>
      </c>
      <c r="Q968" t="n">
        <v>0</v>
      </c>
      <c r="R968" s="2" t="inlineStr"/>
    </row>
    <row r="969" ht="15" customHeight="1">
      <c r="A969" t="inlineStr">
        <is>
          <t>A 49291-2024</t>
        </is>
      </c>
      <c r="B969" s="1" t="n">
        <v>45595.53299768519</v>
      </c>
      <c r="C969" s="1" t="n">
        <v>45976</v>
      </c>
      <c r="D969" t="inlineStr">
        <is>
          <t>JÄMTLANDS LÄN</t>
        </is>
      </c>
      <c r="E969" t="inlineStr">
        <is>
          <t>BRÄCKE</t>
        </is>
      </c>
      <c r="G969" t="n">
        <v>4.6</v>
      </c>
      <c r="H969" t="n">
        <v>0</v>
      </c>
      <c r="I969" t="n">
        <v>0</v>
      </c>
      <c r="J969" t="n">
        <v>0</v>
      </c>
      <c r="K969" t="n">
        <v>0</v>
      </c>
      <c r="L969" t="n">
        <v>0</v>
      </c>
      <c r="M969" t="n">
        <v>0</v>
      </c>
      <c r="N969" t="n">
        <v>0</v>
      </c>
      <c r="O969" t="n">
        <v>0</v>
      </c>
      <c r="P969" t="n">
        <v>0</v>
      </c>
      <c r="Q969" t="n">
        <v>0</v>
      </c>
      <c r="R969" s="2" t="inlineStr"/>
    </row>
    <row r="970" ht="15" customHeight="1">
      <c r="A970" t="inlineStr">
        <is>
          <t>A 41193-2025</t>
        </is>
      </c>
      <c r="B970" s="1" t="n">
        <v>45898.56891203704</v>
      </c>
      <c r="C970" s="1" t="n">
        <v>45976</v>
      </c>
      <c r="D970" t="inlineStr">
        <is>
          <t>JÄMTLANDS LÄN</t>
        </is>
      </c>
      <c r="E970" t="inlineStr">
        <is>
          <t>BRÄCKE</t>
        </is>
      </c>
      <c r="G970" t="n">
        <v>1.9</v>
      </c>
      <c r="H970" t="n">
        <v>0</v>
      </c>
      <c r="I970" t="n">
        <v>0</v>
      </c>
      <c r="J970" t="n">
        <v>0</v>
      </c>
      <c r="K970" t="n">
        <v>0</v>
      </c>
      <c r="L970" t="n">
        <v>0</v>
      </c>
      <c r="M970" t="n">
        <v>0</v>
      </c>
      <c r="N970" t="n">
        <v>0</v>
      </c>
      <c r="O970" t="n">
        <v>0</v>
      </c>
      <c r="P970" t="n">
        <v>0</v>
      </c>
      <c r="Q970" t="n">
        <v>0</v>
      </c>
      <c r="R970" s="2" t="inlineStr"/>
    </row>
    <row r="971" ht="15" customHeight="1">
      <c r="A971" t="inlineStr">
        <is>
          <t>A 41195-2025</t>
        </is>
      </c>
      <c r="B971" s="1" t="n">
        <v>45898.57331018519</v>
      </c>
      <c r="C971" s="1" t="n">
        <v>45976</v>
      </c>
      <c r="D971" t="inlineStr">
        <is>
          <t>JÄMTLANDS LÄN</t>
        </is>
      </c>
      <c r="E971" t="inlineStr">
        <is>
          <t>BRÄCKE</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47186-2023</t>
        </is>
      </c>
      <c r="B972" s="1" t="n">
        <v>45201</v>
      </c>
      <c r="C972" s="1" t="n">
        <v>45976</v>
      </c>
      <c r="D972" t="inlineStr">
        <is>
          <t>JÄMTLANDS LÄN</t>
        </is>
      </c>
      <c r="E972" t="inlineStr">
        <is>
          <t>BRÄCKE</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26025-2024</t>
        </is>
      </c>
      <c r="B973" s="1" t="n">
        <v>45467.96188657408</v>
      </c>
      <c r="C973" s="1" t="n">
        <v>45976</v>
      </c>
      <c r="D973" t="inlineStr">
        <is>
          <t>JÄMTLANDS LÄN</t>
        </is>
      </c>
      <c r="E973" t="inlineStr">
        <is>
          <t>BRÄCKE</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26029-2024</t>
        </is>
      </c>
      <c r="B974" s="1" t="n">
        <v>45467.96262731482</v>
      </c>
      <c r="C974" s="1" t="n">
        <v>45976</v>
      </c>
      <c r="D974" t="inlineStr">
        <is>
          <t>JÄMTLANDS LÄN</t>
        </is>
      </c>
      <c r="E974" t="inlineStr">
        <is>
          <t>BRÄCKE</t>
        </is>
      </c>
      <c r="F974" t="inlineStr">
        <is>
          <t>SCA</t>
        </is>
      </c>
      <c r="G974" t="n">
        <v>40.9</v>
      </c>
      <c r="H974" t="n">
        <v>0</v>
      </c>
      <c r="I974" t="n">
        <v>0</v>
      </c>
      <c r="J974" t="n">
        <v>0</v>
      </c>
      <c r="K974" t="n">
        <v>0</v>
      </c>
      <c r="L974" t="n">
        <v>0</v>
      </c>
      <c r="M974" t="n">
        <v>0</v>
      </c>
      <c r="N974" t="n">
        <v>0</v>
      </c>
      <c r="O974" t="n">
        <v>0</v>
      </c>
      <c r="P974" t="n">
        <v>0</v>
      </c>
      <c r="Q974" t="n">
        <v>0</v>
      </c>
      <c r="R974" s="2" t="inlineStr"/>
      <c r="U974">
        <f>HYPERLINK("https://klasma.github.io/Logging_2305/knärot/A 26029-2024 karta knärot.png", "A 26029-2024")</f>
        <v/>
      </c>
      <c r="V974">
        <f>HYPERLINK("https://klasma.github.io/Logging_2305/klagomål/A 26029-2024 FSC-klagomål.docx", "A 26029-2024")</f>
        <v/>
      </c>
      <c r="W974">
        <f>HYPERLINK("https://klasma.github.io/Logging_2305/klagomålsmail/A 26029-2024 FSC-klagomål mail.docx", "A 26029-2024")</f>
        <v/>
      </c>
      <c r="X974">
        <f>HYPERLINK("https://klasma.github.io/Logging_2305/tillsyn/A 26029-2024 tillsynsbegäran.docx", "A 26029-2024")</f>
        <v/>
      </c>
      <c r="Y974">
        <f>HYPERLINK("https://klasma.github.io/Logging_2305/tillsynsmail/A 26029-2024 tillsynsbegäran mail.docx", "A 26029-2024")</f>
        <v/>
      </c>
    </row>
    <row r="975" ht="15" customHeight="1">
      <c r="A975" t="inlineStr">
        <is>
          <t>A 41368-2025</t>
        </is>
      </c>
      <c r="B975" s="1" t="n">
        <v>45900.5678125</v>
      </c>
      <c r="C975" s="1" t="n">
        <v>45976</v>
      </c>
      <c r="D975" t="inlineStr">
        <is>
          <t>JÄMTLANDS LÄN</t>
        </is>
      </c>
      <c r="E975" t="inlineStr">
        <is>
          <t>BRÄCKE</t>
        </is>
      </c>
      <c r="G975" t="n">
        <v>4</v>
      </c>
      <c r="H975" t="n">
        <v>0</v>
      </c>
      <c r="I975" t="n">
        <v>0</v>
      </c>
      <c r="J975" t="n">
        <v>0</v>
      </c>
      <c r="K975" t="n">
        <v>0</v>
      </c>
      <c r="L975" t="n">
        <v>0</v>
      </c>
      <c r="M975" t="n">
        <v>0</v>
      </c>
      <c r="N975" t="n">
        <v>0</v>
      </c>
      <c r="O975" t="n">
        <v>0</v>
      </c>
      <c r="P975" t="n">
        <v>0</v>
      </c>
      <c r="Q975" t="n">
        <v>0</v>
      </c>
      <c r="R975" s="2" t="inlineStr"/>
    </row>
    <row r="976" ht="15" customHeight="1">
      <c r="A976" t="inlineStr">
        <is>
          <t>A 26910-2024</t>
        </is>
      </c>
      <c r="B976" s="1" t="n">
        <v>45470.76403935185</v>
      </c>
      <c r="C976" s="1" t="n">
        <v>45976</v>
      </c>
      <c r="D976" t="inlineStr">
        <is>
          <t>JÄMTLANDS LÄN</t>
        </is>
      </c>
      <c r="E976" t="inlineStr">
        <is>
          <t>BRÄCKE</t>
        </is>
      </c>
      <c r="G976" t="n">
        <v>1.4</v>
      </c>
      <c r="H976" t="n">
        <v>0</v>
      </c>
      <c r="I976" t="n">
        <v>0</v>
      </c>
      <c r="J976" t="n">
        <v>0</v>
      </c>
      <c r="K976" t="n">
        <v>0</v>
      </c>
      <c r="L976" t="n">
        <v>0</v>
      </c>
      <c r="M976" t="n">
        <v>0</v>
      </c>
      <c r="N976" t="n">
        <v>0</v>
      </c>
      <c r="O976" t="n">
        <v>0</v>
      </c>
      <c r="P976" t="n">
        <v>0</v>
      </c>
      <c r="Q976" t="n">
        <v>0</v>
      </c>
      <c r="R976" s="2" t="inlineStr"/>
    </row>
    <row r="977" ht="15" customHeight="1">
      <c r="A977" t="inlineStr">
        <is>
          <t>A 41738-2023</t>
        </is>
      </c>
      <c r="B977" s="1" t="n">
        <v>45176.418125</v>
      </c>
      <c r="C977" s="1" t="n">
        <v>45976</v>
      </c>
      <c r="D977" t="inlineStr">
        <is>
          <t>JÄMTLANDS LÄN</t>
        </is>
      </c>
      <c r="E977" t="inlineStr">
        <is>
          <t>BRÄCKE</t>
        </is>
      </c>
      <c r="G977" t="n">
        <v>12.7</v>
      </c>
      <c r="H977" t="n">
        <v>0</v>
      </c>
      <c r="I977" t="n">
        <v>0</v>
      </c>
      <c r="J977" t="n">
        <v>0</v>
      </c>
      <c r="K977" t="n">
        <v>0</v>
      </c>
      <c r="L977" t="n">
        <v>0</v>
      </c>
      <c r="M977" t="n">
        <v>0</v>
      </c>
      <c r="N977" t="n">
        <v>0</v>
      </c>
      <c r="O977" t="n">
        <v>0</v>
      </c>
      <c r="P977" t="n">
        <v>0</v>
      </c>
      <c r="Q977" t="n">
        <v>0</v>
      </c>
      <c r="R977" s="2" t="inlineStr"/>
    </row>
    <row r="978" ht="15" customHeight="1">
      <c r="A978" t="inlineStr">
        <is>
          <t>A 26353-2023</t>
        </is>
      </c>
      <c r="B978" s="1" t="n">
        <v>45091.94232638889</v>
      </c>
      <c r="C978" s="1" t="n">
        <v>45976</v>
      </c>
      <c r="D978" t="inlineStr">
        <is>
          <t>JÄMTLANDS LÄN</t>
        </is>
      </c>
      <c r="E978" t="inlineStr">
        <is>
          <t>BRÄCKE</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41526-2025</t>
        </is>
      </c>
      <c r="B979" s="1" t="n">
        <v>45901.5528587963</v>
      </c>
      <c r="C979" s="1" t="n">
        <v>45976</v>
      </c>
      <c r="D979" t="inlineStr">
        <is>
          <t>JÄMTLANDS LÄN</t>
        </is>
      </c>
      <c r="E979" t="inlineStr">
        <is>
          <t>BRÄCKE</t>
        </is>
      </c>
      <c r="G979" t="n">
        <v>1.2</v>
      </c>
      <c r="H979" t="n">
        <v>0</v>
      </c>
      <c r="I979" t="n">
        <v>0</v>
      </c>
      <c r="J979" t="n">
        <v>0</v>
      </c>
      <c r="K979" t="n">
        <v>0</v>
      </c>
      <c r="L979" t="n">
        <v>0</v>
      </c>
      <c r="M979" t="n">
        <v>0</v>
      </c>
      <c r="N979" t="n">
        <v>0</v>
      </c>
      <c r="O979" t="n">
        <v>0</v>
      </c>
      <c r="P979" t="n">
        <v>0</v>
      </c>
      <c r="Q979" t="n">
        <v>0</v>
      </c>
      <c r="R979" s="2" t="inlineStr"/>
    </row>
    <row r="980" ht="15" customHeight="1">
      <c r="A980" t="inlineStr">
        <is>
          <t>A 41503-2025</t>
        </is>
      </c>
      <c r="B980" s="1" t="n">
        <v>45901.51952546297</v>
      </c>
      <c r="C980" s="1" t="n">
        <v>45976</v>
      </c>
      <c r="D980" t="inlineStr">
        <is>
          <t>JÄMTLANDS LÄN</t>
        </is>
      </c>
      <c r="E980" t="inlineStr">
        <is>
          <t>BRÄCKE</t>
        </is>
      </c>
      <c r="F980" t="inlineStr">
        <is>
          <t>Övriga Aktiebolag</t>
        </is>
      </c>
      <c r="G980" t="n">
        <v>0.7</v>
      </c>
      <c r="H980" t="n">
        <v>0</v>
      </c>
      <c r="I980" t="n">
        <v>0</v>
      </c>
      <c r="J980" t="n">
        <v>0</v>
      </c>
      <c r="K980" t="n">
        <v>0</v>
      </c>
      <c r="L980" t="n">
        <v>0</v>
      </c>
      <c r="M980" t="n">
        <v>0</v>
      </c>
      <c r="N980" t="n">
        <v>0</v>
      </c>
      <c r="O980" t="n">
        <v>0</v>
      </c>
      <c r="P980" t="n">
        <v>0</v>
      </c>
      <c r="Q980" t="n">
        <v>0</v>
      </c>
      <c r="R980" s="2" t="inlineStr"/>
    </row>
    <row r="981" ht="15" customHeight="1">
      <c r="A981" t="inlineStr">
        <is>
          <t>A 27799-2024</t>
        </is>
      </c>
      <c r="B981" s="1" t="n">
        <v>45475.56605324074</v>
      </c>
      <c r="C981" s="1" t="n">
        <v>45976</v>
      </c>
      <c r="D981" t="inlineStr">
        <is>
          <t>JÄMTLANDS LÄN</t>
        </is>
      </c>
      <c r="E981" t="inlineStr">
        <is>
          <t>BRÄCKE</t>
        </is>
      </c>
      <c r="G981" t="n">
        <v>3.6</v>
      </c>
      <c r="H981" t="n">
        <v>0</v>
      </c>
      <c r="I981" t="n">
        <v>0</v>
      </c>
      <c r="J981" t="n">
        <v>0</v>
      </c>
      <c r="K981" t="n">
        <v>0</v>
      </c>
      <c r="L981" t="n">
        <v>0</v>
      </c>
      <c r="M981" t="n">
        <v>0</v>
      </c>
      <c r="N981" t="n">
        <v>0</v>
      </c>
      <c r="O981" t="n">
        <v>0</v>
      </c>
      <c r="P981" t="n">
        <v>0</v>
      </c>
      <c r="Q981" t="n">
        <v>0</v>
      </c>
      <c r="R981" s="2" t="inlineStr"/>
    </row>
    <row r="982" ht="15" customHeight="1">
      <c r="A982" t="inlineStr">
        <is>
          <t>A 20095-2023</t>
        </is>
      </c>
      <c r="B982" s="1" t="n">
        <v>45054.94199074074</v>
      </c>
      <c r="C982" s="1" t="n">
        <v>45976</v>
      </c>
      <c r="D982" t="inlineStr">
        <is>
          <t>JÄMTLANDS LÄN</t>
        </is>
      </c>
      <c r="E982" t="inlineStr">
        <is>
          <t>BRÄCKE</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20100-2023</t>
        </is>
      </c>
      <c r="B983" s="1" t="n">
        <v>45054.94239583334</v>
      </c>
      <c r="C983" s="1" t="n">
        <v>45976</v>
      </c>
      <c r="D983" t="inlineStr">
        <is>
          <t>JÄMTLANDS LÄN</t>
        </is>
      </c>
      <c r="E983" t="inlineStr">
        <is>
          <t>BRÄCKE</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20101-2023</t>
        </is>
      </c>
      <c r="B984" s="1" t="n">
        <v>45054.94247685185</v>
      </c>
      <c r="C984" s="1" t="n">
        <v>45976</v>
      </c>
      <c r="D984" t="inlineStr">
        <is>
          <t>JÄMTLANDS LÄN</t>
        </is>
      </c>
      <c r="E984" t="inlineStr">
        <is>
          <t>BRÄCKE</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41345-2025</t>
        </is>
      </c>
      <c r="B985" s="1" t="n">
        <v>45899.46903935185</v>
      </c>
      <c r="C985" s="1" t="n">
        <v>45976</v>
      </c>
      <c r="D985" t="inlineStr">
        <is>
          <t>JÄMTLANDS LÄN</t>
        </is>
      </c>
      <c r="E985" t="inlineStr">
        <is>
          <t>BRÄCKE</t>
        </is>
      </c>
      <c r="G985" t="n">
        <v>7.5</v>
      </c>
      <c r="H985" t="n">
        <v>0</v>
      </c>
      <c r="I985" t="n">
        <v>0</v>
      </c>
      <c r="J985" t="n">
        <v>0</v>
      </c>
      <c r="K985" t="n">
        <v>0</v>
      </c>
      <c r="L985" t="n">
        <v>0</v>
      </c>
      <c r="M985" t="n">
        <v>0</v>
      </c>
      <c r="N985" t="n">
        <v>0</v>
      </c>
      <c r="O985" t="n">
        <v>0</v>
      </c>
      <c r="P985" t="n">
        <v>0</v>
      </c>
      <c r="Q985" t="n">
        <v>0</v>
      </c>
      <c r="R985" s="2" t="inlineStr"/>
    </row>
    <row r="986" ht="15" customHeight="1">
      <c r="A986" t="inlineStr">
        <is>
          <t>A 61143-2020</t>
        </is>
      </c>
      <c r="B986" s="1" t="n">
        <v>44154</v>
      </c>
      <c r="C986" s="1" t="n">
        <v>45976</v>
      </c>
      <c r="D986" t="inlineStr">
        <is>
          <t>JÄMTLANDS LÄN</t>
        </is>
      </c>
      <c r="E986" t="inlineStr">
        <is>
          <t>BRÄCKE</t>
        </is>
      </c>
      <c r="G986" t="n">
        <v>12.6</v>
      </c>
      <c r="H986" t="n">
        <v>0</v>
      </c>
      <c r="I986" t="n">
        <v>0</v>
      </c>
      <c r="J986" t="n">
        <v>0</v>
      </c>
      <c r="K986" t="n">
        <v>0</v>
      </c>
      <c r="L986" t="n">
        <v>0</v>
      </c>
      <c r="M986" t="n">
        <v>0</v>
      </c>
      <c r="N986" t="n">
        <v>0</v>
      </c>
      <c r="O986" t="n">
        <v>0</v>
      </c>
      <c r="P986" t="n">
        <v>0</v>
      </c>
      <c r="Q986" t="n">
        <v>0</v>
      </c>
      <c r="R986" s="2" t="inlineStr"/>
    </row>
    <row r="987" ht="15" customHeight="1">
      <c r="A987" t="inlineStr">
        <is>
          <t>A 30480-2024</t>
        </is>
      </c>
      <c r="B987" s="1" t="n">
        <v>45491.9494675926</v>
      </c>
      <c r="C987" s="1" t="n">
        <v>45976</v>
      </c>
      <c r="D987" t="inlineStr">
        <is>
          <t>JÄMTLANDS LÄN</t>
        </is>
      </c>
      <c r="E987" t="inlineStr">
        <is>
          <t>BRÄCKE</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50016-2025</t>
        </is>
      </c>
      <c r="B988" s="1" t="n">
        <v>45943.35318287037</v>
      </c>
      <c r="C988" s="1" t="n">
        <v>45976</v>
      </c>
      <c r="D988" t="inlineStr">
        <is>
          <t>JÄMTLANDS LÄN</t>
        </is>
      </c>
      <c r="E988" t="inlineStr">
        <is>
          <t>BRÄCKE</t>
        </is>
      </c>
      <c r="G988" t="n">
        <v>2.5</v>
      </c>
      <c r="H988" t="n">
        <v>0</v>
      </c>
      <c r="I988" t="n">
        <v>0</v>
      </c>
      <c r="J988" t="n">
        <v>0</v>
      </c>
      <c r="K988" t="n">
        <v>0</v>
      </c>
      <c r="L988" t="n">
        <v>0</v>
      </c>
      <c r="M988" t="n">
        <v>0</v>
      </c>
      <c r="N988" t="n">
        <v>0</v>
      </c>
      <c r="O988" t="n">
        <v>0</v>
      </c>
      <c r="P988" t="n">
        <v>0</v>
      </c>
      <c r="Q988" t="n">
        <v>0</v>
      </c>
      <c r="R988" s="2" t="inlineStr"/>
    </row>
    <row r="989" ht="15" customHeight="1">
      <c r="A989" t="inlineStr">
        <is>
          <t>A 73102-2021</t>
        </is>
      </c>
      <c r="B989" s="1" t="n">
        <v>44550.45236111111</v>
      </c>
      <c r="C989" s="1" t="n">
        <v>45976</v>
      </c>
      <c r="D989" t="inlineStr">
        <is>
          <t>JÄMTLANDS LÄN</t>
        </is>
      </c>
      <c r="E989" t="inlineStr">
        <is>
          <t>BRÄCKE</t>
        </is>
      </c>
      <c r="F989" t="inlineStr">
        <is>
          <t>Sveaskog</t>
        </is>
      </c>
      <c r="G989" t="n">
        <v>6.5</v>
      </c>
      <c r="H989" t="n">
        <v>0</v>
      </c>
      <c r="I989" t="n">
        <v>0</v>
      </c>
      <c r="J989" t="n">
        <v>0</v>
      </c>
      <c r="K989" t="n">
        <v>0</v>
      </c>
      <c r="L989" t="n">
        <v>0</v>
      </c>
      <c r="M989" t="n">
        <v>0</v>
      </c>
      <c r="N989" t="n">
        <v>0</v>
      </c>
      <c r="O989" t="n">
        <v>0</v>
      </c>
      <c r="P989" t="n">
        <v>0</v>
      </c>
      <c r="Q989" t="n">
        <v>0</v>
      </c>
      <c r="R989" s="2" t="inlineStr"/>
    </row>
    <row r="990" ht="15" customHeight="1">
      <c r="A990" t="inlineStr">
        <is>
          <t>A 16512-2024</t>
        </is>
      </c>
      <c r="B990" s="1" t="n">
        <v>45408.39922453704</v>
      </c>
      <c r="C990" s="1" t="n">
        <v>45976</v>
      </c>
      <c r="D990" t="inlineStr">
        <is>
          <t>JÄMTLANDS LÄN</t>
        </is>
      </c>
      <c r="E990" t="inlineStr">
        <is>
          <t>BRÄCKE</t>
        </is>
      </c>
      <c r="G990" t="n">
        <v>3.2</v>
      </c>
      <c r="H990" t="n">
        <v>0</v>
      </c>
      <c r="I990" t="n">
        <v>0</v>
      </c>
      <c r="J990" t="n">
        <v>0</v>
      </c>
      <c r="K990" t="n">
        <v>0</v>
      </c>
      <c r="L990" t="n">
        <v>0</v>
      </c>
      <c r="M990" t="n">
        <v>0</v>
      </c>
      <c r="N990" t="n">
        <v>0</v>
      </c>
      <c r="O990" t="n">
        <v>0</v>
      </c>
      <c r="P990" t="n">
        <v>0</v>
      </c>
      <c r="Q990" t="n">
        <v>0</v>
      </c>
      <c r="R990" s="2" t="inlineStr"/>
    </row>
    <row r="991" ht="15" customHeight="1">
      <c r="A991" t="inlineStr">
        <is>
          <t>A 41187-2025</t>
        </is>
      </c>
      <c r="B991" s="1" t="n">
        <v>45898.56390046296</v>
      </c>
      <c r="C991" s="1" t="n">
        <v>45976</v>
      </c>
      <c r="D991" t="inlineStr">
        <is>
          <t>JÄMTLANDS LÄN</t>
        </is>
      </c>
      <c r="E991" t="inlineStr">
        <is>
          <t>BRÄCKE</t>
        </is>
      </c>
      <c r="F991" t="inlineStr">
        <is>
          <t>Övriga Aktiebolag</t>
        </is>
      </c>
      <c r="G991" t="n">
        <v>1.9</v>
      </c>
      <c r="H991" t="n">
        <v>0</v>
      </c>
      <c r="I991" t="n">
        <v>0</v>
      </c>
      <c r="J991" t="n">
        <v>0</v>
      </c>
      <c r="K991" t="n">
        <v>0</v>
      </c>
      <c r="L991" t="n">
        <v>0</v>
      </c>
      <c r="M991" t="n">
        <v>0</v>
      </c>
      <c r="N991" t="n">
        <v>0</v>
      </c>
      <c r="O991" t="n">
        <v>0</v>
      </c>
      <c r="P991" t="n">
        <v>0</v>
      </c>
      <c r="Q991" t="n">
        <v>0</v>
      </c>
      <c r="R991" s="2" t="inlineStr"/>
    </row>
    <row r="992" ht="15" customHeight="1">
      <c r="A992" t="inlineStr">
        <is>
          <t>A 41049-2025</t>
        </is>
      </c>
      <c r="B992" s="1" t="n">
        <v>45898.40252314815</v>
      </c>
      <c r="C992" s="1" t="n">
        <v>45976</v>
      </c>
      <c r="D992" t="inlineStr">
        <is>
          <t>JÄMTLANDS LÄN</t>
        </is>
      </c>
      <c r="E992" t="inlineStr">
        <is>
          <t>BRÄCKE</t>
        </is>
      </c>
      <c r="F992" t="inlineStr">
        <is>
          <t>Övriga Aktiebolag</t>
        </is>
      </c>
      <c r="G992" t="n">
        <v>4.1</v>
      </c>
      <c r="H992" t="n">
        <v>0</v>
      </c>
      <c r="I992" t="n">
        <v>0</v>
      </c>
      <c r="J992" t="n">
        <v>0</v>
      </c>
      <c r="K992" t="n">
        <v>0</v>
      </c>
      <c r="L992" t="n">
        <v>0</v>
      </c>
      <c r="M992" t="n">
        <v>0</v>
      </c>
      <c r="N992" t="n">
        <v>0</v>
      </c>
      <c r="O992" t="n">
        <v>0</v>
      </c>
      <c r="P992" t="n">
        <v>0</v>
      </c>
      <c r="Q992" t="n">
        <v>0</v>
      </c>
      <c r="R992" s="2" t="inlineStr"/>
    </row>
    <row r="993" ht="15" customHeight="1">
      <c r="A993" t="inlineStr">
        <is>
          <t>A 50216-2025</t>
        </is>
      </c>
      <c r="B993" s="1" t="n">
        <v>45943.67859953704</v>
      </c>
      <c r="C993" s="1" t="n">
        <v>45976</v>
      </c>
      <c r="D993" t="inlineStr">
        <is>
          <t>JÄMTLANDS LÄN</t>
        </is>
      </c>
      <c r="E993" t="inlineStr">
        <is>
          <t>BRÄCKE</t>
        </is>
      </c>
      <c r="F993" t="inlineStr">
        <is>
          <t>SCA</t>
        </is>
      </c>
      <c r="G993" t="n">
        <v>15.7</v>
      </c>
      <c r="H993" t="n">
        <v>0</v>
      </c>
      <c r="I993" t="n">
        <v>0</v>
      </c>
      <c r="J993" t="n">
        <v>0</v>
      </c>
      <c r="K993" t="n">
        <v>0</v>
      </c>
      <c r="L993" t="n">
        <v>0</v>
      </c>
      <c r="M993" t="n">
        <v>0</v>
      </c>
      <c r="N993" t="n">
        <v>0</v>
      </c>
      <c r="O993" t="n">
        <v>0</v>
      </c>
      <c r="P993" t="n">
        <v>0</v>
      </c>
      <c r="Q993" t="n">
        <v>0</v>
      </c>
      <c r="R993" s="2" t="inlineStr"/>
    </row>
    <row r="994" ht="15" customHeight="1">
      <c r="A994" t="inlineStr">
        <is>
          <t>A 53696-2024</t>
        </is>
      </c>
      <c r="B994" s="1" t="n">
        <v>45615.3857175926</v>
      </c>
      <c r="C994" s="1" t="n">
        <v>45976</v>
      </c>
      <c r="D994" t="inlineStr">
        <is>
          <t>JÄMTLANDS LÄN</t>
        </is>
      </c>
      <c r="E994" t="inlineStr">
        <is>
          <t>BRÄCKE</t>
        </is>
      </c>
      <c r="G994" t="n">
        <v>2.4</v>
      </c>
      <c r="H994" t="n">
        <v>0</v>
      </c>
      <c r="I994" t="n">
        <v>0</v>
      </c>
      <c r="J994" t="n">
        <v>0</v>
      </c>
      <c r="K994" t="n">
        <v>0</v>
      </c>
      <c r="L994" t="n">
        <v>0</v>
      </c>
      <c r="M994" t="n">
        <v>0</v>
      </c>
      <c r="N994" t="n">
        <v>0</v>
      </c>
      <c r="O994" t="n">
        <v>0</v>
      </c>
      <c r="P994" t="n">
        <v>0</v>
      </c>
      <c r="Q994" t="n">
        <v>0</v>
      </c>
      <c r="R994" s="2" t="inlineStr"/>
    </row>
    <row r="995" ht="15" customHeight="1">
      <c r="A995" t="inlineStr">
        <is>
          <t>A 41257-2025</t>
        </is>
      </c>
      <c r="B995" s="1" t="n">
        <v>45898.6084375</v>
      </c>
      <c r="C995" s="1" t="n">
        <v>45976</v>
      </c>
      <c r="D995" t="inlineStr">
        <is>
          <t>JÄMTLANDS LÄN</t>
        </is>
      </c>
      <c r="E995" t="inlineStr">
        <is>
          <t>BRÄCKE</t>
        </is>
      </c>
      <c r="F995" t="inlineStr">
        <is>
          <t>Övriga Aktiebolag</t>
        </is>
      </c>
      <c r="G995" t="n">
        <v>2.2</v>
      </c>
      <c r="H995" t="n">
        <v>0</v>
      </c>
      <c r="I995" t="n">
        <v>0</v>
      </c>
      <c r="J995" t="n">
        <v>0</v>
      </c>
      <c r="K995" t="n">
        <v>0</v>
      </c>
      <c r="L995" t="n">
        <v>0</v>
      </c>
      <c r="M995" t="n">
        <v>0</v>
      </c>
      <c r="N995" t="n">
        <v>0</v>
      </c>
      <c r="O995" t="n">
        <v>0</v>
      </c>
      <c r="P995" t="n">
        <v>0</v>
      </c>
      <c r="Q995" t="n">
        <v>0</v>
      </c>
      <c r="R995" s="2" t="inlineStr"/>
    </row>
    <row r="996" ht="15" customHeight="1">
      <c r="A996" t="inlineStr">
        <is>
          <t>A 50214-2025</t>
        </is>
      </c>
      <c r="B996" s="1" t="n">
        <v>45943.67826388889</v>
      </c>
      <c r="C996" s="1" t="n">
        <v>45976</v>
      </c>
      <c r="D996" t="inlineStr">
        <is>
          <t>JÄMTLANDS LÄN</t>
        </is>
      </c>
      <c r="E996" t="inlineStr">
        <is>
          <t>BRÄCKE</t>
        </is>
      </c>
      <c r="F996" t="inlineStr">
        <is>
          <t>SCA</t>
        </is>
      </c>
      <c r="G996" t="n">
        <v>15.7</v>
      </c>
      <c r="H996" t="n">
        <v>0</v>
      </c>
      <c r="I996" t="n">
        <v>0</v>
      </c>
      <c r="J996" t="n">
        <v>0</v>
      </c>
      <c r="K996" t="n">
        <v>0</v>
      </c>
      <c r="L996" t="n">
        <v>0</v>
      </c>
      <c r="M996" t="n">
        <v>0</v>
      </c>
      <c r="N996" t="n">
        <v>0</v>
      </c>
      <c r="O996" t="n">
        <v>0</v>
      </c>
      <c r="P996" t="n">
        <v>0</v>
      </c>
      <c r="Q996" t="n">
        <v>0</v>
      </c>
      <c r="R996" s="2" t="inlineStr"/>
    </row>
    <row r="997" ht="15" customHeight="1">
      <c r="A997" t="inlineStr">
        <is>
          <t>A 33172-2023</t>
        </is>
      </c>
      <c r="B997" s="1" t="n">
        <v>45126.94283564815</v>
      </c>
      <c r="C997" s="1" t="n">
        <v>45976</v>
      </c>
      <c r="D997" t="inlineStr">
        <is>
          <t>JÄMTLANDS LÄN</t>
        </is>
      </c>
      <c r="E997" t="inlineStr">
        <is>
          <t>BRÄCKE</t>
        </is>
      </c>
      <c r="F997" t="inlineStr">
        <is>
          <t>SCA</t>
        </is>
      </c>
      <c r="G997" t="n">
        <v>0.6</v>
      </c>
      <c r="H997" t="n">
        <v>0</v>
      </c>
      <c r="I997" t="n">
        <v>0</v>
      </c>
      <c r="J997" t="n">
        <v>0</v>
      </c>
      <c r="K997" t="n">
        <v>0</v>
      </c>
      <c r="L997" t="n">
        <v>0</v>
      </c>
      <c r="M997" t="n">
        <v>0</v>
      </c>
      <c r="N997" t="n">
        <v>0</v>
      </c>
      <c r="O997" t="n">
        <v>0</v>
      </c>
      <c r="P997" t="n">
        <v>0</v>
      </c>
      <c r="Q997" t="n">
        <v>0</v>
      </c>
      <c r="R997" s="2" t="inlineStr"/>
    </row>
    <row r="998" ht="15" customHeight="1">
      <c r="A998" t="inlineStr">
        <is>
          <t>A 18206-2023</t>
        </is>
      </c>
      <c r="B998" s="1" t="n">
        <v>45041</v>
      </c>
      <c r="C998" s="1" t="n">
        <v>45976</v>
      </c>
      <c r="D998" t="inlineStr">
        <is>
          <t>JÄMTLANDS LÄN</t>
        </is>
      </c>
      <c r="E998" t="inlineStr">
        <is>
          <t>BRÄCKE</t>
        </is>
      </c>
      <c r="G998" t="n">
        <v>5.2</v>
      </c>
      <c r="H998" t="n">
        <v>0</v>
      </c>
      <c r="I998" t="n">
        <v>0</v>
      </c>
      <c r="J998" t="n">
        <v>0</v>
      </c>
      <c r="K998" t="n">
        <v>0</v>
      </c>
      <c r="L998" t="n">
        <v>0</v>
      </c>
      <c r="M998" t="n">
        <v>0</v>
      </c>
      <c r="N998" t="n">
        <v>0</v>
      </c>
      <c r="O998" t="n">
        <v>0</v>
      </c>
      <c r="P998" t="n">
        <v>0</v>
      </c>
      <c r="Q998" t="n">
        <v>0</v>
      </c>
      <c r="R998" s="2" t="inlineStr"/>
    </row>
    <row r="999" ht="15" customHeight="1">
      <c r="A999" t="inlineStr">
        <is>
          <t>A 18267-2025</t>
        </is>
      </c>
      <c r="B999" s="1" t="n">
        <v>45762.36527777778</v>
      </c>
      <c r="C999" s="1" t="n">
        <v>45976</v>
      </c>
      <c r="D999" t="inlineStr">
        <is>
          <t>JÄMTLANDS LÄN</t>
        </is>
      </c>
      <c r="E999" t="inlineStr">
        <is>
          <t>BRÄCKE</t>
        </is>
      </c>
      <c r="G999" t="n">
        <v>0.6</v>
      </c>
      <c r="H999" t="n">
        <v>0</v>
      </c>
      <c r="I999" t="n">
        <v>0</v>
      </c>
      <c r="J999" t="n">
        <v>0</v>
      </c>
      <c r="K999" t="n">
        <v>0</v>
      </c>
      <c r="L999" t="n">
        <v>0</v>
      </c>
      <c r="M999" t="n">
        <v>0</v>
      </c>
      <c r="N999" t="n">
        <v>0</v>
      </c>
      <c r="O999" t="n">
        <v>0</v>
      </c>
      <c r="P999" t="n">
        <v>0</v>
      </c>
      <c r="Q999" t="n">
        <v>0</v>
      </c>
      <c r="R999" s="2" t="inlineStr"/>
    </row>
    <row r="1000" ht="15" customHeight="1">
      <c r="A1000" t="inlineStr">
        <is>
          <t>A 10510-2025</t>
        </is>
      </c>
      <c r="B1000" s="1" t="n">
        <v>45721.40363425926</v>
      </c>
      <c r="C1000" s="1" t="n">
        <v>45976</v>
      </c>
      <c r="D1000" t="inlineStr">
        <is>
          <t>JÄMTLANDS LÄN</t>
        </is>
      </c>
      <c r="E1000" t="inlineStr">
        <is>
          <t>BRÄCKE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49330-2023</t>
        </is>
      </c>
      <c r="B1001" s="1" t="n">
        <v>45210.94927083333</v>
      </c>
      <c r="C1001" s="1" t="n">
        <v>45976</v>
      </c>
      <c r="D1001" t="inlineStr">
        <is>
          <t>JÄMTLANDS LÄN</t>
        </is>
      </c>
      <c r="E1001" t="inlineStr">
        <is>
          <t>BRÄCKE</t>
        </is>
      </c>
      <c r="F1001" t="inlineStr">
        <is>
          <t>SCA</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12524-2025</t>
        </is>
      </c>
      <c r="B1002" s="1" t="n">
        <v>45730.6775462963</v>
      </c>
      <c r="C1002" s="1" t="n">
        <v>45976</v>
      </c>
      <c r="D1002" t="inlineStr">
        <is>
          <t>JÄMTLANDS LÄN</t>
        </is>
      </c>
      <c r="E1002" t="inlineStr">
        <is>
          <t>BRÄCKE</t>
        </is>
      </c>
      <c r="F1002" t="inlineStr">
        <is>
          <t>SCA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10606-2025</t>
        </is>
      </c>
      <c r="B1003" s="1" t="n">
        <v>45721.59429398148</v>
      </c>
      <c r="C1003" s="1" t="n">
        <v>45976</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12553-2025</t>
        </is>
      </c>
      <c r="B1004" s="1" t="n">
        <v>45731.34431712963</v>
      </c>
      <c r="C1004" s="1" t="n">
        <v>45976</v>
      </c>
      <c r="D1004" t="inlineStr">
        <is>
          <t>JÄMTLANDS LÄN</t>
        </is>
      </c>
      <c r="E1004" t="inlineStr">
        <is>
          <t>BRÄCKE</t>
        </is>
      </c>
      <c r="F1004" t="inlineStr">
        <is>
          <t>SCA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19088-2021</t>
        </is>
      </c>
      <c r="B1005" s="1" t="n">
        <v>44308</v>
      </c>
      <c r="C1005" s="1" t="n">
        <v>45976</v>
      </c>
      <c r="D1005" t="inlineStr">
        <is>
          <t>JÄMTLANDS LÄN</t>
        </is>
      </c>
      <c r="E1005" t="inlineStr">
        <is>
          <t>BRÄCKE</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22001-2024</t>
        </is>
      </c>
      <c r="B1006" s="1" t="n">
        <v>45443.56649305556</v>
      </c>
      <c r="C1006" s="1" t="n">
        <v>45976</v>
      </c>
      <c r="D1006" t="inlineStr">
        <is>
          <t>JÄMTLANDS LÄN</t>
        </is>
      </c>
      <c r="E1006" t="inlineStr">
        <is>
          <t>BRÄCKE</t>
        </is>
      </c>
      <c r="F1006" t="inlineStr">
        <is>
          <t>Övriga Aktiebolag</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41060-2025</t>
        </is>
      </c>
      <c r="B1007" s="1" t="n">
        <v>45898.4071875</v>
      </c>
      <c r="C1007" s="1" t="n">
        <v>45976</v>
      </c>
      <c r="D1007" t="inlineStr">
        <is>
          <t>JÄMTLANDS LÄN</t>
        </is>
      </c>
      <c r="E1007" t="inlineStr">
        <is>
          <t>BRÄCKE</t>
        </is>
      </c>
      <c r="F1007" t="inlineStr">
        <is>
          <t>SCA</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41510-2025</t>
        </is>
      </c>
      <c r="B1008" s="1" t="n">
        <v>45901.53417824074</v>
      </c>
      <c r="C1008" s="1" t="n">
        <v>45976</v>
      </c>
      <c r="D1008" t="inlineStr">
        <is>
          <t>JÄMTLANDS LÄN</t>
        </is>
      </c>
      <c r="E1008" t="inlineStr">
        <is>
          <t>BRÄCKE</t>
        </is>
      </c>
      <c r="F1008" t="inlineStr">
        <is>
          <t>Övriga Aktiebolag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3180-2024</t>
        </is>
      </c>
      <c r="B1009" s="1" t="n">
        <v>45316.64880787037</v>
      </c>
      <c r="C1009" s="1" t="n">
        <v>45976</v>
      </c>
      <c r="D1009" t="inlineStr">
        <is>
          <t>JÄMTLANDS LÄN</t>
        </is>
      </c>
      <c r="E1009" t="inlineStr">
        <is>
          <t>BRÄCKE</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3182-2024</t>
        </is>
      </c>
      <c r="B1010" s="1" t="n">
        <v>45316.65004629629</v>
      </c>
      <c r="C1010" s="1" t="n">
        <v>45976</v>
      </c>
      <c r="D1010" t="inlineStr">
        <is>
          <t>JÄMTLANDS LÄN</t>
        </is>
      </c>
      <c r="E1010" t="inlineStr">
        <is>
          <t>BRÄCKE</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41757-2025</t>
        </is>
      </c>
      <c r="B1011" s="1" t="n">
        <v>45902.50755787037</v>
      </c>
      <c r="C1011" s="1" t="n">
        <v>45976</v>
      </c>
      <c r="D1011" t="inlineStr">
        <is>
          <t>JÄMTLANDS LÄN</t>
        </is>
      </c>
      <c r="E1011" t="inlineStr">
        <is>
          <t>BRÄCKE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50272-2025</t>
        </is>
      </c>
      <c r="B1012" s="1" t="n">
        <v>45944.365</v>
      </c>
      <c r="C1012" s="1" t="n">
        <v>45976</v>
      </c>
      <c r="D1012" t="inlineStr">
        <is>
          <t>JÄMTLANDS LÄN</t>
        </is>
      </c>
      <c r="E1012" t="inlineStr">
        <is>
          <t>BRÄCKE</t>
        </is>
      </c>
      <c r="F1012" t="inlineStr">
        <is>
          <t>SCA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10815-2022</t>
        </is>
      </c>
      <c r="B1013" s="1" t="n">
        <v>44627</v>
      </c>
      <c r="C1013" s="1" t="n">
        <v>45976</v>
      </c>
      <c r="D1013" t="inlineStr">
        <is>
          <t>JÄMTLANDS LÄN</t>
        </is>
      </c>
      <c r="E1013" t="inlineStr">
        <is>
          <t>BRÄCKE</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29028-2024</t>
        </is>
      </c>
      <c r="B1014" s="1" t="n">
        <v>45481.59387731482</v>
      </c>
      <c r="C1014" s="1" t="n">
        <v>45976</v>
      </c>
      <c r="D1014" t="inlineStr">
        <is>
          <t>JÄMTLANDS LÄN</t>
        </is>
      </c>
      <c r="E1014" t="inlineStr">
        <is>
          <t>BRÄCKE</t>
        </is>
      </c>
      <c r="F1014" t="inlineStr">
        <is>
          <t>Övriga Aktiebolag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44753-2022</t>
        </is>
      </c>
      <c r="B1015" s="1" t="n">
        <v>44840</v>
      </c>
      <c r="C1015" s="1" t="n">
        <v>45976</v>
      </c>
      <c r="D1015" t="inlineStr">
        <is>
          <t>JÄMTLANDS LÄN</t>
        </is>
      </c>
      <c r="E1015" t="inlineStr">
        <is>
          <t>BRÄCKE</t>
        </is>
      </c>
      <c r="F1015" t="inlineStr">
        <is>
          <t>SCA</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52723-2023</t>
        </is>
      </c>
      <c r="B1016" s="1" t="n">
        <v>45225</v>
      </c>
      <c r="C1016" s="1" t="n">
        <v>45976</v>
      </c>
      <c r="D1016" t="inlineStr">
        <is>
          <t>JÄMTLANDS LÄN</t>
        </is>
      </c>
      <c r="E1016" t="inlineStr">
        <is>
          <t>BRÄCKE</t>
        </is>
      </c>
      <c r="G1016" t="n">
        <v>9.699999999999999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50257-2025</t>
        </is>
      </c>
      <c r="B1017" s="1" t="n">
        <v>45944.34462962963</v>
      </c>
      <c r="C1017" s="1" t="n">
        <v>45976</v>
      </c>
      <c r="D1017" t="inlineStr">
        <is>
          <t>JÄMTLANDS LÄN</t>
        </is>
      </c>
      <c r="E1017" t="inlineStr">
        <is>
          <t>BRÄCKE</t>
        </is>
      </c>
      <c r="F1017" t="inlineStr">
        <is>
          <t>SCA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50669-2025</t>
        </is>
      </c>
      <c r="B1018" s="1" t="n">
        <v>45945.70633101852</v>
      </c>
      <c r="C1018" s="1" t="n">
        <v>45976</v>
      </c>
      <c r="D1018" t="inlineStr">
        <is>
          <t>JÄMTLANDS LÄN</t>
        </is>
      </c>
      <c r="E1018" t="inlineStr">
        <is>
          <t>BRÄCKE</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45005-2023</t>
        </is>
      </c>
      <c r="B1019" s="1" t="n">
        <v>45190</v>
      </c>
      <c r="C1019" s="1" t="n">
        <v>45976</v>
      </c>
      <c r="D1019" t="inlineStr">
        <is>
          <t>JÄMTLANDS LÄN</t>
        </is>
      </c>
      <c r="E1019" t="inlineStr">
        <is>
          <t>BRÄCKE</t>
        </is>
      </c>
      <c r="F1019" t="inlineStr">
        <is>
          <t>SCA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6399-2021</t>
        </is>
      </c>
      <c r="B1020" s="1" t="n">
        <v>44232</v>
      </c>
      <c r="C1020" s="1" t="n">
        <v>45976</v>
      </c>
      <c r="D1020" t="inlineStr">
        <is>
          <t>JÄMTLANDS LÄN</t>
        </is>
      </c>
      <c r="E1020" t="inlineStr">
        <is>
          <t>BRÄCKE</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50262-2025</t>
        </is>
      </c>
      <c r="B1021" s="1" t="n">
        <v>45944.34542824074</v>
      </c>
      <c r="C1021" s="1" t="n">
        <v>45976</v>
      </c>
      <c r="D1021" t="inlineStr">
        <is>
          <t>JÄMTLANDS LÄN</t>
        </is>
      </c>
      <c r="E1021" t="inlineStr">
        <is>
          <t>BRÄCKE</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41981-2025</t>
        </is>
      </c>
      <c r="B1022" s="1" t="n">
        <v>45903.53172453704</v>
      </c>
      <c r="C1022" s="1" t="n">
        <v>45976</v>
      </c>
      <c r="D1022" t="inlineStr">
        <is>
          <t>JÄMTLANDS LÄN</t>
        </is>
      </c>
      <c r="E1022" t="inlineStr">
        <is>
          <t>BRÄCKE</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50271-2025</t>
        </is>
      </c>
      <c r="B1023" s="1" t="n">
        <v>45944.35690972222</v>
      </c>
      <c r="C1023" s="1" t="n">
        <v>45976</v>
      </c>
      <c r="D1023" t="inlineStr">
        <is>
          <t>JÄMTLANDS LÄN</t>
        </is>
      </c>
      <c r="E1023" t="inlineStr">
        <is>
          <t>BRÄCKE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41547-2025</t>
        </is>
      </c>
      <c r="B1024" s="1" t="n">
        <v>45901.57991898148</v>
      </c>
      <c r="C1024" s="1" t="n">
        <v>45976</v>
      </c>
      <c r="D1024" t="inlineStr">
        <is>
          <t>JÄMTLANDS LÄN</t>
        </is>
      </c>
      <c r="E1024" t="inlineStr">
        <is>
          <t>BRÄCKE</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32961-2022</t>
        </is>
      </c>
      <c r="B1025" s="1" t="n">
        <v>44784.92487268519</v>
      </c>
      <c r="C1025" s="1" t="n">
        <v>45976</v>
      </c>
      <c r="D1025" t="inlineStr">
        <is>
          <t>JÄMTLANDS LÄN</t>
        </is>
      </c>
      <c r="E1025" t="inlineStr">
        <is>
          <t>BRÄCKE</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34807-2024</t>
        </is>
      </c>
      <c r="B1026" s="1" t="n">
        <v>45526.69046296296</v>
      </c>
      <c r="C1026" s="1" t="n">
        <v>45976</v>
      </c>
      <c r="D1026" t="inlineStr">
        <is>
          <t>JÄMTLANDS LÄN</t>
        </is>
      </c>
      <c r="E1026" t="inlineStr">
        <is>
          <t>BRÄCKE</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35424-2023</t>
        </is>
      </c>
      <c r="B1027" s="1" t="n">
        <v>45146.6240625</v>
      </c>
      <c r="C1027" s="1" t="n">
        <v>45976</v>
      </c>
      <c r="D1027" t="inlineStr">
        <is>
          <t>JÄMTLANDS LÄN</t>
        </is>
      </c>
      <c r="E1027" t="inlineStr">
        <is>
          <t>BRÄCKE</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17907-2025</t>
        </is>
      </c>
      <c r="B1028" s="1" t="n">
        <v>45758.73046296297</v>
      </c>
      <c r="C1028" s="1" t="n">
        <v>45976</v>
      </c>
      <c r="D1028" t="inlineStr">
        <is>
          <t>JÄMTLANDS LÄN</t>
        </is>
      </c>
      <c r="E1028" t="inlineStr">
        <is>
          <t>BRÄCKE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39326-2024</t>
        </is>
      </c>
      <c r="B1029" s="1" t="n">
        <v>45551.42741898148</v>
      </c>
      <c r="C1029" s="1" t="n">
        <v>45976</v>
      </c>
      <c r="D1029" t="inlineStr">
        <is>
          <t>JÄMTLANDS LÄN</t>
        </is>
      </c>
      <c r="E1029" t="inlineStr">
        <is>
          <t>BRÄCKE</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50256-2025</t>
        </is>
      </c>
      <c r="B1030" s="1" t="n">
        <v>45944.34435185185</v>
      </c>
      <c r="C1030" s="1" t="n">
        <v>45976</v>
      </c>
      <c r="D1030" t="inlineStr">
        <is>
          <t>JÄMTLANDS LÄN</t>
        </is>
      </c>
      <c r="E1030" t="inlineStr">
        <is>
          <t>BRÄCKE</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50263-2025</t>
        </is>
      </c>
      <c r="B1031" s="1" t="n">
        <v>45944.34545138889</v>
      </c>
      <c r="C1031" s="1" t="n">
        <v>45976</v>
      </c>
      <c r="D1031" t="inlineStr">
        <is>
          <t>JÄMTLANDS LÄN</t>
        </is>
      </c>
      <c r="E1031" t="inlineStr">
        <is>
          <t>BRÄCKE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42131-2025</t>
        </is>
      </c>
      <c r="B1032" s="1" t="n">
        <v>45904.34542824074</v>
      </c>
      <c r="C1032" s="1" t="n">
        <v>45976</v>
      </c>
      <c r="D1032" t="inlineStr">
        <is>
          <t>JÄMTLANDS LÄN</t>
        </is>
      </c>
      <c r="E1032" t="inlineStr">
        <is>
          <t>BRÄCKE</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42132-2025</t>
        </is>
      </c>
      <c r="B1033" s="1" t="n">
        <v>45904.34546296296</v>
      </c>
      <c r="C1033" s="1" t="n">
        <v>45976</v>
      </c>
      <c r="D1033" t="inlineStr">
        <is>
          <t>JÄMTLANDS LÄN</t>
        </is>
      </c>
      <c r="E1033" t="inlineStr">
        <is>
          <t>BRÄCKE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2954-2023</t>
        </is>
      </c>
      <c r="B1034" s="1" t="n">
        <v>44945.62861111111</v>
      </c>
      <c r="C1034" s="1" t="n">
        <v>45976</v>
      </c>
      <c r="D1034" t="inlineStr">
        <is>
          <t>JÄMTLANDS LÄN</t>
        </is>
      </c>
      <c r="E1034" t="inlineStr">
        <is>
          <t>BRÄCKE</t>
        </is>
      </c>
      <c r="F1034" t="inlineStr">
        <is>
          <t>Övriga Aktiebolag</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42507-2025</t>
        </is>
      </c>
      <c r="B1035" s="1" t="n">
        <v>45905.53167824074</v>
      </c>
      <c r="C1035" s="1" t="n">
        <v>45976</v>
      </c>
      <c r="D1035" t="inlineStr">
        <is>
          <t>JÄMTLANDS LÄN</t>
        </is>
      </c>
      <c r="E1035" t="inlineStr">
        <is>
          <t>BRÄCKE</t>
        </is>
      </c>
      <c r="F1035" t="inlineStr">
        <is>
          <t>SCA</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42312-2025</t>
        </is>
      </c>
      <c r="B1036" s="1" t="n">
        <v>45904.65673611111</v>
      </c>
      <c r="C1036" s="1" t="n">
        <v>45976</v>
      </c>
      <c r="D1036" t="inlineStr">
        <is>
          <t>JÄMTLANDS LÄN</t>
        </is>
      </c>
      <c r="E1036" t="inlineStr">
        <is>
          <t>BRÄCKE</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60666-2024</t>
        </is>
      </c>
      <c r="B1037" s="1" t="n">
        <v>45644.44833333333</v>
      </c>
      <c r="C1037" s="1" t="n">
        <v>45976</v>
      </c>
      <c r="D1037" t="inlineStr">
        <is>
          <t>JÄMTLANDS LÄN</t>
        </is>
      </c>
      <c r="E1037" t="inlineStr">
        <is>
          <t>BRÄCKE</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51809-2023</t>
        </is>
      </c>
      <c r="B1038" s="1" t="n">
        <v>45222.96574074074</v>
      </c>
      <c r="C1038" s="1" t="n">
        <v>45976</v>
      </c>
      <c r="D1038" t="inlineStr">
        <is>
          <t>JÄMTLANDS LÄN</t>
        </is>
      </c>
      <c r="E1038" t="inlineStr">
        <is>
          <t>BRÄCKE</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65096-2023</t>
        </is>
      </c>
      <c r="B1039" s="1" t="n">
        <v>45288</v>
      </c>
      <c r="C1039" s="1" t="n">
        <v>45976</v>
      </c>
      <c r="D1039" t="inlineStr">
        <is>
          <t>JÄMTLANDS LÄN</t>
        </is>
      </c>
      <c r="E1039" t="inlineStr">
        <is>
          <t>BRÄCKE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50722-2025</t>
        </is>
      </c>
      <c r="B1040" s="1" t="n">
        <v>45946.34673611111</v>
      </c>
      <c r="C1040" s="1" t="n">
        <v>45976</v>
      </c>
      <c r="D1040" t="inlineStr">
        <is>
          <t>JÄMTLANDS LÄN</t>
        </is>
      </c>
      <c r="E1040" t="inlineStr">
        <is>
          <t>BRÄCKE</t>
        </is>
      </c>
      <c r="F1040" t="inlineStr">
        <is>
          <t>SCA</t>
        </is>
      </c>
      <c r="G1040" t="n">
        <v>22.7</v>
      </c>
      <c r="H1040" t="n">
        <v>0</v>
      </c>
      <c r="I1040" t="n">
        <v>0</v>
      </c>
      <c r="J1040" t="n">
        <v>0</v>
      </c>
      <c r="K1040" t="n">
        <v>0</v>
      </c>
      <c r="L1040" t="n">
        <v>0</v>
      </c>
      <c r="M1040" t="n">
        <v>0</v>
      </c>
      <c r="N1040" t="n">
        <v>0</v>
      </c>
      <c r="O1040" t="n">
        <v>0</v>
      </c>
      <c r="P1040" t="n">
        <v>0</v>
      </c>
      <c r="Q1040" t="n">
        <v>0</v>
      </c>
      <c r="R1040" s="2" t="inlineStr"/>
    </row>
    <row r="1041" ht="15" customHeight="1">
      <c r="A1041" t="inlineStr">
        <is>
          <t>A 51204-2025</t>
        </is>
      </c>
      <c r="B1041" s="1" t="n">
        <v>45947.63607638889</v>
      </c>
      <c r="C1041" s="1" t="n">
        <v>45976</v>
      </c>
      <c r="D1041" t="inlineStr">
        <is>
          <t>JÄMTLANDS LÄN</t>
        </is>
      </c>
      <c r="E1041" t="inlineStr">
        <is>
          <t>BRÄCKE</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20760-2024</t>
        </is>
      </c>
      <c r="B1042" s="1" t="n">
        <v>45436.92543981481</v>
      </c>
      <c r="C1042" s="1" t="n">
        <v>45976</v>
      </c>
      <c r="D1042" t="inlineStr">
        <is>
          <t>JÄMTLANDS LÄN</t>
        </is>
      </c>
      <c r="E1042" t="inlineStr">
        <is>
          <t>BRÄCKE</t>
        </is>
      </c>
      <c r="G1042" t="n">
        <v>10.9</v>
      </c>
      <c r="H1042" t="n">
        <v>0</v>
      </c>
      <c r="I1042" t="n">
        <v>0</v>
      </c>
      <c r="J1042" t="n">
        <v>0</v>
      </c>
      <c r="K1042" t="n">
        <v>0</v>
      </c>
      <c r="L1042" t="n">
        <v>0</v>
      </c>
      <c r="M1042" t="n">
        <v>0</v>
      </c>
      <c r="N1042" t="n">
        <v>0</v>
      </c>
      <c r="O1042" t="n">
        <v>0</v>
      </c>
      <c r="P1042" t="n">
        <v>0</v>
      </c>
      <c r="Q1042" t="n">
        <v>0</v>
      </c>
      <c r="R1042" s="2" t="inlineStr"/>
    </row>
    <row r="1043" ht="15" customHeight="1">
      <c r="A1043" t="inlineStr">
        <is>
          <t>A 42380-2025</t>
        </is>
      </c>
      <c r="B1043" s="1" t="n">
        <v>45905.34456018519</v>
      </c>
      <c r="C1043" s="1" t="n">
        <v>45976</v>
      </c>
      <c r="D1043" t="inlineStr">
        <is>
          <t>JÄMTLANDS LÄN</t>
        </is>
      </c>
      <c r="E1043" t="inlineStr">
        <is>
          <t>BRÄCKE</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20625-2023</t>
        </is>
      </c>
      <c r="B1044" s="1" t="n">
        <v>45057.94351851852</v>
      </c>
      <c r="C1044" s="1" t="n">
        <v>45976</v>
      </c>
      <c r="D1044" t="inlineStr">
        <is>
          <t>JÄMTLANDS LÄN</t>
        </is>
      </c>
      <c r="E1044" t="inlineStr">
        <is>
          <t>BRÄCKE</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42590-2025</t>
        </is>
      </c>
      <c r="B1045" s="1" t="n">
        <v>45905.63607638889</v>
      </c>
      <c r="C1045" s="1" t="n">
        <v>45976</v>
      </c>
      <c r="D1045" t="inlineStr">
        <is>
          <t>JÄMTLANDS LÄN</t>
        </is>
      </c>
      <c r="E1045" t="inlineStr">
        <is>
          <t>BRÄCKE</t>
        </is>
      </c>
      <c r="F1045" t="inlineStr">
        <is>
          <t>SCA</t>
        </is>
      </c>
      <c r="G1045" t="n">
        <v>24.2</v>
      </c>
      <c r="H1045" t="n">
        <v>0</v>
      </c>
      <c r="I1045" t="n">
        <v>0</v>
      </c>
      <c r="J1045" t="n">
        <v>0</v>
      </c>
      <c r="K1045" t="n">
        <v>0</v>
      </c>
      <c r="L1045" t="n">
        <v>0</v>
      </c>
      <c r="M1045" t="n">
        <v>0</v>
      </c>
      <c r="N1045" t="n">
        <v>0</v>
      </c>
      <c r="O1045" t="n">
        <v>0</v>
      </c>
      <c r="P1045" t="n">
        <v>0</v>
      </c>
      <c r="Q1045" t="n">
        <v>0</v>
      </c>
      <c r="R1045" s="2" t="inlineStr"/>
    </row>
    <row r="1046" ht="15" customHeight="1">
      <c r="A1046" t="inlineStr">
        <is>
          <t>A 67612-2020</t>
        </is>
      </c>
      <c r="B1046" s="1" t="n">
        <v>44181</v>
      </c>
      <c r="C1046" s="1" t="n">
        <v>45976</v>
      </c>
      <c r="D1046" t="inlineStr">
        <is>
          <t>JÄMTLANDS LÄN</t>
        </is>
      </c>
      <c r="E1046" t="inlineStr">
        <is>
          <t>BRÄCKE</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9996-2025</t>
        </is>
      </c>
      <c r="B1047" s="1" t="n">
        <v>45719.44133101852</v>
      </c>
      <c r="C1047" s="1" t="n">
        <v>45976</v>
      </c>
      <c r="D1047" t="inlineStr">
        <is>
          <t>JÄMTLANDS LÄN</t>
        </is>
      </c>
      <c r="E1047" t="inlineStr">
        <is>
          <t>BRÄCKE</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1863-2022</t>
        </is>
      </c>
      <c r="B1048" s="1" t="n">
        <v>44574</v>
      </c>
      <c r="C1048" s="1" t="n">
        <v>45976</v>
      </c>
      <c r="D1048" t="inlineStr">
        <is>
          <t>JÄMTLANDS LÄN</t>
        </is>
      </c>
      <c r="E1048" t="inlineStr">
        <is>
          <t>BRÄCKE</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1865-2022</t>
        </is>
      </c>
      <c r="B1049" s="1" t="n">
        <v>44574</v>
      </c>
      <c r="C1049" s="1" t="n">
        <v>45976</v>
      </c>
      <c r="D1049" t="inlineStr">
        <is>
          <t>JÄMTLANDS LÄN</t>
        </is>
      </c>
      <c r="E1049" t="inlineStr">
        <is>
          <t>BRÄCKE</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12722-2025</t>
        </is>
      </c>
      <c r="B1050" s="1" t="n">
        <v>45733.48998842593</v>
      </c>
      <c r="C1050" s="1" t="n">
        <v>45976</v>
      </c>
      <c r="D1050" t="inlineStr">
        <is>
          <t>JÄMTLANDS LÄN</t>
        </is>
      </c>
      <c r="E1050" t="inlineStr">
        <is>
          <t>BRÄCKE</t>
        </is>
      </c>
      <c r="F1050" t="inlineStr">
        <is>
          <t>SCA</t>
        </is>
      </c>
      <c r="G1050" t="n">
        <v>10.3</v>
      </c>
      <c r="H1050" t="n">
        <v>0</v>
      </c>
      <c r="I1050" t="n">
        <v>0</v>
      </c>
      <c r="J1050" t="n">
        <v>0</v>
      </c>
      <c r="K1050" t="n">
        <v>0</v>
      </c>
      <c r="L1050" t="n">
        <v>0</v>
      </c>
      <c r="M1050" t="n">
        <v>0</v>
      </c>
      <c r="N1050" t="n">
        <v>0</v>
      </c>
      <c r="O1050" t="n">
        <v>0</v>
      </c>
      <c r="P1050" t="n">
        <v>0</v>
      </c>
      <c r="Q1050" t="n">
        <v>0</v>
      </c>
      <c r="R1050" s="2" t="inlineStr"/>
    </row>
    <row r="1051" ht="15" customHeight="1">
      <c r="A1051" t="inlineStr">
        <is>
          <t>A 7756-2025</t>
        </is>
      </c>
      <c r="B1051" s="1" t="n">
        <v>45706.51079861111</v>
      </c>
      <c r="C1051" s="1" t="n">
        <v>45976</v>
      </c>
      <c r="D1051" t="inlineStr">
        <is>
          <t>JÄMTLANDS LÄN</t>
        </is>
      </c>
      <c r="E1051" t="inlineStr">
        <is>
          <t>BRÄCKE</t>
        </is>
      </c>
      <c r="F1051" t="inlineStr">
        <is>
          <t>SCA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7757-2025</t>
        </is>
      </c>
      <c r="B1052" s="1" t="n">
        <v>45706.51085648148</v>
      </c>
      <c r="C1052" s="1" t="n">
        <v>45976</v>
      </c>
      <c r="D1052" t="inlineStr">
        <is>
          <t>JÄMTLANDS LÄN</t>
        </is>
      </c>
      <c r="E1052" t="inlineStr">
        <is>
          <t>BRÄCKE</t>
        </is>
      </c>
      <c r="F1052" t="inlineStr">
        <is>
          <t>SCA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51558-2022</t>
        </is>
      </c>
      <c r="B1053" s="1" t="n">
        <v>44869.9497337963</v>
      </c>
      <c r="C1053" s="1" t="n">
        <v>45976</v>
      </c>
      <c r="D1053" t="inlineStr">
        <is>
          <t>JÄMTLANDS LÄN</t>
        </is>
      </c>
      <c r="E1053" t="inlineStr">
        <is>
          <t>BRÄCKE</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30685-2023</t>
        </is>
      </c>
      <c r="B1054" s="1" t="n">
        <v>45112.56471064815</v>
      </c>
      <c r="C1054" s="1" t="n">
        <v>45976</v>
      </c>
      <c r="D1054" t="inlineStr">
        <is>
          <t>JÄMTLANDS LÄN</t>
        </is>
      </c>
      <c r="E1054" t="inlineStr">
        <is>
          <t>BRÄCKE</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36549-2024</t>
        </is>
      </c>
      <c r="B1055" s="1" t="n">
        <v>45537.46791666667</v>
      </c>
      <c r="C1055" s="1" t="n">
        <v>45976</v>
      </c>
      <c r="D1055" t="inlineStr">
        <is>
          <t>JÄMTLANDS LÄN</t>
        </is>
      </c>
      <c r="E1055" t="inlineStr">
        <is>
          <t>BRÄCKE</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39004-2023</t>
        </is>
      </c>
      <c r="B1056" s="1" t="n">
        <v>45162</v>
      </c>
      <c r="C1056" s="1" t="n">
        <v>45976</v>
      </c>
      <c r="D1056" t="inlineStr">
        <is>
          <t>JÄMTLANDS LÄN</t>
        </is>
      </c>
      <c r="E1056" t="inlineStr">
        <is>
          <t>BRÄCKE</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5482-2025</t>
        </is>
      </c>
      <c r="B1057" s="1" t="n">
        <v>45693.34427083333</v>
      </c>
      <c r="C1057" s="1" t="n">
        <v>45976</v>
      </c>
      <c r="D1057" t="inlineStr">
        <is>
          <t>JÄMTLANDS LÄN</t>
        </is>
      </c>
      <c r="E1057" t="inlineStr">
        <is>
          <t>BRÄCKE</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42123-2025</t>
        </is>
      </c>
      <c r="B1058" s="1" t="n">
        <v>45904.34429398148</v>
      </c>
      <c r="C1058" s="1" t="n">
        <v>45976</v>
      </c>
      <c r="D1058" t="inlineStr">
        <is>
          <t>JÄMTLANDS LÄN</t>
        </is>
      </c>
      <c r="E1058" t="inlineStr">
        <is>
          <t>BRÄCKE</t>
        </is>
      </c>
      <c r="F1058" t="inlineStr">
        <is>
          <t>SCA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14266-2025</t>
        </is>
      </c>
      <c r="B1059" s="1" t="n">
        <v>45740.63572916666</v>
      </c>
      <c r="C1059" s="1" t="n">
        <v>45976</v>
      </c>
      <c r="D1059" t="inlineStr">
        <is>
          <t>JÄMTLANDS LÄN</t>
        </is>
      </c>
      <c r="E1059" t="inlineStr">
        <is>
          <t>BRÄCKE</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42379-2025</t>
        </is>
      </c>
      <c r="B1060" s="1" t="n">
        <v>45905.34443287037</v>
      </c>
      <c r="C1060" s="1" t="n">
        <v>45976</v>
      </c>
      <c r="D1060" t="inlineStr">
        <is>
          <t>JÄMTLANDS LÄN</t>
        </is>
      </c>
      <c r="E1060" t="inlineStr">
        <is>
          <t>BRÄCKE</t>
        </is>
      </c>
      <c r="F1060" t="inlineStr">
        <is>
          <t>SCA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14474-2025</t>
        </is>
      </c>
      <c r="B1061" s="1" t="n">
        <v>45741.57782407408</v>
      </c>
      <c r="C1061" s="1" t="n">
        <v>45976</v>
      </c>
      <c r="D1061" t="inlineStr">
        <is>
          <t>JÄMTLANDS LÄN</t>
        </is>
      </c>
      <c r="E1061" t="inlineStr">
        <is>
          <t>BRÄCKE</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40791-2024</t>
        </is>
      </c>
      <c r="B1062" s="1" t="n">
        <v>45558.50222222223</v>
      </c>
      <c r="C1062" s="1" t="n">
        <v>45976</v>
      </c>
      <c r="D1062" t="inlineStr">
        <is>
          <t>JÄMTLANDS LÄN</t>
        </is>
      </c>
      <c r="E1062" t="inlineStr">
        <is>
          <t>BRÄCKE</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51205-2025</t>
        </is>
      </c>
      <c r="B1063" s="1" t="n">
        <v>45947.63615740741</v>
      </c>
      <c r="C1063" s="1" t="n">
        <v>45976</v>
      </c>
      <c r="D1063" t="inlineStr">
        <is>
          <t>JÄMTLANDS LÄN</t>
        </is>
      </c>
      <c r="E1063" t="inlineStr">
        <is>
          <t>BRÄCKE</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42270-2025</t>
        </is>
      </c>
      <c r="B1064" s="1" t="n">
        <v>45904.60445601852</v>
      </c>
      <c r="C1064" s="1" t="n">
        <v>45976</v>
      </c>
      <c r="D1064" t="inlineStr">
        <is>
          <t>JÄMTLANDS LÄN</t>
        </is>
      </c>
      <c r="E1064" t="inlineStr">
        <is>
          <t>BRÄCKE</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42280-2025</t>
        </is>
      </c>
      <c r="B1065" s="1" t="n">
        <v>45904.61605324074</v>
      </c>
      <c r="C1065" s="1" t="n">
        <v>45976</v>
      </c>
      <c r="D1065" t="inlineStr">
        <is>
          <t>JÄMTLANDS LÄN</t>
        </is>
      </c>
      <c r="E1065" t="inlineStr">
        <is>
          <t>BRÄCKE</t>
        </is>
      </c>
      <c r="F1065" t="inlineStr">
        <is>
          <t>SCA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5167-2025</t>
        </is>
      </c>
      <c r="B1066" s="1" t="n">
        <v>45691.61539351852</v>
      </c>
      <c r="C1066" s="1" t="n">
        <v>45976</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42128-2025</t>
        </is>
      </c>
      <c r="B1067" s="1" t="n">
        <v>45904.34517361111</v>
      </c>
      <c r="C1067" s="1" t="n">
        <v>45976</v>
      </c>
      <c r="D1067" t="inlineStr">
        <is>
          <t>JÄMTLANDS LÄN</t>
        </is>
      </c>
      <c r="E1067" t="inlineStr">
        <is>
          <t>BRÄCKE</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42130-2025</t>
        </is>
      </c>
      <c r="B1068" s="1" t="n">
        <v>45904.34540509259</v>
      </c>
      <c r="C1068" s="1" t="n">
        <v>45976</v>
      </c>
      <c r="D1068" t="inlineStr">
        <is>
          <t>JÄMTLANDS LÄN</t>
        </is>
      </c>
      <c r="E1068" t="inlineStr">
        <is>
          <t>BRÄCKE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42435-2025</t>
        </is>
      </c>
      <c r="B1069" s="1" t="n">
        <v>45905.42763888889</v>
      </c>
      <c r="C1069" s="1" t="n">
        <v>45976</v>
      </c>
      <c r="D1069" t="inlineStr">
        <is>
          <t>JÄMTLANDS LÄN</t>
        </is>
      </c>
      <c r="E1069" t="inlineStr">
        <is>
          <t>BRÄCKE</t>
        </is>
      </c>
      <c r="F1069" t="inlineStr">
        <is>
          <t>SCA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42732-2025</t>
        </is>
      </c>
      <c r="B1070" s="1" t="n">
        <v>45908.40704861111</v>
      </c>
      <c r="C1070" s="1" t="n">
        <v>45976</v>
      </c>
      <c r="D1070" t="inlineStr">
        <is>
          <t>JÄMTLANDS LÄN</t>
        </is>
      </c>
      <c r="E1070" t="inlineStr">
        <is>
          <t>BRÄCKE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57623-2024</t>
        </is>
      </c>
      <c r="B1071" s="1" t="n">
        <v>45630.55260416667</v>
      </c>
      <c r="C1071" s="1" t="n">
        <v>45976</v>
      </c>
      <c r="D1071" t="inlineStr">
        <is>
          <t>JÄMTLANDS LÄN</t>
        </is>
      </c>
      <c r="E1071" t="inlineStr">
        <is>
          <t>BRÄCKE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51574-2025</t>
        </is>
      </c>
      <c r="B1072" s="1" t="n">
        <v>45951.34423611111</v>
      </c>
      <c r="C1072" s="1" t="n">
        <v>45976</v>
      </c>
      <c r="D1072" t="inlineStr">
        <is>
          <t>JÄMTLANDS LÄN</t>
        </is>
      </c>
      <c r="E1072" t="inlineStr">
        <is>
          <t>BRÄCKE</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56640-2021</t>
        </is>
      </c>
      <c r="B1073" s="1" t="n">
        <v>44480</v>
      </c>
      <c r="C1073" s="1" t="n">
        <v>45976</v>
      </c>
      <c r="D1073" t="inlineStr">
        <is>
          <t>JÄMTLANDS LÄN</t>
        </is>
      </c>
      <c r="E1073" t="inlineStr">
        <is>
          <t>BRÄCKE</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51452-2025</t>
        </is>
      </c>
      <c r="B1074" s="1" t="n">
        <v>45950.59430555555</v>
      </c>
      <c r="C1074" s="1" t="n">
        <v>45976</v>
      </c>
      <c r="D1074" t="inlineStr">
        <is>
          <t>JÄMTLANDS LÄN</t>
        </is>
      </c>
      <c r="E1074" t="inlineStr">
        <is>
          <t>BRÄCKE</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48416-2024</t>
        </is>
      </c>
      <c r="B1075" s="1" t="n">
        <v>45590.64153935185</v>
      </c>
      <c r="C1075" s="1" t="n">
        <v>45976</v>
      </c>
      <c r="D1075" t="inlineStr">
        <is>
          <t>JÄMTLANDS LÄN</t>
        </is>
      </c>
      <c r="E1075" t="inlineStr">
        <is>
          <t>BRÄCKE</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51777-2025</t>
        </is>
      </c>
      <c r="B1076" s="1" t="n">
        <v>45951.65680555555</v>
      </c>
      <c r="C1076" s="1" t="n">
        <v>45976</v>
      </c>
      <c r="D1076" t="inlineStr">
        <is>
          <t>JÄMTLANDS LÄN</t>
        </is>
      </c>
      <c r="E1076" t="inlineStr">
        <is>
          <t>BRÄCKE</t>
        </is>
      </c>
      <c r="F1076" t="inlineStr">
        <is>
          <t>SCA</t>
        </is>
      </c>
      <c r="G1076" t="n">
        <v>12.9</v>
      </c>
      <c r="H1076" t="n">
        <v>0</v>
      </c>
      <c r="I1076" t="n">
        <v>0</v>
      </c>
      <c r="J1076" t="n">
        <v>0</v>
      </c>
      <c r="K1076" t="n">
        <v>0</v>
      </c>
      <c r="L1076" t="n">
        <v>0</v>
      </c>
      <c r="M1076" t="n">
        <v>0</v>
      </c>
      <c r="N1076" t="n">
        <v>0</v>
      </c>
      <c r="O1076" t="n">
        <v>0</v>
      </c>
      <c r="P1076" t="n">
        <v>0</v>
      </c>
      <c r="Q1076" t="n">
        <v>0</v>
      </c>
      <c r="R1076" s="2" t="inlineStr"/>
    </row>
    <row r="1077" ht="15" customHeight="1">
      <c r="A1077" t="inlineStr">
        <is>
          <t>A 51625-2025</t>
        </is>
      </c>
      <c r="B1077" s="1" t="n">
        <v>45951.41704861111</v>
      </c>
      <c r="C1077" s="1" t="n">
        <v>45976</v>
      </c>
      <c r="D1077" t="inlineStr">
        <is>
          <t>JÄMTLANDS LÄN</t>
        </is>
      </c>
      <c r="E1077" t="inlineStr">
        <is>
          <t>BRÄCKE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43910-2023</t>
        </is>
      </c>
      <c r="B1078" s="1" t="n">
        <v>45182</v>
      </c>
      <c r="C1078" s="1" t="n">
        <v>45976</v>
      </c>
      <c r="D1078" t="inlineStr">
        <is>
          <t>JÄMTLANDS LÄN</t>
        </is>
      </c>
      <c r="E1078" t="inlineStr">
        <is>
          <t>BRÄCKE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5536-2025</t>
        </is>
      </c>
      <c r="B1079" s="1" t="n">
        <v>45693.44846064815</v>
      </c>
      <c r="C1079" s="1" t="n">
        <v>45976</v>
      </c>
      <c r="D1079" t="inlineStr">
        <is>
          <t>JÄMTLANDS LÄN</t>
        </is>
      </c>
      <c r="E1079" t="inlineStr">
        <is>
          <t>BRÄCKE</t>
        </is>
      </c>
      <c r="F1079" t="inlineStr">
        <is>
          <t>SCA</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5537-2025</t>
        </is>
      </c>
      <c r="B1080" s="1" t="n">
        <v>45693.44858796296</v>
      </c>
      <c r="C1080" s="1" t="n">
        <v>45976</v>
      </c>
      <c r="D1080" t="inlineStr">
        <is>
          <t>JÄMTLANDS LÄN</t>
        </is>
      </c>
      <c r="E1080" t="inlineStr">
        <is>
          <t>BRÄCKE</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14868-2021</t>
        </is>
      </c>
      <c r="B1081" s="1" t="n">
        <v>44280</v>
      </c>
      <c r="C1081" s="1" t="n">
        <v>45976</v>
      </c>
      <c r="D1081" t="inlineStr">
        <is>
          <t>JÄMTLANDS LÄN</t>
        </is>
      </c>
      <c r="E1081" t="inlineStr">
        <is>
          <t>BRÄCKE</t>
        </is>
      </c>
      <c r="F1081" t="inlineStr">
        <is>
          <t>SCA</t>
        </is>
      </c>
      <c r="G1081" t="n">
        <v>10.8</v>
      </c>
      <c r="H1081" t="n">
        <v>0</v>
      </c>
      <c r="I1081" t="n">
        <v>0</v>
      </c>
      <c r="J1081" t="n">
        <v>0</v>
      </c>
      <c r="K1081" t="n">
        <v>0</v>
      </c>
      <c r="L1081" t="n">
        <v>0</v>
      </c>
      <c r="M1081" t="n">
        <v>0</v>
      </c>
      <c r="N1081" t="n">
        <v>0</v>
      </c>
      <c r="O1081" t="n">
        <v>0</v>
      </c>
      <c r="P1081" t="n">
        <v>0</v>
      </c>
      <c r="Q1081" t="n">
        <v>0</v>
      </c>
      <c r="R1081" s="2" t="inlineStr"/>
    </row>
    <row r="1082" ht="15" customHeight="1">
      <c r="A1082" t="inlineStr">
        <is>
          <t>A 42784-2025</t>
        </is>
      </c>
      <c r="B1082" s="1" t="n">
        <v>45908.51035879629</v>
      </c>
      <c r="C1082" s="1" t="n">
        <v>45976</v>
      </c>
      <c r="D1082" t="inlineStr">
        <is>
          <t>JÄMTLANDS LÄN</t>
        </is>
      </c>
      <c r="E1082" t="inlineStr">
        <is>
          <t>BRÄCKE</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51614-2025</t>
        </is>
      </c>
      <c r="B1083" s="1" t="n">
        <v>45951.40204861111</v>
      </c>
      <c r="C1083" s="1" t="n">
        <v>45976</v>
      </c>
      <c r="D1083" t="inlineStr">
        <is>
          <t>JÄMTLANDS LÄN</t>
        </is>
      </c>
      <c r="E1083" t="inlineStr">
        <is>
          <t>BRÄCKE</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51616-2025</t>
        </is>
      </c>
      <c r="B1084" s="1" t="n">
        <v>45951.40637731482</v>
      </c>
      <c r="C1084" s="1" t="n">
        <v>45976</v>
      </c>
      <c r="D1084" t="inlineStr">
        <is>
          <t>JÄMTLANDS LÄN</t>
        </is>
      </c>
      <c r="E1084" t="inlineStr">
        <is>
          <t>BRÄCKE</t>
        </is>
      </c>
      <c r="G1084" t="n">
        <v>18.9</v>
      </c>
      <c r="H1084" t="n">
        <v>0</v>
      </c>
      <c r="I1084" t="n">
        <v>0</v>
      </c>
      <c r="J1084" t="n">
        <v>0</v>
      </c>
      <c r="K1084" t="n">
        <v>0</v>
      </c>
      <c r="L1084" t="n">
        <v>0</v>
      </c>
      <c r="M1084" t="n">
        <v>0</v>
      </c>
      <c r="N1084" t="n">
        <v>0</v>
      </c>
      <c r="O1084" t="n">
        <v>0</v>
      </c>
      <c r="P1084" t="n">
        <v>0</v>
      </c>
      <c r="Q1084" t="n">
        <v>0</v>
      </c>
      <c r="R1084" s="2" t="inlineStr"/>
    </row>
    <row r="1085" ht="15" customHeight="1">
      <c r="A1085" t="inlineStr">
        <is>
          <t>A 33538-2021</t>
        </is>
      </c>
      <c r="B1085" s="1" t="n">
        <v>44377</v>
      </c>
      <c r="C1085" s="1" t="n">
        <v>45976</v>
      </c>
      <c r="D1085" t="inlineStr">
        <is>
          <t>JÄMTLANDS LÄN</t>
        </is>
      </c>
      <c r="E1085" t="inlineStr">
        <is>
          <t>BRÄCKE</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42936-2025</t>
        </is>
      </c>
      <c r="B1086" s="1" t="n">
        <v>45909.32590277777</v>
      </c>
      <c r="C1086" s="1" t="n">
        <v>45976</v>
      </c>
      <c r="D1086" t="inlineStr">
        <is>
          <t>JÄMTLANDS LÄN</t>
        </is>
      </c>
      <c r="E1086" t="inlineStr">
        <is>
          <t>BRÄCKE</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43022-2025</t>
        </is>
      </c>
      <c r="B1087" s="1" t="n">
        <v>45909.51016203704</v>
      </c>
      <c r="C1087" s="1" t="n">
        <v>45976</v>
      </c>
      <c r="D1087" t="inlineStr">
        <is>
          <t>JÄMTLANDS LÄN</t>
        </is>
      </c>
      <c r="E1087" t="inlineStr">
        <is>
          <t>BRÄCKE</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57420-2023</t>
        </is>
      </c>
      <c r="B1088" s="1" t="n">
        <v>45245.96990740741</v>
      </c>
      <c r="C1088" s="1" t="n">
        <v>45976</v>
      </c>
      <c r="D1088" t="inlineStr">
        <is>
          <t>JÄMTLANDS LÄN</t>
        </is>
      </c>
      <c r="E1088" t="inlineStr">
        <is>
          <t>BRÄCKE</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51619-2025</t>
        </is>
      </c>
      <c r="B1089" s="1" t="n">
        <v>45951.41025462963</v>
      </c>
      <c r="C1089" s="1" t="n">
        <v>45976</v>
      </c>
      <c r="D1089" t="inlineStr">
        <is>
          <t>JÄMTLANDS LÄN</t>
        </is>
      </c>
      <c r="E1089" t="inlineStr">
        <is>
          <t>BRÄCKE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27280-2024</t>
        </is>
      </c>
      <c r="B1090" s="1" t="n">
        <v>45471.92576388889</v>
      </c>
      <c r="C1090" s="1" t="n">
        <v>45976</v>
      </c>
      <c r="D1090" t="inlineStr">
        <is>
          <t>JÄMTLANDS LÄN</t>
        </is>
      </c>
      <c r="E1090" t="inlineStr">
        <is>
          <t>BRÄCKE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59650-2024</t>
        </is>
      </c>
      <c r="B1091" s="1" t="n">
        <v>45639.34488425926</v>
      </c>
      <c r="C1091" s="1" t="n">
        <v>45976</v>
      </c>
      <c r="D1091" t="inlineStr">
        <is>
          <t>JÄMTLANDS LÄN</t>
        </is>
      </c>
      <c r="E1091" t="inlineStr">
        <is>
          <t>BRÄCKE</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51620-2025</t>
        </is>
      </c>
      <c r="B1092" s="1" t="n">
        <v>45951.4128125</v>
      </c>
      <c r="C1092" s="1" t="n">
        <v>45976</v>
      </c>
      <c r="D1092" t="inlineStr">
        <is>
          <t>JÄMTLANDS LÄN</t>
        </is>
      </c>
      <c r="E1092" t="inlineStr">
        <is>
          <t>BRÄCKE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46798-2023</t>
        </is>
      </c>
      <c r="B1093" s="1" t="n">
        <v>45198</v>
      </c>
      <c r="C1093" s="1" t="n">
        <v>45976</v>
      </c>
      <c r="D1093" t="inlineStr">
        <is>
          <t>JÄMTLANDS LÄN</t>
        </is>
      </c>
      <c r="E1093" t="inlineStr">
        <is>
          <t>BRÄCKE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2179-2025</t>
        </is>
      </c>
      <c r="B1094" s="1" t="n">
        <v>45673.34421296296</v>
      </c>
      <c r="C1094" s="1" t="n">
        <v>45976</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55478-2024</t>
        </is>
      </c>
      <c r="B1095" s="1" t="n">
        <v>45622.43795138889</v>
      </c>
      <c r="C1095" s="1" t="n">
        <v>45976</v>
      </c>
      <c r="D1095" t="inlineStr">
        <is>
          <t>JÄMTLANDS LÄN</t>
        </is>
      </c>
      <c r="E1095" t="inlineStr">
        <is>
          <t>BRÄCKE</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3840-2024</t>
        </is>
      </c>
      <c r="B1096" s="1" t="n">
        <v>45321.94605324074</v>
      </c>
      <c r="C1096" s="1" t="n">
        <v>45976</v>
      </c>
      <c r="D1096" t="inlineStr">
        <is>
          <t>JÄMTLANDS LÄN</t>
        </is>
      </c>
      <c r="E1096" t="inlineStr">
        <is>
          <t>BRÄCKE</t>
        </is>
      </c>
      <c r="F1096" t="inlineStr">
        <is>
          <t>SCA</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45414-2024</t>
        </is>
      </c>
      <c r="B1097" s="1" t="n">
        <v>45576.5943287037</v>
      </c>
      <c r="C1097" s="1" t="n">
        <v>45976</v>
      </c>
      <c r="D1097" t="inlineStr">
        <is>
          <t>JÄMTLANDS LÄN</t>
        </is>
      </c>
      <c r="E1097" t="inlineStr">
        <is>
          <t>BRÄCKE</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21086-2024</t>
        </is>
      </c>
      <c r="B1098" s="1" t="n">
        <v>45439.92791666667</v>
      </c>
      <c r="C1098" s="1" t="n">
        <v>45976</v>
      </c>
      <c r="D1098" t="inlineStr">
        <is>
          <t>JÄMTLANDS LÄN</t>
        </is>
      </c>
      <c r="E1098" t="inlineStr">
        <is>
          <t>BRÄCKE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54789-2023</t>
        </is>
      </c>
      <c r="B1099" s="1" t="n">
        <v>45236.48659722223</v>
      </c>
      <c r="C1099" s="1" t="n">
        <v>45976</v>
      </c>
      <c r="D1099" t="inlineStr">
        <is>
          <t>JÄMTLANDS LÄN</t>
        </is>
      </c>
      <c r="E1099" t="inlineStr">
        <is>
          <t>BRÄCKE</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11550-2023</t>
        </is>
      </c>
      <c r="B1100" s="1" t="n">
        <v>44993</v>
      </c>
      <c r="C1100" s="1" t="n">
        <v>45976</v>
      </c>
      <c r="D1100" t="inlineStr">
        <is>
          <t>JÄMTLANDS LÄN</t>
        </is>
      </c>
      <c r="E1100" t="inlineStr">
        <is>
          <t>BRÄCKE</t>
        </is>
      </c>
      <c r="F1100" t="inlineStr">
        <is>
          <t>SCA</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51612-2025</t>
        </is>
      </c>
      <c r="B1101" s="1" t="n">
        <v>45951.39751157408</v>
      </c>
      <c r="C1101" s="1" t="n">
        <v>45976</v>
      </c>
      <c r="D1101" t="inlineStr">
        <is>
          <t>JÄMTLANDS LÄN</t>
        </is>
      </c>
      <c r="E1101" t="inlineStr">
        <is>
          <t>BRÄCKE</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51623-2025</t>
        </is>
      </c>
      <c r="B1102" s="1" t="n">
        <v>45951.41578703704</v>
      </c>
      <c r="C1102" s="1" t="n">
        <v>45976</v>
      </c>
      <c r="D1102" t="inlineStr">
        <is>
          <t>JÄMTLANDS LÄN</t>
        </is>
      </c>
      <c r="E1102" t="inlineStr">
        <is>
          <t>BRÄCKE</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42933-2025</t>
        </is>
      </c>
      <c r="B1103" s="1" t="n">
        <v>45909.32215277778</v>
      </c>
      <c r="C1103" s="1" t="n">
        <v>45976</v>
      </c>
      <c r="D1103" t="inlineStr">
        <is>
          <t>JÄMTLANDS LÄN</t>
        </is>
      </c>
      <c r="E1103" t="inlineStr">
        <is>
          <t>BRÄCKE</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14838-2025</t>
        </is>
      </c>
      <c r="B1104" s="1" t="n">
        <v>45743.38582175926</v>
      </c>
      <c r="C1104" s="1" t="n">
        <v>45976</v>
      </c>
      <c r="D1104" t="inlineStr">
        <is>
          <t>JÄMTLANDS LÄN</t>
        </is>
      </c>
      <c r="E1104" t="inlineStr">
        <is>
          <t>BRÄCKE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1080-2025</t>
        </is>
      </c>
      <c r="B1105" s="1" t="n">
        <v>45666.61513888889</v>
      </c>
      <c r="C1105" s="1" t="n">
        <v>45976</v>
      </c>
      <c r="D1105" t="inlineStr">
        <is>
          <t>JÄMTLANDS LÄN</t>
        </is>
      </c>
      <c r="E1105" t="inlineStr">
        <is>
          <t>BRÄCKE</t>
        </is>
      </c>
      <c r="F1105" t="inlineStr">
        <is>
          <t>SCA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57417-2023</t>
        </is>
      </c>
      <c r="B1106" s="1" t="n">
        <v>45245.96966435185</v>
      </c>
      <c r="C1106" s="1" t="n">
        <v>45976</v>
      </c>
      <c r="D1106" t="inlineStr">
        <is>
          <t>JÄMTLANDS LÄN</t>
        </is>
      </c>
      <c r="E1106" t="inlineStr">
        <is>
          <t>BRÄCKE</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10103-2025</t>
        </is>
      </c>
      <c r="B1107" s="1" t="n">
        <v>45719.57978009259</v>
      </c>
      <c r="C1107" s="1" t="n">
        <v>45976</v>
      </c>
      <c r="D1107" t="inlineStr">
        <is>
          <t>JÄMTLANDS LÄN</t>
        </is>
      </c>
      <c r="E1107" t="inlineStr">
        <is>
          <t>BRÄCKE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42659-2025</t>
        </is>
      </c>
      <c r="B1108" s="1" t="n">
        <v>45907.56715277778</v>
      </c>
      <c r="C1108" s="1" t="n">
        <v>45976</v>
      </c>
      <c r="D1108" t="inlineStr">
        <is>
          <t>JÄMTLANDS LÄN</t>
        </is>
      </c>
      <c r="E1108" t="inlineStr">
        <is>
          <t>BRÄCKE</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59405-2022</t>
        </is>
      </c>
      <c r="B1109" s="1" t="n">
        <v>44906</v>
      </c>
      <c r="C1109" s="1" t="n">
        <v>45976</v>
      </c>
      <c r="D1109" t="inlineStr">
        <is>
          <t>JÄMTLANDS LÄN</t>
        </is>
      </c>
      <c r="E1109" t="inlineStr">
        <is>
          <t>BRÄCKE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57096-2024</t>
        </is>
      </c>
      <c r="B1110" s="1" t="n">
        <v>45629.35810185185</v>
      </c>
      <c r="C1110" s="1" t="n">
        <v>45976</v>
      </c>
      <c r="D1110" t="inlineStr">
        <is>
          <t>JÄMTLANDS LÄN</t>
        </is>
      </c>
      <c r="E1110" t="inlineStr">
        <is>
          <t>BRÄCKE</t>
        </is>
      </c>
      <c r="F1110" t="inlineStr">
        <is>
          <t>SCA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45028-2023</t>
        </is>
      </c>
      <c r="B1111" s="1" t="n">
        <v>45190</v>
      </c>
      <c r="C1111" s="1" t="n">
        <v>45976</v>
      </c>
      <c r="D1111" t="inlineStr">
        <is>
          <t>JÄMTLANDS LÄN</t>
        </is>
      </c>
      <c r="E1111" t="inlineStr">
        <is>
          <t>BRÄCKE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3862-2025</t>
        </is>
      </c>
      <c r="B1112" s="1" t="n">
        <v>45684.31023148148</v>
      </c>
      <c r="C1112" s="1" t="n">
        <v>45976</v>
      </c>
      <c r="D1112" t="inlineStr">
        <is>
          <t>JÄMTLANDS LÄN</t>
        </is>
      </c>
      <c r="E1112" t="inlineStr">
        <is>
          <t>BRÄCKE</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51969-2025</t>
        </is>
      </c>
      <c r="B1113" s="1" t="n">
        <v>45952.55376157408</v>
      </c>
      <c r="C1113" s="1" t="n">
        <v>45976</v>
      </c>
      <c r="D1113" t="inlineStr">
        <is>
          <t>JÄMTLANDS LÄN</t>
        </is>
      </c>
      <c r="E1113" t="inlineStr">
        <is>
          <t>BRÄCKE</t>
        </is>
      </c>
      <c r="G1113" t="n">
        <v>10.2</v>
      </c>
      <c r="H1113" t="n">
        <v>0</v>
      </c>
      <c r="I1113" t="n">
        <v>0</v>
      </c>
      <c r="J1113" t="n">
        <v>0</v>
      </c>
      <c r="K1113" t="n">
        <v>0</v>
      </c>
      <c r="L1113" t="n">
        <v>0</v>
      </c>
      <c r="M1113" t="n">
        <v>0</v>
      </c>
      <c r="N1113" t="n">
        <v>0</v>
      </c>
      <c r="O1113" t="n">
        <v>0</v>
      </c>
      <c r="P1113" t="n">
        <v>0</v>
      </c>
      <c r="Q1113" t="n">
        <v>0</v>
      </c>
      <c r="R1113" s="2" t="inlineStr"/>
    </row>
    <row r="1114" ht="15" customHeight="1">
      <c r="A1114" t="inlineStr">
        <is>
          <t>A 20014-2022</t>
        </is>
      </c>
      <c r="B1114" s="1" t="n">
        <v>44697.64387731482</v>
      </c>
      <c r="C1114" s="1" t="n">
        <v>45976</v>
      </c>
      <c r="D1114" t="inlineStr">
        <is>
          <t>JÄMTLANDS LÄN</t>
        </is>
      </c>
      <c r="E1114" t="inlineStr">
        <is>
          <t>BRÄCKE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57473-2024</t>
        </is>
      </c>
      <c r="B1115" s="1" t="n">
        <v>45630.34438657408</v>
      </c>
      <c r="C1115" s="1" t="n">
        <v>45976</v>
      </c>
      <c r="D1115" t="inlineStr">
        <is>
          <t>JÄMTLANDS LÄN</t>
        </is>
      </c>
      <c r="E1115" t="inlineStr">
        <is>
          <t>BRÄCKE</t>
        </is>
      </c>
      <c r="F1115" t="inlineStr">
        <is>
          <t>SCA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37957-2021</t>
        </is>
      </c>
      <c r="B1116" s="1" t="n">
        <v>44403</v>
      </c>
      <c r="C1116" s="1" t="n">
        <v>45976</v>
      </c>
      <c r="D1116" t="inlineStr">
        <is>
          <t>JÄMTLANDS LÄN</t>
        </is>
      </c>
      <c r="E1116" t="inlineStr">
        <is>
          <t>BRÄCKE</t>
        </is>
      </c>
      <c r="F1116" t="inlineStr">
        <is>
          <t>SCA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21366-2021</t>
        </is>
      </c>
      <c r="B1117" s="1" t="n">
        <v>44320</v>
      </c>
      <c r="C1117" s="1" t="n">
        <v>45976</v>
      </c>
      <c r="D1117" t="inlineStr">
        <is>
          <t>JÄMTLANDS LÄN</t>
        </is>
      </c>
      <c r="E1117" t="inlineStr">
        <is>
          <t>BRÄCKE</t>
        </is>
      </c>
      <c r="F1117" t="inlineStr">
        <is>
          <t>SCA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29262-2024</t>
        </is>
      </c>
      <c r="B1118" s="1" t="n">
        <v>45482.9487962963</v>
      </c>
      <c r="C1118" s="1" t="n">
        <v>45976</v>
      </c>
      <c r="D1118" t="inlineStr">
        <is>
          <t>JÄMTLANDS LÄN</t>
        </is>
      </c>
      <c r="E1118" t="inlineStr">
        <is>
          <t>BRÄCKE</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41311-2024</t>
        </is>
      </c>
      <c r="B1119" s="1" t="n">
        <v>45559.63569444444</v>
      </c>
      <c r="C1119" s="1" t="n">
        <v>45976</v>
      </c>
      <c r="D1119" t="inlineStr">
        <is>
          <t>JÄMTLANDS LÄN</t>
        </is>
      </c>
      <c r="E1119" t="inlineStr">
        <is>
          <t>BRÄCKE</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41315-2024</t>
        </is>
      </c>
      <c r="B1120" s="1" t="n">
        <v>45559.63628472222</v>
      </c>
      <c r="C1120" s="1" t="n">
        <v>45976</v>
      </c>
      <c r="D1120" t="inlineStr">
        <is>
          <t>JÄMTLANDS LÄN</t>
        </is>
      </c>
      <c r="E1120" t="inlineStr">
        <is>
          <t>BRÄCKE</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66859-2020</t>
        </is>
      </c>
      <c r="B1121" s="1" t="n">
        <v>44179</v>
      </c>
      <c r="C1121" s="1" t="n">
        <v>45976</v>
      </c>
      <c r="D1121" t="inlineStr">
        <is>
          <t>JÄMTLANDS LÄN</t>
        </is>
      </c>
      <c r="E1121" t="inlineStr">
        <is>
          <t>BRÄCKE</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44403-2023</t>
        </is>
      </c>
      <c r="B1122" s="1" t="n">
        <v>45188.94601851852</v>
      </c>
      <c r="C1122" s="1" t="n">
        <v>45976</v>
      </c>
      <c r="D1122" t="inlineStr">
        <is>
          <t>JÄMTLANDS LÄN</t>
        </is>
      </c>
      <c r="E1122" t="inlineStr">
        <is>
          <t>BRÄCKE</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18984-2022</t>
        </is>
      </c>
      <c r="B1123" s="1" t="n">
        <v>44690</v>
      </c>
      <c r="C1123" s="1" t="n">
        <v>45976</v>
      </c>
      <c r="D1123" t="inlineStr">
        <is>
          <t>JÄMTLANDS LÄN</t>
        </is>
      </c>
      <c r="E1123" t="inlineStr">
        <is>
          <t>BRÄCKE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13033-2023</t>
        </is>
      </c>
      <c r="B1124" s="1" t="n">
        <v>45001</v>
      </c>
      <c r="C1124" s="1" t="n">
        <v>45976</v>
      </c>
      <c r="D1124" t="inlineStr">
        <is>
          <t>JÄMTLANDS LÄN</t>
        </is>
      </c>
      <c r="E1124" t="inlineStr">
        <is>
          <t>BRÄCKE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25895-2023</t>
        </is>
      </c>
      <c r="B1125" s="1" t="n">
        <v>45085</v>
      </c>
      <c r="C1125" s="1" t="n">
        <v>45976</v>
      </c>
      <c r="D1125" t="inlineStr">
        <is>
          <t>JÄMTLANDS LÄN</t>
        </is>
      </c>
      <c r="E1125" t="inlineStr">
        <is>
          <t>BRÄCKE</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4857-2025</t>
        </is>
      </c>
      <c r="B1126" s="1" t="n">
        <v>45688.67418981482</v>
      </c>
      <c r="C1126" s="1" t="n">
        <v>45976</v>
      </c>
      <c r="D1126" t="inlineStr">
        <is>
          <t>JÄMTLANDS LÄN</t>
        </is>
      </c>
      <c r="E1126" t="inlineStr">
        <is>
          <t>BRÄCKE</t>
        </is>
      </c>
      <c r="F1126" t="inlineStr">
        <is>
          <t>SCA</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51858-2025</t>
        </is>
      </c>
      <c r="B1127" s="1" t="n">
        <v>45952.36511574074</v>
      </c>
      <c r="C1127" s="1" t="n">
        <v>45976</v>
      </c>
      <c r="D1127" t="inlineStr">
        <is>
          <t>JÄMTLANDS LÄN</t>
        </is>
      </c>
      <c r="E1127" t="inlineStr">
        <is>
          <t>BRÄCKE</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43180-2025</t>
        </is>
      </c>
      <c r="B1128" s="1" t="n">
        <v>45910.40699074074</v>
      </c>
      <c r="C1128" s="1" t="n">
        <v>45976</v>
      </c>
      <c r="D1128" t="inlineStr">
        <is>
          <t>JÄMTLANDS LÄN</t>
        </is>
      </c>
      <c r="E1128" t="inlineStr">
        <is>
          <t>BRÄCKE</t>
        </is>
      </c>
      <c r="F1128" t="inlineStr">
        <is>
          <t>SCA</t>
        </is>
      </c>
      <c r="G1128" t="n">
        <v>10.9</v>
      </c>
      <c r="H1128" t="n">
        <v>0</v>
      </c>
      <c r="I1128" t="n">
        <v>0</v>
      </c>
      <c r="J1128" t="n">
        <v>0</v>
      </c>
      <c r="K1128" t="n">
        <v>0</v>
      </c>
      <c r="L1128" t="n">
        <v>0</v>
      </c>
      <c r="M1128" t="n">
        <v>0</v>
      </c>
      <c r="N1128" t="n">
        <v>0</v>
      </c>
      <c r="O1128" t="n">
        <v>0</v>
      </c>
      <c r="P1128" t="n">
        <v>0</v>
      </c>
      <c r="Q1128" t="n">
        <v>0</v>
      </c>
      <c r="R1128" s="2" t="inlineStr"/>
    </row>
    <row r="1129" ht="15" customHeight="1">
      <c r="A1129" t="inlineStr">
        <is>
          <t>A 28765-2024</t>
        </is>
      </c>
      <c r="B1129" s="1" t="n">
        <v>45478.59344907408</v>
      </c>
      <c r="C1129" s="1" t="n">
        <v>45976</v>
      </c>
      <c r="D1129" t="inlineStr">
        <is>
          <t>JÄMTLANDS LÄN</t>
        </is>
      </c>
      <c r="E1129" t="inlineStr">
        <is>
          <t>BRÄCKE</t>
        </is>
      </c>
      <c r="F1129" t="inlineStr">
        <is>
          <t>Sveaskog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20778-2025</t>
        </is>
      </c>
      <c r="B1130" s="1" t="n">
        <v>45776.59439814815</v>
      </c>
      <c r="C1130" s="1" t="n">
        <v>45976</v>
      </c>
      <c r="D1130" t="inlineStr">
        <is>
          <t>JÄMTLANDS LÄN</t>
        </is>
      </c>
      <c r="E1130" t="inlineStr">
        <is>
          <t>BRÄCKE</t>
        </is>
      </c>
      <c r="F1130" t="inlineStr">
        <is>
          <t>SCA</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43254-2025</t>
        </is>
      </c>
      <c r="B1131" s="1" t="n">
        <v>45910.553125</v>
      </c>
      <c r="C1131" s="1" t="n">
        <v>45976</v>
      </c>
      <c r="D1131" t="inlineStr">
        <is>
          <t>JÄMTLANDS LÄN</t>
        </is>
      </c>
      <c r="E1131" t="inlineStr">
        <is>
          <t>BRÄCKE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43618-2025</t>
        </is>
      </c>
      <c r="B1132" s="1" t="n">
        <v>45911.67806712963</v>
      </c>
      <c r="C1132" s="1" t="n">
        <v>45976</v>
      </c>
      <c r="D1132" t="inlineStr">
        <is>
          <t>JÄMTLANDS LÄN</t>
        </is>
      </c>
      <c r="E1132" t="inlineStr">
        <is>
          <t>BRÄCKE</t>
        </is>
      </c>
      <c r="F1132" t="inlineStr">
        <is>
          <t>SCA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26522-2024</t>
        </is>
      </c>
      <c r="B1133" s="1" t="n">
        <v>45469</v>
      </c>
      <c r="C1133" s="1" t="n">
        <v>45976</v>
      </c>
      <c r="D1133" t="inlineStr">
        <is>
          <t>JÄMTLANDS LÄN</t>
        </is>
      </c>
      <c r="E1133" t="inlineStr">
        <is>
          <t>BRÄCKE</t>
        </is>
      </c>
      <c r="G1133" t="n">
        <v>14.1</v>
      </c>
      <c r="H1133" t="n">
        <v>0</v>
      </c>
      <c r="I1133" t="n">
        <v>0</v>
      </c>
      <c r="J1133" t="n">
        <v>0</v>
      </c>
      <c r="K1133" t="n">
        <v>0</v>
      </c>
      <c r="L1133" t="n">
        <v>0</v>
      </c>
      <c r="M1133" t="n">
        <v>0</v>
      </c>
      <c r="N1133" t="n">
        <v>0</v>
      </c>
      <c r="O1133" t="n">
        <v>0</v>
      </c>
      <c r="P1133" t="n">
        <v>0</v>
      </c>
      <c r="Q1133" t="n">
        <v>0</v>
      </c>
      <c r="R1133" s="2" t="inlineStr"/>
    </row>
    <row r="1134" ht="15" customHeight="1">
      <c r="A1134" t="inlineStr">
        <is>
          <t>A 54035-2021</t>
        </is>
      </c>
      <c r="B1134" s="1" t="n">
        <v>44470</v>
      </c>
      <c r="C1134" s="1" t="n">
        <v>45976</v>
      </c>
      <c r="D1134" t="inlineStr">
        <is>
          <t>JÄMTLANDS LÄN</t>
        </is>
      </c>
      <c r="E1134" t="inlineStr">
        <is>
          <t>BRÄCKE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43416-2025</t>
        </is>
      </c>
      <c r="B1135" s="1" t="n">
        <v>45911.40685185185</v>
      </c>
      <c r="C1135" s="1" t="n">
        <v>45976</v>
      </c>
      <c r="D1135" t="inlineStr">
        <is>
          <t>JÄMTLANDS LÄN</t>
        </is>
      </c>
      <c r="E1135" t="inlineStr">
        <is>
          <t>BRÄCKE</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52202-2025</t>
        </is>
      </c>
      <c r="B1136" s="1" t="n">
        <v>45953.40715277778</v>
      </c>
      <c r="C1136" s="1" t="n">
        <v>45976</v>
      </c>
      <c r="D1136" t="inlineStr">
        <is>
          <t>JÄMTLANDS LÄN</t>
        </is>
      </c>
      <c r="E1136" t="inlineStr">
        <is>
          <t>BRÄCKE</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51416-2024</t>
        </is>
      </c>
      <c r="B1137" s="1" t="n">
        <v>45604.44829861111</v>
      </c>
      <c r="C1137" s="1" t="n">
        <v>45976</v>
      </c>
      <c r="D1137" t="inlineStr">
        <is>
          <t>JÄMTLANDS LÄN</t>
        </is>
      </c>
      <c r="E1137" t="inlineStr">
        <is>
          <t>BRÄCKE</t>
        </is>
      </c>
      <c r="F1137" t="inlineStr">
        <is>
          <t>SCA</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51839-2025</t>
        </is>
      </c>
      <c r="B1138" s="1" t="n">
        <v>45952.34472222222</v>
      </c>
      <c r="C1138" s="1" t="n">
        <v>45976</v>
      </c>
      <c r="D1138" t="inlineStr">
        <is>
          <t>JÄMTLANDS LÄN</t>
        </is>
      </c>
      <c r="E1138" t="inlineStr">
        <is>
          <t>BRÄCKE</t>
        </is>
      </c>
      <c r="F1138" t="inlineStr">
        <is>
          <t>SCA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20870-2025</t>
        </is>
      </c>
      <c r="B1139" s="1" t="n">
        <v>45777.34517361111</v>
      </c>
      <c r="C1139" s="1" t="n">
        <v>45976</v>
      </c>
      <c r="D1139" t="inlineStr">
        <is>
          <t>JÄMTLANDS LÄN</t>
        </is>
      </c>
      <c r="E1139" t="inlineStr">
        <is>
          <t>BRÄCKE</t>
        </is>
      </c>
      <c r="F1139" t="inlineStr">
        <is>
          <t>SCA</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3865-2025</t>
        </is>
      </c>
      <c r="B1140" s="1" t="n">
        <v>45684.31815972222</v>
      </c>
      <c r="C1140" s="1" t="n">
        <v>45976</v>
      </c>
      <c r="D1140" t="inlineStr">
        <is>
          <t>JÄMTLANDS LÄN</t>
        </is>
      </c>
      <c r="E1140" t="inlineStr">
        <is>
          <t>BRÄCKE</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44321-2023</t>
        </is>
      </c>
      <c r="B1141" s="1" t="n">
        <v>45188.65484953704</v>
      </c>
      <c r="C1141" s="1" t="n">
        <v>45976</v>
      </c>
      <c r="D1141" t="inlineStr">
        <is>
          <t>JÄMTLANDS LÄN</t>
        </is>
      </c>
      <c r="E1141" t="inlineStr">
        <is>
          <t>BRÄCKE</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44328-2023</t>
        </is>
      </c>
      <c r="B1142" s="1" t="n">
        <v>45188.659375</v>
      </c>
      <c r="C1142" s="1" t="n">
        <v>45976</v>
      </c>
      <c r="D1142" t="inlineStr">
        <is>
          <t>JÄMTLANDS LÄN</t>
        </is>
      </c>
      <c r="E1142" t="inlineStr">
        <is>
          <t>BRÄCKE</t>
        </is>
      </c>
      <c r="F1142" t="inlineStr">
        <is>
          <t>Sveaskog</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51441-2023</t>
        </is>
      </c>
      <c r="B1143" s="1" t="n">
        <v>45219</v>
      </c>
      <c r="C1143" s="1" t="n">
        <v>45976</v>
      </c>
      <c r="D1143" t="inlineStr">
        <is>
          <t>JÄMTLANDS LÄN</t>
        </is>
      </c>
      <c r="E1143" t="inlineStr">
        <is>
          <t>BRÄCKE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20157-2025</t>
        </is>
      </c>
      <c r="B1144" s="1" t="n">
        <v>45772.56060185185</v>
      </c>
      <c r="C1144" s="1" t="n">
        <v>45976</v>
      </c>
      <c r="D1144" t="inlineStr">
        <is>
          <t>JÄMTLANDS LÄN</t>
        </is>
      </c>
      <c r="E1144" t="inlineStr">
        <is>
          <t>BRÄCKE</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2035-2022</t>
        </is>
      </c>
      <c r="B1145" s="1" t="n">
        <v>44575.6277662037</v>
      </c>
      <c r="C1145" s="1" t="n">
        <v>45976</v>
      </c>
      <c r="D1145" t="inlineStr">
        <is>
          <t>JÄMTLANDS LÄN</t>
        </is>
      </c>
      <c r="E1145" t="inlineStr">
        <is>
          <t>BRÄCKE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36392-2022</t>
        </is>
      </c>
      <c r="B1146" s="1" t="n">
        <v>44803.94673611111</v>
      </c>
      <c r="C1146" s="1" t="n">
        <v>45976</v>
      </c>
      <c r="D1146" t="inlineStr">
        <is>
          <t>JÄMTLANDS LÄN</t>
        </is>
      </c>
      <c r="E1146" t="inlineStr">
        <is>
          <t>BRÄCKE</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37238-2021</t>
        </is>
      </c>
      <c r="B1147" s="1" t="n">
        <v>44396.93490740741</v>
      </c>
      <c r="C1147" s="1" t="n">
        <v>45976</v>
      </c>
      <c r="D1147" t="inlineStr">
        <is>
          <t>JÄMTLANDS LÄN</t>
        </is>
      </c>
      <c r="E1147" t="inlineStr">
        <is>
          <t>BRÄCKE</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53941-2022</t>
        </is>
      </c>
      <c r="B1148" s="1" t="n">
        <v>44880</v>
      </c>
      <c r="C1148" s="1" t="n">
        <v>45976</v>
      </c>
      <c r="D1148" t="inlineStr">
        <is>
          <t>JÄMTLANDS LÄN</t>
        </is>
      </c>
      <c r="E1148" t="inlineStr">
        <is>
          <t>BRÄCKE</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24010-2024</t>
        </is>
      </c>
      <c r="B1149" s="1" t="n">
        <v>45456.40370370371</v>
      </c>
      <c r="C1149" s="1" t="n">
        <v>45976</v>
      </c>
      <c r="D1149" t="inlineStr">
        <is>
          <t>JÄMTLANDS LÄN</t>
        </is>
      </c>
      <c r="E1149" t="inlineStr">
        <is>
          <t>BRÄCKE</t>
        </is>
      </c>
      <c r="F1149" t="inlineStr">
        <is>
          <t>Övriga Aktiebolag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18645-2024</t>
        </is>
      </c>
      <c r="B1150" s="1" t="n">
        <v>45425.96738425926</v>
      </c>
      <c r="C1150" s="1" t="n">
        <v>45976</v>
      </c>
      <c r="D1150" t="inlineStr">
        <is>
          <t>JÄMTLANDS LÄN</t>
        </is>
      </c>
      <c r="E1150" t="inlineStr">
        <is>
          <t>BRÄCKE</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52021-2022</t>
        </is>
      </c>
      <c r="B1151" s="1" t="n">
        <v>44872.95638888889</v>
      </c>
      <c r="C1151" s="1" t="n">
        <v>45976</v>
      </c>
      <c r="D1151" t="inlineStr">
        <is>
          <t>JÄMTLANDS LÄN</t>
        </is>
      </c>
      <c r="E1151" t="inlineStr">
        <is>
          <t>BRÄCKE</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29751-2023</t>
        </is>
      </c>
      <c r="B1152" s="1" t="n">
        <v>45107</v>
      </c>
      <c r="C1152" s="1" t="n">
        <v>45976</v>
      </c>
      <c r="D1152" t="inlineStr">
        <is>
          <t>JÄMTLANDS LÄN</t>
        </is>
      </c>
      <c r="E1152" t="inlineStr">
        <is>
          <t>BRÄCKE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3737-2025</t>
        </is>
      </c>
      <c r="B1153" s="1" t="n">
        <v>45681.57335648148</v>
      </c>
      <c r="C1153" s="1" t="n">
        <v>45976</v>
      </c>
      <c r="D1153" t="inlineStr">
        <is>
          <t>JÄMTLANDS LÄN</t>
        </is>
      </c>
      <c r="E1153" t="inlineStr">
        <is>
          <t>BRÄCKE</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46597-2022</t>
        </is>
      </c>
      <c r="B1154" s="1" t="n">
        <v>44848</v>
      </c>
      <c r="C1154" s="1" t="n">
        <v>45976</v>
      </c>
      <c r="D1154" t="inlineStr">
        <is>
          <t>JÄMTLANDS LÄN</t>
        </is>
      </c>
      <c r="E1154" t="inlineStr">
        <is>
          <t>BRÄCKE</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20756-2025</t>
        </is>
      </c>
      <c r="B1155" s="1" t="n">
        <v>45776.57333333333</v>
      </c>
      <c r="C1155" s="1" t="n">
        <v>45976</v>
      </c>
      <c r="D1155" t="inlineStr">
        <is>
          <t>JÄMTLANDS LÄN</t>
        </is>
      </c>
      <c r="E1155" t="inlineStr">
        <is>
          <t>BRÄCKE</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20909-2025</t>
        </is>
      </c>
      <c r="B1156" s="1" t="n">
        <v>45777.40672453704</v>
      </c>
      <c r="C1156" s="1" t="n">
        <v>45976</v>
      </c>
      <c r="D1156" t="inlineStr">
        <is>
          <t>JÄMTLANDS LÄN</t>
        </is>
      </c>
      <c r="E1156" t="inlineStr">
        <is>
          <t>BRÄCKE</t>
        </is>
      </c>
      <c r="F1156" t="inlineStr">
        <is>
          <t>SCA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35880-2023</t>
        </is>
      </c>
      <c r="B1157" s="1" t="n">
        <v>45148</v>
      </c>
      <c r="C1157" s="1" t="n">
        <v>45976</v>
      </c>
      <c r="D1157" t="inlineStr">
        <is>
          <t>JÄMTLANDS LÄN</t>
        </is>
      </c>
      <c r="E1157" t="inlineStr">
        <is>
          <t>BRÄCKE</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52137-2023</t>
        </is>
      </c>
      <c r="B1158" s="1" t="n">
        <v>45223</v>
      </c>
      <c r="C1158" s="1" t="n">
        <v>45976</v>
      </c>
      <c r="D1158" t="inlineStr">
        <is>
          <t>JÄMTLANDS LÄN</t>
        </is>
      </c>
      <c r="E1158" t="inlineStr">
        <is>
          <t>BRÄCKE</t>
        </is>
      </c>
      <c r="F1158" t="inlineStr">
        <is>
          <t>SCA</t>
        </is>
      </c>
      <c r="G1158" t="n">
        <v>9.6</v>
      </c>
      <c r="H1158" t="n">
        <v>0</v>
      </c>
      <c r="I1158" t="n">
        <v>0</v>
      </c>
      <c r="J1158" t="n">
        <v>0</v>
      </c>
      <c r="K1158" t="n">
        <v>0</v>
      </c>
      <c r="L1158" t="n">
        <v>0</v>
      </c>
      <c r="M1158" t="n">
        <v>0</v>
      </c>
      <c r="N1158" t="n">
        <v>0</v>
      </c>
      <c r="O1158" t="n">
        <v>0</v>
      </c>
      <c r="P1158" t="n">
        <v>0</v>
      </c>
      <c r="Q1158" t="n">
        <v>0</v>
      </c>
      <c r="R1158" s="2" t="inlineStr"/>
    </row>
    <row r="1159" ht="15" customHeight="1">
      <c r="A1159" t="inlineStr">
        <is>
          <t>A 43591-2025</t>
        </is>
      </c>
      <c r="B1159" s="1" t="n">
        <v>45911.65681712963</v>
      </c>
      <c r="C1159" s="1" t="n">
        <v>45976</v>
      </c>
      <c r="D1159" t="inlineStr">
        <is>
          <t>JÄMTLANDS LÄN</t>
        </is>
      </c>
      <c r="E1159" t="inlineStr">
        <is>
          <t>BRÄCKE</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45950-2023</t>
        </is>
      </c>
      <c r="B1160" s="1" t="n">
        <v>45195</v>
      </c>
      <c r="C1160" s="1" t="n">
        <v>45976</v>
      </c>
      <c r="D1160" t="inlineStr">
        <is>
          <t>JÄMTLANDS LÄN</t>
        </is>
      </c>
      <c r="E1160" t="inlineStr">
        <is>
          <t>BRÄCKE</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56686-2023</t>
        </is>
      </c>
      <c r="B1161" s="1" t="n">
        <v>45243.96622685185</v>
      </c>
      <c r="C1161" s="1" t="n">
        <v>45976</v>
      </c>
      <c r="D1161" t="inlineStr">
        <is>
          <t>JÄMTLANDS LÄN</t>
        </is>
      </c>
      <c r="E1161" t="inlineStr">
        <is>
          <t>BRÄCKE</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20267-2024</t>
        </is>
      </c>
      <c r="B1162" s="1" t="n">
        <v>45434.9487962963</v>
      </c>
      <c r="C1162" s="1" t="n">
        <v>45976</v>
      </c>
      <c r="D1162" t="inlineStr">
        <is>
          <t>JÄMTLANDS LÄN</t>
        </is>
      </c>
      <c r="E1162" t="inlineStr">
        <is>
          <t>BRÄCKE</t>
        </is>
      </c>
      <c r="F1162" t="inlineStr">
        <is>
          <t>SCA</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16073-2021</t>
        </is>
      </c>
      <c r="B1163" s="1" t="n">
        <v>44287</v>
      </c>
      <c r="C1163" s="1" t="n">
        <v>45976</v>
      </c>
      <c r="D1163" t="inlineStr">
        <is>
          <t>JÄMTLANDS LÄN</t>
        </is>
      </c>
      <c r="E1163" t="inlineStr">
        <is>
          <t>BRÄCKE</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30874-2024</t>
        </is>
      </c>
      <c r="B1164" s="1" t="n">
        <v>45498.3091087963</v>
      </c>
      <c r="C1164" s="1" t="n">
        <v>45976</v>
      </c>
      <c r="D1164" t="inlineStr">
        <is>
          <t>JÄMTLANDS LÄN</t>
        </is>
      </c>
      <c r="E1164" t="inlineStr">
        <is>
          <t>BRÄCKE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29409-2024</t>
        </is>
      </c>
      <c r="B1165" s="1" t="n">
        <v>45483.67341435186</v>
      </c>
      <c r="C1165" s="1" t="n">
        <v>45976</v>
      </c>
      <c r="D1165" t="inlineStr">
        <is>
          <t>JÄMTLANDS LÄN</t>
        </is>
      </c>
      <c r="E1165" t="inlineStr">
        <is>
          <t>BRÄCKE</t>
        </is>
      </c>
      <c r="G1165" t="n">
        <v>9.6</v>
      </c>
      <c r="H1165" t="n">
        <v>0</v>
      </c>
      <c r="I1165" t="n">
        <v>0</v>
      </c>
      <c r="J1165" t="n">
        <v>0</v>
      </c>
      <c r="K1165" t="n">
        <v>0</v>
      </c>
      <c r="L1165" t="n">
        <v>0</v>
      </c>
      <c r="M1165" t="n">
        <v>0</v>
      </c>
      <c r="N1165" t="n">
        <v>0</v>
      </c>
      <c r="O1165" t="n">
        <v>0</v>
      </c>
      <c r="P1165" t="n">
        <v>0</v>
      </c>
      <c r="Q1165" t="n">
        <v>0</v>
      </c>
      <c r="R1165" s="2" t="inlineStr"/>
    </row>
    <row r="1166" ht="15" customHeight="1">
      <c r="A1166" t="inlineStr">
        <is>
          <t>A 63713-2023</t>
        </is>
      </c>
      <c r="B1166" s="1" t="n">
        <v>45275</v>
      </c>
      <c r="C1166" s="1" t="n">
        <v>45976</v>
      </c>
      <c r="D1166" t="inlineStr">
        <is>
          <t>JÄMTLANDS LÄN</t>
        </is>
      </c>
      <c r="E1166" t="inlineStr">
        <is>
          <t>BRÄCKE</t>
        </is>
      </c>
      <c r="F1166" t="inlineStr">
        <is>
          <t>SCA</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51965-2025</t>
        </is>
      </c>
      <c r="B1167" s="1" t="n">
        <v>45952.55327546296</v>
      </c>
      <c r="C1167" s="1" t="n">
        <v>45976</v>
      </c>
      <c r="D1167" t="inlineStr">
        <is>
          <t>JÄMTLANDS LÄN</t>
        </is>
      </c>
      <c r="E1167" t="inlineStr">
        <is>
          <t>BRÄCKE</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43387-2025</t>
        </is>
      </c>
      <c r="B1168" s="1" t="n">
        <v>45911.3653587963</v>
      </c>
      <c r="C1168" s="1" t="n">
        <v>45976</v>
      </c>
      <c r="D1168" t="inlineStr">
        <is>
          <t>JÄMTLANDS LÄN</t>
        </is>
      </c>
      <c r="E1168" t="inlineStr">
        <is>
          <t>BRÄCKE</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34646-2024</t>
        </is>
      </c>
      <c r="B1169" s="1" t="n">
        <v>45526.4784375</v>
      </c>
      <c r="C1169" s="1" t="n">
        <v>45976</v>
      </c>
      <c r="D1169" t="inlineStr">
        <is>
          <t>JÄMTLANDS LÄN</t>
        </is>
      </c>
      <c r="E1169" t="inlineStr">
        <is>
          <t>BRÄCKE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51964-2025</t>
        </is>
      </c>
      <c r="B1170" s="1" t="n">
        <v>45952.55321759259</v>
      </c>
      <c r="C1170" s="1" t="n">
        <v>45976</v>
      </c>
      <c r="D1170" t="inlineStr">
        <is>
          <t>JÄMTLANDS LÄN</t>
        </is>
      </c>
      <c r="E1170" t="inlineStr">
        <is>
          <t>BRÄCKE</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16707-2024</t>
        </is>
      </c>
      <c r="B1171" s="1" t="n">
        <v>45409.07706018518</v>
      </c>
      <c r="C1171" s="1" t="n">
        <v>45976</v>
      </c>
      <c r="D1171" t="inlineStr">
        <is>
          <t>JÄMTLANDS LÄN</t>
        </is>
      </c>
      <c r="E1171" t="inlineStr">
        <is>
          <t>BRÄCKE</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26919-2024</t>
        </is>
      </c>
      <c r="B1172" s="1" t="n">
        <v>45470.93050925926</v>
      </c>
      <c r="C1172" s="1" t="n">
        <v>45976</v>
      </c>
      <c r="D1172" t="inlineStr">
        <is>
          <t>JÄMTLANDS LÄN</t>
        </is>
      </c>
      <c r="E1172" t="inlineStr">
        <is>
          <t>BRÄCKE</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53724-2024</t>
        </is>
      </c>
      <c r="B1173" s="1" t="n">
        <v>45615.45042824074</v>
      </c>
      <c r="C1173" s="1" t="n">
        <v>45976</v>
      </c>
      <c r="D1173" t="inlineStr">
        <is>
          <t>JÄMTLANDS LÄN</t>
        </is>
      </c>
      <c r="E1173" t="inlineStr">
        <is>
          <t>BRÄCKE</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52157-2025</t>
        </is>
      </c>
      <c r="B1174" s="1" t="n">
        <v>45953.3558912037</v>
      </c>
      <c r="C1174" s="1" t="n">
        <v>45976</v>
      </c>
      <c r="D1174" t="inlineStr">
        <is>
          <t>JÄMTLANDS LÄN</t>
        </is>
      </c>
      <c r="E1174" t="inlineStr">
        <is>
          <t>BRÄCKE</t>
        </is>
      </c>
      <c r="F1174" t="inlineStr">
        <is>
          <t>SCA</t>
        </is>
      </c>
      <c r="G1174" t="n">
        <v>13.3</v>
      </c>
      <c r="H1174" t="n">
        <v>0</v>
      </c>
      <c r="I1174" t="n">
        <v>0</v>
      </c>
      <c r="J1174" t="n">
        <v>0</v>
      </c>
      <c r="K1174" t="n">
        <v>0</v>
      </c>
      <c r="L1174" t="n">
        <v>0</v>
      </c>
      <c r="M1174" t="n">
        <v>0</v>
      </c>
      <c r="N1174" t="n">
        <v>0</v>
      </c>
      <c r="O1174" t="n">
        <v>0</v>
      </c>
      <c r="P1174" t="n">
        <v>0</v>
      </c>
      <c r="Q1174" t="n">
        <v>0</v>
      </c>
      <c r="R1174" s="2" t="inlineStr"/>
    </row>
    <row r="1175" ht="15" customHeight="1">
      <c r="A1175" t="inlineStr">
        <is>
          <t>A 12063-2023</t>
        </is>
      </c>
      <c r="B1175" s="1" t="n">
        <v>44996</v>
      </c>
      <c r="C1175" s="1" t="n">
        <v>45976</v>
      </c>
      <c r="D1175" t="inlineStr">
        <is>
          <t>JÄMTLANDS LÄN</t>
        </is>
      </c>
      <c r="E1175" t="inlineStr">
        <is>
          <t>BRÄCKE</t>
        </is>
      </c>
      <c r="G1175" t="n">
        <v>7.1</v>
      </c>
      <c r="H1175" t="n">
        <v>0</v>
      </c>
      <c r="I1175" t="n">
        <v>0</v>
      </c>
      <c r="J1175" t="n">
        <v>0</v>
      </c>
      <c r="K1175" t="n">
        <v>0</v>
      </c>
      <c r="L1175" t="n">
        <v>0</v>
      </c>
      <c r="M1175" t="n">
        <v>0</v>
      </c>
      <c r="N1175" t="n">
        <v>0</v>
      </c>
      <c r="O1175" t="n">
        <v>0</v>
      </c>
      <c r="P1175" t="n">
        <v>0</v>
      </c>
      <c r="Q1175" t="n">
        <v>0</v>
      </c>
      <c r="R1175" s="2" t="inlineStr"/>
    </row>
    <row r="1176" ht="15" customHeight="1">
      <c r="A1176" t="inlineStr">
        <is>
          <t>A 17577-2022</t>
        </is>
      </c>
      <c r="B1176" s="1" t="n">
        <v>44679</v>
      </c>
      <c r="C1176" s="1" t="n">
        <v>45976</v>
      </c>
      <c r="D1176" t="inlineStr">
        <is>
          <t>JÄMTLANDS LÄN</t>
        </is>
      </c>
      <c r="E1176" t="inlineStr">
        <is>
          <t>BRÄCKE</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9438-2025</t>
        </is>
      </c>
      <c r="B1177" s="1" t="n">
        <v>45715.41347222222</v>
      </c>
      <c r="C1177" s="1" t="n">
        <v>45976</v>
      </c>
      <c r="D1177" t="inlineStr">
        <is>
          <t>JÄMTLANDS LÄN</t>
        </is>
      </c>
      <c r="E1177" t="inlineStr">
        <is>
          <t>BRÄCKE</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21634-2025</t>
        </is>
      </c>
      <c r="B1178" s="1" t="n">
        <v>45783.42775462963</v>
      </c>
      <c r="C1178" s="1" t="n">
        <v>45976</v>
      </c>
      <c r="D1178" t="inlineStr">
        <is>
          <t>JÄMTLANDS LÄN</t>
        </is>
      </c>
      <c r="E1178" t="inlineStr">
        <is>
          <t>BRÄCKE</t>
        </is>
      </c>
      <c r="F1178" t="inlineStr">
        <is>
          <t>SCA</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52781-2025</t>
        </is>
      </c>
      <c r="B1179" s="1" t="n">
        <v>45957.4228125</v>
      </c>
      <c r="C1179" s="1" t="n">
        <v>45976</v>
      </c>
      <c r="D1179" t="inlineStr">
        <is>
          <t>JÄMTLANDS LÄN</t>
        </is>
      </c>
      <c r="E1179" t="inlineStr">
        <is>
          <t>BRÄCKE</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3239-2022</t>
        </is>
      </c>
      <c r="B1180" s="1" t="n">
        <v>44582.93296296296</v>
      </c>
      <c r="C1180" s="1" t="n">
        <v>45976</v>
      </c>
      <c r="D1180" t="inlineStr">
        <is>
          <t>JÄMTLANDS LÄN</t>
        </is>
      </c>
      <c r="E1180" t="inlineStr">
        <is>
          <t>BRÄCKE</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21368-2025</t>
        </is>
      </c>
      <c r="B1181" s="1" t="n">
        <v>45782.44824074074</v>
      </c>
      <c r="C1181" s="1" t="n">
        <v>45976</v>
      </c>
      <c r="D1181" t="inlineStr">
        <is>
          <t>JÄMTLANDS LÄN</t>
        </is>
      </c>
      <c r="E1181" t="inlineStr">
        <is>
          <t>BRÄCKE</t>
        </is>
      </c>
      <c r="F1181" t="inlineStr">
        <is>
          <t>SCA</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21449-2025</t>
        </is>
      </c>
      <c r="B1182" s="1" t="n">
        <v>45782.55255787037</v>
      </c>
      <c r="C1182" s="1" t="n">
        <v>45976</v>
      </c>
      <c r="D1182" t="inlineStr">
        <is>
          <t>JÄMTLANDS LÄN</t>
        </is>
      </c>
      <c r="E1182" t="inlineStr">
        <is>
          <t>BRÄCKE</t>
        </is>
      </c>
      <c r="F1182" t="inlineStr">
        <is>
          <t>SCA</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21450-2025</t>
        </is>
      </c>
      <c r="B1183" s="1" t="n">
        <v>45782.55275462963</v>
      </c>
      <c r="C1183" s="1" t="n">
        <v>45976</v>
      </c>
      <c r="D1183" t="inlineStr">
        <is>
          <t>JÄMTLANDS LÄN</t>
        </is>
      </c>
      <c r="E1183" t="inlineStr">
        <is>
          <t>BRÄCKE</t>
        </is>
      </c>
      <c r="F1183" t="inlineStr">
        <is>
          <t>SCA</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49189-2024</t>
        </is>
      </c>
      <c r="B1184" s="1" t="n">
        <v>45595.34502314815</v>
      </c>
      <c r="C1184" s="1" t="n">
        <v>45976</v>
      </c>
      <c r="D1184" t="inlineStr">
        <is>
          <t>JÄMTLANDS LÄN</t>
        </is>
      </c>
      <c r="E1184" t="inlineStr">
        <is>
          <t>BRÄCKE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61149-2023</t>
        </is>
      </c>
      <c r="B1185" s="1" t="n">
        <v>45261.96777777778</v>
      </c>
      <c r="C1185" s="1" t="n">
        <v>45976</v>
      </c>
      <c r="D1185" t="inlineStr">
        <is>
          <t>JÄMTLANDS LÄN</t>
        </is>
      </c>
      <c r="E1185" t="inlineStr">
        <is>
          <t>BRÄCKE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8052-2022</t>
        </is>
      </c>
      <c r="B1186" s="1" t="n">
        <v>44609</v>
      </c>
      <c r="C1186" s="1" t="n">
        <v>45976</v>
      </c>
      <c r="D1186" t="inlineStr">
        <is>
          <t>JÄMTLANDS LÄN</t>
        </is>
      </c>
      <c r="E1186" t="inlineStr">
        <is>
          <t>BRÄCKE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51540-2024</t>
        </is>
      </c>
      <c r="B1187" s="1" t="n">
        <v>45604</v>
      </c>
      <c r="C1187" s="1" t="n">
        <v>45976</v>
      </c>
      <c r="D1187" t="inlineStr">
        <is>
          <t>JÄMTLANDS LÄN</t>
        </is>
      </c>
      <c r="E1187" t="inlineStr">
        <is>
          <t>BRÄCKE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21486-2025</t>
        </is>
      </c>
      <c r="B1188" s="1" t="n">
        <v>45782.59521990741</v>
      </c>
      <c r="C1188" s="1" t="n">
        <v>45976</v>
      </c>
      <c r="D1188" t="inlineStr">
        <is>
          <t>JÄMTLANDS LÄN</t>
        </is>
      </c>
      <c r="E1188" t="inlineStr">
        <is>
          <t>BRÄCKE</t>
        </is>
      </c>
      <c r="F1188" t="inlineStr">
        <is>
          <t>SCA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3866-2025</t>
        </is>
      </c>
      <c r="B1189" s="1" t="n">
        <v>45684.31995370371</v>
      </c>
      <c r="C1189" s="1" t="n">
        <v>45976</v>
      </c>
      <c r="D1189" t="inlineStr">
        <is>
          <t>JÄMTLANDS LÄN</t>
        </is>
      </c>
      <c r="E1189" t="inlineStr">
        <is>
          <t>BRÄCKE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32963-2022</t>
        </is>
      </c>
      <c r="B1190" s="1" t="n">
        <v>44784.92496527778</v>
      </c>
      <c r="C1190" s="1" t="n">
        <v>45976</v>
      </c>
      <c r="D1190" t="inlineStr">
        <is>
          <t>JÄMTLANDS LÄN</t>
        </is>
      </c>
      <c r="E1190" t="inlineStr">
        <is>
          <t>BRÄCKE</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52476-2025</t>
        </is>
      </c>
      <c r="B1191" s="1" t="n">
        <v>45954.46921296296</v>
      </c>
      <c r="C1191" s="1" t="n">
        <v>45976</v>
      </c>
      <c r="D1191" t="inlineStr">
        <is>
          <t>JÄMTLANDS LÄN</t>
        </is>
      </c>
      <c r="E1191" t="inlineStr">
        <is>
          <t>BRÄCKE</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44035-2025</t>
        </is>
      </c>
      <c r="B1192" s="1" t="n">
        <v>45915.49084490741</v>
      </c>
      <c r="C1192" s="1" t="n">
        <v>45976</v>
      </c>
      <c r="D1192" t="inlineStr">
        <is>
          <t>JÄMTLANDS LÄN</t>
        </is>
      </c>
      <c r="E1192" t="inlineStr">
        <is>
          <t>BRÄCKE</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15423-2025</t>
        </is>
      </c>
      <c r="B1193" s="1" t="n">
        <v>45747.4640162037</v>
      </c>
      <c r="C1193" s="1" t="n">
        <v>45976</v>
      </c>
      <c r="D1193" t="inlineStr">
        <is>
          <t>JÄMTLANDS LÄN</t>
        </is>
      </c>
      <c r="E1193" t="inlineStr">
        <is>
          <t>BRÄCKE</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34315-2022</t>
        </is>
      </c>
      <c r="B1194" s="1" t="n">
        <v>44792</v>
      </c>
      <c r="C1194" s="1" t="n">
        <v>45976</v>
      </c>
      <c r="D1194" t="inlineStr">
        <is>
          <t>JÄMTLANDS LÄN</t>
        </is>
      </c>
      <c r="E1194" t="inlineStr">
        <is>
          <t>BRÄCKE</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52991-2025</t>
        </is>
      </c>
      <c r="B1195" s="1" t="n">
        <v>45957.71960648148</v>
      </c>
      <c r="C1195" s="1" t="n">
        <v>45976</v>
      </c>
      <c r="D1195" t="inlineStr">
        <is>
          <t>JÄMTLANDS LÄN</t>
        </is>
      </c>
      <c r="E1195" t="inlineStr">
        <is>
          <t>BRÄCKE</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21551-2025</t>
        </is>
      </c>
      <c r="B1196" s="1" t="n">
        <v>45782.67771990741</v>
      </c>
      <c r="C1196" s="1" t="n">
        <v>45976</v>
      </c>
      <c r="D1196" t="inlineStr">
        <is>
          <t>JÄMTLANDS LÄN</t>
        </is>
      </c>
      <c r="E1196" t="inlineStr">
        <is>
          <t>BRÄCKE</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54863-2024</t>
        </is>
      </c>
      <c r="B1197" s="1" t="n">
        <v>45618.59431712963</v>
      </c>
      <c r="C1197" s="1" t="n">
        <v>45976</v>
      </c>
      <c r="D1197" t="inlineStr">
        <is>
          <t>JÄMTLANDS LÄN</t>
        </is>
      </c>
      <c r="E1197" t="inlineStr">
        <is>
          <t>BRÄCKE</t>
        </is>
      </c>
      <c r="F1197" t="inlineStr">
        <is>
          <t>SCA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54865-2024</t>
        </is>
      </c>
      <c r="B1198" s="1" t="n">
        <v>45618.59471064815</v>
      </c>
      <c r="C1198" s="1" t="n">
        <v>45976</v>
      </c>
      <c r="D1198" t="inlineStr">
        <is>
          <t>JÄMTLANDS LÄN</t>
        </is>
      </c>
      <c r="E1198" t="inlineStr">
        <is>
          <t>BRÄCKE</t>
        </is>
      </c>
      <c r="F1198" t="inlineStr">
        <is>
          <t>SCA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21549-2025</t>
        </is>
      </c>
      <c r="B1199" s="1" t="n">
        <v>45782.67743055556</v>
      </c>
      <c r="C1199" s="1" t="n">
        <v>45976</v>
      </c>
      <c r="D1199" t="inlineStr">
        <is>
          <t>JÄMTLANDS LÄN</t>
        </is>
      </c>
      <c r="E1199" t="inlineStr">
        <is>
          <t>BRÄCKE</t>
        </is>
      </c>
      <c r="F1199" t="inlineStr">
        <is>
          <t>SCA</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34647-2024</t>
        </is>
      </c>
      <c r="B1200" s="1" t="n">
        <v>45526.47844907407</v>
      </c>
      <c r="C1200" s="1" t="n">
        <v>45976</v>
      </c>
      <c r="D1200" t="inlineStr">
        <is>
          <t>JÄMTLANDS LÄN</t>
        </is>
      </c>
      <c r="E1200" t="inlineStr">
        <is>
          <t>BRÄCKE</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44030-2025</t>
        </is>
      </c>
      <c r="B1201" s="1" t="n">
        <v>45915.49006944444</v>
      </c>
      <c r="C1201" s="1" t="n">
        <v>45976</v>
      </c>
      <c r="D1201" t="inlineStr">
        <is>
          <t>JÄMTLANDS LÄN</t>
        </is>
      </c>
      <c r="E1201" t="inlineStr">
        <is>
          <t>BRÄCKE</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56687-2023</t>
        </is>
      </c>
      <c r="B1202" s="1" t="n">
        <v>45243.96633101852</v>
      </c>
      <c r="C1202" s="1" t="n">
        <v>45976</v>
      </c>
      <c r="D1202" t="inlineStr">
        <is>
          <t>JÄMTLANDS LÄN</t>
        </is>
      </c>
      <c r="E1202" t="inlineStr">
        <is>
          <t>BRÄCKE</t>
        </is>
      </c>
      <c r="F1202" t="inlineStr">
        <is>
          <t>SCA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56688-2023</t>
        </is>
      </c>
      <c r="B1203" s="1" t="n">
        <v>45243.96645833334</v>
      </c>
      <c r="C1203" s="1" t="n">
        <v>45976</v>
      </c>
      <c r="D1203" t="inlineStr">
        <is>
          <t>JÄMTLANDS LÄN</t>
        </is>
      </c>
      <c r="E1203" t="inlineStr">
        <is>
          <t>BRÄCKE</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21305-2025</t>
        </is>
      </c>
      <c r="B1204" s="1" t="n">
        <v>45781.40665509259</v>
      </c>
      <c r="C1204" s="1" t="n">
        <v>45976</v>
      </c>
      <c r="D1204" t="inlineStr">
        <is>
          <t>JÄMTLANDS LÄN</t>
        </is>
      </c>
      <c r="E1204" t="inlineStr">
        <is>
          <t>BRÄCKE</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44245-2025</t>
        </is>
      </c>
      <c r="B1205" s="1" t="n">
        <v>45915.67982638889</v>
      </c>
      <c r="C1205" s="1" t="n">
        <v>45976</v>
      </c>
      <c r="D1205" t="inlineStr">
        <is>
          <t>JÄMTLANDS LÄN</t>
        </is>
      </c>
      <c r="E1205" t="inlineStr">
        <is>
          <t>BRÄCKE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25056-2023</t>
        </is>
      </c>
      <c r="B1206" s="1" t="n">
        <v>45085.94633101852</v>
      </c>
      <c r="C1206" s="1" t="n">
        <v>45976</v>
      </c>
      <c r="D1206" t="inlineStr">
        <is>
          <t>JÄMTLANDS LÄN</t>
        </is>
      </c>
      <c r="E1206" t="inlineStr">
        <is>
          <t>BRÄCKE</t>
        </is>
      </c>
      <c r="F1206" t="inlineStr">
        <is>
          <t>SCA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44057-2025</t>
        </is>
      </c>
      <c r="B1207" s="1" t="n">
        <v>45915.53097222222</v>
      </c>
      <c r="C1207" s="1" t="n">
        <v>45976</v>
      </c>
      <c r="D1207" t="inlineStr">
        <is>
          <t>JÄMTLANDS LÄN</t>
        </is>
      </c>
      <c r="E1207" t="inlineStr">
        <is>
          <t>BRÄCKE</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22164-2025</t>
        </is>
      </c>
      <c r="B1208" s="1" t="n">
        <v>45785.59428240741</v>
      </c>
      <c r="C1208" s="1" t="n">
        <v>45976</v>
      </c>
      <c r="D1208" t="inlineStr">
        <is>
          <t>JÄMTLANDS LÄN</t>
        </is>
      </c>
      <c r="E1208" t="inlineStr">
        <is>
          <t>BRÄCKE</t>
        </is>
      </c>
      <c r="F1208" t="inlineStr">
        <is>
          <t>SCA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64266-2023</t>
        </is>
      </c>
      <c r="B1209" s="1" t="n">
        <v>45279.94579861111</v>
      </c>
      <c r="C1209" s="1" t="n">
        <v>45976</v>
      </c>
      <c r="D1209" t="inlineStr">
        <is>
          <t>JÄMTLANDS LÄN</t>
        </is>
      </c>
      <c r="E1209" t="inlineStr">
        <is>
          <t>BRÄCKE</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21961-2025</t>
        </is>
      </c>
      <c r="B1210" s="1" t="n">
        <v>45784.61517361111</v>
      </c>
      <c r="C1210" s="1" t="n">
        <v>45976</v>
      </c>
      <c r="D1210" t="inlineStr">
        <is>
          <t>JÄMTLANDS LÄN</t>
        </is>
      </c>
      <c r="E1210" t="inlineStr">
        <is>
          <t>BRÄCKE</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30102-2021</t>
        </is>
      </c>
      <c r="B1211" s="1" t="n">
        <v>44363</v>
      </c>
      <c r="C1211" s="1" t="n">
        <v>45976</v>
      </c>
      <c r="D1211" t="inlineStr">
        <is>
          <t>JÄMTLANDS LÄN</t>
        </is>
      </c>
      <c r="E1211" t="inlineStr">
        <is>
          <t>BRÄCKE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24214-2023</t>
        </is>
      </c>
      <c r="B1212" s="1" t="n">
        <v>45079.5752199074</v>
      </c>
      <c r="C1212" s="1" t="n">
        <v>45976</v>
      </c>
      <c r="D1212" t="inlineStr">
        <is>
          <t>JÄMTLANDS LÄN</t>
        </is>
      </c>
      <c r="E1212" t="inlineStr">
        <is>
          <t>BRÄCKE</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56641-2022</t>
        </is>
      </c>
      <c r="B1213" s="1" t="n">
        <v>44893</v>
      </c>
      <c r="C1213" s="1" t="n">
        <v>45976</v>
      </c>
      <c r="D1213" t="inlineStr">
        <is>
          <t>JÄMTLANDS LÄN</t>
        </is>
      </c>
      <c r="E1213" t="inlineStr">
        <is>
          <t>BRÄCKE</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41694-2025</t>
        </is>
      </c>
      <c r="B1214" s="1" t="n">
        <v>45902</v>
      </c>
      <c r="C1214" s="1" t="n">
        <v>45976</v>
      </c>
      <c r="D1214" t="inlineStr">
        <is>
          <t>JÄMTLANDS LÄN</t>
        </is>
      </c>
      <c r="E1214" t="inlineStr">
        <is>
          <t>BRÄCKE</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52468-2025</t>
        </is>
      </c>
      <c r="B1215" s="1" t="n">
        <v>45954.44833333333</v>
      </c>
      <c r="C1215" s="1" t="n">
        <v>45976</v>
      </c>
      <c r="D1215" t="inlineStr">
        <is>
          <t>JÄMTLANDS LÄN</t>
        </is>
      </c>
      <c r="E1215" t="inlineStr">
        <is>
          <t>BRÄCKE</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19584-2024</t>
        </is>
      </c>
      <c r="B1216" s="1" t="n">
        <v>45429</v>
      </c>
      <c r="C1216" s="1" t="n">
        <v>45976</v>
      </c>
      <c r="D1216" t="inlineStr">
        <is>
          <t>JÄMTLANDS LÄN</t>
        </is>
      </c>
      <c r="E1216" t="inlineStr">
        <is>
          <t>BRÄCKE</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23081-2024</t>
        </is>
      </c>
      <c r="B1217" s="1" t="n">
        <v>45450.50152777778</v>
      </c>
      <c r="C1217" s="1" t="n">
        <v>45976</v>
      </c>
      <c r="D1217" t="inlineStr">
        <is>
          <t>JÄMTLANDS LÄN</t>
        </is>
      </c>
      <c r="E1217" t="inlineStr">
        <is>
          <t>BRÄCKE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30569-2024</t>
        </is>
      </c>
      <c r="B1218" s="1" t="n">
        <v>45492.95690972222</v>
      </c>
      <c r="C1218" s="1" t="n">
        <v>45976</v>
      </c>
      <c r="D1218" t="inlineStr">
        <is>
          <t>JÄMTLANDS LÄN</t>
        </is>
      </c>
      <c r="E1218" t="inlineStr">
        <is>
          <t>BRÄCKE</t>
        </is>
      </c>
      <c r="F1218" t="inlineStr">
        <is>
          <t>SCA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47746-2024</t>
        </is>
      </c>
      <c r="B1219" s="1" t="n">
        <v>45588.53438657407</v>
      </c>
      <c r="C1219" s="1" t="n">
        <v>45976</v>
      </c>
      <c r="D1219" t="inlineStr">
        <is>
          <t>JÄMTLANDS LÄN</t>
        </is>
      </c>
      <c r="E1219" t="inlineStr">
        <is>
          <t>BRÄCKE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44216-2025</t>
        </is>
      </c>
      <c r="B1220" s="1" t="n">
        <v>45915.6359837963</v>
      </c>
      <c r="C1220" s="1" t="n">
        <v>45976</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32229-2023</t>
        </is>
      </c>
      <c r="B1221" s="1" t="n">
        <v>45119.94334490741</v>
      </c>
      <c r="C1221" s="1" t="n">
        <v>45976</v>
      </c>
      <c r="D1221" t="inlineStr">
        <is>
          <t>JÄMTLANDS LÄN</t>
        </is>
      </c>
      <c r="E1221" t="inlineStr">
        <is>
          <t>BRÄCKE</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52771-2025</t>
        </is>
      </c>
      <c r="B1222" s="1" t="n">
        <v>45957.41019675926</v>
      </c>
      <c r="C1222" s="1" t="n">
        <v>45976</v>
      </c>
      <c r="D1222" t="inlineStr">
        <is>
          <t>JÄMTLANDS LÄN</t>
        </is>
      </c>
      <c r="E1222" t="inlineStr">
        <is>
          <t>BRÄCKE</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52798-2025</t>
        </is>
      </c>
      <c r="B1223" s="1" t="n">
        <v>45957.44013888889</v>
      </c>
      <c r="C1223" s="1" t="n">
        <v>45976</v>
      </c>
      <c r="D1223" t="inlineStr">
        <is>
          <t>JÄMTLANDS LÄN</t>
        </is>
      </c>
      <c r="E1223" t="inlineStr">
        <is>
          <t>BRÄCKE</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43736-2025</t>
        </is>
      </c>
      <c r="B1224" s="1" t="n">
        <v>45912.44840277778</v>
      </c>
      <c r="C1224" s="1" t="n">
        <v>45976</v>
      </c>
      <c r="D1224" t="inlineStr">
        <is>
          <t>JÄMTLANDS LÄN</t>
        </is>
      </c>
      <c r="E1224" t="inlineStr">
        <is>
          <t>BRÄCKE</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43723-2025</t>
        </is>
      </c>
      <c r="B1225" s="1" t="n">
        <v>45912.42844907408</v>
      </c>
      <c r="C1225" s="1" t="n">
        <v>45976</v>
      </c>
      <c r="D1225" t="inlineStr">
        <is>
          <t>JÄMTLANDS LÄN</t>
        </is>
      </c>
      <c r="E1225" t="inlineStr">
        <is>
          <t>BRÄCKE</t>
        </is>
      </c>
      <c r="F1225" t="inlineStr">
        <is>
          <t>SCA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40394-2023</t>
        </is>
      </c>
      <c r="B1226" s="1" t="n">
        <v>45169.93751157408</v>
      </c>
      <c r="C1226" s="1" t="n">
        <v>45976</v>
      </c>
      <c r="D1226" t="inlineStr">
        <is>
          <t>JÄMTLANDS LÄN</t>
        </is>
      </c>
      <c r="E1226" t="inlineStr">
        <is>
          <t>BRÄCKE</t>
        </is>
      </c>
      <c r="F1226" t="inlineStr">
        <is>
          <t>SCA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34409-2021</t>
        </is>
      </c>
      <c r="B1227" s="1" t="n">
        <v>44379</v>
      </c>
      <c r="C1227" s="1" t="n">
        <v>45976</v>
      </c>
      <c r="D1227" t="inlineStr">
        <is>
          <t>JÄMTLANDS LÄN</t>
        </is>
      </c>
      <c r="E1227" t="inlineStr">
        <is>
          <t>BRÄCKE</t>
        </is>
      </c>
      <c r="F1227" t="inlineStr">
        <is>
          <t>SCA</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31520-2022</t>
        </is>
      </c>
      <c r="B1228" s="1" t="n">
        <v>44774.94930555556</v>
      </c>
      <c r="C1228" s="1" t="n">
        <v>45976</v>
      </c>
      <c r="D1228" t="inlineStr">
        <is>
          <t>JÄMTLANDS LÄN</t>
        </is>
      </c>
      <c r="E1228" t="inlineStr">
        <is>
          <t>BRÄCKE</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52760-2023</t>
        </is>
      </c>
      <c r="B1229" s="1" t="n">
        <v>45225</v>
      </c>
      <c r="C1229" s="1" t="n">
        <v>45976</v>
      </c>
      <c r="D1229" t="inlineStr">
        <is>
          <t>JÄMTLANDS LÄN</t>
        </is>
      </c>
      <c r="E1229" t="inlineStr">
        <is>
          <t>BRÄCKE</t>
        </is>
      </c>
      <c r="F1229" t="inlineStr">
        <is>
          <t>SCA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44247-2025</t>
        </is>
      </c>
      <c r="B1230" s="1" t="n">
        <v>45915.68195601852</v>
      </c>
      <c r="C1230" s="1" t="n">
        <v>45976</v>
      </c>
      <c r="D1230" t="inlineStr">
        <is>
          <t>JÄMTLANDS LÄN</t>
        </is>
      </c>
      <c r="E1230" t="inlineStr">
        <is>
          <t>BRÄCKE</t>
        </is>
      </c>
      <c r="G1230" t="n">
        <v>10.5</v>
      </c>
      <c r="H1230" t="n">
        <v>0</v>
      </c>
      <c r="I1230" t="n">
        <v>0</v>
      </c>
      <c r="J1230" t="n">
        <v>0</v>
      </c>
      <c r="K1230" t="n">
        <v>0</v>
      </c>
      <c r="L1230" t="n">
        <v>0</v>
      </c>
      <c r="M1230" t="n">
        <v>0</v>
      </c>
      <c r="N1230" t="n">
        <v>0</v>
      </c>
      <c r="O1230" t="n">
        <v>0</v>
      </c>
      <c r="P1230" t="n">
        <v>0</v>
      </c>
      <c r="Q1230" t="n">
        <v>0</v>
      </c>
      <c r="R1230" s="2" t="inlineStr"/>
    </row>
    <row r="1231" ht="15" customHeight="1">
      <c r="A1231" t="inlineStr">
        <is>
          <t>A 24026-2024</t>
        </is>
      </c>
      <c r="B1231" s="1" t="n">
        <v>45456.45159722222</v>
      </c>
      <c r="C1231" s="1" t="n">
        <v>45976</v>
      </c>
      <c r="D1231" t="inlineStr">
        <is>
          <t>JÄMTLANDS LÄN</t>
        </is>
      </c>
      <c r="E1231" t="inlineStr">
        <is>
          <t>BRÄCKE</t>
        </is>
      </c>
      <c r="F1231" t="inlineStr">
        <is>
          <t>Övriga Aktiebolag</t>
        </is>
      </c>
      <c r="G1231" t="n">
        <v>23.7</v>
      </c>
      <c r="H1231" t="n">
        <v>0</v>
      </c>
      <c r="I1231" t="n">
        <v>0</v>
      </c>
      <c r="J1231" t="n">
        <v>0</v>
      </c>
      <c r="K1231" t="n">
        <v>0</v>
      </c>
      <c r="L1231" t="n">
        <v>0</v>
      </c>
      <c r="M1231" t="n">
        <v>0</v>
      </c>
      <c r="N1231" t="n">
        <v>0</v>
      </c>
      <c r="O1231" t="n">
        <v>0</v>
      </c>
      <c r="P1231" t="n">
        <v>0</v>
      </c>
      <c r="Q1231" t="n">
        <v>0</v>
      </c>
      <c r="R1231" s="2" t="inlineStr"/>
    </row>
    <row r="1232" ht="15" customHeight="1">
      <c r="A1232" t="inlineStr">
        <is>
          <t>A 22936-2024</t>
        </is>
      </c>
      <c r="B1232" s="1" t="n">
        <v>45448.94478009259</v>
      </c>
      <c r="C1232" s="1" t="n">
        <v>45976</v>
      </c>
      <c r="D1232" t="inlineStr">
        <is>
          <t>JÄMTLANDS LÄN</t>
        </is>
      </c>
      <c r="E1232" t="inlineStr">
        <is>
          <t>BRÄCKE</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67613-2020</t>
        </is>
      </c>
      <c r="B1233" s="1" t="n">
        <v>44181</v>
      </c>
      <c r="C1233" s="1" t="n">
        <v>45976</v>
      </c>
      <c r="D1233" t="inlineStr">
        <is>
          <t>JÄMTLANDS LÄN</t>
        </is>
      </c>
      <c r="E1233" t="inlineStr">
        <is>
          <t>BRÄCKE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48482-2023</t>
        </is>
      </c>
      <c r="B1234" s="1" t="n">
        <v>45206.95846064815</v>
      </c>
      <c r="C1234" s="1" t="n">
        <v>45976</v>
      </c>
      <c r="D1234" t="inlineStr">
        <is>
          <t>JÄMTLANDS LÄN</t>
        </is>
      </c>
      <c r="E1234" t="inlineStr">
        <is>
          <t>BRÄCKE</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22167-2025</t>
        </is>
      </c>
      <c r="B1235" s="1" t="n">
        <v>45785.59498842592</v>
      </c>
      <c r="C1235" s="1" t="n">
        <v>45976</v>
      </c>
      <c r="D1235" t="inlineStr">
        <is>
          <t>JÄMTLANDS LÄN</t>
        </is>
      </c>
      <c r="E1235" t="inlineStr">
        <is>
          <t>BRÄCKE</t>
        </is>
      </c>
      <c r="F1235" t="inlineStr">
        <is>
          <t>SCA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104-2025</t>
        </is>
      </c>
      <c r="B1236" s="1" t="n">
        <v>45659</v>
      </c>
      <c r="C1236" s="1" t="n">
        <v>45976</v>
      </c>
      <c r="D1236" t="inlineStr">
        <is>
          <t>JÄMTLANDS LÄN</t>
        </is>
      </c>
      <c r="E1236" t="inlineStr">
        <is>
          <t>BRÄCKE</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9706-2025</t>
        </is>
      </c>
      <c r="B1237" s="1" t="n">
        <v>45716.3858912037</v>
      </c>
      <c r="C1237" s="1" t="n">
        <v>45976</v>
      </c>
      <c r="D1237" t="inlineStr">
        <is>
          <t>JÄMTLANDS LÄN</t>
        </is>
      </c>
      <c r="E1237" t="inlineStr">
        <is>
          <t>BRÄCKE</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51827-2023</t>
        </is>
      </c>
      <c r="B1238" s="1" t="n">
        <v>45222.96791666667</v>
      </c>
      <c r="C1238" s="1" t="n">
        <v>45976</v>
      </c>
      <c r="D1238" t="inlineStr">
        <is>
          <t>JÄMTLANDS LÄN</t>
        </is>
      </c>
      <c r="E1238" t="inlineStr">
        <is>
          <t>BRÄCKE</t>
        </is>
      </c>
      <c r="F1238" t="inlineStr">
        <is>
          <t>SCA</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51378-2024</t>
        </is>
      </c>
      <c r="B1239" s="1" t="n">
        <v>45604.38572916666</v>
      </c>
      <c r="C1239" s="1" t="n">
        <v>45976</v>
      </c>
      <c r="D1239" t="inlineStr">
        <is>
          <t>JÄMTLANDS LÄN</t>
        </is>
      </c>
      <c r="E1239" t="inlineStr">
        <is>
          <t>BRÄCKE</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53114-2025</t>
        </is>
      </c>
      <c r="B1240" s="1" t="n">
        <v>45958.44440972222</v>
      </c>
      <c r="C1240" s="1" t="n">
        <v>45976</v>
      </c>
      <c r="D1240" t="inlineStr">
        <is>
          <t>JÄMTLANDS LÄN</t>
        </is>
      </c>
      <c r="E1240" t="inlineStr">
        <is>
          <t>BRÄCKE</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22000-2025</t>
        </is>
      </c>
      <c r="B1241" s="1" t="n">
        <v>45784.69851851852</v>
      </c>
      <c r="C1241" s="1" t="n">
        <v>45976</v>
      </c>
      <c r="D1241" t="inlineStr">
        <is>
          <t>JÄMTLANDS LÄN</t>
        </is>
      </c>
      <c r="E1241" t="inlineStr">
        <is>
          <t>BRÄCKE</t>
        </is>
      </c>
      <c r="F1241" t="inlineStr">
        <is>
          <t>SCA</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24531-2022</t>
        </is>
      </c>
      <c r="B1242" s="1" t="n">
        <v>44726</v>
      </c>
      <c r="C1242" s="1" t="n">
        <v>45976</v>
      </c>
      <c r="D1242" t="inlineStr">
        <is>
          <t>JÄMTLANDS LÄN</t>
        </is>
      </c>
      <c r="E1242" t="inlineStr">
        <is>
          <t>BRÄCKE</t>
        </is>
      </c>
      <c r="F1242" t="inlineStr">
        <is>
          <t>SCA</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51195-2024</t>
        </is>
      </c>
      <c r="B1243" s="1" t="n">
        <v>45603.61532407408</v>
      </c>
      <c r="C1243" s="1" t="n">
        <v>45976</v>
      </c>
      <c r="D1243" t="inlineStr">
        <is>
          <t>JÄMTLANDS LÄN</t>
        </is>
      </c>
      <c r="E1243" t="inlineStr">
        <is>
          <t>BRÄCKE</t>
        </is>
      </c>
      <c r="F1243" t="inlineStr">
        <is>
          <t>SCA</t>
        </is>
      </c>
      <c r="G1243" t="n">
        <v>17.4</v>
      </c>
      <c r="H1243" t="n">
        <v>0</v>
      </c>
      <c r="I1243" t="n">
        <v>0</v>
      </c>
      <c r="J1243" t="n">
        <v>0</v>
      </c>
      <c r="K1243" t="n">
        <v>0</v>
      </c>
      <c r="L1243" t="n">
        <v>0</v>
      </c>
      <c r="M1243" t="n">
        <v>0</v>
      </c>
      <c r="N1243" t="n">
        <v>0</v>
      </c>
      <c r="O1243" t="n">
        <v>0</v>
      </c>
      <c r="P1243" t="n">
        <v>0</v>
      </c>
      <c r="Q1243" t="n">
        <v>0</v>
      </c>
      <c r="R1243" s="2" t="inlineStr"/>
    </row>
    <row r="1244" ht="15" customHeight="1">
      <c r="A1244" t="inlineStr">
        <is>
          <t>A 53140-2025</t>
        </is>
      </c>
      <c r="B1244" s="1" t="n">
        <v>45958.4703125</v>
      </c>
      <c r="C1244" s="1" t="n">
        <v>45976</v>
      </c>
      <c r="D1244" t="inlineStr">
        <is>
          <t>JÄMTLANDS LÄN</t>
        </is>
      </c>
      <c r="E1244" t="inlineStr">
        <is>
          <t>BRÄCKE</t>
        </is>
      </c>
      <c r="F1244" t="inlineStr">
        <is>
          <t>Övriga Aktiebolag</t>
        </is>
      </c>
      <c r="G1244" t="n">
        <v>12.1</v>
      </c>
      <c r="H1244" t="n">
        <v>0</v>
      </c>
      <c r="I1244" t="n">
        <v>0</v>
      </c>
      <c r="J1244" t="n">
        <v>0</v>
      </c>
      <c r="K1244" t="n">
        <v>0</v>
      </c>
      <c r="L1244" t="n">
        <v>0</v>
      </c>
      <c r="M1244" t="n">
        <v>0</v>
      </c>
      <c r="N1244" t="n">
        <v>0</v>
      </c>
      <c r="O1244" t="n">
        <v>0</v>
      </c>
      <c r="P1244" t="n">
        <v>0</v>
      </c>
      <c r="Q1244" t="n">
        <v>0</v>
      </c>
      <c r="R1244" s="2" t="inlineStr"/>
    </row>
    <row r="1245" ht="15" customHeight="1">
      <c r="A1245" t="inlineStr">
        <is>
          <t>A 53197-2025</t>
        </is>
      </c>
      <c r="B1245" s="1" t="n">
        <v>45958.57358796296</v>
      </c>
      <c r="C1245" s="1" t="n">
        <v>45976</v>
      </c>
      <c r="D1245" t="inlineStr">
        <is>
          <t>JÄMTLANDS LÄN</t>
        </is>
      </c>
      <c r="E1245" t="inlineStr">
        <is>
          <t>BRÄCKE</t>
        </is>
      </c>
      <c r="F1245" t="inlineStr">
        <is>
          <t>SCA</t>
        </is>
      </c>
      <c r="G1245" t="n">
        <v>43.4</v>
      </c>
      <c r="H1245" t="n">
        <v>0</v>
      </c>
      <c r="I1245" t="n">
        <v>0</v>
      </c>
      <c r="J1245" t="n">
        <v>0</v>
      </c>
      <c r="K1245" t="n">
        <v>0</v>
      </c>
      <c r="L1245" t="n">
        <v>0</v>
      </c>
      <c r="M1245" t="n">
        <v>0</v>
      </c>
      <c r="N1245" t="n">
        <v>0</v>
      </c>
      <c r="O1245" t="n">
        <v>0</v>
      </c>
      <c r="P1245" t="n">
        <v>0</v>
      </c>
      <c r="Q1245" t="n">
        <v>0</v>
      </c>
      <c r="R1245" s="2" t="inlineStr"/>
    </row>
    <row r="1246" ht="15" customHeight="1">
      <c r="A1246" t="inlineStr">
        <is>
          <t>A 22652-2025</t>
        </is>
      </c>
      <c r="B1246" s="1" t="n">
        <v>45789.46920138889</v>
      </c>
      <c r="C1246" s="1" t="n">
        <v>45976</v>
      </c>
      <c r="D1246" t="inlineStr">
        <is>
          <t>JÄMTLANDS LÄN</t>
        </is>
      </c>
      <c r="E1246" t="inlineStr">
        <is>
          <t>BRÄCKE</t>
        </is>
      </c>
      <c r="F1246" t="inlineStr">
        <is>
          <t>SCA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53270-2025</t>
        </is>
      </c>
      <c r="B1247" s="1" t="n">
        <v>45958.70261574074</v>
      </c>
      <c r="C1247" s="1" t="n">
        <v>45976</v>
      </c>
      <c r="D1247" t="inlineStr">
        <is>
          <t>JÄMTLANDS LÄN</t>
        </is>
      </c>
      <c r="E1247" t="inlineStr">
        <is>
          <t>BRÄCKE</t>
        </is>
      </c>
      <c r="G1247" t="n">
        <v>9.9</v>
      </c>
      <c r="H1247" t="n">
        <v>0</v>
      </c>
      <c r="I1247" t="n">
        <v>0</v>
      </c>
      <c r="J1247" t="n">
        <v>0</v>
      </c>
      <c r="K1247" t="n">
        <v>0</v>
      </c>
      <c r="L1247" t="n">
        <v>0</v>
      </c>
      <c r="M1247" t="n">
        <v>0</v>
      </c>
      <c r="N1247" t="n">
        <v>0</v>
      </c>
      <c r="O1247" t="n">
        <v>0</v>
      </c>
      <c r="P1247" t="n">
        <v>0</v>
      </c>
      <c r="Q1247" t="n">
        <v>0</v>
      </c>
      <c r="R1247" s="2" t="inlineStr"/>
    </row>
    <row r="1248" ht="15" customHeight="1">
      <c r="A1248" t="inlineStr">
        <is>
          <t>A 22772-2025</t>
        </is>
      </c>
      <c r="B1248" s="1" t="n">
        <v>45789.63618055556</v>
      </c>
      <c r="C1248" s="1" t="n">
        <v>45976</v>
      </c>
      <c r="D1248" t="inlineStr">
        <is>
          <t>JÄMTLANDS LÄN</t>
        </is>
      </c>
      <c r="E1248" t="inlineStr">
        <is>
          <t>BRÄCKE</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3390-2024</t>
        </is>
      </c>
      <c r="B1249" s="1" t="n">
        <v>45317.94108796296</v>
      </c>
      <c r="C1249" s="1" t="n">
        <v>45976</v>
      </c>
      <c r="D1249" t="inlineStr">
        <is>
          <t>JÄMTLANDS LÄN</t>
        </is>
      </c>
      <c r="E1249" t="inlineStr">
        <is>
          <t>BRÄCKE</t>
        </is>
      </c>
      <c r="F1249" t="inlineStr">
        <is>
          <t>SCA</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62674-2021</t>
        </is>
      </c>
      <c r="B1250" s="1" t="n">
        <v>44503.94478009259</v>
      </c>
      <c r="C1250" s="1" t="n">
        <v>45976</v>
      </c>
      <c r="D1250" t="inlineStr">
        <is>
          <t>JÄMTLANDS LÄN</t>
        </is>
      </c>
      <c r="E1250" t="inlineStr">
        <is>
          <t>BRÄCKE</t>
        </is>
      </c>
      <c r="F1250" t="inlineStr">
        <is>
          <t>SCA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53352-2025</t>
        </is>
      </c>
      <c r="B1251" s="1" t="n">
        <v>45959.44840277778</v>
      </c>
      <c r="C1251" s="1" t="n">
        <v>45976</v>
      </c>
      <c r="D1251" t="inlineStr">
        <is>
          <t>JÄMTLANDS LÄN</t>
        </is>
      </c>
      <c r="E1251" t="inlineStr">
        <is>
          <t>BRÄCKE</t>
        </is>
      </c>
      <c r="F1251" t="inlineStr">
        <is>
          <t>SCA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30479-2022</t>
        </is>
      </c>
      <c r="B1252" s="1" t="n">
        <v>44761.94013888889</v>
      </c>
      <c r="C1252" s="1" t="n">
        <v>45976</v>
      </c>
      <c r="D1252" t="inlineStr">
        <is>
          <t>JÄMTLANDS LÄN</t>
        </is>
      </c>
      <c r="E1252" t="inlineStr">
        <is>
          <t>BRÄCKE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50591-2024</t>
        </is>
      </c>
      <c r="B1253" s="1" t="n">
        <v>45601.6190625</v>
      </c>
      <c r="C1253" s="1" t="n">
        <v>45976</v>
      </c>
      <c r="D1253" t="inlineStr">
        <is>
          <t>JÄMTLANDS LÄN</t>
        </is>
      </c>
      <c r="E1253" t="inlineStr">
        <is>
          <t>BRÄCKE</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22841-2025</t>
        </is>
      </c>
      <c r="B1254" s="1" t="n">
        <v>45789</v>
      </c>
      <c r="C1254" s="1" t="n">
        <v>45976</v>
      </c>
      <c r="D1254" t="inlineStr">
        <is>
          <t>JÄMTLANDS LÄN</t>
        </is>
      </c>
      <c r="E1254" t="inlineStr">
        <is>
          <t>BRÄCKE</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16317-2025</t>
        </is>
      </c>
      <c r="B1255" s="1" t="n">
        <v>45751.3480787037</v>
      </c>
      <c r="C1255" s="1" t="n">
        <v>45976</v>
      </c>
      <c r="D1255" t="inlineStr">
        <is>
          <t>JÄMTLANDS LÄN</t>
        </is>
      </c>
      <c r="E1255" t="inlineStr">
        <is>
          <t>BRÄCKE</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55997-2024</t>
        </is>
      </c>
      <c r="B1256" s="1" t="n">
        <v>45623.6984837963</v>
      </c>
      <c r="C1256" s="1" t="n">
        <v>45976</v>
      </c>
      <c r="D1256" t="inlineStr">
        <is>
          <t>JÄMTLANDS LÄN</t>
        </is>
      </c>
      <c r="E1256" t="inlineStr">
        <is>
          <t>BRÄCKE</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22313-2025</t>
        </is>
      </c>
      <c r="B1257" s="1" t="n">
        <v>45786.38583333333</v>
      </c>
      <c r="C1257" s="1" t="n">
        <v>45976</v>
      </c>
      <c r="D1257" t="inlineStr">
        <is>
          <t>JÄMTLANDS LÄN</t>
        </is>
      </c>
      <c r="E1257" t="inlineStr">
        <is>
          <t>BRÄCKE</t>
        </is>
      </c>
      <c r="F1257" t="inlineStr">
        <is>
          <t>SCA</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53113-2022</t>
        </is>
      </c>
      <c r="B1258" s="1" t="n">
        <v>44873</v>
      </c>
      <c r="C1258" s="1" t="n">
        <v>45976</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53138-2025</t>
        </is>
      </c>
      <c r="B1259" s="1" t="n">
        <v>45958.47013888889</v>
      </c>
      <c r="C1259" s="1" t="n">
        <v>45976</v>
      </c>
      <c r="D1259" t="inlineStr">
        <is>
          <t>JÄMTLANDS LÄN</t>
        </is>
      </c>
      <c r="E1259" t="inlineStr">
        <is>
          <t>BRÄCKE</t>
        </is>
      </c>
      <c r="F1259" t="inlineStr">
        <is>
          <t>Övriga Aktiebolag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4491-2024</t>
        </is>
      </c>
      <c r="B1260" s="1" t="n">
        <v>45327</v>
      </c>
      <c r="C1260" s="1" t="n">
        <v>45976</v>
      </c>
      <c r="D1260" t="inlineStr">
        <is>
          <t>JÄMTLANDS LÄN</t>
        </is>
      </c>
      <c r="E1260" t="inlineStr">
        <is>
          <t>BRÄCKE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3528-2024</t>
        </is>
      </c>
      <c r="B1261" s="1" t="n">
        <v>45320</v>
      </c>
      <c r="C1261" s="1" t="n">
        <v>45976</v>
      </c>
      <c r="D1261" t="inlineStr">
        <is>
          <t>JÄMTLANDS LÄN</t>
        </is>
      </c>
      <c r="E1261" t="inlineStr">
        <is>
          <t>BRÄCKE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53210-2025</t>
        </is>
      </c>
      <c r="B1262" s="1" t="n">
        <v>45958.59469907408</v>
      </c>
      <c r="C1262" s="1" t="n">
        <v>45976</v>
      </c>
      <c r="D1262" t="inlineStr">
        <is>
          <t>JÄMTLANDS LÄN</t>
        </is>
      </c>
      <c r="E1262" t="inlineStr">
        <is>
          <t>BRÄCKE</t>
        </is>
      </c>
      <c r="F1262" t="inlineStr">
        <is>
          <t>SCA</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6378-2025</t>
        </is>
      </c>
      <c r="B1263" s="1" t="n">
        <v>45699.40689814815</v>
      </c>
      <c r="C1263" s="1" t="n">
        <v>45976</v>
      </c>
      <c r="D1263" t="inlineStr">
        <is>
          <t>JÄMTLANDS LÄN</t>
        </is>
      </c>
      <c r="E1263" t="inlineStr">
        <is>
          <t>BRÄCKE</t>
        </is>
      </c>
      <c r="F1263" t="inlineStr">
        <is>
          <t>SCA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18255-2025</t>
        </is>
      </c>
      <c r="B1264" s="1" t="n">
        <v>45762.3446412037</v>
      </c>
      <c r="C1264" s="1" t="n">
        <v>45976</v>
      </c>
      <c r="D1264" t="inlineStr">
        <is>
          <t>JÄMTLANDS LÄN</t>
        </is>
      </c>
      <c r="E1264" t="inlineStr">
        <is>
          <t>BRÄCKE</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10088-2025</t>
        </is>
      </c>
      <c r="B1265" s="1" t="n">
        <v>45719.57335648148</v>
      </c>
      <c r="C1265" s="1" t="n">
        <v>45976</v>
      </c>
      <c r="D1265" t="inlineStr">
        <is>
          <t>JÄMTLANDS LÄN</t>
        </is>
      </c>
      <c r="E1265" t="inlineStr">
        <is>
          <t>BRÄCKE</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10106-2025</t>
        </is>
      </c>
      <c r="B1266" s="1" t="n">
        <v>45719.58611111111</v>
      </c>
      <c r="C1266" s="1" t="n">
        <v>45976</v>
      </c>
      <c r="D1266" t="inlineStr">
        <is>
          <t>JÄMTLANDS LÄN</t>
        </is>
      </c>
      <c r="E1266" t="inlineStr">
        <is>
          <t>BRÄCKE</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53139-2025</t>
        </is>
      </c>
      <c r="B1267" s="1" t="n">
        <v>45958.47019675926</v>
      </c>
      <c r="C1267" s="1" t="n">
        <v>45976</v>
      </c>
      <c r="D1267" t="inlineStr">
        <is>
          <t>JÄMTLANDS LÄN</t>
        </is>
      </c>
      <c r="E1267" t="inlineStr">
        <is>
          <t>BRÄCKE</t>
        </is>
      </c>
      <c r="F1267" t="inlineStr">
        <is>
          <t>Övriga Aktiebolag</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53185-2025</t>
        </is>
      </c>
      <c r="B1268" s="1" t="n">
        <v>45958.55537037037</v>
      </c>
      <c r="C1268" s="1" t="n">
        <v>45976</v>
      </c>
      <c r="D1268" t="inlineStr">
        <is>
          <t>JÄMTLANDS LÄN</t>
        </is>
      </c>
      <c r="E1268" t="inlineStr">
        <is>
          <t>BRÄCKE</t>
        </is>
      </c>
      <c r="G1268" t="n">
        <v>8</v>
      </c>
      <c r="H1268" t="n">
        <v>0</v>
      </c>
      <c r="I1268" t="n">
        <v>0</v>
      </c>
      <c r="J1268" t="n">
        <v>0</v>
      </c>
      <c r="K1268" t="n">
        <v>0</v>
      </c>
      <c r="L1268" t="n">
        <v>0</v>
      </c>
      <c r="M1268" t="n">
        <v>0</v>
      </c>
      <c r="N1268" t="n">
        <v>0</v>
      </c>
      <c r="O1268" t="n">
        <v>0</v>
      </c>
      <c r="P1268" t="n">
        <v>0</v>
      </c>
      <c r="Q1268" t="n">
        <v>0</v>
      </c>
      <c r="R1268" s="2" t="inlineStr"/>
    </row>
    <row r="1269" ht="15" customHeight="1">
      <c r="A1269" t="inlineStr">
        <is>
          <t>A 22792-2025</t>
        </is>
      </c>
      <c r="B1269" s="1" t="n">
        <v>45789.65681712963</v>
      </c>
      <c r="C1269" s="1" t="n">
        <v>45976</v>
      </c>
      <c r="D1269" t="inlineStr">
        <is>
          <t>JÄMTLANDS LÄN</t>
        </is>
      </c>
      <c r="E1269" t="inlineStr">
        <is>
          <t>BRÄCKE</t>
        </is>
      </c>
      <c r="F1269" t="inlineStr">
        <is>
          <t>SCA</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22816-2025</t>
        </is>
      </c>
      <c r="B1270" s="1" t="n">
        <v>45789.69841435185</v>
      </c>
      <c r="C1270" s="1" t="n">
        <v>45976</v>
      </c>
      <c r="D1270" t="inlineStr">
        <is>
          <t>JÄMTLANDS LÄN</t>
        </is>
      </c>
      <c r="E1270" t="inlineStr">
        <is>
          <t>BRÄCKE</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54009-2025</t>
        </is>
      </c>
      <c r="B1271" s="1" t="n">
        <v>45961.61516203704</v>
      </c>
      <c r="C1271" s="1" t="n">
        <v>45976</v>
      </c>
      <c r="D1271" t="inlineStr">
        <is>
          <t>JÄMTLANDS LÄN</t>
        </is>
      </c>
      <c r="E1271" t="inlineStr">
        <is>
          <t>BRÄCKE</t>
        </is>
      </c>
      <c r="F1271" t="inlineStr">
        <is>
          <t>SCA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54010-2025</t>
        </is>
      </c>
      <c r="B1272" s="1" t="n">
        <v>45961.6153125</v>
      </c>
      <c r="C1272" s="1" t="n">
        <v>45976</v>
      </c>
      <c r="D1272" t="inlineStr">
        <is>
          <t>JÄMTLANDS LÄN</t>
        </is>
      </c>
      <c r="E1272" t="inlineStr">
        <is>
          <t>BRÄCKE</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54011-2025</t>
        </is>
      </c>
      <c r="B1273" s="1" t="n">
        <v>45961.61545138889</v>
      </c>
      <c r="C1273" s="1" t="n">
        <v>45976</v>
      </c>
      <c r="D1273" t="inlineStr">
        <is>
          <t>JÄMTLANDS LÄN</t>
        </is>
      </c>
      <c r="E1273" t="inlineStr">
        <is>
          <t>BRÄCKE</t>
        </is>
      </c>
      <c r="F1273" t="inlineStr">
        <is>
          <t>SCA</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22670-2025</t>
        </is>
      </c>
      <c r="B1274" s="1" t="n">
        <v>45789.49024305555</v>
      </c>
      <c r="C1274" s="1" t="n">
        <v>45976</v>
      </c>
      <c r="D1274" t="inlineStr">
        <is>
          <t>JÄMTLANDS LÄN</t>
        </is>
      </c>
      <c r="E1274" t="inlineStr">
        <is>
          <t>BRÄCKE</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23363-2025</t>
        </is>
      </c>
      <c r="B1275" s="1" t="n">
        <v>45791.67775462963</v>
      </c>
      <c r="C1275" s="1" t="n">
        <v>45976</v>
      </c>
      <c r="D1275" t="inlineStr">
        <is>
          <t>JÄMTLANDS LÄN</t>
        </is>
      </c>
      <c r="E1275" t="inlineStr">
        <is>
          <t>BRÄCKE</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44843-2025</t>
        </is>
      </c>
      <c r="B1276" s="1" t="n">
        <v>45918.43283564815</v>
      </c>
      <c r="C1276" s="1" t="n">
        <v>45976</v>
      </c>
      <c r="D1276" t="inlineStr">
        <is>
          <t>JÄMTLANDS LÄN</t>
        </is>
      </c>
      <c r="E1276" t="inlineStr">
        <is>
          <t>BRÄCKE</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44854-2025</t>
        </is>
      </c>
      <c r="B1277" s="1" t="n">
        <v>45918.44819444444</v>
      </c>
      <c r="C1277" s="1" t="n">
        <v>45976</v>
      </c>
      <c r="D1277" t="inlineStr">
        <is>
          <t>JÄMTLANDS LÄN</t>
        </is>
      </c>
      <c r="E1277" t="inlineStr">
        <is>
          <t>BRÄCKE</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11313-2022</t>
        </is>
      </c>
      <c r="B1278" s="1" t="n">
        <v>44629.94712962963</v>
      </c>
      <c r="C1278" s="1" t="n">
        <v>45976</v>
      </c>
      <c r="D1278" t="inlineStr">
        <is>
          <t>JÄMTLANDS LÄN</t>
        </is>
      </c>
      <c r="E1278" t="inlineStr">
        <is>
          <t>BRÄCKE</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53829-2025</t>
        </is>
      </c>
      <c r="B1279" s="1" t="n">
        <v>45961.34475694445</v>
      </c>
      <c r="C1279" s="1" t="n">
        <v>45976</v>
      </c>
      <c r="D1279" t="inlineStr">
        <is>
          <t>JÄMTLANDS LÄN</t>
        </is>
      </c>
      <c r="E1279" t="inlineStr">
        <is>
          <t>BRÄCKE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22940-2025</t>
        </is>
      </c>
      <c r="B1280" s="1" t="n">
        <v>45790.46918981482</v>
      </c>
      <c r="C1280" s="1" t="n">
        <v>45976</v>
      </c>
      <c r="D1280" t="inlineStr">
        <is>
          <t>JÄMTLANDS LÄN</t>
        </is>
      </c>
      <c r="E1280" t="inlineStr">
        <is>
          <t>BRÄCKE</t>
        </is>
      </c>
      <c r="F1280" t="inlineStr">
        <is>
          <t>SCA</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23747-2021</t>
        </is>
      </c>
      <c r="B1281" s="1" t="n">
        <v>44334</v>
      </c>
      <c r="C1281" s="1" t="n">
        <v>45976</v>
      </c>
      <c r="D1281" t="inlineStr">
        <is>
          <t>JÄMTLANDS LÄN</t>
        </is>
      </c>
      <c r="E1281" t="inlineStr">
        <is>
          <t>BRÄCKE</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13019-2023</t>
        </is>
      </c>
      <c r="B1282" s="1" t="n">
        <v>45001</v>
      </c>
      <c r="C1282" s="1" t="n">
        <v>45976</v>
      </c>
      <c r="D1282" t="inlineStr">
        <is>
          <t>JÄMTLANDS LÄN</t>
        </is>
      </c>
      <c r="E1282" t="inlineStr">
        <is>
          <t>BRÄCKE</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61362-2024</t>
        </is>
      </c>
      <c r="B1283" s="1" t="n">
        <v>45646.3857175926</v>
      </c>
      <c r="C1283" s="1" t="n">
        <v>45976</v>
      </c>
      <c r="D1283" t="inlineStr">
        <is>
          <t>JÄMTLANDS LÄN</t>
        </is>
      </c>
      <c r="E1283" t="inlineStr">
        <is>
          <t>BRÄCKE</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23211-2025</t>
        </is>
      </c>
      <c r="B1284" s="1" t="n">
        <v>45791.46956018519</v>
      </c>
      <c r="C1284" s="1" t="n">
        <v>45976</v>
      </c>
      <c r="D1284" t="inlineStr">
        <is>
          <t>JÄMTLANDS LÄN</t>
        </is>
      </c>
      <c r="E1284" t="inlineStr">
        <is>
          <t>BRÄCKE</t>
        </is>
      </c>
      <c r="F1284" t="inlineStr">
        <is>
          <t>SCA</t>
        </is>
      </c>
      <c r="G1284" t="n">
        <v>8</v>
      </c>
      <c r="H1284" t="n">
        <v>0</v>
      </c>
      <c r="I1284" t="n">
        <v>0</v>
      </c>
      <c r="J1284" t="n">
        <v>0</v>
      </c>
      <c r="K1284" t="n">
        <v>0</v>
      </c>
      <c r="L1284" t="n">
        <v>0</v>
      </c>
      <c r="M1284" t="n">
        <v>0</v>
      </c>
      <c r="N1284" t="n">
        <v>0</v>
      </c>
      <c r="O1284" t="n">
        <v>0</v>
      </c>
      <c r="P1284" t="n">
        <v>0</v>
      </c>
      <c r="Q1284" t="n">
        <v>0</v>
      </c>
      <c r="R1284" s="2" t="inlineStr"/>
    </row>
    <row r="1285" ht="15" customHeight="1">
      <c r="A1285" t="inlineStr">
        <is>
          <t>A 49339-2024</t>
        </is>
      </c>
      <c r="B1285" s="1" t="n">
        <v>45595.59420138889</v>
      </c>
      <c r="C1285" s="1" t="n">
        <v>45976</v>
      </c>
      <c r="D1285" t="inlineStr">
        <is>
          <t>JÄMTLANDS LÄN</t>
        </is>
      </c>
      <c r="E1285" t="inlineStr">
        <is>
          <t>BRÄCKE</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22958-2025</t>
        </is>
      </c>
      <c r="B1286" s="1" t="n">
        <v>45790.53184027778</v>
      </c>
      <c r="C1286" s="1" t="n">
        <v>45976</v>
      </c>
      <c r="D1286" t="inlineStr">
        <is>
          <t>JÄMTLANDS LÄN</t>
        </is>
      </c>
      <c r="E1286" t="inlineStr">
        <is>
          <t>BRÄCKE</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22957-2025</t>
        </is>
      </c>
      <c r="B1287" s="1" t="n">
        <v>45790.53179398148</v>
      </c>
      <c r="C1287" s="1" t="n">
        <v>45976</v>
      </c>
      <c r="D1287" t="inlineStr">
        <is>
          <t>JÄMTLANDS LÄN</t>
        </is>
      </c>
      <c r="E1287" t="inlineStr">
        <is>
          <t>BRÄCKE</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60178-2022</t>
        </is>
      </c>
      <c r="B1288" s="1" t="n">
        <v>44909</v>
      </c>
      <c r="C1288" s="1" t="n">
        <v>45976</v>
      </c>
      <c r="D1288" t="inlineStr">
        <is>
          <t>JÄMTLANDS LÄN</t>
        </is>
      </c>
      <c r="E1288" t="inlineStr">
        <is>
          <t>BRÄCKE</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22981-2024</t>
        </is>
      </c>
      <c r="B1289" s="1" t="n">
        <v>45449.90369212963</v>
      </c>
      <c r="C1289" s="1" t="n">
        <v>45976</v>
      </c>
      <c r="D1289" t="inlineStr">
        <is>
          <t>JÄMTLANDS LÄN</t>
        </is>
      </c>
      <c r="E1289" t="inlineStr">
        <is>
          <t>BRÄCKE</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44847-2025</t>
        </is>
      </c>
      <c r="B1290" s="1" t="n">
        <v>45918.44200231481</v>
      </c>
      <c r="C1290" s="1" t="n">
        <v>45976</v>
      </c>
      <c r="D1290" t="inlineStr">
        <is>
          <t>JÄMTLANDS LÄN</t>
        </is>
      </c>
      <c r="E1290" t="inlineStr">
        <is>
          <t>BRÄCKE</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54007-2025</t>
        </is>
      </c>
      <c r="B1291" s="1" t="n">
        <v>45961.61497685185</v>
      </c>
      <c r="C1291" s="1" t="n">
        <v>45976</v>
      </c>
      <c r="D1291" t="inlineStr">
        <is>
          <t>JÄMTLANDS LÄN</t>
        </is>
      </c>
      <c r="E1291" t="inlineStr">
        <is>
          <t>BRÄCKE</t>
        </is>
      </c>
      <c r="F1291" t="inlineStr">
        <is>
          <t>SCA</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53844-2025</t>
        </is>
      </c>
      <c r="B1292" s="1" t="n">
        <v>45961.36488425926</v>
      </c>
      <c r="C1292" s="1" t="n">
        <v>45976</v>
      </c>
      <c r="D1292" t="inlineStr">
        <is>
          <t>JÄMTLANDS LÄN</t>
        </is>
      </c>
      <c r="E1292" t="inlineStr">
        <is>
          <t>BRÄCKE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29821-2022</t>
        </is>
      </c>
      <c r="B1293" s="1" t="n">
        <v>44755.94486111111</v>
      </c>
      <c r="C1293" s="1" t="n">
        <v>45976</v>
      </c>
      <c r="D1293" t="inlineStr">
        <is>
          <t>JÄMTLANDS LÄN</t>
        </is>
      </c>
      <c r="E1293" t="inlineStr">
        <is>
          <t>BRÄCKE</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16466-2024</t>
        </is>
      </c>
      <c r="B1294" s="1" t="n">
        <v>45408.050625</v>
      </c>
      <c r="C1294" s="1" t="n">
        <v>45976</v>
      </c>
      <c r="D1294" t="inlineStr">
        <is>
          <t>JÄMTLANDS LÄN</t>
        </is>
      </c>
      <c r="E1294" t="inlineStr">
        <is>
          <t>BRÄCKE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23344-2025</t>
        </is>
      </c>
      <c r="B1295" s="1" t="n">
        <v>45791.65712962963</v>
      </c>
      <c r="C1295" s="1" t="n">
        <v>45976</v>
      </c>
      <c r="D1295" t="inlineStr">
        <is>
          <t>JÄMTLANDS LÄN</t>
        </is>
      </c>
      <c r="E1295" t="inlineStr">
        <is>
          <t>BRÄCKE</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44968-2025</t>
        </is>
      </c>
      <c r="B1296" s="1" t="n">
        <v>45918.63228009259</v>
      </c>
      <c r="C1296" s="1" t="n">
        <v>45976</v>
      </c>
      <c r="D1296" t="inlineStr">
        <is>
          <t>JÄMTLANDS LÄN</t>
        </is>
      </c>
      <c r="E1296" t="inlineStr">
        <is>
          <t>BRÄCKE</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44957-2025</t>
        </is>
      </c>
      <c r="B1297" s="1" t="n">
        <v>45918.615</v>
      </c>
      <c r="C1297" s="1" t="n">
        <v>45976</v>
      </c>
      <c r="D1297" t="inlineStr">
        <is>
          <t>JÄMTLANDS LÄN</t>
        </is>
      </c>
      <c r="E1297" t="inlineStr">
        <is>
          <t>BRÄCKE</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45081-2025</t>
        </is>
      </c>
      <c r="B1298" s="1" t="n">
        <v>45919.36574074074</v>
      </c>
      <c r="C1298" s="1" t="n">
        <v>45976</v>
      </c>
      <c r="D1298" t="inlineStr">
        <is>
          <t>JÄMTLANDS LÄN</t>
        </is>
      </c>
      <c r="E1298" t="inlineStr">
        <is>
          <t>BRÄCKE</t>
        </is>
      </c>
      <c r="F1298" t="inlineStr">
        <is>
          <t>SCA</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52249-2023</t>
        </is>
      </c>
      <c r="B1299" s="1" t="n">
        <v>45217</v>
      </c>
      <c r="C1299" s="1" t="n">
        <v>45976</v>
      </c>
      <c r="D1299" t="inlineStr">
        <is>
          <t>JÄMTLANDS LÄN</t>
        </is>
      </c>
      <c r="E1299" t="inlineStr">
        <is>
          <t>BRÄCKE</t>
        </is>
      </c>
      <c r="F1299" t="inlineStr">
        <is>
          <t>SCA</t>
        </is>
      </c>
      <c r="G1299" t="n">
        <v>8.5</v>
      </c>
      <c r="H1299" t="n">
        <v>0</v>
      </c>
      <c r="I1299" t="n">
        <v>0</v>
      </c>
      <c r="J1299" t="n">
        <v>0</v>
      </c>
      <c r="K1299" t="n">
        <v>0</v>
      </c>
      <c r="L1299" t="n">
        <v>0</v>
      </c>
      <c r="M1299" t="n">
        <v>0</v>
      </c>
      <c r="N1299" t="n">
        <v>0</v>
      </c>
      <c r="O1299" t="n">
        <v>0</v>
      </c>
      <c r="P1299" t="n">
        <v>0</v>
      </c>
      <c r="Q1299" t="n">
        <v>0</v>
      </c>
      <c r="R1299" s="2" t="inlineStr"/>
    </row>
    <row r="1300" ht="15" customHeight="1">
      <c r="A1300" t="inlineStr">
        <is>
          <t>A 44831-2025</t>
        </is>
      </c>
      <c r="B1300" s="1" t="n">
        <v>45918.40663194445</v>
      </c>
      <c r="C1300" s="1" t="n">
        <v>45976</v>
      </c>
      <c r="D1300" t="inlineStr">
        <is>
          <t>JÄMTLANDS LÄN</t>
        </is>
      </c>
      <c r="E1300" t="inlineStr">
        <is>
          <t>BRÄCKE</t>
        </is>
      </c>
      <c r="F1300" t="inlineStr">
        <is>
          <t>Naturvårdsverket</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44840-2025</t>
        </is>
      </c>
      <c r="B1301" s="1" t="n">
        <v>45918.42769675926</v>
      </c>
      <c r="C1301" s="1" t="n">
        <v>45976</v>
      </c>
      <c r="D1301" t="inlineStr">
        <is>
          <t>JÄMTLANDS LÄN</t>
        </is>
      </c>
      <c r="E1301" t="inlineStr">
        <is>
          <t>BRÄCKE</t>
        </is>
      </c>
      <c r="F1301" t="inlineStr">
        <is>
          <t>SCA</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54334-2023</t>
        </is>
      </c>
      <c r="B1302" s="1" t="n">
        <v>45232.95790509259</v>
      </c>
      <c r="C1302" s="1" t="n">
        <v>45976</v>
      </c>
      <c r="D1302" t="inlineStr">
        <is>
          <t>JÄMTLANDS LÄN</t>
        </is>
      </c>
      <c r="E1302" t="inlineStr">
        <is>
          <t>BRÄCKE</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53943-2025</t>
        </is>
      </c>
      <c r="B1303" s="1" t="n">
        <v>45961.48997685185</v>
      </c>
      <c r="C1303" s="1" t="n">
        <v>45976</v>
      </c>
      <c r="D1303" t="inlineStr">
        <is>
          <t>JÄMTLANDS LÄN</t>
        </is>
      </c>
      <c r="E1303" t="inlineStr">
        <is>
          <t>BRÄCKE</t>
        </is>
      </c>
      <c r="F1303" t="inlineStr">
        <is>
          <t>SCA</t>
        </is>
      </c>
      <c r="G1303" t="n">
        <v>14.2</v>
      </c>
      <c r="H1303" t="n">
        <v>0</v>
      </c>
      <c r="I1303" t="n">
        <v>0</v>
      </c>
      <c r="J1303" t="n">
        <v>0</v>
      </c>
      <c r="K1303" t="n">
        <v>0</v>
      </c>
      <c r="L1303" t="n">
        <v>0</v>
      </c>
      <c r="M1303" t="n">
        <v>0</v>
      </c>
      <c r="N1303" t="n">
        <v>0</v>
      </c>
      <c r="O1303" t="n">
        <v>0</v>
      </c>
      <c r="P1303" t="n">
        <v>0</v>
      </c>
      <c r="Q1303" t="n">
        <v>0</v>
      </c>
      <c r="R1303" s="2" t="inlineStr"/>
    </row>
    <row r="1304" ht="15" customHeight="1">
      <c r="A1304" t="inlineStr">
        <is>
          <t>A 53868-2025</t>
        </is>
      </c>
      <c r="B1304" s="1" t="n">
        <v>45961.38594907407</v>
      </c>
      <c r="C1304" s="1" t="n">
        <v>45976</v>
      </c>
      <c r="D1304" t="inlineStr">
        <is>
          <t>JÄMTLANDS LÄN</t>
        </is>
      </c>
      <c r="E1304" t="inlineStr">
        <is>
          <t>BRÄCKE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23320-2025</t>
        </is>
      </c>
      <c r="B1305" s="1" t="n">
        <v>45791.61528935185</v>
      </c>
      <c r="C1305" s="1" t="n">
        <v>45976</v>
      </c>
      <c r="D1305" t="inlineStr">
        <is>
          <t>JÄMTLANDS LÄN</t>
        </is>
      </c>
      <c r="E1305" t="inlineStr">
        <is>
          <t>BRÄCKE</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23298-2025</t>
        </is>
      </c>
      <c r="B1306" s="1" t="n">
        <v>45791.59456018519</v>
      </c>
      <c r="C1306" s="1" t="n">
        <v>45976</v>
      </c>
      <c r="D1306" t="inlineStr">
        <is>
          <t>JÄMTLANDS LÄN</t>
        </is>
      </c>
      <c r="E1306" t="inlineStr">
        <is>
          <t>BRÄCKE</t>
        </is>
      </c>
      <c r="F1306" t="inlineStr">
        <is>
          <t>SCA</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31521-2022</t>
        </is>
      </c>
      <c r="B1307" s="1" t="n">
        <v>44774.949375</v>
      </c>
      <c r="C1307" s="1" t="n">
        <v>45976</v>
      </c>
      <c r="D1307" t="inlineStr">
        <is>
          <t>JÄMTLANDS LÄN</t>
        </is>
      </c>
      <c r="E1307" t="inlineStr">
        <is>
          <t>BRÄCKE</t>
        </is>
      </c>
      <c r="F1307" t="inlineStr">
        <is>
          <t>SCA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44959-2025</t>
        </is>
      </c>
      <c r="B1308" s="1" t="n">
        <v>45918.61537037037</v>
      </c>
      <c r="C1308" s="1" t="n">
        <v>45976</v>
      </c>
      <c r="D1308" t="inlineStr">
        <is>
          <t>JÄMTLANDS LÄN</t>
        </is>
      </c>
      <c r="E1308" t="inlineStr">
        <is>
          <t>BRÄCKE</t>
        </is>
      </c>
      <c r="F1308" t="inlineStr">
        <is>
          <t>SCA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45797-2025</t>
        </is>
      </c>
      <c r="B1309" s="1" t="n">
        <v>45923.57422453703</v>
      </c>
      <c r="C1309" s="1" t="n">
        <v>45976</v>
      </c>
      <c r="D1309" t="inlineStr">
        <is>
          <t>JÄMTLANDS LÄN</t>
        </is>
      </c>
      <c r="E1309" t="inlineStr">
        <is>
          <t>BRÄCKE</t>
        </is>
      </c>
      <c r="F1309" t="inlineStr">
        <is>
          <t>SCA</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54323-2025</t>
        </is>
      </c>
      <c r="B1310" s="1" t="n">
        <v>45965.34454861111</v>
      </c>
      <c r="C1310" s="1" t="n">
        <v>45976</v>
      </c>
      <c r="D1310" t="inlineStr">
        <is>
          <t>JÄMTLANDS LÄN</t>
        </is>
      </c>
      <c r="E1310" t="inlineStr">
        <is>
          <t>BRÄCKE</t>
        </is>
      </c>
      <c r="F1310" t="inlineStr">
        <is>
          <t>SCA</t>
        </is>
      </c>
      <c r="G1310" t="n">
        <v>10.1</v>
      </c>
      <c r="H1310" t="n">
        <v>0</v>
      </c>
      <c r="I1310" t="n">
        <v>0</v>
      </c>
      <c r="J1310" t="n">
        <v>0</v>
      </c>
      <c r="K1310" t="n">
        <v>0</v>
      </c>
      <c r="L1310" t="n">
        <v>0</v>
      </c>
      <c r="M1310" t="n">
        <v>0</v>
      </c>
      <c r="N1310" t="n">
        <v>0</v>
      </c>
      <c r="O1310" t="n">
        <v>0</v>
      </c>
      <c r="P1310" t="n">
        <v>0</v>
      </c>
      <c r="Q1310" t="n">
        <v>0</v>
      </c>
      <c r="R1310" s="2" t="inlineStr"/>
    </row>
    <row r="1311" ht="15" customHeight="1">
      <c r="A1311" t="inlineStr">
        <is>
          <t>A 54422-2025</t>
        </is>
      </c>
      <c r="B1311" s="1" t="n">
        <v>45965.48649305556</v>
      </c>
      <c r="C1311" s="1" t="n">
        <v>45976</v>
      </c>
      <c r="D1311" t="inlineStr">
        <is>
          <t>JÄMTLANDS LÄN</t>
        </is>
      </c>
      <c r="E1311" t="inlineStr">
        <is>
          <t>BRÄCKE</t>
        </is>
      </c>
      <c r="F1311" t="inlineStr">
        <is>
          <t>Övriga Aktiebolag</t>
        </is>
      </c>
      <c r="G1311" t="n">
        <v>8.4</v>
      </c>
      <c r="H1311" t="n">
        <v>0</v>
      </c>
      <c r="I1311" t="n">
        <v>0</v>
      </c>
      <c r="J1311" t="n">
        <v>0</v>
      </c>
      <c r="K1311" t="n">
        <v>0</v>
      </c>
      <c r="L1311" t="n">
        <v>0</v>
      </c>
      <c r="M1311" t="n">
        <v>0</v>
      </c>
      <c r="N1311" t="n">
        <v>0</v>
      </c>
      <c r="O1311" t="n">
        <v>0</v>
      </c>
      <c r="P1311" t="n">
        <v>0</v>
      </c>
      <c r="Q1311" t="n">
        <v>0</v>
      </c>
      <c r="R1311" s="2" t="inlineStr"/>
    </row>
    <row r="1312" ht="15" customHeight="1">
      <c r="A1312" t="inlineStr">
        <is>
          <t>A 41922-2023</t>
        </is>
      </c>
      <c r="B1312" s="1" t="n">
        <v>45176</v>
      </c>
      <c r="C1312" s="1" t="n">
        <v>45976</v>
      </c>
      <c r="D1312" t="inlineStr">
        <is>
          <t>JÄMTLANDS LÄN</t>
        </is>
      </c>
      <c r="E1312" t="inlineStr">
        <is>
          <t>BRÄCKE</t>
        </is>
      </c>
      <c r="F1312" t="inlineStr">
        <is>
          <t>SCA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11093-2022</t>
        </is>
      </c>
      <c r="B1313" s="1" t="n">
        <v>44628</v>
      </c>
      <c r="C1313" s="1" t="n">
        <v>45976</v>
      </c>
      <c r="D1313" t="inlineStr">
        <is>
          <t>JÄMTLANDS LÄN</t>
        </is>
      </c>
      <c r="E1313" t="inlineStr">
        <is>
          <t>BRÄCKE</t>
        </is>
      </c>
      <c r="G1313" t="n">
        <v>16.4</v>
      </c>
      <c r="H1313" t="n">
        <v>0</v>
      </c>
      <c r="I1313" t="n">
        <v>0</v>
      </c>
      <c r="J1313" t="n">
        <v>0</v>
      </c>
      <c r="K1313" t="n">
        <v>0</v>
      </c>
      <c r="L1313" t="n">
        <v>0</v>
      </c>
      <c r="M1313" t="n">
        <v>0</v>
      </c>
      <c r="N1313" t="n">
        <v>0</v>
      </c>
      <c r="O1313" t="n">
        <v>0</v>
      </c>
      <c r="P1313" t="n">
        <v>0</v>
      </c>
      <c r="Q1313" t="n">
        <v>0</v>
      </c>
      <c r="R1313" s="2" t="inlineStr"/>
    </row>
    <row r="1314" ht="15" customHeight="1">
      <c r="A1314" t="inlineStr">
        <is>
          <t>A 54158-2025</t>
        </is>
      </c>
      <c r="B1314" s="1" t="n">
        <v>45964.50181712963</v>
      </c>
      <c r="C1314" s="1" t="n">
        <v>45976</v>
      </c>
      <c r="D1314" t="inlineStr">
        <is>
          <t>JÄMTLANDS LÄN</t>
        </is>
      </c>
      <c r="E1314" t="inlineStr">
        <is>
          <t>BRÄCKE</t>
        </is>
      </c>
      <c r="G1314" t="n">
        <v>10.6</v>
      </c>
      <c r="H1314" t="n">
        <v>0</v>
      </c>
      <c r="I1314" t="n">
        <v>0</v>
      </c>
      <c r="J1314" t="n">
        <v>0</v>
      </c>
      <c r="K1314" t="n">
        <v>0</v>
      </c>
      <c r="L1314" t="n">
        <v>0</v>
      </c>
      <c r="M1314" t="n">
        <v>0</v>
      </c>
      <c r="N1314" t="n">
        <v>0</v>
      </c>
      <c r="O1314" t="n">
        <v>0</v>
      </c>
      <c r="P1314" t="n">
        <v>0</v>
      </c>
      <c r="Q1314" t="n">
        <v>0</v>
      </c>
      <c r="R1314" s="2" t="inlineStr"/>
    </row>
    <row r="1315" ht="15" customHeight="1">
      <c r="A1315" t="inlineStr">
        <is>
          <t>A 23583-2025</t>
        </is>
      </c>
      <c r="B1315" s="1" t="n">
        <v>45792.63043981481</v>
      </c>
      <c r="C1315" s="1" t="n">
        <v>45976</v>
      </c>
      <c r="D1315" t="inlineStr">
        <is>
          <t>JÄMTLANDS LÄN</t>
        </is>
      </c>
      <c r="E1315" t="inlineStr">
        <is>
          <t>BRÄCKE</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23842-2025</t>
        </is>
      </c>
      <c r="B1316" s="1" t="n">
        <v>45793.61534722222</v>
      </c>
      <c r="C1316" s="1" t="n">
        <v>45976</v>
      </c>
      <c r="D1316" t="inlineStr">
        <is>
          <t>JÄMTLANDS LÄN</t>
        </is>
      </c>
      <c r="E1316" t="inlineStr">
        <is>
          <t>BRÄCKE</t>
        </is>
      </c>
      <c r="F1316" t="inlineStr">
        <is>
          <t>SCA</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5005-2025</t>
        </is>
      </c>
      <c r="B1317" s="1" t="n">
        <v>45691.36862268519</v>
      </c>
      <c r="C1317" s="1" t="n">
        <v>45976</v>
      </c>
      <c r="D1317" t="inlineStr">
        <is>
          <t>JÄMTLANDS LÄN</t>
        </is>
      </c>
      <c r="E1317" t="inlineStr">
        <is>
          <t>BRÄCKE</t>
        </is>
      </c>
      <c r="G1317" t="n">
        <v>9.5</v>
      </c>
      <c r="H1317" t="n">
        <v>0</v>
      </c>
      <c r="I1317" t="n">
        <v>0</v>
      </c>
      <c r="J1317" t="n">
        <v>0</v>
      </c>
      <c r="K1317" t="n">
        <v>0</v>
      </c>
      <c r="L1317" t="n">
        <v>0</v>
      </c>
      <c r="M1317" t="n">
        <v>0</v>
      </c>
      <c r="N1317" t="n">
        <v>0</v>
      </c>
      <c r="O1317" t="n">
        <v>0</v>
      </c>
      <c r="P1317" t="n">
        <v>0</v>
      </c>
      <c r="Q1317" t="n">
        <v>0</v>
      </c>
      <c r="R1317" s="2" t="inlineStr"/>
    </row>
    <row r="1318" ht="15" customHeight="1">
      <c r="A1318" t="inlineStr">
        <is>
          <t>A 20667-2022</t>
        </is>
      </c>
      <c r="B1318" s="1" t="n">
        <v>44700.65226851852</v>
      </c>
      <c r="C1318" s="1" t="n">
        <v>45976</v>
      </c>
      <c r="D1318" t="inlineStr">
        <is>
          <t>JÄMTLANDS LÄN</t>
        </is>
      </c>
      <c r="E1318" t="inlineStr">
        <is>
          <t>BRÄCKE</t>
        </is>
      </c>
      <c r="G1318" t="n">
        <v>13.8</v>
      </c>
      <c r="H1318" t="n">
        <v>0</v>
      </c>
      <c r="I1318" t="n">
        <v>0</v>
      </c>
      <c r="J1318" t="n">
        <v>0</v>
      </c>
      <c r="K1318" t="n">
        <v>0</v>
      </c>
      <c r="L1318" t="n">
        <v>0</v>
      </c>
      <c r="M1318" t="n">
        <v>0</v>
      </c>
      <c r="N1318" t="n">
        <v>0</v>
      </c>
      <c r="O1318" t="n">
        <v>0</v>
      </c>
      <c r="P1318" t="n">
        <v>0</v>
      </c>
      <c r="Q1318" t="n">
        <v>0</v>
      </c>
      <c r="R1318" s="2" t="inlineStr"/>
    </row>
    <row r="1319" ht="15" customHeight="1">
      <c r="A1319" t="inlineStr">
        <is>
          <t>A 20514-2024</t>
        </is>
      </c>
      <c r="B1319" s="1" t="n">
        <v>45435.94387731481</v>
      </c>
      <c r="C1319" s="1" t="n">
        <v>45976</v>
      </c>
      <c r="D1319" t="inlineStr">
        <is>
          <t>JÄMTLANDS LÄN</t>
        </is>
      </c>
      <c r="E1319" t="inlineStr">
        <is>
          <t>BRÄCKE</t>
        </is>
      </c>
      <c r="F1319" t="inlineStr">
        <is>
          <t>SCA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23458-2025</t>
        </is>
      </c>
      <c r="B1320" s="1" t="n">
        <v>45792.42756944444</v>
      </c>
      <c r="C1320" s="1" t="n">
        <v>45976</v>
      </c>
      <c r="D1320" t="inlineStr">
        <is>
          <t>JÄMTLANDS LÄN</t>
        </is>
      </c>
      <c r="E1320" t="inlineStr">
        <is>
          <t>BRÄCKE</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54257-2025</t>
        </is>
      </c>
      <c r="B1321" s="1" t="n">
        <v>45964.65732638889</v>
      </c>
      <c r="C1321" s="1" t="n">
        <v>45976</v>
      </c>
      <c r="D1321" t="inlineStr">
        <is>
          <t>JÄMTLANDS LÄN</t>
        </is>
      </c>
      <c r="E1321" t="inlineStr">
        <is>
          <t>BRÄCKE</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59914-2022</t>
        </is>
      </c>
      <c r="B1322" s="1" t="n">
        <v>44908.96010416667</v>
      </c>
      <c r="C1322" s="1" t="n">
        <v>45976</v>
      </c>
      <c r="D1322" t="inlineStr">
        <is>
          <t>JÄMTLANDS LÄN</t>
        </is>
      </c>
      <c r="E1322" t="inlineStr">
        <is>
          <t>BRÄCKE</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45698-2025</t>
        </is>
      </c>
      <c r="B1323" s="1" t="n">
        <v>45923.39917824074</v>
      </c>
      <c r="C1323" s="1" t="n">
        <v>45976</v>
      </c>
      <c r="D1323" t="inlineStr">
        <is>
          <t>JÄMTLANDS LÄN</t>
        </is>
      </c>
      <c r="E1323" t="inlineStr">
        <is>
          <t>BRÄCKE</t>
        </is>
      </c>
      <c r="F1323" t="inlineStr">
        <is>
          <t>Övriga Aktiebolag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50813-2024</t>
        </is>
      </c>
      <c r="B1324" s="1" t="n">
        <v>45602</v>
      </c>
      <c r="C1324" s="1" t="n">
        <v>45976</v>
      </c>
      <c r="D1324" t="inlineStr">
        <is>
          <t>JÄMTLANDS LÄN</t>
        </is>
      </c>
      <c r="E1324" t="inlineStr">
        <is>
          <t>BRÄCKE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27460-2024</t>
        </is>
      </c>
      <c r="B1325" s="1" t="n">
        <v>45474.44785879629</v>
      </c>
      <c r="C1325" s="1" t="n">
        <v>45976</v>
      </c>
      <c r="D1325" t="inlineStr">
        <is>
          <t>JÄMTLANDS LÄN</t>
        </is>
      </c>
      <c r="E1325" t="inlineStr">
        <is>
          <t>BRÄCKE</t>
        </is>
      </c>
      <c r="G1325" t="n">
        <v>11.5</v>
      </c>
      <c r="H1325" t="n">
        <v>0</v>
      </c>
      <c r="I1325" t="n">
        <v>0</v>
      </c>
      <c r="J1325" t="n">
        <v>0</v>
      </c>
      <c r="K1325" t="n">
        <v>0</v>
      </c>
      <c r="L1325" t="n">
        <v>0</v>
      </c>
      <c r="M1325" t="n">
        <v>0</v>
      </c>
      <c r="N1325" t="n">
        <v>0</v>
      </c>
      <c r="O1325" t="n">
        <v>0</v>
      </c>
      <c r="P1325" t="n">
        <v>0</v>
      </c>
      <c r="Q1325" t="n">
        <v>0</v>
      </c>
      <c r="R1325" s="2" t="inlineStr"/>
    </row>
    <row r="1326" ht="15" customHeight="1">
      <c r="A1326" t="inlineStr">
        <is>
          <t>A 65433-2021</t>
        </is>
      </c>
      <c r="B1326" s="1" t="n">
        <v>44515.93875</v>
      </c>
      <c r="C1326" s="1" t="n">
        <v>45976</v>
      </c>
      <c r="D1326" t="inlineStr">
        <is>
          <t>JÄMTLANDS LÄN</t>
        </is>
      </c>
      <c r="E1326" t="inlineStr">
        <is>
          <t>BRÄCKE</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27455-2024</t>
        </is>
      </c>
      <c r="B1327" s="1" t="n">
        <v>45474.43834490741</v>
      </c>
      <c r="C1327" s="1" t="n">
        <v>45976</v>
      </c>
      <c r="D1327" t="inlineStr">
        <is>
          <t>JÄMTLANDS LÄN</t>
        </is>
      </c>
      <c r="E1327" t="inlineStr">
        <is>
          <t>BRÄCKE</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10763-2023</t>
        </is>
      </c>
      <c r="B1328" s="1" t="n">
        <v>44988</v>
      </c>
      <c r="C1328" s="1" t="n">
        <v>45976</v>
      </c>
      <c r="D1328" t="inlineStr">
        <is>
          <t>JÄMTLANDS LÄN</t>
        </is>
      </c>
      <c r="E1328" t="inlineStr">
        <is>
          <t>BRÄCKE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43123-2023</t>
        </is>
      </c>
      <c r="B1329" s="1" t="n">
        <v>45182</v>
      </c>
      <c r="C1329" s="1" t="n">
        <v>45976</v>
      </c>
      <c r="D1329" t="inlineStr">
        <is>
          <t>JÄMTLANDS LÄN</t>
        </is>
      </c>
      <c r="E1329" t="inlineStr">
        <is>
          <t>BRÄCKE</t>
        </is>
      </c>
      <c r="F1329" t="inlineStr">
        <is>
          <t>Naturvårdsverket</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60015-2021</t>
        </is>
      </c>
      <c r="B1330" s="1" t="n">
        <v>44494.94096064815</v>
      </c>
      <c r="C1330" s="1" t="n">
        <v>45976</v>
      </c>
      <c r="D1330" t="inlineStr">
        <is>
          <t>JÄMTLANDS LÄN</t>
        </is>
      </c>
      <c r="E1330" t="inlineStr">
        <is>
          <t>BRÄCKE</t>
        </is>
      </c>
      <c r="G1330" t="n">
        <v>18.7</v>
      </c>
      <c r="H1330" t="n">
        <v>0</v>
      </c>
      <c r="I1330" t="n">
        <v>0</v>
      </c>
      <c r="J1330" t="n">
        <v>0</v>
      </c>
      <c r="K1330" t="n">
        <v>0</v>
      </c>
      <c r="L1330" t="n">
        <v>0</v>
      </c>
      <c r="M1330" t="n">
        <v>0</v>
      </c>
      <c r="N1330" t="n">
        <v>0</v>
      </c>
      <c r="O1330" t="n">
        <v>0</v>
      </c>
      <c r="P1330" t="n">
        <v>0</v>
      </c>
      <c r="Q1330" t="n">
        <v>0</v>
      </c>
      <c r="R1330" s="2" t="inlineStr"/>
    </row>
    <row r="1331" ht="15" customHeight="1">
      <c r="A1331" t="inlineStr">
        <is>
          <t>A 57783-2023</t>
        </is>
      </c>
      <c r="B1331" s="1" t="n">
        <v>45246.96743055555</v>
      </c>
      <c r="C1331" s="1" t="n">
        <v>45976</v>
      </c>
      <c r="D1331" t="inlineStr">
        <is>
          <t>JÄMTLANDS LÄN</t>
        </is>
      </c>
      <c r="E1331" t="inlineStr">
        <is>
          <t>BRÄCKE</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32671-2024</t>
        </is>
      </c>
      <c r="B1332" s="1" t="n">
        <v>45514.59587962963</v>
      </c>
      <c r="C1332" s="1" t="n">
        <v>45976</v>
      </c>
      <c r="D1332" t="inlineStr">
        <is>
          <t>JÄMTLANDS LÄN</t>
        </is>
      </c>
      <c r="E1332" t="inlineStr">
        <is>
          <t>BRÄCKE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13762-2024</t>
        </is>
      </c>
      <c r="B1333" s="1" t="n">
        <v>45390</v>
      </c>
      <c r="C1333" s="1" t="n">
        <v>45976</v>
      </c>
      <c r="D1333" t="inlineStr">
        <is>
          <t>JÄMTLANDS LÄN</t>
        </is>
      </c>
      <c r="E1333" t="inlineStr">
        <is>
          <t>BRÄCKE</t>
        </is>
      </c>
      <c r="F1333" t="inlineStr">
        <is>
          <t>SCA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1672-2025</t>
        </is>
      </c>
      <c r="B1334" s="1" t="n">
        <v>45670.6781712963</v>
      </c>
      <c r="C1334" s="1" t="n">
        <v>45976</v>
      </c>
      <c r="D1334" t="inlineStr">
        <is>
          <t>JÄMTLANDS LÄN</t>
        </is>
      </c>
      <c r="E1334" t="inlineStr">
        <is>
          <t>BRÄCKE</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54316-2025</t>
        </is>
      </c>
      <c r="B1335" s="1" t="n">
        <v>45965.32975694445</v>
      </c>
      <c r="C1335" s="1" t="n">
        <v>45976</v>
      </c>
      <c r="D1335" t="inlineStr">
        <is>
          <t>JÄMTLANDS LÄN</t>
        </is>
      </c>
      <c r="E1335" t="inlineStr">
        <is>
          <t>BRÄCKE</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45741-2025</t>
        </is>
      </c>
      <c r="B1336" s="1" t="n">
        <v>45923.46953703704</v>
      </c>
      <c r="C1336" s="1" t="n">
        <v>45976</v>
      </c>
      <c r="D1336" t="inlineStr">
        <is>
          <t>JÄMTLANDS LÄN</t>
        </is>
      </c>
      <c r="E1336" t="inlineStr">
        <is>
          <t>BRÄCKE</t>
        </is>
      </c>
      <c r="F1336" t="inlineStr">
        <is>
          <t>SCA</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24154-2025</t>
        </is>
      </c>
      <c r="B1337" s="1" t="n">
        <v>45796.65685185185</v>
      </c>
      <c r="C1337" s="1" t="n">
        <v>45976</v>
      </c>
      <c r="D1337" t="inlineStr">
        <is>
          <t>JÄMTLANDS LÄN</t>
        </is>
      </c>
      <c r="E1337" t="inlineStr">
        <is>
          <t>BRÄCKE</t>
        </is>
      </c>
      <c r="F1337" t="inlineStr">
        <is>
          <t>SCA</t>
        </is>
      </c>
      <c r="G1337" t="n">
        <v>7.4</v>
      </c>
      <c r="H1337" t="n">
        <v>0</v>
      </c>
      <c r="I1337" t="n">
        <v>0</v>
      </c>
      <c r="J1337" t="n">
        <v>0</v>
      </c>
      <c r="K1337" t="n">
        <v>0</v>
      </c>
      <c r="L1337" t="n">
        <v>0</v>
      </c>
      <c r="M1337" t="n">
        <v>0</v>
      </c>
      <c r="N1337" t="n">
        <v>0</v>
      </c>
      <c r="O1337" t="n">
        <v>0</v>
      </c>
      <c r="P1337" t="n">
        <v>0</v>
      </c>
      <c r="Q1337" t="n">
        <v>0</v>
      </c>
      <c r="R1337" s="2" t="inlineStr"/>
    </row>
    <row r="1338" ht="15" customHeight="1">
      <c r="A1338" t="inlineStr">
        <is>
          <t>A 32429-2024</t>
        </is>
      </c>
      <c r="B1338" s="1" t="n">
        <v>45512.92820601852</v>
      </c>
      <c r="C1338" s="1" t="n">
        <v>45976</v>
      </c>
      <c r="D1338" t="inlineStr">
        <is>
          <t>JÄMTLANDS LÄN</t>
        </is>
      </c>
      <c r="E1338" t="inlineStr">
        <is>
          <t>BRÄCKE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47983-2021</t>
        </is>
      </c>
      <c r="B1339" s="1" t="n">
        <v>44448</v>
      </c>
      <c r="C1339" s="1" t="n">
        <v>45976</v>
      </c>
      <c r="D1339" t="inlineStr">
        <is>
          <t>JÄMTLANDS LÄN</t>
        </is>
      </c>
      <c r="E1339" t="inlineStr">
        <is>
          <t>BRÄCKE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54315-2025</t>
        </is>
      </c>
      <c r="B1340" s="1" t="n">
        <v>45965.32789351852</v>
      </c>
      <c r="C1340" s="1" t="n">
        <v>45976</v>
      </c>
      <c r="D1340" t="inlineStr">
        <is>
          <t>JÄMTLANDS LÄN</t>
        </is>
      </c>
      <c r="E1340" t="inlineStr">
        <is>
          <t>BRÄCKE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49721-2024</t>
        </is>
      </c>
      <c r="B1341" s="1" t="n">
        <v>45596.72841435186</v>
      </c>
      <c r="C1341" s="1" t="n">
        <v>45976</v>
      </c>
      <c r="D1341" t="inlineStr">
        <is>
          <t>JÄMTLANDS LÄN</t>
        </is>
      </c>
      <c r="E1341" t="inlineStr">
        <is>
          <t>BRÄCKE</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14601-2025</t>
        </is>
      </c>
      <c r="B1342" s="1" t="n">
        <v>45742.36497685185</v>
      </c>
      <c r="C1342" s="1" t="n">
        <v>45976</v>
      </c>
      <c r="D1342" t="inlineStr">
        <is>
          <t>JÄMTLANDS LÄN</t>
        </is>
      </c>
      <c r="E1342" t="inlineStr">
        <is>
          <t>BRÄCKE</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29873-2024</t>
        </is>
      </c>
      <c r="B1343" s="1" t="n">
        <v>45485.94542824074</v>
      </c>
      <c r="C1343" s="1" t="n">
        <v>45976</v>
      </c>
      <c r="D1343" t="inlineStr">
        <is>
          <t>JÄMTLANDS LÄN</t>
        </is>
      </c>
      <c r="E1343" t="inlineStr">
        <is>
          <t>BRÄCKE</t>
        </is>
      </c>
      <c r="F1343" t="inlineStr">
        <is>
          <t>SCA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9434-2025</t>
        </is>
      </c>
      <c r="B1344" s="1" t="n">
        <v>45715.41209490741</v>
      </c>
      <c r="C1344" s="1" t="n">
        <v>45976</v>
      </c>
      <c r="D1344" t="inlineStr">
        <is>
          <t>JÄMTLANDS LÄN</t>
        </is>
      </c>
      <c r="E1344" t="inlineStr">
        <is>
          <t>BRÄCKE</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24236-2025</t>
        </is>
      </c>
      <c r="B1345" s="1" t="n">
        <v>45797.38586805556</v>
      </c>
      <c r="C1345" s="1" t="n">
        <v>45976</v>
      </c>
      <c r="D1345" t="inlineStr">
        <is>
          <t>JÄMTLANDS LÄN</t>
        </is>
      </c>
      <c r="E1345" t="inlineStr">
        <is>
          <t>BRÄCKE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54160-2025</t>
        </is>
      </c>
      <c r="B1346" s="1" t="n">
        <v>45964.50528935185</v>
      </c>
      <c r="C1346" s="1" t="n">
        <v>45976</v>
      </c>
      <c r="D1346" t="inlineStr">
        <is>
          <t>JÄMTLANDS LÄN</t>
        </is>
      </c>
      <c r="E1346" t="inlineStr">
        <is>
          <t>BRÄCKE</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23539-2025</t>
        </is>
      </c>
      <c r="B1347" s="1" t="n">
        <v>45792</v>
      </c>
      <c r="C1347" s="1" t="n">
        <v>45976</v>
      </c>
      <c r="D1347" t="inlineStr">
        <is>
          <t>JÄMTLANDS LÄN</t>
        </is>
      </c>
      <c r="E1347" t="inlineStr">
        <is>
          <t>BRÄCKE</t>
        </is>
      </c>
      <c r="G1347" t="n">
        <v>14.9</v>
      </c>
      <c r="H1347" t="n">
        <v>0</v>
      </c>
      <c r="I1347" t="n">
        <v>0</v>
      </c>
      <c r="J1347" t="n">
        <v>0</v>
      </c>
      <c r="K1347" t="n">
        <v>0</v>
      </c>
      <c r="L1347" t="n">
        <v>0</v>
      </c>
      <c r="M1347" t="n">
        <v>0</v>
      </c>
      <c r="N1347" t="n">
        <v>0</v>
      </c>
      <c r="O1347" t="n">
        <v>0</v>
      </c>
      <c r="P1347" t="n">
        <v>0</v>
      </c>
      <c r="Q1347" t="n">
        <v>0</v>
      </c>
      <c r="R1347" s="2" t="inlineStr"/>
    </row>
    <row r="1348" ht="15" customHeight="1">
      <c r="A1348" t="inlineStr">
        <is>
          <t>A 54372-2025</t>
        </is>
      </c>
      <c r="B1348" s="1" t="n">
        <v>45965.41297453704</v>
      </c>
      <c r="C1348" s="1" t="n">
        <v>45976</v>
      </c>
      <c r="D1348" t="inlineStr">
        <is>
          <t>JÄMTLANDS LÄN</t>
        </is>
      </c>
      <c r="E1348" t="inlineStr">
        <is>
          <t>BRÄCKE</t>
        </is>
      </c>
      <c r="F1348" t="inlineStr">
        <is>
          <t>Övriga Aktiebolag</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45703-2025</t>
        </is>
      </c>
      <c r="B1349" s="1" t="n">
        <v>45923.40854166666</v>
      </c>
      <c r="C1349" s="1" t="n">
        <v>45976</v>
      </c>
      <c r="D1349" t="inlineStr">
        <is>
          <t>JÄMTLANDS LÄN</t>
        </is>
      </c>
      <c r="E1349" t="inlineStr">
        <is>
          <t>BRÄCKE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45740-2025</t>
        </is>
      </c>
      <c r="B1350" s="1" t="n">
        <v>45923.46938657408</v>
      </c>
      <c r="C1350" s="1" t="n">
        <v>45976</v>
      </c>
      <c r="D1350" t="inlineStr">
        <is>
          <t>JÄMTLANDS LÄN</t>
        </is>
      </c>
      <c r="E1350" t="inlineStr">
        <is>
          <t>BRÄCKE</t>
        </is>
      </c>
      <c r="F1350" t="inlineStr">
        <is>
          <t>SCA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1174-2025</t>
        </is>
      </c>
      <c r="B1351" s="1" t="n">
        <v>45667.34418981482</v>
      </c>
      <c r="C1351" s="1" t="n">
        <v>45976</v>
      </c>
      <c r="D1351" t="inlineStr">
        <is>
          <t>JÄMTLANDS LÄN</t>
        </is>
      </c>
      <c r="E1351" t="inlineStr">
        <is>
          <t>BRÄCKE</t>
        </is>
      </c>
      <c r="F1351" t="inlineStr">
        <is>
          <t>SCA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62249-2021</t>
        </is>
      </c>
      <c r="B1352" s="1" t="n">
        <v>44503</v>
      </c>
      <c r="C1352" s="1" t="n">
        <v>45976</v>
      </c>
      <c r="D1352" t="inlineStr">
        <is>
          <t>JÄMTLANDS LÄN</t>
        </is>
      </c>
      <c r="E1352" t="inlineStr">
        <is>
          <t>BRÄCKE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24043-2025</t>
        </is>
      </c>
      <c r="B1353" s="1" t="n">
        <v>45796.49002314815</v>
      </c>
      <c r="C1353" s="1" t="n">
        <v>45976</v>
      </c>
      <c r="D1353" t="inlineStr">
        <is>
          <t>JÄMTLANDS LÄN</t>
        </is>
      </c>
      <c r="E1353" t="inlineStr">
        <is>
          <t>BRÄCKE</t>
        </is>
      </c>
      <c r="F1353" t="inlineStr">
        <is>
          <t>SCA</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24077-2025</t>
        </is>
      </c>
      <c r="B1354" s="1" t="n">
        <v>45796.55240740741</v>
      </c>
      <c r="C1354" s="1" t="n">
        <v>45976</v>
      </c>
      <c r="D1354" t="inlineStr">
        <is>
          <t>JÄMTLANDS LÄN</t>
        </is>
      </c>
      <c r="E1354" t="inlineStr">
        <is>
          <t>BRÄCKE</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45589-2025</t>
        </is>
      </c>
      <c r="B1355" s="1" t="n">
        <v>45922.67697916667</v>
      </c>
      <c r="C1355" s="1" t="n">
        <v>45976</v>
      </c>
      <c r="D1355" t="inlineStr">
        <is>
          <t>JÄMTLANDS LÄN</t>
        </is>
      </c>
      <c r="E1355" t="inlineStr">
        <is>
          <t>BRÄCKE</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23303-2025</t>
        </is>
      </c>
      <c r="B1356" s="1" t="n">
        <v>45791</v>
      </c>
      <c r="C1356" s="1" t="n">
        <v>45976</v>
      </c>
      <c r="D1356" t="inlineStr">
        <is>
          <t>JÄMTLANDS LÄN</t>
        </is>
      </c>
      <c r="E1356" t="inlineStr">
        <is>
          <t>BRÄCKE</t>
        </is>
      </c>
      <c r="G1356" t="n">
        <v>22.2</v>
      </c>
      <c r="H1356" t="n">
        <v>0</v>
      </c>
      <c r="I1356" t="n">
        <v>0</v>
      </c>
      <c r="J1356" t="n">
        <v>0</v>
      </c>
      <c r="K1356" t="n">
        <v>0</v>
      </c>
      <c r="L1356" t="n">
        <v>0</v>
      </c>
      <c r="M1356" t="n">
        <v>0</v>
      </c>
      <c r="N1356" t="n">
        <v>0</v>
      </c>
      <c r="O1356" t="n">
        <v>0</v>
      </c>
      <c r="P1356" t="n">
        <v>0</v>
      </c>
      <c r="Q1356" t="n">
        <v>0</v>
      </c>
      <c r="R1356" s="2" t="inlineStr"/>
    </row>
    <row r="1357" ht="15" customHeight="1">
      <c r="A1357" t="inlineStr">
        <is>
          <t>A 15144-2024</t>
        </is>
      </c>
      <c r="B1357" s="1" t="n">
        <v>45399.94340277778</v>
      </c>
      <c r="C1357" s="1" t="n">
        <v>45976</v>
      </c>
      <c r="D1357" t="inlineStr">
        <is>
          <t>JÄMTLANDS LÄN</t>
        </is>
      </c>
      <c r="E1357" t="inlineStr">
        <is>
          <t>BRÄCKE</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34102-2025</t>
        </is>
      </c>
      <c r="B1358" s="1" t="n">
        <v>45845.49</v>
      </c>
      <c r="C1358" s="1" t="n">
        <v>45976</v>
      </c>
      <c r="D1358" t="inlineStr">
        <is>
          <t>JÄMTLANDS LÄN</t>
        </is>
      </c>
      <c r="E1358" t="inlineStr">
        <is>
          <t>BRÄCKE</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24427-2025</t>
        </is>
      </c>
      <c r="B1359" s="1" t="n">
        <v>45797.69851851852</v>
      </c>
      <c r="C1359" s="1" t="n">
        <v>45976</v>
      </c>
      <c r="D1359" t="inlineStr">
        <is>
          <t>JÄMTLANDS LÄN</t>
        </is>
      </c>
      <c r="E1359" t="inlineStr">
        <is>
          <t>BRÄCKE</t>
        </is>
      </c>
      <c r="F1359" t="inlineStr">
        <is>
          <t>SCA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24647-2025</t>
        </is>
      </c>
      <c r="B1360" s="1" t="n">
        <v>45798.63575231482</v>
      </c>
      <c r="C1360" s="1" t="n">
        <v>45976</v>
      </c>
      <c r="D1360" t="inlineStr">
        <is>
          <t>JÄMTLANDS LÄN</t>
        </is>
      </c>
      <c r="E1360" t="inlineStr">
        <is>
          <t>BRÄCKE</t>
        </is>
      </c>
      <c r="F1360" t="inlineStr">
        <is>
          <t>SCA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24550-2025</t>
        </is>
      </c>
      <c r="B1361" s="1" t="n">
        <v>45798.44836805556</v>
      </c>
      <c r="C1361" s="1" t="n">
        <v>45976</v>
      </c>
      <c r="D1361" t="inlineStr">
        <is>
          <t>JÄMTLANDS LÄN</t>
        </is>
      </c>
      <c r="E1361" t="inlineStr">
        <is>
          <t>BRÄCKE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24456-2025</t>
        </is>
      </c>
      <c r="B1362" s="1" t="n">
        <v>45798.34450231482</v>
      </c>
      <c r="C1362" s="1" t="n">
        <v>45976</v>
      </c>
      <c r="D1362" t="inlineStr">
        <is>
          <t>JÄMTLANDS LÄN</t>
        </is>
      </c>
      <c r="E1362" t="inlineStr">
        <is>
          <t>BRÄCKE</t>
        </is>
      </c>
      <c r="F1362" t="inlineStr">
        <is>
          <t>SCA</t>
        </is>
      </c>
      <c r="G1362" t="n">
        <v>9.300000000000001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24502-2025</t>
        </is>
      </c>
      <c r="B1363" s="1" t="n">
        <v>45798.39761574074</v>
      </c>
      <c r="C1363" s="1" t="n">
        <v>45976</v>
      </c>
      <c r="D1363" t="inlineStr">
        <is>
          <t>JÄMTLANDS LÄN</t>
        </is>
      </c>
      <c r="E1363" t="inlineStr">
        <is>
          <t>BRÄCKE</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46131-2025</t>
        </is>
      </c>
      <c r="B1364" s="1" t="n">
        <v>45924.59469907408</v>
      </c>
      <c r="C1364" s="1" t="n">
        <v>45976</v>
      </c>
      <c r="D1364" t="inlineStr">
        <is>
          <t>JÄMTLANDS LÄN</t>
        </is>
      </c>
      <c r="E1364" t="inlineStr">
        <is>
          <t>BRÄCKE</t>
        </is>
      </c>
      <c r="F1364" t="inlineStr">
        <is>
          <t>SCA</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24437-2025</t>
        </is>
      </c>
      <c r="B1365" s="1" t="n">
        <v>45797.79256944444</v>
      </c>
      <c r="C1365" s="1" t="n">
        <v>45976</v>
      </c>
      <c r="D1365" t="inlineStr">
        <is>
          <t>JÄMTLANDS LÄN</t>
        </is>
      </c>
      <c r="E1365" t="inlineStr">
        <is>
          <t>BRÄCKE</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24604-2025</t>
        </is>
      </c>
      <c r="B1366" s="1" t="n">
        <v>45798.5734375</v>
      </c>
      <c r="C1366" s="1" t="n">
        <v>45976</v>
      </c>
      <c r="D1366" t="inlineStr">
        <is>
          <t>JÄMTLANDS LÄN</t>
        </is>
      </c>
      <c r="E1366" t="inlineStr">
        <is>
          <t>BRÄCKE</t>
        </is>
      </c>
      <c r="F1366" t="inlineStr">
        <is>
          <t>SCA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54642-2025</t>
        </is>
      </c>
      <c r="B1367" s="1" t="n">
        <v>45966.36555555555</v>
      </c>
      <c r="C1367" s="1" t="n">
        <v>45976</v>
      </c>
      <c r="D1367" t="inlineStr">
        <is>
          <t>JÄMTLANDS LÄN</t>
        </is>
      </c>
      <c r="E1367" t="inlineStr">
        <is>
          <t>BRÄCKE</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24850-2025</t>
        </is>
      </c>
      <c r="B1368" s="1" t="n">
        <v>45799.46958333333</v>
      </c>
      <c r="C1368" s="1" t="n">
        <v>45976</v>
      </c>
      <c r="D1368" t="inlineStr">
        <is>
          <t>JÄMTLANDS LÄN</t>
        </is>
      </c>
      <c r="E1368" t="inlineStr">
        <is>
          <t>BRÄCKE</t>
        </is>
      </c>
      <c r="F1368" t="inlineStr">
        <is>
          <t>SCA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24436-2025</t>
        </is>
      </c>
      <c r="B1369" s="1" t="n">
        <v>45797.7922337963</v>
      </c>
      <c r="C1369" s="1" t="n">
        <v>45976</v>
      </c>
      <c r="D1369" t="inlineStr">
        <is>
          <t>JÄMTLANDS LÄN</t>
        </is>
      </c>
      <c r="E1369" t="inlineStr">
        <is>
          <t>BRÄCKE</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24433-2025</t>
        </is>
      </c>
      <c r="B1370" s="1" t="n">
        <v>45797.75547453704</v>
      </c>
      <c r="C1370" s="1" t="n">
        <v>45976</v>
      </c>
      <c r="D1370" t="inlineStr">
        <is>
          <t>JÄMTLANDS LÄN</t>
        </is>
      </c>
      <c r="E1370" t="inlineStr">
        <is>
          <t>BRÄCKE</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19615-2025</t>
        </is>
      </c>
      <c r="B1371" s="1" t="n">
        <v>45770.61519675926</v>
      </c>
      <c r="C1371" s="1" t="n">
        <v>45976</v>
      </c>
      <c r="D1371" t="inlineStr">
        <is>
          <t>JÄMTLANDS LÄN</t>
        </is>
      </c>
      <c r="E1371" t="inlineStr">
        <is>
          <t>BRÄCKE</t>
        </is>
      </c>
      <c r="F1371" t="inlineStr">
        <is>
          <t>SCA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11310-2025</t>
        </is>
      </c>
      <c r="B1372" s="1" t="n">
        <v>45726.44832175926</v>
      </c>
      <c r="C1372" s="1" t="n">
        <v>45976</v>
      </c>
      <c r="D1372" t="inlineStr">
        <is>
          <t>JÄMTLANDS LÄN</t>
        </is>
      </c>
      <c r="E1372" t="inlineStr">
        <is>
          <t>BRÄCKE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24636-2025</t>
        </is>
      </c>
      <c r="B1373" s="1" t="n">
        <v>45798.61528935185</v>
      </c>
      <c r="C1373" s="1" t="n">
        <v>45976</v>
      </c>
      <c r="D1373" t="inlineStr">
        <is>
          <t>JÄMTLANDS LÄN</t>
        </is>
      </c>
      <c r="E1373" t="inlineStr">
        <is>
          <t>BRÄCKE</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54793-2025</t>
        </is>
      </c>
      <c r="B1374" s="1" t="n">
        <v>45966.63584490741</v>
      </c>
      <c r="C1374" s="1" t="n">
        <v>45976</v>
      </c>
      <c r="D1374" t="inlineStr">
        <is>
          <t>JÄMTLANDS LÄN</t>
        </is>
      </c>
      <c r="E1374" t="inlineStr">
        <is>
          <t>BRÄCKE</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54799-2025</t>
        </is>
      </c>
      <c r="B1375" s="1" t="n">
        <v>45966.63707175926</v>
      </c>
      <c r="C1375" s="1" t="n">
        <v>45976</v>
      </c>
      <c r="D1375" t="inlineStr">
        <is>
          <t>JÄMTLANDS LÄN</t>
        </is>
      </c>
      <c r="E1375" t="inlineStr">
        <is>
          <t>BRÄCKE</t>
        </is>
      </c>
      <c r="G1375" t="n">
        <v>0</v>
      </c>
      <c r="H1375" t="n">
        <v>0</v>
      </c>
      <c r="I1375" t="n">
        <v>0</v>
      </c>
      <c r="J1375" t="n">
        <v>0</v>
      </c>
      <c r="K1375" t="n">
        <v>0</v>
      </c>
      <c r="L1375" t="n">
        <v>0</v>
      </c>
      <c r="M1375" t="n">
        <v>0</v>
      </c>
      <c r="N1375" t="n">
        <v>0</v>
      </c>
      <c r="O1375" t="n">
        <v>0</v>
      </c>
      <c r="P1375" t="n">
        <v>0</v>
      </c>
      <c r="Q1375" t="n">
        <v>0</v>
      </c>
      <c r="R1375" s="2" t="inlineStr"/>
    </row>
    <row r="1376" ht="15" customHeight="1">
      <c r="A1376" t="inlineStr">
        <is>
          <t>A 6362-2024</t>
        </is>
      </c>
      <c r="B1376" s="1" t="n">
        <v>45338</v>
      </c>
      <c r="C1376" s="1" t="n">
        <v>45976</v>
      </c>
      <c r="D1376" t="inlineStr">
        <is>
          <t>JÄMTLANDS LÄN</t>
        </is>
      </c>
      <c r="E1376" t="inlineStr">
        <is>
          <t>BRÄCKE</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58741-2023</t>
        </is>
      </c>
      <c r="B1377" s="1" t="n">
        <v>45251.92894675926</v>
      </c>
      <c r="C1377" s="1" t="n">
        <v>45976</v>
      </c>
      <c r="D1377" t="inlineStr">
        <is>
          <t>JÄMTLANDS LÄN</t>
        </is>
      </c>
      <c r="E1377" t="inlineStr">
        <is>
          <t>BRÄCKE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54681-2025</t>
        </is>
      </c>
      <c r="B1378" s="1" t="n">
        <v>45966.42777777778</v>
      </c>
      <c r="C1378" s="1" t="n">
        <v>45976</v>
      </c>
      <c r="D1378" t="inlineStr">
        <is>
          <t>JÄMTLANDS LÄN</t>
        </is>
      </c>
      <c r="E1378" t="inlineStr">
        <is>
          <t>BRÄCKE</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19996-2024</t>
        </is>
      </c>
      <c r="B1379" s="1" t="n">
        <v>45433.92756944444</v>
      </c>
      <c r="C1379" s="1" t="n">
        <v>45976</v>
      </c>
      <c r="D1379" t="inlineStr">
        <is>
          <t>JÄMTLANDS LÄN</t>
        </is>
      </c>
      <c r="E1379" t="inlineStr">
        <is>
          <t>BRÄCKE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46218-2025</t>
        </is>
      </c>
      <c r="B1380" s="1" t="n">
        <v>45924.851875</v>
      </c>
      <c r="C1380" s="1" t="n">
        <v>45976</v>
      </c>
      <c r="D1380" t="inlineStr">
        <is>
          <t>JÄMTLANDS LÄN</t>
        </is>
      </c>
      <c r="E1380" t="inlineStr">
        <is>
          <t>BRÄCKE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21781-2023</t>
        </is>
      </c>
      <c r="B1381" s="1" t="n">
        <v>45065</v>
      </c>
      <c r="C1381" s="1" t="n">
        <v>45976</v>
      </c>
      <c r="D1381" t="inlineStr">
        <is>
          <t>JÄMTLANDS LÄN</t>
        </is>
      </c>
      <c r="E1381" t="inlineStr">
        <is>
          <t>BRÄCKE</t>
        </is>
      </c>
      <c r="F1381" t="inlineStr">
        <is>
          <t>SCA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54885-2025</t>
        </is>
      </c>
      <c r="B1382" s="1" t="n">
        <v>45967.34465277778</v>
      </c>
      <c r="C1382" s="1" t="n">
        <v>45976</v>
      </c>
      <c r="D1382" t="inlineStr">
        <is>
          <t>JÄMTLANDS LÄN</t>
        </is>
      </c>
      <c r="E1382" t="inlineStr">
        <is>
          <t>BRÄCKE</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54886-2025</t>
        </is>
      </c>
      <c r="B1383" s="1" t="n">
        <v>45967.34481481482</v>
      </c>
      <c r="C1383" s="1" t="n">
        <v>45976</v>
      </c>
      <c r="D1383" t="inlineStr">
        <is>
          <t>JÄMTLANDS LÄN</t>
        </is>
      </c>
      <c r="E1383" t="inlineStr">
        <is>
          <t>BRÄCKE</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54888-2025</t>
        </is>
      </c>
      <c r="B1384" s="1" t="n">
        <v>45967.34487268519</v>
      </c>
      <c r="C1384" s="1" t="n">
        <v>45976</v>
      </c>
      <c r="D1384" t="inlineStr">
        <is>
          <t>JÄMTLANDS LÄN</t>
        </is>
      </c>
      <c r="E1384" t="inlineStr">
        <is>
          <t>BRÄCKE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46069-2025</t>
        </is>
      </c>
      <c r="B1385" s="1" t="n">
        <v>45924.48994212963</v>
      </c>
      <c r="C1385" s="1" t="n">
        <v>45976</v>
      </c>
      <c r="D1385" t="inlineStr">
        <is>
          <t>JÄMTLANDS LÄN</t>
        </is>
      </c>
      <c r="E1385" t="inlineStr">
        <is>
          <t>BRÄCKE</t>
        </is>
      </c>
      <c r="F1385" t="inlineStr">
        <is>
          <t>SCA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23013-2021</t>
        </is>
      </c>
      <c r="B1386" s="1" t="n">
        <v>44328</v>
      </c>
      <c r="C1386" s="1" t="n">
        <v>45976</v>
      </c>
      <c r="D1386" t="inlineStr">
        <is>
          <t>JÄMTLANDS LÄN</t>
        </is>
      </c>
      <c r="E1386" t="inlineStr">
        <is>
          <t>BRÄCKE</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24784-2025</t>
        </is>
      </c>
      <c r="B1387" s="1" t="n">
        <v>45799.42741898148</v>
      </c>
      <c r="C1387" s="1" t="n">
        <v>45976</v>
      </c>
      <c r="D1387" t="inlineStr">
        <is>
          <t>JÄMTLANDS LÄN</t>
        </is>
      </c>
      <c r="E1387" t="inlineStr">
        <is>
          <t>BRÄCKE</t>
        </is>
      </c>
      <c r="F1387" t="inlineStr">
        <is>
          <t>SCA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46217-2025</t>
        </is>
      </c>
      <c r="B1388" s="1" t="n">
        <v>45924.8475925926</v>
      </c>
      <c r="C1388" s="1" t="n">
        <v>45976</v>
      </c>
      <c r="D1388" t="inlineStr">
        <is>
          <t>JÄMTLANDS LÄN</t>
        </is>
      </c>
      <c r="E1388" t="inlineStr">
        <is>
          <t>BRÄCKE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54741-2025</t>
        </is>
      </c>
      <c r="B1389" s="1" t="n">
        <v>45966.57350694444</v>
      </c>
      <c r="C1389" s="1" t="n">
        <v>45976</v>
      </c>
      <c r="D1389" t="inlineStr">
        <is>
          <t>JÄMTLANDS LÄN</t>
        </is>
      </c>
      <c r="E1389" t="inlineStr">
        <is>
          <t>BRÄCKE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21637-2021</t>
        </is>
      </c>
      <c r="B1390" s="1" t="n">
        <v>44321</v>
      </c>
      <c r="C1390" s="1" t="n">
        <v>45976</v>
      </c>
      <c r="D1390" t="inlineStr">
        <is>
          <t>JÄMTLANDS LÄN</t>
        </is>
      </c>
      <c r="E1390" t="inlineStr">
        <is>
          <t>BRÄCKE</t>
        </is>
      </c>
      <c r="F1390" t="inlineStr">
        <is>
          <t>SCA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57590-2024</t>
        </is>
      </c>
      <c r="B1391" s="1" t="n">
        <v>45630.49729166667</v>
      </c>
      <c r="C1391" s="1" t="n">
        <v>45976</v>
      </c>
      <c r="D1391" t="inlineStr">
        <is>
          <t>JÄMTLANDS LÄN</t>
        </is>
      </c>
      <c r="E1391" t="inlineStr">
        <is>
          <t>BRÄCKE</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46017-2025</t>
        </is>
      </c>
      <c r="B1392" s="1" t="n">
        <v>45924.42774305555</v>
      </c>
      <c r="C1392" s="1" t="n">
        <v>45976</v>
      </c>
      <c r="D1392" t="inlineStr">
        <is>
          <t>JÄMTLANDS LÄN</t>
        </is>
      </c>
      <c r="E1392" t="inlineStr">
        <is>
          <t>BRÄCKE</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45971-2025</t>
        </is>
      </c>
      <c r="B1393" s="1" t="n">
        <v>45924.36534722222</v>
      </c>
      <c r="C1393" s="1" t="n">
        <v>45976</v>
      </c>
      <c r="D1393" t="inlineStr">
        <is>
          <t>JÄMTLANDS LÄN</t>
        </is>
      </c>
      <c r="E1393" t="inlineStr">
        <is>
          <t>BRÄCKE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55069-2025</t>
        </is>
      </c>
      <c r="B1394" s="1" t="n">
        <v>45967.72344907407</v>
      </c>
      <c r="C1394" s="1" t="n">
        <v>45976</v>
      </c>
      <c r="D1394" t="inlineStr">
        <is>
          <t>JÄMTLANDS LÄN</t>
        </is>
      </c>
      <c r="E1394" t="inlineStr">
        <is>
          <t>BRÄCKE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46093-2025</t>
        </is>
      </c>
      <c r="B1395" s="1" t="n">
        <v>45924.53166666667</v>
      </c>
      <c r="C1395" s="1" t="n">
        <v>45976</v>
      </c>
      <c r="D1395" t="inlineStr">
        <is>
          <t>JÄMTLANDS LÄN</t>
        </is>
      </c>
      <c r="E1395" t="inlineStr">
        <is>
          <t>BRÄCKE</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54887-2025</t>
        </is>
      </c>
      <c r="B1396" s="1" t="n">
        <v>45967.34484953704</v>
      </c>
      <c r="C1396" s="1" t="n">
        <v>45976</v>
      </c>
      <c r="D1396" t="inlineStr">
        <is>
          <t>JÄMTLANDS LÄN</t>
        </is>
      </c>
      <c r="E1396" t="inlineStr">
        <is>
          <t>BRÄCKE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46216-2025</t>
        </is>
      </c>
      <c r="B1397" s="1" t="n">
        <v>45924.84655092593</v>
      </c>
      <c r="C1397" s="1" t="n">
        <v>45976</v>
      </c>
      <c r="D1397" t="inlineStr">
        <is>
          <t>JÄMTLANDS LÄN</t>
        </is>
      </c>
      <c r="E1397" t="inlineStr">
        <is>
          <t>BRÄCKE</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46180-2025</t>
        </is>
      </c>
      <c r="B1398" s="1" t="n">
        <v>45924.65664351852</v>
      </c>
      <c r="C1398" s="1" t="n">
        <v>45976</v>
      </c>
      <c r="D1398" t="inlineStr">
        <is>
          <t>JÄMTLANDS LÄN</t>
        </is>
      </c>
      <c r="E1398" t="inlineStr">
        <is>
          <t>BRÄCKE</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46005-2025</t>
        </is>
      </c>
      <c r="B1399" s="1" t="n">
        <v>45924.40751157407</v>
      </c>
      <c r="C1399" s="1" t="n">
        <v>45976</v>
      </c>
      <c r="D1399" t="inlineStr">
        <is>
          <t>JÄMTLANDS LÄN</t>
        </is>
      </c>
      <c r="E1399" t="inlineStr">
        <is>
          <t>BRÄCKE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46004-2025</t>
        </is>
      </c>
      <c r="B1400" s="1" t="n">
        <v>45924.40741898148</v>
      </c>
      <c r="C1400" s="1" t="n">
        <v>45976</v>
      </c>
      <c r="D1400" t="inlineStr">
        <is>
          <t>JÄMTLANDS LÄN</t>
        </is>
      </c>
      <c r="E1400" t="inlineStr">
        <is>
          <t>BRÄCKE</t>
        </is>
      </c>
      <c r="F1400" t="inlineStr">
        <is>
          <t>SCA</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55667-2023</t>
        </is>
      </c>
      <c r="B1401" s="1" t="n">
        <v>45238.96780092592</v>
      </c>
      <c r="C1401" s="1" t="n">
        <v>45976</v>
      </c>
      <c r="D1401" t="inlineStr">
        <is>
          <t>JÄMTLANDS LÄN</t>
        </is>
      </c>
      <c r="E1401" t="inlineStr">
        <is>
          <t>BRÄCKE</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55668-2023</t>
        </is>
      </c>
      <c r="B1402" s="1" t="n">
        <v>45238</v>
      </c>
      <c r="C1402" s="1" t="n">
        <v>45976</v>
      </c>
      <c r="D1402" t="inlineStr">
        <is>
          <t>JÄMTLANDS LÄN</t>
        </is>
      </c>
      <c r="E1402" t="inlineStr">
        <is>
          <t>BRÄCKE</t>
        </is>
      </c>
      <c r="F1402" t="inlineStr">
        <is>
          <t>SCA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54904-2025</t>
        </is>
      </c>
      <c r="B1403" s="1" t="n">
        <v>45967.36640046296</v>
      </c>
      <c r="C1403" s="1" t="n">
        <v>45976</v>
      </c>
      <c r="D1403" t="inlineStr">
        <is>
          <t>JÄMTLANDS LÄN</t>
        </is>
      </c>
      <c r="E1403" t="inlineStr">
        <is>
          <t>BRÄCKE</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24454-2025</t>
        </is>
      </c>
      <c r="B1404" s="1" t="n">
        <v>45798.34436342592</v>
      </c>
      <c r="C1404" s="1" t="n">
        <v>45976</v>
      </c>
      <c r="D1404" t="inlineStr">
        <is>
          <t>JÄMTLANDS LÄN</t>
        </is>
      </c>
      <c r="E1404" t="inlineStr">
        <is>
          <t>BRÄCKE</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46070-2025</t>
        </is>
      </c>
      <c r="B1405" s="1" t="n">
        <v>45924.49011574074</v>
      </c>
      <c r="C1405" s="1" t="n">
        <v>45976</v>
      </c>
      <c r="D1405" t="inlineStr">
        <is>
          <t>JÄMTLANDS LÄN</t>
        </is>
      </c>
      <c r="E1405" t="inlineStr">
        <is>
          <t>BRÄCKE</t>
        </is>
      </c>
      <c r="F1405" t="inlineStr">
        <is>
          <t>SCA</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54775-2025</t>
        </is>
      </c>
      <c r="B1406" s="1" t="n">
        <v>45966.61333333333</v>
      </c>
      <c r="C1406" s="1" t="n">
        <v>45976</v>
      </c>
      <c r="D1406" t="inlineStr">
        <is>
          <t>JÄMTLANDS LÄN</t>
        </is>
      </c>
      <c r="E1406" t="inlineStr">
        <is>
          <t>BRÄCKE</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25102-2025</t>
        </is>
      </c>
      <c r="B1407" s="1" t="n">
        <v>45800.34445601852</v>
      </c>
      <c r="C1407" s="1" t="n">
        <v>45976</v>
      </c>
      <c r="D1407" t="inlineStr">
        <is>
          <t>JÄMTLANDS LÄN</t>
        </is>
      </c>
      <c r="E1407" t="inlineStr">
        <is>
          <t>BRÄCKE</t>
        </is>
      </c>
      <c r="G1407" t="n">
        <v>11.1</v>
      </c>
      <c r="H1407" t="n">
        <v>0</v>
      </c>
      <c r="I1407" t="n">
        <v>0</v>
      </c>
      <c r="J1407" t="n">
        <v>0</v>
      </c>
      <c r="K1407" t="n">
        <v>0</v>
      </c>
      <c r="L1407" t="n">
        <v>0</v>
      </c>
      <c r="M1407" t="n">
        <v>0</v>
      </c>
      <c r="N1407" t="n">
        <v>0</v>
      </c>
      <c r="O1407" t="n">
        <v>0</v>
      </c>
      <c r="P1407" t="n">
        <v>0</v>
      </c>
      <c r="Q1407" t="n">
        <v>0</v>
      </c>
      <c r="R1407" s="2" t="inlineStr"/>
    </row>
    <row r="1408" ht="15" customHeight="1">
      <c r="A1408" t="inlineStr">
        <is>
          <t>A 55028-2025</t>
        </is>
      </c>
      <c r="B1408" s="1" t="n">
        <v>45967.63650462963</v>
      </c>
      <c r="C1408" s="1" t="n">
        <v>45976</v>
      </c>
      <c r="D1408" t="inlineStr">
        <is>
          <t>JÄMTLANDS LÄN</t>
        </is>
      </c>
      <c r="E1408" t="inlineStr">
        <is>
          <t>BRÄCKE</t>
        </is>
      </c>
      <c r="F1408" t="inlineStr">
        <is>
          <t>SCA</t>
        </is>
      </c>
      <c r="G1408" t="n">
        <v>16.4</v>
      </c>
      <c r="H1408" t="n">
        <v>0</v>
      </c>
      <c r="I1408" t="n">
        <v>0</v>
      </c>
      <c r="J1408" t="n">
        <v>0</v>
      </c>
      <c r="K1408" t="n">
        <v>0</v>
      </c>
      <c r="L1408" t="n">
        <v>0</v>
      </c>
      <c r="M1408" t="n">
        <v>0</v>
      </c>
      <c r="N1408" t="n">
        <v>0</v>
      </c>
      <c r="O1408" t="n">
        <v>0</v>
      </c>
      <c r="P1408" t="n">
        <v>0</v>
      </c>
      <c r="Q1408" t="n">
        <v>0</v>
      </c>
      <c r="R1408" s="2" t="inlineStr"/>
    </row>
    <row r="1409" ht="15" customHeight="1">
      <c r="A1409" t="inlineStr">
        <is>
          <t>A 25159-2025</t>
        </is>
      </c>
      <c r="B1409" s="1" t="n">
        <v>45800.42804398148</v>
      </c>
      <c r="C1409" s="1" t="n">
        <v>45976</v>
      </c>
      <c r="D1409" t="inlineStr">
        <is>
          <t>JÄMTLANDS LÄN</t>
        </is>
      </c>
      <c r="E1409" t="inlineStr">
        <is>
          <t>BRÄCKE</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23064-2024</t>
        </is>
      </c>
      <c r="B1410" s="1" t="n">
        <v>45450.44827546296</v>
      </c>
      <c r="C1410" s="1" t="n">
        <v>45976</v>
      </c>
      <c r="D1410" t="inlineStr">
        <is>
          <t>JÄMTLANDS LÄN</t>
        </is>
      </c>
      <c r="E1410" t="inlineStr">
        <is>
          <t>BRÄCKE</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46875-2025</t>
        </is>
      </c>
      <c r="B1411" s="1" t="n">
        <v>45929.34453703704</v>
      </c>
      <c r="C1411" s="1" t="n">
        <v>45976</v>
      </c>
      <c r="D1411" t="inlineStr">
        <is>
          <t>JÄMTLANDS LÄN</t>
        </is>
      </c>
      <c r="E1411" t="inlineStr">
        <is>
          <t>BRÄCKE</t>
        </is>
      </c>
      <c r="F1411" t="inlineStr">
        <is>
          <t>SCA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25101-2025</t>
        </is>
      </c>
      <c r="B1412" s="1" t="n">
        <v>45800.34444444445</v>
      </c>
      <c r="C1412" s="1" t="n">
        <v>45976</v>
      </c>
      <c r="D1412" t="inlineStr">
        <is>
          <t>JÄMTLANDS LÄN</t>
        </is>
      </c>
      <c r="E1412" t="inlineStr">
        <is>
          <t>BRÄCKE</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46686-2025</t>
        </is>
      </c>
      <c r="B1413" s="1" t="n">
        <v>45926.55258101852</v>
      </c>
      <c r="C1413" s="1" t="n">
        <v>45976</v>
      </c>
      <c r="D1413" t="inlineStr">
        <is>
          <t>JÄMTLANDS LÄN</t>
        </is>
      </c>
      <c r="E1413" t="inlineStr">
        <is>
          <t>BRÄCKE</t>
        </is>
      </c>
      <c r="F1413" t="inlineStr">
        <is>
          <t>SCA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37048-2021</t>
        </is>
      </c>
      <c r="B1414" s="1" t="n">
        <v>44393.93534722222</v>
      </c>
      <c r="C1414" s="1" t="n">
        <v>45976</v>
      </c>
      <c r="D1414" t="inlineStr">
        <is>
          <t>JÄMTLANDS LÄN</t>
        </is>
      </c>
      <c r="E1414" t="inlineStr">
        <is>
          <t>BRÄCKE</t>
        </is>
      </c>
      <c r="F1414" t="inlineStr">
        <is>
          <t>SCA</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46623-2025</t>
        </is>
      </c>
      <c r="B1415" s="1" t="n">
        <v>45926.44829861111</v>
      </c>
      <c r="C1415" s="1" t="n">
        <v>45976</v>
      </c>
      <c r="D1415" t="inlineStr">
        <is>
          <t>JÄMTLANDS LÄN</t>
        </is>
      </c>
      <c r="E1415" t="inlineStr">
        <is>
          <t>BRÄCKE</t>
        </is>
      </c>
      <c r="F1415" t="inlineStr">
        <is>
          <t>SCA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46624-2025</t>
        </is>
      </c>
      <c r="B1416" s="1" t="n">
        <v>45926.44844907407</v>
      </c>
      <c r="C1416" s="1" t="n">
        <v>45976</v>
      </c>
      <c r="D1416" t="inlineStr">
        <is>
          <t>JÄMTLANDS LÄN</t>
        </is>
      </c>
      <c r="E1416" t="inlineStr">
        <is>
          <t>BRÄCKE</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25934-2024</t>
        </is>
      </c>
      <c r="B1417" s="1" t="n">
        <v>45467.62287037037</v>
      </c>
      <c r="C1417" s="1" t="n">
        <v>45976</v>
      </c>
      <c r="D1417" t="inlineStr">
        <is>
          <t>JÄMTLANDS LÄN</t>
        </is>
      </c>
      <c r="E1417" t="inlineStr">
        <is>
          <t>BRÄCKE</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63534-2023</t>
        </is>
      </c>
      <c r="B1418" s="1" t="n">
        <v>45274.94905092593</v>
      </c>
      <c r="C1418" s="1" t="n">
        <v>45976</v>
      </c>
      <c r="D1418" t="inlineStr">
        <is>
          <t>JÄMTLANDS LÄN</t>
        </is>
      </c>
      <c r="E1418" t="inlineStr">
        <is>
          <t>BRÄCKE</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45577-2023</t>
        </is>
      </c>
      <c r="B1419" s="1" t="n">
        <v>45194</v>
      </c>
      <c r="C1419" s="1" t="n">
        <v>45976</v>
      </c>
      <c r="D1419" t="inlineStr">
        <is>
          <t>JÄMTLANDS LÄN</t>
        </is>
      </c>
      <c r="E1419" t="inlineStr">
        <is>
          <t>BRÄCKE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55485-2025</t>
        </is>
      </c>
      <c r="B1420" s="1" t="n">
        <v>45971.5733912037</v>
      </c>
      <c r="C1420" s="1" t="n">
        <v>45976</v>
      </c>
      <c r="D1420" t="inlineStr">
        <is>
          <t>JÄMTLANDS LÄN</t>
        </is>
      </c>
      <c r="E1420" t="inlineStr">
        <is>
          <t>BRÄCKE</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25821-2025</t>
        </is>
      </c>
      <c r="B1421" s="1" t="n">
        <v>45804.43686342592</v>
      </c>
      <c r="C1421" s="1" t="n">
        <v>45976</v>
      </c>
      <c r="D1421" t="inlineStr">
        <is>
          <t>JÄMTLANDS LÄN</t>
        </is>
      </c>
      <c r="E1421" t="inlineStr">
        <is>
          <t>BRÄCKE</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53522-2023</t>
        </is>
      </c>
      <c r="B1422" s="1" t="n">
        <v>45223</v>
      </c>
      <c r="C1422" s="1" t="n">
        <v>45976</v>
      </c>
      <c r="D1422" t="inlineStr">
        <is>
          <t>JÄMTLANDS LÄN</t>
        </is>
      </c>
      <c r="E1422" t="inlineStr">
        <is>
          <t>BRÄCKE</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47117-2025</t>
        </is>
      </c>
      <c r="B1423" s="1" t="n">
        <v>45929.67751157407</v>
      </c>
      <c r="C1423" s="1" t="n">
        <v>45976</v>
      </c>
      <c r="D1423" t="inlineStr">
        <is>
          <t>JÄMTLANDS LÄN</t>
        </is>
      </c>
      <c r="E1423" t="inlineStr">
        <is>
          <t>BRÄCKE</t>
        </is>
      </c>
      <c r="F1423" t="inlineStr">
        <is>
          <t>SCA</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18265-2025</t>
        </is>
      </c>
      <c r="B1424" s="1" t="n">
        <v>45762.36525462963</v>
      </c>
      <c r="C1424" s="1" t="n">
        <v>45976</v>
      </c>
      <c r="D1424" t="inlineStr">
        <is>
          <t>JÄMTLANDS LÄN</t>
        </is>
      </c>
      <c r="E1424" t="inlineStr">
        <is>
          <t>BRÄCKE</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55388-2025</t>
        </is>
      </c>
      <c r="B1425" s="1" t="n">
        <v>45971.43935185186</v>
      </c>
      <c r="C1425" s="1" t="n">
        <v>45976</v>
      </c>
      <c r="D1425" t="inlineStr">
        <is>
          <t>JÄMTLANDS LÄN</t>
        </is>
      </c>
      <c r="E1425" t="inlineStr">
        <is>
          <t>BRÄCKE</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55367-2025</t>
        </is>
      </c>
      <c r="B1426" s="1" t="n">
        <v>45971.41381944445</v>
      </c>
      <c r="C1426" s="1" t="n">
        <v>45976</v>
      </c>
      <c r="D1426" t="inlineStr">
        <is>
          <t>JÄMTLANDS LÄN</t>
        </is>
      </c>
      <c r="E1426" t="inlineStr">
        <is>
          <t>BRÄCKE</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26298-2025</t>
        </is>
      </c>
      <c r="B1427" s="1" t="n">
        <v>45805.63619212963</v>
      </c>
      <c r="C1427" s="1" t="n">
        <v>45976</v>
      </c>
      <c r="D1427" t="inlineStr">
        <is>
          <t>JÄMTLANDS LÄN</t>
        </is>
      </c>
      <c r="E1427" t="inlineStr">
        <is>
          <t>BRÄCKE</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55149-2025</t>
        </is>
      </c>
      <c r="B1428" s="1" t="n">
        <v>45968.44840277778</v>
      </c>
      <c r="C1428" s="1" t="n">
        <v>45976</v>
      </c>
      <c r="D1428" t="inlineStr">
        <is>
          <t>JÄMTLANDS LÄN</t>
        </is>
      </c>
      <c r="E1428" t="inlineStr">
        <is>
          <t>BRÄCKE</t>
        </is>
      </c>
      <c r="F1428" t="inlineStr">
        <is>
          <t>SCA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55457-2025</t>
        </is>
      </c>
      <c r="B1429" s="1" t="n">
        <v>45971.51321759259</v>
      </c>
      <c r="C1429" s="1" t="n">
        <v>45976</v>
      </c>
      <c r="D1429" t="inlineStr">
        <is>
          <t>JÄMTLANDS LÄN</t>
        </is>
      </c>
      <c r="E1429" t="inlineStr">
        <is>
          <t>BRÄCKE</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21380-2024</t>
        </is>
      </c>
      <c r="B1430" s="1" t="n">
        <v>45440</v>
      </c>
      <c r="C1430" s="1" t="n">
        <v>45976</v>
      </c>
      <c r="D1430" t="inlineStr">
        <is>
          <t>JÄMTLANDS LÄN</t>
        </is>
      </c>
      <c r="E1430" t="inlineStr">
        <is>
          <t>BRÄCKE</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21381-2024</t>
        </is>
      </c>
      <c r="B1431" s="1" t="n">
        <v>45440.95402777778</v>
      </c>
      <c r="C1431" s="1" t="n">
        <v>45976</v>
      </c>
      <c r="D1431" t="inlineStr">
        <is>
          <t>JÄMTLANDS LÄN</t>
        </is>
      </c>
      <c r="E1431" t="inlineStr">
        <is>
          <t>BRÄCKE</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25734-2025</t>
        </is>
      </c>
      <c r="B1432" s="1" t="n">
        <v>45803.76541666667</v>
      </c>
      <c r="C1432" s="1" t="n">
        <v>45976</v>
      </c>
      <c r="D1432" t="inlineStr">
        <is>
          <t>JÄMTLANDS LÄN</t>
        </is>
      </c>
      <c r="E1432" t="inlineStr">
        <is>
          <t>BRÄCKE</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64037-2023</t>
        </is>
      </c>
      <c r="B1433" s="1" t="n">
        <v>45278.94344907408</v>
      </c>
      <c r="C1433" s="1" t="n">
        <v>45976</v>
      </c>
      <c r="D1433" t="inlineStr">
        <is>
          <t>JÄMTLANDS LÄN</t>
        </is>
      </c>
      <c r="E1433" t="inlineStr">
        <is>
          <t>BRÄCKE</t>
        </is>
      </c>
      <c r="F1433" t="inlineStr">
        <is>
          <t>SCA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47070-2025</t>
        </is>
      </c>
      <c r="B1434" s="1" t="n">
        <v>45929.63621527778</v>
      </c>
      <c r="C1434" s="1" t="n">
        <v>45976</v>
      </c>
      <c r="D1434" t="inlineStr">
        <is>
          <t>JÄMTLANDS LÄN</t>
        </is>
      </c>
      <c r="E1434" t="inlineStr">
        <is>
          <t>BRÄCKE</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34137-2023</t>
        </is>
      </c>
      <c r="B1435" s="1" t="n">
        <v>45135</v>
      </c>
      <c r="C1435" s="1" t="n">
        <v>45976</v>
      </c>
      <c r="D1435" t="inlineStr">
        <is>
          <t>JÄMTLANDS LÄN</t>
        </is>
      </c>
      <c r="E1435" t="inlineStr">
        <is>
          <t>BRÄCKE</t>
        </is>
      </c>
      <c r="F1435" t="inlineStr">
        <is>
          <t>SCA</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4132-2025</t>
        </is>
      </c>
      <c r="B1436" s="1" t="n">
        <v>45685.34538194445</v>
      </c>
      <c r="C1436" s="1" t="n">
        <v>45976</v>
      </c>
      <c r="D1436" t="inlineStr">
        <is>
          <t>JÄMTLANDS LÄN</t>
        </is>
      </c>
      <c r="E1436" t="inlineStr">
        <is>
          <t>BRÄCKE</t>
        </is>
      </c>
      <c r="F1436" t="inlineStr">
        <is>
          <t>SCA</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46625-2025</t>
        </is>
      </c>
      <c r="B1437" s="1" t="n">
        <v>45926.44857638889</v>
      </c>
      <c r="C1437" s="1" t="n">
        <v>45976</v>
      </c>
      <c r="D1437" t="inlineStr">
        <is>
          <t>JÄMTLANDS LÄN</t>
        </is>
      </c>
      <c r="E1437" t="inlineStr">
        <is>
          <t>BRÄCKE</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26379-2025</t>
        </is>
      </c>
      <c r="B1438" s="1" t="n">
        <v>45806.48998842593</v>
      </c>
      <c r="C1438" s="1" t="n">
        <v>45976</v>
      </c>
      <c r="D1438" t="inlineStr">
        <is>
          <t>JÄMTLANDS LÄN</t>
        </is>
      </c>
      <c r="E1438" t="inlineStr">
        <is>
          <t>BRÄCKE</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55524-2025</t>
        </is>
      </c>
      <c r="B1439" s="1" t="n">
        <v>45971.61523148148</v>
      </c>
      <c r="C1439" s="1" t="n">
        <v>45976</v>
      </c>
      <c r="D1439" t="inlineStr">
        <is>
          <t>JÄMTLANDS LÄN</t>
        </is>
      </c>
      <c r="E1439" t="inlineStr">
        <is>
          <t>BRÄCKE</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55382-2025</t>
        </is>
      </c>
      <c r="B1440" s="1" t="n">
        <v>45971.42909722222</v>
      </c>
      <c r="C1440" s="1" t="n">
        <v>45976</v>
      </c>
      <c r="D1440" t="inlineStr">
        <is>
          <t>JÄMTLANDS LÄN</t>
        </is>
      </c>
      <c r="E1440" t="inlineStr">
        <is>
          <t>BRÄCKE</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52023-2022</t>
        </is>
      </c>
      <c r="B1441" s="1" t="n">
        <v>44872.95675925926</v>
      </c>
      <c r="C1441" s="1" t="n">
        <v>45976</v>
      </c>
      <c r="D1441" t="inlineStr">
        <is>
          <t>JÄMTLANDS LÄN</t>
        </is>
      </c>
      <c r="E1441" t="inlineStr">
        <is>
          <t>BRÄCKE</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47120-2025</t>
        </is>
      </c>
      <c r="B1442" s="1" t="n">
        <v>45929.67829861111</v>
      </c>
      <c r="C1442" s="1" t="n">
        <v>45976</v>
      </c>
      <c r="D1442" t="inlineStr">
        <is>
          <t>JÄMTLANDS LÄN</t>
        </is>
      </c>
      <c r="E1442" t="inlineStr">
        <is>
          <t>BRÄCKE</t>
        </is>
      </c>
      <c r="F1442" t="inlineStr">
        <is>
          <t>SCA</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30480-2022</t>
        </is>
      </c>
      <c r="B1443" s="1" t="n">
        <v>44761.94019675926</v>
      </c>
      <c r="C1443" s="1" t="n">
        <v>45976</v>
      </c>
      <c r="D1443" t="inlineStr">
        <is>
          <t>JÄMTLANDS LÄN</t>
        </is>
      </c>
      <c r="E1443" t="inlineStr">
        <is>
          <t>BRÄCKE</t>
        </is>
      </c>
      <c r="F1443" t="inlineStr">
        <is>
          <t>SCA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55138-2025</t>
        </is>
      </c>
      <c r="B1444" s="1" t="n">
        <v>45968.42784722222</v>
      </c>
      <c r="C1444" s="1" t="n">
        <v>45976</v>
      </c>
      <c r="D1444" t="inlineStr">
        <is>
          <t>JÄMTLANDS LÄN</t>
        </is>
      </c>
      <c r="E1444" t="inlineStr">
        <is>
          <t>BRÄCKE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2197-2025</t>
        </is>
      </c>
      <c r="B1445" s="1" t="n">
        <v>45673.38782407407</v>
      </c>
      <c r="C1445" s="1" t="n">
        <v>45976</v>
      </c>
      <c r="D1445" t="inlineStr">
        <is>
          <t>JÄMTLANDS LÄN</t>
        </is>
      </c>
      <c r="E1445" t="inlineStr">
        <is>
          <t>BRÄCKE</t>
        </is>
      </c>
      <c r="F1445" t="inlineStr">
        <is>
          <t>SCA</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31843-2022</t>
        </is>
      </c>
      <c r="B1446" s="1" t="n">
        <v>44776.94121527778</v>
      </c>
      <c r="C1446" s="1" t="n">
        <v>45976</v>
      </c>
      <c r="D1446" t="inlineStr">
        <is>
          <t>JÄMTLANDS LÄN</t>
        </is>
      </c>
      <c r="E1446" t="inlineStr">
        <is>
          <t>BRÄCKE</t>
        </is>
      </c>
      <c r="F1446" t="inlineStr">
        <is>
          <t>SCA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31853-2022</t>
        </is>
      </c>
      <c r="B1447" s="1" t="n">
        <v>44776</v>
      </c>
      <c r="C1447" s="1" t="n">
        <v>45976</v>
      </c>
      <c r="D1447" t="inlineStr">
        <is>
          <t>JÄMTLANDS LÄN</t>
        </is>
      </c>
      <c r="E1447" t="inlineStr">
        <is>
          <t>BRÄCKE</t>
        </is>
      </c>
      <c r="F1447" t="inlineStr">
        <is>
          <t>SCA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16158-2024</t>
        </is>
      </c>
      <c r="B1448" s="1" t="n">
        <v>45406.5909837963</v>
      </c>
      <c r="C1448" s="1" t="n">
        <v>45976</v>
      </c>
      <c r="D1448" t="inlineStr">
        <is>
          <t>JÄMTLANDS LÄN</t>
        </is>
      </c>
      <c r="E1448" t="inlineStr">
        <is>
          <t>BRÄCKE</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31558-2024</t>
        </is>
      </c>
      <c r="B1449" s="1" t="n">
        <v>45505</v>
      </c>
      <c r="C1449" s="1" t="n">
        <v>45976</v>
      </c>
      <c r="D1449" t="inlineStr">
        <is>
          <t>JÄMTLANDS LÄN</t>
        </is>
      </c>
      <c r="E1449" t="inlineStr">
        <is>
          <t>BRÄCKE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26818-2025</t>
        </is>
      </c>
      <c r="B1450" s="1" t="n">
        <v>45810.63622685185</v>
      </c>
      <c r="C1450" s="1" t="n">
        <v>45976</v>
      </c>
      <c r="D1450" t="inlineStr">
        <is>
          <t>JÄMTLANDS LÄN</t>
        </is>
      </c>
      <c r="E1450" t="inlineStr">
        <is>
          <t>BRÄCKE</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35972-2023</t>
        </is>
      </c>
      <c r="B1451" s="1" t="n">
        <v>45148</v>
      </c>
      <c r="C1451" s="1" t="n">
        <v>45976</v>
      </c>
      <c r="D1451" t="inlineStr">
        <is>
          <t>JÄMTLANDS LÄN</t>
        </is>
      </c>
      <c r="E1451" t="inlineStr">
        <is>
          <t>BRÄCKE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2245-2025</t>
        </is>
      </c>
      <c r="B1452" s="1" t="n">
        <v>45673.49019675926</v>
      </c>
      <c r="C1452" s="1" t="n">
        <v>45976</v>
      </c>
      <c r="D1452" t="inlineStr">
        <is>
          <t>JÄMTLANDS LÄN</t>
        </is>
      </c>
      <c r="E1452" t="inlineStr">
        <is>
          <t>BRÄCKE</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18983-2025</t>
        </is>
      </c>
      <c r="B1453" s="1" t="n">
        <v>45764.55618055556</v>
      </c>
      <c r="C1453" s="1" t="n">
        <v>45976</v>
      </c>
      <c r="D1453" t="inlineStr">
        <is>
          <t>JÄMTLANDS LÄN</t>
        </is>
      </c>
      <c r="E1453" t="inlineStr">
        <is>
          <t>BRÄCKE</t>
        </is>
      </c>
      <c r="G1453" t="n">
        <v>23.8</v>
      </c>
      <c r="H1453" t="n">
        <v>0</v>
      </c>
      <c r="I1453" t="n">
        <v>0</v>
      </c>
      <c r="J1453" t="n">
        <v>0</v>
      </c>
      <c r="K1453" t="n">
        <v>0</v>
      </c>
      <c r="L1453" t="n">
        <v>0</v>
      </c>
      <c r="M1453" t="n">
        <v>0</v>
      </c>
      <c r="N1453" t="n">
        <v>0</v>
      </c>
      <c r="O1453" t="n">
        <v>0</v>
      </c>
      <c r="P1453" t="n">
        <v>0</v>
      </c>
      <c r="Q1453" t="n">
        <v>0</v>
      </c>
      <c r="R1453" s="2" t="inlineStr"/>
    </row>
    <row r="1454" ht="15" customHeight="1">
      <c r="A1454" t="inlineStr">
        <is>
          <t>A 26736-2025</t>
        </is>
      </c>
      <c r="B1454" s="1" t="n">
        <v>45810.51644675926</v>
      </c>
      <c r="C1454" s="1" t="n">
        <v>45976</v>
      </c>
      <c r="D1454" t="inlineStr">
        <is>
          <t>JÄMTLANDS LÄN</t>
        </is>
      </c>
      <c r="E1454" t="inlineStr">
        <is>
          <t>BRÄCKE</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2774-2025</t>
        </is>
      </c>
      <c r="B1455" s="1" t="n">
        <v>45677.51086805556</v>
      </c>
      <c r="C1455" s="1" t="n">
        <v>45976</v>
      </c>
      <c r="D1455" t="inlineStr">
        <is>
          <t>JÄMTLANDS LÄN</t>
        </is>
      </c>
      <c r="E1455" t="inlineStr">
        <is>
          <t>BRÄCKE</t>
        </is>
      </c>
      <c r="F1455" t="inlineStr">
        <is>
          <t>SCA</t>
        </is>
      </c>
      <c r="G1455" t="n">
        <v>11.4</v>
      </c>
      <c r="H1455" t="n">
        <v>0</v>
      </c>
      <c r="I1455" t="n">
        <v>0</v>
      </c>
      <c r="J1455" t="n">
        <v>0</v>
      </c>
      <c r="K1455" t="n">
        <v>0</v>
      </c>
      <c r="L1455" t="n">
        <v>0</v>
      </c>
      <c r="M1455" t="n">
        <v>0</v>
      </c>
      <c r="N1455" t="n">
        <v>0</v>
      </c>
      <c r="O1455" t="n">
        <v>0</v>
      </c>
      <c r="P1455" t="n">
        <v>0</v>
      </c>
      <c r="Q1455" t="n">
        <v>0</v>
      </c>
      <c r="R1455" s="2" t="inlineStr"/>
      <c r="U1455">
        <f>HYPERLINK("https://klasma.github.io/Logging_2305/knärot/A 2774-2025 karta knärot.png", "A 2774-2025")</f>
        <v/>
      </c>
      <c r="V1455">
        <f>HYPERLINK("https://klasma.github.io/Logging_2305/klagomål/A 2774-2025 FSC-klagomål.docx", "A 2774-2025")</f>
        <v/>
      </c>
      <c r="W1455">
        <f>HYPERLINK("https://klasma.github.io/Logging_2305/klagomålsmail/A 2774-2025 FSC-klagomål mail.docx", "A 2774-2025")</f>
        <v/>
      </c>
      <c r="X1455">
        <f>HYPERLINK("https://klasma.github.io/Logging_2305/tillsyn/A 2774-2025 tillsynsbegäran.docx", "A 2774-2025")</f>
        <v/>
      </c>
      <c r="Y1455">
        <f>HYPERLINK("https://klasma.github.io/Logging_2305/tillsynsmail/A 2774-2025 tillsynsbegäran mail.docx", "A 2774-2025")</f>
        <v/>
      </c>
    </row>
    <row r="1456" ht="15" customHeight="1">
      <c r="A1456" t="inlineStr">
        <is>
          <t>A 59245-2024</t>
        </is>
      </c>
      <c r="B1456" s="1" t="n">
        <v>45637.59230324074</v>
      </c>
      <c r="C1456" s="1" t="n">
        <v>45976</v>
      </c>
      <c r="D1456" t="inlineStr">
        <is>
          <t>JÄMTLANDS LÄN</t>
        </is>
      </c>
      <c r="E1456" t="inlineStr">
        <is>
          <t>BRÄCKE</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47320-2025</t>
        </is>
      </c>
      <c r="B1457" s="1" t="n">
        <v>45930.55255787037</v>
      </c>
      <c r="C1457" s="1" t="n">
        <v>45976</v>
      </c>
      <c r="D1457" t="inlineStr">
        <is>
          <t>JÄMTLANDS LÄN</t>
        </is>
      </c>
      <c r="E1457" t="inlineStr">
        <is>
          <t>BRÄCKE</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47318-2025</t>
        </is>
      </c>
      <c r="B1458" s="1" t="n">
        <v>45930.55251157407</v>
      </c>
      <c r="C1458" s="1" t="n">
        <v>45976</v>
      </c>
      <c r="D1458" t="inlineStr">
        <is>
          <t>JÄMTLANDS LÄN</t>
        </is>
      </c>
      <c r="E1458" t="inlineStr">
        <is>
          <t>BRÄCKE</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47319-2025</t>
        </is>
      </c>
      <c r="B1459" s="1" t="n">
        <v>45930.55253472222</v>
      </c>
      <c r="C1459" s="1" t="n">
        <v>45976</v>
      </c>
      <c r="D1459" t="inlineStr">
        <is>
          <t>JÄMTLANDS LÄN</t>
        </is>
      </c>
      <c r="E1459" t="inlineStr">
        <is>
          <t>BRÄCKE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47439-2025</t>
        </is>
      </c>
      <c r="B1460" s="1" t="n">
        <v>45930.63744212963</v>
      </c>
      <c r="C1460" s="1" t="n">
        <v>45976</v>
      </c>
      <c r="D1460" t="inlineStr">
        <is>
          <t>JÄMTLANDS LÄN</t>
        </is>
      </c>
      <c r="E1460" t="inlineStr">
        <is>
          <t>BRÄCKE</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1201-2022</t>
        </is>
      </c>
      <c r="B1461" s="1" t="n">
        <v>44572</v>
      </c>
      <c r="C1461" s="1" t="n">
        <v>45976</v>
      </c>
      <c r="D1461" t="inlineStr">
        <is>
          <t>JÄMTLANDS LÄN</t>
        </is>
      </c>
      <c r="E1461" t="inlineStr">
        <is>
          <t>BRÄCKE</t>
        </is>
      </c>
      <c r="G1461" t="n">
        <v>13.7</v>
      </c>
      <c r="H1461" t="n">
        <v>0</v>
      </c>
      <c r="I1461" t="n">
        <v>0</v>
      </c>
      <c r="J1461" t="n">
        <v>0</v>
      </c>
      <c r="K1461" t="n">
        <v>0</v>
      </c>
      <c r="L1461" t="n">
        <v>0</v>
      </c>
      <c r="M1461" t="n">
        <v>0</v>
      </c>
      <c r="N1461" t="n">
        <v>0</v>
      </c>
      <c r="O1461" t="n">
        <v>0</v>
      </c>
      <c r="P1461" t="n">
        <v>0</v>
      </c>
      <c r="Q1461" t="n">
        <v>0</v>
      </c>
      <c r="R1461" s="2" t="inlineStr"/>
    </row>
    <row r="1462" ht="15" customHeight="1">
      <c r="A1462" t="inlineStr">
        <is>
          <t>A 55905-2025</t>
        </is>
      </c>
      <c r="B1462" s="1" t="n">
        <v>45973.39108796296</v>
      </c>
      <c r="C1462" s="1" t="n">
        <v>45976</v>
      </c>
      <c r="D1462" t="inlineStr">
        <is>
          <t>JÄMTLANDS LÄN</t>
        </is>
      </c>
      <c r="E1462" t="inlineStr">
        <is>
          <t>BRÄCKE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52344-2025</t>
        </is>
      </c>
      <c r="B1463" s="1" t="n">
        <v>45953.71978009259</v>
      </c>
      <c r="C1463" s="1" t="n">
        <v>45976</v>
      </c>
      <c r="D1463" t="inlineStr">
        <is>
          <t>JÄMTLANDS LÄN</t>
        </is>
      </c>
      <c r="E1463" t="inlineStr">
        <is>
          <t>BRÄCKE</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52342-2025</t>
        </is>
      </c>
      <c r="B1464" s="1" t="n">
        <v>45953.71928240741</v>
      </c>
      <c r="C1464" s="1" t="n">
        <v>45976</v>
      </c>
      <c r="D1464" t="inlineStr">
        <is>
          <t>JÄMTLANDS LÄN</t>
        </is>
      </c>
      <c r="E1464" t="inlineStr">
        <is>
          <t>BRÄCKE</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47474-2025</t>
        </is>
      </c>
      <c r="B1465" s="1" t="n">
        <v>45930.67776620371</v>
      </c>
      <c r="C1465" s="1" t="n">
        <v>45976</v>
      </c>
      <c r="D1465" t="inlineStr">
        <is>
          <t>JÄMTLANDS LÄN</t>
        </is>
      </c>
      <c r="E1465" t="inlineStr">
        <is>
          <t>BRÄCKE</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47714-2025</t>
        </is>
      </c>
      <c r="B1466" s="1" t="n">
        <v>45931.61553240741</v>
      </c>
      <c r="C1466" s="1" t="n">
        <v>45976</v>
      </c>
      <c r="D1466" t="inlineStr">
        <is>
          <t>JÄMTLANDS LÄN</t>
        </is>
      </c>
      <c r="E1466" t="inlineStr">
        <is>
          <t>BRÄCKE</t>
        </is>
      </c>
      <c r="F1466" t="inlineStr">
        <is>
          <t>SCA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27041-2025</t>
        </is>
      </c>
      <c r="B1467" s="1" t="n">
        <v>45811.60465277778</v>
      </c>
      <c r="C1467" s="1" t="n">
        <v>45976</v>
      </c>
      <c r="D1467" t="inlineStr">
        <is>
          <t>JÄMTLANDS LÄN</t>
        </is>
      </c>
      <c r="E1467" t="inlineStr">
        <is>
          <t>BRÄCKE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14607-2025</t>
        </is>
      </c>
      <c r="B1468" s="1" t="n">
        <v>45742.37540509259</v>
      </c>
      <c r="C1468" s="1" t="n">
        <v>45976</v>
      </c>
      <c r="D1468" t="inlineStr">
        <is>
          <t>JÄMTLANDS LÄN</t>
        </is>
      </c>
      <c r="E1468" t="inlineStr">
        <is>
          <t>BRÄCKE</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27197-2025</t>
        </is>
      </c>
      <c r="B1469" s="1" t="n">
        <v>45812.38596064815</v>
      </c>
      <c r="C1469" s="1" t="n">
        <v>45976</v>
      </c>
      <c r="D1469" t="inlineStr">
        <is>
          <t>JÄMTLANDS LÄN</t>
        </is>
      </c>
      <c r="E1469" t="inlineStr">
        <is>
          <t>BRÄCKE</t>
        </is>
      </c>
      <c r="F1469" t="inlineStr">
        <is>
          <t>SCA</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33998-2023</t>
        </is>
      </c>
      <c r="B1470" s="1" t="n">
        <v>45134</v>
      </c>
      <c r="C1470" s="1" t="n">
        <v>45976</v>
      </c>
      <c r="D1470" t="inlineStr">
        <is>
          <t>JÄMTLANDS LÄN</t>
        </is>
      </c>
      <c r="E1470" t="inlineStr">
        <is>
          <t>BRÄCKE</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55733-2025</t>
        </is>
      </c>
      <c r="B1471" s="1" t="n">
        <v>45972.55298611111</v>
      </c>
      <c r="C1471" s="1" t="n">
        <v>45976</v>
      </c>
      <c r="D1471" t="inlineStr">
        <is>
          <t>JÄMTLANDS LÄN</t>
        </is>
      </c>
      <c r="E1471" t="inlineStr">
        <is>
          <t>BRÄCKE</t>
        </is>
      </c>
      <c r="F1471" t="inlineStr">
        <is>
          <t>SCA</t>
        </is>
      </c>
      <c r="G1471" t="n">
        <v>8.300000000000001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55636-2025</t>
        </is>
      </c>
      <c r="B1472" s="1" t="n">
        <v>45972.345</v>
      </c>
      <c r="C1472" s="1" t="n">
        <v>45976</v>
      </c>
      <c r="D1472" t="inlineStr">
        <is>
          <t>JÄMTLANDS LÄN</t>
        </is>
      </c>
      <c r="E1472" t="inlineStr">
        <is>
          <t>BRÄCKE</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27511-2025</t>
        </is>
      </c>
      <c r="B1473" s="1" t="n">
        <v>45813.42799768518</v>
      </c>
      <c r="C1473" s="1" t="n">
        <v>45976</v>
      </c>
      <c r="D1473" t="inlineStr">
        <is>
          <t>JÄMTLANDS LÄN</t>
        </is>
      </c>
      <c r="E1473" t="inlineStr">
        <is>
          <t>BRÄCKE</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27516-2025</t>
        </is>
      </c>
      <c r="B1474" s="1" t="n">
        <v>45813.43526620371</v>
      </c>
      <c r="C1474" s="1" t="n">
        <v>45976</v>
      </c>
      <c r="D1474" t="inlineStr">
        <is>
          <t>JÄMTLANDS LÄN</t>
        </is>
      </c>
      <c r="E1474" t="inlineStr">
        <is>
          <t>BRÄCKE</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54986-2023</t>
        </is>
      </c>
      <c r="B1475" s="1" t="n">
        <v>45236.96729166667</v>
      </c>
      <c r="C1475" s="1" t="n">
        <v>45976</v>
      </c>
      <c r="D1475" t="inlineStr">
        <is>
          <t>JÄMTLANDS LÄN</t>
        </is>
      </c>
      <c r="E1475" t="inlineStr">
        <is>
          <t>BRÄCKE</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59047-2022</t>
        </is>
      </c>
      <c r="B1476" s="1" t="n">
        <v>44903.95328703704</v>
      </c>
      <c r="C1476" s="1" t="n">
        <v>45976</v>
      </c>
      <c r="D1476" t="inlineStr">
        <is>
          <t>JÄMTLANDS LÄN</t>
        </is>
      </c>
      <c r="E1476" t="inlineStr">
        <is>
          <t>BRÄCKE</t>
        </is>
      </c>
      <c r="F1476" t="inlineStr">
        <is>
          <t>SCA</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52345-2025</t>
        </is>
      </c>
      <c r="B1477" s="1" t="n">
        <v>45953.71998842592</v>
      </c>
      <c r="C1477" s="1" t="n">
        <v>45976</v>
      </c>
      <c r="D1477" t="inlineStr">
        <is>
          <t>JÄMTLANDS LÄN</t>
        </is>
      </c>
      <c r="E1477" t="inlineStr">
        <is>
          <t>BRÄCKE</t>
        </is>
      </c>
      <c r="F1477" t="inlineStr">
        <is>
          <t>SCA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52346-2025</t>
        </is>
      </c>
      <c r="B1478" s="1" t="n">
        <v>45953</v>
      </c>
      <c r="C1478" s="1" t="n">
        <v>45976</v>
      </c>
      <c r="D1478" t="inlineStr">
        <is>
          <t>JÄMTLANDS LÄN</t>
        </is>
      </c>
      <c r="E1478" t="inlineStr">
        <is>
          <t>BRÄCKE</t>
        </is>
      </c>
      <c r="F1478" t="inlineStr">
        <is>
          <t>SCA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9970-2025</t>
        </is>
      </c>
      <c r="B1479" s="1" t="n">
        <v>45719.38614583333</v>
      </c>
      <c r="C1479" s="1" t="n">
        <v>45976</v>
      </c>
      <c r="D1479" t="inlineStr">
        <is>
          <t>JÄMTLANDS LÄN</t>
        </is>
      </c>
      <c r="E1479" t="inlineStr">
        <is>
          <t>BRÄCKE</t>
        </is>
      </c>
      <c r="F1479" t="inlineStr">
        <is>
          <t>SCA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60435-2023</t>
        </is>
      </c>
      <c r="B1480" s="1" t="n">
        <v>45258</v>
      </c>
      <c r="C1480" s="1" t="n">
        <v>45976</v>
      </c>
      <c r="D1480" t="inlineStr">
        <is>
          <t>JÄMTLANDS LÄN</t>
        </is>
      </c>
      <c r="E1480" t="inlineStr">
        <is>
          <t>BRÄCKE</t>
        </is>
      </c>
      <c r="F1480" t="inlineStr">
        <is>
          <t>SCA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27453-2025</t>
        </is>
      </c>
      <c r="B1481" s="1" t="n">
        <v>45813.34454861111</v>
      </c>
      <c r="C1481" s="1" t="n">
        <v>45976</v>
      </c>
      <c r="D1481" t="inlineStr">
        <is>
          <t>JÄMTLANDS LÄN</t>
        </is>
      </c>
      <c r="E1481" t="inlineStr">
        <is>
          <t>BRÄCKE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24489-2025</t>
        </is>
      </c>
      <c r="B1482" s="1" t="n">
        <v>45798.3859375</v>
      </c>
      <c r="C1482" s="1" t="n">
        <v>45976</v>
      </c>
      <c r="D1482" t="inlineStr">
        <is>
          <t>JÄMTLANDS LÄN</t>
        </is>
      </c>
      <c r="E1482" t="inlineStr">
        <is>
          <t>BRÄCKE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52229-2024</t>
        </is>
      </c>
      <c r="B1483" s="1" t="n">
        <v>45608.60803240741</v>
      </c>
      <c r="C1483" s="1" t="n">
        <v>45976</v>
      </c>
      <c r="D1483" t="inlineStr">
        <is>
          <t>JÄMTLANDS LÄN</t>
        </is>
      </c>
      <c r="E1483" t="inlineStr">
        <is>
          <t>BRÄCKE</t>
        </is>
      </c>
      <c r="F1483" t="inlineStr">
        <is>
          <t>SCA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45691-2022</t>
        </is>
      </c>
      <c r="B1484" s="1" t="n">
        <v>44845.95319444445</v>
      </c>
      <c r="C1484" s="1" t="n">
        <v>45976</v>
      </c>
      <c r="D1484" t="inlineStr">
        <is>
          <t>JÄMTLANDS LÄN</t>
        </is>
      </c>
      <c r="E1484" t="inlineStr">
        <is>
          <t>BRÄCKE</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8739-2025</t>
        </is>
      </c>
      <c r="B1485" s="1" t="n">
        <v>45712.55239583334</v>
      </c>
      <c r="C1485" s="1" t="n">
        <v>45976</v>
      </c>
      <c r="D1485" t="inlineStr">
        <is>
          <t>JÄMTLANDS LÄN</t>
        </is>
      </c>
      <c r="E1485" t="inlineStr">
        <is>
          <t>BRÄCKE</t>
        </is>
      </c>
      <c r="F1485" t="inlineStr">
        <is>
          <t>SCA</t>
        </is>
      </c>
      <c r="G1485" t="n">
        <v>8.4</v>
      </c>
      <c r="H1485" t="n">
        <v>0</v>
      </c>
      <c r="I1485" t="n">
        <v>0</v>
      </c>
      <c r="J1485" t="n">
        <v>0</v>
      </c>
      <c r="K1485" t="n">
        <v>0</v>
      </c>
      <c r="L1485" t="n">
        <v>0</v>
      </c>
      <c r="M1485" t="n">
        <v>0</v>
      </c>
      <c r="N1485" t="n">
        <v>0</v>
      </c>
      <c r="O1485" t="n">
        <v>0</v>
      </c>
      <c r="P1485" t="n">
        <v>0</v>
      </c>
      <c r="Q1485" t="n">
        <v>0</v>
      </c>
      <c r="R1485" s="2" t="inlineStr"/>
    </row>
    <row r="1486" ht="15" customHeight="1">
      <c r="A1486" t="inlineStr">
        <is>
          <t>A 14503-2024</t>
        </is>
      </c>
      <c r="B1486" s="1" t="n">
        <v>45394.60408564815</v>
      </c>
      <c r="C1486" s="1" t="n">
        <v>45976</v>
      </c>
      <c r="D1486" t="inlineStr">
        <is>
          <t>JÄMTLANDS LÄN</t>
        </is>
      </c>
      <c r="E1486" t="inlineStr">
        <is>
          <t>BRÄCKE</t>
        </is>
      </c>
      <c r="G1486" t="n">
        <v>15.2</v>
      </c>
      <c r="H1486" t="n">
        <v>0</v>
      </c>
      <c r="I1486" t="n">
        <v>0</v>
      </c>
      <c r="J1486" t="n">
        <v>0</v>
      </c>
      <c r="K1486" t="n">
        <v>0</v>
      </c>
      <c r="L1486" t="n">
        <v>0</v>
      </c>
      <c r="M1486" t="n">
        <v>0</v>
      </c>
      <c r="N1486" t="n">
        <v>0</v>
      </c>
      <c r="O1486" t="n">
        <v>0</v>
      </c>
      <c r="P1486" t="n">
        <v>0</v>
      </c>
      <c r="Q1486" t="n">
        <v>0</v>
      </c>
      <c r="R1486" s="2" t="inlineStr"/>
    </row>
    <row r="1487" ht="15" customHeight="1">
      <c r="A1487" t="inlineStr">
        <is>
          <t>A 55880-2025</t>
        </is>
      </c>
      <c r="B1487" s="1" t="n">
        <v>45973.36510416667</v>
      </c>
      <c r="C1487" s="1" t="n">
        <v>45976</v>
      </c>
      <c r="D1487" t="inlineStr">
        <is>
          <t>JÄMTLANDS LÄN</t>
        </is>
      </c>
      <c r="E1487" t="inlineStr">
        <is>
          <t>BRÄCKE</t>
        </is>
      </c>
      <c r="F1487" t="inlineStr">
        <is>
          <t>SCA</t>
        </is>
      </c>
      <c r="G1487" t="n">
        <v>14.3</v>
      </c>
      <c r="H1487" t="n">
        <v>0</v>
      </c>
      <c r="I1487" t="n">
        <v>0</v>
      </c>
      <c r="J1487" t="n">
        <v>0</v>
      </c>
      <c r="K1487" t="n">
        <v>0</v>
      </c>
      <c r="L1487" t="n">
        <v>0</v>
      </c>
      <c r="M1487" t="n">
        <v>0</v>
      </c>
      <c r="N1487" t="n">
        <v>0</v>
      </c>
      <c r="O1487" t="n">
        <v>0</v>
      </c>
      <c r="P1487" t="n">
        <v>0</v>
      </c>
      <c r="Q1487" t="n">
        <v>0</v>
      </c>
      <c r="R1487" s="2" t="inlineStr"/>
    </row>
    <row r="1488" ht="15" customHeight="1">
      <c r="A1488" t="inlineStr">
        <is>
          <t>A 31526-2024</t>
        </is>
      </c>
      <c r="B1488" s="1" t="n">
        <v>45505.95956018518</v>
      </c>
      <c r="C1488" s="1" t="n">
        <v>45976</v>
      </c>
      <c r="D1488" t="inlineStr">
        <is>
          <t>JÄMTLANDS LÄN</t>
        </is>
      </c>
      <c r="E1488" t="inlineStr">
        <is>
          <t>BRÄCKE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18036-2025</t>
        </is>
      </c>
      <c r="B1489" s="1" t="n">
        <v>45761.45518518519</v>
      </c>
      <c r="C1489" s="1" t="n">
        <v>45976</v>
      </c>
      <c r="D1489" t="inlineStr">
        <is>
          <t>JÄMTLANDS LÄN</t>
        </is>
      </c>
      <c r="E1489" t="inlineStr">
        <is>
          <t>BRÄCKE</t>
        </is>
      </c>
      <c r="G1489" t="n">
        <v>19.5</v>
      </c>
      <c r="H1489" t="n">
        <v>0</v>
      </c>
      <c r="I1489" t="n">
        <v>0</v>
      </c>
      <c r="J1489" t="n">
        <v>0</v>
      </c>
      <c r="K1489" t="n">
        <v>0</v>
      </c>
      <c r="L1489" t="n">
        <v>0</v>
      </c>
      <c r="M1489" t="n">
        <v>0</v>
      </c>
      <c r="N1489" t="n">
        <v>0</v>
      </c>
      <c r="O1489" t="n">
        <v>0</v>
      </c>
      <c r="P1489" t="n">
        <v>0</v>
      </c>
      <c r="Q1489" t="n">
        <v>0</v>
      </c>
      <c r="R1489" s="2" t="inlineStr"/>
    </row>
    <row r="1490" ht="15" customHeight="1">
      <c r="A1490" t="inlineStr">
        <is>
          <t>A 58767-2023</t>
        </is>
      </c>
      <c r="B1490" s="1" t="n">
        <v>45251.96665509259</v>
      </c>
      <c r="C1490" s="1" t="n">
        <v>45976</v>
      </c>
      <c r="D1490" t="inlineStr">
        <is>
          <t>JÄMTLANDS LÄN</t>
        </is>
      </c>
      <c r="E1490" t="inlineStr">
        <is>
          <t>BRÄCKE</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47230-2025</t>
        </is>
      </c>
      <c r="B1491" s="1" t="n">
        <v>45930.40326388889</v>
      </c>
      <c r="C1491" s="1" t="n">
        <v>45976</v>
      </c>
      <c r="D1491" t="inlineStr">
        <is>
          <t>JÄMTLANDS LÄN</t>
        </is>
      </c>
      <c r="E1491" t="inlineStr">
        <is>
          <t>BRÄCKE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47235-2025</t>
        </is>
      </c>
      <c r="B1492" s="1" t="n">
        <v>45930.40729166667</v>
      </c>
      <c r="C1492" s="1" t="n">
        <v>45976</v>
      </c>
      <c r="D1492" t="inlineStr">
        <is>
          <t>JÄMTLANDS LÄN</t>
        </is>
      </c>
      <c r="E1492" t="inlineStr">
        <is>
          <t>BRÄCKE</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44444-2022</t>
        </is>
      </c>
      <c r="B1493" s="1" t="n">
        <v>44839.95474537037</v>
      </c>
      <c r="C1493" s="1" t="n">
        <v>45976</v>
      </c>
      <c r="D1493" t="inlineStr">
        <is>
          <t>JÄMTLANDS LÄN</t>
        </is>
      </c>
      <c r="E1493" t="inlineStr">
        <is>
          <t>BRÄCKE</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52347-2025</t>
        </is>
      </c>
      <c r="B1494" s="1" t="n">
        <v>45953.72041666666</v>
      </c>
      <c r="C1494" s="1" t="n">
        <v>45976</v>
      </c>
      <c r="D1494" t="inlineStr">
        <is>
          <t>JÄMTLANDS LÄN</t>
        </is>
      </c>
      <c r="E1494" t="inlineStr">
        <is>
          <t>BRÄCKE</t>
        </is>
      </c>
      <c r="F1494" t="inlineStr">
        <is>
          <t>SCA</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52343-2025</t>
        </is>
      </c>
      <c r="B1495" s="1" t="n">
        <v>45953.71953703704</v>
      </c>
      <c r="C1495" s="1" t="n">
        <v>45976</v>
      </c>
      <c r="D1495" t="inlineStr">
        <is>
          <t>JÄMTLANDS LÄN</t>
        </is>
      </c>
      <c r="E1495" t="inlineStr">
        <is>
          <t>BRÄCKE</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53169-2025</t>
        </is>
      </c>
      <c r="B1496" s="1" t="n">
        <v>45958.51101851852</v>
      </c>
      <c r="C1496" s="1" t="n">
        <v>45976</v>
      </c>
      <c r="D1496" t="inlineStr">
        <is>
          <t>JÄMTLANDS LÄN</t>
        </is>
      </c>
      <c r="E1496" t="inlineStr">
        <is>
          <t>BRÄCKE</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27546-2025</t>
        </is>
      </c>
      <c r="B1497" s="1" t="n">
        <v>45813.46957175926</v>
      </c>
      <c r="C1497" s="1" t="n">
        <v>45976</v>
      </c>
      <c r="D1497" t="inlineStr">
        <is>
          <t>JÄMTLANDS LÄN</t>
        </is>
      </c>
      <c r="E1497" t="inlineStr">
        <is>
          <t>BRÄCKE</t>
        </is>
      </c>
      <c r="F1497" t="inlineStr">
        <is>
          <t>SCA</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58498-2022</t>
        </is>
      </c>
      <c r="B1498" s="1" t="n">
        <v>44902.37547453704</v>
      </c>
      <c r="C1498" s="1" t="n">
        <v>45976</v>
      </c>
      <c r="D1498" t="inlineStr">
        <is>
          <t>JÄMTLANDS LÄN</t>
        </is>
      </c>
      <c r="E1498" t="inlineStr">
        <is>
          <t>BRÄCKE</t>
        </is>
      </c>
      <c r="G1498" t="n">
        <v>8.4</v>
      </c>
      <c r="H1498" t="n">
        <v>0</v>
      </c>
      <c r="I1498" t="n">
        <v>0</v>
      </c>
      <c r="J1498" t="n">
        <v>0</v>
      </c>
      <c r="K1498" t="n">
        <v>0</v>
      </c>
      <c r="L1498" t="n">
        <v>0</v>
      </c>
      <c r="M1498" t="n">
        <v>0</v>
      </c>
      <c r="N1498" t="n">
        <v>0</v>
      </c>
      <c r="O1498" t="n">
        <v>0</v>
      </c>
      <c r="P1498" t="n">
        <v>0</v>
      </c>
      <c r="Q1498" t="n">
        <v>0</v>
      </c>
      <c r="R1498" s="2" t="inlineStr"/>
    </row>
    <row r="1499" ht="15" customHeight="1">
      <c r="A1499" t="inlineStr">
        <is>
          <t>A 7301-2025</t>
        </is>
      </c>
      <c r="B1499" s="1" t="n">
        <v>45702.65668981482</v>
      </c>
      <c r="C1499" s="1" t="n">
        <v>45976</v>
      </c>
      <c r="D1499" t="inlineStr">
        <is>
          <t>JÄMTLANDS LÄN</t>
        </is>
      </c>
      <c r="E1499" t="inlineStr">
        <is>
          <t>BRÄCKE</t>
        </is>
      </c>
      <c r="F1499" t="inlineStr">
        <is>
          <t>SCA</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24588-2025</t>
        </is>
      </c>
      <c r="B1500" s="1" t="n">
        <v>45798.53157407408</v>
      </c>
      <c r="C1500" s="1" t="n">
        <v>45976</v>
      </c>
      <c r="D1500" t="inlineStr">
        <is>
          <t>JÄMTLANDS LÄN</t>
        </is>
      </c>
      <c r="E1500" t="inlineStr">
        <is>
          <t>BRÄCKE</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46623-2022</t>
        </is>
      </c>
      <c r="B1501" s="1" t="n">
        <v>44848.95137731481</v>
      </c>
      <c r="C1501" s="1" t="n">
        <v>45976</v>
      </c>
      <c r="D1501" t="inlineStr">
        <is>
          <t>JÄMTLANDS LÄN</t>
        </is>
      </c>
      <c r="E1501" t="inlineStr">
        <is>
          <t>BRÄCKE</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53168-2025</t>
        </is>
      </c>
      <c r="B1502" s="1" t="n">
        <v>45958.51083333333</v>
      </c>
      <c r="C1502" s="1" t="n">
        <v>45976</v>
      </c>
      <c r="D1502" t="inlineStr">
        <is>
          <t>JÄMTLANDS LÄN</t>
        </is>
      </c>
      <c r="E1502" t="inlineStr">
        <is>
          <t>BRÄCKE</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4914-2025</t>
        </is>
      </c>
      <c r="B1503" s="1" t="n">
        <v>45688.68173611111</v>
      </c>
      <c r="C1503" s="1" t="n">
        <v>45976</v>
      </c>
      <c r="D1503" t="inlineStr">
        <is>
          <t>JÄMTLANDS LÄN</t>
        </is>
      </c>
      <c r="E1503" t="inlineStr">
        <is>
          <t>BRÄCKE</t>
        </is>
      </c>
      <c r="F1503" t="inlineStr">
        <is>
          <t>SCA</t>
        </is>
      </c>
      <c r="G1503" t="n">
        <v>7.3</v>
      </c>
      <c r="H1503" t="n">
        <v>0</v>
      </c>
      <c r="I1503" t="n">
        <v>0</v>
      </c>
      <c r="J1503" t="n">
        <v>0</v>
      </c>
      <c r="K1503" t="n">
        <v>0</v>
      </c>
      <c r="L1503" t="n">
        <v>0</v>
      </c>
      <c r="M1503" t="n">
        <v>0</v>
      </c>
      <c r="N1503" t="n">
        <v>0</v>
      </c>
      <c r="O1503" t="n">
        <v>0</v>
      </c>
      <c r="P1503" t="n">
        <v>0</v>
      </c>
      <c r="Q1503" t="n">
        <v>0</v>
      </c>
      <c r="R1503" s="2" t="inlineStr"/>
    </row>
    <row r="1504" ht="15" customHeight="1">
      <c r="A1504" t="inlineStr">
        <is>
          <t>A 5621-2025</t>
        </is>
      </c>
      <c r="B1504" s="1" t="n">
        <v>45693.6357175926</v>
      </c>
      <c r="C1504" s="1" t="n">
        <v>45976</v>
      </c>
      <c r="D1504" t="inlineStr">
        <is>
          <t>JÄMTLANDS LÄN</t>
        </is>
      </c>
      <c r="E1504" t="inlineStr">
        <is>
          <t>BRÄCKE</t>
        </is>
      </c>
      <c r="F1504" t="inlineStr">
        <is>
          <t>SCA</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55654-2025</t>
        </is>
      </c>
      <c r="B1505" s="1" t="n">
        <v>45972.38594907407</v>
      </c>
      <c r="C1505" s="1" t="n">
        <v>45976</v>
      </c>
      <c r="D1505" t="inlineStr">
        <is>
          <t>JÄMTLANDS LÄN</t>
        </is>
      </c>
      <c r="E1505" t="inlineStr">
        <is>
          <t>BRÄCKE</t>
        </is>
      </c>
      <c r="F1505" t="inlineStr">
        <is>
          <t>SCA</t>
        </is>
      </c>
      <c r="G1505" t="n">
        <v>12.1</v>
      </c>
      <c r="H1505" t="n">
        <v>0</v>
      </c>
      <c r="I1505" t="n">
        <v>0</v>
      </c>
      <c r="J1505" t="n">
        <v>0</v>
      </c>
      <c r="K1505" t="n">
        <v>0</v>
      </c>
      <c r="L1505" t="n">
        <v>0</v>
      </c>
      <c r="M1505" t="n">
        <v>0</v>
      </c>
      <c r="N1505" t="n">
        <v>0</v>
      </c>
      <c r="O1505" t="n">
        <v>0</v>
      </c>
      <c r="P1505" t="n">
        <v>0</v>
      </c>
      <c r="Q1505" t="n">
        <v>0</v>
      </c>
      <c r="R1505" s="2" t="inlineStr"/>
    </row>
    <row r="1506" ht="15" customHeight="1">
      <c r="A1506" t="inlineStr">
        <is>
          <t>A 17601-2025</t>
        </is>
      </c>
      <c r="B1506" s="1" t="n">
        <v>45757.71991898148</v>
      </c>
      <c r="C1506" s="1" t="n">
        <v>45976</v>
      </c>
      <c r="D1506" t="inlineStr">
        <is>
          <t>JÄMTLANDS LÄN</t>
        </is>
      </c>
      <c r="E1506" t="inlineStr">
        <is>
          <t>BRÄCKE</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5618-2025</t>
        </is>
      </c>
      <c r="B1507" s="1" t="n">
        <v>45693.61509259259</v>
      </c>
      <c r="C1507" s="1" t="n">
        <v>45976</v>
      </c>
      <c r="D1507" t="inlineStr">
        <is>
          <t>JÄMTLANDS LÄN</t>
        </is>
      </c>
      <c r="E1507" t="inlineStr">
        <is>
          <t>BRÄCKE</t>
        </is>
      </c>
      <c r="F1507" t="inlineStr">
        <is>
          <t>SCA</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2829-2021</t>
        </is>
      </c>
      <c r="B1508" s="1" t="n">
        <v>44215</v>
      </c>
      <c r="C1508" s="1" t="n">
        <v>45976</v>
      </c>
      <c r="D1508" t="inlineStr">
        <is>
          <t>JÄMTLANDS LÄN</t>
        </is>
      </c>
      <c r="E1508" t="inlineStr">
        <is>
          <t>BRÄCKE</t>
        </is>
      </c>
      <c r="F1508" t="inlineStr">
        <is>
          <t>SCA</t>
        </is>
      </c>
      <c r="G1508" t="n">
        <v>10.3</v>
      </c>
      <c r="H1508" t="n">
        <v>0</v>
      </c>
      <c r="I1508" t="n">
        <v>0</v>
      </c>
      <c r="J1508" t="n">
        <v>0</v>
      </c>
      <c r="K1508" t="n">
        <v>0</v>
      </c>
      <c r="L1508" t="n">
        <v>0</v>
      </c>
      <c r="M1508" t="n">
        <v>0</v>
      </c>
      <c r="N1508" t="n">
        <v>0</v>
      </c>
      <c r="O1508" t="n">
        <v>0</v>
      </c>
      <c r="P1508" t="n">
        <v>0</v>
      </c>
      <c r="Q1508" t="n">
        <v>0</v>
      </c>
      <c r="R1508" s="2" t="inlineStr"/>
    </row>
    <row r="1509" ht="15" customHeight="1">
      <c r="A1509" t="inlineStr">
        <is>
          <t>A 24492-2025</t>
        </is>
      </c>
      <c r="B1509" s="1" t="n">
        <v>45798.38611111111</v>
      </c>
      <c r="C1509" s="1" t="n">
        <v>45976</v>
      </c>
      <c r="D1509" t="inlineStr">
        <is>
          <t>JÄMTLANDS LÄN</t>
        </is>
      </c>
      <c r="E1509" t="inlineStr">
        <is>
          <t>BRÄCKE</t>
        </is>
      </c>
      <c r="G1509" t="n">
        <v>6.9</v>
      </c>
      <c r="H1509" t="n">
        <v>0</v>
      </c>
      <c r="I1509" t="n">
        <v>0</v>
      </c>
      <c r="J1509" t="n">
        <v>0</v>
      </c>
      <c r="K1509" t="n">
        <v>0</v>
      </c>
      <c r="L1509" t="n">
        <v>0</v>
      </c>
      <c r="M1509" t="n">
        <v>0</v>
      </c>
      <c r="N1509" t="n">
        <v>0</v>
      </c>
      <c r="O1509" t="n">
        <v>0</v>
      </c>
      <c r="P1509" t="n">
        <v>0</v>
      </c>
      <c r="Q1509" t="n">
        <v>0</v>
      </c>
      <c r="R1509" s="2" t="inlineStr"/>
    </row>
    <row r="1510" ht="15" customHeight="1">
      <c r="A1510" t="inlineStr">
        <is>
          <t>A 56448-2025</t>
        </is>
      </c>
      <c r="B1510" s="1" t="n">
        <v>45975.34862268518</v>
      </c>
      <c r="C1510" s="1" t="n">
        <v>45976</v>
      </c>
      <c r="D1510" t="inlineStr">
        <is>
          <t>JÄMTLANDS LÄN</t>
        </is>
      </c>
      <c r="E1510" t="inlineStr">
        <is>
          <t>BRÄCKE</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56449-2025</t>
        </is>
      </c>
      <c r="B1511" s="1" t="n">
        <v>45975.34864583334</v>
      </c>
      <c r="C1511" s="1" t="n">
        <v>45976</v>
      </c>
      <c r="D1511" t="inlineStr">
        <is>
          <t>JÄMTLANDS LÄN</t>
        </is>
      </c>
      <c r="E1511" t="inlineStr">
        <is>
          <t>BRÄCKE</t>
        </is>
      </c>
      <c r="G1511" t="n">
        <v>8.5</v>
      </c>
      <c r="H1511" t="n">
        <v>0</v>
      </c>
      <c r="I1511" t="n">
        <v>0</v>
      </c>
      <c r="J1511" t="n">
        <v>0</v>
      </c>
      <c r="K1511" t="n">
        <v>0</v>
      </c>
      <c r="L1511" t="n">
        <v>0</v>
      </c>
      <c r="M1511" t="n">
        <v>0</v>
      </c>
      <c r="N1511" t="n">
        <v>0</v>
      </c>
      <c r="O1511" t="n">
        <v>0</v>
      </c>
      <c r="P1511" t="n">
        <v>0</v>
      </c>
      <c r="Q1511" t="n">
        <v>0</v>
      </c>
      <c r="R1511" s="2" t="inlineStr"/>
    </row>
    <row r="1512" ht="15" customHeight="1">
      <c r="A1512" t="inlineStr">
        <is>
          <t>A 28173-2025</t>
        </is>
      </c>
      <c r="B1512" s="1" t="n">
        <v>45818.38231481481</v>
      </c>
      <c r="C1512" s="1" t="n">
        <v>45976</v>
      </c>
      <c r="D1512" t="inlineStr">
        <is>
          <t>JÄMTLANDS LÄN</t>
        </is>
      </c>
      <c r="E1512" t="inlineStr">
        <is>
          <t>BRÄCKE</t>
        </is>
      </c>
      <c r="F1512" t="inlineStr">
        <is>
          <t>Övriga Aktiebolag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56431-2025</t>
        </is>
      </c>
      <c r="B1513" s="1" t="n">
        <v>45975.34625</v>
      </c>
      <c r="C1513" s="1" t="n">
        <v>45976</v>
      </c>
      <c r="D1513" t="inlineStr">
        <is>
          <t>JÄMTLANDS LÄN</t>
        </is>
      </c>
      <c r="E1513" t="inlineStr">
        <is>
          <t>BRÄCKE</t>
        </is>
      </c>
      <c r="F1513" t="inlineStr">
        <is>
          <t>SCA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47873-2025</t>
        </is>
      </c>
      <c r="B1514" s="1" t="n">
        <v>45932.4528587963</v>
      </c>
      <c r="C1514" s="1" t="n">
        <v>45976</v>
      </c>
      <c r="D1514" t="inlineStr">
        <is>
          <t>JÄMTLANDS LÄN</t>
        </is>
      </c>
      <c r="E1514" t="inlineStr">
        <is>
          <t>BRÄCKE</t>
        </is>
      </c>
      <c r="F1514" t="inlineStr">
        <is>
          <t>Kyrkan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40775-2023</t>
        </is>
      </c>
      <c r="B1515" s="1" t="n">
        <v>45170.95685185185</v>
      </c>
      <c r="C1515" s="1" t="n">
        <v>45976</v>
      </c>
      <c r="D1515" t="inlineStr">
        <is>
          <t>JÄMTLANDS LÄN</t>
        </is>
      </c>
      <c r="E1515" t="inlineStr">
        <is>
          <t>BRÄCKE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47868-2025</t>
        </is>
      </c>
      <c r="B1516" s="1" t="n">
        <v>45932.44094907407</v>
      </c>
      <c r="C1516" s="1" t="n">
        <v>45976</v>
      </c>
      <c r="D1516" t="inlineStr">
        <is>
          <t>JÄMTLANDS LÄN</t>
        </is>
      </c>
      <c r="E1516" t="inlineStr">
        <is>
          <t>BRÄCKE</t>
        </is>
      </c>
      <c r="F1516" t="inlineStr">
        <is>
          <t>Kyrkan</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33773-2024</t>
        </is>
      </c>
      <c r="B1517" s="1" t="n">
        <v>45520</v>
      </c>
      <c r="C1517" s="1" t="n">
        <v>45976</v>
      </c>
      <c r="D1517" t="inlineStr">
        <is>
          <t>JÄMTLANDS LÄN</t>
        </is>
      </c>
      <c r="E1517" t="inlineStr">
        <is>
          <t>BRÄCKE</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41314-2024</t>
        </is>
      </c>
      <c r="B1518" s="1" t="n">
        <v>45559.63613425926</v>
      </c>
      <c r="C1518" s="1" t="n">
        <v>45976</v>
      </c>
      <c r="D1518" t="inlineStr">
        <is>
          <t>JÄMTLANDS LÄN</t>
        </is>
      </c>
      <c r="E1518" t="inlineStr">
        <is>
          <t>BRÄCKE</t>
        </is>
      </c>
      <c r="F1518" t="inlineStr">
        <is>
          <t>SCA</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33774-2024</t>
        </is>
      </c>
      <c r="B1519" s="1" t="n">
        <v>45520</v>
      </c>
      <c r="C1519" s="1" t="n">
        <v>45976</v>
      </c>
      <c r="D1519" t="inlineStr">
        <is>
          <t>JÄMTLANDS LÄN</t>
        </is>
      </c>
      <c r="E1519" t="inlineStr">
        <is>
          <t>BRÄCKE</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28198-2025</t>
        </is>
      </c>
      <c r="B1520" s="1" t="n">
        <v>45818.43175925926</v>
      </c>
      <c r="C1520" s="1" t="n">
        <v>45976</v>
      </c>
      <c r="D1520" t="inlineStr">
        <is>
          <t>JÄMTLANDS LÄN</t>
        </is>
      </c>
      <c r="E1520" t="inlineStr">
        <is>
          <t>BRÄCKE</t>
        </is>
      </c>
      <c r="F1520" t="inlineStr">
        <is>
          <t>Övriga Aktiebolag</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28675-2025</t>
        </is>
      </c>
      <c r="B1521" s="1" t="n">
        <v>45819.67756944444</v>
      </c>
      <c r="C1521" s="1" t="n">
        <v>45976</v>
      </c>
      <c r="D1521" t="inlineStr">
        <is>
          <t>JÄMTLANDS LÄN</t>
        </is>
      </c>
      <c r="E1521" t="inlineStr">
        <is>
          <t>BRÄCKE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28323-2025</t>
        </is>
      </c>
      <c r="B1522" s="1" t="n">
        <v>45818.64758101852</v>
      </c>
      <c r="C1522" s="1" t="n">
        <v>45976</v>
      </c>
      <c r="D1522" t="inlineStr">
        <is>
          <t>JÄMTLANDS LÄN</t>
        </is>
      </c>
      <c r="E1522" t="inlineStr">
        <is>
          <t>BRÄCKE</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34873-2021</t>
        </is>
      </c>
      <c r="B1523" s="1" t="n">
        <v>44382</v>
      </c>
      <c r="C1523" s="1" t="n">
        <v>45976</v>
      </c>
      <c r="D1523" t="inlineStr">
        <is>
          <t>JÄMTLANDS LÄN</t>
        </is>
      </c>
      <c r="E1523" t="inlineStr">
        <is>
          <t>BRÄCKE</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10369-2025</t>
        </is>
      </c>
      <c r="B1524" s="1" t="n">
        <v>45720.55243055556</v>
      </c>
      <c r="C1524" s="1" t="n">
        <v>45976</v>
      </c>
      <c r="D1524" t="inlineStr">
        <is>
          <t>JÄMTLANDS LÄN</t>
        </is>
      </c>
      <c r="E1524" t="inlineStr">
        <is>
          <t>BRÄCKE</t>
        </is>
      </c>
      <c r="F1524" t="inlineStr">
        <is>
          <t>SCA</t>
        </is>
      </c>
      <c r="G1524" t="n">
        <v>7.8</v>
      </c>
      <c r="H1524" t="n">
        <v>0</v>
      </c>
      <c r="I1524" t="n">
        <v>0</v>
      </c>
      <c r="J1524" t="n">
        <v>0</v>
      </c>
      <c r="K1524" t="n">
        <v>0</v>
      </c>
      <c r="L1524" t="n">
        <v>0</v>
      </c>
      <c r="M1524" t="n">
        <v>0</v>
      </c>
      <c r="N1524" t="n">
        <v>0</v>
      </c>
      <c r="O1524" t="n">
        <v>0</v>
      </c>
      <c r="P1524" t="n">
        <v>0</v>
      </c>
      <c r="Q1524" t="n">
        <v>0</v>
      </c>
      <c r="R1524" s="2" t="inlineStr"/>
    </row>
    <row r="1525" ht="15" customHeight="1">
      <c r="A1525" t="inlineStr">
        <is>
          <t>A 28636-2025</t>
        </is>
      </c>
      <c r="B1525" s="1" t="n">
        <v>45819.63576388889</v>
      </c>
      <c r="C1525" s="1" t="n">
        <v>45976</v>
      </c>
      <c r="D1525" t="inlineStr">
        <is>
          <t>JÄMTLANDS LÄN</t>
        </is>
      </c>
      <c r="E1525" t="inlineStr">
        <is>
          <t>BRÄCKE</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19386-2025</t>
        </is>
      </c>
      <c r="B1526" s="1" t="n">
        <v>45769.65719907408</v>
      </c>
      <c r="C1526" s="1" t="n">
        <v>45976</v>
      </c>
      <c r="D1526" t="inlineStr">
        <is>
          <t>JÄMTLANDS LÄN</t>
        </is>
      </c>
      <c r="E1526" t="inlineStr">
        <is>
          <t>BRÄCKE</t>
        </is>
      </c>
      <c r="F1526" t="inlineStr">
        <is>
          <t>SCA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56732-2022</t>
        </is>
      </c>
      <c r="B1527" s="1" t="n">
        <v>44893.94966435185</v>
      </c>
      <c r="C1527" s="1" t="n">
        <v>45976</v>
      </c>
      <c r="D1527" t="inlineStr">
        <is>
          <t>JÄMTLANDS LÄN</t>
        </is>
      </c>
      <c r="E1527" t="inlineStr">
        <is>
          <t>BRÄCKE</t>
        </is>
      </c>
      <c r="F1527" t="inlineStr">
        <is>
          <t>SCA</t>
        </is>
      </c>
      <c r="G1527" t="n">
        <v>6.8</v>
      </c>
      <c r="H1527" t="n">
        <v>0</v>
      </c>
      <c r="I1527" t="n">
        <v>0</v>
      </c>
      <c r="J1527" t="n">
        <v>0</v>
      </c>
      <c r="K1527" t="n">
        <v>0</v>
      </c>
      <c r="L1527" t="n">
        <v>0</v>
      </c>
      <c r="M1527" t="n">
        <v>0</v>
      </c>
      <c r="N1527" t="n">
        <v>0</v>
      </c>
      <c r="O1527" t="n">
        <v>0</v>
      </c>
      <c r="P1527" t="n">
        <v>0</v>
      </c>
      <c r="Q1527" t="n">
        <v>0</v>
      </c>
      <c r="R1527" s="2" t="inlineStr"/>
    </row>
    <row r="1528" ht="15" customHeight="1">
      <c r="A1528" t="inlineStr">
        <is>
          <t>A 28656-2025</t>
        </is>
      </c>
      <c r="B1528" s="1" t="n">
        <v>45819.65671296296</v>
      </c>
      <c r="C1528" s="1" t="n">
        <v>45976</v>
      </c>
      <c r="D1528" t="inlineStr">
        <is>
          <t>JÄMTLANDS LÄN</t>
        </is>
      </c>
      <c r="E1528" t="inlineStr">
        <is>
          <t>BRÄCKE</t>
        </is>
      </c>
      <c r="F1528" t="inlineStr">
        <is>
          <t>SCA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56309-2025</t>
        </is>
      </c>
      <c r="B1529" s="1" t="n">
        <v>45974.61491898148</v>
      </c>
      <c r="C1529" s="1" t="n">
        <v>45976</v>
      </c>
      <c r="D1529" t="inlineStr">
        <is>
          <t>JÄMTLANDS LÄN</t>
        </is>
      </c>
      <c r="E1529" t="inlineStr">
        <is>
          <t>BRÄCKE</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28210-2025</t>
        </is>
      </c>
      <c r="B1530" s="1" t="n">
        <v>45818.45143518518</v>
      </c>
      <c r="C1530" s="1" t="n">
        <v>45976</v>
      </c>
      <c r="D1530" t="inlineStr">
        <is>
          <t>JÄMTLANDS LÄN</t>
        </is>
      </c>
      <c r="E1530" t="inlineStr">
        <is>
          <t>BRÄCKE</t>
        </is>
      </c>
      <c r="F1530" t="inlineStr">
        <is>
          <t>Övriga Aktiebolag</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63292-2023</t>
        </is>
      </c>
      <c r="B1531" s="1" t="n">
        <v>45273.94680555556</v>
      </c>
      <c r="C1531" s="1" t="n">
        <v>45976</v>
      </c>
      <c r="D1531" t="inlineStr">
        <is>
          <t>JÄMTLANDS LÄN</t>
        </is>
      </c>
      <c r="E1531" t="inlineStr">
        <is>
          <t>BRÄCKE</t>
        </is>
      </c>
      <c r="F1531" t="inlineStr">
        <is>
          <t>SCA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24490-2025</t>
        </is>
      </c>
      <c r="B1532" s="1" t="n">
        <v>45798.38594907407</v>
      </c>
      <c r="C1532" s="1" t="n">
        <v>45976</v>
      </c>
      <c r="D1532" t="inlineStr">
        <is>
          <t>JÄMTLANDS LÄN</t>
        </is>
      </c>
      <c r="E1532" t="inlineStr">
        <is>
          <t>BRÄCKE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29091-2025</t>
        </is>
      </c>
      <c r="B1533" s="1" t="n">
        <v>45821.55241898148</v>
      </c>
      <c r="C1533" s="1" t="n">
        <v>45976</v>
      </c>
      <c r="D1533" t="inlineStr">
        <is>
          <t>JÄMTLANDS LÄN</t>
        </is>
      </c>
      <c r="E1533" t="inlineStr">
        <is>
          <t>BRÄCKE</t>
        </is>
      </c>
      <c r="F1533" t="inlineStr">
        <is>
          <t>SCA</t>
        </is>
      </c>
      <c r="G1533" t="n">
        <v>13.8</v>
      </c>
      <c r="H1533" t="n">
        <v>0</v>
      </c>
      <c r="I1533" t="n">
        <v>0</v>
      </c>
      <c r="J1533" t="n">
        <v>0</v>
      </c>
      <c r="K1533" t="n">
        <v>0</v>
      </c>
      <c r="L1533" t="n">
        <v>0</v>
      </c>
      <c r="M1533" t="n">
        <v>0</v>
      </c>
      <c r="N1533" t="n">
        <v>0</v>
      </c>
      <c r="O1533" t="n">
        <v>0</v>
      </c>
      <c r="P1533" t="n">
        <v>0</v>
      </c>
      <c r="Q1533" t="n">
        <v>0</v>
      </c>
      <c r="R1533" s="2" t="inlineStr"/>
    </row>
    <row r="1534" ht="15" customHeight="1">
      <c r="A1534" t="inlineStr">
        <is>
          <t>A 29189-2024</t>
        </is>
      </c>
      <c r="B1534" s="1" t="n">
        <v>45482.55164351852</v>
      </c>
      <c r="C1534" s="1" t="n">
        <v>45976</v>
      </c>
      <c r="D1534" t="inlineStr">
        <is>
          <t>JÄMTLANDS LÄN</t>
        </is>
      </c>
      <c r="E1534" t="inlineStr">
        <is>
          <t>BRÄCKE</t>
        </is>
      </c>
      <c r="F1534" t="inlineStr">
        <is>
          <t>Övriga Aktiebolag</t>
        </is>
      </c>
      <c r="G1534" t="n">
        <v>6.6</v>
      </c>
      <c r="H1534" t="n">
        <v>0</v>
      </c>
      <c r="I1534" t="n">
        <v>0</v>
      </c>
      <c r="J1534" t="n">
        <v>0</v>
      </c>
      <c r="K1534" t="n">
        <v>0</v>
      </c>
      <c r="L1534" t="n">
        <v>0</v>
      </c>
      <c r="M1534" t="n">
        <v>0</v>
      </c>
      <c r="N1534" t="n">
        <v>0</v>
      </c>
      <c r="O1534" t="n">
        <v>0</v>
      </c>
      <c r="P1534" t="n">
        <v>0</v>
      </c>
      <c r="Q1534" t="n">
        <v>0</v>
      </c>
      <c r="R1534" s="2" t="inlineStr"/>
    </row>
    <row r="1535" ht="15" customHeight="1">
      <c r="A1535" t="inlineStr">
        <is>
          <t>A 6516-2024</t>
        </is>
      </c>
      <c r="B1535" s="1" t="n">
        <v>45341</v>
      </c>
      <c r="C1535" s="1" t="n">
        <v>45976</v>
      </c>
      <c r="D1535" t="inlineStr">
        <is>
          <t>JÄMTLANDS LÄN</t>
        </is>
      </c>
      <c r="E1535" t="inlineStr">
        <is>
          <t>BRÄCKE</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29038-2025</t>
        </is>
      </c>
      <c r="B1536" s="1" t="n">
        <v>45821.44832175926</v>
      </c>
      <c r="C1536" s="1" t="n">
        <v>45976</v>
      </c>
      <c r="D1536" t="inlineStr">
        <is>
          <t>JÄMTLANDS LÄN</t>
        </is>
      </c>
      <c r="E1536" t="inlineStr">
        <is>
          <t>BRÄCKE</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52846-2022</t>
        </is>
      </c>
      <c r="B1537" s="1" t="n">
        <v>44875</v>
      </c>
      <c r="C1537" s="1" t="n">
        <v>45976</v>
      </c>
      <c r="D1537" t="inlineStr">
        <is>
          <t>JÄMTLANDS LÄN</t>
        </is>
      </c>
      <c r="E1537" t="inlineStr">
        <is>
          <t>BRÄCKE</t>
        </is>
      </c>
      <c r="F1537" t="inlineStr">
        <is>
          <t>Övriga Aktiebolag</t>
        </is>
      </c>
      <c r="G1537" t="n">
        <v>13.1</v>
      </c>
      <c r="H1537" t="n">
        <v>0</v>
      </c>
      <c r="I1537" t="n">
        <v>0</v>
      </c>
      <c r="J1537" t="n">
        <v>0</v>
      </c>
      <c r="K1537" t="n">
        <v>0</v>
      </c>
      <c r="L1537" t="n">
        <v>0</v>
      </c>
      <c r="M1537" t="n">
        <v>0</v>
      </c>
      <c r="N1537" t="n">
        <v>0</v>
      </c>
      <c r="O1537" t="n">
        <v>0</v>
      </c>
      <c r="P1537" t="n">
        <v>0</v>
      </c>
      <c r="Q1537" t="n">
        <v>0</v>
      </c>
      <c r="R1537" s="2" t="inlineStr"/>
    </row>
    <row r="1538" ht="15" customHeight="1">
      <c r="A1538" t="inlineStr">
        <is>
          <t>A 28928-2025</t>
        </is>
      </c>
      <c r="B1538" s="1" t="n">
        <v>45820.67738425926</v>
      </c>
      <c r="C1538" s="1" t="n">
        <v>45976</v>
      </c>
      <c r="D1538" t="inlineStr">
        <is>
          <t>JÄMTLANDS LÄN</t>
        </is>
      </c>
      <c r="E1538" t="inlineStr">
        <is>
          <t>BRÄCKE</t>
        </is>
      </c>
      <c r="F1538" t="inlineStr">
        <is>
          <t>SCA</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28972-2025</t>
        </is>
      </c>
      <c r="B1539" s="1" t="n">
        <v>45821.34505787037</v>
      </c>
      <c r="C1539" s="1" t="n">
        <v>45976</v>
      </c>
      <c r="D1539" t="inlineStr">
        <is>
          <t>JÄMTLANDS LÄN</t>
        </is>
      </c>
      <c r="E1539" t="inlineStr">
        <is>
          <t>BRÄCKE</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28937-2025</t>
        </is>
      </c>
      <c r="B1540" s="1" t="n">
        <v>45820.69825231482</v>
      </c>
      <c r="C1540" s="1" t="n">
        <v>45976</v>
      </c>
      <c r="D1540" t="inlineStr">
        <is>
          <t>JÄMTLANDS LÄN</t>
        </is>
      </c>
      <c r="E1540" t="inlineStr">
        <is>
          <t>BRÄCKE</t>
        </is>
      </c>
      <c r="F1540" t="inlineStr">
        <is>
          <t>SCA</t>
        </is>
      </c>
      <c r="G1540" t="n">
        <v>11.5</v>
      </c>
      <c r="H1540" t="n">
        <v>0</v>
      </c>
      <c r="I1540" t="n">
        <v>0</v>
      </c>
      <c r="J1540" t="n">
        <v>0</v>
      </c>
      <c r="K1540" t="n">
        <v>0</v>
      </c>
      <c r="L1540" t="n">
        <v>0</v>
      </c>
      <c r="M1540" t="n">
        <v>0</v>
      </c>
      <c r="N1540" t="n">
        <v>0</v>
      </c>
      <c r="O1540" t="n">
        <v>0</v>
      </c>
      <c r="P1540" t="n">
        <v>0</v>
      </c>
      <c r="Q1540" t="n">
        <v>0</v>
      </c>
      <c r="R1540" s="2" t="inlineStr"/>
    </row>
    <row r="1541" ht="15" customHeight="1">
      <c r="A1541" t="inlineStr">
        <is>
          <t>A 29124-2025</t>
        </is>
      </c>
      <c r="B1541" s="1" t="n">
        <v>45821.59456018519</v>
      </c>
      <c r="C1541" s="1" t="n">
        <v>45976</v>
      </c>
      <c r="D1541" t="inlineStr">
        <is>
          <t>JÄMTLANDS LÄN</t>
        </is>
      </c>
      <c r="E1541" t="inlineStr">
        <is>
          <t>BRÄCKE</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56535-2025</t>
        </is>
      </c>
      <c r="B1542" s="1" t="n">
        <v>45975.46998842592</v>
      </c>
      <c r="C1542" s="1" t="n">
        <v>45976</v>
      </c>
      <c r="D1542" t="inlineStr">
        <is>
          <t>JÄMTLANDS LÄN</t>
        </is>
      </c>
      <c r="E1542" t="inlineStr">
        <is>
          <t>BRÄCKE</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29534-2025</t>
        </is>
      </c>
      <c r="B1543" s="1" t="n">
        <v>45825.34476851852</v>
      </c>
      <c r="C1543" s="1" t="n">
        <v>45976</v>
      </c>
      <c r="D1543" t="inlineStr">
        <is>
          <t>JÄMTLANDS LÄN</t>
        </is>
      </c>
      <c r="E1543" t="inlineStr">
        <is>
          <t>BRÄCKE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54524-2022</t>
        </is>
      </c>
      <c r="B1544" s="1" t="n">
        <v>44882.74364583333</v>
      </c>
      <c r="C1544" s="1" t="n">
        <v>45976</v>
      </c>
      <c r="D1544" t="inlineStr">
        <is>
          <t>JÄMTLANDS LÄN</t>
        </is>
      </c>
      <c r="E1544" t="inlineStr">
        <is>
          <t>BRÄCKE</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57798-2023</t>
        </is>
      </c>
      <c r="B1545" s="1" t="n">
        <v>45246.96893518518</v>
      </c>
      <c r="C1545" s="1" t="n">
        <v>45976</v>
      </c>
      <c r="D1545" t="inlineStr">
        <is>
          <t>JÄMTLANDS LÄN</t>
        </is>
      </c>
      <c r="E1545" t="inlineStr">
        <is>
          <t>BRÄCKE</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40430-2023</t>
        </is>
      </c>
      <c r="B1546" s="1" t="n">
        <v>45169</v>
      </c>
      <c r="C1546" s="1" t="n">
        <v>45976</v>
      </c>
      <c r="D1546" t="inlineStr">
        <is>
          <t>JÄMTLANDS LÄN</t>
        </is>
      </c>
      <c r="E1546" t="inlineStr">
        <is>
          <t>BRÄCKE</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56499-2023</t>
        </is>
      </c>
      <c r="B1547" s="1" t="n">
        <v>45237</v>
      </c>
      <c r="C1547" s="1" t="n">
        <v>45976</v>
      </c>
      <c r="D1547" t="inlineStr">
        <is>
          <t>JÄMTLANDS LÄN</t>
        </is>
      </c>
      <c r="E1547" t="inlineStr">
        <is>
          <t>BRÄCKE</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56525-2023</t>
        </is>
      </c>
      <c r="B1548" s="1" t="n">
        <v>45243.56650462963</v>
      </c>
      <c r="C1548" s="1" t="n">
        <v>45976</v>
      </c>
      <c r="D1548" t="inlineStr">
        <is>
          <t>JÄMTLANDS LÄN</t>
        </is>
      </c>
      <c r="E1548" t="inlineStr">
        <is>
          <t>BRÄCKE</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44855-2025</t>
        </is>
      </c>
      <c r="B1549" s="1" t="n">
        <v>45918</v>
      </c>
      <c r="C1549" s="1" t="n">
        <v>45976</v>
      </c>
      <c r="D1549" t="inlineStr">
        <is>
          <t>JÄMTLANDS LÄN</t>
        </is>
      </c>
      <c r="E1549" t="inlineStr">
        <is>
          <t>BRÄCKE</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48177-2025</t>
        </is>
      </c>
      <c r="B1550" s="1" t="n">
        <v>45933.44846064815</v>
      </c>
      <c r="C1550" s="1" t="n">
        <v>45976</v>
      </c>
      <c r="D1550" t="inlineStr">
        <is>
          <t>JÄMTLANDS LÄN</t>
        </is>
      </c>
      <c r="E1550" t="inlineStr">
        <is>
          <t>BRÄCKE</t>
        </is>
      </c>
      <c r="F1550" t="inlineStr">
        <is>
          <t>SCA</t>
        </is>
      </c>
      <c r="G1550" t="n">
        <v>13.9</v>
      </c>
      <c r="H1550" t="n">
        <v>0</v>
      </c>
      <c r="I1550" t="n">
        <v>0</v>
      </c>
      <c r="J1550" t="n">
        <v>0</v>
      </c>
      <c r="K1550" t="n">
        <v>0</v>
      </c>
      <c r="L1550" t="n">
        <v>0</v>
      </c>
      <c r="M1550" t="n">
        <v>0</v>
      </c>
      <c r="N1550" t="n">
        <v>0</v>
      </c>
      <c r="O1550" t="n">
        <v>0</v>
      </c>
      <c r="P1550" t="n">
        <v>0</v>
      </c>
      <c r="Q1550" t="n">
        <v>0</v>
      </c>
      <c r="R1550" s="2" t="inlineStr"/>
    </row>
    <row r="1551" ht="15" customHeight="1">
      <c r="A1551" t="inlineStr">
        <is>
          <t>A 29021-2025</t>
        </is>
      </c>
      <c r="B1551" s="1" t="n">
        <v>45821.42736111111</v>
      </c>
      <c r="C1551" s="1" t="n">
        <v>45976</v>
      </c>
      <c r="D1551" t="inlineStr">
        <is>
          <t>JÄMTLANDS LÄN</t>
        </is>
      </c>
      <c r="E1551" t="inlineStr">
        <is>
          <t>BRÄCKE</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29763-2025</t>
        </is>
      </c>
      <c r="B1552" s="1" t="n">
        <v>45825.61837962963</v>
      </c>
      <c r="C1552" s="1" t="n">
        <v>45976</v>
      </c>
      <c r="D1552" t="inlineStr">
        <is>
          <t>JÄMTLANDS LÄN</t>
        </is>
      </c>
      <c r="E1552" t="inlineStr">
        <is>
          <t>BRÄCKE</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29431-2025</t>
        </is>
      </c>
      <c r="B1553" s="1" t="n">
        <v>45824.65053240741</v>
      </c>
      <c r="C1553" s="1" t="n">
        <v>45976</v>
      </c>
      <c r="D1553" t="inlineStr">
        <is>
          <t>JÄMTLANDS LÄN</t>
        </is>
      </c>
      <c r="E1553" t="inlineStr">
        <is>
          <t>BRÄCKE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45381-2024</t>
        </is>
      </c>
      <c r="B1554" s="1" t="n">
        <v>45576.53155092592</v>
      </c>
      <c r="C1554" s="1" t="n">
        <v>45976</v>
      </c>
      <c r="D1554" t="inlineStr">
        <is>
          <t>JÄMTLANDS LÄN</t>
        </is>
      </c>
      <c r="E1554" t="inlineStr">
        <is>
          <t>BRÄCKE</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30393-2025</t>
        </is>
      </c>
      <c r="B1555" s="1" t="n">
        <v>45827.57416666667</v>
      </c>
      <c r="C1555" s="1" t="n">
        <v>45976</v>
      </c>
      <c r="D1555" t="inlineStr">
        <is>
          <t>JÄMTLANDS LÄN</t>
        </is>
      </c>
      <c r="E1555" t="inlineStr">
        <is>
          <t>BRÄCKE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30424-2025</t>
        </is>
      </c>
      <c r="B1556" s="1" t="n">
        <v>45827.61495370371</v>
      </c>
      <c r="C1556" s="1" t="n">
        <v>45976</v>
      </c>
      <c r="D1556" t="inlineStr">
        <is>
          <t>JÄMTLANDS LÄN</t>
        </is>
      </c>
      <c r="E1556" t="inlineStr">
        <is>
          <t>BRÄCKE</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13166-2024</t>
        </is>
      </c>
      <c r="B1557" s="1" t="n">
        <v>45386.40141203703</v>
      </c>
      <c r="C1557" s="1" t="n">
        <v>45976</v>
      </c>
      <c r="D1557" t="inlineStr">
        <is>
          <t>JÄMTLANDS LÄN</t>
        </is>
      </c>
      <c r="E1557" t="inlineStr">
        <is>
          <t>BRÄCKE</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13180-2024</t>
        </is>
      </c>
      <c r="B1558" s="1" t="n">
        <v>45386.43207175926</v>
      </c>
      <c r="C1558" s="1" t="n">
        <v>45976</v>
      </c>
      <c r="D1558" t="inlineStr">
        <is>
          <t>JÄMTLANDS LÄN</t>
        </is>
      </c>
      <c r="E1558" t="inlineStr">
        <is>
          <t>BRÄCKE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36209-2023</t>
        </is>
      </c>
      <c r="B1559" s="1" t="n">
        <v>45149</v>
      </c>
      <c r="C1559" s="1" t="n">
        <v>45976</v>
      </c>
      <c r="D1559" t="inlineStr">
        <is>
          <t>JÄMTLANDS LÄN</t>
        </is>
      </c>
      <c r="E1559" t="inlineStr">
        <is>
          <t>BRÄCKE</t>
        </is>
      </c>
      <c r="F1559" t="inlineStr">
        <is>
          <t>SCA</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57088-2024</t>
        </is>
      </c>
      <c r="B1560" s="1" t="n">
        <v>45629.35652777777</v>
      </c>
      <c r="C1560" s="1" t="n">
        <v>45976</v>
      </c>
      <c r="D1560" t="inlineStr">
        <is>
          <t>JÄMTLANDS LÄN</t>
        </is>
      </c>
      <c r="E1560" t="inlineStr">
        <is>
          <t>BRÄCKE</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29909-2025</t>
        </is>
      </c>
      <c r="B1561" s="1" t="n">
        <v>45826.40671296296</v>
      </c>
      <c r="C1561" s="1" t="n">
        <v>45976</v>
      </c>
      <c r="D1561" t="inlineStr">
        <is>
          <t>JÄMTLANDS LÄN</t>
        </is>
      </c>
      <c r="E1561" t="inlineStr">
        <is>
          <t>BRÄCKE</t>
        </is>
      </c>
      <c r="F1561" t="inlineStr">
        <is>
          <t>SCA</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30317-2025</t>
        </is>
      </c>
      <c r="B1562" s="1" t="n">
        <v>45827.49087962963</v>
      </c>
      <c r="C1562" s="1" t="n">
        <v>45976</v>
      </c>
      <c r="D1562" t="inlineStr">
        <is>
          <t>JÄMTLANDS LÄN</t>
        </is>
      </c>
      <c r="E1562" t="inlineStr">
        <is>
          <t>BRÄCKE</t>
        </is>
      </c>
      <c r="F1562" t="inlineStr">
        <is>
          <t>SCA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30391-2025</t>
        </is>
      </c>
      <c r="B1563" s="1" t="n">
        <v>45827.57387731481</v>
      </c>
      <c r="C1563" s="1" t="n">
        <v>45976</v>
      </c>
      <c r="D1563" t="inlineStr">
        <is>
          <t>JÄMTLANDS LÄN</t>
        </is>
      </c>
      <c r="E1563" t="inlineStr">
        <is>
          <t>BRÄCKE</t>
        </is>
      </c>
      <c r="F1563" t="inlineStr">
        <is>
          <t>SCA</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47826-2025</t>
        </is>
      </c>
      <c r="B1564" s="1" t="n">
        <v>45932.34487268519</v>
      </c>
      <c r="C1564" s="1" t="n">
        <v>45976</v>
      </c>
      <c r="D1564" t="inlineStr">
        <is>
          <t>JÄMTLANDS LÄN</t>
        </is>
      </c>
      <c r="E1564" t="inlineStr">
        <is>
          <t>BRÄCKE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30425-2025</t>
        </is>
      </c>
      <c r="B1565" s="1" t="n">
        <v>45827.61511574074</v>
      </c>
      <c r="C1565" s="1" t="n">
        <v>45976</v>
      </c>
      <c r="D1565" t="inlineStr">
        <is>
          <t>JÄMTLANDS LÄN</t>
        </is>
      </c>
      <c r="E1565" t="inlineStr">
        <is>
          <t>BRÄCKE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29996-2025</t>
        </is>
      </c>
      <c r="B1566" s="1" t="n">
        <v>45826.51090277778</v>
      </c>
      <c r="C1566" s="1" t="n">
        <v>45976</v>
      </c>
      <c r="D1566" t="inlineStr">
        <is>
          <t>JÄMTLANDS LÄN</t>
        </is>
      </c>
      <c r="E1566" t="inlineStr">
        <is>
          <t>BRÄCKE</t>
        </is>
      </c>
      <c r="F1566" t="inlineStr">
        <is>
          <t>SCA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18982-2022</t>
        </is>
      </c>
      <c r="B1567" s="1" t="n">
        <v>44690.92626157407</v>
      </c>
      <c r="C1567" s="1" t="n">
        <v>45976</v>
      </c>
      <c r="D1567" t="inlineStr">
        <is>
          <t>JÄMTLANDS LÄN</t>
        </is>
      </c>
      <c r="E1567" t="inlineStr">
        <is>
          <t>BRÄCKE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30016-2025</t>
        </is>
      </c>
      <c r="B1568" s="1" t="n">
        <v>45826.55288194444</v>
      </c>
      <c r="C1568" s="1" t="n">
        <v>45976</v>
      </c>
      <c r="D1568" t="inlineStr">
        <is>
          <t>JÄMTLANDS LÄN</t>
        </is>
      </c>
      <c r="E1568" t="inlineStr">
        <is>
          <t>BRÄCKE</t>
        </is>
      </c>
      <c r="F1568" t="inlineStr">
        <is>
          <t>SCA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30310-2025</t>
        </is>
      </c>
      <c r="B1569" s="1" t="n">
        <v>45827.48996527777</v>
      </c>
      <c r="C1569" s="1" t="n">
        <v>45976</v>
      </c>
      <c r="D1569" t="inlineStr">
        <is>
          <t>JÄMTLANDS LÄN</t>
        </is>
      </c>
      <c r="E1569" t="inlineStr">
        <is>
          <t>BRÄCKE</t>
        </is>
      </c>
      <c r="F1569" t="inlineStr">
        <is>
          <t>SCA</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30392-2025</t>
        </is>
      </c>
      <c r="B1570" s="1" t="n">
        <v>45827.5740162037</v>
      </c>
      <c r="C1570" s="1" t="n">
        <v>45976</v>
      </c>
      <c r="D1570" t="inlineStr">
        <is>
          <t>JÄMTLANDS LÄN</t>
        </is>
      </c>
      <c r="E1570" t="inlineStr">
        <is>
          <t>BRÄCKE</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13906-2025</t>
        </is>
      </c>
      <c r="B1571" s="1" t="n">
        <v>45737.6359375</v>
      </c>
      <c r="C1571" s="1" t="n">
        <v>45976</v>
      </c>
      <c r="D1571" t="inlineStr">
        <is>
          <t>JÄMTLANDS LÄN</t>
        </is>
      </c>
      <c r="E1571" t="inlineStr">
        <is>
          <t>BRÄCKE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48067-2025</t>
        </is>
      </c>
      <c r="B1572" s="1" t="n">
        <v>45932.69829861111</v>
      </c>
      <c r="C1572" s="1" t="n">
        <v>45976</v>
      </c>
      <c r="D1572" t="inlineStr">
        <is>
          <t>JÄMTLANDS LÄN</t>
        </is>
      </c>
      <c r="E1572" t="inlineStr">
        <is>
          <t>BRÄCKE</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52754-2023</t>
        </is>
      </c>
      <c r="B1573" s="1" t="n">
        <v>45225.96831018518</v>
      </c>
      <c r="C1573" s="1" t="n">
        <v>45976</v>
      </c>
      <c r="D1573" t="inlineStr">
        <is>
          <t>JÄMTLANDS LÄN</t>
        </is>
      </c>
      <c r="E1573" t="inlineStr">
        <is>
          <t>BRÄCKE</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30014-2025</t>
        </is>
      </c>
      <c r="B1574" s="1" t="n">
        <v>45826.55246527777</v>
      </c>
      <c r="C1574" s="1" t="n">
        <v>45976</v>
      </c>
      <c r="D1574" t="inlineStr">
        <is>
          <t>JÄMTLANDS LÄN</t>
        </is>
      </c>
      <c r="E1574" t="inlineStr">
        <is>
          <t>BRÄCKE</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52712-2022</t>
        </is>
      </c>
      <c r="B1575" s="1" t="n">
        <v>44874</v>
      </c>
      <c r="C1575" s="1" t="n">
        <v>45976</v>
      </c>
      <c r="D1575" t="inlineStr">
        <is>
          <t>JÄMTLANDS LÄN</t>
        </is>
      </c>
      <c r="E1575" t="inlineStr">
        <is>
          <t>BRÄCKE</t>
        </is>
      </c>
      <c r="F1575" t="inlineStr">
        <is>
          <t>SCA</t>
        </is>
      </c>
      <c r="G1575" t="n">
        <v>9.300000000000001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52713-2022</t>
        </is>
      </c>
      <c r="B1576" s="1" t="n">
        <v>44874.95504629629</v>
      </c>
      <c r="C1576" s="1" t="n">
        <v>45976</v>
      </c>
      <c r="D1576" t="inlineStr">
        <is>
          <t>JÄMTLANDS LÄN</t>
        </is>
      </c>
      <c r="E1576" t="inlineStr">
        <is>
          <t>BRÄCKE</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41175-2023</t>
        </is>
      </c>
      <c r="B1577" s="1" t="n">
        <v>45170</v>
      </c>
      <c r="C1577" s="1" t="n">
        <v>45976</v>
      </c>
      <c r="D1577" t="inlineStr">
        <is>
          <t>JÄMTLANDS LÄN</t>
        </is>
      </c>
      <c r="E1577" t="inlineStr">
        <is>
          <t>BRÄCKE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41183-2023</t>
        </is>
      </c>
      <c r="B1578" s="1" t="n">
        <v>45170</v>
      </c>
      <c r="C1578" s="1" t="n">
        <v>45976</v>
      </c>
      <c r="D1578" t="inlineStr">
        <is>
          <t>JÄMTLANDS LÄN</t>
        </is>
      </c>
      <c r="E1578" t="inlineStr">
        <is>
          <t>BRÄCKE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30313-2025</t>
        </is>
      </c>
      <c r="B1579" s="1" t="n">
        <v>45827.49033564814</v>
      </c>
      <c r="C1579" s="1" t="n">
        <v>45976</v>
      </c>
      <c r="D1579" t="inlineStr">
        <is>
          <t>JÄMTLANDS LÄN</t>
        </is>
      </c>
      <c r="E1579" t="inlineStr">
        <is>
          <t>BRÄCKE</t>
        </is>
      </c>
      <c r="F1579" t="inlineStr">
        <is>
          <t>SCA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56656-2022</t>
        </is>
      </c>
      <c r="B1580" s="1" t="n">
        <v>44893</v>
      </c>
      <c r="C1580" s="1" t="n">
        <v>45976</v>
      </c>
      <c r="D1580" t="inlineStr">
        <is>
          <t>JÄMTLANDS LÄN</t>
        </is>
      </c>
      <c r="E1580" t="inlineStr">
        <is>
          <t>BRÄCKE</t>
        </is>
      </c>
      <c r="G1580" t="n">
        <v>8.300000000000001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45436-2022</t>
        </is>
      </c>
      <c r="B1581" s="1" t="n">
        <v>44844.95355324074</v>
      </c>
      <c r="C1581" s="1" t="n">
        <v>45976</v>
      </c>
      <c r="D1581" t="inlineStr">
        <is>
          <t>JÄMTLANDS LÄN</t>
        </is>
      </c>
      <c r="E1581" t="inlineStr">
        <is>
          <t>BRÄCKE</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51559-2022</t>
        </is>
      </c>
      <c r="B1582" s="1" t="n">
        <v>44869</v>
      </c>
      <c r="C1582" s="1" t="n">
        <v>45976</v>
      </c>
      <c r="D1582" t="inlineStr">
        <is>
          <t>JÄMTLANDS LÄN</t>
        </is>
      </c>
      <c r="E1582" t="inlineStr">
        <is>
          <t>BRÄCKE</t>
        </is>
      </c>
      <c r="F1582" t="inlineStr">
        <is>
          <t>SCA</t>
        </is>
      </c>
      <c r="G1582" t="n">
        <v>21.1</v>
      </c>
      <c r="H1582" t="n">
        <v>0</v>
      </c>
      <c r="I1582" t="n">
        <v>0</v>
      </c>
      <c r="J1582" t="n">
        <v>0</v>
      </c>
      <c r="K1582" t="n">
        <v>0</v>
      </c>
      <c r="L1582" t="n">
        <v>0</v>
      </c>
      <c r="M1582" t="n">
        <v>0</v>
      </c>
      <c r="N1582" t="n">
        <v>0</v>
      </c>
      <c r="O1582" t="n">
        <v>0</v>
      </c>
      <c r="P1582" t="n">
        <v>0</v>
      </c>
      <c r="Q1582" t="n">
        <v>0</v>
      </c>
      <c r="R1582" s="2" t="inlineStr"/>
    </row>
    <row r="1583" ht="15" customHeight="1">
      <c r="A1583" t="inlineStr">
        <is>
          <t>A 5340-2025</t>
        </is>
      </c>
      <c r="B1583" s="1" t="n">
        <v>45692.55248842593</v>
      </c>
      <c r="C1583" s="1" t="n">
        <v>45976</v>
      </c>
      <c r="D1583" t="inlineStr">
        <is>
          <t>JÄMTLANDS LÄN</t>
        </is>
      </c>
      <c r="E1583" t="inlineStr">
        <is>
          <t>BRÄCKE</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30714-2025</t>
        </is>
      </c>
      <c r="B1584" s="1" t="n">
        <v>45831.55284722222</v>
      </c>
      <c r="C1584" s="1" t="n">
        <v>45976</v>
      </c>
      <c r="D1584" t="inlineStr">
        <is>
          <t>JÄMTLANDS LÄN</t>
        </is>
      </c>
      <c r="E1584" t="inlineStr">
        <is>
          <t>BRÄCKE</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30732-2025</t>
        </is>
      </c>
      <c r="B1585" s="1" t="n">
        <v>45831.57324074074</v>
      </c>
      <c r="C1585" s="1" t="n">
        <v>45976</v>
      </c>
      <c r="D1585" t="inlineStr">
        <is>
          <t>JÄMTLANDS LÄN</t>
        </is>
      </c>
      <c r="E1585" t="inlineStr">
        <is>
          <t>BRÄCKE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30619-2025</t>
        </is>
      </c>
      <c r="B1586" s="1" t="n">
        <v>45831.46922453704</v>
      </c>
      <c r="C1586" s="1" t="n">
        <v>45976</v>
      </c>
      <c r="D1586" t="inlineStr">
        <is>
          <t>JÄMTLANDS LÄN</t>
        </is>
      </c>
      <c r="E1586" t="inlineStr">
        <is>
          <t>BRÄCKE</t>
        </is>
      </c>
      <c r="F1586" t="inlineStr">
        <is>
          <t>SCA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31425-2025</t>
        </is>
      </c>
      <c r="B1587" s="1" t="n">
        <v>45833.49023148148</v>
      </c>
      <c r="C1587" s="1" t="n">
        <v>45976</v>
      </c>
      <c r="D1587" t="inlineStr">
        <is>
          <t>JÄMTLANDS LÄN</t>
        </is>
      </c>
      <c r="E1587" t="inlineStr">
        <is>
          <t>BRÄCKE</t>
        </is>
      </c>
      <c r="F1587" t="inlineStr">
        <is>
          <t>SCA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48784-2024</t>
        </is>
      </c>
      <c r="B1588" s="1" t="n">
        <v>45593.63570601852</v>
      </c>
      <c r="C1588" s="1" t="n">
        <v>45976</v>
      </c>
      <c r="D1588" t="inlineStr">
        <is>
          <t>JÄMTLANDS LÄN</t>
        </is>
      </c>
      <c r="E1588" t="inlineStr">
        <is>
          <t>BRÄCKE</t>
        </is>
      </c>
      <c r="F1588" t="inlineStr">
        <is>
          <t>SCA</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31274-2025</t>
        </is>
      </c>
      <c r="B1589" s="1" t="n">
        <v>45833.34435185185</v>
      </c>
      <c r="C1589" s="1" t="n">
        <v>45976</v>
      </c>
      <c r="D1589" t="inlineStr">
        <is>
          <t>JÄMTLANDS LÄN</t>
        </is>
      </c>
      <c r="E1589" t="inlineStr">
        <is>
          <t>BRÄCKE</t>
        </is>
      </c>
      <c r="F1589" t="inlineStr">
        <is>
          <t>SCA</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41401-2023</t>
        </is>
      </c>
      <c r="B1590" s="1" t="n">
        <v>45174</v>
      </c>
      <c r="C1590" s="1" t="n">
        <v>45976</v>
      </c>
      <c r="D1590" t="inlineStr">
        <is>
          <t>JÄMTLANDS LÄN</t>
        </is>
      </c>
      <c r="E1590" t="inlineStr">
        <is>
          <t>BRÄCKE</t>
        </is>
      </c>
      <c r="F1590" t="inlineStr">
        <is>
          <t>SCA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31138-2025</t>
        </is>
      </c>
      <c r="B1591" s="1" t="n">
        <v>45832.63618055556</v>
      </c>
      <c r="C1591" s="1" t="n">
        <v>45976</v>
      </c>
      <c r="D1591" t="inlineStr">
        <is>
          <t>JÄMTLANDS LÄN</t>
        </is>
      </c>
      <c r="E1591" t="inlineStr">
        <is>
          <t>BRÄCKE</t>
        </is>
      </c>
      <c r="F1591" t="inlineStr">
        <is>
          <t>SCA</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31059-2025</t>
        </is>
      </c>
      <c r="B1592" s="1" t="n">
        <v>45832.5734837963</v>
      </c>
      <c r="C1592" s="1" t="n">
        <v>45976</v>
      </c>
      <c r="D1592" t="inlineStr">
        <is>
          <t>JÄMTLANDS LÄN</t>
        </is>
      </c>
      <c r="E1592" t="inlineStr">
        <is>
          <t>BRÄCKE</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31379-2025</t>
        </is>
      </c>
      <c r="B1593" s="1" t="n">
        <v>45833.44856481482</v>
      </c>
      <c r="C1593" s="1" t="n">
        <v>45976</v>
      </c>
      <c r="D1593" t="inlineStr">
        <is>
          <t>JÄMTLANDS LÄN</t>
        </is>
      </c>
      <c r="E1593" t="inlineStr">
        <is>
          <t>BRÄCKE</t>
        </is>
      </c>
      <c r="F1593" t="inlineStr">
        <is>
          <t>SCA</t>
        </is>
      </c>
      <c r="G1593" t="n">
        <v>10.2</v>
      </c>
      <c r="H1593" t="n">
        <v>0</v>
      </c>
      <c r="I1593" t="n">
        <v>0</v>
      </c>
      <c r="J1593" t="n">
        <v>0</v>
      </c>
      <c r="K1593" t="n">
        <v>0</v>
      </c>
      <c r="L1593" t="n">
        <v>0</v>
      </c>
      <c r="M1593" t="n">
        <v>0</v>
      </c>
      <c r="N1593" t="n">
        <v>0</v>
      </c>
      <c r="O1593" t="n">
        <v>0</v>
      </c>
      <c r="P1593" t="n">
        <v>0</v>
      </c>
      <c r="Q1593" t="n">
        <v>0</v>
      </c>
      <c r="R1593" s="2" t="inlineStr"/>
    </row>
    <row r="1594" ht="15" customHeight="1">
      <c r="A1594" t="inlineStr">
        <is>
          <t>A 19486-2023</t>
        </is>
      </c>
      <c r="B1594" s="1" t="n">
        <v>45049</v>
      </c>
      <c r="C1594" s="1" t="n">
        <v>45976</v>
      </c>
      <c r="D1594" t="inlineStr">
        <is>
          <t>JÄMTLANDS LÄN</t>
        </is>
      </c>
      <c r="E1594" t="inlineStr">
        <is>
          <t>BRÄCKE</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31482-2025</t>
        </is>
      </c>
      <c r="B1595" s="1" t="n">
        <v>45833.57390046296</v>
      </c>
      <c r="C1595" s="1" t="n">
        <v>45976</v>
      </c>
      <c r="D1595" t="inlineStr">
        <is>
          <t>JÄMTLANDS LÄN</t>
        </is>
      </c>
      <c r="E1595" t="inlineStr">
        <is>
          <t>BRÄCKE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31794-2025</t>
        </is>
      </c>
      <c r="B1596" s="1" t="n">
        <v>45834.54390046297</v>
      </c>
      <c r="C1596" s="1" t="n">
        <v>45976</v>
      </c>
      <c r="D1596" t="inlineStr">
        <is>
          <t>JÄMTLANDS LÄN</t>
        </is>
      </c>
      <c r="E1596" t="inlineStr">
        <is>
          <t>BRÄCKE</t>
        </is>
      </c>
      <c r="F1596" t="inlineStr">
        <is>
          <t>Övriga Aktiebolag</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31819-2025</t>
        </is>
      </c>
      <c r="B1597" s="1" t="n">
        <v>45834.57891203704</v>
      </c>
      <c r="C1597" s="1" t="n">
        <v>45976</v>
      </c>
      <c r="D1597" t="inlineStr">
        <is>
          <t>JÄMTLANDS LÄN</t>
        </is>
      </c>
      <c r="E1597" t="inlineStr">
        <is>
          <t>BRÄCKE</t>
        </is>
      </c>
      <c r="F1597" t="inlineStr">
        <is>
          <t>Övriga Aktiebolag</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31832-2025</t>
        </is>
      </c>
      <c r="B1598" s="1" t="n">
        <v>45834.59207175926</v>
      </c>
      <c r="C1598" s="1" t="n">
        <v>45976</v>
      </c>
      <c r="D1598" t="inlineStr">
        <is>
          <t>JÄMTLANDS LÄN</t>
        </is>
      </c>
      <c r="E1598" t="inlineStr">
        <is>
          <t>BRÄCKE</t>
        </is>
      </c>
      <c r="F1598" t="inlineStr">
        <is>
          <t>Övriga Aktiebolag</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32281-2025</t>
        </is>
      </c>
      <c r="B1599" s="1" t="n">
        <v>45835.67778935185</v>
      </c>
      <c r="C1599" s="1" t="n">
        <v>45976</v>
      </c>
      <c r="D1599" t="inlineStr">
        <is>
          <t>JÄMTLANDS LÄN</t>
        </is>
      </c>
      <c r="E1599" t="inlineStr">
        <is>
          <t>BRÄCKE</t>
        </is>
      </c>
      <c r="F1599" t="inlineStr">
        <is>
          <t>SCA</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31668-2025</t>
        </is>
      </c>
      <c r="B1600" s="1" t="n">
        <v>45834.36533564814</v>
      </c>
      <c r="C1600" s="1" t="n">
        <v>45976</v>
      </c>
      <c r="D1600" t="inlineStr">
        <is>
          <t>JÄMTLANDS LÄN</t>
        </is>
      </c>
      <c r="E1600" t="inlineStr">
        <is>
          <t>BRÄCKE</t>
        </is>
      </c>
      <c r="F1600" t="inlineStr">
        <is>
          <t>SCA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12036-2023</t>
        </is>
      </c>
      <c r="B1601" s="1" t="n">
        <v>44995</v>
      </c>
      <c r="C1601" s="1" t="n">
        <v>45976</v>
      </c>
      <c r="D1601" t="inlineStr">
        <is>
          <t>JÄMTLANDS LÄN</t>
        </is>
      </c>
      <c r="E1601" t="inlineStr">
        <is>
          <t>BRÄCKE</t>
        </is>
      </c>
      <c r="G1601" t="n">
        <v>16.3</v>
      </c>
      <c r="H1601" t="n">
        <v>0</v>
      </c>
      <c r="I1601" t="n">
        <v>0</v>
      </c>
      <c r="J1601" t="n">
        <v>0</v>
      </c>
      <c r="K1601" t="n">
        <v>0</v>
      </c>
      <c r="L1601" t="n">
        <v>0</v>
      </c>
      <c r="M1601" t="n">
        <v>0</v>
      </c>
      <c r="N1601" t="n">
        <v>0</v>
      </c>
      <c r="O1601" t="n">
        <v>0</v>
      </c>
      <c r="P1601" t="n">
        <v>0</v>
      </c>
      <c r="Q1601" t="n">
        <v>0</v>
      </c>
      <c r="R1601" s="2" t="inlineStr"/>
    </row>
    <row r="1602" ht="15" customHeight="1">
      <c r="A1602" t="inlineStr">
        <is>
          <t>A 32149-2025</t>
        </is>
      </c>
      <c r="B1602" s="1" t="n">
        <v>45835.53086805555</v>
      </c>
      <c r="C1602" s="1" t="n">
        <v>45976</v>
      </c>
      <c r="D1602" t="inlineStr">
        <is>
          <t>JÄMTLANDS LÄN</t>
        </is>
      </c>
      <c r="E1602" t="inlineStr">
        <is>
          <t>BRÄCKE</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63716-2023</t>
        </is>
      </c>
      <c r="B1603" s="1" t="n">
        <v>45275</v>
      </c>
      <c r="C1603" s="1" t="n">
        <v>45976</v>
      </c>
      <c r="D1603" t="inlineStr">
        <is>
          <t>JÄMTLANDS LÄN</t>
        </is>
      </c>
      <c r="E1603" t="inlineStr">
        <is>
          <t>BRÄCKE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50514-2023</t>
        </is>
      </c>
      <c r="B1604" s="1" t="n">
        <v>45216</v>
      </c>
      <c r="C1604" s="1" t="n">
        <v>45976</v>
      </c>
      <c r="D1604" t="inlineStr">
        <is>
          <t>JÄMTLANDS LÄN</t>
        </is>
      </c>
      <c r="E1604" t="inlineStr">
        <is>
          <t>BRÄCKE</t>
        </is>
      </c>
      <c r="F1604" t="inlineStr">
        <is>
          <t>SCA</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3697-2025</t>
        </is>
      </c>
      <c r="B1605" s="1" t="n">
        <v>45681.46973379629</v>
      </c>
      <c r="C1605" s="1" t="n">
        <v>45976</v>
      </c>
      <c r="D1605" t="inlineStr">
        <is>
          <t>JÄMTLANDS LÄN</t>
        </is>
      </c>
      <c r="E1605" t="inlineStr">
        <is>
          <t>BRÄCKE</t>
        </is>
      </c>
      <c r="F1605" t="inlineStr">
        <is>
          <t>SCA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32146-2025</t>
        </is>
      </c>
      <c r="B1606" s="1" t="n">
        <v>45835.52730324074</v>
      </c>
      <c r="C1606" s="1" t="n">
        <v>45976</v>
      </c>
      <c r="D1606" t="inlineStr">
        <is>
          <t>JÄMTLANDS LÄN</t>
        </is>
      </c>
      <c r="E1606" t="inlineStr">
        <is>
          <t>BRÄCKE</t>
        </is>
      </c>
      <c r="G1606" t="n">
        <v>9.5</v>
      </c>
      <c r="H1606" t="n">
        <v>0</v>
      </c>
      <c r="I1606" t="n">
        <v>0</v>
      </c>
      <c r="J1606" t="n">
        <v>0</v>
      </c>
      <c r="K1606" t="n">
        <v>0</v>
      </c>
      <c r="L1606" t="n">
        <v>0</v>
      </c>
      <c r="M1606" t="n">
        <v>0</v>
      </c>
      <c r="N1606" t="n">
        <v>0</v>
      </c>
      <c r="O1606" t="n">
        <v>0</v>
      </c>
      <c r="P1606" t="n">
        <v>0</v>
      </c>
      <c r="Q1606" t="n">
        <v>0</v>
      </c>
      <c r="R1606" s="2" t="inlineStr"/>
    </row>
    <row r="1607" ht="15" customHeight="1">
      <c r="A1607" t="inlineStr">
        <is>
          <t>A 56822-2022</t>
        </is>
      </c>
      <c r="B1607" s="1" t="n">
        <v>44894.44673611111</v>
      </c>
      <c r="C1607" s="1" t="n">
        <v>45976</v>
      </c>
      <c r="D1607" t="inlineStr">
        <is>
          <t>JÄMTLANDS LÄN</t>
        </is>
      </c>
      <c r="E1607" t="inlineStr">
        <is>
          <t>BRÄCKE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18641-2024</t>
        </is>
      </c>
      <c r="B1608" s="1" t="n">
        <v>45425.9666087963</v>
      </c>
      <c r="C1608" s="1" t="n">
        <v>45976</v>
      </c>
      <c r="D1608" t="inlineStr">
        <is>
          <t>JÄMTLANDS LÄN</t>
        </is>
      </c>
      <c r="E1608" t="inlineStr">
        <is>
          <t>BRÄCKE</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31806-2025</t>
        </is>
      </c>
      <c r="B1609" s="1" t="n">
        <v>45834.55449074074</v>
      </c>
      <c r="C1609" s="1" t="n">
        <v>45976</v>
      </c>
      <c r="D1609" t="inlineStr">
        <is>
          <t>JÄMTLANDS LÄN</t>
        </is>
      </c>
      <c r="E1609" t="inlineStr">
        <is>
          <t>BRÄCKE</t>
        </is>
      </c>
      <c r="F1609" t="inlineStr">
        <is>
          <t>Övriga Aktiebolag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58848-2024</t>
        </is>
      </c>
      <c r="B1610" s="1" t="n">
        <v>45636.38657407407</v>
      </c>
      <c r="C1610" s="1" t="n">
        <v>45976</v>
      </c>
      <c r="D1610" t="inlineStr">
        <is>
          <t>JÄMTLANDS LÄN</t>
        </is>
      </c>
      <c r="E1610" t="inlineStr">
        <is>
          <t>BRÄCKE</t>
        </is>
      </c>
      <c r="F1610" t="inlineStr">
        <is>
          <t>SCA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50515-2023</t>
        </is>
      </c>
      <c r="B1611" s="1" t="n">
        <v>45216</v>
      </c>
      <c r="C1611" s="1" t="n">
        <v>45976</v>
      </c>
      <c r="D1611" t="inlineStr">
        <is>
          <t>JÄMTLANDS LÄN</t>
        </is>
      </c>
      <c r="E1611" t="inlineStr">
        <is>
          <t>BRÄCKE</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31728-2025</t>
        </is>
      </c>
      <c r="B1612" s="1" t="n">
        <v>45834.46925925926</v>
      </c>
      <c r="C1612" s="1" t="n">
        <v>45976</v>
      </c>
      <c r="D1612" t="inlineStr">
        <is>
          <t>JÄMTLANDS LÄN</t>
        </is>
      </c>
      <c r="E1612" t="inlineStr">
        <is>
          <t>BRÄCKE</t>
        </is>
      </c>
      <c r="F1612" t="inlineStr">
        <is>
          <t>SCA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31962-2025</t>
        </is>
      </c>
      <c r="B1613" s="1" t="n">
        <v>45835.34466435185</v>
      </c>
      <c r="C1613" s="1" t="n">
        <v>45976</v>
      </c>
      <c r="D1613" t="inlineStr">
        <is>
          <t>JÄMTLANDS LÄN</t>
        </is>
      </c>
      <c r="E1613" t="inlineStr">
        <is>
          <t>BRÄCKE</t>
        </is>
      </c>
      <c r="F1613" t="inlineStr">
        <is>
          <t>SCA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50260-2024</t>
        </is>
      </c>
      <c r="B1614" s="1" t="n">
        <v>45600</v>
      </c>
      <c r="C1614" s="1" t="n">
        <v>45976</v>
      </c>
      <c r="D1614" t="inlineStr">
        <is>
          <t>JÄMTLANDS LÄN</t>
        </is>
      </c>
      <c r="E1614" t="inlineStr">
        <is>
          <t>BRÄCKE</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35506-2023</t>
        </is>
      </c>
      <c r="B1615" s="1" t="n">
        <v>45146</v>
      </c>
      <c r="C1615" s="1" t="n">
        <v>45976</v>
      </c>
      <c r="D1615" t="inlineStr">
        <is>
          <t>JÄMTLANDS LÄN</t>
        </is>
      </c>
      <c r="E1615" t="inlineStr">
        <is>
          <t>BRÄCKE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31749-2025</t>
        </is>
      </c>
      <c r="B1616" s="1" t="n">
        <v>45834.48164351852</v>
      </c>
      <c r="C1616" s="1" t="n">
        <v>45976</v>
      </c>
      <c r="D1616" t="inlineStr">
        <is>
          <t>JÄMTLANDS LÄN</t>
        </is>
      </c>
      <c r="E1616" t="inlineStr">
        <is>
          <t>BRÄCKE</t>
        </is>
      </c>
      <c r="F1616" t="inlineStr">
        <is>
          <t>Övriga Aktiebolag</t>
        </is>
      </c>
      <c r="G1616" t="n">
        <v>12.5</v>
      </c>
      <c r="H1616" t="n">
        <v>0</v>
      </c>
      <c r="I1616" t="n">
        <v>0</v>
      </c>
      <c r="J1616" t="n">
        <v>0</v>
      </c>
      <c r="K1616" t="n">
        <v>0</v>
      </c>
      <c r="L1616" t="n">
        <v>0</v>
      </c>
      <c r="M1616" t="n">
        <v>0</v>
      </c>
      <c r="N1616" t="n">
        <v>0</v>
      </c>
      <c r="O1616" t="n">
        <v>0</v>
      </c>
      <c r="P1616" t="n">
        <v>0</v>
      </c>
      <c r="Q1616" t="n">
        <v>0</v>
      </c>
      <c r="R1616" s="2" t="inlineStr"/>
    </row>
    <row r="1617" ht="15" customHeight="1">
      <c r="A1617" t="inlineStr">
        <is>
          <t>A 32272-2025</t>
        </is>
      </c>
      <c r="B1617" s="1" t="n">
        <v>45835.6568287037</v>
      </c>
      <c r="C1617" s="1" t="n">
        <v>45976</v>
      </c>
      <c r="D1617" t="inlineStr">
        <is>
          <t>JÄMTLANDS LÄN</t>
        </is>
      </c>
      <c r="E1617" t="inlineStr">
        <is>
          <t>BRÄCKE</t>
        </is>
      </c>
      <c r="F1617" t="inlineStr">
        <is>
          <t>SCA</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31696-2025</t>
        </is>
      </c>
      <c r="B1618" s="1" t="n">
        <v>45834.40726851852</v>
      </c>
      <c r="C1618" s="1" t="n">
        <v>45976</v>
      </c>
      <c r="D1618" t="inlineStr">
        <is>
          <t>JÄMTLANDS LÄN</t>
        </is>
      </c>
      <c r="E1618" t="inlineStr">
        <is>
          <t>BRÄCKE</t>
        </is>
      </c>
      <c r="F1618" t="inlineStr">
        <is>
          <t>SCA</t>
        </is>
      </c>
      <c r="G1618" t="n">
        <v>15.8</v>
      </c>
      <c r="H1618" t="n">
        <v>0</v>
      </c>
      <c r="I1618" t="n">
        <v>0</v>
      </c>
      <c r="J1618" t="n">
        <v>0</v>
      </c>
      <c r="K1618" t="n">
        <v>0</v>
      </c>
      <c r="L1618" t="n">
        <v>0</v>
      </c>
      <c r="M1618" t="n">
        <v>0</v>
      </c>
      <c r="N1618" t="n">
        <v>0</v>
      </c>
      <c r="O1618" t="n">
        <v>0</v>
      </c>
      <c r="P1618" t="n">
        <v>0</v>
      </c>
      <c r="Q1618" t="n">
        <v>0</v>
      </c>
      <c r="R1618" s="2" t="inlineStr"/>
    </row>
    <row r="1619" ht="15" customHeight="1">
      <c r="A1619" t="inlineStr">
        <is>
          <t>A 15201-2024</t>
        </is>
      </c>
      <c r="B1619" s="1" t="n">
        <v>45400.43778935185</v>
      </c>
      <c r="C1619" s="1" t="n">
        <v>45976</v>
      </c>
      <c r="D1619" t="inlineStr">
        <is>
          <t>JÄMTLANDS LÄN</t>
        </is>
      </c>
      <c r="E1619" t="inlineStr">
        <is>
          <t>BRÄCKE</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32697-2025</t>
        </is>
      </c>
      <c r="B1620" s="1" t="n">
        <v>45839.34427083333</v>
      </c>
      <c r="C1620" s="1" t="n">
        <v>45976</v>
      </c>
      <c r="D1620" t="inlineStr">
        <is>
          <t>JÄMTLANDS LÄN</t>
        </is>
      </c>
      <c r="E1620" t="inlineStr">
        <is>
          <t>BRÄCKE</t>
        </is>
      </c>
      <c r="F1620" t="inlineStr">
        <is>
          <t>SCA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32851-2025</t>
        </is>
      </c>
      <c r="B1621" s="1" t="n">
        <v>45839.57388888889</v>
      </c>
      <c r="C1621" s="1" t="n">
        <v>45976</v>
      </c>
      <c r="D1621" t="inlineStr">
        <is>
          <t>JÄMTLANDS LÄN</t>
        </is>
      </c>
      <c r="E1621" t="inlineStr">
        <is>
          <t>BRÄCKE</t>
        </is>
      </c>
      <c r="F1621" t="inlineStr">
        <is>
          <t>SCA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32443-2025</t>
        </is>
      </c>
      <c r="B1622" s="1" t="n">
        <v>45838.38613425926</v>
      </c>
      <c r="C1622" s="1" t="n">
        <v>45976</v>
      </c>
      <c r="D1622" t="inlineStr">
        <is>
          <t>JÄMTLANDS LÄN</t>
        </is>
      </c>
      <c r="E1622" t="inlineStr">
        <is>
          <t>BRÄCKE</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23444-2022</t>
        </is>
      </c>
      <c r="B1623" s="1" t="n">
        <v>44720.94118055556</v>
      </c>
      <c r="C1623" s="1" t="n">
        <v>45976</v>
      </c>
      <c r="D1623" t="inlineStr">
        <is>
          <t>JÄMTLANDS LÄN</t>
        </is>
      </c>
      <c r="E1623" t="inlineStr">
        <is>
          <t>BRÄCKE</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32659-2025</t>
        </is>
      </c>
      <c r="B1624" s="1" t="n">
        <v>45838.67873842592</v>
      </c>
      <c r="C1624" s="1" t="n">
        <v>45976</v>
      </c>
      <c r="D1624" t="inlineStr">
        <is>
          <t>JÄMTLANDS LÄN</t>
        </is>
      </c>
      <c r="E1624" t="inlineStr">
        <is>
          <t>BRÄCKE</t>
        </is>
      </c>
      <c r="F1624" t="inlineStr">
        <is>
          <t>SCA</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32913-2025</t>
        </is>
      </c>
      <c r="B1625" s="1" t="n">
        <v>45839.63605324074</v>
      </c>
      <c r="C1625" s="1" t="n">
        <v>45976</v>
      </c>
      <c r="D1625" t="inlineStr">
        <is>
          <t>JÄMTLANDS LÄN</t>
        </is>
      </c>
      <c r="E1625" t="inlineStr">
        <is>
          <t>BRÄCKE</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32596-2025</t>
        </is>
      </c>
      <c r="B1626" s="1" t="n">
        <v>45838.61584490741</v>
      </c>
      <c r="C1626" s="1" t="n">
        <v>45976</v>
      </c>
      <c r="D1626" t="inlineStr">
        <is>
          <t>JÄMTLANDS LÄN</t>
        </is>
      </c>
      <c r="E1626" t="inlineStr">
        <is>
          <t>BRÄCKE</t>
        </is>
      </c>
      <c r="F1626" t="inlineStr">
        <is>
          <t>SCA</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29003-2024</t>
        </is>
      </c>
      <c r="B1627" s="1" t="n">
        <v>45481.52758101852</v>
      </c>
      <c r="C1627" s="1" t="n">
        <v>45976</v>
      </c>
      <c r="D1627" t="inlineStr">
        <is>
          <t>JÄMTLANDS LÄN</t>
        </is>
      </c>
      <c r="E1627" t="inlineStr">
        <is>
          <t>BRÄCKE</t>
        </is>
      </c>
      <c r="F1627" t="inlineStr">
        <is>
          <t>Övriga Aktiebolag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54274-2022</t>
        </is>
      </c>
      <c r="B1628" s="1" t="n">
        <v>44879</v>
      </c>
      <c r="C1628" s="1" t="n">
        <v>45976</v>
      </c>
      <c r="D1628" t="inlineStr">
        <is>
          <t>JÄMTLANDS LÄN</t>
        </is>
      </c>
      <c r="E1628" t="inlineStr">
        <is>
          <t>BRÄCKE</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37239-2023</t>
        </is>
      </c>
      <c r="B1629" s="1" t="n">
        <v>45155.95373842592</v>
      </c>
      <c r="C1629" s="1" t="n">
        <v>45976</v>
      </c>
      <c r="D1629" t="inlineStr">
        <is>
          <t>JÄMTLANDS LÄN</t>
        </is>
      </c>
      <c r="E1629" t="inlineStr">
        <is>
          <t>BRÄCKE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3247-2025</t>
        </is>
      </c>
      <c r="B1630" s="1" t="n">
        <v>45679.5315625</v>
      </c>
      <c r="C1630" s="1" t="n">
        <v>45976</v>
      </c>
      <c r="D1630" t="inlineStr">
        <is>
          <t>JÄMTLANDS LÄN</t>
        </is>
      </c>
      <c r="E1630" t="inlineStr">
        <is>
          <t>BRÄCKE</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3249-2025</t>
        </is>
      </c>
      <c r="B1631" s="1" t="n">
        <v>45679.53177083333</v>
      </c>
      <c r="C1631" s="1" t="n">
        <v>45976</v>
      </c>
      <c r="D1631" t="inlineStr">
        <is>
          <t>JÄMTLANDS LÄN</t>
        </is>
      </c>
      <c r="E1631" t="inlineStr">
        <is>
          <t>BRÄCKE</t>
        </is>
      </c>
      <c r="F1631" t="inlineStr">
        <is>
          <t>SCA</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33133-2025</t>
        </is>
      </c>
      <c r="B1632" s="1" t="n">
        <v>45840.5050462963</v>
      </c>
      <c r="C1632" s="1" t="n">
        <v>45976</v>
      </c>
      <c r="D1632" t="inlineStr">
        <is>
          <t>JÄMTLANDS LÄN</t>
        </is>
      </c>
      <c r="E1632" t="inlineStr">
        <is>
          <t>BRÄCKE</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29325-2022</t>
        </is>
      </c>
      <c r="B1633" s="1" t="n">
        <v>44751.94157407407</v>
      </c>
      <c r="C1633" s="1" t="n">
        <v>45976</v>
      </c>
      <c r="D1633" t="inlineStr">
        <is>
          <t>JÄMTLANDS LÄN</t>
        </is>
      </c>
      <c r="E1633" t="inlineStr">
        <is>
          <t>BRÄCKE</t>
        </is>
      </c>
      <c r="G1633" t="n">
        <v>8.300000000000001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33275-2025</t>
        </is>
      </c>
      <c r="B1634" s="1" t="n">
        <v>45840.69829861111</v>
      </c>
      <c r="C1634" s="1" t="n">
        <v>45976</v>
      </c>
      <c r="D1634" t="inlineStr">
        <is>
          <t>JÄMTLANDS LÄN</t>
        </is>
      </c>
      <c r="E1634" t="inlineStr">
        <is>
          <t>BRÄCKE</t>
        </is>
      </c>
      <c r="F1634" t="inlineStr">
        <is>
          <t>SCA</t>
        </is>
      </c>
      <c r="G1634" t="n">
        <v>10.2</v>
      </c>
      <c r="H1634" t="n">
        <v>0</v>
      </c>
      <c r="I1634" t="n">
        <v>0</v>
      </c>
      <c r="J1634" t="n">
        <v>0</v>
      </c>
      <c r="K1634" t="n">
        <v>0</v>
      </c>
      <c r="L1634" t="n">
        <v>0</v>
      </c>
      <c r="M1634" t="n">
        <v>0</v>
      </c>
      <c r="N1634" t="n">
        <v>0</v>
      </c>
      <c r="O1634" t="n">
        <v>0</v>
      </c>
      <c r="P1634" t="n">
        <v>0</v>
      </c>
      <c r="Q1634" t="n">
        <v>0</v>
      </c>
      <c r="R1634" s="2" t="inlineStr"/>
    </row>
    <row r="1635" ht="15" customHeight="1">
      <c r="A1635" t="inlineStr">
        <is>
          <t>A 33648-2025</t>
        </is>
      </c>
      <c r="B1635" s="1" t="n">
        <v>45841.65681712963</v>
      </c>
      <c r="C1635" s="1" t="n">
        <v>45976</v>
      </c>
      <c r="D1635" t="inlineStr">
        <is>
          <t>JÄMTLANDS LÄN</t>
        </is>
      </c>
      <c r="E1635" t="inlineStr">
        <is>
          <t>BRÄCKE</t>
        </is>
      </c>
      <c r="F1635" t="inlineStr">
        <is>
          <t>SCA</t>
        </is>
      </c>
      <c r="G1635" t="n">
        <v>9.800000000000001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33854-2025</t>
        </is>
      </c>
      <c r="B1636" s="1" t="n">
        <v>45842.51112268519</v>
      </c>
      <c r="C1636" s="1" t="n">
        <v>45976</v>
      </c>
      <c r="D1636" t="inlineStr">
        <is>
          <t>JÄMTLANDS LÄN</t>
        </is>
      </c>
      <c r="E1636" t="inlineStr">
        <is>
          <t>BRÄCKE</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33868-2025</t>
        </is>
      </c>
      <c r="B1637" s="1" t="n">
        <v>45842.53967592592</v>
      </c>
      <c r="C1637" s="1" t="n">
        <v>45976</v>
      </c>
      <c r="D1637" t="inlineStr">
        <is>
          <t>JÄMTLANDS LÄN</t>
        </is>
      </c>
      <c r="E1637" t="inlineStr">
        <is>
          <t>BRÄCKE</t>
        </is>
      </c>
      <c r="F1637" t="inlineStr">
        <is>
          <t>Övriga Aktiebolag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33900-2025</t>
        </is>
      </c>
      <c r="B1638" s="1" t="n">
        <v>45842.59454861111</v>
      </c>
      <c r="C1638" s="1" t="n">
        <v>45976</v>
      </c>
      <c r="D1638" t="inlineStr">
        <is>
          <t>JÄMTLANDS LÄN</t>
        </is>
      </c>
      <c r="E1638" t="inlineStr">
        <is>
          <t>BRÄCKE</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60417-2022</t>
        </is>
      </c>
      <c r="B1639" s="1" t="n">
        <v>44910.97158564815</v>
      </c>
      <c r="C1639" s="1" t="n">
        <v>45976</v>
      </c>
      <c r="D1639" t="inlineStr">
        <is>
          <t>JÄMTLANDS LÄN</t>
        </is>
      </c>
      <c r="E1639" t="inlineStr">
        <is>
          <t>BRÄCKE</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34189-2025</t>
        </is>
      </c>
      <c r="B1640" s="1" t="n">
        <v>45845.61555555555</v>
      </c>
      <c r="C1640" s="1" t="n">
        <v>45976</v>
      </c>
      <c r="D1640" t="inlineStr">
        <is>
          <t>JÄMTLANDS LÄN</t>
        </is>
      </c>
      <c r="E1640" t="inlineStr">
        <is>
          <t>BRÄCKE</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33937-2025</t>
        </is>
      </c>
      <c r="B1641" s="1" t="n">
        <v>45842.63650462963</v>
      </c>
      <c r="C1641" s="1" t="n">
        <v>45976</v>
      </c>
      <c r="D1641" t="inlineStr">
        <is>
          <t>JÄMTLANDS LÄN</t>
        </is>
      </c>
      <c r="E1641" t="inlineStr">
        <is>
          <t>BRÄCKE</t>
        </is>
      </c>
      <c r="F1641" t="inlineStr">
        <is>
          <t>SCA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29130-2024</t>
        </is>
      </c>
      <c r="B1642" s="1" t="n">
        <v>45482.35856481481</v>
      </c>
      <c r="C1642" s="1" t="n">
        <v>45976</v>
      </c>
      <c r="D1642" t="inlineStr">
        <is>
          <t>JÄMTLANDS LÄN</t>
        </is>
      </c>
      <c r="E1642" t="inlineStr">
        <is>
          <t>BRÄCKE</t>
        </is>
      </c>
      <c r="F1642" t="inlineStr">
        <is>
          <t>Övriga Aktiebolag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8780-2025</t>
        </is>
      </c>
      <c r="B1643" s="1" t="n">
        <v>45712.615625</v>
      </c>
      <c r="C1643" s="1" t="n">
        <v>45976</v>
      </c>
      <c r="D1643" t="inlineStr">
        <is>
          <t>JÄMTLANDS LÄN</t>
        </is>
      </c>
      <c r="E1643" t="inlineStr">
        <is>
          <t>BRÄCKE</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33776-2025</t>
        </is>
      </c>
      <c r="B1644" s="1" t="n">
        <v>45842.39412037037</v>
      </c>
      <c r="C1644" s="1" t="n">
        <v>45976</v>
      </c>
      <c r="D1644" t="inlineStr">
        <is>
          <t>JÄMTLANDS LÄN</t>
        </is>
      </c>
      <c r="E1644" t="inlineStr">
        <is>
          <t>BRÄCKE</t>
        </is>
      </c>
      <c r="F1644" t="inlineStr">
        <is>
          <t>Övriga Aktiebolag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33956-2025</t>
        </is>
      </c>
      <c r="B1645" s="1" t="n">
        <v>45842.67746527777</v>
      </c>
      <c r="C1645" s="1" t="n">
        <v>45976</v>
      </c>
      <c r="D1645" t="inlineStr">
        <is>
          <t>JÄMTLANDS LÄN</t>
        </is>
      </c>
      <c r="E1645" t="inlineStr">
        <is>
          <t>BRÄCKE</t>
        </is>
      </c>
      <c r="F1645" t="inlineStr">
        <is>
          <t>SCA</t>
        </is>
      </c>
      <c r="G1645" t="n">
        <v>6.7</v>
      </c>
      <c r="H1645" t="n">
        <v>0</v>
      </c>
      <c r="I1645" t="n">
        <v>0</v>
      </c>
      <c r="J1645" t="n">
        <v>0</v>
      </c>
      <c r="K1645" t="n">
        <v>0</v>
      </c>
      <c r="L1645" t="n">
        <v>0</v>
      </c>
      <c r="M1645" t="n">
        <v>0</v>
      </c>
      <c r="N1645" t="n">
        <v>0</v>
      </c>
      <c r="O1645" t="n">
        <v>0</v>
      </c>
      <c r="P1645" t="n">
        <v>0</v>
      </c>
      <c r="Q1645" t="n">
        <v>0</v>
      </c>
      <c r="R1645" s="2" t="inlineStr"/>
    </row>
    <row r="1646" ht="15" customHeight="1">
      <c r="A1646" t="inlineStr">
        <is>
          <t>A 34087-2025</t>
        </is>
      </c>
      <c r="B1646" s="1" t="n">
        <v>45845.46913194445</v>
      </c>
      <c r="C1646" s="1" t="n">
        <v>45976</v>
      </c>
      <c r="D1646" t="inlineStr">
        <is>
          <t>JÄMTLANDS LÄN</t>
        </is>
      </c>
      <c r="E1646" t="inlineStr">
        <is>
          <t>BRÄCKE</t>
        </is>
      </c>
      <c r="F1646" t="inlineStr">
        <is>
          <t>SCA</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33873-2025</t>
        </is>
      </c>
      <c r="B1647" s="1" t="n">
        <v>45842.54912037037</v>
      </c>
      <c r="C1647" s="1" t="n">
        <v>45976</v>
      </c>
      <c r="D1647" t="inlineStr">
        <is>
          <t>JÄMTLANDS LÄN</t>
        </is>
      </c>
      <c r="E1647" t="inlineStr">
        <is>
          <t>BRÄCKE</t>
        </is>
      </c>
      <c r="F1647" t="inlineStr">
        <is>
          <t>Övriga Aktiebolag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33902-2025</t>
        </is>
      </c>
      <c r="B1648" s="1" t="n">
        <v>45842.59513888889</v>
      </c>
      <c r="C1648" s="1" t="n">
        <v>45976</v>
      </c>
      <c r="D1648" t="inlineStr">
        <is>
          <t>JÄMTLANDS LÄN</t>
        </is>
      </c>
      <c r="E1648" t="inlineStr">
        <is>
          <t>BRÄCKE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50609-2023</t>
        </is>
      </c>
      <c r="B1649" s="1" t="n">
        <v>45217</v>
      </c>
      <c r="C1649" s="1" t="n">
        <v>45976</v>
      </c>
      <c r="D1649" t="inlineStr">
        <is>
          <t>JÄMTLANDS LÄN</t>
        </is>
      </c>
      <c r="E1649" t="inlineStr">
        <is>
          <t>BRÄCKE</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3020-2023</t>
        </is>
      </c>
      <c r="B1650" s="1" t="n">
        <v>44945.9396412037</v>
      </c>
      <c r="C1650" s="1" t="n">
        <v>45976</v>
      </c>
      <c r="D1650" t="inlineStr">
        <is>
          <t>JÄMTLANDS LÄN</t>
        </is>
      </c>
      <c r="E1650" t="inlineStr">
        <is>
          <t>BRÄCKE</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3032-2023</t>
        </is>
      </c>
      <c r="B1651" s="1" t="n">
        <v>44945.9412962963</v>
      </c>
      <c r="C1651" s="1" t="n">
        <v>45976</v>
      </c>
      <c r="D1651" t="inlineStr">
        <is>
          <t>JÄMTLANDS LÄN</t>
        </is>
      </c>
      <c r="E1651" t="inlineStr">
        <is>
          <t>BRÄCKE</t>
        </is>
      </c>
      <c r="F1651" t="inlineStr">
        <is>
          <t>SCA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33796-2025</t>
        </is>
      </c>
      <c r="B1652" s="1" t="n">
        <v>45842.43670138889</v>
      </c>
      <c r="C1652" s="1" t="n">
        <v>45976</v>
      </c>
      <c r="D1652" t="inlineStr">
        <is>
          <t>JÄMTLANDS LÄN</t>
        </is>
      </c>
      <c r="E1652" t="inlineStr">
        <is>
          <t>BRÄCKE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34155-2025</t>
        </is>
      </c>
      <c r="B1653" s="1" t="n">
        <v>45845.57334490741</v>
      </c>
      <c r="C1653" s="1" t="n">
        <v>45976</v>
      </c>
      <c r="D1653" t="inlineStr">
        <is>
          <t>JÄMTLANDS LÄN</t>
        </is>
      </c>
      <c r="E1653" t="inlineStr">
        <is>
          <t>BRÄCKE</t>
        </is>
      </c>
      <c r="F1653" t="inlineStr">
        <is>
          <t>SCA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34460-2025</t>
        </is>
      </c>
      <c r="B1654" s="1" t="n">
        <v>45847.34458333333</v>
      </c>
      <c r="C1654" s="1" t="n">
        <v>45976</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34338-2025</t>
        </is>
      </c>
      <c r="B1655" s="1" t="n">
        <v>45846.45711805556</v>
      </c>
      <c r="C1655" s="1" t="n">
        <v>45976</v>
      </c>
      <c r="D1655" t="inlineStr">
        <is>
          <t>JÄMTLANDS LÄN</t>
        </is>
      </c>
      <c r="E1655" t="inlineStr">
        <is>
          <t>BRÄCKE</t>
        </is>
      </c>
      <c r="G1655" t="n">
        <v>13.3</v>
      </c>
      <c r="H1655" t="n">
        <v>0</v>
      </c>
      <c r="I1655" t="n">
        <v>0</v>
      </c>
      <c r="J1655" t="n">
        <v>0</v>
      </c>
      <c r="K1655" t="n">
        <v>0</v>
      </c>
      <c r="L1655" t="n">
        <v>0</v>
      </c>
      <c r="M1655" t="n">
        <v>0</v>
      </c>
      <c r="N1655" t="n">
        <v>0</v>
      </c>
      <c r="O1655" t="n">
        <v>0</v>
      </c>
      <c r="P1655" t="n">
        <v>0</v>
      </c>
      <c r="Q1655" t="n">
        <v>0</v>
      </c>
      <c r="R1655" s="2" t="inlineStr"/>
    </row>
    <row r="1656" ht="15" customHeight="1">
      <c r="A1656" t="inlineStr">
        <is>
          <t>A 45010-2023</t>
        </is>
      </c>
      <c r="B1656" s="1" t="n">
        <v>45190.96116898148</v>
      </c>
      <c r="C1656" s="1" t="n">
        <v>45976</v>
      </c>
      <c r="D1656" t="inlineStr">
        <is>
          <t>JÄMTLANDS LÄN</t>
        </is>
      </c>
      <c r="E1656" t="inlineStr">
        <is>
          <t>BRÄCKE</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45013-2023</t>
        </is>
      </c>
      <c r="B1657" s="1" t="n">
        <v>45190.96158564815</v>
      </c>
      <c r="C1657" s="1" t="n">
        <v>45976</v>
      </c>
      <c r="D1657" t="inlineStr">
        <is>
          <t>JÄMTLANDS LÄN</t>
        </is>
      </c>
      <c r="E1657" t="inlineStr">
        <is>
          <t>BRÄCKE</t>
        </is>
      </c>
      <c r="F1657" t="inlineStr">
        <is>
          <t>SCA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34294-2025</t>
        </is>
      </c>
      <c r="B1658" s="1" t="n">
        <v>45846.34422453704</v>
      </c>
      <c r="C1658" s="1" t="n">
        <v>45976</v>
      </c>
      <c r="D1658" t="inlineStr">
        <is>
          <t>JÄMTLANDS LÄN</t>
        </is>
      </c>
      <c r="E1658" t="inlineStr">
        <is>
          <t>BRÄCKE</t>
        </is>
      </c>
      <c r="F1658" t="inlineStr">
        <is>
          <t>SCA</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34469-2025</t>
        </is>
      </c>
      <c r="B1659" s="1" t="n">
        <v>45847.34608796296</v>
      </c>
      <c r="C1659" s="1" t="n">
        <v>45976</v>
      </c>
      <c r="D1659" t="inlineStr">
        <is>
          <t>JÄMTLANDS LÄN</t>
        </is>
      </c>
      <c r="E1659" t="inlineStr">
        <is>
          <t>BRÄCKE</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38007-2024</t>
        </is>
      </c>
      <c r="B1660" s="1" t="n">
        <v>45544.62063657407</v>
      </c>
      <c r="C1660" s="1" t="n">
        <v>45976</v>
      </c>
      <c r="D1660" t="inlineStr">
        <is>
          <t>JÄMTLANDS LÄN</t>
        </is>
      </c>
      <c r="E1660" t="inlineStr">
        <is>
          <t>BRÄCKE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34322-2025</t>
        </is>
      </c>
      <c r="B1661" s="1" t="n">
        <v>45846.42747685185</v>
      </c>
      <c r="C1661" s="1" t="n">
        <v>45976</v>
      </c>
      <c r="D1661" t="inlineStr">
        <is>
          <t>JÄMTLANDS LÄN</t>
        </is>
      </c>
      <c r="E1661" t="inlineStr">
        <is>
          <t>BRÄCKE</t>
        </is>
      </c>
      <c r="F1661" t="inlineStr">
        <is>
          <t>SCA</t>
        </is>
      </c>
      <c r="G1661" t="n">
        <v>32.6</v>
      </c>
      <c r="H1661" t="n">
        <v>0</v>
      </c>
      <c r="I1661" t="n">
        <v>0</v>
      </c>
      <c r="J1661" t="n">
        <v>0</v>
      </c>
      <c r="K1661" t="n">
        <v>0</v>
      </c>
      <c r="L1661" t="n">
        <v>0</v>
      </c>
      <c r="M1661" t="n">
        <v>0</v>
      </c>
      <c r="N1661" t="n">
        <v>0</v>
      </c>
      <c r="O1661" t="n">
        <v>0</v>
      </c>
      <c r="P1661" t="n">
        <v>0</v>
      </c>
      <c r="Q1661" t="n">
        <v>0</v>
      </c>
      <c r="R1661" s="2" t="inlineStr"/>
    </row>
    <row r="1662" ht="15" customHeight="1">
      <c r="A1662" t="inlineStr">
        <is>
          <t>A 34613-2025</t>
        </is>
      </c>
      <c r="B1662" s="1" t="n">
        <v>45847.67751157407</v>
      </c>
      <c r="C1662" s="1" t="n">
        <v>45976</v>
      </c>
      <c r="D1662" t="inlineStr">
        <is>
          <t>JÄMTLANDS LÄN</t>
        </is>
      </c>
      <c r="E1662" t="inlineStr">
        <is>
          <t>BRÄCKE</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34614-2025</t>
        </is>
      </c>
      <c r="B1663" s="1" t="n">
        <v>45847.67768518518</v>
      </c>
      <c r="C1663" s="1" t="n">
        <v>45976</v>
      </c>
      <c r="D1663" t="inlineStr">
        <is>
          <t>JÄMTLANDS LÄN</t>
        </is>
      </c>
      <c r="E1663" t="inlineStr">
        <is>
          <t>BRÄCKE</t>
        </is>
      </c>
      <c r="F1663" t="inlineStr">
        <is>
          <t>SCA</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57069-2024</t>
        </is>
      </c>
      <c r="B1664" s="1" t="n">
        <v>45629.35391203704</v>
      </c>
      <c r="C1664" s="1" t="n">
        <v>45976</v>
      </c>
      <c r="D1664" t="inlineStr">
        <is>
          <t>JÄMTLANDS LÄN</t>
        </is>
      </c>
      <c r="E1664" t="inlineStr">
        <is>
          <t>BRÄCKE</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20803-2021</t>
        </is>
      </c>
      <c r="B1665" s="1" t="n">
        <v>44316</v>
      </c>
      <c r="C1665" s="1" t="n">
        <v>45976</v>
      </c>
      <c r="D1665" t="inlineStr">
        <is>
          <t>JÄMTLANDS LÄN</t>
        </is>
      </c>
      <c r="E1665" t="inlineStr">
        <is>
          <t>BRÄCKE</t>
        </is>
      </c>
      <c r="F1665" t="inlineStr">
        <is>
          <t>SCA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34518-2025</t>
        </is>
      </c>
      <c r="B1666" s="1" t="n">
        <v>45847.46910879629</v>
      </c>
      <c r="C1666" s="1" t="n">
        <v>45976</v>
      </c>
      <c r="D1666" t="inlineStr">
        <is>
          <t>JÄMTLANDS LÄN</t>
        </is>
      </c>
      <c r="E1666" t="inlineStr">
        <is>
          <t>BRÄCKE</t>
        </is>
      </c>
      <c r="F1666" t="inlineStr">
        <is>
          <t>SCA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10532-2022</t>
        </is>
      </c>
      <c r="B1667" s="1" t="n">
        <v>44623</v>
      </c>
      <c r="C1667" s="1" t="n">
        <v>45976</v>
      </c>
      <c r="D1667" t="inlineStr">
        <is>
          <t>JÄMTLANDS LÄN</t>
        </is>
      </c>
      <c r="E1667" t="inlineStr">
        <is>
          <t>BRÄCKE</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58728-2022</t>
        </is>
      </c>
      <c r="B1668" s="1" t="n">
        <v>44902</v>
      </c>
      <c r="C1668" s="1" t="n">
        <v>45976</v>
      </c>
      <c r="D1668" t="inlineStr">
        <is>
          <t>JÄMTLANDS LÄN</t>
        </is>
      </c>
      <c r="E1668" t="inlineStr">
        <is>
          <t>BRÄCKE</t>
        </is>
      </c>
      <c r="G1668" t="n">
        <v>21.5</v>
      </c>
      <c r="H1668" t="n">
        <v>0</v>
      </c>
      <c r="I1668" t="n">
        <v>0</v>
      </c>
      <c r="J1668" t="n">
        <v>0</v>
      </c>
      <c r="K1668" t="n">
        <v>0</v>
      </c>
      <c r="L1668" t="n">
        <v>0</v>
      </c>
      <c r="M1668" t="n">
        <v>0</v>
      </c>
      <c r="N1668" t="n">
        <v>0</v>
      </c>
      <c r="O1668" t="n">
        <v>0</v>
      </c>
      <c r="P1668" t="n">
        <v>0</v>
      </c>
      <c r="Q1668" t="n">
        <v>0</v>
      </c>
      <c r="R1668" s="2" t="inlineStr"/>
    </row>
    <row r="1669" ht="15" customHeight="1">
      <c r="A1669" t="inlineStr">
        <is>
          <t>A 45722-2024</t>
        </is>
      </c>
      <c r="B1669" s="1" t="n">
        <v>45579.59447916667</v>
      </c>
      <c r="C1669" s="1" t="n">
        <v>45976</v>
      </c>
      <c r="D1669" t="inlineStr">
        <is>
          <t>JÄMTLANDS LÄN</t>
        </is>
      </c>
      <c r="E1669" t="inlineStr">
        <is>
          <t>BRÄCKE</t>
        </is>
      </c>
      <c r="F1669" t="inlineStr">
        <is>
          <t>SCA</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34983-2025</t>
        </is>
      </c>
      <c r="B1670" s="1" t="n">
        <v>45849.71234953704</v>
      </c>
      <c r="C1670" s="1" t="n">
        <v>45976</v>
      </c>
      <c r="D1670" t="inlineStr">
        <is>
          <t>JÄMTLANDS LÄN</t>
        </is>
      </c>
      <c r="E1670" t="inlineStr">
        <is>
          <t>BRÄCKE</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34680-2025</t>
        </is>
      </c>
      <c r="B1671" s="1" t="n">
        <v>45848.42799768518</v>
      </c>
      <c r="C1671" s="1" t="n">
        <v>45976</v>
      </c>
      <c r="D1671" t="inlineStr">
        <is>
          <t>JÄMTLANDS LÄN</t>
        </is>
      </c>
      <c r="E1671" t="inlineStr">
        <is>
          <t>BRÄCKE</t>
        </is>
      </c>
      <c r="F1671" t="inlineStr">
        <is>
          <t>SCA</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17420-2024</t>
        </is>
      </c>
      <c r="B1672" s="1" t="n">
        <v>45414.96395833333</v>
      </c>
      <c r="C1672" s="1" t="n">
        <v>45976</v>
      </c>
      <c r="D1672" t="inlineStr">
        <is>
          <t>JÄMTLANDS LÄN</t>
        </is>
      </c>
      <c r="E1672" t="inlineStr">
        <is>
          <t>BRÄCKE</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34828-2025</t>
        </is>
      </c>
      <c r="B1673" s="1" t="n">
        <v>45849.38579861111</v>
      </c>
      <c r="C1673" s="1" t="n">
        <v>45976</v>
      </c>
      <c r="D1673" t="inlineStr">
        <is>
          <t>JÄMTLANDS LÄN</t>
        </is>
      </c>
      <c r="E1673" t="inlineStr">
        <is>
          <t>BRÄCKE</t>
        </is>
      </c>
      <c r="F1673" t="inlineStr">
        <is>
          <t>SCA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34746-2025</t>
        </is>
      </c>
      <c r="B1674" s="1" t="n">
        <v>45848.61505787037</v>
      </c>
      <c r="C1674" s="1" t="n">
        <v>45976</v>
      </c>
      <c r="D1674" t="inlineStr">
        <is>
          <t>JÄMTLANDS LÄN</t>
        </is>
      </c>
      <c r="E1674" t="inlineStr">
        <is>
          <t>BRÄCKE</t>
        </is>
      </c>
      <c r="F1674" t="inlineStr">
        <is>
          <t>SCA</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34648-2025</t>
        </is>
      </c>
      <c r="B1675" s="1" t="n">
        <v>45848.34487268519</v>
      </c>
      <c r="C1675" s="1" t="n">
        <v>45976</v>
      </c>
      <c r="D1675" t="inlineStr">
        <is>
          <t>JÄMTLANDS LÄN</t>
        </is>
      </c>
      <c r="E1675" t="inlineStr">
        <is>
          <t>BRÄCKE</t>
        </is>
      </c>
      <c r="F1675" t="inlineStr">
        <is>
          <t>SCA</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34783-2025</t>
        </is>
      </c>
      <c r="B1676" s="1" t="n">
        <v>45848.67740740741</v>
      </c>
      <c r="C1676" s="1" t="n">
        <v>45976</v>
      </c>
      <c r="D1676" t="inlineStr">
        <is>
          <t>JÄMTLANDS LÄN</t>
        </is>
      </c>
      <c r="E1676" t="inlineStr">
        <is>
          <t>BRÄCKE</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34773-2025</t>
        </is>
      </c>
      <c r="B1677" s="1" t="n">
        <v>45848.65672453704</v>
      </c>
      <c r="C1677" s="1" t="n">
        <v>45976</v>
      </c>
      <c r="D1677" t="inlineStr">
        <is>
          <t>JÄMTLANDS LÄN</t>
        </is>
      </c>
      <c r="E1677" t="inlineStr">
        <is>
          <t>BRÄCKE</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26458-2022</t>
        </is>
      </c>
      <c r="B1678" s="1" t="n">
        <v>44739.34201388889</v>
      </c>
      <c r="C1678" s="1" t="n">
        <v>45976</v>
      </c>
      <c r="D1678" t="inlineStr">
        <is>
          <t>JÄMTLANDS LÄN</t>
        </is>
      </c>
      <c r="E1678" t="inlineStr">
        <is>
          <t>BRÄCKE</t>
        </is>
      </c>
      <c r="G1678" t="n">
        <v>9.300000000000001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34912-2025</t>
        </is>
      </c>
      <c r="B1679" s="1" t="n">
        <v>45849.5378587963</v>
      </c>
      <c r="C1679" s="1" t="n">
        <v>45976</v>
      </c>
      <c r="D1679" t="inlineStr">
        <is>
          <t>JÄMTLANDS LÄN</t>
        </is>
      </c>
      <c r="E1679" t="inlineStr">
        <is>
          <t>BRÄCKE</t>
        </is>
      </c>
      <c r="F1679" t="inlineStr">
        <is>
          <t>Sveaskog</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61973-2024</t>
        </is>
      </c>
      <c r="B1680" s="1" t="n">
        <v>45653.61484953704</v>
      </c>
      <c r="C1680" s="1" t="n">
        <v>45976</v>
      </c>
      <c r="D1680" t="inlineStr">
        <is>
          <t>JÄMTLANDS LÄN</t>
        </is>
      </c>
      <c r="E1680" t="inlineStr">
        <is>
          <t>BRÄCKE</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64034-2023</t>
        </is>
      </c>
      <c r="B1681" s="1" t="n">
        <v>45278.94321759259</v>
      </c>
      <c r="C1681" s="1" t="n">
        <v>45976</v>
      </c>
      <c r="D1681" t="inlineStr">
        <is>
          <t>JÄMTLANDS LÄN</t>
        </is>
      </c>
      <c r="E1681" t="inlineStr">
        <is>
          <t>BRÄCKE</t>
        </is>
      </c>
      <c r="F1681" t="inlineStr">
        <is>
          <t>SCA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34786-2025</t>
        </is>
      </c>
      <c r="B1682" s="1" t="n">
        <v>45848.67784722222</v>
      </c>
      <c r="C1682" s="1" t="n">
        <v>45976</v>
      </c>
      <c r="D1682" t="inlineStr">
        <is>
          <t>JÄMTLANDS LÄN</t>
        </is>
      </c>
      <c r="E1682" t="inlineStr">
        <is>
          <t>BRÄCKE</t>
        </is>
      </c>
      <c r="F1682" t="inlineStr">
        <is>
          <t>SCA</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13554-2024</t>
        </is>
      </c>
      <c r="B1683" s="1" t="n">
        <v>45387</v>
      </c>
      <c r="C1683" s="1" t="n">
        <v>45976</v>
      </c>
      <c r="D1683" t="inlineStr">
        <is>
          <t>JÄMTLANDS LÄN</t>
        </is>
      </c>
      <c r="E1683" t="inlineStr">
        <is>
          <t>BRÄCKE</t>
        </is>
      </c>
      <c r="F1683" t="inlineStr">
        <is>
          <t>SCA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12640-2025</t>
        </is>
      </c>
      <c r="B1684" s="1" t="n">
        <v>45733.38606481482</v>
      </c>
      <c r="C1684" s="1" t="n">
        <v>45976</v>
      </c>
      <c r="D1684" t="inlineStr">
        <is>
          <t>JÄMTLANDS LÄN</t>
        </is>
      </c>
      <c r="E1684" t="inlineStr">
        <is>
          <t>BRÄCKE</t>
        </is>
      </c>
      <c r="F1684" t="inlineStr">
        <is>
          <t>SCA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35060-2025</t>
        </is>
      </c>
      <c r="B1685" s="1" t="n">
        <v>45852.42747685185</v>
      </c>
      <c r="C1685" s="1" t="n">
        <v>45976</v>
      </c>
      <c r="D1685" t="inlineStr">
        <is>
          <t>JÄMTLANDS LÄN</t>
        </is>
      </c>
      <c r="E1685" t="inlineStr">
        <is>
          <t>BRÄCKE</t>
        </is>
      </c>
      <c r="F1685" t="inlineStr">
        <is>
          <t>SCA</t>
        </is>
      </c>
      <c r="G1685" t="n">
        <v>9.5</v>
      </c>
      <c r="H1685" t="n">
        <v>0</v>
      </c>
      <c r="I1685" t="n">
        <v>0</v>
      </c>
      <c r="J1685" t="n">
        <v>0</v>
      </c>
      <c r="K1685" t="n">
        <v>0</v>
      </c>
      <c r="L1685" t="n">
        <v>0</v>
      </c>
      <c r="M1685" t="n">
        <v>0</v>
      </c>
      <c r="N1685" t="n">
        <v>0</v>
      </c>
      <c r="O1685" t="n">
        <v>0</v>
      </c>
      <c r="P1685" t="n">
        <v>0</v>
      </c>
      <c r="Q1685" t="n">
        <v>0</v>
      </c>
      <c r="R1685" s="2" t="inlineStr"/>
    </row>
    <row r="1686" ht="15" customHeight="1">
      <c r="A1686" t="inlineStr">
        <is>
          <t>A 41552-2024</t>
        </is>
      </c>
      <c r="B1686" s="1" t="n">
        <v>45560.51988425926</v>
      </c>
      <c r="C1686" s="1" t="n">
        <v>45976</v>
      </c>
      <c r="D1686" t="inlineStr">
        <is>
          <t>JÄMTLANDS LÄN</t>
        </is>
      </c>
      <c r="E1686" t="inlineStr">
        <is>
          <t>BRÄCKE</t>
        </is>
      </c>
      <c r="F1686" t="inlineStr">
        <is>
          <t>Övriga Aktiebolag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24718-2022</t>
        </is>
      </c>
      <c r="B1687" s="1" t="n">
        <v>44727.94221064815</v>
      </c>
      <c r="C1687" s="1" t="n">
        <v>45976</v>
      </c>
      <c r="D1687" t="inlineStr">
        <is>
          <t>JÄMTLANDS LÄN</t>
        </is>
      </c>
      <c r="E1687" t="inlineStr">
        <is>
          <t>BRÄCKE</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24726-2022</t>
        </is>
      </c>
      <c r="B1688" s="1" t="n">
        <v>44727</v>
      </c>
      <c r="C1688" s="1" t="n">
        <v>45976</v>
      </c>
      <c r="D1688" t="inlineStr">
        <is>
          <t>JÄMTLANDS LÄN</t>
        </is>
      </c>
      <c r="E1688" t="inlineStr">
        <is>
          <t>BRÄCKE</t>
        </is>
      </c>
      <c r="F1688" t="inlineStr">
        <is>
          <t>SCA</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35244-2021</t>
        </is>
      </c>
      <c r="B1689" s="1" t="n">
        <v>44384.58844907407</v>
      </c>
      <c r="C1689" s="1" t="n">
        <v>45976</v>
      </c>
      <c r="D1689" t="inlineStr">
        <is>
          <t>JÄMTLANDS LÄN</t>
        </is>
      </c>
      <c r="E1689" t="inlineStr">
        <is>
          <t>BRÄCKE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29107-2025</t>
        </is>
      </c>
      <c r="B1690" s="1" t="n">
        <v>45821.58030092593</v>
      </c>
      <c r="C1690" s="1" t="n">
        <v>45976</v>
      </c>
      <c r="D1690" t="inlineStr">
        <is>
          <t>JÄMTLANDS LÄN</t>
        </is>
      </c>
      <c r="E1690" t="inlineStr">
        <is>
          <t>BRÄCKE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53152-2024</t>
        </is>
      </c>
      <c r="B1691" s="1" t="n">
        <v>45611.62123842593</v>
      </c>
      <c r="C1691" s="1" t="n">
        <v>45976</v>
      </c>
      <c r="D1691" t="inlineStr">
        <is>
          <t>JÄMTLANDS LÄN</t>
        </is>
      </c>
      <c r="E1691" t="inlineStr">
        <is>
          <t>BRÄCKE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35229-2025</t>
        </is>
      </c>
      <c r="B1692" s="1" t="n">
        <v>45853.59420138889</v>
      </c>
      <c r="C1692" s="1" t="n">
        <v>45976</v>
      </c>
      <c r="D1692" t="inlineStr">
        <is>
          <t>JÄMTLANDS LÄN</t>
        </is>
      </c>
      <c r="E1692" t="inlineStr">
        <is>
          <t>BRÄCKE</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38336-2024</t>
        </is>
      </c>
      <c r="B1693" s="1" t="n">
        <v>45545.68386574074</v>
      </c>
      <c r="C1693" s="1" t="n">
        <v>45976</v>
      </c>
      <c r="D1693" t="inlineStr">
        <is>
          <t>JÄMTLANDS LÄN</t>
        </is>
      </c>
      <c r="E1693" t="inlineStr">
        <is>
          <t>BRÄCKE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35325-2025</t>
        </is>
      </c>
      <c r="B1694" s="1" t="n">
        <v>45854.52606481482</v>
      </c>
      <c r="C1694" s="1" t="n">
        <v>45976</v>
      </c>
      <c r="D1694" t="inlineStr">
        <is>
          <t>JÄMTLANDS LÄN</t>
        </is>
      </c>
      <c r="E1694" t="inlineStr">
        <is>
          <t>BRÄCKE</t>
        </is>
      </c>
      <c r="F1694" t="inlineStr">
        <is>
          <t>Sveaskog</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3248-2025</t>
        </is>
      </c>
      <c r="B1695" s="1" t="n">
        <v>45679.53173611111</v>
      </c>
      <c r="C1695" s="1" t="n">
        <v>45976</v>
      </c>
      <c r="D1695" t="inlineStr">
        <is>
          <t>JÄMTLANDS LÄN</t>
        </is>
      </c>
      <c r="E1695" t="inlineStr">
        <is>
          <t>BRÄCKE</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35324-2025</t>
        </is>
      </c>
      <c r="B1696" s="1" t="n">
        <v>45854.51079861111</v>
      </c>
      <c r="C1696" s="1" t="n">
        <v>45976</v>
      </c>
      <c r="D1696" t="inlineStr">
        <is>
          <t>JÄMTLANDS LÄN</t>
        </is>
      </c>
      <c r="E1696" t="inlineStr">
        <is>
          <t>BRÄCKE</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35326-2025</t>
        </is>
      </c>
      <c r="B1697" s="1" t="n">
        <v>45854.52724537037</v>
      </c>
      <c r="C1697" s="1" t="n">
        <v>45976</v>
      </c>
      <c r="D1697" t="inlineStr">
        <is>
          <t>JÄMTLANDS LÄN</t>
        </is>
      </c>
      <c r="E1697" t="inlineStr">
        <is>
          <t>BRÄCKE</t>
        </is>
      </c>
      <c r="F1697" t="inlineStr">
        <is>
          <t>Sveaskog</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4365-2023</t>
        </is>
      </c>
      <c r="B1698" s="1" t="n">
        <v>44954</v>
      </c>
      <c r="C1698" s="1" t="n">
        <v>45976</v>
      </c>
      <c r="D1698" t="inlineStr">
        <is>
          <t>JÄMTLANDS LÄN</t>
        </is>
      </c>
      <c r="E1698" t="inlineStr">
        <is>
          <t>BRÄCKE</t>
        </is>
      </c>
      <c r="F1698" t="inlineStr">
        <is>
          <t>SCA</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51821-2023</t>
        </is>
      </c>
      <c r="B1699" s="1" t="n">
        <v>45222</v>
      </c>
      <c r="C1699" s="1" t="n">
        <v>45976</v>
      </c>
      <c r="D1699" t="inlineStr">
        <is>
          <t>JÄMTLANDS LÄN</t>
        </is>
      </c>
      <c r="E1699" t="inlineStr">
        <is>
          <t>BRÄCKE</t>
        </is>
      </c>
      <c r="F1699" t="inlineStr">
        <is>
          <t>SCA</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35445-2025</t>
        </is>
      </c>
      <c r="B1700" s="1" t="n">
        <v>45855.53196759259</v>
      </c>
      <c r="C1700" s="1" t="n">
        <v>45976</v>
      </c>
      <c r="D1700" t="inlineStr">
        <is>
          <t>JÄMTLANDS LÄN</t>
        </is>
      </c>
      <c r="E1700" t="inlineStr">
        <is>
          <t>BRÄCKE</t>
        </is>
      </c>
      <c r="F1700" t="inlineStr">
        <is>
          <t>SCA</t>
        </is>
      </c>
      <c r="G1700" t="n">
        <v>10</v>
      </c>
      <c r="H1700" t="n">
        <v>0</v>
      </c>
      <c r="I1700" t="n">
        <v>0</v>
      </c>
      <c r="J1700" t="n">
        <v>0</v>
      </c>
      <c r="K1700" t="n">
        <v>0</v>
      </c>
      <c r="L1700" t="n">
        <v>0</v>
      </c>
      <c r="M1700" t="n">
        <v>0</v>
      </c>
      <c r="N1700" t="n">
        <v>0</v>
      </c>
      <c r="O1700" t="n">
        <v>0</v>
      </c>
      <c r="P1700" t="n">
        <v>0</v>
      </c>
      <c r="Q1700" t="n">
        <v>0</v>
      </c>
      <c r="R1700" s="2" t="inlineStr"/>
    </row>
    <row r="1701" ht="15" customHeight="1">
      <c r="A1701" t="inlineStr">
        <is>
          <t>A 35327-2025</t>
        </is>
      </c>
      <c r="B1701" s="1" t="n">
        <v>45854.5283449074</v>
      </c>
      <c r="C1701" s="1" t="n">
        <v>45976</v>
      </c>
      <c r="D1701" t="inlineStr">
        <is>
          <t>JÄMTLANDS LÄN</t>
        </is>
      </c>
      <c r="E1701" t="inlineStr">
        <is>
          <t>BRÄCKE</t>
        </is>
      </c>
      <c r="F1701" t="inlineStr">
        <is>
          <t>Sveaskog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35331-2025</t>
        </is>
      </c>
      <c r="B1702" s="1" t="n">
        <v>45854.57344907407</v>
      </c>
      <c r="C1702" s="1" t="n">
        <v>45976</v>
      </c>
      <c r="D1702" t="inlineStr">
        <is>
          <t>JÄMTLANDS LÄN</t>
        </is>
      </c>
      <c r="E1702" t="inlineStr">
        <is>
          <t>BRÄCKE</t>
        </is>
      </c>
      <c r="F1702" t="inlineStr">
        <is>
          <t>SCA</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42480-2024</t>
        </is>
      </c>
      <c r="B1703" s="1" t="n">
        <v>45565.49185185185</v>
      </c>
      <c r="C1703" s="1" t="n">
        <v>45976</v>
      </c>
      <c r="D1703" t="inlineStr">
        <is>
          <t>JÄMTLANDS LÄN</t>
        </is>
      </c>
      <c r="E1703" t="inlineStr">
        <is>
          <t>BRÄCKE</t>
        </is>
      </c>
      <c r="F1703" t="inlineStr">
        <is>
          <t>Kyrkan</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15944-2025</t>
        </is>
      </c>
      <c r="B1704" s="1" t="n">
        <v>45749.48545138889</v>
      </c>
      <c r="C1704" s="1" t="n">
        <v>45976</v>
      </c>
      <c r="D1704" t="inlineStr">
        <is>
          <t>JÄMTLANDS LÄN</t>
        </is>
      </c>
      <c r="E1704" t="inlineStr">
        <is>
          <t>BRÄCKE</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35642-2025</t>
        </is>
      </c>
      <c r="B1705" s="1" t="n">
        <v>45859.48991898148</v>
      </c>
      <c r="C1705" s="1" t="n">
        <v>45976</v>
      </c>
      <c r="D1705" t="inlineStr">
        <is>
          <t>JÄMTLANDS LÄN</t>
        </is>
      </c>
      <c r="E1705" t="inlineStr">
        <is>
          <t>BRÄCKE</t>
        </is>
      </c>
      <c r="F1705" t="inlineStr">
        <is>
          <t>SCA</t>
        </is>
      </c>
      <c r="G1705" t="n">
        <v>14.3</v>
      </c>
      <c r="H1705" t="n">
        <v>0</v>
      </c>
      <c r="I1705" t="n">
        <v>0</v>
      </c>
      <c r="J1705" t="n">
        <v>0</v>
      </c>
      <c r="K1705" t="n">
        <v>0</v>
      </c>
      <c r="L1705" t="n">
        <v>0</v>
      </c>
      <c r="M1705" t="n">
        <v>0</v>
      </c>
      <c r="N1705" t="n">
        <v>0</v>
      </c>
      <c r="O1705" t="n">
        <v>0</v>
      </c>
      <c r="P1705" t="n">
        <v>0</v>
      </c>
      <c r="Q1705" t="n">
        <v>0</v>
      </c>
      <c r="R1705" s="2" t="inlineStr"/>
    </row>
    <row r="1706" ht="15" customHeight="1">
      <c r="A1706" t="inlineStr">
        <is>
          <t>A 35668-2025</t>
        </is>
      </c>
      <c r="B1706" s="1" t="n">
        <v>45859.61552083334</v>
      </c>
      <c r="C1706" s="1" t="n">
        <v>45976</v>
      </c>
      <c r="D1706" t="inlineStr">
        <is>
          <t>JÄMTLANDS LÄN</t>
        </is>
      </c>
      <c r="E1706" t="inlineStr">
        <is>
          <t>BRÄCKE</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28796-2023</t>
        </is>
      </c>
      <c r="B1707" s="1" t="n">
        <v>45096</v>
      </c>
      <c r="C1707" s="1" t="n">
        <v>45976</v>
      </c>
      <c r="D1707" t="inlineStr">
        <is>
          <t>JÄMTLANDS LÄN</t>
        </is>
      </c>
      <c r="E1707" t="inlineStr">
        <is>
          <t>BRÄCKE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20513-2024</t>
        </is>
      </c>
      <c r="B1708" s="1" t="n">
        <v>45435.94380787037</v>
      </c>
      <c r="C1708" s="1" t="n">
        <v>45976</v>
      </c>
      <c r="D1708" t="inlineStr">
        <is>
          <t>JÄMTLANDS LÄN</t>
        </is>
      </c>
      <c r="E1708" t="inlineStr">
        <is>
          <t>BRÄCKE</t>
        </is>
      </c>
      <c r="F1708" t="inlineStr">
        <is>
          <t>SCA</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35731-2025</t>
        </is>
      </c>
      <c r="B1709" s="1" t="n">
        <v>45860.46923611111</v>
      </c>
      <c r="C1709" s="1" t="n">
        <v>45976</v>
      </c>
      <c r="D1709" t="inlineStr">
        <is>
          <t>JÄMTLANDS LÄN</t>
        </is>
      </c>
      <c r="E1709" t="inlineStr">
        <is>
          <t>BRÄCKE</t>
        </is>
      </c>
      <c r="F1709" t="inlineStr">
        <is>
          <t>SCA</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51042-2023</t>
        </is>
      </c>
      <c r="B1710" s="1" t="n">
        <v>45218.62233796297</v>
      </c>
      <c r="C1710" s="1" t="n">
        <v>45976</v>
      </c>
      <c r="D1710" t="inlineStr">
        <is>
          <t>JÄMTLANDS LÄN</t>
        </is>
      </c>
      <c r="E1710" t="inlineStr">
        <is>
          <t>BRÄCKE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35712-2025</t>
        </is>
      </c>
      <c r="B1711" s="1" t="n">
        <v>45860.40660879629</v>
      </c>
      <c r="C1711" s="1" t="n">
        <v>45976</v>
      </c>
      <c r="D1711" t="inlineStr">
        <is>
          <t>JÄMTLANDS LÄN</t>
        </is>
      </c>
      <c r="E1711" t="inlineStr">
        <is>
          <t>BRÄCKE</t>
        </is>
      </c>
      <c r="F1711" t="inlineStr">
        <is>
          <t>SCA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36497-2023</t>
        </is>
      </c>
      <c r="B1712" s="1" t="n">
        <v>45152</v>
      </c>
      <c r="C1712" s="1" t="n">
        <v>45976</v>
      </c>
      <c r="D1712" t="inlineStr">
        <is>
          <t>JÄMTLANDS LÄN</t>
        </is>
      </c>
      <c r="E1712" t="inlineStr">
        <is>
          <t>BRÄCKE</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26444-2022</t>
        </is>
      </c>
      <c r="B1713" s="1" t="n">
        <v>44738.93929398148</v>
      </c>
      <c r="C1713" s="1" t="n">
        <v>45976</v>
      </c>
      <c r="D1713" t="inlineStr">
        <is>
          <t>JÄMTLANDS LÄN</t>
        </is>
      </c>
      <c r="E1713" t="inlineStr">
        <is>
          <t>BRÄCKE</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35880-2025</t>
        </is>
      </c>
      <c r="B1714" s="1" t="n">
        <v>45862.38334490741</v>
      </c>
      <c r="C1714" s="1" t="n">
        <v>45976</v>
      </c>
      <c r="D1714" t="inlineStr">
        <is>
          <t>JÄMTLANDS LÄN</t>
        </is>
      </c>
      <c r="E1714" t="inlineStr">
        <is>
          <t>BRÄCKE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35906-2025</t>
        </is>
      </c>
      <c r="B1715" s="1" t="n">
        <v>45862.51081018519</v>
      </c>
      <c r="C1715" s="1" t="n">
        <v>45976</v>
      </c>
      <c r="D1715" t="inlineStr">
        <is>
          <t>JÄMTLANDS LÄN</t>
        </is>
      </c>
      <c r="E1715" t="inlineStr">
        <is>
          <t>BRÄCKE</t>
        </is>
      </c>
      <c r="F1715" t="inlineStr">
        <is>
          <t>SCA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35879-2025</t>
        </is>
      </c>
      <c r="B1716" s="1" t="n">
        <v>45862.37929398148</v>
      </c>
      <c r="C1716" s="1" t="n">
        <v>45976</v>
      </c>
      <c r="D1716" t="inlineStr">
        <is>
          <t>JÄMTLANDS LÄN</t>
        </is>
      </c>
      <c r="E1716" t="inlineStr">
        <is>
          <t>BRÄCKE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35908-2025</t>
        </is>
      </c>
      <c r="B1717" s="1" t="n">
        <v>45862.51113425926</v>
      </c>
      <c r="C1717" s="1" t="n">
        <v>45976</v>
      </c>
      <c r="D1717" t="inlineStr">
        <is>
          <t>JÄMTLANDS LÄN</t>
        </is>
      </c>
      <c r="E1717" t="inlineStr">
        <is>
          <t>BRÄCKE</t>
        </is>
      </c>
      <c r="F1717" t="inlineStr">
        <is>
          <t>SCA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22980-2024</t>
        </is>
      </c>
      <c r="B1718" s="1" t="n">
        <v>45449.90008101852</v>
      </c>
      <c r="C1718" s="1" t="n">
        <v>45976</v>
      </c>
      <c r="D1718" t="inlineStr">
        <is>
          <t>JÄMTLANDS LÄN</t>
        </is>
      </c>
      <c r="E1718" t="inlineStr">
        <is>
          <t>BRÄCKE</t>
        </is>
      </c>
      <c r="G1718" t="n">
        <v>8.800000000000001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57605-2024</t>
        </is>
      </c>
      <c r="B1719" s="1" t="n">
        <v>45630.53201388889</v>
      </c>
      <c r="C1719" s="1" t="n">
        <v>45976</v>
      </c>
      <c r="D1719" t="inlineStr">
        <is>
          <t>JÄMTLANDS LÄN</t>
        </is>
      </c>
      <c r="E1719" t="inlineStr">
        <is>
          <t>BRÄCKE</t>
        </is>
      </c>
      <c r="F1719" t="inlineStr">
        <is>
          <t>SCA</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60870-2023</t>
        </is>
      </c>
      <c r="B1720" s="1" t="n">
        <v>45260.96667824074</v>
      </c>
      <c r="C1720" s="1" t="n">
        <v>45976</v>
      </c>
      <c r="D1720" t="inlineStr">
        <is>
          <t>JÄMTLANDS LÄN</t>
        </is>
      </c>
      <c r="E1720" t="inlineStr">
        <is>
          <t>BRÄCKE</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38943-2024</t>
        </is>
      </c>
      <c r="B1721" s="1" t="n">
        <v>45548.34490740741</v>
      </c>
      <c r="C1721" s="1" t="n">
        <v>45976</v>
      </c>
      <c r="D1721" t="inlineStr">
        <is>
          <t>JÄMTLANDS LÄN</t>
        </is>
      </c>
      <c r="E1721" t="inlineStr">
        <is>
          <t>BRÄCKE</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36223-2025</t>
        </is>
      </c>
      <c r="B1722" s="1" t="n">
        <v>45867.51101851852</v>
      </c>
      <c r="C1722" s="1" t="n">
        <v>45976</v>
      </c>
      <c r="D1722" t="inlineStr">
        <is>
          <t>JÄMTLANDS LÄN</t>
        </is>
      </c>
      <c r="E1722" t="inlineStr">
        <is>
          <t>BRÄCKE</t>
        </is>
      </c>
      <c r="F1722" t="inlineStr">
        <is>
          <t>SCA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30487-2024</t>
        </is>
      </c>
      <c r="B1723" s="1" t="n">
        <v>45491.95027777777</v>
      </c>
      <c r="C1723" s="1" t="n">
        <v>45976</v>
      </c>
      <c r="D1723" t="inlineStr">
        <is>
          <t>JÄMTLANDS LÄN</t>
        </is>
      </c>
      <c r="E1723" t="inlineStr">
        <is>
          <t>BRÄCKE</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36034-2025</t>
        </is>
      </c>
      <c r="B1724" s="1" t="n">
        <v>45865.64755787037</v>
      </c>
      <c r="C1724" s="1" t="n">
        <v>45976</v>
      </c>
      <c r="D1724" t="inlineStr">
        <is>
          <t>JÄMTLANDS LÄN</t>
        </is>
      </c>
      <c r="E1724" t="inlineStr">
        <is>
          <t>BRÄCKE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48080-2023</t>
        </is>
      </c>
      <c r="B1725" s="1" t="n">
        <v>45204.94569444445</v>
      </c>
      <c r="C1725" s="1" t="n">
        <v>45976</v>
      </c>
      <c r="D1725" t="inlineStr">
        <is>
          <t>JÄMTLANDS LÄN</t>
        </is>
      </c>
      <c r="E1725" t="inlineStr">
        <is>
          <t>BRÄCKE</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35252-2021</t>
        </is>
      </c>
      <c r="B1726" s="1" t="n">
        <v>44384.59356481482</v>
      </c>
      <c r="C1726" s="1" t="n">
        <v>45976</v>
      </c>
      <c r="D1726" t="inlineStr">
        <is>
          <t>JÄMTLANDS LÄN</t>
        </is>
      </c>
      <c r="E1726" t="inlineStr">
        <is>
          <t>BRÄCKE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25718-2024</t>
        </is>
      </c>
      <c r="B1727" s="1" t="n">
        <v>45463.94467592592</v>
      </c>
      <c r="C1727" s="1" t="n">
        <v>45976</v>
      </c>
      <c r="D1727" t="inlineStr">
        <is>
          <t>JÄMTLANDS LÄN</t>
        </is>
      </c>
      <c r="E1727" t="inlineStr">
        <is>
          <t>BRÄCKE</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36222-2025</t>
        </is>
      </c>
      <c r="B1728" s="1" t="n">
        <v>45867.51087962963</v>
      </c>
      <c r="C1728" s="1" t="n">
        <v>45976</v>
      </c>
      <c r="D1728" t="inlineStr">
        <is>
          <t>JÄMTLANDS LÄN</t>
        </is>
      </c>
      <c r="E1728" t="inlineStr">
        <is>
          <t>BRÄCKE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36169-2025</t>
        </is>
      </c>
      <c r="B1729" s="1" t="n">
        <v>45867.38596064815</v>
      </c>
      <c r="C1729" s="1" t="n">
        <v>45976</v>
      </c>
      <c r="D1729" t="inlineStr">
        <is>
          <t>JÄMTLANDS LÄN</t>
        </is>
      </c>
      <c r="E1729" t="inlineStr">
        <is>
          <t>BRÄCKE</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36508-2025</t>
        </is>
      </c>
      <c r="B1730" s="1" t="n">
        <v>45869.57351851852</v>
      </c>
      <c r="C1730" s="1" t="n">
        <v>45976</v>
      </c>
      <c r="D1730" t="inlineStr">
        <is>
          <t>JÄMTLANDS LÄN</t>
        </is>
      </c>
      <c r="E1730" t="inlineStr">
        <is>
          <t>BRÄCKE</t>
        </is>
      </c>
      <c r="F1730" t="inlineStr">
        <is>
          <t>SCA</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56493-2024</t>
        </is>
      </c>
      <c r="B1731" s="1" t="n">
        <v>45625.49034722222</v>
      </c>
      <c r="C1731" s="1" t="n">
        <v>45976</v>
      </c>
      <c r="D1731" t="inlineStr">
        <is>
          <t>JÄMTLANDS LÄN</t>
        </is>
      </c>
      <c r="E1731" t="inlineStr">
        <is>
          <t>BRÄCKE</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31566-2024</t>
        </is>
      </c>
      <c r="B1732" s="1" t="n">
        <v>45505.96675925926</v>
      </c>
      <c r="C1732" s="1" t="n">
        <v>45976</v>
      </c>
      <c r="D1732" t="inlineStr">
        <is>
          <t>JÄMTLANDS LÄN</t>
        </is>
      </c>
      <c r="E1732" t="inlineStr">
        <is>
          <t>BRÄCKE</t>
        </is>
      </c>
      <c r="F1732" t="inlineStr">
        <is>
          <t>SCA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14510-2025</t>
        </is>
      </c>
      <c r="B1733" s="1" t="n">
        <v>45741.63628472222</v>
      </c>
      <c r="C1733" s="1" t="n">
        <v>45976</v>
      </c>
      <c r="D1733" t="inlineStr">
        <is>
          <t>JÄMTLANDS LÄN</t>
        </is>
      </c>
      <c r="E1733" t="inlineStr">
        <is>
          <t>BRÄCKE</t>
        </is>
      </c>
      <c r="F1733" t="inlineStr">
        <is>
          <t>SCA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14511-2025</t>
        </is>
      </c>
      <c r="B1734" s="1" t="n">
        <v>45741.63643518519</v>
      </c>
      <c r="C1734" s="1" t="n">
        <v>45976</v>
      </c>
      <c r="D1734" t="inlineStr">
        <is>
          <t>JÄMTLANDS LÄN</t>
        </is>
      </c>
      <c r="E1734" t="inlineStr">
        <is>
          <t>BRÄCKE</t>
        </is>
      </c>
      <c r="F1734" t="inlineStr">
        <is>
          <t>SCA</t>
        </is>
      </c>
      <c r="G1734" t="n">
        <v>19.5</v>
      </c>
      <c r="H1734" t="n">
        <v>0</v>
      </c>
      <c r="I1734" t="n">
        <v>0</v>
      </c>
      <c r="J1734" t="n">
        <v>0</v>
      </c>
      <c r="K1734" t="n">
        <v>0</v>
      </c>
      <c r="L1734" t="n">
        <v>0</v>
      </c>
      <c r="M1734" t="n">
        <v>0</v>
      </c>
      <c r="N1734" t="n">
        <v>0</v>
      </c>
      <c r="O1734" t="n">
        <v>0</v>
      </c>
      <c r="P1734" t="n">
        <v>0</v>
      </c>
      <c r="Q1734" t="n">
        <v>0</v>
      </c>
      <c r="R1734" s="2" t="inlineStr"/>
    </row>
    <row r="1735" ht="15" customHeight="1">
      <c r="A1735" t="inlineStr">
        <is>
          <t>A 36507-2025</t>
        </is>
      </c>
      <c r="B1735" s="1" t="n">
        <v>45869.57335648148</v>
      </c>
      <c r="C1735" s="1" t="n">
        <v>45976</v>
      </c>
      <c r="D1735" t="inlineStr">
        <is>
          <t>JÄMTLANDS LÄN</t>
        </is>
      </c>
      <c r="E1735" t="inlineStr">
        <is>
          <t>BRÄCKE</t>
        </is>
      </c>
      <c r="F1735" t="inlineStr">
        <is>
          <t>SCA</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36386-2025</t>
        </is>
      </c>
      <c r="B1736" s="1" t="n">
        <v>45868.59412037037</v>
      </c>
      <c r="C1736" s="1" t="n">
        <v>45976</v>
      </c>
      <c r="D1736" t="inlineStr">
        <is>
          <t>JÄMTLANDS LÄN</t>
        </is>
      </c>
      <c r="E1736" t="inlineStr">
        <is>
          <t>BRÄCKE</t>
        </is>
      </c>
      <c r="F1736" t="inlineStr">
        <is>
          <t>SCA</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11830-2024</t>
        </is>
      </c>
      <c r="B1737" s="1" t="n">
        <v>45376.35451388889</v>
      </c>
      <c r="C1737" s="1" t="n">
        <v>45976</v>
      </c>
      <c r="D1737" t="inlineStr">
        <is>
          <t>JÄMTLANDS LÄN</t>
        </is>
      </c>
      <c r="E1737" t="inlineStr">
        <is>
          <t>BRÄCKE</t>
        </is>
      </c>
      <c r="G1737" t="n">
        <v>18.3</v>
      </c>
      <c r="H1737" t="n">
        <v>0</v>
      </c>
      <c r="I1737" t="n">
        <v>0</v>
      </c>
      <c r="J1737" t="n">
        <v>0</v>
      </c>
      <c r="K1737" t="n">
        <v>0</v>
      </c>
      <c r="L1737" t="n">
        <v>0</v>
      </c>
      <c r="M1737" t="n">
        <v>0</v>
      </c>
      <c r="N1737" t="n">
        <v>0</v>
      </c>
      <c r="O1737" t="n">
        <v>0</v>
      </c>
      <c r="P1737" t="n">
        <v>0</v>
      </c>
      <c r="Q1737" t="n">
        <v>0</v>
      </c>
      <c r="R1737" s="2" t="inlineStr"/>
    </row>
    <row r="1738" ht="15" customHeight="1">
      <c r="A1738" t="inlineStr">
        <is>
          <t>A 36311-2025</t>
        </is>
      </c>
      <c r="B1738" s="1" t="n">
        <v>45868.34434027778</v>
      </c>
      <c r="C1738" s="1" t="n">
        <v>45976</v>
      </c>
      <c r="D1738" t="inlineStr">
        <is>
          <t>JÄMTLANDS LÄN</t>
        </is>
      </c>
      <c r="E1738" t="inlineStr">
        <is>
          <t>BRÄCKE</t>
        </is>
      </c>
      <c r="F1738" t="inlineStr">
        <is>
          <t>SCA</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60325-2021</t>
        </is>
      </c>
      <c r="B1739" s="1" t="n">
        <v>44495.94054398148</v>
      </c>
      <c r="C1739" s="1" t="n">
        <v>45976</v>
      </c>
      <c r="D1739" t="inlineStr">
        <is>
          <t>JÄMTLANDS LÄN</t>
        </is>
      </c>
      <c r="E1739" t="inlineStr">
        <is>
          <t>BRÄCKE</t>
        </is>
      </c>
      <c r="F1739" t="inlineStr">
        <is>
          <t>SCA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45342-2023</t>
        </is>
      </c>
      <c r="B1740" s="1" t="n">
        <v>45191.93817129629</v>
      </c>
      <c r="C1740" s="1" t="n">
        <v>45976</v>
      </c>
      <c r="D1740" t="inlineStr">
        <is>
          <t>JÄMTLANDS LÄN</t>
        </is>
      </c>
      <c r="E1740" t="inlineStr">
        <is>
          <t>BRÄCKE</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47500-2023</t>
        </is>
      </c>
      <c r="B1741" s="1" t="n">
        <v>45202.9425</v>
      </c>
      <c r="C1741" s="1" t="n">
        <v>45976</v>
      </c>
      <c r="D1741" t="inlineStr">
        <is>
          <t>JÄMTLANDS LÄN</t>
        </is>
      </c>
      <c r="E1741" t="inlineStr">
        <is>
          <t>BRÄCKE</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61415-2021</t>
        </is>
      </c>
      <c r="B1742" s="1" t="n">
        <v>44500.93565972222</v>
      </c>
      <c r="C1742" s="1" t="n">
        <v>45976</v>
      </c>
      <c r="D1742" t="inlineStr">
        <is>
          <t>JÄMTLANDS LÄN</t>
        </is>
      </c>
      <c r="E1742" t="inlineStr">
        <is>
          <t>BRÄCKE</t>
        </is>
      </c>
      <c r="F1742" t="inlineStr">
        <is>
          <t>SCA</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48507-2023</t>
        </is>
      </c>
      <c r="B1743" s="1" t="n">
        <v>45207.94034722223</v>
      </c>
      <c r="C1743" s="1" t="n">
        <v>45976</v>
      </c>
      <c r="D1743" t="inlineStr">
        <is>
          <t>JÄMTLANDS LÄN</t>
        </is>
      </c>
      <c r="E1743" t="inlineStr">
        <is>
          <t>BRÄCKE</t>
        </is>
      </c>
      <c r="F1743" t="inlineStr">
        <is>
          <t>SCA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31713-2024</t>
        </is>
      </c>
      <c r="B1744" s="1" t="n">
        <v>45508.95126157408</v>
      </c>
      <c r="C1744" s="1" t="n">
        <v>45976</v>
      </c>
      <c r="D1744" t="inlineStr">
        <is>
          <t>JÄMTLANDS LÄN</t>
        </is>
      </c>
      <c r="E1744" t="inlineStr">
        <is>
          <t>BRÄCKE</t>
        </is>
      </c>
      <c r="F1744" t="inlineStr">
        <is>
          <t>SCA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43789-2022</t>
        </is>
      </c>
      <c r="B1745" s="1" t="n">
        <v>44837</v>
      </c>
      <c r="C1745" s="1" t="n">
        <v>45976</v>
      </c>
      <c r="D1745" t="inlineStr">
        <is>
          <t>JÄMTLANDS LÄN</t>
        </is>
      </c>
      <c r="E1745" t="inlineStr">
        <is>
          <t>BRÄCKE</t>
        </is>
      </c>
      <c r="F1745" t="inlineStr">
        <is>
          <t>SCA</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6788-2025</t>
        </is>
      </c>
      <c r="B1746" s="1" t="n">
        <v>45700.65692129629</v>
      </c>
      <c r="C1746" s="1" t="n">
        <v>45976</v>
      </c>
      <c r="D1746" t="inlineStr">
        <is>
          <t>JÄMTLANDS LÄN</t>
        </is>
      </c>
      <c r="E1746" t="inlineStr">
        <is>
          <t>BRÄCKE</t>
        </is>
      </c>
      <c r="F1746" t="inlineStr">
        <is>
          <t>SCA</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51432-2023</t>
        </is>
      </c>
      <c r="B1747" s="1" t="n">
        <v>45219.96431712963</v>
      </c>
      <c r="C1747" s="1" t="n">
        <v>45976</v>
      </c>
      <c r="D1747" t="inlineStr">
        <is>
          <t>JÄMTLANDS LÄN</t>
        </is>
      </c>
      <c r="E1747" t="inlineStr">
        <is>
          <t>BRÄCKE</t>
        </is>
      </c>
      <c r="F1747" t="inlineStr">
        <is>
          <t>SCA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20532-2025</t>
        </is>
      </c>
      <c r="B1748" s="1" t="n">
        <v>45775.61515046296</v>
      </c>
      <c r="C1748" s="1" t="n">
        <v>45976</v>
      </c>
      <c r="D1748" t="inlineStr">
        <is>
          <t>JÄMTLANDS LÄN</t>
        </is>
      </c>
      <c r="E1748" t="inlineStr">
        <is>
          <t>BRÄCKE</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59008-2024</t>
        </is>
      </c>
      <c r="B1749" s="1" t="n">
        <v>45636.65724537037</v>
      </c>
      <c r="C1749" s="1" t="n">
        <v>45976</v>
      </c>
      <c r="D1749" t="inlineStr">
        <is>
          <t>JÄMTLANDS LÄN</t>
        </is>
      </c>
      <c r="E1749" t="inlineStr">
        <is>
          <t>BRÄCKE</t>
        </is>
      </c>
      <c r="F1749" t="inlineStr">
        <is>
          <t>SCA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11093-2024</t>
        </is>
      </c>
      <c r="B1750" s="1" t="n">
        <v>45370.94986111111</v>
      </c>
      <c r="C1750" s="1" t="n">
        <v>45976</v>
      </c>
      <c r="D1750" t="inlineStr">
        <is>
          <t>JÄMTLANDS LÄN</t>
        </is>
      </c>
      <c r="E1750" t="inlineStr">
        <is>
          <t>BRÄCKE</t>
        </is>
      </c>
      <c r="F1750" t="inlineStr">
        <is>
          <t>SCA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31470-2023</t>
        </is>
      </c>
      <c r="B1751" s="1" t="n">
        <v>45104</v>
      </c>
      <c r="C1751" s="1" t="n">
        <v>45976</v>
      </c>
      <c r="D1751" t="inlineStr">
        <is>
          <t>JÄMTLANDS LÄN</t>
        </is>
      </c>
      <c r="E1751" t="inlineStr">
        <is>
          <t>BRÄCKE</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28135-2024</t>
        </is>
      </c>
      <c r="B1752" s="1" t="n">
        <v>45476</v>
      </c>
      <c r="C1752" s="1" t="n">
        <v>45976</v>
      </c>
      <c r="D1752" t="inlineStr">
        <is>
          <t>JÄMTLANDS LÄN</t>
        </is>
      </c>
      <c r="E1752" t="inlineStr">
        <is>
          <t>BRÄCKE</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10130-2022</t>
        </is>
      </c>
      <c r="B1753" s="1" t="n">
        <v>44621.94561342592</v>
      </c>
      <c r="C1753" s="1" t="n">
        <v>45976</v>
      </c>
      <c r="D1753" t="inlineStr">
        <is>
          <t>JÄMTLANDS LÄN</t>
        </is>
      </c>
      <c r="E1753" t="inlineStr">
        <is>
          <t>BRÄCKE</t>
        </is>
      </c>
      <c r="F1753" t="inlineStr">
        <is>
          <t>SCA</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30488-2024</t>
        </is>
      </c>
      <c r="B1754" s="1" t="n">
        <v>45491.95037037037</v>
      </c>
      <c r="C1754" s="1" t="n">
        <v>45976</v>
      </c>
      <c r="D1754" t="inlineStr">
        <is>
          <t>JÄMTLANDS LÄN</t>
        </is>
      </c>
      <c r="E1754" t="inlineStr">
        <is>
          <t>BRÄCKE</t>
        </is>
      </c>
      <c r="F1754" t="inlineStr">
        <is>
          <t>Naturvårdsverket</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55520-2022</t>
        </is>
      </c>
      <c r="B1755" s="1" t="n">
        <v>44887</v>
      </c>
      <c r="C1755" s="1" t="n">
        <v>45976</v>
      </c>
      <c r="D1755" t="inlineStr">
        <is>
          <t>JÄMTLANDS LÄN</t>
        </is>
      </c>
      <c r="E1755" t="inlineStr">
        <is>
          <t>BRÄCKE</t>
        </is>
      </c>
      <c r="F1755" t="inlineStr">
        <is>
          <t>SCA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55529-2022</t>
        </is>
      </c>
      <c r="B1756" s="1" t="n">
        <v>44887.95256944445</v>
      </c>
      <c r="C1756" s="1" t="n">
        <v>45976</v>
      </c>
      <c r="D1756" t="inlineStr">
        <is>
          <t>JÄMTLANDS LÄN</t>
        </is>
      </c>
      <c r="E1756" t="inlineStr">
        <is>
          <t>BRÄCKE</t>
        </is>
      </c>
      <c r="F1756" t="inlineStr">
        <is>
          <t>SCA</t>
        </is>
      </c>
      <c r="G1756" t="n">
        <v>6.4</v>
      </c>
      <c r="H1756" t="n">
        <v>0</v>
      </c>
      <c r="I1756" t="n">
        <v>0</v>
      </c>
      <c r="J1756" t="n">
        <v>0</v>
      </c>
      <c r="K1756" t="n">
        <v>0</v>
      </c>
      <c r="L1756" t="n">
        <v>0</v>
      </c>
      <c r="M1756" t="n">
        <v>0</v>
      </c>
      <c r="N1756" t="n">
        <v>0</v>
      </c>
      <c r="O1756" t="n">
        <v>0</v>
      </c>
      <c r="P1756" t="n">
        <v>0</v>
      </c>
      <c r="Q1756" t="n">
        <v>0</v>
      </c>
      <c r="R1756" s="2" t="inlineStr"/>
    </row>
    <row r="1757" ht="15" customHeight="1">
      <c r="A1757" t="inlineStr">
        <is>
          <t>A 52529-2024</t>
        </is>
      </c>
      <c r="B1757" s="1" t="n">
        <v>45609.61483796296</v>
      </c>
      <c r="C1757" s="1" t="n">
        <v>45976</v>
      </c>
      <c r="D1757" t="inlineStr">
        <is>
          <t>JÄMTLANDS LÄN</t>
        </is>
      </c>
      <c r="E1757" t="inlineStr">
        <is>
          <t>BRÄCKE</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44694-2023</t>
        </is>
      </c>
      <c r="B1758" s="1" t="n">
        <v>45189.92251157408</v>
      </c>
      <c r="C1758" s="1" t="n">
        <v>45976</v>
      </c>
      <c r="D1758" t="inlineStr">
        <is>
          <t>JÄMTLANDS LÄN</t>
        </is>
      </c>
      <c r="E1758" t="inlineStr">
        <is>
          <t>BRÄCKE</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54451-2023</t>
        </is>
      </c>
      <c r="B1759" s="1" t="n">
        <v>45233.44581018519</v>
      </c>
      <c r="C1759" s="1" t="n">
        <v>45976</v>
      </c>
      <c r="D1759" t="inlineStr">
        <is>
          <t>JÄMTLANDS LÄN</t>
        </is>
      </c>
      <c r="E1759" t="inlineStr">
        <is>
          <t>BRÄCKE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1881-2024</t>
        </is>
      </c>
      <c r="B1760" s="1" t="n">
        <v>45307.96266203704</v>
      </c>
      <c r="C1760" s="1" t="n">
        <v>45976</v>
      </c>
      <c r="D1760" t="inlineStr">
        <is>
          <t>JÄMTLANDS LÄN</t>
        </is>
      </c>
      <c r="E1760" t="inlineStr">
        <is>
          <t>BRÄCKE</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4122-2025</t>
        </is>
      </c>
      <c r="B1761" s="1" t="n">
        <v>45685.26828703703</v>
      </c>
      <c r="C1761" s="1" t="n">
        <v>45976</v>
      </c>
      <c r="D1761" t="inlineStr">
        <is>
          <t>JÄMTLANDS LÄN</t>
        </is>
      </c>
      <c r="E1761" t="inlineStr">
        <is>
          <t>BRÄCKE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52983-2022</t>
        </is>
      </c>
      <c r="B1762" s="1" t="n">
        <v>44875.92745370371</v>
      </c>
      <c r="C1762" s="1" t="n">
        <v>45976</v>
      </c>
      <c r="D1762" t="inlineStr">
        <is>
          <t>JÄMTLANDS LÄN</t>
        </is>
      </c>
      <c r="E1762" t="inlineStr">
        <is>
          <t>BRÄCKE</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49591-2024</t>
        </is>
      </c>
      <c r="B1763" s="1" t="n">
        <v>45596.5525</v>
      </c>
      <c r="C1763" s="1" t="n">
        <v>45976</v>
      </c>
      <c r="D1763" t="inlineStr">
        <is>
          <t>JÄMTLANDS LÄN</t>
        </is>
      </c>
      <c r="E1763" t="inlineStr">
        <is>
          <t>BRÄCKE</t>
        </is>
      </c>
      <c r="F1763" t="inlineStr">
        <is>
          <t>SCA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22985-2023</t>
        </is>
      </c>
      <c r="B1764" s="1" t="n">
        <v>45072</v>
      </c>
      <c r="C1764" s="1" t="n">
        <v>45976</v>
      </c>
      <c r="D1764" t="inlineStr">
        <is>
          <t>JÄMTLANDS LÄN</t>
        </is>
      </c>
      <c r="E1764" t="inlineStr">
        <is>
          <t>BRÄCKE</t>
        </is>
      </c>
      <c r="F1764" t="inlineStr">
        <is>
          <t>SCA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49307-2024</t>
        </is>
      </c>
      <c r="B1765" s="1" t="n">
        <v>45595.55241898148</v>
      </c>
      <c r="C1765" s="1" t="n">
        <v>45976</v>
      </c>
      <c r="D1765" t="inlineStr">
        <is>
          <t>JÄMTLANDS LÄN</t>
        </is>
      </c>
      <c r="E1765" t="inlineStr">
        <is>
          <t>BRÄCKE</t>
        </is>
      </c>
      <c r="F1765" t="inlineStr">
        <is>
          <t>SCA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8253-2024</t>
        </is>
      </c>
      <c r="B1766" s="1" t="n">
        <v>45350</v>
      </c>
      <c r="C1766" s="1" t="n">
        <v>45976</v>
      </c>
      <c r="D1766" t="inlineStr">
        <is>
          <t>JÄMTLANDS LÄN</t>
        </is>
      </c>
      <c r="E1766" t="inlineStr">
        <is>
          <t>BRÄCKE</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23746-2021</t>
        </is>
      </c>
      <c r="B1767" s="1" t="n">
        <v>44334.93716435185</v>
      </c>
      <c r="C1767" s="1" t="n">
        <v>45976</v>
      </c>
      <c r="D1767" t="inlineStr">
        <is>
          <t>JÄMTLANDS LÄN</t>
        </is>
      </c>
      <c r="E1767" t="inlineStr">
        <is>
          <t>BRÄCKE</t>
        </is>
      </c>
      <c r="F1767" t="inlineStr">
        <is>
          <t>SCA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26665-2021</t>
        </is>
      </c>
      <c r="B1768" s="1" t="n">
        <v>44348</v>
      </c>
      <c r="C1768" s="1" t="n">
        <v>45976</v>
      </c>
      <c r="D1768" t="inlineStr">
        <is>
          <t>JÄMTLANDS LÄN</t>
        </is>
      </c>
      <c r="E1768" t="inlineStr">
        <is>
          <t>BRÄCKE</t>
        </is>
      </c>
      <c r="F1768" t="inlineStr">
        <is>
          <t>SCA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41313-2024</t>
        </is>
      </c>
      <c r="B1769" s="1" t="n">
        <v>45559.6359837963</v>
      </c>
      <c r="C1769" s="1" t="n">
        <v>45976</v>
      </c>
      <c r="D1769" t="inlineStr">
        <is>
          <t>JÄMTLANDS LÄN</t>
        </is>
      </c>
      <c r="E1769" t="inlineStr">
        <is>
          <t>BRÄCKE</t>
        </is>
      </c>
      <c r="F1769" t="inlineStr">
        <is>
          <t>SCA</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59932-2022</t>
        </is>
      </c>
      <c r="B1770" s="1" t="n">
        <v>44909.36262731482</v>
      </c>
      <c r="C1770" s="1" t="n">
        <v>45976</v>
      </c>
      <c r="D1770" t="inlineStr">
        <is>
          <t>JÄMTLANDS LÄN</t>
        </is>
      </c>
      <c r="E1770" t="inlineStr">
        <is>
          <t>BRÄCKE</t>
        </is>
      </c>
      <c r="G1770" t="n">
        <v>1.2</v>
      </c>
      <c r="H1770" t="n">
        <v>0</v>
      </c>
      <c r="I1770" t="n">
        <v>0</v>
      </c>
      <c r="J1770" t="n">
        <v>0</v>
      </c>
      <c r="K1770" t="n">
        <v>0</v>
      </c>
      <c r="L1770" t="n">
        <v>0</v>
      </c>
      <c r="M1770" t="n">
        <v>0</v>
      </c>
      <c r="N1770" t="n">
        <v>0</v>
      </c>
      <c r="O1770" t="n">
        <v>0</v>
      </c>
      <c r="P1770" t="n">
        <v>0</v>
      </c>
      <c r="Q1770" t="n">
        <v>0</v>
      </c>
      <c r="R1770" s="2" t="inlineStr"/>
    </row>
    <row r="1771">
      <c r="A1771" t="inlineStr">
        <is>
          <t>A 24049-2023</t>
        </is>
      </c>
      <c r="B1771" s="1" t="n">
        <v>45078.93966435185</v>
      </c>
      <c r="C1771" s="1" t="n">
        <v>45976</v>
      </c>
      <c r="D1771" t="inlineStr">
        <is>
          <t>JÄMTLANDS LÄN</t>
        </is>
      </c>
      <c r="E1771" t="inlineStr">
        <is>
          <t>BRÄCKE</t>
        </is>
      </c>
      <c r="G1771" t="n">
        <v>15.2</v>
      </c>
      <c r="H1771" t="n">
        <v>0</v>
      </c>
      <c r="I1771" t="n">
        <v>0</v>
      </c>
      <c r="J1771" t="n">
        <v>0</v>
      </c>
      <c r="K1771" t="n">
        <v>0</v>
      </c>
      <c r="L1771" t="n">
        <v>0</v>
      </c>
      <c r="M1771" t="n">
        <v>0</v>
      </c>
      <c r="N1771" t="n">
        <v>0</v>
      </c>
      <c r="O1771" t="n">
        <v>0</v>
      </c>
      <c r="P1771" t="n">
        <v>0</v>
      </c>
      <c r="Q1771" t="n">
        <v>0</v>
      </c>
      <c r="R1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2025-11-15T10:12:38Z</dcterms:created>
  <dcterms:modified xmlns:dcterms="http://purl.org/dc/terms/" xmlns:xsi="http://www.w3.org/2001/XMLSchema-instance" xsi:type="dcterms:W3CDTF">2025-11-15T10:12:39Z</dcterms:modified>
</cp:coreProperties>
</file>