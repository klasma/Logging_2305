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46105</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46105</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46105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46105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46105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46105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43131-2023</t>
        </is>
      </c>
      <c r="B13" s="1" t="n">
        <v>45182</v>
      </c>
      <c r="C13" s="1" t="n">
        <v>46105</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34927-2023</t>
        </is>
      </c>
      <c r="B14" s="1" t="n">
        <v>45142</v>
      </c>
      <c r="C14" s="1" t="n">
        <v>46105</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49645-2023</t>
        </is>
      </c>
      <c r="B15" s="1" t="n">
        <v>45211</v>
      </c>
      <c r="C15" s="1" t="n">
        <v>46105</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46105</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46105</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46105</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46105</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46105</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46105</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46105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46105</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46105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46105</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46105</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agg.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22983-2024</t>
        </is>
      </c>
      <c r="B29" s="1" t="n">
        <v>45449</v>
      </c>
      <c r="C29" s="1" t="n">
        <v>46105</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67343-2021</t>
        </is>
      </c>
      <c r="B30" s="1" t="n">
        <v>44523</v>
      </c>
      <c r="C30" s="1" t="n">
        <v>46105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29244-2024</t>
        </is>
      </c>
      <c r="B31" s="1" t="n">
        <v>45482</v>
      </c>
      <c r="C31" s="1" t="n">
        <v>46105</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46105</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46105</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61483-2024</t>
        </is>
      </c>
      <c r="B34" s="1" t="n">
        <v>45646</v>
      </c>
      <c r="C34" s="1" t="n">
        <v>46105</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44933-2025</t>
        </is>
      </c>
      <c r="B35" s="1" t="n">
        <v>45918.57365740741</v>
      </c>
      <c r="C35" s="1" t="n">
        <v>46105</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46105</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46105</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46105</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49540-2022</t>
        </is>
      </c>
      <c r="B39" s="1" t="n">
        <v>44861</v>
      </c>
      <c r="C39" s="1" t="n">
        <v>46105</v>
      </c>
      <c r="D39" t="inlineStr">
        <is>
          <t>JÄMTLANDS LÄN</t>
        </is>
      </c>
      <c r="E39" t="inlineStr">
        <is>
          <t>BRÄCKE</t>
        </is>
      </c>
      <c r="F39" t="inlineStr">
        <is>
          <t>SCA</t>
        </is>
      </c>
      <c r="G39" t="n">
        <v>10.5</v>
      </c>
      <c r="H39" t="n">
        <v>3</v>
      </c>
      <c r="I39" t="n">
        <v>0</v>
      </c>
      <c r="J39" t="n">
        <v>8</v>
      </c>
      <c r="K39" t="n">
        <v>2</v>
      </c>
      <c r="L39" t="n">
        <v>0</v>
      </c>
      <c r="M39" t="n">
        <v>0</v>
      </c>
      <c r="N39" t="n">
        <v>0</v>
      </c>
      <c r="O39" t="n">
        <v>10</v>
      </c>
      <c r="P39" t="n">
        <v>2</v>
      </c>
      <c r="Q39" t="n">
        <v>10</v>
      </c>
      <c r="R39" s="2" t="inlineStr">
        <is>
          <t>Knärot
Rynkskinn
Garnlav
Granticka
Lunglav
Rosenticka
Talltita
Tretåig hackspett
Ullticka
Äggvaxskivling</t>
        </is>
      </c>
      <c r="S39">
        <f>HYPERLINK("https://klasma.github.io/Logging_2305/artfynd/A 49540-2022 artfynd.xlsx", "A 49540-2022")</f>
        <v/>
      </c>
      <c r="T39">
        <f>HYPERLINK("https://klasma.github.io/Logging_2305/kartor/A 49540-2022 karta.png", "A 49540-2022")</f>
        <v/>
      </c>
      <c r="U39">
        <f>HYPERLINK("https://klasma.github.io/Logging_2305/knärot/A 49540-2022 karta knärot.png", "A 49540-2022")</f>
        <v/>
      </c>
      <c r="V39">
        <f>HYPERLINK("https://klasma.github.io/Logging_2305/klagomål/A 49540-2022 FSC-klagomål.docx", "A 49540-2022")</f>
        <v/>
      </c>
      <c r="W39">
        <f>HYPERLINK("https://klasma.github.io/Logging_2305/klagomålsmail/A 49540-2022 FSC-klagomål mail.docx", "A 49540-2022")</f>
        <v/>
      </c>
      <c r="X39">
        <f>HYPERLINK("https://klasma.github.io/Logging_2305/tillsyn/A 49540-2022 tillsynsbegäran.docx", "A 49540-2022")</f>
        <v/>
      </c>
      <c r="Y39">
        <f>HYPERLINK("https://klasma.github.io/Logging_2305/tillsynsmail/A 49540-2022 tillsynsbegäran mail.docx", "A 49540-2022")</f>
        <v/>
      </c>
      <c r="Z39">
        <f>HYPERLINK("https://klasma.github.io/Logging_2305/fåglar/A 49540-2022 prioriterade fågelarter.docx", "A 49540-2022")</f>
        <v/>
      </c>
    </row>
    <row r="40" ht="15" customHeight="1">
      <c r="A40" t="inlineStr">
        <is>
          <t>A 57458-2025</t>
        </is>
      </c>
      <c r="B40" s="1" t="n">
        <v>45980</v>
      </c>
      <c r="C40" s="1" t="n">
        <v>46105</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60620-2025</t>
        </is>
      </c>
      <c r="B41" s="1" t="n">
        <v>45996.38583333333</v>
      </c>
      <c r="C41" s="1" t="n">
        <v>46105</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28289-2025</t>
        </is>
      </c>
      <c r="B42" s="1" t="n">
        <v>45818.59244212963</v>
      </c>
      <c r="C42" s="1" t="n">
        <v>46105</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36371-2022</t>
        </is>
      </c>
      <c r="B43" s="1" t="n">
        <v>44803</v>
      </c>
      <c r="C43" s="1" t="n">
        <v>46105</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46105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46105</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6485-2026</t>
        </is>
      </c>
      <c r="B47" s="1" t="n">
        <v>46056.34415509259</v>
      </c>
      <c r="C47" s="1" t="n">
        <v>46105</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34747-2025</t>
        </is>
      </c>
      <c r="B48" s="1" t="n">
        <v>45848.61520833334</v>
      </c>
      <c r="C48" s="1" t="n">
        <v>46105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11982-2024</t>
        </is>
      </c>
      <c r="B49" s="1" t="n">
        <v>45376.95240740741</v>
      </c>
      <c r="C49" s="1" t="n">
        <v>46105</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46105</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46105</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46105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46105</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46105</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58903-2024</t>
        </is>
      </c>
      <c r="B55" s="1" t="n">
        <v>45636</v>
      </c>
      <c r="C55" s="1" t="n">
        <v>46105</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61173-2025</t>
        </is>
      </c>
      <c r="B56" s="1" t="n">
        <v>46000</v>
      </c>
      <c r="C56" s="1" t="n">
        <v>46105</v>
      </c>
      <c r="D56" t="inlineStr">
        <is>
          <t>JÄMTLANDS LÄN</t>
        </is>
      </c>
      <c r="E56" t="inlineStr">
        <is>
          <t>BRÄCKE</t>
        </is>
      </c>
      <c r="G56" t="n">
        <v>16.5</v>
      </c>
      <c r="H56" t="n">
        <v>2</v>
      </c>
      <c r="I56" t="n">
        <v>0</v>
      </c>
      <c r="J56" t="n">
        <v>6</v>
      </c>
      <c r="K56" t="n">
        <v>2</v>
      </c>
      <c r="L56" t="n">
        <v>0</v>
      </c>
      <c r="M56" t="n">
        <v>0</v>
      </c>
      <c r="N56" t="n">
        <v>0</v>
      </c>
      <c r="O56" t="n">
        <v>8</v>
      </c>
      <c r="P56" t="n">
        <v>2</v>
      </c>
      <c r="Q56" t="n">
        <v>8</v>
      </c>
      <c r="R56" s="2" t="inlineStr">
        <is>
          <t>Doftticka
Sprickporing
Blågrå svartspik
Garnlav
Kolflarnlav
Lunglav
Tretåig hackspett
Vedflamlav</t>
        </is>
      </c>
      <c r="S56">
        <f>HYPERLINK("https://klasma.github.io/Logging_2305/artfynd/A 61173-2025 artfynd.xlsx", "A 61173-2025")</f>
        <v/>
      </c>
      <c r="T56">
        <f>HYPERLINK("https://klasma.github.io/Logging_2305/kartor/A 61173-2025 karta.png", "A 61173-2025")</f>
        <v/>
      </c>
      <c r="V56">
        <f>HYPERLINK("https://klasma.github.io/Logging_2305/klagomål/A 61173-2025 FSC-klagomål.docx", "A 61173-2025")</f>
        <v/>
      </c>
      <c r="W56">
        <f>HYPERLINK("https://klasma.github.io/Logging_2305/klagomålsmail/A 61173-2025 FSC-klagomål mail.docx", "A 61173-2025")</f>
        <v/>
      </c>
      <c r="X56">
        <f>HYPERLINK("https://klasma.github.io/Logging_2305/tillsyn/A 61173-2025 tillsynsbegäran.docx", "A 61173-2025")</f>
        <v/>
      </c>
      <c r="Y56">
        <f>HYPERLINK("https://klasma.github.io/Logging_2305/tillsynsmail/A 61173-2025 tillsynsbegäran mail.docx", "A 61173-2025")</f>
        <v/>
      </c>
      <c r="Z56">
        <f>HYPERLINK("https://klasma.github.io/Logging_2305/fåglar/A 61173-2025 prioriterade fågelarter.docx", "A 61173-2025")</f>
        <v/>
      </c>
    </row>
    <row r="57" ht="15" customHeight="1">
      <c r="A57" t="inlineStr">
        <is>
          <t>A 32565-2025</t>
        </is>
      </c>
      <c r="B57" s="1" t="n">
        <v>45838.57340277778</v>
      </c>
      <c r="C57" s="1" t="n">
        <v>46105</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46105</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49372-2024</t>
        </is>
      </c>
      <c r="B59" s="1" t="n">
        <v>45595.64168981482</v>
      </c>
      <c r="C59" s="1" t="n">
        <v>46105</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49712-2024</t>
        </is>
      </c>
      <c r="B60" s="1" t="n">
        <v>45596.69923611111</v>
      </c>
      <c r="C60" s="1" t="n">
        <v>46105</v>
      </c>
      <c r="D60" t="inlineStr">
        <is>
          <t>JÄMTLANDS LÄN</t>
        </is>
      </c>
      <c r="E60" t="inlineStr">
        <is>
          <t>BRÄCKE</t>
        </is>
      </c>
      <c r="F60" t="inlineStr">
        <is>
          <t>Naturvårdsverket</t>
        </is>
      </c>
      <c r="G60" t="n">
        <v>1.9</v>
      </c>
      <c r="H60" t="n">
        <v>1</v>
      </c>
      <c r="I60" t="n">
        <v>3</v>
      </c>
      <c r="J60" t="n">
        <v>4</v>
      </c>
      <c r="K60" t="n">
        <v>1</v>
      </c>
      <c r="L60" t="n">
        <v>0</v>
      </c>
      <c r="M60" t="n">
        <v>0</v>
      </c>
      <c r="N60" t="n">
        <v>0</v>
      </c>
      <c r="O60" t="n">
        <v>5</v>
      </c>
      <c r="P60" t="n">
        <v>1</v>
      </c>
      <c r="Q60" t="n">
        <v>8</v>
      </c>
      <c r="R60" s="2" t="inlineStr">
        <is>
          <t>Knärot
Garnlav
Harticka
Lunglav
Rosenticka
Svart trolldruva
Svavelriska
Tibast</t>
        </is>
      </c>
      <c r="S60">
        <f>HYPERLINK("https://klasma.github.io/Logging_2305/artfynd/A 49712-2024 artfynd.xlsx", "A 49712-2024")</f>
        <v/>
      </c>
      <c r="T60">
        <f>HYPERLINK("https://klasma.github.io/Logging_2305/kartor/A 49712-2024 karta.png", "A 49712-2024")</f>
        <v/>
      </c>
      <c r="U60">
        <f>HYPERLINK("https://klasma.github.io/Logging_2305/knärot/A 49712-2024 karta knärot.png", "A 49712-2024")</f>
        <v/>
      </c>
      <c r="V60">
        <f>HYPERLINK("https://klasma.github.io/Logging_2305/klagomål/A 49712-2024 FSC-klagomål.docx", "A 49712-2024")</f>
        <v/>
      </c>
      <c r="W60">
        <f>HYPERLINK("https://klasma.github.io/Logging_2305/klagomålsmail/A 49712-2024 FSC-klagomål mail.docx", "A 49712-2024")</f>
        <v/>
      </c>
      <c r="X60">
        <f>HYPERLINK("https://klasma.github.io/Logging_2305/tillsyn/A 49712-2024 tillsynsbegäran.docx", "A 49712-2024")</f>
        <v/>
      </c>
      <c r="Y60">
        <f>HYPERLINK("https://klasma.github.io/Logging_2305/tillsynsmail/A 49712-2024 tillsynsbegäran mail.docx", "A 49712-2024")</f>
        <v/>
      </c>
    </row>
    <row r="61" ht="15" customHeight="1">
      <c r="A61" t="inlineStr">
        <is>
          <t>A 55271-2025</t>
        </is>
      </c>
      <c r="B61" s="1" t="n">
        <v>45968.67741898148</v>
      </c>
      <c r="C61" s="1" t="n">
        <v>46105</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8707-2025</t>
        </is>
      </c>
      <c r="B62" s="1" t="n">
        <v>45712.49047453704</v>
      </c>
      <c r="C62" s="1" t="n">
        <v>46105</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20087-2025</t>
        </is>
      </c>
      <c r="B63" s="1" t="n">
        <v>45772.45626157407</v>
      </c>
      <c r="C63" s="1" t="n">
        <v>46105</v>
      </c>
      <c r="D63" t="inlineStr">
        <is>
          <t>JÄMTLANDS LÄN</t>
        </is>
      </c>
      <c r="E63" t="inlineStr">
        <is>
          <t>BRÄCKE</t>
        </is>
      </c>
      <c r="G63" t="n">
        <v>7.5</v>
      </c>
      <c r="H63" t="n">
        <v>1</v>
      </c>
      <c r="I63" t="n">
        <v>2</v>
      </c>
      <c r="J63" t="n">
        <v>5</v>
      </c>
      <c r="K63" t="n">
        <v>0</v>
      </c>
      <c r="L63" t="n">
        <v>0</v>
      </c>
      <c r="M63" t="n">
        <v>0</v>
      </c>
      <c r="N63" t="n">
        <v>0</v>
      </c>
      <c r="O63" t="n">
        <v>5</v>
      </c>
      <c r="P63" t="n">
        <v>0</v>
      </c>
      <c r="Q63" t="n">
        <v>8</v>
      </c>
      <c r="R63" s="2" t="inlineStr">
        <is>
          <t>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51820-2023</t>
        </is>
      </c>
      <c r="B64" s="1" t="n">
        <v>45222</v>
      </c>
      <c r="C64" s="1" t="n">
        <v>46105</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26956-2024</t>
        </is>
      </c>
      <c r="B65" s="1" t="n">
        <v>45470.97053240741</v>
      </c>
      <c r="C65" s="1" t="n">
        <v>46105</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41199-2025</t>
        </is>
      </c>
      <c r="B66" s="1" t="n">
        <v>45898.57366898148</v>
      </c>
      <c r="C66" s="1" t="n">
        <v>46105</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34300-2025</t>
        </is>
      </c>
      <c r="B67" s="1" t="n">
        <v>45846.34518518519</v>
      </c>
      <c r="C67" s="1" t="n">
        <v>46105</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46105</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61433-2025</t>
        </is>
      </c>
      <c r="B69" s="1" t="n">
        <v>46001.55944444444</v>
      </c>
      <c r="C69" s="1" t="n">
        <v>46105</v>
      </c>
      <c r="D69" t="inlineStr">
        <is>
          <t>JÄMTLANDS LÄN</t>
        </is>
      </c>
      <c r="E69" t="inlineStr">
        <is>
          <t>BRÄCKE</t>
        </is>
      </c>
      <c r="G69" t="n">
        <v>12.5</v>
      </c>
      <c r="H69" t="n">
        <v>3</v>
      </c>
      <c r="I69" t="n">
        <v>2</v>
      </c>
      <c r="J69" t="n">
        <v>4</v>
      </c>
      <c r="K69" t="n">
        <v>0</v>
      </c>
      <c r="L69" t="n">
        <v>0</v>
      </c>
      <c r="M69" t="n">
        <v>0</v>
      </c>
      <c r="N69" t="n">
        <v>0</v>
      </c>
      <c r="O69" t="n">
        <v>4</v>
      </c>
      <c r="P69" t="n">
        <v>0</v>
      </c>
      <c r="Q69" t="n">
        <v>7</v>
      </c>
      <c r="R69" s="2" t="inlineStr">
        <is>
          <t>Garnlav
Lunglav
Spillkråka
Tretåig hackspett
Luddlav
Stuplav
Revlummer</t>
        </is>
      </c>
      <c r="S69">
        <f>HYPERLINK("https://klasma.github.io/Logging_2305/artfynd/A 61433-2025 artfynd.xlsx", "A 61433-2025")</f>
        <v/>
      </c>
      <c r="T69">
        <f>HYPERLINK("https://klasma.github.io/Logging_2305/kartor/A 61433-2025 karta.png", "A 61433-2025")</f>
        <v/>
      </c>
      <c r="V69">
        <f>HYPERLINK("https://klasma.github.io/Logging_2305/klagomål/A 61433-2025 FSC-klagomål.docx", "A 61433-2025")</f>
        <v/>
      </c>
      <c r="W69">
        <f>HYPERLINK("https://klasma.github.io/Logging_2305/klagomålsmail/A 61433-2025 FSC-klagomål mail.docx", "A 61433-2025")</f>
        <v/>
      </c>
      <c r="X69">
        <f>HYPERLINK("https://klasma.github.io/Logging_2305/tillsyn/A 61433-2025 tillsynsbegäran.docx", "A 61433-2025")</f>
        <v/>
      </c>
      <c r="Y69">
        <f>HYPERLINK("https://klasma.github.io/Logging_2305/tillsynsmail/A 61433-2025 tillsynsbegäran mail.docx", "A 61433-2025")</f>
        <v/>
      </c>
      <c r="Z69">
        <f>HYPERLINK("https://klasma.github.io/Logging_2305/fåglar/A 61433-2025 prioriterade fågelarter.docx", "A 61433-2025")</f>
        <v/>
      </c>
    </row>
    <row r="70" ht="15" customHeight="1">
      <c r="A70" t="inlineStr">
        <is>
          <t>A 62925-2025</t>
        </is>
      </c>
      <c r="B70" s="1" t="n">
        <v>46009.38592592593</v>
      </c>
      <c r="C70" s="1" t="n">
        <v>46105</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44514-2024</t>
        </is>
      </c>
      <c r="B71" s="1" t="n">
        <v>45574.42746527777</v>
      </c>
      <c r="C71" s="1" t="n">
        <v>46105</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18898-2025</t>
        </is>
      </c>
      <c r="B72" s="1" t="n">
        <v>45764.44885416667</v>
      </c>
      <c r="C72" s="1" t="n">
        <v>46105</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62113-2023</t>
        </is>
      </c>
      <c r="B73" s="1" t="n">
        <v>45266</v>
      </c>
      <c r="C73" s="1" t="n">
        <v>46105</v>
      </c>
      <c r="D73" t="inlineStr">
        <is>
          <t>JÄMTLANDS LÄN</t>
        </is>
      </c>
      <c r="E73" t="inlineStr">
        <is>
          <t>BRÄCKE</t>
        </is>
      </c>
      <c r="F73" t="inlineStr">
        <is>
          <t>Naturvårdsverket</t>
        </is>
      </c>
      <c r="G73" t="n">
        <v>4.5</v>
      </c>
      <c r="H73" t="n">
        <v>0</v>
      </c>
      <c r="I73" t="n">
        <v>2</v>
      </c>
      <c r="J73" t="n">
        <v>4</v>
      </c>
      <c r="K73" t="n">
        <v>1</v>
      </c>
      <c r="L73" t="n">
        <v>0</v>
      </c>
      <c r="M73" t="n">
        <v>0</v>
      </c>
      <c r="N73" t="n">
        <v>0</v>
      </c>
      <c r="O73" t="n">
        <v>5</v>
      </c>
      <c r="P73" t="n">
        <v>1</v>
      </c>
      <c r="Q73" t="n">
        <v>7</v>
      </c>
      <c r="R73" s="2" t="inlineStr">
        <is>
          <t>Smalfotad taggsvamp
Blanksvart spiklav
Blå taggsvamp
Orange taggsvamp
Skrovlig taggsvamp
Dropptaggsvamp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45109-2024</t>
        </is>
      </c>
      <c r="B74" s="1" t="n">
        <v>45575.59435185185</v>
      </c>
      <c r="C74" s="1" t="n">
        <v>46105</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21452-2025</t>
        </is>
      </c>
      <c r="B75" s="1" t="n">
        <v>45782.55300925926</v>
      </c>
      <c r="C75" s="1" t="n">
        <v>46105</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35419-2024</t>
        </is>
      </c>
      <c r="B76" s="1" t="n">
        <v>45531.40895833333</v>
      </c>
      <c r="C76" s="1" t="n">
        <v>46105</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13548-2024</t>
        </is>
      </c>
      <c r="B77" s="1" t="n">
        <v>45387.95348379629</v>
      </c>
      <c r="C77" s="1" t="n">
        <v>46105</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29141-2025</t>
        </is>
      </c>
      <c r="B78" s="1" t="n">
        <v>45821.61508101852</v>
      </c>
      <c r="C78" s="1" t="n">
        <v>46105</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46105</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29272-2024</t>
        </is>
      </c>
      <c r="B80" s="1" t="n">
        <v>45482</v>
      </c>
      <c r="C80" s="1" t="n">
        <v>46105</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32580-2025</t>
        </is>
      </c>
      <c r="B81" s="1" t="n">
        <v>45838.59434027778</v>
      </c>
      <c r="C81" s="1" t="n">
        <v>46105</v>
      </c>
      <c r="D81" t="inlineStr">
        <is>
          <t>JÄMTLANDS LÄN</t>
        </is>
      </c>
      <c r="E81" t="inlineStr">
        <is>
          <t>BRÄCKE</t>
        </is>
      </c>
      <c r="G81" t="n">
        <v>20.9</v>
      </c>
      <c r="H81" t="n">
        <v>4</v>
      </c>
      <c r="I81" t="n">
        <v>2</v>
      </c>
      <c r="J81" t="n">
        <v>3</v>
      </c>
      <c r="K81" t="n">
        <v>1</v>
      </c>
      <c r="L81" t="n">
        <v>0</v>
      </c>
      <c r="M81" t="n">
        <v>0</v>
      </c>
      <c r="N81" t="n">
        <v>0</v>
      </c>
      <c r="O81" t="n">
        <v>4</v>
      </c>
      <c r="P81" t="n">
        <v>1</v>
      </c>
      <c r="Q81" t="n">
        <v>6</v>
      </c>
      <c r="R81" s="2" t="inlineStr">
        <is>
          <t>Knärot
Garnlav
Talltita
Tretåig hackspett
Dropptaggsvamp
Plattlummer</t>
        </is>
      </c>
      <c r="S81">
        <f>HYPERLINK("https://klasma.github.io/Logging_2305/artfynd/A 32580-2025 artfynd.xlsx", "A 32580-2025")</f>
        <v/>
      </c>
      <c r="T81">
        <f>HYPERLINK("https://klasma.github.io/Logging_2305/kartor/A 32580-2025 karta.png", "A 32580-2025")</f>
        <v/>
      </c>
      <c r="U81">
        <f>HYPERLINK("https://klasma.github.io/Logging_2305/knärot/A 32580-2025 karta knärot.png", "A 32580-2025")</f>
        <v/>
      </c>
      <c r="V81">
        <f>HYPERLINK("https://klasma.github.io/Logging_2305/klagomål/A 32580-2025 FSC-klagomål.docx", "A 32580-2025")</f>
        <v/>
      </c>
      <c r="W81">
        <f>HYPERLINK("https://klasma.github.io/Logging_2305/klagomålsmail/A 32580-2025 FSC-klagomål mail.docx", "A 32580-2025")</f>
        <v/>
      </c>
      <c r="X81">
        <f>HYPERLINK("https://klasma.github.io/Logging_2305/tillsyn/A 32580-2025 tillsynsbegäran.docx", "A 32580-2025")</f>
        <v/>
      </c>
      <c r="Y81">
        <f>HYPERLINK("https://klasma.github.io/Logging_2305/tillsynsmail/A 32580-2025 tillsynsbegäran mail.docx", "A 32580-2025")</f>
        <v/>
      </c>
      <c r="Z81">
        <f>HYPERLINK("https://klasma.github.io/Logging_2305/fåglar/A 32580-2025 prioriterade fågelarter.docx", "A 32580-2025")</f>
        <v/>
      </c>
    </row>
    <row r="82" ht="15" customHeight="1">
      <c r="A82" t="inlineStr">
        <is>
          <t>A 43989-2023</t>
        </is>
      </c>
      <c r="B82" s="1" t="n">
        <v>45187</v>
      </c>
      <c r="C82" s="1" t="n">
        <v>46105</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46105</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52152-2024</t>
        </is>
      </c>
      <c r="B84" s="1" t="n">
        <v>45608.52387731482</v>
      </c>
      <c r="C84" s="1" t="n">
        <v>46105</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40376-2024</t>
        </is>
      </c>
      <c r="B85" s="1" t="n">
        <v>45555.4065162037</v>
      </c>
      <c r="C85" s="1" t="n">
        <v>46105</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22143-2025</t>
        </is>
      </c>
      <c r="B86" s="1" t="n">
        <v>45785.55251157407</v>
      </c>
      <c r="C86" s="1" t="n">
        <v>46105</v>
      </c>
      <c r="D86" t="inlineStr">
        <is>
          <t>JÄMTLANDS LÄN</t>
        </is>
      </c>
      <c r="E86" t="inlineStr">
        <is>
          <t>BRÄCKE</t>
        </is>
      </c>
      <c r="F86" t="inlineStr">
        <is>
          <t>SCA</t>
        </is>
      </c>
      <c r="G86" t="n">
        <v>4.3</v>
      </c>
      <c r="H86" t="n">
        <v>2</v>
      </c>
      <c r="I86" t="n">
        <v>2</v>
      </c>
      <c r="J86" t="n">
        <v>3</v>
      </c>
      <c r="K86" t="n">
        <v>1</v>
      </c>
      <c r="L86" t="n">
        <v>0</v>
      </c>
      <c r="M86" t="n">
        <v>0</v>
      </c>
      <c r="N86" t="n">
        <v>0</v>
      </c>
      <c r="O86" t="n">
        <v>4</v>
      </c>
      <c r="P86" t="n">
        <v>1</v>
      </c>
      <c r="Q86" t="n">
        <v>6</v>
      </c>
      <c r="R86" s="2" t="inlineStr">
        <is>
          <t>Knärot
Garnlav
Lunglav
Talltita
Luddlav
Skinnlav</t>
        </is>
      </c>
      <c r="S86">
        <f>HYPERLINK("https://klasma.github.io/Logging_2305/artfynd/A 22143-2025 artfynd.xlsx", "A 22143-2025")</f>
        <v/>
      </c>
      <c r="T86">
        <f>HYPERLINK("https://klasma.github.io/Logging_2305/kartor/A 22143-2025 karta.png", "A 22143-2025")</f>
        <v/>
      </c>
      <c r="U86">
        <f>HYPERLINK("https://klasma.github.io/Logging_2305/knärot/A 22143-2025 karta knärot.png", "A 22143-2025")</f>
        <v/>
      </c>
      <c r="V86">
        <f>HYPERLINK("https://klasma.github.io/Logging_2305/klagomål/A 22143-2025 FSC-klagomål.docx", "A 22143-2025")</f>
        <v/>
      </c>
      <c r="W86">
        <f>HYPERLINK("https://klasma.github.io/Logging_2305/klagomålsmail/A 22143-2025 FSC-klagomål mail.docx", "A 22143-2025")</f>
        <v/>
      </c>
      <c r="X86">
        <f>HYPERLINK("https://klasma.github.io/Logging_2305/tillsyn/A 22143-2025 tillsynsbegäran.docx", "A 22143-2025")</f>
        <v/>
      </c>
      <c r="Y86">
        <f>HYPERLINK("https://klasma.github.io/Logging_2305/tillsynsmail/A 22143-2025 tillsynsbegäran mail.docx", "A 22143-2025")</f>
        <v/>
      </c>
      <c r="Z86">
        <f>HYPERLINK("https://klasma.github.io/Logging_2305/fåglar/A 22143-2025 prioriterade fågelarter.docx", "A 22143-2025")</f>
        <v/>
      </c>
    </row>
    <row r="87" ht="15" customHeight="1">
      <c r="A87" t="inlineStr">
        <is>
          <t>A 29464-2024</t>
        </is>
      </c>
      <c r="B87" s="1" t="n">
        <v>45483.97010416666</v>
      </c>
      <c r="C87" s="1" t="n">
        <v>46105</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59719-2024</t>
        </is>
      </c>
      <c r="B88" s="1" t="n">
        <v>45639.47033564815</v>
      </c>
      <c r="C88" s="1" t="n">
        <v>46105</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48779-2023</t>
        </is>
      </c>
      <c r="B89" s="1" t="n">
        <v>45208.9496875</v>
      </c>
      <c r="C89" s="1" t="n">
        <v>46105</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 agg.</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14576-2024</t>
        </is>
      </c>
      <c r="B90" s="1" t="n">
        <v>45394.95033564815</v>
      </c>
      <c r="C90" s="1" t="n">
        <v>46105</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30620-2025</t>
        </is>
      </c>
      <c r="B91" s="1" t="n">
        <v>45831.46936342592</v>
      </c>
      <c r="C91" s="1" t="n">
        <v>46105</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31592-2025</t>
        </is>
      </c>
      <c r="B92" s="1" t="n">
        <v>45833.69836805556</v>
      </c>
      <c r="C92" s="1" t="n">
        <v>46105</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31378-2025</t>
        </is>
      </c>
      <c r="B93" s="1" t="n">
        <v>45833.44834490741</v>
      </c>
      <c r="C93" s="1" t="n">
        <v>46105</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31731-2025</t>
        </is>
      </c>
      <c r="B94" s="1" t="n">
        <v>45834.46990740741</v>
      </c>
      <c r="C94" s="1" t="n">
        <v>46105</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44217-2025</t>
        </is>
      </c>
      <c r="B95" s="1" t="n">
        <v>45915.6362037037</v>
      </c>
      <c r="C95" s="1" t="n">
        <v>46105</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34748-2025</t>
        </is>
      </c>
      <c r="B96" s="1" t="n">
        <v>45848.6153587963</v>
      </c>
      <c r="C96" s="1" t="n">
        <v>46105</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38527-2025</t>
        </is>
      </c>
      <c r="B97" s="1" t="n">
        <v>45884.40715277778</v>
      </c>
      <c r="C97" s="1" t="n">
        <v>46105</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18634-2025</t>
        </is>
      </c>
      <c r="B98" s="1" t="n">
        <v>45763.55266203704</v>
      </c>
      <c r="C98" s="1" t="n">
        <v>46105</v>
      </c>
      <c r="D98" t="inlineStr">
        <is>
          <t>JÄMTLANDS LÄN</t>
        </is>
      </c>
      <c r="E98" t="inlineStr">
        <is>
          <t>BRÄCKE</t>
        </is>
      </c>
      <c r="F98" t="inlineStr">
        <is>
          <t>SCA</t>
        </is>
      </c>
      <c r="G98" t="n">
        <v>8.300000000000001</v>
      </c>
      <c r="H98" t="n">
        <v>2</v>
      </c>
      <c r="I98" t="n">
        <v>2</v>
      </c>
      <c r="J98" t="n">
        <v>2</v>
      </c>
      <c r="K98" t="n">
        <v>1</v>
      </c>
      <c r="L98" t="n">
        <v>0</v>
      </c>
      <c r="M98" t="n">
        <v>0</v>
      </c>
      <c r="N98" t="n">
        <v>0</v>
      </c>
      <c r="O98" t="n">
        <v>3</v>
      </c>
      <c r="P98" t="n">
        <v>1</v>
      </c>
      <c r="Q98" t="n">
        <v>5</v>
      </c>
      <c r="R98" s="2" t="inlineStr">
        <is>
          <t>Knärot
Garnlav
Lunglav
Korallblylav
Plattlummer</t>
        </is>
      </c>
      <c r="S98">
        <f>HYPERLINK("https://klasma.github.io/Logging_2305/artfynd/A 18634-2025 artfynd.xlsx", "A 18634-2025")</f>
        <v/>
      </c>
      <c r="T98">
        <f>HYPERLINK("https://klasma.github.io/Logging_2305/kartor/A 18634-2025 karta.png", "A 18634-2025")</f>
        <v/>
      </c>
      <c r="U98">
        <f>HYPERLINK("https://klasma.github.io/Logging_2305/knärot/A 18634-2025 karta knärot.png", "A 18634-2025")</f>
        <v/>
      </c>
      <c r="V98">
        <f>HYPERLINK("https://klasma.github.io/Logging_2305/klagomål/A 18634-2025 FSC-klagomål.docx", "A 18634-2025")</f>
        <v/>
      </c>
      <c r="W98">
        <f>HYPERLINK("https://klasma.github.io/Logging_2305/klagomålsmail/A 18634-2025 FSC-klagomål mail.docx", "A 18634-2025")</f>
        <v/>
      </c>
      <c r="X98">
        <f>HYPERLINK("https://klasma.github.io/Logging_2305/tillsyn/A 18634-2025 tillsynsbegäran.docx", "A 18634-2025")</f>
        <v/>
      </c>
      <c r="Y98">
        <f>HYPERLINK("https://klasma.github.io/Logging_2305/tillsynsmail/A 18634-2025 tillsynsbegäran mail.docx", "A 18634-2025")</f>
        <v/>
      </c>
    </row>
    <row r="99" ht="15" customHeight="1">
      <c r="A99" t="inlineStr">
        <is>
          <t>A 6748-2024</t>
        </is>
      </c>
      <c r="B99" s="1" t="n">
        <v>45342</v>
      </c>
      <c r="C99" s="1" t="n">
        <v>46105</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46105</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30991-2024</t>
        </is>
      </c>
      <c r="B101" s="1" t="n">
        <v>45499.55119212963</v>
      </c>
      <c r="C101" s="1" t="n">
        <v>46105</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46105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48780-2023</t>
        </is>
      </c>
      <c r="B103" s="1" t="n">
        <v>45208</v>
      </c>
      <c r="C103" s="1" t="n">
        <v>46105</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53280-2022</t>
        </is>
      </c>
      <c r="B104" s="1" t="n">
        <v>44876</v>
      </c>
      <c r="C104" s="1" t="n">
        <v>46105</v>
      </c>
      <c r="D104" t="inlineStr">
        <is>
          <t>JÄMTLANDS LÄN</t>
        </is>
      </c>
      <c r="E104" t="inlineStr">
        <is>
          <t>BRÄCKE</t>
        </is>
      </c>
      <c r="F104" t="inlineStr">
        <is>
          <t>SCA</t>
        </is>
      </c>
      <c r="G104" t="n">
        <v>2</v>
      </c>
      <c r="H104" t="n">
        <v>2</v>
      </c>
      <c r="I104" t="n">
        <v>3</v>
      </c>
      <c r="J104" t="n">
        <v>2</v>
      </c>
      <c r="K104" t="n">
        <v>0</v>
      </c>
      <c r="L104" t="n">
        <v>0</v>
      </c>
      <c r="M104" t="n">
        <v>0</v>
      </c>
      <c r="N104" t="n">
        <v>0</v>
      </c>
      <c r="O104" t="n">
        <v>2</v>
      </c>
      <c r="P104" t="n">
        <v>0</v>
      </c>
      <c r="Q104" t="n">
        <v>5</v>
      </c>
      <c r="R104" s="2" t="inlineStr">
        <is>
          <t>Järpe
Lunglav
Skinnlav
Spindelblomster
Stuplav</t>
        </is>
      </c>
      <c r="S104">
        <f>HYPERLINK("https://klasma.github.io/Logging_2305/artfynd/A 53280-2022 artfynd.xlsx", "A 53280-2022")</f>
        <v/>
      </c>
      <c r="T104">
        <f>HYPERLINK("https://klasma.github.io/Logging_2305/kartor/A 53280-2022 karta.png", "A 53280-2022")</f>
        <v/>
      </c>
      <c r="V104">
        <f>HYPERLINK("https://klasma.github.io/Logging_2305/klagomål/A 53280-2022 FSC-klagomål.docx", "A 53280-2022")</f>
        <v/>
      </c>
      <c r="W104">
        <f>HYPERLINK("https://klasma.github.io/Logging_2305/klagomålsmail/A 53280-2022 FSC-klagomål mail.docx", "A 53280-2022")</f>
        <v/>
      </c>
      <c r="X104">
        <f>HYPERLINK("https://klasma.github.io/Logging_2305/tillsyn/A 53280-2022 tillsynsbegäran.docx", "A 53280-2022")</f>
        <v/>
      </c>
      <c r="Y104">
        <f>HYPERLINK("https://klasma.github.io/Logging_2305/tillsynsmail/A 53280-2022 tillsynsbegäran mail.docx", "A 53280-2022")</f>
        <v/>
      </c>
      <c r="Z104">
        <f>HYPERLINK("https://klasma.github.io/Logging_2305/fåglar/A 53280-2022 prioriterade fågelarter.docx", "A 53280-2022")</f>
        <v/>
      </c>
    </row>
    <row r="105" ht="15" customHeight="1">
      <c r="A105" t="inlineStr">
        <is>
          <t>A 47560-2024</t>
        </is>
      </c>
      <c r="B105" s="1" t="n">
        <v>45587.6758449074</v>
      </c>
      <c r="C105" s="1" t="n">
        <v>46105</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23246-2025</t>
        </is>
      </c>
      <c r="B106" s="1" t="n">
        <v>45791.51086805556</v>
      </c>
      <c r="C106" s="1" t="n">
        <v>46105</v>
      </c>
      <c r="D106" t="inlineStr">
        <is>
          <t>JÄMTLANDS LÄN</t>
        </is>
      </c>
      <c r="E106" t="inlineStr">
        <is>
          <t>BRÄCKE</t>
        </is>
      </c>
      <c r="F106" t="inlineStr">
        <is>
          <t>SCA</t>
        </is>
      </c>
      <c r="G106" t="n">
        <v>4.2</v>
      </c>
      <c r="H106" t="n">
        <v>0</v>
      </c>
      <c r="I106" t="n">
        <v>1</v>
      </c>
      <c r="J106" t="n">
        <v>4</v>
      </c>
      <c r="K106" t="n">
        <v>0</v>
      </c>
      <c r="L106" t="n">
        <v>0</v>
      </c>
      <c r="M106" t="n">
        <v>0</v>
      </c>
      <c r="N106" t="n">
        <v>0</v>
      </c>
      <c r="O106" t="n">
        <v>4</v>
      </c>
      <c r="P106" t="n">
        <v>0</v>
      </c>
      <c r="Q106" t="n">
        <v>5</v>
      </c>
      <c r="R106" s="2" t="inlineStr">
        <is>
          <t>Garnlav
Lunglav
Ullticka
Vedtrappmossa
Bårdlav</t>
        </is>
      </c>
      <c r="S106">
        <f>HYPERLINK("https://klasma.github.io/Logging_2305/artfynd/A 23246-2025 artfynd.xlsx", "A 23246-2025")</f>
        <v/>
      </c>
      <c r="T106">
        <f>HYPERLINK("https://klasma.github.io/Logging_2305/kartor/A 23246-2025 karta.png", "A 23246-2025")</f>
        <v/>
      </c>
      <c r="V106">
        <f>HYPERLINK("https://klasma.github.io/Logging_2305/klagomål/A 23246-2025 FSC-klagomål.docx", "A 23246-2025")</f>
        <v/>
      </c>
      <c r="W106">
        <f>HYPERLINK("https://klasma.github.io/Logging_2305/klagomålsmail/A 23246-2025 FSC-klagomål mail.docx", "A 23246-2025")</f>
        <v/>
      </c>
      <c r="X106">
        <f>HYPERLINK("https://klasma.github.io/Logging_2305/tillsyn/A 23246-2025 tillsynsbegäran.docx", "A 23246-2025")</f>
        <v/>
      </c>
      <c r="Y106">
        <f>HYPERLINK("https://klasma.github.io/Logging_2305/tillsynsmail/A 23246-2025 tillsynsbegäran mail.docx", "A 23246-2025")</f>
        <v/>
      </c>
    </row>
    <row r="107" ht="15" customHeight="1">
      <c r="A107" t="inlineStr">
        <is>
          <t>A 36820-2021</t>
        </is>
      </c>
      <c r="B107" s="1" t="n">
        <v>44392</v>
      </c>
      <c r="C107" s="1" t="n">
        <v>46105</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46105</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46105</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46105</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46105</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33928-2022</t>
        </is>
      </c>
      <c r="B112" s="1" t="n">
        <v>44790</v>
      </c>
      <c r="C112" s="1" t="n">
        <v>46105</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Vanliga ängsnycklar</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49375-2024</t>
        </is>
      </c>
      <c r="B113" s="1" t="n">
        <v>45595.64222222222</v>
      </c>
      <c r="C113" s="1" t="n">
        <v>46105</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32260-2024</t>
        </is>
      </c>
      <c r="B114" s="1" t="n">
        <v>45511.95291666667</v>
      </c>
      <c r="C114" s="1" t="n">
        <v>46105</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43461-2025</t>
        </is>
      </c>
      <c r="B115" s="1" t="n">
        <v>45911.46922453704</v>
      </c>
      <c r="C115" s="1" t="n">
        <v>46105</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62997-2025</t>
        </is>
      </c>
      <c r="B116" s="1" t="n">
        <v>46009.55484953704</v>
      </c>
      <c r="C116" s="1" t="n">
        <v>46105</v>
      </c>
      <c r="D116" t="inlineStr">
        <is>
          <t>JÄMTLANDS LÄN</t>
        </is>
      </c>
      <c r="E116" t="inlineStr">
        <is>
          <t>BRÄCKE</t>
        </is>
      </c>
      <c r="G116" t="n">
        <v>5.2</v>
      </c>
      <c r="H116" t="n">
        <v>2</v>
      </c>
      <c r="I116" t="n">
        <v>1</v>
      </c>
      <c r="J116" t="n">
        <v>2</v>
      </c>
      <c r="K116" t="n">
        <v>0</v>
      </c>
      <c r="L116" t="n">
        <v>0</v>
      </c>
      <c r="M116" t="n">
        <v>0</v>
      </c>
      <c r="N116" t="n">
        <v>0</v>
      </c>
      <c r="O116" t="n">
        <v>2</v>
      </c>
      <c r="P116" t="n">
        <v>0</v>
      </c>
      <c r="Q116" t="n">
        <v>4</v>
      </c>
      <c r="R116" s="2" t="inlineStr">
        <is>
          <t>Garnlav
Tretåig hackspett
Norrlandslav
Sparvuggla</t>
        </is>
      </c>
      <c r="S116">
        <f>HYPERLINK("https://klasma.github.io/Logging_2305/artfynd/A 62997-2025 artfynd.xlsx", "A 62997-2025")</f>
        <v/>
      </c>
      <c r="T116">
        <f>HYPERLINK("https://klasma.github.io/Logging_2305/kartor/A 62997-2025 karta.png", "A 62997-2025")</f>
        <v/>
      </c>
      <c r="V116">
        <f>HYPERLINK("https://klasma.github.io/Logging_2305/klagomål/A 62997-2025 FSC-klagomål.docx", "A 62997-2025")</f>
        <v/>
      </c>
      <c r="W116">
        <f>HYPERLINK("https://klasma.github.io/Logging_2305/klagomålsmail/A 62997-2025 FSC-klagomål mail.docx", "A 62997-2025")</f>
        <v/>
      </c>
      <c r="X116">
        <f>HYPERLINK("https://klasma.github.io/Logging_2305/tillsyn/A 62997-2025 tillsynsbegäran.docx", "A 62997-2025")</f>
        <v/>
      </c>
      <c r="Y116">
        <f>HYPERLINK("https://klasma.github.io/Logging_2305/tillsynsmail/A 62997-2025 tillsynsbegäran mail.docx", "A 62997-2025")</f>
        <v/>
      </c>
      <c r="Z116">
        <f>HYPERLINK("https://klasma.github.io/Logging_2305/fåglar/A 62997-2025 prioriterade fågelarter.docx", "A 62997-2025")</f>
        <v/>
      </c>
    </row>
    <row r="117" ht="15" customHeight="1">
      <c r="A117" t="inlineStr">
        <is>
          <t>A 34529-2025</t>
        </is>
      </c>
      <c r="B117" s="1" t="n">
        <v>45847.48991898148</v>
      </c>
      <c r="C117" s="1" t="n">
        <v>46105</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10543-2022</t>
        </is>
      </c>
      <c r="B118" s="1" t="n">
        <v>44623</v>
      </c>
      <c r="C118" s="1" t="n">
        <v>46105</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32654-2024</t>
        </is>
      </c>
      <c r="B119" s="1" t="n">
        <v>45513.96465277778</v>
      </c>
      <c r="C119" s="1" t="n">
        <v>46105</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7445-2025</t>
        </is>
      </c>
      <c r="B120" s="1" t="n">
        <v>45705.40694444445</v>
      </c>
      <c r="C120" s="1" t="n">
        <v>46105</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46105</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20496-2025</t>
        </is>
      </c>
      <c r="B122" s="1" t="n">
        <v>45775.57347222222</v>
      </c>
      <c r="C122" s="1" t="n">
        <v>46105</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30881-2025</t>
        </is>
      </c>
      <c r="B123" s="1" t="n">
        <v>45832.34538194445</v>
      </c>
      <c r="C123" s="1" t="n">
        <v>46105</v>
      </c>
      <c r="D123" t="inlineStr">
        <is>
          <t>JÄMTLANDS LÄN</t>
        </is>
      </c>
      <c r="E123" t="inlineStr">
        <is>
          <t>BRÄCKE</t>
        </is>
      </c>
      <c r="F123" t="inlineStr">
        <is>
          <t>SCA</t>
        </is>
      </c>
      <c r="G123" t="n">
        <v>3.3</v>
      </c>
      <c r="H123" t="n">
        <v>2</v>
      </c>
      <c r="I123" t="n">
        <v>0</v>
      </c>
      <c r="J123" t="n">
        <v>2</v>
      </c>
      <c r="K123" t="n">
        <v>2</v>
      </c>
      <c r="L123" t="n">
        <v>0</v>
      </c>
      <c r="M123" t="n">
        <v>0</v>
      </c>
      <c r="N123" t="n">
        <v>0</v>
      </c>
      <c r="O123" t="n">
        <v>4</v>
      </c>
      <c r="P123" t="n">
        <v>2</v>
      </c>
      <c r="Q123" t="n">
        <v>4</v>
      </c>
      <c r="R123" s="2" t="inlineStr">
        <is>
          <t>Knärot
Lappticka
Rosenticka
Talltita</t>
        </is>
      </c>
      <c r="S123">
        <f>HYPERLINK("https://klasma.github.io/Logging_2305/artfynd/A 30881-2025 artfynd.xlsx", "A 30881-2025")</f>
        <v/>
      </c>
      <c r="T123">
        <f>HYPERLINK("https://klasma.github.io/Logging_2305/kartor/A 30881-2025 karta.png", "A 30881-2025")</f>
        <v/>
      </c>
      <c r="U123">
        <f>HYPERLINK("https://klasma.github.io/Logging_2305/knärot/A 30881-2025 karta knärot.png", "A 30881-2025")</f>
        <v/>
      </c>
      <c r="V123">
        <f>HYPERLINK("https://klasma.github.io/Logging_2305/klagomål/A 30881-2025 FSC-klagomål.docx", "A 30881-2025")</f>
        <v/>
      </c>
      <c r="W123">
        <f>HYPERLINK("https://klasma.github.io/Logging_2305/klagomålsmail/A 30881-2025 FSC-klagomål mail.docx", "A 30881-2025")</f>
        <v/>
      </c>
      <c r="X123">
        <f>HYPERLINK("https://klasma.github.io/Logging_2305/tillsyn/A 30881-2025 tillsynsbegäran.docx", "A 30881-2025")</f>
        <v/>
      </c>
      <c r="Y123">
        <f>HYPERLINK("https://klasma.github.io/Logging_2305/tillsynsmail/A 30881-2025 tillsynsbegäran mail.docx", "A 30881-2025")</f>
        <v/>
      </c>
      <c r="Z123">
        <f>HYPERLINK("https://klasma.github.io/Logging_2305/fåglar/A 30881-2025 prioriterade fågelarter.docx", "A 30881-2025")</f>
        <v/>
      </c>
    </row>
    <row r="124" ht="15" customHeight="1">
      <c r="A124" t="inlineStr">
        <is>
          <t>A 28553-2024</t>
        </is>
      </c>
      <c r="B124" s="1" t="n">
        <v>45478</v>
      </c>
      <c r="C124" s="1" t="n">
        <v>46105</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2338-2026</t>
        </is>
      </c>
      <c r="B125" s="1" t="n">
        <v>46036.61542824074</v>
      </c>
      <c r="C125" s="1" t="n">
        <v>46105</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57076-2024</t>
        </is>
      </c>
      <c r="B126" s="1" t="n">
        <v>45629.35486111111</v>
      </c>
      <c r="C126" s="1" t="n">
        <v>46105</v>
      </c>
      <c r="D126" t="inlineStr">
        <is>
          <t>JÄMTLANDS LÄN</t>
        </is>
      </c>
      <c r="E126" t="inlineStr">
        <is>
          <t>BRÄCKE</t>
        </is>
      </c>
      <c r="F126" t="inlineStr">
        <is>
          <t>SCA</t>
        </is>
      </c>
      <c r="G126" t="n">
        <v>1.3</v>
      </c>
      <c r="H126" t="n">
        <v>1</v>
      </c>
      <c r="I126" t="n">
        <v>2</v>
      </c>
      <c r="J126" t="n">
        <v>1</v>
      </c>
      <c r="K126" t="n">
        <v>1</v>
      </c>
      <c r="L126" t="n">
        <v>0</v>
      </c>
      <c r="M126" t="n">
        <v>0</v>
      </c>
      <c r="N126" t="n">
        <v>0</v>
      </c>
      <c r="O126" t="n">
        <v>2</v>
      </c>
      <c r="P126" t="n">
        <v>1</v>
      </c>
      <c r="Q126" t="n">
        <v>4</v>
      </c>
      <c r="R126" s="2" t="inlineStr">
        <is>
          <t>Knärot
Lunglav
Luddlav
Vedticka</t>
        </is>
      </c>
      <c r="S126">
        <f>HYPERLINK("https://klasma.github.io/Logging_2305/artfynd/A 57076-2024 artfynd.xlsx", "A 57076-2024")</f>
        <v/>
      </c>
      <c r="T126">
        <f>HYPERLINK("https://klasma.github.io/Logging_2305/kartor/A 57076-2024 karta.png", "A 57076-2024")</f>
        <v/>
      </c>
      <c r="U126">
        <f>HYPERLINK("https://klasma.github.io/Logging_2305/knärot/A 57076-2024 karta knärot.png", "A 57076-2024")</f>
        <v/>
      </c>
      <c r="V126">
        <f>HYPERLINK("https://klasma.github.io/Logging_2305/klagomål/A 57076-2024 FSC-klagomål.docx", "A 57076-2024")</f>
        <v/>
      </c>
      <c r="W126">
        <f>HYPERLINK("https://klasma.github.io/Logging_2305/klagomålsmail/A 57076-2024 FSC-klagomål mail.docx", "A 57076-2024")</f>
        <v/>
      </c>
      <c r="X126">
        <f>HYPERLINK("https://klasma.github.io/Logging_2305/tillsyn/A 57076-2024 tillsynsbegäran.docx", "A 57076-2024")</f>
        <v/>
      </c>
      <c r="Y126">
        <f>HYPERLINK("https://klasma.github.io/Logging_2305/tillsynsmail/A 57076-2024 tillsynsbegäran mail.docx", "A 57076-2024")</f>
        <v/>
      </c>
    </row>
    <row r="127" ht="15" customHeight="1">
      <c r="A127" t="inlineStr">
        <is>
          <t>A 48479-2023</t>
        </is>
      </c>
      <c r="B127" s="1" t="n">
        <v>45206</v>
      </c>
      <c r="C127" s="1" t="n">
        <v>46105</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46105</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46105</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43620-2023</t>
        </is>
      </c>
      <c r="B130" s="1" t="n">
        <v>45184</v>
      </c>
      <c r="C130" s="1" t="n">
        <v>46105</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42105-2024</t>
        </is>
      </c>
      <c r="B131" s="1" t="n">
        <v>45562.3650462963</v>
      </c>
      <c r="C131" s="1" t="n">
        <v>46105</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57606-2024</t>
        </is>
      </c>
      <c r="B132" s="1" t="n">
        <v>45630.53204861111</v>
      </c>
      <c r="C132" s="1" t="n">
        <v>46105</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46105</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14978-2025</t>
        </is>
      </c>
      <c r="B134" s="1" t="n">
        <v>45743.59503472222</v>
      </c>
      <c r="C134" s="1" t="n">
        <v>46105</v>
      </c>
      <c r="D134" t="inlineStr">
        <is>
          <t>JÄMTLANDS LÄN</t>
        </is>
      </c>
      <c r="E134" t="inlineStr">
        <is>
          <t>BRÄCKE</t>
        </is>
      </c>
      <c r="F134" t="inlineStr">
        <is>
          <t>SCA</t>
        </is>
      </c>
      <c r="G134" t="n">
        <v>4.2</v>
      </c>
      <c r="H134" t="n">
        <v>1</v>
      </c>
      <c r="I134" t="n">
        <v>0</v>
      </c>
      <c r="J134" t="n">
        <v>4</v>
      </c>
      <c r="K134" t="n">
        <v>0</v>
      </c>
      <c r="L134" t="n">
        <v>0</v>
      </c>
      <c r="M134" t="n">
        <v>0</v>
      </c>
      <c r="N134" t="n">
        <v>0</v>
      </c>
      <c r="O134" t="n">
        <v>4</v>
      </c>
      <c r="P134" t="n">
        <v>0</v>
      </c>
      <c r="Q134" t="n">
        <v>4</v>
      </c>
      <c r="R134" s="2" t="inlineStr">
        <is>
          <t>Granticka
Lunglav
Tretåig hackspett
Vitgrynig nållav</t>
        </is>
      </c>
      <c r="S134">
        <f>HYPERLINK("https://klasma.github.io/Logging_2305/artfynd/A 14978-2025 artfynd.xlsx", "A 14978-2025")</f>
        <v/>
      </c>
      <c r="T134">
        <f>HYPERLINK("https://klasma.github.io/Logging_2305/kartor/A 14978-2025 karta.png", "A 14978-2025")</f>
        <v/>
      </c>
      <c r="V134">
        <f>HYPERLINK("https://klasma.github.io/Logging_2305/klagomål/A 14978-2025 FSC-klagomål.docx", "A 14978-2025")</f>
        <v/>
      </c>
      <c r="W134">
        <f>HYPERLINK("https://klasma.github.io/Logging_2305/klagomålsmail/A 14978-2025 FSC-klagomål mail.docx", "A 14978-2025")</f>
        <v/>
      </c>
      <c r="X134">
        <f>HYPERLINK("https://klasma.github.io/Logging_2305/tillsyn/A 14978-2025 tillsynsbegäran.docx", "A 14978-2025")</f>
        <v/>
      </c>
      <c r="Y134">
        <f>HYPERLINK("https://klasma.github.io/Logging_2305/tillsynsmail/A 14978-2025 tillsynsbegäran mail.docx", "A 14978-2025")</f>
        <v/>
      </c>
      <c r="Z134">
        <f>HYPERLINK("https://klasma.github.io/Logging_2305/fåglar/A 14978-2025 prioriterade fågelarter.docx", "A 14978-2025")</f>
        <v/>
      </c>
    </row>
    <row r="135" ht="15" customHeight="1">
      <c r="A135" t="inlineStr">
        <is>
          <t>A 21412-2025</t>
        </is>
      </c>
      <c r="B135" s="1" t="n">
        <v>45782.49100694444</v>
      </c>
      <c r="C135" s="1" t="n">
        <v>46105</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46105</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46105</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46105</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46105</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46105</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25717-2024</t>
        </is>
      </c>
      <c r="B141" s="1" t="n">
        <v>45463.94459490741</v>
      </c>
      <c r="C141" s="1" t="n">
        <v>46105</v>
      </c>
      <c r="D141" t="inlineStr">
        <is>
          <t>JÄMTLANDS LÄN</t>
        </is>
      </c>
      <c r="E141" t="inlineStr">
        <is>
          <t>BRÄCKE</t>
        </is>
      </c>
      <c r="G141" t="n">
        <v>2.9</v>
      </c>
      <c r="H141" t="n">
        <v>1</v>
      </c>
      <c r="I141" t="n">
        <v>1</v>
      </c>
      <c r="J141" t="n">
        <v>1</v>
      </c>
      <c r="K141" t="n">
        <v>1</v>
      </c>
      <c r="L141" t="n">
        <v>0</v>
      </c>
      <c r="M141" t="n">
        <v>0</v>
      </c>
      <c r="N141" t="n">
        <v>0</v>
      </c>
      <c r="O141" t="n">
        <v>2</v>
      </c>
      <c r="P141" t="n">
        <v>1</v>
      </c>
      <c r="Q141" t="n">
        <v>3</v>
      </c>
      <c r="R141" s="2" t="inlineStr">
        <is>
          <t>Knärot
Lunglav
Skinnlav</t>
        </is>
      </c>
      <c r="S141">
        <f>HYPERLINK("https://klasma.github.io/Logging_2305/artfynd/A 25717-2024 artfynd.xlsx", "A 25717-2024")</f>
        <v/>
      </c>
      <c r="T141">
        <f>HYPERLINK("https://klasma.github.io/Logging_2305/kartor/A 25717-2024 karta.png", "A 25717-2024")</f>
        <v/>
      </c>
      <c r="U141">
        <f>HYPERLINK("https://klasma.github.io/Logging_2305/knärot/A 25717-2024 karta knärot.png", "A 25717-2024")</f>
        <v/>
      </c>
      <c r="V141">
        <f>HYPERLINK("https://klasma.github.io/Logging_2305/klagomål/A 25717-2024 FSC-klagomål.docx", "A 25717-2024")</f>
        <v/>
      </c>
      <c r="W141">
        <f>HYPERLINK("https://klasma.github.io/Logging_2305/klagomålsmail/A 25717-2024 FSC-klagomål mail.docx", "A 25717-2024")</f>
        <v/>
      </c>
      <c r="X141">
        <f>HYPERLINK("https://klasma.github.io/Logging_2305/tillsyn/A 25717-2024 tillsynsbegäran.docx", "A 25717-2024")</f>
        <v/>
      </c>
      <c r="Y141">
        <f>HYPERLINK("https://klasma.github.io/Logging_2305/tillsynsmail/A 25717-2024 tillsynsbegäran mail.docx", "A 25717-2024")</f>
        <v/>
      </c>
    </row>
    <row r="142" ht="15" customHeight="1">
      <c r="A142" t="inlineStr">
        <is>
          <t>A 29689-2024</t>
        </is>
      </c>
      <c r="B142" s="1" t="n">
        <v>45484.94427083333</v>
      </c>
      <c r="C142" s="1" t="n">
        <v>46105</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46105</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30989-2024</t>
        </is>
      </c>
      <c r="B144" s="1" t="n">
        <v>45499.54851851852</v>
      </c>
      <c r="C144" s="1" t="n">
        <v>46105</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46105</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41648-2023</t>
        </is>
      </c>
      <c r="B146" s="1" t="n">
        <v>45175</v>
      </c>
      <c r="C146" s="1" t="n">
        <v>46105</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30112-2025</t>
        </is>
      </c>
      <c r="B147" s="1" t="n">
        <v>45826.71938657408</v>
      </c>
      <c r="C147" s="1" t="n">
        <v>46105</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50516-2023</t>
        </is>
      </c>
      <c r="B148" s="1" t="n">
        <v>45216</v>
      </c>
      <c r="C148" s="1" t="n">
        <v>46105</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33678-2025</t>
        </is>
      </c>
      <c r="B149" s="1" t="n">
        <v>45841.67853009259</v>
      </c>
      <c r="C149" s="1" t="n">
        <v>46105</v>
      </c>
      <c r="D149" t="inlineStr">
        <is>
          <t>JÄMTLANDS LÄN</t>
        </is>
      </c>
      <c r="E149" t="inlineStr">
        <is>
          <t>BRÄCKE</t>
        </is>
      </c>
      <c r="F149" t="inlineStr">
        <is>
          <t>SCA</t>
        </is>
      </c>
      <c r="G149" t="n">
        <v>6.1</v>
      </c>
      <c r="H149" t="n">
        <v>0</v>
      </c>
      <c r="I149" t="n">
        <v>2</v>
      </c>
      <c r="J149" t="n">
        <v>1</v>
      </c>
      <c r="K149" t="n">
        <v>0</v>
      </c>
      <c r="L149" t="n">
        <v>0</v>
      </c>
      <c r="M149" t="n">
        <v>0</v>
      </c>
      <c r="N149" t="n">
        <v>0</v>
      </c>
      <c r="O149" t="n">
        <v>1</v>
      </c>
      <c r="P149" t="n">
        <v>0</v>
      </c>
      <c r="Q149" t="n">
        <v>3</v>
      </c>
      <c r="R149" s="2" t="inlineStr">
        <is>
          <t>Kolflarnlav
Dropptaggsvamp
Skarp dropptaggsvamp</t>
        </is>
      </c>
      <c r="S149">
        <f>HYPERLINK("https://klasma.github.io/Logging_2305/artfynd/A 33678-2025 artfynd.xlsx", "A 33678-2025")</f>
        <v/>
      </c>
      <c r="T149">
        <f>HYPERLINK("https://klasma.github.io/Logging_2305/kartor/A 33678-2025 karta.png", "A 33678-2025")</f>
        <v/>
      </c>
      <c r="V149">
        <f>HYPERLINK("https://klasma.github.io/Logging_2305/klagomål/A 33678-2025 FSC-klagomål.docx", "A 33678-2025")</f>
        <v/>
      </c>
      <c r="W149">
        <f>HYPERLINK("https://klasma.github.io/Logging_2305/klagomålsmail/A 33678-2025 FSC-klagomål mail.docx", "A 33678-2025")</f>
        <v/>
      </c>
      <c r="X149">
        <f>HYPERLINK("https://klasma.github.io/Logging_2305/tillsyn/A 33678-2025 tillsynsbegäran.docx", "A 33678-2025")</f>
        <v/>
      </c>
      <c r="Y149">
        <f>HYPERLINK("https://klasma.github.io/Logging_2305/tillsynsmail/A 33678-2025 tillsynsbegäran mail.docx", "A 33678-2025")</f>
        <v/>
      </c>
    </row>
    <row r="150" ht="15" customHeight="1">
      <c r="A150" t="inlineStr">
        <is>
          <t>A 35907-2025</t>
        </is>
      </c>
      <c r="B150" s="1" t="n">
        <v>45862.5109837963</v>
      </c>
      <c r="C150" s="1" t="n">
        <v>46105</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47073-2025</t>
        </is>
      </c>
      <c r="B151" s="1" t="n">
        <v>45929.63668981481</v>
      </c>
      <c r="C151" s="1" t="n">
        <v>46105</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47038-2025</t>
        </is>
      </c>
      <c r="B152" s="1" t="n">
        <v>45929.59473379629</v>
      </c>
      <c r="C152" s="1" t="n">
        <v>46105</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103-2025</t>
        </is>
      </c>
      <c r="B153" s="1" t="n">
        <v>45659</v>
      </c>
      <c r="C153" s="1" t="n">
        <v>46105</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49293-2025</t>
        </is>
      </c>
      <c r="B154" s="1" t="n">
        <v>45938.53223379629</v>
      </c>
      <c r="C154" s="1" t="n">
        <v>46105</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37707-2025</t>
        </is>
      </c>
      <c r="B155" s="1" t="n">
        <v>45880.59423611111</v>
      </c>
      <c r="C155" s="1" t="n">
        <v>46105</v>
      </c>
      <c r="D155" t="inlineStr">
        <is>
          <t>JÄMTLANDS LÄN</t>
        </is>
      </c>
      <c r="E155" t="inlineStr">
        <is>
          <t>BRÄCKE</t>
        </is>
      </c>
      <c r="G155" t="n">
        <v>6.6</v>
      </c>
      <c r="H155" t="n">
        <v>0</v>
      </c>
      <c r="I155" t="n">
        <v>0</v>
      </c>
      <c r="J155" t="n">
        <v>3</v>
      </c>
      <c r="K155" t="n">
        <v>0</v>
      </c>
      <c r="L155" t="n">
        <v>0</v>
      </c>
      <c r="M155" t="n">
        <v>0</v>
      </c>
      <c r="N155" t="n">
        <v>0</v>
      </c>
      <c r="O155" t="n">
        <v>3</v>
      </c>
      <c r="P155" t="n">
        <v>0</v>
      </c>
      <c r="Q155" t="n">
        <v>3</v>
      </c>
      <c r="R155" s="2" t="inlineStr">
        <is>
          <t>Dvärgbägarlav
Mörk kolflarnlav
Vedflamlav</t>
        </is>
      </c>
      <c r="S155">
        <f>HYPERLINK("https://klasma.github.io/Logging_2305/artfynd/A 37707-2025 artfynd.xlsx", "A 37707-2025")</f>
        <v/>
      </c>
      <c r="T155">
        <f>HYPERLINK("https://klasma.github.io/Logging_2305/kartor/A 37707-2025 karta.png", "A 37707-2025")</f>
        <v/>
      </c>
      <c r="V155">
        <f>HYPERLINK("https://klasma.github.io/Logging_2305/klagomål/A 37707-2025 FSC-klagomål.docx", "A 37707-2025")</f>
        <v/>
      </c>
      <c r="W155">
        <f>HYPERLINK("https://klasma.github.io/Logging_2305/klagomålsmail/A 37707-2025 FSC-klagomål mail.docx", "A 37707-2025")</f>
        <v/>
      </c>
      <c r="X155">
        <f>HYPERLINK("https://klasma.github.io/Logging_2305/tillsyn/A 37707-2025 tillsynsbegäran.docx", "A 37707-2025")</f>
        <v/>
      </c>
      <c r="Y155">
        <f>HYPERLINK("https://klasma.github.io/Logging_2305/tillsynsmail/A 37707-2025 tillsynsbegäran mail.docx", "A 37707-2025")</f>
        <v/>
      </c>
    </row>
    <row r="156" ht="15" customHeight="1">
      <c r="A156" t="inlineStr">
        <is>
          <t>A 49624-2025</t>
        </is>
      </c>
      <c r="B156" s="1" t="n">
        <v>45939.59447916667</v>
      </c>
      <c r="C156" s="1" t="n">
        <v>46105</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53261-2025</t>
        </is>
      </c>
      <c r="B157" s="1" t="n">
        <v>45958.67787037037</v>
      </c>
      <c r="C157" s="1" t="n">
        <v>46105</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26009-2024</t>
        </is>
      </c>
      <c r="B158" s="1" t="n">
        <v>45467</v>
      </c>
      <c r="C158" s="1" t="n">
        <v>46105</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57617-2025</t>
        </is>
      </c>
      <c r="B159" s="1" t="n">
        <v>45981.34484953704</v>
      </c>
      <c r="C159" s="1" t="n">
        <v>46105</v>
      </c>
      <c r="D159" t="inlineStr">
        <is>
          <t>JÄMTLANDS LÄN</t>
        </is>
      </c>
      <c r="E159" t="inlineStr">
        <is>
          <t>BRÄCKE</t>
        </is>
      </c>
      <c r="F159" t="inlineStr">
        <is>
          <t>SCA</t>
        </is>
      </c>
      <c r="G159" t="n">
        <v>7.9</v>
      </c>
      <c r="H159" t="n">
        <v>1</v>
      </c>
      <c r="I159" t="n">
        <v>2</v>
      </c>
      <c r="J159" t="n">
        <v>0</v>
      </c>
      <c r="K159" t="n">
        <v>1</v>
      </c>
      <c r="L159" t="n">
        <v>0</v>
      </c>
      <c r="M159" t="n">
        <v>0</v>
      </c>
      <c r="N159" t="n">
        <v>0</v>
      </c>
      <c r="O159" t="n">
        <v>1</v>
      </c>
      <c r="P159" t="n">
        <v>1</v>
      </c>
      <c r="Q159" t="n">
        <v>3</v>
      </c>
      <c r="R159" s="2" t="inlineStr">
        <is>
          <t>Knärot
Svavelriska
Trådticka</t>
        </is>
      </c>
      <c r="S159">
        <f>HYPERLINK("https://klasma.github.io/Logging_2305/artfynd/A 57617-2025 artfynd.xlsx", "A 57617-2025")</f>
        <v/>
      </c>
      <c r="T159">
        <f>HYPERLINK("https://klasma.github.io/Logging_2305/kartor/A 57617-2025 karta.png", "A 57617-2025")</f>
        <v/>
      </c>
      <c r="U159">
        <f>HYPERLINK("https://klasma.github.io/Logging_2305/knärot/A 57617-2025 karta knärot.png", "A 57617-2025")</f>
        <v/>
      </c>
      <c r="V159">
        <f>HYPERLINK("https://klasma.github.io/Logging_2305/klagomål/A 57617-2025 FSC-klagomål.docx", "A 57617-2025")</f>
        <v/>
      </c>
      <c r="W159">
        <f>HYPERLINK("https://klasma.github.io/Logging_2305/klagomålsmail/A 57617-2025 FSC-klagomål mail.docx", "A 57617-2025")</f>
        <v/>
      </c>
      <c r="X159">
        <f>HYPERLINK("https://klasma.github.io/Logging_2305/tillsyn/A 57617-2025 tillsynsbegäran.docx", "A 57617-2025")</f>
        <v/>
      </c>
      <c r="Y159">
        <f>HYPERLINK("https://klasma.github.io/Logging_2305/tillsynsmail/A 57617-2025 tillsynsbegäran mail.docx", "A 57617-2025")</f>
        <v/>
      </c>
    </row>
    <row r="160" ht="15" customHeight="1">
      <c r="A160" t="inlineStr">
        <is>
          <t>A 58422-2025</t>
        </is>
      </c>
      <c r="B160" s="1" t="n">
        <v>45985.59431712963</v>
      </c>
      <c r="C160" s="1" t="n">
        <v>46105</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60610-2024</t>
        </is>
      </c>
      <c r="B161" s="1" t="n">
        <v>45644.38570601852</v>
      </c>
      <c r="C161" s="1" t="n">
        <v>46105</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17912-2025</t>
        </is>
      </c>
      <c r="B162" s="1" t="n">
        <v>45758.75871527778</v>
      </c>
      <c r="C162" s="1" t="n">
        <v>46105</v>
      </c>
      <c r="D162" t="inlineStr">
        <is>
          <t>JÄMTLANDS LÄN</t>
        </is>
      </c>
      <c r="E162" t="inlineStr">
        <is>
          <t>BRÄCKE</t>
        </is>
      </c>
      <c r="G162" t="n">
        <v>2</v>
      </c>
      <c r="H162" t="n">
        <v>0</v>
      </c>
      <c r="I162" t="n">
        <v>1</v>
      </c>
      <c r="J162" t="n">
        <v>2</v>
      </c>
      <c r="K162" t="n">
        <v>0</v>
      </c>
      <c r="L162" t="n">
        <v>0</v>
      </c>
      <c r="M162" t="n">
        <v>0</v>
      </c>
      <c r="N162" t="n">
        <v>0</v>
      </c>
      <c r="O162" t="n">
        <v>2</v>
      </c>
      <c r="P162" t="n">
        <v>0</v>
      </c>
      <c r="Q162" t="n">
        <v>3</v>
      </c>
      <c r="R162" s="2" t="inlineStr">
        <is>
          <t>Kolflarnlav
Lunglav
Grönpyrola</t>
        </is>
      </c>
      <c r="S162">
        <f>HYPERLINK("https://klasma.github.io/Logging_2305/artfynd/A 17912-2025 artfynd.xlsx", "A 17912-2025")</f>
        <v/>
      </c>
      <c r="T162">
        <f>HYPERLINK("https://klasma.github.io/Logging_2305/kartor/A 17912-2025 karta.png", "A 17912-2025")</f>
        <v/>
      </c>
      <c r="V162">
        <f>HYPERLINK("https://klasma.github.io/Logging_2305/klagomål/A 17912-2025 FSC-klagomål.docx", "A 17912-2025")</f>
        <v/>
      </c>
      <c r="W162">
        <f>HYPERLINK("https://klasma.github.io/Logging_2305/klagomålsmail/A 17912-2025 FSC-klagomål mail.docx", "A 17912-2025")</f>
        <v/>
      </c>
      <c r="X162">
        <f>HYPERLINK("https://klasma.github.io/Logging_2305/tillsyn/A 17912-2025 tillsynsbegäran.docx", "A 17912-2025")</f>
        <v/>
      </c>
      <c r="Y162">
        <f>HYPERLINK("https://klasma.github.io/Logging_2305/tillsynsmail/A 17912-2025 tillsynsbegäran mail.docx", "A 17912-2025")</f>
        <v/>
      </c>
    </row>
    <row r="163" ht="15" customHeight="1">
      <c r="A163" t="inlineStr">
        <is>
          <t>A 30486-2024</t>
        </is>
      </c>
      <c r="B163" s="1" t="n">
        <v>45491</v>
      </c>
      <c r="C163" s="1" t="n">
        <v>46105</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58584-2021</t>
        </is>
      </c>
      <c r="B164" s="1" t="n">
        <v>44488</v>
      </c>
      <c r="C164" s="1" t="n">
        <v>46105</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50616-2024</t>
        </is>
      </c>
      <c r="B165" s="1" t="n">
        <v>45601.63574074074</v>
      </c>
      <c r="C165" s="1" t="n">
        <v>46105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4180-2022</t>
        </is>
      </c>
      <c r="B166" s="1" t="n">
        <v>44588</v>
      </c>
      <c r="C166" s="1" t="n">
        <v>46105</v>
      </c>
      <c r="D166" t="inlineStr">
        <is>
          <t>JÄMTLANDS LÄN</t>
        </is>
      </c>
      <c r="E166" t="inlineStr">
        <is>
          <t>BRÄCKE</t>
        </is>
      </c>
      <c r="G166" t="n">
        <v>6.1</v>
      </c>
      <c r="H166" t="n">
        <v>2</v>
      </c>
      <c r="I166" t="n">
        <v>1</v>
      </c>
      <c r="J166" t="n">
        <v>1</v>
      </c>
      <c r="K166" t="n">
        <v>1</v>
      </c>
      <c r="L166" t="n">
        <v>0</v>
      </c>
      <c r="M166" t="n">
        <v>0</v>
      </c>
      <c r="N166" t="n">
        <v>0</v>
      </c>
      <c r="O166" t="n">
        <v>2</v>
      </c>
      <c r="P166" t="n">
        <v>1</v>
      </c>
      <c r="Q166" t="n">
        <v>3</v>
      </c>
      <c r="R166" s="2" t="inlineStr">
        <is>
          <t>Knärot
Skogsfru
Ögonpyrola</t>
        </is>
      </c>
      <c r="S166">
        <f>HYPERLINK("https://klasma.github.io/Logging_2305/artfynd/A 4180-2022 artfynd.xlsx", "A 4180-2022")</f>
        <v/>
      </c>
      <c r="T166">
        <f>HYPERLINK("https://klasma.github.io/Logging_2305/kartor/A 4180-2022 karta.png", "A 4180-2022")</f>
        <v/>
      </c>
      <c r="U166">
        <f>HYPERLINK("https://klasma.github.io/Logging_2305/knärot/A 4180-2022 karta knärot.png", "A 4180-2022")</f>
        <v/>
      </c>
      <c r="V166">
        <f>HYPERLINK("https://klasma.github.io/Logging_2305/klagomål/A 4180-2022 FSC-klagomål.docx", "A 4180-2022")</f>
        <v/>
      </c>
      <c r="W166">
        <f>HYPERLINK("https://klasma.github.io/Logging_2305/klagomålsmail/A 4180-2022 FSC-klagomål mail.docx", "A 4180-2022")</f>
        <v/>
      </c>
      <c r="X166">
        <f>HYPERLINK("https://klasma.github.io/Logging_2305/tillsyn/A 4180-2022 tillsynsbegäran.docx", "A 4180-2022")</f>
        <v/>
      </c>
      <c r="Y166">
        <f>HYPERLINK("https://klasma.github.io/Logging_2305/tillsynsmail/A 4180-2022 tillsynsbegäran mail.docx", "A 4180-2022")</f>
        <v/>
      </c>
    </row>
    <row r="167" ht="15" customHeight="1">
      <c r="A167" t="inlineStr">
        <is>
          <t>A 29690-2024</t>
        </is>
      </c>
      <c r="B167" s="1" t="n">
        <v>45484.94436342592</v>
      </c>
      <c r="C167" s="1" t="n">
        <v>46105</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2298-2025</t>
        </is>
      </c>
      <c r="B168" s="1" t="n">
        <v>45673.595</v>
      </c>
      <c r="C168" s="1" t="n">
        <v>46105</v>
      </c>
      <c r="D168" t="inlineStr">
        <is>
          <t>JÄMTLANDS LÄN</t>
        </is>
      </c>
      <c r="E168" t="inlineStr">
        <is>
          <t>BRÄCKE</t>
        </is>
      </c>
      <c r="F168" t="inlineStr">
        <is>
          <t>SCA</t>
        </is>
      </c>
      <c r="G168" t="n">
        <v>8.300000000000001</v>
      </c>
      <c r="H168" t="n">
        <v>0</v>
      </c>
      <c r="I168" t="n">
        <v>0</v>
      </c>
      <c r="J168" t="n">
        <v>2</v>
      </c>
      <c r="K168" t="n">
        <v>1</v>
      </c>
      <c r="L168" t="n">
        <v>0</v>
      </c>
      <c r="M168" t="n">
        <v>0</v>
      </c>
      <c r="N168" t="n">
        <v>0</v>
      </c>
      <c r="O168" t="n">
        <v>3</v>
      </c>
      <c r="P168" t="n">
        <v>1</v>
      </c>
      <c r="Q168" t="n">
        <v>3</v>
      </c>
      <c r="R168" s="2" t="inlineStr">
        <is>
          <t>Rynkskinn
Granticka
Vaddporing</t>
        </is>
      </c>
      <c r="S168">
        <f>HYPERLINK("https://klasma.github.io/Logging_2305/artfynd/A 2298-2025 artfynd.xlsx", "A 2298-2025")</f>
        <v/>
      </c>
      <c r="T168">
        <f>HYPERLINK("https://klasma.github.io/Logging_2305/kartor/A 2298-2025 karta.png", "A 2298-2025")</f>
        <v/>
      </c>
      <c r="V168">
        <f>HYPERLINK("https://klasma.github.io/Logging_2305/klagomål/A 2298-2025 FSC-klagomål.docx", "A 2298-2025")</f>
        <v/>
      </c>
      <c r="W168">
        <f>HYPERLINK("https://klasma.github.io/Logging_2305/klagomålsmail/A 2298-2025 FSC-klagomål mail.docx", "A 2298-2025")</f>
        <v/>
      </c>
      <c r="X168">
        <f>HYPERLINK("https://klasma.github.io/Logging_2305/tillsyn/A 2298-2025 tillsynsbegäran.docx", "A 2298-2025")</f>
        <v/>
      </c>
      <c r="Y168">
        <f>HYPERLINK("https://klasma.github.io/Logging_2305/tillsynsmail/A 2298-2025 tillsynsbegäran mail.docx", "A 2298-2025")</f>
        <v/>
      </c>
    </row>
    <row r="169" ht="15" customHeight="1">
      <c r="A169" t="inlineStr">
        <is>
          <t>A 48067-2023</t>
        </is>
      </c>
      <c r="B169" s="1" t="n">
        <v>45204</v>
      </c>
      <c r="C169" s="1" t="n">
        <v>46105</v>
      </c>
      <c r="D169" t="inlineStr">
        <is>
          <t>JÄMTLANDS LÄN</t>
        </is>
      </c>
      <c r="E169" t="inlineStr">
        <is>
          <t>BRÄCKE</t>
        </is>
      </c>
      <c r="F169" t="inlineStr">
        <is>
          <t>SCA</t>
        </is>
      </c>
      <c r="G169" t="n">
        <v>1.2</v>
      </c>
      <c r="H169" t="n">
        <v>0</v>
      </c>
      <c r="I169" t="n">
        <v>2</v>
      </c>
      <c r="J169" t="n">
        <v>1</v>
      </c>
      <c r="K169" t="n">
        <v>0</v>
      </c>
      <c r="L169" t="n">
        <v>0</v>
      </c>
      <c r="M169" t="n">
        <v>0</v>
      </c>
      <c r="N169" t="n">
        <v>0</v>
      </c>
      <c r="O169" t="n">
        <v>1</v>
      </c>
      <c r="P169" t="n">
        <v>0</v>
      </c>
      <c r="Q169" t="n">
        <v>3</v>
      </c>
      <c r="R169" s="2" t="inlineStr">
        <is>
          <t>Lunglav
Gytterlav
Korallblylav</t>
        </is>
      </c>
      <c r="S169">
        <f>HYPERLINK("https://klasma.github.io/Logging_2305/artfynd/A 48067-2023 artfynd.xlsx", "A 48067-2023")</f>
        <v/>
      </c>
      <c r="T169">
        <f>HYPERLINK("https://klasma.github.io/Logging_2305/kartor/A 48067-2023 karta.png", "A 48067-2023")</f>
        <v/>
      </c>
      <c r="V169">
        <f>HYPERLINK("https://klasma.github.io/Logging_2305/klagomål/A 48067-2023 FSC-klagomål.docx", "A 48067-2023")</f>
        <v/>
      </c>
      <c r="W169">
        <f>HYPERLINK("https://klasma.github.io/Logging_2305/klagomålsmail/A 48067-2023 FSC-klagomål mail.docx", "A 48067-2023")</f>
        <v/>
      </c>
      <c r="X169">
        <f>HYPERLINK("https://klasma.github.io/Logging_2305/tillsyn/A 48067-2023 tillsynsbegäran.docx", "A 48067-2023")</f>
        <v/>
      </c>
      <c r="Y169">
        <f>HYPERLINK("https://klasma.github.io/Logging_2305/tillsynsmail/A 48067-2023 tillsynsbegäran mail.docx", "A 48067-2023")</f>
        <v/>
      </c>
    </row>
    <row r="170" ht="15" customHeight="1">
      <c r="A170" t="inlineStr">
        <is>
          <t>A 19336-2024</t>
        </is>
      </c>
      <c r="B170" s="1" t="n">
        <v>45428.97079861111</v>
      </c>
      <c r="C170" s="1" t="n">
        <v>46105</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16959-2025</t>
        </is>
      </c>
      <c r="B171" s="1" t="n">
        <v>45755.44854166666</v>
      </c>
      <c r="C171" s="1" t="n">
        <v>46105</v>
      </c>
      <c r="D171" t="inlineStr">
        <is>
          <t>JÄMTLANDS LÄN</t>
        </is>
      </c>
      <c r="E171" t="inlineStr">
        <is>
          <t>BRÄCKE</t>
        </is>
      </c>
      <c r="F171" t="inlineStr">
        <is>
          <t>SCA</t>
        </is>
      </c>
      <c r="G171" t="n">
        <v>4.6</v>
      </c>
      <c r="H171" t="n">
        <v>3</v>
      </c>
      <c r="I171" t="n">
        <v>0</v>
      </c>
      <c r="J171" t="n">
        <v>1</v>
      </c>
      <c r="K171" t="n">
        <v>1</v>
      </c>
      <c r="L171" t="n">
        <v>0</v>
      </c>
      <c r="M171" t="n">
        <v>0</v>
      </c>
      <c r="N171" t="n">
        <v>0</v>
      </c>
      <c r="O171" t="n">
        <v>2</v>
      </c>
      <c r="P171" t="n">
        <v>1</v>
      </c>
      <c r="Q171" t="n">
        <v>3</v>
      </c>
      <c r="R171" s="2" t="inlineStr">
        <is>
          <t>Knärot
Talltita
Kungsfågel</t>
        </is>
      </c>
      <c r="S171">
        <f>HYPERLINK("https://klasma.github.io/Logging_2305/artfynd/A 16959-2025 artfynd.xlsx", "A 16959-2025")</f>
        <v/>
      </c>
      <c r="T171">
        <f>HYPERLINK("https://klasma.github.io/Logging_2305/kartor/A 16959-2025 karta.png", "A 16959-2025")</f>
        <v/>
      </c>
      <c r="U171">
        <f>HYPERLINK("https://klasma.github.io/Logging_2305/knärot/A 16959-2025 karta knärot.png", "A 16959-2025")</f>
        <v/>
      </c>
      <c r="V171">
        <f>HYPERLINK("https://klasma.github.io/Logging_2305/klagomål/A 16959-2025 FSC-klagomål.docx", "A 16959-2025")</f>
        <v/>
      </c>
      <c r="W171">
        <f>HYPERLINK("https://klasma.github.io/Logging_2305/klagomålsmail/A 16959-2025 FSC-klagomål mail.docx", "A 16959-2025")</f>
        <v/>
      </c>
      <c r="X171">
        <f>HYPERLINK("https://klasma.github.io/Logging_2305/tillsyn/A 16959-2025 tillsynsbegäran.docx", "A 16959-2025")</f>
        <v/>
      </c>
      <c r="Y171">
        <f>HYPERLINK("https://klasma.github.io/Logging_2305/tillsynsmail/A 16959-2025 tillsynsbegäran mail.docx", "A 16959-2025")</f>
        <v/>
      </c>
      <c r="Z171">
        <f>HYPERLINK("https://klasma.github.io/Logging_2305/fåglar/A 16959-2025 prioriterade fågelarter.docx", "A 16959-2025")</f>
        <v/>
      </c>
    </row>
    <row r="172" ht="15" customHeight="1">
      <c r="A172" t="inlineStr">
        <is>
          <t>A 11002-2022</t>
        </is>
      </c>
      <c r="B172" s="1" t="n">
        <v>44628</v>
      </c>
      <c r="C172" s="1" t="n">
        <v>46105</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19437-2023</t>
        </is>
      </c>
      <c r="B173" s="1" t="n">
        <v>45049</v>
      </c>
      <c r="C173" s="1" t="n">
        <v>46105</v>
      </c>
      <c r="D173" t="inlineStr">
        <is>
          <t>JÄMTLANDS LÄN</t>
        </is>
      </c>
      <c r="E173" t="inlineStr">
        <is>
          <t>BRÄCKE</t>
        </is>
      </c>
      <c r="G173" t="n">
        <v>1.5</v>
      </c>
      <c r="H173" t="n">
        <v>0</v>
      </c>
      <c r="I173" t="n">
        <v>2</v>
      </c>
      <c r="J173" t="n">
        <v>1</v>
      </c>
      <c r="K173" t="n">
        <v>0</v>
      </c>
      <c r="L173" t="n">
        <v>0</v>
      </c>
      <c r="M173" t="n">
        <v>0</v>
      </c>
      <c r="N173" t="n">
        <v>0</v>
      </c>
      <c r="O173" t="n">
        <v>1</v>
      </c>
      <c r="P173" t="n">
        <v>0</v>
      </c>
      <c r="Q173" t="n">
        <v>3</v>
      </c>
      <c r="R173" s="2" t="inlineStr">
        <is>
          <t>Ullticka
Stuplav
Svart trolldruva</t>
        </is>
      </c>
      <c r="S173">
        <f>HYPERLINK("https://klasma.github.io/Logging_2305/artfynd/A 19437-2023 artfynd.xlsx", "A 19437-2023")</f>
        <v/>
      </c>
      <c r="T173">
        <f>HYPERLINK("https://klasma.github.io/Logging_2305/kartor/A 19437-2023 karta.png", "A 19437-2023")</f>
        <v/>
      </c>
      <c r="U173">
        <f>HYPERLINK("https://klasma.github.io/Logging_2305/knärot/A 19437-2023 karta knärot.png", "A 19437-2023")</f>
        <v/>
      </c>
      <c r="V173">
        <f>HYPERLINK("https://klasma.github.io/Logging_2305/klagomål/A 19437-2023 FSC-klagomål.docx", "A 19437-2023")</f>
        <v/>
      </c>
      <c r="W173">
        <f>HYPERLINK("https://klasma.github.io/Logging_2305/klagomålsmail/A 19437-2023 FSC-klagomål mail.docx", "A 19437-2023")</f>
        <v/>
      </c>
      <c r="X173">
        <f>HYPERLINK("https://klasma.github.io/Logging_2305/tillsyn/A 19437-2023 tillsynsbegäran.docx", "A 19437-2023")</f>
        <v/>
      </c>
      <c r="Y173">
        <f>HYPERLINK("https://klasma.github.io/Logging_2305/tillsynsmail/A 19437-2023 tillsynsbegäran mail.docx", "A 19437-2023")</f>
        <v/>
      </c>
    </row>
    <row r="174" ht="15" customHeight="1">
      <c r="A174" t="inlineStr">
        <is>
          <t>A 57105-2024</t>
        </is>
      </c>
      <c r="B174" s="1" t="n">
        <v>45629.35895833333</v>
      </c>
      <c r="C174" s="1" t="n">
        <v>46105</v>
      </c>
      <c r="D174" t="inlineStr">
        <is>
          <t>JÄMTLANDS LÄN</t>
        </is>
      </c>
      <c r="E174" t="inlineStr">
        <is>
          <t>BRÄCKE</t>
        </is>
      </c>
      <c r="G174" t="n">
        <v>1.7</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57105-2024 artfynd.xlsx", "A 57105-2024")</f>
        <v/>
      </c>
      <c r="T174">
        <f>HYPERLINK("https://klasma.github.io/Logging_2305/kartor/A 57105-2024 karta.png", "A 57105-2024")</f>
        <v/>
      </c>
      <c r="V174">
        <f>HYPERLINK("https://klasma.github.io/Logging_2305/klagomål/A 57105-2024 FSC-klagomål.docx", "A 57105-2024")</f>
        <v/>
      </c>
      <c r="W174">
        <f>HYPERLINK("https://klasma.github.io/Logging_2305/klagomålsmail/A 57105-2024 FSC-klagomål mail.docx", "A 57105-2024")</f>
        <v/>
      </c>
      <c r="X174">
        <f>HYPERLINK("https://klasma.github.io/Logging_2305/tillsyn/A 57105-2024 tillsynsbegäran.docx", "A 57105-2024")</f>
        <v/>
      </c>
      <c r="Y174">
        <f>HYPERLINK("https://klasma.github.io/Logging_2305/tillsynsmail/A 57105-2024 tillsynsbegäran mail.docx", "A 57105-2024")</f>
        <v/>
      </c>
    </row>
    <row r="175" ht="15" customHeight="1">
      <c r="A175" t="inlineStr">
        <is>
          <t>A 22546-2025</t>
        </is>
      </c>
      <c r="B175" s="1" t="n">
        <v>45788.46329861111</v>
      </c>
      <c r="C175" s="1" t="n">
        <v>46105</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23592-2025</t>
        </is>
      </c>
      <c r="B176" s="1" t="n">
        <v>45792.63644675926</v>
      </c>
      <c r="C176" s="1" t="n">
        <v>46105</v>
      </c>
      <c r="D176" t="inlineStr">
        <is>
          <t>JÄMTLANDS LÄN</t>
        </is>
      </c>
      <c r="E176" t="inlineStr">
        <is>
          <t>BRÄCKE</t>
        </is>
      </c>
      <c r="F176" t="inlineStr">
        <is>
          <t>SCA</t>
        </is>
      </c>
      <c r="G176" t="n">
        <v>3.6</v>
      </c>
      <c r="H176" t="n">
        <v>1</v>
      </c>
      <c r="I176" t="n">
        <v>0</v>
      </c>
      <c r="J176" t="n">
        <v>2</v>
      </c>
      <c r="K176" t="n">
        <v>1</v>
      </c>
      <c r="L176" t="n">
        <v>0</v>
      </c>
      <c r="M176" t="n">
        <v>0</v>
      </c>
      <c r="N176" t="n">
        <v>0</v>
      </c>
      <c r="O176" t="n">
        <v>3</v>
      </c>
      <c r="P176" t="n">
        <v>1</v>
      </c>
      <c r="Q176" t="n">
        <v>3</v>
      </c>
      <c r="R176" s="2" t="inlineStr">
        <is>
          <t>Knärot
Lunglav
Rosenticka</t>
        </is>
      </c>
      <c r="S176">
        <f>HYPERLINK("https://klasma.github.io/Logging_2305/artfynd/A 23592-2025 artfynd.xlsx", "A 23592-2025")</f>
        <v/>
      </c>
      <c r="T176">
        <f>HYPERLINK("https://klasma.github.io/Logging_2305/kartor/A 23592-2025 karta.png", "A 23592-2025")</f>
        <v/>
      </c>
      <c r="U176">
        <f>HYPERLINK("https://klasma.github.io/Logging_2305/knärot/A 23592-2025 karta knärot.png", "A 23592-2025")</f>
        <v/>
      </c>
      <c r="V176">
        <f>HYPERLINK("https://klasma.github.io/Logging_2305/klagomål/A 23592-2025 FSC-klagomål.docx", "A 23592-2025")</f>
        <v/>
      </c>
      <c r="W176">
        <f>HYPERLINK("https://klasma.github.io/Logging_2305/klagomålsmail/A 23592-2025 FSC-klagomål mail.docx", "A 23592-2025")</f>
        <v/>
      </c>
      <c r="X176">
        <f>HYPERLINK("https://klasma.github.io/Logging_2305/tillsyn/A 23592-2025 tillsynsbegäran.docx", "A 23592-2025")</f>
        <v/>
      </c>
      <c r="Y176">
        <f>HYPERLINK("https://klasma.github.io/Logging_2305/tillsynsmail/A 23592-2025 tillsynsbegäran mail.docx", "A 23592-2025")</f>
        <v/>
      </c>
    </row>
    <row r="177" ht="15" customHeight="1">
      <c r="A177" t="inlineStr">
        <is>
          <t>A 23300-2025</t>
        </is>
      </c>
      <c r="B177" s="1" t="n">
        <v>45791.5946875</v>
      </c>
      <c r="C177" s="1" t="n">
        <v>46105</v>
      </c>
      <c r="D177" t="inlineStr">
        <is>
          <t>JÄMTLANDS LÄN</t>
        </is>
      </c>
      <c r="E177" t="inlineStr">
        <is>
          <t>BRÄCKE</t>
        </is>
      </c>
      <c r="F177" t="inlineStr">
        <is>
          <t>SCA</t>
        </is>
      </c>
      <c r="G177" t="n">
        <v>3.9</v>
      </c>
      <c r="H177" t="n">
        <v>1</v>
      </c>
      <c r="I177" t="n">
        <v>1</v>
      </c>
      <c r="J177" t="n">
        <v>2</v>
      </c>
      <c r="K177" t="n">
        <v>0</v>
      </c>
      <c r="L177" t="n">
        <v>0</v>
      </c>
      <c r="M177" t="n">
        <v>0</v>
      </c>
      <c r="N177" t="n">
        <v>0</v>
      </c>
      <c r="O177" t="n">
        <v>2</v>
      </c>
      <c r="P177" t="n">
        <v>0</v>
      </c>
      <c r="Q177" t="n">
        <v>3</v>
      </c>
      <c r="R177" s="2" t="inlineStr">
        <is>
          <t>Mörk kolflarnlav
Tretåig hackspett
Norrlandslav</t>
        </is>
      </c>
      <c r="S177">
        <f>HYPERLINK("https://klasma.github.io/Logging_2305/artfynd/A 23300-2025 artfynd.xlsx", "A 23300-2025")</f>
        <v/>
      </c>
      <c r="T177">
        <f>HYPERLINK("https://klasma.github.io/Logging_2305/kartor/A 23300-2025 karta.png", "A 23300-2025")</f>
        <v/>
      </c>
      <c r="V177">
        <f>HYPERLINK("https://klasma.github.io/Logging_2305/klagomål/A 23300-2025 FSC-klagomål.docx", "A 23300-2025")</f>
        <v/>
      </c>
      <c r="W177">
        <f>HYPERLINK("https://klasma.github.io/Logging_2305/klagomålsmail/A 23300-2025 FSC-klagomål mail.docx", "A 23300-2025")</f>
        <v/>
      </c>
      <c r="X177">
        <f>HYPERLINK("https://klasma.github.io/Logging_2305/tillsyn/A 23300-2025 tillsynsbegäran.docx", "A 23300-2025")</f>
        <v/>
      </c>
      <c r="Y177">
        <f>HYPERLINK("https://klasma.github.io/Logging_2305/tillsynsmail/A 23300-2025 tillsynsbegäran mail.docx", "A 23300-2025")</f>
        <v/>
      </c>
      <c r="Z177">
        <f>HYPERLINK("https://klasma.github.io/Logging_2305/fåglar/A 23300-2025 prioriterade fågelarter.docx", "A 23300-2025")</f>
        <v/>
      </c>
    </row>
    <row r="178" ht="15" customHeight="1">
      <c r="A178" t="inlineStr">
        <is>
          <t>A 23687-2025</t>
        </is>
      </c>
      <c r="B178" s="1" t="n">
        <v>45793.34428240741</v>
      </c>
      <c r="C178" s="1" t="n">
        <v>46105</v>
      </c>
      <c r="D178" t="inlineStr">
        <is>
          <t>JÄMTLANDS LÄN</t>
        </is>
      </c>
      <c r="E178" t="inlineStr">
        <is>
          <t>BRÄCKE</t>
        </is>
      </c>
      <c r="F178" t="inlineStr">
        <is>
          <t>SCA</t>
        </is>
      </c>
      <c r="G178" t="n">
        <v>5.5</v>
      </c>
      <c r="H178" t="n">
        <v>0</v>
      </c>
      <c r="I178" t="n">
        <v>2</v>
      </c>
      <c r="J178" t="n">
        <v>1</v>
      </c>
      <c r="K178" t="n">
        <v>0</v>
      </c>
      <c r="L178" t="n">
        <v>0</v>
      </c>
      <c r="M178" t="n">
        <v>0</v>
      </c>
      <c r="N178" t="n">
        <v>0</v>
      </c>
      <c r="O178" t="n">
        <v>1</v>
      </c>
      <c r="P178" t="n">
        <v>0</v>
      </c>
      <c r="Q178" t="n">
        <v>3</v>
      </c>
      <c r="R178" s="2" t="inlineStr">
        <is>
          <t>Lunglav
Skinnlav
Stuplav</t>
        </is>
      </c>
      <c r="S178">
        <f>HYPERLINK("https://klasma.github.io/Logging_2305/artfynd/A 23687-2025 artfynd.xlsx", "A 23687-2025")</f>
        <v/>
      </c>
      <c r="T178">
        <f>HYPERLINK("https://klasma.github.io/Logging_2305/kartor/A 23687-2025 karta.png", "A 23687-2025")</f>
        <v/>
      </c>
      <c r="V178">
        <f>HYPERLINK("https://klasma.github.io/Logging_2305/klagomål/A 23687-2025 FSC-klagomål.docx", "A 23687-2025")</f>
        <v/>
      </c>
      <c r="W178">
        <f>HYPERLINK("https://klasma.github.io/Logging_2305/klagomålsmail/A 23687-2025 FSC-klagomål mail.docx", "A 23687-2025")</f>
        <v/>
      </c>
      <c r="X178">
        <f>HYPERLINK("https://klasma.github.io/Logging_2305/tillsyn/A 23687-2025 tillsynsbegäran.docx", "A 23687-2025")</f>
        <v/>
      </c>
      <c r="Y178">
        <f>HYPERLINK("https://klasma.github.io/Logging_2305/tillsynsmail/A 23687-2025 tillsynsbegäran mail.docx", "A 23687-2025")</f>
        <v/>
      </c>
    </row>
    <row r="179" ht="15" customHeight="1">
      <c r="A179" t="inlineStr">
        <is>
          <t>A 23854-2025</t>
        </is>
      </c>
      <c r="B179" s="1" t="n">
        <v>45793.65658564815</v>
      </c>
      <c r="C179" s="1" t="n">
        <v>46105</v>
      </c>
      <c r="D179" t="inlineStr">
        <is>
          <t>JÄMTLANDS LÄN</t>
        </is>
      </c>
      <c r="E179" t="inlineStr">
        <is>
          <t>BRÄCKE</t>
        </is>
      </c>
      <c r="F179" t="inlineStr">
        <is>
          <t>SCA</t>
        </is>
      </c>
      <c r="G179" t="n">
        <v>4.5</v>
      </c>
      <c r="H179" t="n">
        <v>1</v>
      </c>
      <c r="I179" t="n">
        <v>1</v>
      </c>
      <c r="J179" t="n">
        <v>1</v>
      </c>
      <c r="K179" t="n">
        <v>0</v>
      </c>
      <c r="L179" t="n">
        <v>0</v>
      </c>
      <c r="M179" t="n">
        <v>0</v>
      </c>
      <c r="N179" t="n">
        <v>0</v>
      </c>
      <c r="O179" t="n">
        <v>1</v>
      </c>
      <c r="P179" t="n">
        <v>0</v>
      </c>
      <c r="Q179" t="n">
        <v>3</v>
      </c>
      <c r="R179" s="2" t="inlineStr">
        <is>
          <t>Garnlav
Skuggblåslav
Tjäder</t>
        </is>
      </c>
      <c r="S179">
        <f>HYPERLINK("https://klasma.github.io/Logging_2305/artfynd/A 23854-2025 artfynd.xlsx", "A 23854-2025")</f>
        <v/>
      </c>
      <c r="T179">
        <f>HYPERLINK("https://klasma.github.io/Logging_2305/kartor/A 23854-2025 karta.png", "A 23854-2025")</f>
        <v/>
      </c>
      <c r="V179">
        <f>HYPERLINK("https://klasma.github.io/Logging_2305/klagomål/A 23854-2025 FSC-klagomål.docx", "A 23854-2025")</f>
        <v/>
      </c>
      <c r="W179">
        <f>HYPERLINK("https://klasma.github.io/Logging_2305/klagomålsmail/A 23854-2025 FSC-klagomål mail.docx", "A 23854-2025")</f>
        <v/>
      </c>
      <c r="X179">
        <f>HYPERLINK("https://klasma.github.io/Logging_2305/tillsyn/A 23854-2025 tillsynsbegäran.docx", "A 23854-2025")</f>
        <v/>
      </c>
      <c r="Y179">
        <f>HYPERLINK("https://klasma.github.io/Logging_2305/tillsynsmail/A 23854-2025 tillsynsbegäran mail.docx", "A 23854-2025")</f>
        <v/>
      </c>
      <c r="Z179">
        <f>HYPERLINK("https://klasma.github.io/Logging_2305/fåglar/A 23854-2025 prioriterade fågelarter.docx", "A 23854-2025")</f>
        <v/>
      </c>
    </row>
    <row r="180" ht="15" customHeight="1">
      <c r="A180" t="inlineStr">
        <is>
          <t>A 24635-2025</t>
        </is>
      </c>
      <c r="B180" s="1" t="n">
        <v>45798.61513888889</v>
      </c>
      <c r="C180" s="1" t="n">
        <v>46105</v>
      </c>
      <c r="D180" t="inlineStr">
        <is>
          <t>JÄMTLANDS LÄN</t>
        </is>
      </c>
      <c r="E180" t="inlineStr">
        <is>
          <t>BRÄCKE</t>
        </is>
      </c>
      <c r="G180" t="n">
        <v>3.2</v>
      </c>
      <c r="H180" t="n">
        <v>1</v>
      </c>
      <c r="I180" t="n">
        <v>0</v>
      </c>
      <c r="J180" t="n">
        <v>3</v>
      </c>
      <c r="K180" t="n">
        <v>0</v>
      </c>
      <c r="L180" t="n">
        <v>0</v>
      </c>
      <c r="M180" t="n">
        <v>0</v>
      </c>
      <c r="N180" t="n">
        <v>0</v>
      </c>
      <c r="O180" t="n">
        <v>3</v>
      </c>
      <c r="P180" t="n">
        <v>0</v>
      </c>
      <c r="Q180" t="n">
        <v>3</v>
      </c>
      <c r="R180" s="2" t="inlineStr">
        <is>
          <t>Lunglav
Tretåig hackspett
Ullticka</t>
        </is>
      </c>
      <c r="S180">
        <f>HYPERLINK("https://klasma.github.io/Logging_2305/artfynd/A 24635-2025 artfynd.xlsx", "A 24635-2025")</f>
        <v/>
      </c>
      <c r="T180">
        <f>HYPERLINK("https://klasma.github.io/Logging_2305/kartor/A 24635-2025 karta.png", "A 24635-2025")</f>
        <v/>
      </c>
      <c r="V180">
        <f>HYPERLINK("https://klasma.github.io/Logging_2305/klagomål/A 24635-2025 FSC-klagomål.docx", "A 24635-2025")</f>
        <v/>
      </c>
      <c r="W180">
        <f>HYPERLINK("https://klasma.github.io/Logging_2305/klagomålsmail/A 24635-2025 FSC-klagomål mail.docx", "A 24635-2025")</f>
        <v/>
      </c>
      <c r="X180">
        <f>HYPERLINK("https://klasma.github.io/Logging_2305/tillsyn/A 24635-2025 tillsynsbegäran.docx", "A 24635-2025")</f>
        <v/>
      </c>
      <c r="Y180">
        <f>HYPERLINK("https://klasma.github.io/Logging_2305/tillsynsmail/A 24635-2025 tillsynsbegäran mail.docx", "A 24635-2025")</f>
        <v/>
      </c>
      <c r="Z180">
        <f>HYPERLINK("https://klasma.github.io/Logging_2305/fåglar/A 24635-2025 prioriterade fågelarter.docx", "A 24635-2025")</f>
        <v/>
      </c>
    </row>
    <row r="181" ht="15" customHeight="1">
      <c r="A181" t="inlineStr">
        <is>
          <t>A 30607-2022</t>
        </is>
      </c>
      <c r="B181" s="1" t="n">
        <v>44762</v>
      </c>
      <c r="C181" s="1" t="n">
        <v>46105</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46105</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46105</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46105</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46105</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46105</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19916-2025</t>
        </is>
      </c>
      <c r="B187" s="1" t="n">
        <v>45771.61515046296</v>
      </c>
      <c r="C187" s="1" t="n">
        <v>46105</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36456-2021</t>
        </is>
      </c>
      <c r="B188" s="1" t="n">
        <v>44390</v>
      </c>
      <c r="C188" s="1" t="n">
        <v>46105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47295-2023</t>
        </is>
      </c>
      <c r="B189" s="1" t="n">
        <v>45196</v>
      </c>
      <c r="C189" s="1" t="n">
        <v>46105</v>
      </c>
      <c r="D189" t="inlineStr">
        <is>
          <t>JÄMTLANDS LÄN</t>
        </is>
      </c>
      <c r="E189" t="inlineStr">
        <is>
          <t>BRÄCKE</t>
        </is>
      </c>
      <c r="F189" t="inlineStr">
        <is>
          <t>SCA</t>
        </is>
      </c>
      <c r="G189" t="n">
        <v>11.4</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47295-2023 artfynd.xlsx", "A 47295-2023")</f>
        <v/>
      </c>
      <c r="T189">
        <f>HYPERLINK("https://klasma.github.io/Logging_2305/kartor/A 47295-2023 karta.png", "A 47295-2023")</f>
        <v/>
      </c>
      <c r="U189">
        <f>HYPERLINK("https://klasma.github.io/Logging_2305/knärot/A 47295-2023 karta knärot.png", "A 47295-2023")</f>
        <v/>
      </c>
      <c r="V189">
        <f>HYPERLINK("https://klasma.github.io/Logging_2305/klagomål/A 47295-2023 FSC-klagomål.docx", "A 47295-2023")</f>
        <v/>
      </c>
      <c r="W189">
        <f>HYPERLINK("https://klasma.github.io/Logging_2305/klagomålsmail/A 47295-2023 FSC-klagomål mail.docx", "A 47295-2023")</f>
        <v/>
      </c>
      <c r="X189">
        <f>HYPERLINK("https://klasma.github.io/Logging_2305/tillsyn/A 47295-2023 tillsynsbegäran.docx", "A 47295-2023")</f>
        <v/>
      </c>
      <c r="Y189">
        <f>HYPERLINK("https://klasma.github.io/Logging_2305/tillsynsmail/A 47295-2023 tillsynsbegäran mail.docx", "A 47295-2023")</f>
        <v/>
      </c>
    </row>
    <row r="190" ht="15" customHeight="1">
      <c r="A190" t="inlineStr">
        <is>
          <t>A 49328-2023</t>
        </is>
      </c>
      <c r="B190" s="1" t="n">
        <v>45210</v>
      </c>
      <c r="C190" s="1" t="n">
        <v>46105</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46105</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55343-2023</t>
        </is>
      </c>
      <c r="B192" s="1" t="n">
        <v>45237</v>
      </c>
      <c r="C192" s="1" t="n">
        <v>46105</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15146-2024</t>
        </is>
      </c>
      <c r="B193" s="1" t="n">
        <v>45399.94361111111</v>
      </c>
      <c r="C193" s="1" t="n">
        <v>46105</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43141-2022</t>
        </is>
      </c>
      <c r="B194" s="1" t="n">
        <v>44833</v>
      </c>
      <c r="C194" s="1" t="n">
        <v>46105</v>
      </c>
      <c r="D194" t="inlineStr">
        <is>
          <t>JÄMTLANDS LÄN</t>
        </is>
      </c>
      <c r="E194" t="inlineStr">
        <is>
          <t>BRÄCKE</t>
        </is>
      </c>
      <c r="F194" t="inlineStr">
        <is>
          <t>SCA</t>
        </is>
      </c>
      <c r="G194" t="n">
        <v>2</v>
      </c>
      <c r="H194" t="n">
        <v>1</v>
      </c>
      <c r="I194" t="n">
        <v>0</v>
      </c>
      <c r="J194" t="n">
        <v>0</v>
      </c>
      <c r="K194" t="n">
        <v>2</v>
      </c>
      <c r="L194" t="n">
        <v>0</v>
      </c>
      <c r="M194" t="n">
        <v>0</v>
      </c>
      <c r="N194" t="n">
        <v>0</v>
      </c>
      <c r="O194" t="n">
        <v>2</v>
      </c>
      <c r="P194" t="n">
        <v>2</v>
      </c>
      <c r="Q194" t="n">
        <v>2</v>
      </c>
      <c r="R194" s="2" t="inlineStr">
        <is>
          <t>Frösöstarr
Knärot</t>
        </is>
      </c>
      <c r="S194">
        <f>HYPERLINK("https://klasma.github.io/Logging_2305/artfynd/A 43141-2022 artfynd.xlsx", "A 43141-2022")</f>
        <v/>
      </c>
      <c r="T194">
        <f>HYPERLINK("https://klasma.github.io/Logging_2305/kartor/A 43141-2022 karta.png", "A 43141-2022")</f>
        <v/>
      </c>
      <c r="U194">
        <f>HYPERLINK("https://klasma.github.io/Logging_2305/knärot/A 43141-2022 karta knärot.png", "A 43141-2022")</f>
        <v/>
      </c>
      <c r="V194">
        <f>HYPERLINK("https://klasma.github.io/Logging_2305/klagomål/A 43141-2022 FSC-klagomål.docx", "A 43141-2022")</f>
        <v/>
      </c>
      <c r="W194">
        <f>HYPERLINK("https://klasma.github.io/Logging_2305/klagomålsmail/A 43141-2022 FSC-klagomål mail.docx", "A 43141-2022")</f>
        <v/>
      </c>
      <c r="X194">
        <f>HYPERLINK("https://klasma.github.io/Logging_2305/tillsyn/A 43141-2022 tillsynsbegäran.docx", "A 43141-2022")</f>
        <v/>
      </c>
      <c r="Y194">
        <f>HYPERLINK("https://klasma.github.io/Logging_2305/tillsynsmail/A 43141-2022 tillsynsbegäran mail.docx", "A 43141-2022")</f>
        <v/>
      </c>
    </row>
    <row r="195" ht="15" customHeight="1">
      <c r="A195" t="inlineStr">
        <is>
          <t>A 30990-2024</t>
        </is>
      </c>
      <c r="B195" s="1" t="n">
        <v>45499.54975694444</v>
      </c>
      <c r="C195" s="1" t="n">
        <v>46105</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30988-2024</t>
        </is>
      </c>
      <c r="B196" s="1" t="n">
        <v>45499.54738425926</v>
      </c>
      <c r="C196" s="1" t="n">
        <v>46105</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11174-2026</t>
        </is>
      </c>
      <c r="B197" s="1" t="n">
        <v>46080.38597222222</v>
      </c>
      <c r="C197" s="1" t="n">
        <v>46105</v>
      </c>
      <c r="D197" t="inlineStr">
        <is>
          <t>JÄMTLANDS LÄN</t>
        </is>
      </c>
      <c r="E197" t="inlineStr">
        <is>
          <t>BRÄCKE</t>
        </is>
      </c>
      <c r="F197" t="inlineStr">
        <is>
          <t>SCA</t>
        </is>
      </c>
      <c r="G197" t="n">
        <v>3.1</v>
      </c>
      <c r="H197" t="n">
        <v>0</v>
      </c>
      <c r="I197" t="n">
        <v>0</v>
      </c>
      <c r="J197" t="n">
        <v>1</v>
      </c>
      <c r="K197" t="n">
        <v>1</v>
      </c>
      <c r="L197" t="n">
        <v>0</v>
      </c>
      <c r="M197" t="n">
        <v>0</v>
      </c>
      <c r="N197" t="n">
        <v>0</v>
      </c>
      <c r="O197" t="n">
        <v>2</v>
      </c>
      <c r="P197" t="n">
        <v>1</v>
      </c>
      <c r="Q197" t="n">
        <v>2</v>
      </c>
      <c r="R197" s="2" t="inlineStr">
        <is>
          <t>Gräddporing
Vedflamlav</t>
        </is>
      </c>
      <c r="S197">
        <f>HYPERLINK("https://klasma.github.io/Logging_2305/artfynd/A 11174-2026 artfynd.xlsx", "A 11174-2026")</f>
        <v/>
      </c>
      <c r="T197">
        <f>HYPERLINK("https://klasma.github.io/Logging_2305/kartor/A 11174-2026 karta.png", "A 11174-2026")</f>
        <v/>
      </c>
      <c r="V197">
        <f>HYPERLINK("https://klasma.github.io/Logging_2305/klagomål/A 11174-2026 FSC-klagomål.docx", "A 11174-2026")</f>
        <v/>
      </c>
      <c r="W197">
        <f>HYPERLINK("https://klasma.github.io/Logging_2305/klagomålsmail/A 11174-2026 FSC-klagomål mail.docx", "A 11174-2026")</f>
        <v/>
      </c>
      <c r="X197">
        <f>HYPERLINK("https://klasma.github.io/Logging_2305/tillsyn/A 11174-2026 tillsynsbegäran.docx", "A 11174-2026")</f>
        <v/>
      </c>
      <c r="Y197">
        <f>HYPERLINK("https://klasma.github.io/Logging_2305/tillsynsmail/A 11174-2026 tillsynsbegäran mail.docx", "A 11174-2026")</f>
        <v/>
      </c>
    </row>
    <row r="198" ht="15" customHeight="1">
      <c r="A198" t="inlineStr">
        <is>
          <t>A 26178-2025</t>
        </is>
      </c>
      <c r="B198" s="1" t="n">
        <v>45805.46917824074</v>
      </c>
      <c r="C198" s="1" t="n">
        <v>46105</v>
      </c>
      <c r="D198" t="inlineStr">
        <is>
          <t>JÄMTLANDS LÄN</t>
        </is>
      </c>
      <c r="E198" t="inlineStr">
        <is>
          <t>BRÄCKE</t>
        </is>
      </c>
      <c r="G198" t="n">
        <v>6.9</v>
      </c>
      <c r="H198" t="n">
        <v>1</v>
      </c>
      <c r="I198" t="n">
        <v>1</v>
      </c>
      <c r="J198" t="n">
        <v>0</v>
      </c>
      <c r="K198" t="n">
        <v>0</v>
      </c>
      <c r="L198" t="n">
        <v>0</v>
      </c>
      <c r="M198" t="n">
        <v>0</v>
      </c>
      <c r="N198" t="n">
        <v>0</v>
      </c>
      <c r="O198" t="n">
        <v>0</v>
      </c>
      <c r="P198" t="n">
        <v>0</v>
      </c>
      <c r="Q198" t="n">
        <v>2</v>
      </c>
      <c r="R198" s="2" t="inlineStr">
        <is>
          <t>Vårärt
Blåsippa</t>
        </is>
      </c>
      <c r="S198">
        <f>HYPERLINK("https://klasma.github.io/Logging_2305/artfynd/A 26178-2025 artfynd.xlsx", "A 26178-2025")</f>
        <v/>
      </c>
      <c r="T198">
        <f>HYPERLINK("https://klasma.github.io/Logging_2305/kartor/A 26178-2025 karta.png", "A 26178-2025")</f>
        <v/>
      </c>
      <c r="V198">
        <f>HYPERLINK("https://klasma.github.io/Logging_2305/klagomål/A 26178-2025 FSC-klagomål.docx", "A 26178-2025")</f>
        <v/>
      </c>
      <c r="W198">
        <f>HYPERLINK("https://klasma.github.io/Logging_2305/klagomålsmail/A 26178-2025 FSC-klagomål mail.docx", "A 26178-2025")</f>
        <v/>
      </c>
      <c r="X198">
        <f>HYPERLINK("https://klasma.github.io/Logging_2305/tillsyn/A 26178-2025 tillsynsbegäran.docx", "A 26178-2025")</f>
        <v/>
      </c>
      <c r="Y198">
        <f>HYPERLINK("https://klasma.github.io/Logging_2305/tillsynsmail/A 26178-2025 tillsynsbegäran mail.docx", "A 26178-2025")</f>
        <v/>
      </c>
    </row>
    <row r="199" ht="15" customHeight="1">
      <c r="A199" t="inlineStr">
        <is>
          <t>A 27062-2025</t>
        </is>
      </c>
      <c r="B199" s="1" t="n">
        <v>45811.63614583333</v>
      </c>
      <c r="C199" s="1" t="n">
        <v>46105</v>
      </c>
      <c r="D199" t="inlineStr">
        <is>
          <t>JÄMTLANDS LÄN</t>
        </is>
      </c>
      <c r="E199" t="inlineStr">
        <is>
          <t>BRÄCKE</t>
        </is>
      </c>
      <c r="F199" t="inlineStr">
        <is>
          <t>SCA</t>
        </is>
      </c>
      <c r="G199" t="n">
        <v>19.8</v>
      </c>
      <c r="H199" t="n">
        <v>0</v>
      </c>
      <c r="I199" t="n">
        <v>2</v>
      </c>
      <c r="J199" t="n">
        <v>0</v>
      </c>
      <c r="K199" t="n">
        <v>0</v>
      </c>
      <c r="L199" t="n">
        <v>0</v>
      </c>
      <c r="M199" t="n">
        <v>0</v>
      </c>
      <c r="N199" t="n">
        <v>0</v>
      </c>
      <c r="O199" t="n">
        <v>0</v>
      </c>
      <c r="P199" t="n">
        <v>0</v>
      </c>
      <c r="Q199" t="n">
        <v>2</v>
      </c>
      <c r="R199" s="2" t="inlineStr">
        <is>
          <t>Dropptaggsvamp
Skinnlav</t>
        </is>
      </c>
      <c r="S199">
        <f>HYPERLINK("https://klasma.github.io/Logging_2305/artfynd/A 27062-2025 artfynd.xlsx", "A 27062-2025")</f>
        <v/>
      </c>
      <c r="T199">
        <f>HYPERLINK("https://klasma.github.io/Logging_2305/kartor/A 27062-2025 karta.png", "A 27062-2025")</f>
        <v/>
      </c>
      <c r="V199">
        <f>HYPERLINK("https://klasma.github.io/Logging_2305/klagomål/A 27062-2025 FSC-klagomål.docx", "A 27062-2025")</f>
        <v/>
      </c>
      <c r="W199">
        <f>HYPERLINK("https://klasma.github.io/Logging_2305/klagomålsmail/A 27062-2025 FSC-klagomål mail.docx", "A 27062-2025")</f>
        <v/>
      </c>
      <c r="X199">
        <f>HYPERLINK("https://klasma.github.io/Logging_2305/tillsyn/A 27062-2025 tillsynsbegäran.docx", "A 27062-2025")</f>
        <v/>
      </c>
      <c r="Y199">
        <f>HYPERLINK("https://klasma.github.io/Logging_2305/tillsynsmail/A 27062-2025 tillsynsbegäran mail.docx", "A 27062-2025")</f>
        <v/>
      </c>
    </row>
    <row r="200" ht="15" customHeight="1">
      <c r="A200" t="inlineStr">
        <is>
          <t>A 27279-2025</t>
        </is>
      </c>
      <c r="B200" s="1" t="n">
        <v>45812.53172453704</v>
      </c>
      <c r="C200" s="1" t="n">
        <v>46105</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27279-2025 artfynd.xlsx", "A 27279-2025")</f>
        <v/>
      </c>
      <c r="T200">
        <f>HYPERLINK("https://klasma.github.io/Logging_2305/kartor/A 27279-2025 karta.png", "A 27279-2025")</f>
        <v/>
      </c>
      <c r="V200">
        <f>HYPERLINK("https://klasma.github.io/Logging_2305/klagomål/A 27279-2025 FSC-klagomål.docx", "A 27279-2025")</f>
        <v/>
      </c>
      <c r="W200">
        <f>HYPERLINK("https://klasma.github.io/Logging_2305/klagomålsmail/A 27279-2025 FSC-klagomål mail.docx", "A 27279-2025")</f>
        <v/>
      </c>
      <c r="X200">
        <f>HYPERLINK("https://klasma.github.io/Logging_2305/tillsyn/A 27279-2025 tillsynsbegäran.docx", "A 27279-2025")</f>
        <v/>
      </c>
      <c r="Y200">
        <f>HYPERLINK("https://klasma.github.io/Logging_2305/tillsynsmail/A 27279-2025 tillsynsbegäran mail.docx", "A 27279-2025")</f>
        <v/>
      </c>
    </row>
    <row r="201" ht="15" customHeight="1">
      <c r="A201" t="inlineStr">
        <is>
          <t>A 41178-2025</t>
        </is>
      </c>
      <c r="B201" s="1" t="n">
        <v>45898.55261574074</v>
      </c>
      <c r="C201" s="1" t="n">
        <v>46105</v>
      </c>
      <c r="D201" t="inlineStr">
        <is>
          <t>JÄMTLANDS LÄN</t>
        </is>
      </c>
      <c r="E201" t="inlineStr">
        <is>
          <t>BRÄCKE</t>
        </is>
      </c>
      <c r="F201" t="inlineStr">
        <is>
          <t>SCA</t>
        </is>
      </c>
      <c r="G201" t="n">
        <v>3.3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41178-2025 artfynd.xlsx", "A 41178-2025")</f>
        <v/>
      </c>
      <c r="T201">
        <f>HYPERLINK("https://klasma.github.io/Logging_2305/kartor/A 41178-2025 karta.png", "A 41178-2025")</f>
        <v/>
      </c>
      <c r="V201">
        <f>HYPERLINK("https://klasma.github.io/Logging_2305/klagomål/A 41178-2025 FSC-klagomål.docx", "A 41178-2025")</f>
        <v/>
      </c>
      <c r="W201">
        <f>HYPERLINK("https://klasma.github.io/Logging_2305/klagomålsmail/A 41178-2025 FSC-klagomål mail.docx", "A 41178-2025")</f>
        <v/>
      </c>
      <c r="X201">
        <f>HYPERLINK("https://klasma.github.io/Logging_2305/tillsyn/A 41178-2025 tillsynsbegäran.docx", "A 41178-2025")</f>
        <v/>
      </c>
      <c r="Y201">
        <f>HYPERLINK("https://klasma.github.io/Logging_2305/tillsynsmail/A 41178-2025 tillsynsbegäran mail.docx", "A 41178-2025")</f>
        <v/>
      </c>
    </row>
    <row r="202" ht="15" customHeight="1">
      <c r="A202" t="inlineStr">
        <is>
          <t>A 29119-2025</t>
        </is>
      </c>
      <c r="B202" s="1" t="n">
        <v>45821.59407407408</v>
      </c>
      <c r="C202" s="1" t="n">
        <v>46105</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29119-2025 artfynd.xlsx", "A 29119-2025")</f>
        <v/>
      </c>
      <c r="T202">
        <f>HYPERLINK("https://klasma.github.io/Logging_2305/kartor/A 29119-2025 karta.png", "A 29119-2025")</f>
        <v/>
      </c>
      <c r="V202">
        <f>HYPERLINK("https://klasma.github.io/Logging_2305/klagomål/A 29119-2025 FSC-klagomål.docx", "A 29119-2025")</f>
        <v/>
      </c>
      <c r="W202">
        <f>HYPERLINK("https://klasma.github.io/Logging_2305/klagomålsmail/A 29119-2025 FSC-klagomål mail.docx", "A 29119-2025")</f>
        <v/>
      </c>
      <c r="X202">
        <f>HYPERLINK("https://klasma.github.io/Logging_2305/tillsyn/A 29119-2025 tillsynsbegäran.docx", "A 29119-2025")</f>
        <v/>
      </c>
      <c r="Y202">
        <f>HYPERLINK("https://klasma.github.io/Logging_2305/tillsynsmail/A 29119-2025 tillsynsbegäran mail.docx", "A 29119-2025")</f>
        <v/>
      </c>
    </row>
    <row r="203" ht="15" customHeight="1">
      <c r="A203" t="inlineStr">
        <is>
          <t>A 6903-2024</t>
        </is>
      </c>
      <c r="B203" s="1" t="n">
        <v>45342</v>
      </c>
      <c r="C203" s="1" t="n">
        <v>46105</v>
      </c>
      <c r="D203" t="inlineStr">
        <is>
          <t>JÄMTLANDS LÄN</t>
        </is>
      </c>
      <c r="E203" t="inlineStr">
        <is>
          <t>BRÄCKE</t>
        </is>
      </c>
      <c r="F203" t="inlineStr">
        <is>
          <t>SCA</t>
        </is>
      </c>
      <c r="G203" t="n">
        <v>5.9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6903-2024 artfynd.xlsx", "A 6903-2024")</f>
        <v/>
      </c>
      <c r="T203">
        <f>HYPERLINK("https://klasma.github.io/Logging_2305/kartor/A 6903-2024 karta.png", "A 6903-2024")</f>
        <v/>
      </c>
      <c r="U203">
        <f>HYPERLINK("https://klasma.github.io/Logging_2305/knärot/A 6903-2024 karta knärot.png", "A 6903-2024")</f>
        <v/>
      </c>
      <c r="V203">
        <f>HYPERLINK("https://klasma.github.io/Logging_2305/klagomål/A 6903-2024 FSC-klagomål.docx", "A 6903-2024")</f>
        <v/>
      </c>
      <c r="W203">
        <f>HYPERLINK("https://klasma.github.io/Logging_2305/klagomålsmail/A 6903-2024 FSC-klagomål mail.docx", "A 6903-2024")</f>
        <v/>
      </c>
      <c r="X203">
        <f>HYPERLINK("https://klasma.github.io/Logging_2305/tillsyn/A 6903-2024 tillsynsbegäran.docx", "A 6903-2024")</f>
        <v/>
      </c>
      <c r="Y203">
        <f>HYPERLINK("https://klasma.github.io/Logging_2305/tillsynsmail/A 6903-2024 tillsynsbegäran mail.docx", "A 6903-2024")</f>
        <v/>
      </c>
    </row>
    <row r="204" ht="15" customHeight="1">
      <c r="A204" t="inlineStr">
        <is>
          <t>A 6906-2024</t>
        </is>
      </c>
      <c r="B204" s="1" t="n">
        <v>45342</v>
      </c>
      <c r="C204" s="1" t="n">
        <v>46105</v>
      </c>
      <c r="D204" t="inlineStr">
        <is>
          <t>JÄMTLANDS LÄN</t>
        </is>
      </c>
      <c r="E204" t="inlineStr">
        <is>
          <t>BRÄCKE</t>
        </is>
      </c>
      <c r="F204" t="inlineStr">
        <is>
          <t>SCA</t>
        </is>
      </c>
      <c r="G204" t="n">
        <v>4.1</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6906-2024 artfynd.xlsx", "A 6906-2024")</f>
        <v/>
      </c>
      <c r="T204">
        <f>HYPERLINK("https://klasma.github.io/Logging_2305/kartor/A 6906-2024 karta.png", "A 6906-2024")</f>
        <v/>
      </c>
      <c r="U204">
        <f>HYPERLINK("https://klasma.github.io/Logging_2305/knärot/A 6906-2024 karta knärot.png", "A 6906-2024")</f>
        <v/>
      </c>
      <c r="V204">
        <f>HYPERLINK("https://klasma.github.io/Logging_2305/klagomål/A 6906-2024 FSC-klagomål.docx", "A 6906-2024")</f>
        <v/>
      </c>
      <c r="W204">
        <f>HYPERLINK("https://klasma.github.io/Logging_2305/klagomålsmail/A 6906-2024 FSC-klagomål mail.docx", "A 6906-2024")</f>
        <v/>
      </c>
      <c r="X204">
        <f>HYPERLINK("https://klasma.github.io/Logging_2305/tillsyn/A 6906-2024 tillsynsbegäran.docx", "A 6906-2024")</f>
        <v/>
      </c>
      <c r="Y204">
        <f>HYPERLINK("https://klasma.github.io/Logging_2305/tillsynsmail/A 6906-2024 tillsynsbegäran mail.docx", "A 6906-2024")</f>
        <v/>
      </c>
    </row>
    <row r="205" ht="15" customHeight="1">
      <c r="A205" t="inlineStr">
        <is>
          <t>A 954-2026</t>
        </is>
      </c>
      <c r="B205" s="1" t="n">
        <v>46030.54424768518</v>
      </c>
      <c r="C205" s="1" t="n">
        <v>46105</v>
      </c>
      <c r="D205" t="inlineStr">
        <is>
          <t>JÄMTLANDS LÄN</t>
        </is>
      </c>
      <c r="E205" t="inlineStr">
        <is>
          <t>BRÄCKE</t>
        </is>
      </c>
      <c r="G205" t="n">
        <v>11.1</v>
      </c>
      <c r="H205" t="n">
        <v>0</v>
      </c>
      <c r="I205" t="n">
        <v>1</v>
      </c>
      <c r="J205" t="n">
        <v>1</v>
      </c>
      <c r="K205" t="n">
        <v>0</v>
      </c>
      <c r="L205" t="n">
        <v>0</v>
      </c>
      <c r="M205" t="n">
        <v>0</v>
      </c>
      <c r="N205" t="n">
        <v>0</v>
      </c>
      <c r="O205" t="n">
        <v>1</v>
      </c>
      <c r="P205" t="n">
        <v>0</v>
      </c>
      <c r="Q205" t="n">
        <v>2</v>
      </c>
      <c r="R205" s="2" t="inlineStr">
        <is>
          <t>Kolflarnlav
Rödgul trumpetsvamp</t>
        </is>
      </c>
      <c r="S205">
        <f>HYPERLINK("https://klasma.github.io/Logging_2305/artfynd/A 954-2026 artfynd.xlsx", "A 954-2026")</f>
        <v/>
      </c>
      <c r="T205">
        <f>HYPERLINK("https://klasma.github.io/Logging_2305/kartor/A 954-2026 karta.png", "A 954-2026")</f>
        <v/>
      </c>
      <c r="V205">
        <f>HYPERLINK("https://klasma.github.io/Logging_2305/klagomål/A 954-2026 FSC-klagomål.docx", "A 954-2026")</f>
        <v/>
      </c>
      <c r="W205">
        <f>HYPERLINK("https://klasma.github.io/Logging_2305/klagomålsmail/A 954-2026 FSC-klagomål mail.docx", "A 954-2026")</f>
        <v/>
      </c>
      <c r="X205">
        <f>HYPERLINK("https://klasma.github.io/Logging_2305/tillsyn/A 954-2026 tillsynsbegäran.docx", "A 954-2026")</f>
        <v/>
      </c>
      <c r="Y205">
        <f>HYPERLINK("https://klasma.github.io/Logging_2305/tillsynsmail/A 954-2026 tillsynsbegäran mail.docx", "A 954-2026")</f>
        <v/>
      </c>
    </row>
    <row r="206" ht="15" customHeight="1">
      <c r="A206" t="inlineStr">
        <is>
          <t>A 22706-2025</t>
        </is>
      </c>
      <c r="B206" s="1" t="n">
        <v>45789.55290509259</v>
      </c>
      <c r="C206" s="1" t="n">
        <v>46105</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Kolflarnlav
Stiftgelélav</t>
        </is>
      </c>
      <c r="S206">
        <f>HYPERLINK("https://klasma.github.io/Logging_2305/artfynd/A 22706-2025 artfynd.xlsx", "A 22706-2025")</f>
        <v/>
      </c>
      <c r="T206">
        <f>HYPERLINK("https://klasma.github.io/Logging_2305/kartor/A 22706-2025 karta.png", "A 22706-2025")</f>
        <v/>
      </c>
      <c r="V206">
        <f>HYPERLINK("https://klasma.github.io/Logging_2305/klagomål/A 22706-2025 FSC-klagomål.docx", "A 22706-2025")</f>
        <v/>
      </c>
      <c r="W206">
        <f>HYPERLINK("https://klasma.github.io/Logging_2305/klagomålsmail/A 22706-2025 FSC-klagomål mail.docx", "A 22706-2025")</f>
        <v/>
      </c>
      <c r="X206">
        <f>HYPERLINK("https://klasma.github.io/Logging_2305/tillsyn/A 22706-2025 tillsynsbegäran.docx", "A 22706-2025")</f>
        <v/>
      </c>
      <c r="Y206">
        <f>HYPERLINK("https://klasma.github.io/Logging_2305/tillsynsmail/A 22706-2025 tillsynsbegäran mail.docx", "A 22706-2025")</f>
        <v/>
      </c>
    </row>
    <row r="207" ht="15" customHeight="1">
      <c r="A207" t="inlineStr">
        <is>
          <t>A 42807-2025</t>
        </is>
      </c>
      <c r="B207" s="1" t="n">
        <v>45908.55247685185</v>
      </c>
      <c r="C207" s="1" t="n">
        <v>46105</v>
      </c>
      <c r="D207" t="inlineStr">
        <is>
          <t>JÄMTLANDS LÄN</t>
        </is>
      </c>
      <c r="E207" t="inlineStr">
        <is>
          <t>BRÄCKE</t>
        </is>
      </c>
      <c r="F207" t="inlineStr">
        <is>
          <t>SCA</t>
        </is>
      </c>
      <c r="G207" t="n">
        <v>2.5</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42807-2025 artfynd.xlsx", "A 42807-2025")</f>
        <v/>
      </c>
      <c r="T207">
        <f>HYPERLINK("https://klasma.github.io/Logging_2305/kartor/A 42807-2025 karta.png", "A 42807-2025")</f>
        <v/>
      </c>
      <c r="V207">
        <f>HYPERLINK("https://klasma.github.io/Logging_2305/klagomål/A 42807-2025 FSC-klagomål.docx", "A 42807-2025")</f>
        <v/>
      </c>
      <c r="W207">
        <f>HYPERLINK("https://klasma.github.io/Logging_2305/klagomålsmail/A 42807-2025 FSC-klagomål mail.docx", "A 42807-2025")</f>
        <v/>
      </c>
      <c r="X207">
        <f>HYPERLINK("https://klasma.github.io/Logging_2305/tillsyn/A 42807-2025 tillsynsbegäran.docx", "A 42807-2025")</f>
        <v/>
      </c>
      <c r="Y207">
        <f>HYPERLINK("https://klasma.github.io/Logging_2305/tillsynsmail/A 42807-2025 tillsynsbegäran mail.docx", "A 42807-2025")</f>
        <v/>
      </c>
    </row>
    <row r="208" ht="15" customHeight="1">
      <c r="A208" t="inlineStr">
        <is>
          <t>A 32566-2025</t>
        </is>
      </c>
      <c r="B208" s="1" t="n">
        <v>45838.57354166666</v>
      </c>
      <c r="C208" s="1" t="n">
        <v>46105</v>
      </c>
      <c r="D208" t="inlineStr">
        <is>
          <t>JÄMTLANDS LÄN</t>
        </is>
      </c>
      <c r="E208" t="inlineStr">
        <is>
          <t>BRÄCKE</t>
        </is>
      </c>
      <c r="F208" t="inlineStr">
        <is>
          <t>SCA</t>
        </is>
      </c>
      <c r="G208" t="n">
        <v>1.6</v>
      </c>
      <c r="H208" t="n">
        <v>0</v>
      </c>
      <c r="I208" t="n">
        <v>2</v>
      </c>
      <c r="J208" t="n">
        <v>0</v>
      </c>
      <c r="K208" t="n">
        <v>0</v>
      </c>
      <c r="L208" t="n">
        <v>0</v>
      </c>
      <c r="M208" t="n">
        <v>0</v>
      </c>
      <c r="N208" t="n">
        <v>0</v>
      </c>
      <c r="O208" t="n">
        <v>0</v>
      </c>
      <c r="P208" t="n">
        <v>0</v>
      </c>
      <c r="Q208" t="n">
        <v>2</v>
      </c>
      <c r="R208" s="2" t="inlineStr">
        <is>
          <t>Skinnlav
Vedticka</t>
        </is>
      </c>
      <c r="S208">
        <f>HYPERLINK("https://klasma.github.io/Logging_2305/artfynd/A 32566-2025 artfynd.xlsx", "A 32566-2025")</f>
        <v/>
      </c>
      <c r="T208">
        <f>HYPERLINK("https://klasma.github.io/Logging_2305/kartor/A 32566-2025 karta.png", "A 32566-2025")</f>
        <v/>
      </c>
      <c r="V208">
        <f>HYPERLINK("https://klasma.github.io/Logging_2305/klagomål/A 32566-2025 FSC-klagomål.docx", "A 32566-2025")</f>
        <v/>
      </c>
      <c r="W208">
        <f>HYPERLINK("https://klasma.github.io/Logging_2305/klagomålsmail/A 32566-2025 FSC-klagomål mail.docx", "A 32566-2025")</f>
        <v/>
      </c>
      <c r="X208">
        <f>HYPERLINK("https://klasma.github.io/Logging_2305/tillsyn/A 32566-2025 tillsynsbegäran.docx", "A 32566-2025")</f>
        <v/>
      </c>
      <c r="Y208">
        <f>HYPERLINK("https://klasma.github.io/Logging_2305/tillsynsmail/A 32566-2025 tillsynsbegäran mail.docx", "A 32566-2025")</f>
        <v/>
      </c>
    </row>
    <row r="209" ht="15" customHeight="1">
      <c r="A209" t="inlineStr">
        <is>
          <t>A 43178-2025</t>
        </is>
      </c>
      <c r="B209" s="1" t="n">
        <v>45910.40681712963</v>
      </c>
      <c r="C209" s="1" t="n">
        <v>46105</v>
      </c>
      <c r="D209" t="inlineStr">
        <is>
          <t>JÄMTLANDS LÄN</t>
        </is>
      </c>
      <c r="E209" t="inlineStr">
        <is>
          <t>BRÄCKE</t>
        </is>
      </c>
      <c r="F209" t="inlineStr">
        <is>
          <t>SCA</t>
        </is>
      </c>
      <c r="G209" t="n">
        <v>4.6</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43178-2025 artfynd.xlsx", "A 43178-2025")</f>
        <v/>
      </c>
      <c r="T209">
        <f>HYPERLINK("https://klasma.github.io/Logging_2305/kartor/A 43178-2025 karta.png", "A 43178-2025")</f>
        <v/>
      </c>
      <c r="V209">
        <f>HYPERLINK("https://klasma.github.io/Logging_2305/klagomål/A 43178-2025 FSC-klagomål.docx", "A 43178-2025")</f>
        <v/>
      </c>
      <c r="W209">
        <f>HYPERLINK("https://klasma.github.io/Logging_2305/klagomålsmail/A 43178-2025 FSC-klagomål mail.docx", "A 43178-2025")</f>
        <v/>
      </c>
      <c r="X209">
        <f>HYPERLINK("https://klasma.github.io/Logging_2305/tillsyn/A 43178-2025 tillsynsbegäran.docx", "A 43178-2025")</f>
        <v/>
      </c>
      <c r="Y209">
        <f>HYPERLINK("https://klasma.github.io/Logging_2305/tillsynsmail/A 43178-2025 tillsynsbegäran mail.docx", "A 43178-2025")</f>
        <v/>
      </c>
    </row>
    <row r="210" ht="15" customHeight="1">
      <c r="A210" t="inlineStr">
        <is>
          <t>A 35216-2025</t>
        </is>
      </c>
      <c r="B210" s="1" t="n">
        <v>45853.49005787037</v>
      </c>
      <c r="C210" s="1" t="n">
        <v>46105</v>
      </c>
      <c r="D210" t="inlineStr">
        <is>
          <t>JÄMTLANDS LÄN</t>
        </is>
      </c>
      <c r="E210" t="inlineStr">
        <is>
          <t>BRÄCKE</t>
        </is>
      </c>
      <c r="F210" t="inlineStr">
        <is>
          <t>SCA</t>
        </is>
      </c>
      <c r="G210" t="n">
        <v>1.5</v>
      </c>
      <c r="H210" t="n">
        <v>2</v>
      </c>
      <c r="I210" t="n">
        <v>0</v>
      </c>
      <c r="J210" t="n">
        <v>1</v>
      </c>
      <c r="K210" t="n">
        <v>1</v>
      </c>
      <c r="L210" t="n">
        <v>0</v>
      </c>
      <c r="M210" t="n">
        <v>0</v>
      </c>
      <c r="N210" t="n">
        <v>0</v>
      </c>
      <c r="O210" t="n">
        <v>2</v>
      </c>
      <c r="P210" t="n">
        <v>1</v>
      </c>
      <c r="Q210" t="n">
        <v>2</v>
      </c>
      <c r="R210" s="2" t="inlineStr">
        <is>
          <t>Knärot
Talltita</t>
        </is>
      </c>
      <c r="S210">
        <f>HYPERLINK("https://klasma.github.io/Logging_2305/artfynd/A 35216-2025 artfynd.xlsx", "A 35216-2025")</f>
        <v/>
      </c>
      <c r="T210">
        <f>HYPERLINK("https://klasma.github.io/Logging_2305/kartor/A 35216-2025 karta.png", "A 35216-2025")</f>
        <v/>
      </c>
      <c r="U210">
        <f>HYPERLINK("https://klasma.github.io/Logging_2305/knärot/A 35216-2025 karta knärot.png", "A 35216-2025")</f>
        <v/>
      </c>
      <c r="V210">
        <f>HYPERLINK("https://klasma.github.io/Logging_2305/klagomål/A 35216-2025 FSC-klagomål.docx", "A 35216-2025")</f>
        <v/>
      </c>
      <c r="W210">
        <f>HYPERLINK("https://klasma.github.io/Logging_2305/klagomålsmail/A 35216-2025 FSC-klagomål mail.docx", "A 35216-2025")</f>
        <v/>
      </c>
      <c r="X210">
        <f>HYPERLINK("https://klasma.github.io/Logging_2305/tillsyn/A 35216-2025 tillsynsbegäran.docx", "A 35216-2025")</f>
        <v/>
      </c>
      <c r="Y210">
        <f>HYPERLINK("https://klasma.github.io/Logging_2305/tillsynsmail/A 35216-2025 tillsynsbegäran mail.docx", "A 35216-2025")</f>
        <v/>
      </c>
      <c r="Z210">
        <f>HYPERLINK("https://klasma.github.io/Logging_2305/fåglar/A 35216-2025 prioriterade fågelarter.docx", "A 35216-2025")</f>
        <v/>
      </c>
    </row>
    <row r="211" ht="15" customHeight="1">
      <c r="A211" t="inlineStr">
        <is>
          <t>A 34541-2025</t>
        </is>
      </c>
      <c r="B211" s="1" t="n">
        <v>45847.53196759259</v>
      </c>
      <c r="C211" s="1" t="n">
        <v>46105</v>
      </c>
      <c r="D211" t="inlineStr">
        <is>
          <t>JÄMTLANDS LÄN</t>
        </is>
      </c>
      <c r="E211" t="inlineStr">
        <is>
          <t>BRÄCKE</t>
        </is>
      </c>
      <c r="G211" t="n">
        <v>3.8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34541-2025 artfynd.xlsx", "A 34541-2025")</f>
        <v/>
      </c>
      <c r="T211">
        <f>HYPERLINK("https://klasma.github.io/Logging_2305/kartor/A 34541-2025 karta.png", "A 34541-2025")</f>
        <v/>
      </c>
      <c r="V211">
        <f>HYPERLINK("https://klasma.github.io/Logging_2305/klagomål/A 34541-2025 FSC-klagomål.docx", "A 34541-2025")</f>
        <v/>
      </c>
      <c r="W211">
        <f>HYPERLINK("https://klasma.github.io/Logging_2305/klagomålsmail/A 34541-2025 FSC-klagomål mail.docx", "A 34541-2025")</f>
        <v/>
      </c>
      <c r="X211">
        <f>HYPERLINK("https://klasma.github.io/Logging_2305/tillsyn/A 34541-2025 tillsynsbegäran.docx", "A 34541-2025")</f>
        <v/>
      </c>
      <c r="Y211">
        <f>HYPERLINK("https://klasma.github.io/Logging_2305/tillsynsmail/A 34541-2025 tillsynsbegäran mail.docx", "A 34541-2025")</f>
        <v/>
      </c>
    </row>
    <row r="212" ht="15" customHeight="1">
      <c r="A212" t="inlineStr">
        <is>
          <t>A 34615-2025</t>
        </is>
      </c>
      <c r="B212" s="1" t="n">
        <v>45847.6778125</v>
      </c>
      <c r="C212" s="1" t="n">
        <v>46105</v>
      </c>
      <c r="D212" t="inlineStr">
        <is>
          <t>JÄMTLANDS LÄN</t>
        </is>
      </c>
      <c r="E212" t="inlineStr">
        <is>
          <t>BRÄCKE</t>
        </is>
      </c>
      <c r="F212" t="inlineStr">
        <is>
          <t>SCA</t>
        </is>
      </c>
      <c r="G212" t="n">
        <v>2.7</v>
      </c>
      <c r="H212" t="n">
        <v>0</v>
      </c>
      <c r="I212" t="n">
        <v>1</v>
      </c>
      <c r="J212" t="n">
        <v>0</v>
      </c>
      <c r="K212" t="n">
        <v>1</v>
      </c>
      <c r="L212" t="n">
        <v>0</v>
      </c>
      <c r="M212" t="n">
        <v>0</v>
      </c>
      <c r="N212" t="n">
        <v>0</v>
      </c>
      <c r="O212" t="n">
        <v>1</v>
      </c>
      <c r="P212" t="n">
        <v>1</v>
      </c>
      <c r="Q212" t="n">
        <v>2</v>
      </c>
      <c r="R212" s="2" t="inlineStr">
        <is>
          <t>Jättemusseron
Tallfingersvamp</t>
        </is>
      </c>
      <c r="S212">
        <f>HYPERLINK("https://klasma.github.io/Logging_2305/artfynd/A 34615-2025 artfynd.xlsx", "A 34615-2025")</f>
        <v/>
      </c>
      <c r="T212">
        <f>HYPERLINK("https://klasma.github.io/Logging_2305/kartor/A 34615-2025 karta.png", "A 34615-2025")</f>
        <v/>
      </c>
      <c r="U212">
        <f>HYPERLINK("https://klasma.github.io/Logging_2305/knärot/A 34615-2025 karta knärot.png", "A 34615-2025")</f>
        <v/>
      </c>
      <c r="V212">
        <f>HYPERLINK("https://klasma.github.io/Logging_2305/klagomål/A 34615-2025 FSC-klagomål.docx", "A 34615-2025")</f>
        <v/>
      </c>
      <c r="W212">
        <f>HYPERLINK("https://klasma.github.io/Logging_2305/klagomålsmail/A 34615-2025 FSC-klagomål mail.docx", "A 34615-2025")</f>
        <v/>
      </c>
      <c r="X212">
        <f>HYPERLINK("https://klasma.github.io/Logging_2305/tillsyn/A 34615-2025 tillsynsbegäran.docx", "A 34615-2025")</f>
        <v/>
      </c>
      <c r="Y212">
        <f>HYPERLINK("https://klasma.github.io/Logging_2305/tillsynsmail/A 34615-2025 tillsynsbegäran mail.docx", "A 34615-2025")</f>
        <v/>
      </c>
    </row>
    <row r="213" ht="15" customHeight="1">
      <c r="A213" t="inlineStr">
        <is>
          <t>A 45795-2025</t>
        </is>
      </c>
      <c r="B213" s="1" t="n">
        <v>45923.57403935185</v>
      </c>
      <c r="C213" s="1" t="n">
        <v>46105</v>
      </c>
      <c r="D213" t="inlineStr">
        <is>
          <t>JÄMTLANDS LÄN</t>
        </is>
      </c>
      <c r="E213" t="inlineStr">
        <is>
          <t>BRÄCKE</t>
        </is>
      </c>
      <c r="F213" t="inlineStr">
        <is>
          <t>SCA</t>
        </is>
      </c>
      <c r="G213" t="n">
        <v>10.9</v>
      </c>
      <c r="H213" t="n">
        <v>0</v>
      </c>
      <c r="I213" t="n">
        <v>1</v>
      </c>
      <c r="J213" t="n">
        <v>1</v>
      </c>
      <c r="K213" t="n">
        <v>0</v>
      </c>
      <c r="L213" t="n">
        <v>0</v>
      </c>
      <c r="M213" t="n">
        <v>0</v>
      </c>
      <c r="N213" t="n">
        <v>0</v>
      </c>
      <c r="O213" t="n">
        <v>1</v>
      </c>
      <c r="P213" t="n">
        <v>0</v>
      </c>
      <c r="Q213" t="n">
        <v>2</v>
      </c>
      <c r="R213" s="2" t="inlineStr">
        <is>
          <t>Lunglav
Skinnlav</t>
        </is>
      </c>
      <c r="S213">
        <f>HYPERLINK("https://klasma.github.io/Logging_2305/artfynd/A 45795-2025 artfynd.xlsx", "A 45795-2025")</f>
        <v/>
      </c>
      <c r="T213">
        <f>HYPERLINK("https://klasma.github.io/Logging_2305/kartor/A 45795-2025 karta.png", "A 45795-2025")</f>
        <v/>
      </c>
      <c r="V213">
        <f>HYPERLINK("https://klasma.github.io/Logging_2305/klagomål/A 45795-2025 FSC-klagomål.docx", "A 45795-2025")</f>
        <v/>
      </c>
      <c r="W213">
        <f>HYPERLINK("https://klasma.github.io/Logging_2305/klagomålsmail/A 45795-2025 FSC-klagomål mail.docx", "A 45795-2025")</f>
        <v/>
      </c>
      <c r="X213">
        <f>HYPERLINK("https://klasma.github.io/Logging_2305/tillsyn/A 45795-2025 tillsynsbegäran.docx", "A 45795-2025")</f>
        <v/>
      </c>
      <c r="Y213">
        <f>HYPERLINK("https://klasma.github.io/Logging_2305/tillsynsmail/A 45795-2025 tillsynsbegäran mail.docx", "A 45795-2025")</f>
        <v/>
      </c>
    </row>
    <row r="214" ht="15" customHeight="1">
      <c r="A214" t="inlineStr">
        <is>
          <t>A 35117-2025</t>
        </is>
      </c>
      <c r="B214" s="1" t="n">
        <v>45852.59416666667</v>
      </c>
      <c r="C214" s="1" t="n">
        <v>46105</v>
      </c>
      <c r="D214" t="inlineStr">
        <is>
          <t>JÄMTLANDS LÄN</t>
        </is>
      </c>
      <c r="E214" t="inlineStr">
        <is>
          <t>BRÄCKE</t>
        </is>
      </c>
      <c r="F214" t="inlineStr">
        <is>
          <t>SCA</t>
        </is>
      </c>
      <c r="G214" t="n">
        <v>11.1</v>
      </c>
      <c r="H214" t="n">
        <v>0</v>
      </c>
      <c r="I214" t="n">
        <v>0</v>
      </c>
      <c r="J214" t="n">
        <v>2</v>
      </c>
      <c r="K214" t="n">
        <v>0</v>
      </c>
      <c r="L214" t="n">
        <v>0</v>
      </c>
      <c r="M214" t="n">
        <v>0</v>
      </c>
      <c r="N214" t="n">
        <v>0</v>
      </c>
      <c r="O214" t="n">
        <v>2</v>
      </c>
      <c r="P214" t="n">
        <v>0</v>
      </c>
      <c r="Q214" t="n">
        <v>2</v>
      </c>
      <c r="R214" s="2" t="inlineStr">
        <is>
          <t>Dvärgbägarlav
Nordtagging</t>
        </is>
      </c>
      <c r="S214">
        <f>HYPERLINK("https://klasma.github.io/Logging_2305/artfynd/A 35117-2025 artfynd.xlsx", "A 35117-2025")</f>
        <v/>
      </c>
      <c r="T214">
        <f>HYPERLINK("https://klasma.github.io/Logging_2305/kartor/A 35117-2025 karta.png", "A 35117-2025")</f>
        <v/>
      </c>
      <c r="V214">
        <f>HYPERLINK("https://klasma.github.io/Logging_2305/klagomål/A 35117-2025 FSC-klagomål.docx", "A 35117-2025")</f>
        <v/>
      </c>
      <c r="W214">
        <f>HYPERLINK("https://klasma.github.io/Logging_2305/klagomålsmail/A 35117-2025 FSC-klagomål mail.docx", "A 35117-2025")</f>
        <v/>
      </c>
      <c r="X214">
        <f>HYPERLINK("https://klasma.github.io/Logging_2305/tillsyn/A 35117-2025 tillsynsbegäran.docx", "A 35117-2025")</f>
        <v/>
      </c>
      <c r="Y214">
        <f>HYPERLINK("https://klasma.github.io/Logging_2305/tillsynsmail/A 35117-2025 tillsynsbegäran mail.docx", "A 35117-2025")</f>
        <v/>
      </c>
    </row>
    <row r="215" ht="15" customHeight="1">
      <c r="A215" t="inlineStr">
        <is>
          <t>A 35209-2025</t>
        </is>
      </c>
      <c r="B215" s="1" t="n">
        <v>45853.44827546296</v>
      </c>
      <c r="C215" s="1" t="n">
        <v>46105</v>
      </c>
      <c r="D215" t="inlineStr">
        <is>
          <t>JÄMTLANDS LÄN</t>
        </is>
      </c>
      <c r="E215" t="inlineStr">
        <is>
          <t>BRÄCKE</t>
        </is>
      </c>
      <c r="F215" t="inlineStr">
        <is>
          <t>SCA</t>
        </is>
      </c>
      <c r="G215" t="n">
        <v>4</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35209-2025 artfynd.xlsx", "A 35209-2025")</f>
        <v/>
      </c>
      <c r="T215">
        <f>HYPERLINK("https://klasma.github.io/Logging_2305/kartor/A 35209-2025 karta.png", "A 35209-2025")</f>
        <v/>
      </c>
      <c r="V215">
        <f>HYPERLINK("https://klasma.github.io/Logging_2305/klagomål/A 35209-2025 FSC-klagomål.docx", "A 35209-2025")</f>
        <v/>
      </c>
      <c r="W215">
        <f>HYPERLINK("https://klasma.github.io/Logging_2305/klagomålsmail/A 35209-2025 FSC-klagomål mail.docx", "A 35209-2025")</f>
        <v/>
      </c>
      <c r="X215">
        <f>HYPERLINK("https://klasma.github.io/Logging_2305/tillsyn/A 35209-2025 tillsynsbegäran.docx", "A 35209-2025")</f>
        <v/>
      </c>
      <c r="Y215">
        <f>HYPERLINK("https://klasma.github.io/Logging_2305/tillsynsmail/A 35209-2025 tillsynsbegäran mail.docx", "A 35209-2025")</f>
        <v/>
      </c>
    </row>
    <row r="216" ht="15" customHeight="1">
      <c r="A216" t="inlineStr">
        <is>
          <t>A 22382-2024</t>
        </is>
      </c>
      <c r="B216" s="1" t="n">
        <v>45446</v>
      </c>
      <c r="C216" s="1" t="n">
        <v>46105</v>
      </c>
      <c r="D216" t="inlineStr">
        <is>
          <t>JÄMTLANDS LÄN</t>
        </is>
      </c>
      <c r="E216" t="inlineStr">
        <is>
          <t>BRÄCKE</t>
        </is>
      </c>
      <c r="G216" t="n">
        <v>5.2</v>
      </c>
      <c r="H216" t="n">
        <v>1</v>
      </c>
      <c r="I216" t="n">
        <v>0</v>
      </c>
      <c r="J216" t="n">
        <v>1</v>
      </c>
      <c r="K216" t="n">
        <v>1</v>
      </c>
      <c r="L216" t="n">
        <v>0</v>
      </c>
      <c r="M216" t="n">
        <v>0</v>
      </c>
      <c r="N216" t="n">
        <v>0</v>
      </c>
      <c r="O216" t="n">
        <v>2</v>
      </c>
      <c r="P216" t="n">
        <v>1</v>
      </c>
      <c r="Q216" t="n">
        <v>2</v>
      </c>
      <c r="R216" s="2" t="inlineStr">
        <is>
          <t>Knärot
Garnlav</t>
        </is>
      </c>
      <c r="S216">
        <f>HYPERLINK("https://klasma.github.io/Logging_2305/artfynd/A 22382-2024 artfynd.xlsx", "A 22382-2024")</f>
        <v/>
      </c>
      <c r="T216">
        <f>HYPERLINK("https://klasma.github.io/Logging_2305/kartor/A 22382-2024 karta.png", "A 22382-2024")</f>
        <v/>
      </c>
      <c r="U216">
        <f>HYPERLINK("https://klasma.github.io/Logging_2305/knärot/A 22382-2024 karta knärot.png", "A 22382-2024")</f>
        <v/>
      </c>
      <c r="V216">
        <f>HYPERLINK("https://klasma.github.io/Logging_2305/klagomål/A 22382-2024 FSC-klagomål.docx", "A 22382-2024")</f>
        <v/>
      </c>
      <c r="W216">
        <f>HYPERLINK("https://klasma.github.io/Logging_2305/klagomålsmail/A 22382-2024 FSC-klagomål mail.docx", "A 22382-2024")</f>
        <v/>
      </c>
      <c r="X216">
        <f>HYPERLINK("https://klasma.github.io/Logging_2305/tillsyn/A 22382-2024 tillsynsbegäran.docx", "A 22382-2024")</f>
        <v/>
      </c>
      <c r="Y216">
        <f>HYPERLINK("https://klasma.github.io/Logging_2305/tillsynsmail/A 22382-2024 tillsynsbegäran mail.docx", "A 22382-2024")</f>
        <v/>
      </c>
    </row>
    <row r="217" ht="15" customHeight="1">
      <c r="A217" t="inlineStr">
        <is>
          <t>A 50485-2025</t>
        </is>
      </c>
      <c r="B217" s="1" t="n">
        <v>45945.38582175926</v>
      </c>
      <c r="C217" s="1" t="n">
        <v>46105</v>
      </c>
      <c r="D217" t="inlineStr">
        <is>
          <t>JÄMTLANDS LÄN</t>
        </is>
      </c>
      <c r="E217" t="inlineStr">
        <is>
          <t>BRÄCKE</t>
        </is>
      </c>
      <c r="F217" t="inlineStr">
        <is>
          <t>SCA</t>
        </is>
      </c>
      <c r="G217" t="n">
        <v>2.1</v>
      </c>
      <c r="H217" t="n">
        <v>0</v>
      </c>
      <c r="I217" t="n">
        <v>0</v>
      </c>
      <c r="J217" t="n">
        <v>2</v>
      </c>
      <c r="K217" t="n">
        <v>0</v>
      </c>
      <c r="L217" t="n">
        <v>0</v>
      </c>
      <c r="M217" t="n">
        <v>0</v>
      </c>
      <c r="N217" t="n">
        <v>0</v>
      </c>
      <c r="O217" t="n">
        <v>2</v>
      </c>
      <c r="P217" t="n">
        <v>0</v>
      </c>
      <c r="Q217" t="n">
        <v>2</v>
      </c>
      <c r="R217" s="2" t="inlineStr">
        <is>
          <t>Granticka
Gränsticka</t>
        </is>
      </c>
      <c r="S217">
        <f>HYPERLINK("https://klasma.github.io/Logging_2305/artfynd/A 50485-2025 artfynd.xlsx", "A 50485-2025")</f>
        <v/>
      </c>
      <c r="T217">
        <f>HYPERLINK("https://klasma.github.io/Logging_2305/kartor/A 50485-2025 karta.png", "A 50485-2025")</f>
        <v/>
      </c>
      <c r="V217">
        <f>HYPERLINK("https://klasma.github.io/Logging_2305/klagomål/A 50485-2025 FSC-klagomål.docx", "A 50485-2025")</f>
        <v/>
      </c>
      <c r="W217">
        <f>HYPERLINK("https://klasma.github.io/Logging_2305/klagomålsmail/A 50485-2025 FSC-klagomål mail.docx", "A 50485-2025")</f>
        <v/>
      </c>
      <c r="X217">
        <f>HYPERLINK("https://klasma.github.io/Logging_2305/tillsyn/A 50485-2025 tillsynsbegäran.docx", "A 50485-2025")</f>
        <v/>
      </c>
      <c r="Y217">
        <f>HYPERLINK("https://klasma.github.io/Logging_2305/tillsynsmail/A 50485-2025 tillsynsbegäran mail.docx", "A 50485-2025")</f>
        <v/>
      </c>
    </row>
    <row r="218" ht="15" customHeight="1">
      <c r="A218" t="inlineStr">
        <is>
          <t>A 4134-2025</t>
        </is>
      </c>
      <c r="B218" s="1" t="n">
        <v>45685.34582175926</v>
      </c>
      <c r="C218" s="1" t="n">
        <v>46105</v>
      </c>
      <c r="D218" t="inlineStr">
        <is>
          <t>JÄMTLANDS LÄN</t>
        </is>
      </c>
      <c r="E218" t="inlineStr">
        <is>
          <t>BRÄCKE</t>
        </is>
      </c>
      <c r="F218" t="inlineStr">
        <is>
          <t>SCA</t>
        </is>
      </c>
      <c r="G218" t="n">
        <v>5.6</v>
      </c>
      <c r="H218" t="n">
        <v>0</v>
      </c>
      <c r="I218" t="n">
        <v>1</v>
      </c>
      <c r="J218" t="n">
        <v>1</v>
      </c>
      <c r="K218" t="n">
        <v>0</v>
      </c>
      <c r="L218" t="n">
        <v>0</v>
      </c>
      <c r="M218" t="n">
        <v>0</v>
      </c>
      <c r="N218" t="n">
        <v>0</v>
      </c>
      <c r="O218" t="n">
        <v>1</v>
      </c>
      <c r="P218" t="n">
        <v>0</v>
      </c>
      <c r="Q218" t="n">
        <v>2</v>
      </c>
      <c r="R218" s="2" t="inlineStr">
        <is>
          <t>Vedflamlav
Stor aspticka</t>
        </is>
      </c>
      <c r="S218">
        <f>HYPERLINK("https://klasma.github.io/Logging_2305/artfynd/A 4134-2025 artfynd.xlsx", "A 4134-2025")</f>
        <v/>
      </c>
      <c r="T218">
        <f>HYPERLINK("https://klasma.github.io/Logging_2305/kartor/A 4134-2025 karta.png", "A 4134-2025")</f>
        <v/>
      </c>
      <c r="V218">
        <f>HYPERLINK("https://klasma.github.io/Logging_2305/klagomål/A 4134-2025 FSC-klagomål.docx", "A 4134-2025")</f>
        <v/>
      </c>
      <c r="W218">
        <f>HYPERLINK("https://klasma.github.io/Logging_2305/klagomålsmail/A 4134-2025 FSC-klagomål mail.docx", "A 4134-2025")</f>
        <v/>
      </c>
      <c r="X218">
        <f>HYPERLINK("https://klasma.github.io/Logging_2305/tillsyn/A 4134-2025 tillsynsbegäran.docx", "A 4134-2025")</f>
        <v/>
      </c>
      <c r="Y218">
        <f>HYPERLINK("https://klasma.github.io/Logging_2305/tillsynsmail/A 4134-2025 tillsynsbegäran mail.docx", "A 4134-2025")</f>
        <v/>
      </c>
    </row>
    <row r="219" ht="15" customHeight="1">
      <c r="A219" t="inlineStr">
        <is>
          <t>A 11787-2025</t>
        </is>
      </c>
      <c r="B219" s="1" t="n">
        <v>45727.72017361111</v>
      </c>
      <c r="C219" s="1" t="n">
        <v>46105</v>
      </c>
      <c r="D219" t="inlineStr">
        <is>
          <t>JÄMTLANDS LÄN</t>
        </is>
      </c>
      <c r="E219" t="inlineStr">
        <is>
          <t>BRÄCKE</t>
        </is>
      </c>
      <c r="F219" t="inlineStr">
        <is>
          <t>SCA</t>
        </is>
      </c>
      <c r="G219" t="n">
        <v>1.9</v>
      </c>
      <c r="H219" t="n">
        <v>0</v>
      </c>
      <c r="I219" t="n">
        <v>0</v>
      </c>
      <c r="J219" t="n">
        <v>2</v>
      </c>
      <c r="K219" t="n">
        <v>0</v>
      </c>
      <c r="L219" t="n">
        <v>0</v>
      </c>
      <c r="M219" t="n">
        <v>0</v>
      </c>
      <c r="N219" t="n">
        <v>0</v>
      </c>
      <c r="O219" t="n">
        <v>2</v>
      </c>
      <c r="P219" t="n">
        <v>0</v>
      </c>
      <c r="Q219" t="n">
        <v>2</v>
      </c>
      <c r="R219" s="2" t="inlineStr">
        <is>
          <t>Stiftgelélav
Ullticka</t>
        </is>
      </c>
      <c r="S219">
        <f>HYPERLINK("https://klasma.github.io/Logging_2305/artfynd/A 11787-2025 artfynd.xlsx", "A 11787-2025")</f>
        <v/>
      </c>
      <c r="T219">
        <f>HYPERLINK("https://klasma.github.io/Logging_2305/kartor/A 11787-2025 karta.png", "A 11787-2025")</f>
        <v/>
      </c>
      <c r="V219">
        <f>HYPERLINK("https://klasma.github.io/Logging_2305/klagomål/A 11787-2025 FSC-klagomål.docx", "A 11787-2025")</f>
        <v/>
      </c>
      <c r="W219">
        <f>HYPERLINK("https://klasma.github.io/Logging_2305/klagomålsmail/A 11787-2025 FSC-klagomål mail.docx", "A 11787-2025")</f>
        <v/>
      </c>
      <c r="X219">
        <f>HYPERLINK("https://klasma.github.io/Logging_2305/tillsyn/A 11787-2025 tillsynsbegäran.docx", "A 11787-2025")</f>
        <v/>
      </c>
      <c r="Y219">
        <f>HYPERLINK("https://klasma.github.io/Logging_2305/tillsynsmail/A 11787-2025 tillsynsbegäran mail.docx", "A 11787-2025")</f>
        <v/>
      </c>
    </row>
    <row r="220" ht="15" customHeight="1">
      <c r="A220" t="inlineStr">
        <is>
          <t>A 29672-2024</t>
        </is>
      </c>
      <c r="B220" s="1" t="n">
        <v>45484.94189814815</v>
      </c>
      <c r="C220" s="1" t="n">
        <v>46105</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45012-2023</t>
        </is>
      </c>
      <c r="B221" s="1" t="n">
        <v>45190</v>
      </c>
      <c r="C221" s="1" t="n">
        <v>46105</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39172-2021</t>
        </is>
      </c>
      <c r="B222" s="1" t="n">
        <v>44412</v>
      </c>
      <c r="C222" s="1" t="n">
        <v>46105</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60320-2025</t>
        </is>
      </c>
      <c r="B223" s="1" t="n">
        <v>45994.71947916667</v>
      </c>
      <c r="C223" s="1" t="n">
        <v>46105</v>
      </c>
      <c r="D223" t="inlineStr">
        <is>
          <t>JÄMTLANDS LÄN</t>
        </is>
      </c>
      <c r="E223" t="inlineStr">
        <is>
          <t>BRÄCKE</t>
        </is>
      </c>
      <c r="F223" t="inlineStr">
        <is>
          <t>SCA</t>
        </is>
      </c>
      <c r="G223" t="n">
        <v>3.2</v>
      </c>
      <c r="H223" t="n">
        <v>1</v>
      </c>
      <c r="I223" t="n">
        <v>0</v>
      </c>
      <c r="J223" t="n">
        <v>1</v>
      </c>
      <c r="K223" t="n">
        <v>1</v>
      </c>
      <c r="L223" t="n">
        <v>0</v>
      </c>
      <c r="M223" t="n">
        <v>0</v>
      </c>
      <c r="N223" t="n">
        <v>0</v>
      </c>
      <c r="O223" t="n">
        <v>2</v>
      </c>
      <c r="P223" t="n">
        <v>1</v>
      </c>
      <c r="Q223" t="n">
        <v>2</v>
      </c>
      <c r="R223" s="2" t="inlineStr">
        <is>
          <t>Doftticka
Lunglav</t>
        </is>
      </c>
      <c r="S223">
        <f>HYPERLINK("https://klasma.github.io/Logging_2305/artfynd/A 60320-2025 artfynd.xlsx", "A 60320-2025")</f>
        <v/>
      </c>
      <c r="T223">
        <f>HYPERLINK("https://klasma.github.io/Logging_2305/kartor/A 60320-2025 karta.png", "A 60320-2025")</f>
        <v/>
      </c>
      <c r="V223">
        <f>HYPERLINK("https://klasma.github.io/Logging_2305/klagomål/A 60320-2025 FSC-klagomål.docx", "A 60320-2025")</f>
        <v/>
      </c>
      <c r="W223">
        <f>HYPERLINK("https://klasma.github.io/Logging_2305/klagomålsmail/A 60320-2025 FSC-klagomål mail.docx", "A 60320-2025")</f>
        <v/>
      </c>
      <c r="X223">
        <f>HYPERLINK("https://klasma.github.io/Logging_2305/tillsyn/A 60320-2025 tillsynsbegäran.docx", "A 60320-2025")</f>
        <v/>
      </c>
      <c r="Y223">
        <f>HYPERLINK("https://klasma.github.io/Logging_2305/tillsynsmail/A 60320-2025 tillsynsbegäran mail.docx", "A 60320-2025")</f>
        <v/>
      </c>
    </row>
    <row r="224" ht="15" customHeight="1">
      <c r="A224" t="inlineStr">
        <is>
          <t>A 61165-2025</t>
        </is>
      </c>
      <c r="B224" s="1" t="n">
        <v>46000.56600694444</v>
      </c>
      <c r="C224" s="1" t="n">
        <v>46105</v>
      </c>
      <c r="D224" t="inlineStr">
        <is>
          <t>JÄMTLANDS LÄN</t>
        </is>
      </c>
      <c r="E224" t="inlineStr">
        <is>
          <t>BRÄCKE</t>
        </is>
      </c>
      <c r="G224" t="n">
        <v>5.3</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61165-2025 artfynd.xlsx", "A 61165-2025")</f>
        <v/>
      </c>
      <c r="T224">
        <f>HYPERLINK("https://klasma.github.io/Logging_2305/kartor/A 61165-2025 karta.png", "A 61165-2025")</f>
        <v/>
      </c>
      <c r="U224">
        <f>HYPERLINK("https://klasma.github.io/Logging_2305/knärot/A 61165-2025 karta knärot.png", "A 61165-2025")</f>
        <v/>
      </c>
      <c r="V224">
        <f>HYPERLINK("https://klasma.github.io/Logging_2305/klagomål/A 61165-2025 FSC-klagomål.docx", "A 61165-2025")</f>
        <v/>
      </c>
      <c r="W224">
        <f>HYPERLINK("https://klasma.github.io/Logging_2305/klagomålsmail/A 61165-2025 FSC-klagomål mail.docx", "A 61165-2025")</f>
        <v/>
      </c>
      <c r="X224">
        <f>HYPERLINK("https://klasma.github.io/Logging_2305/tillsyn/A 61165-2025 tillsynsbegäran.docx", "A 61165-2025")</f>
        <v/>
      </c>
      <c r="Y224">
        <f>HYPERLINK("https://klasma.github.io/Logging_2305/tillsynsmail/A 61165-2025 tillsynsbegäran mail.docx", "A 61165-2025")</f>
        <v/>
      </c>
    </row>
    <row r="225" ht="15" customHeight="1">
      <c r="A225" t="inlineStr">
        <is>
          <t>A 17992-2025</t>
        </is>
      </c>
      <c r="B225" s="1" t="n">
        <v>45761.40657407408</v>
      </c>
      <c r="C225" s="1" t="n">
        <v>46105</v>
      </c>
      <c r="D225" t="inlineStr">
        <is>
          <t>JÄMTLANDS LÄN</t>
        </is>
      </c>
      <c r="E225" t="inlineStr">
        <is>
          <t>BRÄCKE</t>
        </is>
      </c>
      <c r="F225" t="inlineStr">
        <is>
          <t>SCA</t>
        </is>
      </c>
      <c r="G225" t="n">
        <v>1.4</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17992-2025 artfynd.xlsx", "A 17992-2025")</f>
        <v/>
      </c>
      <c r="T225">
        <f>HYPERLINK("https://klasma.github.io/Logging_2305/kartor/A 17992-2025 karta.png", "A 17992-2025")</f>
        <v/>
      </c>
      <c r="V225">
        <f>HYPERLINK("https://klasma.github.io/Logging_2305/klagomål/A 17992-2025 FSC-klagomål.docx", "A 17992-2025")</f>
        <v/>
      </c>
      <c r="W225">
        <f>HYPERLINK("https://klasma.github.io/Logging_2305/klagomålsmail/A 17992-2025 FSC-klagomål mail.docx", "A 17992-2025")</f>
        <v/>
      </c>
      <c r="X225">
        <f>HYPERLINK("https://klasma.github.io/Logging_2305/tillsyn/A 17992-2025 tillsynsbegäran.docx", "A 17992-2025")</f>
        <v/>
      </c>
      <c r="Y225">
        <f>HYPERLINK("https://klasma.github.io/Logging_2305/tillsynsmail/A 17992-2025 tillsynsbegäran mail.docx", "A 17992-2025")</f>
        <v/>
      </c>
    </row>
    <row r="226" ht="15" customHeight="1">
      <c r="A226" t="inlineStr">
        <is>
          <t>A 57329-2025</t>
        </is>
      </c>
      <c r="B226" s="1" t="n">
        <v>45980.34434027778</v>
      </c>
      <c r="C226" s="1" t="n">
        <v>46105</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59324-2021</t>
        </is>
      </c>
      <c r="B227" s="1" t="n">
        <v>44490</v>
      </c>
      <c r="C227" s="1" t="n">
        <v>46105</v>
      </c>
      <c r="D227" t="inlineStr">
        <is>
          <t>JÄMTLANDS LÄN</t>
        </is>
      </c>
      <c r="E227" t="inlineStr">
        <is>
          <t>BRÄCKE</t>
        </is>
      </c>
      <c r="F227" t="inlineStr">
        <is>
          <t>SCA</t>
        </is>
      </c>
      <c r="G227" t="n">
        <v>8.6</v>
      </c>
      <c r="H227" t="n">
        <v>0</v>
      </c>
      <c r="I227" t="n">
        <v>0</v>
      </c>
      <c r="J227" t="n">
        <v>2</v>
      </c>
      <c r="K227" t="n">
        <v>0</v>
      </c>
      <c r="L227" t="n">
        <v>0</v>
      </c>
      <c r="M227" t="n">
        <v>0</v>
      </c>
      <c r="N227" t="n">
        <v>0</v>
      </c>
      <c r="O227" t="n">
        <v>2</v>
      </c>
      <c r="P227" t="n">
        <v>0</v>
      </c>
      <c r="Q227" t="n">
        <v>2</v>
      </c>
      <c r="R227" s="2" t="inlineStr">
        <is>
          <t>Ullticka
Veckticka</t>
        </is>
      </c>
      <c r="S227">
        <f>HYPERLINK("https://klasma.github.io/Logging_2305/artfynd/A 59324-2021 artfynd.xlsx", "A 59324-2021")</f>
        <v/>
      </c>
      <c r="T227">
        <f>HYPERLINK("https://klasma.github.io/Logging_2305/kartor/A 59324-2021 karta.png", "A 59324-2021")</f>
        <v/>
      </c>
      <c r="V227">
        <f>HYPERLINK("https://klasma.github.io/Logging_2305/klagomål/A 59324-2021 FSC-klagomål.docx", "A 59324-2021")</f>
        <v/>
      </c>
      <c r="W227">
        <f>HYPERLINK("https://klasma.github.io/Logging_2305/klagomålsmail/A 59324-2021 FSC-klagomål mail.docx", "A 59324-2021")</f>
        <v/>
      </c>
      <c r="X227">
        <f>HYPERLINK("https://klasma.github.io/Logging_2305/tillsyn/A 59324-2021 tillsynsbegäran.docx", "A 59324-2021")</f>
        <v/>
      </c>
      <c r="Y227">
        <f>HYPERLINK("https://klasma.github.io/Logging_2305/tillsynsmail/A 59324-2021 tillsynsbegäran mail.docx", "A 59324-2021")</f>
        <v/>
      </c>
    </row>
    <row r="228" ht="15" customHeight="1">
      <c r="A228" t="inlineStr">
        <is>
          <t>A 17489-2025</t>
        </is>
      </c>
      <c r="B228" s="1" t="n">
        <v>45757.51074074074</v>
      </c>
      <c r="C228" s="1" t="n">
        <v>46105</v>
      </c>
      <c r="D228" t="inlineStr">
        <is>
          <t>JÄMTLANDS LÄN</t>
        </is>
      </c>
      <c r="E228" t="inlineStr">
        <is>
          <t>BRÄCKE</t>
        </is>
      </c>
      <c r="F228" t="inlineStr">
        <is>
          <t>SCA</t>
        </is>
      </c>
      <c r="G228" t="n">
        <v>4.6</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17489-2025 artfynd.xlsx", "A 17489-2025")</f>
        <v/>
      </c>
      <c r="T228">
        <f>HYPERLINK("https://klasma.github.io/Logging_2305/kartor/A 17489-2025 karta.png", "A 17489-2025")</f>
        <v/>
      </c>
      <c r="V228">
        <f>HYPERLINK("https://klasma.github.io/Logging_2305/klagomål/A 17489-2025 FSC-klagomål.docx", "A 17489-2025")</f>
        <v/>
      </c>
      <c r="W228">
        <f>HYPERLINK("https://klasma.github.io/Logging_2305/klagomålsmail/A 17489-2025 FSC-klagomål mail.docx", "A 17489-2025")</f>
        <v/>
      </c>
      <c r="X228">
        <f>HYPERLINK("https://klasma.github.io/Logging_2305/tillsyn/A 17489-2025 tillsynsbegäran.docx", "A 17489-2025")</f>
        <v/>
      </c>
      <c r="Y228">
        <f>HYPERLINK("https://klasma.github.io/Logging_2305/tillsynsmail/A 17489-2025 tillsynsbegäran mail.docx", "A 17489-2025")</f>
        <v/>
      </c>
    </row>
    <row r="229" ht="15" customHeight="1">
      <c r="A229" t="inlineStr">
        <is>
          <t>A 2838-2026</t>
        </is>
      </c>
      <c r="B229" s="1" t="n">
        <v>46038.46408564815</v>
      </c>
      <c r="C229" s="1" t="n">
        <v>46105</v>
      </c>
      <c r="D229" t="inlineStr">
        <is>
          <t>JÄMTLANDS LÄN</t>
        </is>
      </c>
      <c r="E229" t="inlineStr">
        <is>
          <t>BRÄCKE</t>
        </is>
      </c>
      <c r="G229" t="n">
        <v>0.6</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2838-2026 artfynd.xlsx", "A 2838-2026")</f>
        <v/>
      </c>
      <c r="T229">
        <f>HYPERLINK("https://klasma.github.io/Logging_2305/kartor/A 2838-2026 karta.png", "A 2838-2026")</f>
        <v/>
      </c>
      <c r="U229">
        <f>HYPERLINK("https://klasma.github.io/Logging_2305/knärot/A 2838-2026 karta knärot.png", "A 2838-2026")</f>
        <v/>
      </c>
      <c r="V229">
        <f>HYPERLINK("https://klasma.github.io/Logging_2305/klagomål/A 2838-2026 FSC-klagomål.docx", "A 2838-2026")</f>
        <v/>
      </c>
      <c r="W229">
        <f>HYPERLINK("https://klasma.github.io/Logging_2305/klagomålsmail/A 2838-2026 FSC-klagomål mail.docx", "A 2838-2026")</f>
        <v/>
      </c>
      <c r="X229">
        <f>HYPERLINK("https://klasma.github.io/Logging_2305/tillsyn/A 2838-2026 tillsynsbegäran.docx", "A 2838-2026")</f>
        <v/>
      </c>
      <c r="Y229">
        <f>HYPERLINK("https://klasma.github.io/Logging_2305/tillsynsmail/A 2838-2026 tillsynsbegäran mail.docx", "A 2838-2026")</f>
        <v/>
      </c>
    </row>
    <row r="230" ht="15" customHeight="1">
      <c r="A230" t="inlineStr">
        <is>
          <t>A 48772-2024</t>
        </is>
      </c>
      <c r="B230" s="1" t="n">
        <v>45593.61495370371</v>
      </c>
      <c r="C230" s="1" t="n">
        <v>46105</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48772-2024 artfynd.xlsx", "A 48772-2024")</f>
        <v/>
      </c>
      <c r="T230">
        <f>HYPERLINK("https://klasma.github.io/Logging_2305/kartor/A 48772-2024 karta.png", "A 48772-2024")</f>
        <v/>
      </c>
      <c r="V230">
        <f>HYPERLINK("https://klasma.github.io/Logging_2305/klagomål/A 48772-2024 FSC-klagomål.docx", "A 48772-2024")</f>
        <v/>
      </c>
      <c r="W230">
        <f>HYPERLINK("https://klasma.github.io/Logging_2305/klagomålsmail/A 48772-2024 FSC-klagomål mail.docx", "A 48772-2024")</f>
        <v/>
      </c>
      <c r="X230">
        <f>HYPERLINK("https://klasma.github.io/Logging_2305/tillsyn/A 48772-2024 tillsynsbegäran.docx", "A 48772-2024")</f>
        <v/>
      </c>
      <c r="Y230">
        <f>HYPERLINK("https://klasma.github.io/Logging_2305/tillsynsmail/A 48772-2024 tillsynsbegäran mail.docx", "A 48772-2024")</f>
        <v/>
      </c>
    </row>
    <row r="231" ht="15" customHeight="1">
      <c r="A231" t="inlineStr">
        <is>
          <t>A 40401-2023</t>
        </is>
      </c>
      <c r="B231" s="1" t="n">
        <v>45169</v>
      </c>
      <c r="C231" s="1" t="n">
        <v>46105</v>
      </c>
      <c r="D231" t="inlineStr">
        <is>
          <t>JÄMTLANDS LÄN</t>
        </is>
      </c>
      <c r="E231" t="inlineStr">
        <is>
          <t>BRÄCKE</t>
        </is>
      </c>
      <c r="F231" t="inlineStr">
        <is>
          <t>SCA</t>
        </is>
      </c>
      <c r="G231" t="n">
        <v>2</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40401-2023 artfynd.xlsx", "A 40401-2023")</f>
        <v/>
      </c>
      <c r="T231">
        <f>HYPERLINK("https://klasma.github.io/Logging_2305/kartor/A 40401-2023 karta.png", "A 40401-2023")</f>
        <v/>
      </c>
      <c r="V231">
        <f>HYPERLINK("https://klasma.github.io/Logging_2305/klagomål/A 40401-2023 FSC-klagomål.docx", "A 40401-2023")</f>
        <v/>
      </c>
      <c r="W231">
        <f>HYPERLINK("https://klasma.github.io/Logging_2305/klagomålsmail/A 40401-2023 FSC-klagomål mail.docx", "A 40401-2023")</f>
        <v/>
      </c>
      <c r="X231">
        <f>HYPERLINK("https://klasma.github.io/Logging_2305/tillsyn/A 40401-2023 tillsynsbegäran.docx", "A 40401-2023")</f>
        <v/>
      </c>
      <c r="Y231">
        <f>HYPERLINK("https://klasma.github.io/Logging_2305/tillsynsmail/A 40401-2023 tillsynsbegäran mail.docx", "A 40401-2023")</f>
        <v/>
      </c>
    </row>
    <row r="232" ht="15" customHeight="1">
      <c r="A232" t="inlineStr">
        <is>
          <t>A 50497-2023</t>
        </is>
      </c>
      <c r="B232" s="1" t="n">
        <v>45216</v>
      </c>
      <c r="C232" s="1" t="n">
        <v>46105</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46105</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45231</v>
      </c>
      <c r="C234" s="1" t="n">
        <v>46105</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47498-2023</t>
        </is>
      </c>
      <c r="B235" s="1" t="n">
        <v>45202</v>
      </c>
      <c r="C235" s="1" t="n">
        <v>46105</v>
      </c>
      <c r="D235" t="inlineStr">
        <is>
          <t>JÄMTLANDS LÄN</t>
        </is>
      </c>
      <c r="E235" t="inlineStr">
        <is>
          <t>BRÄCKE</t>
        </is>
      </c>
      <c r="F235" t="inlineStr">
        <is>
          <t>SCA</t>
        </is>
      </c>
      <c r="G235" t="n">
        <v>6.1</v>
      </c>
      <c r="H235" t="n">
        <v>1</v>
      </c>
      <c r="I235" t="n">
        <v>1</v>
      </c>
      <c r="J235" t="n">
        <v>0</v>
      </c>
      <c r="K235" t="n">
        <v>1</v>
      </c>
      <c r="L235" t="n">
        <v>0</v>
      </c>
      <c r="M235" t="n">
        <v>0</v>
      </c>
      <c r="N235" t="n">
        <v>0</v>
      </c>
      <c r="O235" t="n">
        <v>1</v>
      </c>
      <c r="P235" t="n">
        <v>1</v>
      </c>
      <c r="Q235" t="n">
        <v>2</v>
      </c>
      <c r="R235" s="2" t="inlineStr">
        <is>
          <t>Bandnate
Guckusko</t>
        </is>
      </c>
      <c r="S235">
        <f>HYPERLINK("https://klasma.github.io/Logging_2305/artfynd/A 47498-2023 artfynd.xlsx", "A 47498-2023")</f>
        <v/>
      </c>
      <c r="T235">
        <f>HYPERLINK("https://klasma.github.io/Logging_2305/kartor/A 47498-2023 karta.png", "A 47498-2023")</f>
        <v/>
      </c>
      <c r="V235">
        <f>HYPERLINK("https://klasma.github.io/Logging_2305/klagomål/A 47498-2023 FSC-klagomål.docx", "A 47498-2023")</f>
        <v/>
      </c>
      <c r="W235">
        <f>HYPERLINK("https://klasma.github.io/Logging_2305/klagomålsmail/A 47498-2023 FSC-klagomål mail.docx", "A 47498-2023")</f>
        <v/>
      </c>
      <c r="X235">
        <f>HYPERLINK("https://klasma.github.io/Logging_2305/tillsyn/A 47498-2023 tillsynsbegäran.docx", "A 47498-2023")</f>
        <v/>
      </c>
      <c r="Y235">
        <f>HYPERLINK("https://klasma.github.io/Logging_2305/tillsynsmail/A 47498-2023 tillsynsbegäran mail.docx", "A 47498-2023")</f>
        <v/>
      </c>
    </row>
    <row r="236" ht="15" customHeight="1">
      <c r="A236" t="inlineStr">
        <is>
          <t>A 3913-2022</t>
        </is>
      </c>
      <c r="B236" s="1" t="n">
        <v>44587</v>
      </c>
      <c r="C236" s="1" t="n">
        <v>46105</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50328-2022</t>
        </is>
      </c>
      <c r="B237" s="1" t="n">
        <v>44865</v>
      </c>
      <c r="C237" s="1" t="n">
        <v>46105</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3029-2023</t>
        </is>
      </c>
      <c r="B238" s="1" t="n">
        <v>44945</v>
      </c>
      <c r="C238" s="1" t="n">
        <v>46105</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2464-2025</t>
        </is>
      </c>
      <c r="B239" s="1" t="n">
        <v>45674.4693287037</v>
      </c>
      <c r="C239" s="1" t="n">
        <v>46105</v>
      </c>
      <c r="D239" t="inlineStr">
        <is>
          <t>JÄMTLANDS LÄN</t>
        </is>
      </c>
      <c r="E239" t="inlineStr">
        <is>
          <t>BRÄCKE</t>
        </is>
      </c>
      <c r="F239" t="inlineStr">
        <is>
          <t>SCA</t>
        </is>
      </c>
      <c r="G239" t="n">
        <v>4.4</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2464-2025 artfynd.xlsx", "A 2464-2025")</f>
        <v/>
      </c>
      <c r="T239">
        <f>HYPERLINK("https://klasma.github.io/Logging_2305/kartor/A 2464-2025 karta.png", "A 2464-2025")</f>
        <v/>
      </c>
      <c r="V239">
        <f>HYPERLINK("https://klasma.github.io/Logging_2305/klagomål/A 2464-2025 FSC-klagomål.docx", "A 2464-2025")</f>
        <v/>
      </c>
      <c r="W239">
        <f>HYPERLINK("https://klasma.github.io/Logging_2305/klagomålsmail/A 2464-2025 FSC-klagomål mail.docx", "A 2464-2025")</f>
        <v/>
      </c>
      <c r="X239">
        <f>HYPERLINK("https://klasma.github.io/Logging_2305/tillsyn/A 2464-2025 tillsynsbegäran.docx", "A 2464-2025")</f>
        <v/>
      </c>
      <c r="Y239">
        <f>HYPERLINK("https://klasma.github.io/Logging_2305/tillsynsmail/A 2464-2025 tillsynsbegäran mail.docx", "A 2464-2025")</f>
        <v/>
      </c>
      <c r="Z239">
        <f>HYPERLINK("https://klasma.github.io/Logging_2305/fåglar/A 2464-2025 prioriterade fågelarter.docx", "A 2464-2025")</f>
        <v/>
      </c>
    </row>
    <row r="240" ht="15" customHeight="1">
      <c r="A240" t="inlineStr">
        <is>
          <t>A 2467-2025</t>
        </is>
      </c>
      <c r="B240" s="1" t="n">
        <v>45674.46979166667</v>
      </c>
      <c r="C240" s="1" t="n">
        <v>46105</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8248-2024</t>
        </is>
      </c>
      <c r="B241" s="1" t="n">
        <v>45351</v>
      </c>
      <c r="C241" s="1" t="n">
        <v>46105</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10105-2025</t>
        </is>
      </c>
      <c r="B242" s="1" t="n">
        <v>45719.58310185185</v>
      </c>
      <c r="C242" s="1" t="n">
        <v>46105</v>
      </c>
      <c r="D242" t="inlineStr">
        <is>
          <t>JÄMTLANDS LÄN</t>
        </is>
      </c>
      <c r="E242" t="inlineStr">
        <is>
          <t>BRÄCKE</t>
        </is>
      </c>
      <c r="G242" t="n">
        <v>0.6</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10105-2025 artfynd.xlsx", "A 10105-2025")</f>
        <v/>
      </c>
      <c r="T242">
        <f>HYPERLINK("https://klasma.github.io/Logging_2305/kartor/A 10105-2025 karta.png", "A 10105-2025")</f>
        <v/>
      </c>
      <c r="V242">
        <f>HYPERLINK("https://klasma.github.io/Logging_2305/klagomål/A 10105-2025 FSC-klagomål.docx", "A 10105-2025")</f>
        <v/>
      </c>
      <c r="W242">
        <f>HYPERLINK("https://klasma.github.io/Logging_2305/klagomålsmail/A 10105-2025 FSC-klagomål mail.docx", "A 10105-2025")</f>
        <v/>
      </c>
      <c r="X242">
        <f>HYPERLINK("https://klasma.github.io/Logging_2305/tillsyn/A 10105-2025 tillsynsbegäran.docx", "A 10105-2025")</f>
        <v/>
      </c>
      <c r="Y242">
        <f>HYPERLINK("https://klasma.github.io/Logging_2305/tillsynsmail/A 10105-2025 tillsynsbegäran mail.docx", "A 10105-2025")</f>
        <v/>
      </c>
    </row>
    <row r="243" ht="15" customHeight="1">
      <c r="A243" t="inlineStr">
        <is>
          <t>A 40818-2024</t>
        </is>
      </c>
      <c r="B243" s="1" t="n">
        <v>45558.55251157407</v>
      </c>
      <c r="C243" s="1" t="n">
        <v>46105</v>
      </c>
      <c r="D243" t="inlineStr">
        <is>
          <t>JÄMTLANDS LÄN</t>
        </is>
      </c>
      <c r="E243" t="inlineStr">
        <is>
          <t>BRÄCKE</t>
        </is>
      </c>
      <c r="G243" t="n">
        <v>2.7</v>
      </c>
      <c r="H243" t="n">
        <v>0</v>
      </c>
      <c r="I243" t="n">
        <v>0</v>
      </c>
      <c r="J243" t="n">
        <v>2</v>
      </c>
      <c r="K243" t="n">
        <v>0</v>
      </c>
      <c r="L243" t="n">
        <v>0</v>
      </c>
      <c r="M243" t="n">
        <v>0</v>
      </c>
      <c r="N243" t="n">
        <v>0</v>
      </c>
      <c r="O243" t="n">
        <v>2</v>
      </c>
      <c r="P243" t="n">
        <v>0</v>
      </c>
      <c r="Q243" t="n">
        <v>2</v>
      </c>
      <c r="R243" s="2" t="inlineStr">
        <is>
          <t>Skrovlig taggsvamp
Svart taggsvamp agg.</t>
        </is>
      </c>
      <c r="S243">
        <f>HYPERLINK("https://klasma.github.io/Logging_2305/artfynd/A 40818-2024 artfynd.xlsx", "A 40818-2024")</f>
        <v/>
      </c>
      <c r="T243">
        <f>HYPERLINK("https://klasma.github.io/Logging_2305/kartor/A 40818-2024 karta.png", "A 40818-2024")</f>
        <v/>
      </c>
      <c r="V243">
        <f>HYPERLINK("https://klasma.github.io/Logging_2305/klagomål/A 40818-2024 FSC-klagomål.docx", "A 40818-2024")</f>
        <v/>
      </c>
      <c r="W243">
        <f>HYPERLINK("https://klasma.github.io/Logging_2305/klagomålsmail/A 40818-2024 FSC-klagomål mail.docx", "A 40818-2024")</f>
        <v/>
      </c>
      <c r="X243">
        <f>HYPERLINK("https://klasma.github.io/Logging_2305/tillsyn/A 40818-2024 tillsynsbegäran.docx", "A 40818-2024")</f>
        <v/>
      </c>
      <c r="Y243">
        <f>HYPERLINK("https://klasma.github.io/Logging_2305/tillsynsmail/A 40818-2024 tillsynsbegäran mail.docx", "A 40818-2024")</f>
        <v/>
      </c>
    </row>
    <row r="244" ht="15" customHeight="1">
      <c r="A244" t="inlineStr">
        <is>
          <t>A 21408-2025</t>
        </is>
      </c>
      <c r="B244" s="1" t="n">
        <v>45782.4906712963</v>
      </c>
      <c r="C244" s="1" t="n">
        <v>46105</v>
      </c>
      <c r="D244" t="inlineStr">
        <is>
          <t>JÄMTLANDS LÄN</t>
        </is>
      </c>
      <c r="E244" t="inlineStr">
        <is>
          <t>BRÄCKE</t>
        </is>
      </c>
      <c r="F244" t="inlineStr">
        <is>
          <t>SCA</t>
        </is>
      </c>
      <c r="G244" t="n">
        <v>1.2</v>
      </c>
      <c r="H244" t="n">
        <v>1</v>
      </c>
      <c r="I244" t="n">
        <v>1</v>
      </c>
      <c r="J244" t="n">
        <v>0</v>
      </c>
      <c r="K244" t="n">
        <v>0</v>
      </c>
      <c r="L244" t="n">
        <v>0</v>
      </c>
      <c r="M244" t="n">
        <v>0</v>
      </c>
      <c r="N244" t="n">
        <v>0</v>
      </c>
      <c r="O244" t="n">
        <v>0</v>
      </c>
      <c r="P244" t="n">
        <v>0</v>
      </c>
      <c r="Q244" t="n">
        <v>2</v>
      </c>
      <c r="R244" s="2" t="inlineStr">
        <is>
          <t>Underviol
Blåsippa</t>
        </is>
      </c>
      <c r="S244">
        <f>HYPERLINK("https://klasma.github.io/Logging_2305/artfynd/A 21408-2025 artfynd.xlsx", "A 21408-2025")</f>
        <v/>
      </c>
      <c r="T244">
        <f>HYPERLINK("https://klasma.github.io/Logging_2305/kartor/A 21408-2025 karta.png", "A 21408-2025")</f>
        <v/>
      </c>
      <c r="V244">
        <f>HYPERLINK("https://klasma.github.io/Logging_2305/klagomål/A 21408-2025 FSC-klagomål.docx", "A 21408-2025")</f>
        <v/>
      </c>
      <c r="W244">
        <f>HYPERLINK("https://klasma.github.io/Logging_2305/klagomålsmail/A 21408-2025 FSC-klagomål mail.docx", "A 21408-2025")</f>
        <v/>
      </c>
      <c r="X244">
        <f>HYPERLINK("https://klasma.github.io/Logging_2305/tillsyn/A 21408-2025 tillsynsbegäran.docx", "A 21408-2025")</f>
        <v/>
      </c>
      <c r="Y244">
        <f>HYPERLINK("https://klasma.github.io/Logging_2305/tillsynsmail/A 21408-2025 tillsynsbegäran mail.docx", "A 21408-2025")</f>
        <v/>
      </c>
    </row>
    <row r="245" ht="15" customHeight="1">
      <c r="A245" t="inlineStr">
        <is>
          <t>A 5858-2025</t>
        </is>
      </c>
      <c r="B245" s="1" t="n">
        <v>45695.34447916667</v>
      </c>
      <c r="C245" s="1" t="n">
        <v>46105</v>
      </c>
      <c r="D245" t="inlineStr">
        <is>
          <t>JÄMTLANDS LÄN</t>
        </is>
      </c>
      <c r="E245" t="inlineStr">
        <is>
          <t>BRÄCKE</t>
        </is>
      </c>
      <c r="G245" t="n">
        <v>2.7</v>
      </c>
      <c r="H245" t="n">
        <v>1</v>
      </c>
      <c r="I245" t="n">
        <v>0</v>
      </c>
      <c r="J245" t="n">
        <v>0</v>
      </c>
      <c r="K245" t="n">
        <v>0</v>
      </c>
      <c r="L245" t="n">
        <v>2</v>
      </c>
      <c r="M245" t="n">
        <v>0</v>
      </c>
      <c r="N245" t="n">
        <v>0</v>
      </c>
      <c r="O245" t="n">
        <v>2</v>
      </c>
      <c r="P245" t="n">
        <v>2</v>
      </c>
      <c r="Q245" t="n">
        <v>2</v>
      </c>
      <c r="R245" s="2" t="inlineStr">
        <is>
          <t>Bredgentiana
Fältgentiana</t>
        </is>
      </c>
      <c r="S245">
        <f>HYPERLINK("https://klasma.github.io/Logging_2305/artfynd/A 5858-2025 artfynd.xlsx", "A 5858-2025")</f>
        <v/>
      </c>
      <c r="T245">
        <f>HYPERLINK("https://klasma.github.io/Logging_2305/kartor/A 5858-2025 karta.png", "A 5858-2025")</f>
        <v/>
      </c>
      <c r="V245">
        <f>HYPERLINK("https://klasma.github.io/Logging_2305/klagomål/A 5858-2025 FSC-klagomål.docx", "A 5858-2025")</f>
        <v/>
      </c>
      <c r="W245">
        <f>HYPERLINK("https://klasma.github.io/Logging_2305/klagomålsmail/A 5858-2025 FSC-klagomål mail.docx", "A 5858-2025")</f>
        <v/>
      </c>
      <c r="X245">
        <f>HYPERLINK("https://klasma.github.io/Logging_2305/tillsyn/A 5858-2025 tillsynsbegäran.docx", "A 5858-2025")</f>
        <v/>
      </c>
      <c r="Y245">
        <f>HYPERLINK("https://klasma.github.io/Logging_2305/tillsynsmail/A 5858-2025 tillsynsbegäran mail.docx", "A 5858-2025")</f>
        <v/>
      </c>
    </row>
    <row r="246" ht="15" customHeight="1">
      <c r="A246" t="inlineStr">
        <is>
          <t>A 24747-2025</t>
        </is>
      </c>
      <c r="B246" s="1" t="n">
        <v>45799.34675925926</v>
      </c>
      <c r="C246" s="1" t="n">
        <v>46105</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24747-2025 artfynd.xlsx", "A 24747-2025")</f>
        <v/>
      </c>
      <c r="T246">
        <f>HYPERLINK("https://klasma.github.io/Logging_2305/kartor/A 24747-2025 karta.png", "A 24747-2025")</f>
        <v/>
      </c>
      <c r="V246">
        <f>HYPERLINK("https://klasma.github.io/Logging_2305/klagomål/A 24747-2025 FSC-klagomål.docx", "A 24747-2025")</f>
        <v/>
      </c>
      <c r="W246">
        <f>HYPERLINK("https://klasma.github.io/Logging_2305/klagomålsmail/A 24747-2025 FSC-klagomål mail.docx", "A 24747-2025")</f>
        <v/>
      </c>
      <c r="X246">
        <f>HYPERLINK("https://klasma.github.io/Logging_2305/tillsyn/A 24747-2025 tillsynsbegäran.docx", "A 24747-2025")</f>
        <v/>
      </c>
      <c r="Y246">
        <f>HYPERLINK("https://klasma.github.io/Logging_2305/tillsynsmail/A 24747-2025 tillsynsbegäran mail.docx", "A 24747-2025")</f>
        <v/>
      </c>
    </row>
    <row r="247" ht="15" customHeight="1">
      <c r="A247" t="inlineStr">
        <is>
          <t>A 69154-2021</t>
        </is>
      </c>
      <c r="B247" s="1" t="n">
        <v>44530</v>
      </c>
      <c r="C247" s="1" t="n">
        <v>46105</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46105</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46105</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46105</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49863-2022</t>
        </is>
      </c>
      <c r="B251" s="1" t="n">
        <v>44862</v>
      </c>
      <c r="C251" s="1" t="n">
        <v>46105</v>
      </c>
      <c r="D251" t="inlineStr">
        <is>
          <t>JÄMTLANDS LÄN</t>
        </is>
      </c>
      <c r="E251" t="inlineStr">
        <is>
          <t>BRÄCKE</t>
        </is>
      </c>
      <c r="F251" t="inlineStr">
        <is>
          <t>SCA</t>
        </is>
      </c>
      <c r="G251" t="n">
        <v>3.9</v>
      </c>
      <c r="H251" t="n">
        <v>1</v>
      </c>
      <c r="I251" t="n">
        <v>1</v>
      </c>
      <c r="J251" t="n">
        <v>0</v>
      </c>
      <c r="K251" t="n">
        <v>0</v>
      </c>
      <c r="L251" t="n">
        <v>0</v>
      </c>
      <c r="M251" t="n">
        <v>0</v>
      </c>
      <c r="N251" t="n">
        <v>0</v>
      </c>
      <c r="O251" t="n">
        <v>0</v>
      </c>
      <c r="P251" t="n">
        <v>0</v>
      </c>
      <c r="Q251" t="n">
        <v>1</v>
      </c>
      <c r="R251" s="2" t="inlineStr">
        <is>
          <t>Spindelblomster</t>
        </is>
      </c>
      <c r="S251">
        <f>HYPERLINK("https://klasma.github.io/Logging_2305/artfynd/A 49863-2022 artfynd.xlsx", "A 49863-2022")</f>
        <v/>
      </c>
      <c r="T251">
        <f>HYPERLINK("https://klasma.github.io/Logging_2305/kartor/A 49863-2022 karta.png", "A 49863-2022")</f>
        <v/>
      </c>
      <c r="V251">
        <f>HYPERLINK("https://klasma.github.io/Logging_2305/klagomål/A 49863-2022 FSC-klagomål.docx", "A 49863-2022")</f>
        <v/>
      </c>
      <c r="W251">
        <f>HYPERLINK("https://klasma.github.io/Logging_2305/klagomålsmail/A 49863-2022 FSC-klagomål mail.docx", "A 49863-2022")</f>
        <v/>
      </c>
      <c r="X251">
        <f>HYPERLINK("https://klasma.github.io/Logging_2305/tillsyn/A 49863-2022 tillsynsbegäran.docx", "A 49863-2022")</f>
        <v/>
      </c>
      <c r="Y251">
        <f>HYPERLINK("https://klasma.github.io/Logging_2305/tillsynsmail/A 49863-2022 tillsynsbegäran mail.docx", "A 49863-2022")</f>
        <v/>
      </c>
    </row>
    <row r="252" ht="15" customHeight="1">
      <c r="A252" t="inlineStr">
        <is>
          <t>A 49040-2023</t>
        </is>
      </c>
      <c r="B252" s="1" t="n">
        <v>45209</v>
      </c>
      <c r="C252" s="1" t="n">
        <v>46105</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29215-2024</t>
        </is>
      </c>
      <c r="B253" s="1" t="n">
        <v>45482.67827546296</v>
      </c>
      <c r="C253" s="1" t="n">
        <v>46105</v>
      </c>
      <c r="D253" t="inlineStr">
        <is>
          <t>JÄMTLANDS LÄN</t>
        </is>
      </c>
      <c r="E253" t="inlineStr">
        <is>
          <t>BRÄCKE</t>
        </is>
      </c>
      <c r="F253" t="inlineStr">
        <is>
          <t>Övriga Aktiebolag</t>
        </is>
      </c>
      <c r="G253" t="n">
        <v>7.3</v>
      </c>
      <c r="H253" t="n">
        <v>1</v>
      </c>
      <c r="I253" t="n">
        <v>0</v>
      </c>
      <c r="J253" t="n">
        <v>0</v>
      </c>
      <c r="K253" t="n">
        <v>0</v>
      </c>
      <c r="L253" t="n">
        <v>0</v>
      </c>
      <c r="M253" t="n">
        <v>0</v>
      </c>
      <c r="N253" t="n">
        <v>0</v>
      </c>
      <c r="O253" t="n">
        <v>0</v>
      </c>
      <c r="P253" t="n">
        <v>0</v>
      </c>
      <c r="Q253" t="n">
        <v>1</v>
      </c>
      <c r="R253" s="2" t="inlineStr">
        <is>
          <t>Sparvuggla</t>
        </is>
      </c>
      <c r="S253">
        <f>HYPERLINK("https://klasma.github.io/Logging_2305/artfynd/A 29215-2024 artfynd.xlsx", "A 29215-2024")</f>
        <v/>
      </c>
      <c r="T253">
        <f>HYPERLINK("https://klasma.github.io/Logging_2305/kartor/A 29215-2024 karta.png", "A 29215-2024")</f>
        <v/>
      </c>
      <c r="V253">
        <f>HYPERLINK("https://klasma.github.io/Logging_2305/klagomål/A 29215-2024 FSC-klagomål.docx", "A 29215-2024")</f>
        <v/>
      </c>
      <c r="W253">
        <f>HYPERLINK("https://klasma.github.io/Logging_2305/klagomålsmail/A 29215-2024 FSC-klagomål mail.docx", "A 29215-2024")</f>
        <v/>
      </c>
      <c r="X253">
        <f>HYPERLINK("https://klasma.github.io/Logging_2305/tillsyn/A 29215-2024 tillsynsbegäran.docx", "A 29215-2024")</f>
        <v/>
      </c>
      <c r="Y253">
        <f>HYPERLINK("https://klasma.github.io/Logging_2305/tillsynsmail/A 29215-2024 tillsynsbegäran mail.docx", "A 29215-2024")</f>
        <v/>
      </c>
      <c r="Z253">
        <f>HYPERLINK("https://klasma.github.io/Logging_2305/fåglar/A 29215-2024 prioriterade fågelarter.docx", "A 29215-2024")</f>
        <v/>
      </c>
    </row>
    <row r="254" ht="15" customHeight="1">
      <c r="A254" t="inlineStr">
        <is>
          <t>A 55931-2023</t>
        </is>
      </c>
      <c r="B254" s="1" t="n">
        <v>45239</v>
      </c>
      <c r="C254" s="1" t="n">
        <v>46105</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22101-2024</t>
        </is>
      </c>
      <c r="B255" s="1" t="n">
        <v>45443.95077546296</v>
      </c>
      <c r="C255" s="1" t="n">
        <v>46105</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20768-2024</t>
        </is>
      </c>
      <c r="B256" s="1" t="n">
        <v>45436.94594907408</v>
      </c>
      <c r="C256" s="1" t="n">
        <v>46105</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17588-2024</t>
        </is>
      </c>
      <c r="B257" s="1" t="n">
        <v>45415.94054398148</v>
      </c>
      <c r="C257" s="1" t="n">
        <v>46105</v>
      </c>
      <c r="D257" t="inlineStr">
        <is>
          <t>JÄMTLANDS LÄN</t>
        </is>
      </c>
      <c r="E257" t="inlineStr">
        <is>
          <t>BRÄCKE</t>
        </is>
      </c>
      <c r="F257" t="inlineStr">
        <is>
          <t>SCA</t>
        </is>
      </c>
      <c r="G257" t="n">
        <v>1.8</v>
      </c>
      <c r="H257" t="n">
        <v>0</v>
      </c>
      <c r="I257" t="n">
        <v>0</v>
      </c>
      <c r="J257" t="n">
        <v>1</v>
      </c>
      <c r="K257" t="n">
        <v>0</v>
      </c>
      <c r="L257" t="n">
        <v>0</v>
      </c>
      <c r="M257" t="n">
        <v>0</v>
      </c>
      <c r="N257" t="n">
        <v>0</v>
      </c>
      <c r="O257" t="n">
        <v>1</v>
      </c>
      <c r="P257" t="n">
        <v>0</v>
      </c>
      <c r="Q257" t="n">
        <v>1</v>
      </c>
      <c r="R257" s="2" t="inlineStr">
        <is>
          <t>Rosenticka</t>
        </is>
      </c>
      <c r="S257">
        <f>HYPERLINK("https://klasma.github.io/Logging_2305/artfynd/A 17588-2024 artfynd.xlsx", "A 17588-2024")</f>
        <v/>
      </c>
      <c r="T257">
        <f>HYPERLINK("https://klasma.github.io/Logging_2305/kartor/A 17588-2024 karta.png", "A 17588-2024")</f>
        <v/>
      </c>
      <c r="V257">
        <f>HYPERLINK("https://klasma.github.io/Logging_2305/klagomål/A 17588-2024 FSC-klagomål.docx", "A 17588-2024")</f>
        <v/>
      </c>
      <c r="W257">
        <f>HYPERLINK("https://klasma.github.io/Logging_2305/klagomålsmail/A 17588-2024 FSC-klagomål mail.docx", "A 17588-2024")</f>
        <v/>
      </c>
      <c r="X257">
        <f>HYPERLINK("https://klasma.github.io/Logging_2305/tillsyn/A 17588-2024 tillsynsbegäran.docx", "A 17588-2024")</f>
        <v/>
      </c>
      <c r="Y257">
        <f>HYPERLINK("https://klasma.github.io/Logging_2305/tillsynsmail/A 17588-2024 tillsynsbegäran mail.docx", "A 17588-2024")</f>
        <v/>
      </c>
    </row>
    <row r="258" ht="15" customHeight="1">
      <c r="A258" t="inlineStr">
        <is>
          <t>A 725-2023</t>
        </is>
      </c>
      <c r="B258" s="1" t="n">
        <v>44930</v>
      </c>
      <c r="C258" s="1" t="n">
        <v>46105</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29546-2024</t>
        </is>
      </c>
      <c r="B259" s="1" t="n">
        <v>45484.50435185185</v>
      </c>
      <c r="C259" s="1" t="n">
        <v>46105</v>
      </c>
      <c r="D259" t="inlineStr">
        <is>
          <t>JÄMTLANDS LÄN</t>
        </is>
      </c>
      <c r="E259" t="inlineStr">
        <is>
          <t>BRÄCKE</t>
        </is>
      </c>
      <c r="F259" t="inlineStr">
        <is>
          <t>Övriga Aktiebolag</t>
        </is>
      </c>
      <c r="G259" t="n">
        <v>3.1</v>
      </c>
      <c r="H259" t="n">
        <v>1</v>
      </c>
      <c r="I259" t="n">
        <v>0</v>
      </c>
      <c r="J259" t="n">
        <v>1</v>
      </c>
      <c r="K259" t="n">
        <v>0</v>
      </c>
      <c r="L259" t="n">
        <v>0</v>
      </c>
      <c r="M259" t="n">
        <v>0</v>
      </c>
      <c r="N259" t="n">
        <v>0</v>
      </c>
      <c r="O259" t="n">
        <v>1</v>
      </c>
      <c r="P259" t="n">
        <v>0</v>
      </c>
      <c r="Q259" t="n">
        <v>1</v>
      </c>
      <c r="R259" s="2" t="inlineStr">
        <is>
          <t>Spillkråka</t>
        </is>
      </c>
      <c r="S259">
        <f>HYPERLINK("https://klasma.github.io/Logging_2305/artfynd/A 29546-2024 artfynd.xlsx", "A 29546-2024")</f>
        <v/>
      </c>
      <c r="T259">
        <f>HYPERLINK("https://klasma.github.io/Logging_2305/kartor/A 29546-2024 karta.png", "A 29546-2024")</f>
        <v/>
      </c>
      <c r="V259">
        <f>HYPERLINK("https://klasma.github.io/Logging_2305/klagomål/A 29546-2024 FSC-klagomål.docx", "A 29546-2024")</f>
        <v/>
      </c>
      <c r="W259">
        <f>HYPERLINK("https://klasma.github.io/Logging_2305/klagomålsmail/A 29546-2024 FSC-klagomål mail.docx", "A 29546-2024")</f>
        <v/>
      </c>
      <c r="X259">
        <f>HYPERLINK("https://klasma.github.io/Logging_2305/tillsyn/A 29546-2024 tillsynsbegäran.docx", "A 29546-2024")</f>
        <v/>
      </c>
      <c r="Y259">
        <f>HYPERLINK("https://klasma.github.io/Logging_2305/tillsynsmail/A 29546-2024 tillsynsbegäran mail.docx", "A 29546-2024")</f>
        <v/>
      </c>
      <c r="Z259">
        <f>HYPERLINK("https://klasma.github.io/Logging_2305/fåglar/A 29546-2024 prioriterade fågelarter.docx", "A 29546-2024")</f>
        <v/>
      </c>
    </row>
    <row r="260" ht="15" customHeight="1">
      <c r="A260" t="inlineStr">
        <is>
          <t>A 36312-2024</t>
        </is>
      </c>
      <c r="B260" s="1" t="n">
        <v>45534.63096064814</v>
      </c>
      <c r="C260" s="1" t="n">
        <v>46105</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11553-2024</t>
        </is>
      </c>
      <c r="B261" s="1" t="n">
        <v>45372.95811342593</v>
      </c>
      <c r="C261" s="1" t="n">
        <v>46105</v>
      </c>
      <c r="D261" t="inlineStr">
        <is>
          <t>JÄMTLANDS LÄN</t>
        </is>
      </c>
      <c r="E261" t="inlineStr">
        <is>
          <t>BRÄCKE</t>
        </is>
      </c>
      <c r="F261" t="inlineStr">
        <is>
          <t>Naturvårdsverket</t>
        </is>
      </c>
      <c r="G261" t="n">
        <v>1.9</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11553-2024 artfynd.xlsx", "A 11553-2024")</f>
        <v/>
      </c>
      <c r="T261">
        <f>HYPERLINK("https://klasma.github.io/Logging_2305/kartor/A 11553-2024 karta.png", "A 11553-2024")</f>
        <v/>
      </c>
      <c r="V261">
        <f>HYPERLINK("https://klasma.github.io/Logging_2305/klagomål/A 11553-2024 FSC-klagomål.docx", "A 11553-2024")</f>
        <v/>
      </c>
      <c r="W261">
        <f>HYPERLINK("https://klasma.github.io/Logging_2305/klagomålsmail/A 11553-2024 FSC-klagomål mail.docx", "A 11553-2024")</f>
        <v/>
      </c>
      <c r="X261">
        <f>HYPERLINK("https://klasma.github.io/Logging_2305/tillsyn/A 11553-2024 tillsynsbegäran.docx", "A 11553-2024")</f>
        <v/>
      </c>
      <c r="Y261">
        <f>HYPERLINK("https://klasma.github.io/Logging_2305/tillsynsmail/A 11553-2024 tillsynsbegäran mail.docx", "A 11553-2024")</f>
        <v/>
      </c>
    </row>
    <row r="262" ht="15" customHeight="1">
      <c r="A262" t="inlineStr">
        <is>
          <t>A 25718-2025</t>
        </is>
      </c>
      <c r="B262" s="1" t="n">
        <v>45803.69876157407</v>
      </c>
      <c r="C262" s="1" t="n">
        <v>46105</v>
      </c>
      <c r="D262" t="inlineStr">
        <is>
          <t>JÄMTLANDS LÄN</t>
        </is>
      </c>
      <c r="E262" t="inlineStr">
        <is>
          <t>BRÄCKE</t>
        </is>
      </c>
      <c r="F262" t="inlineStr">
        <is>
          <t>SCA</t>
        </is>
      </c>
      <c r="G262" t="n">
        <v>4.4</v>
      </c>
      <c r="H262" t="n">
        <v>1</v>
      </c>
      <c r="I262" t="n">
        <v>0</v>
      </c>
      <c r="J262" t="n">
        <v>0</v>
      </c>
      <c r="K262" t="n">
        <v>1</v>
      </c>
      <c r="L262" t="n">
        <v>0</v>
      </c>
      <c r="M262" t="n">
        <v>0</v>
      </c>
      <c r="N262" t="n">
        <v>0</v>
      </c>
      <c r="O262" t="n">
        <v>1</v>
      </c>
      <c r="P262" t="n">
        <v>1</v>
      </c>
      <c r="Q262" t="n">
        <v>1</v>
      </c>
      <c r="R262" s="2" t="inlineStr">
        <is>
          <t>Knärot</t>
        </is>
      </c>
      <c r="S262">
        <f>HYPERLINK("https://klasma.github.io/Logging_2305/artfynd/A 25718-2025 artfynd.xlsx", "A 25718-2025")</f>
        <v/>
      </c>
      <c r="T262">
        <f>HYPERLINK("https://klasma.github.io/Logging_2305/kartor/A 25718-2025 karta.png", "A 25718-2025")</f>
        <v/>
      </c>
      <c r="U262">
        <f>HYPERLINK("https://klasma.github.io/Logging_2305/knärot/A 25718-2025 karta knärot.png", "A 25718-2025")</f>
        <v/>
      </c>
      <c r="V262">
        <f>HYPERLINK("https://klasma.github.io/Logging_2305/klagomål/A 25718-2025 FSC-klagomål.docx", "A 25718-2025")</f>
        <v/>
      </c>
      <c r="W262">
        <f>HYPERLINK("https://klasma.github.io/Logging_2305/klagomålsmail/A 25718-2025 FSC-klagomål mail.docx", "A 25718-2025")</f>
        <v/>
      </c>
      <c r="X262">
        <f>HYPERLINK("https://klasma.github.io/Logging_2305/tillsyn/A 25718-2025 tillsynsbegäran.docx", "A 25718-2025")</f>
        <v/>
      </c>
      <c r="Y262">
        <f>HYPERLINK("https://klasma.github.io/Logging_2305/tillsynsmail/A 25718-2025 tillsynsbegäran mail.docx", "A 25718-2025")</f>
        <v/>
      </c>
    </row>
    <row r="263" ht="15" customHeight="1">
      <c r="A263" t="inlineStr">
        <is>
          <t>A 27061-2025</t>
        </is>
      </c>
      <c r="B263" s="1" t="n">
        <v>45811.6360300926</v>
      </c>
      <c r="C263" s="1" t="n">
        <v>46105</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46105</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10736-2025</t>
        </is>
      </c>
      <c r="B265" s="1" t="n">
        <v>45722.40664351852</v>
      </c>
      <c r="C265" s="1" t="n">
        <v>46105</v>
      </c>
      <c r="D265" t="inlineStr">
        <is>
          <t>JÄMTLANDS LÄN</t>
        </is>
      </c>
      <c r="E265" t="inlineStr">
        <is>
          <t>BRÄCKE</t>
        </is>
      </c>
      <c r="F265" t="inlineStr">
        <is>
          <t>SCA</t>
        </is>
      </c>
      <c r="G265" t="n">
        <v>5</v>
      </c>
      <c r="H265" t="n">
        <v>1</v>
      </c>
      <c r="I265" t="n">
        <v>0</v>
      </c>
      <c r="J265" t="n">
        <v>0</v>
      </c>
      <c r="K265" t="n">
        <v>0</v>
      </c>
      <c r="L265" t="n">
        <v>0</v>
      </c>
      <c r="M265" t="n">
        <v>0</v>
      </c>
      <c r="N265" t="n">
        <v>0</v>
      </c>
      <c r="O265" t="n">
        <v>0</v>
      </c>
      <c r="P265" t="n">
        <v>0</v>
      </c>
      <c r="Q265" t="n">
        <v>1</v>
      </c>
      <c r="R265" s="2" t="inlineStr">
        <is>
          <t>Järnsparv</t>
        </is>
      </c>
      <c r="S265">
        <f>HYPERLINK("https://klasma.github.io/Logging_2305/artfynd/A 10736-2025 artfynd.xlsx", "A 10736-2025")</f>
        <v/>
      </c>
      <c r="T265">
        <f>HYPERLINK("https://klasma.github.io/Logging_2305/kartor/A 10736-2025 karta.png", "A 10736-2025")</f>
        <v/>
      </c>
      <c r="V265">
        <f>HYPERLINK("https://klasma.github.io/Logging_2305/klagomål/A 10736-2025 FSC-klagomål.docx", "A 10736-2025")</f>
        <v/>
      </c>
      <c r="W265">
        <f>HYPERLINK("https://klasma.github.io/Logging_2305/klagomålsmail/A 10736-2025 FSC-klagomål mail.docx", "A 10736-2025")</f>
        <v/>
      </c>
      <c r="X265">
        <f>HYPERLINK("https://klasma.github.io/Logging_2305/tillsyn/A 10736-2025 tillsynsbegäran.docx", "A 10736-2025")</f>
        <v/>
      </c>
      <c r="Y265">
        <f>HYPERLINK("https://klasma.github.io/Logging_2305/tillsynsmail/A 10736-2025 tillsynsbegäran mail.docx", "A 10736-2025")</f>
        <v/>
      </c>
      <c r="Z265">
        <f>HYPERLINK("https://klasma.github.io/Logging_2305/fåglar/A 10736-2025 prioriterade fågelarter.docx", "A 10736-2025")</f>
        <v/>
      </c>
    </row>
    <row r="266" ht="15" customHeight="1">
      <c r="A266" t="inlineStr">
        <is>
          <t>A 28676-2025</t>
        </is>
      </c>
      <c r="B266" s="1" t="n">
        <v>45819.67771990741</v>
      </c>
      <c r="C266" s="1" t="n">
        <v>46105</v>
      </c>
      <c r="D266" t="inlineStr">
        <is>
          <t>JÄMTLANDS LÄN</t>
        </is>
      </c>
      <c r="E266" t="inlineStr">
        <is>
          <t>BRÄCKE</t>
        </is>
      </c>
      <c r="G266" t="n">
        <v>1.2</v>
      </c>
      <c r="H266" t="n">
        <v>0</v>
      </c>
      <c r="I266" t="n">
        <v>1</v>
      </c>
      <c r="J266" t="n">
        <v>0</v>
      </c>
      <c r="K266" t="n">
        <v>0</v>
      </c>
      <c r="L266" t="n">
        <v>0</v>
      </c>
      <c r="M266" t="n">
        <v>0</v>
      </c>
      <c r="N266" t="n">
        <v>0</v>
      </c>
      <c r="O266" t="n">
        <v>0</v>
      </c>
      <c r="P266" t="n">
        <v>0</v>
      </c>
      <c r="Q266" t="n">
        <v>1</v>
      </c>
      <c r="R266" s="2" t="inlineStr">
        <is>
          <t>Rödgul trumpetsvamp</t>
        </is>
      </c>
      <c r="S266">
        <f>HYPERLINK("https://klasma.github.io/Logging_2305/artfynd/A 28676-2025 artfynd.xlsx", "A 28676-2025")</f>
        <v/>
      </c>
      <c r="T266">
        <f>HYPERLINK("https://klasma.github.io/Logging_2305/kartor/A 28676-2025 karta.png", "A 28676-2025")</f>
        <v/>
      </c>
      <c r="V266">
        <f>HYPERLINK("https://klasma.github.io/Logging_2305/klagomål/A 28676-2025 FSC-klagomål.docx", "A 28676-2025")</f>
        <v/>
      </c>
      <c r="W266">
        <f>HYPERLINK("https://klasma.github.io/Logging_2305/klagomålsmail/A 28676-2025 FSC-klagomål mail.docx", "A 28676-2025")</f>
        <v/>
      </c>
      <c r="X266">
        <f>HYPERLINK("https://klasma.github.io/Logging_2305/tillsyn/A 28676-2025 tillsynsbegäran.docx", "A 28676-2025")</f>
        <v/>
      </c>
      <c r="Y266">
        <f>HYPERLINK("https://klasma.github.io/Logging_2305/tillsynsmail/A 28676-2025 tillsynsbegäran mail.docx", "A 28676-2025")</f>
        <v/>
      </c>
    </row>
    <row r="267" ht="15" customHeight="1">
      <c r="A267" t="inlineStr">
        <is>
          <t>A 40835-2025</t>
        </is>
      </c>
      <c r="B267" s="1" t="n">
        <v>45897.5114699074</v>
      </c>
      <c r="C267" s="1" t="n">
        <v>46105</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HYPERLINK("https://klasma.github.io/Logging_2305/artfynd/A 40835-2025 artfynd.xlsx", "A 40835-2025")</f>
        <v/>
      </c>
      <c r="T267">
        <f>HYPERLINK("https://klasma.github.io/Logging_2305/kartor/A 40835-2025 karta.png", "A 40835-2025")</f>
        <v/>
      </c>
      <c r="V267">
        <f>HYPERLINK("https://klasma.github.io/Logging_2305/klagomål/A 40835-2025 FSC-klagomål.docx", "A 40835-2025")</f>
        <v/>
      </c>
      <c r="W267">
        <f>HYPERLINK("https://klasma.github.io/Logging_2305/klagomålsmail/A 40835-2025 FSC-klagomål mail.docx", "A 40835-2025")</f>
        <v/>
      </c>
      <c r="X267">
        <f>HYPERLINK("https://klasma.github.io/Logging_2305/tillsyn/A 40835-2025 tillsynsbegäran.docx", "A 40835-2025")</f>
        <v/>
      </c>
      <c r="Y267">
        <f>HYPERLINK("https://klasma.github.io/Logging_2305/tillsynsmail/A 40835-2025 tillsynsbegäran mail.docx", "A 40835-2025")</f>
        <v/>
      </c>
    </row>
    <row r="268" ht="15" customHeight="1">
      <c r="A268" t="inlineStr">
        <is>
          <t>A 40914-2025</t>
        </is>
      </c>
      <c r="B268" s="1" t="n">
        <v>45897.61741898148</v>
      </c>
      <c r="C268" s="1" t="n">
        <v>46105</v>
      </c>
      <c r="D268" t="inlineStr">
        <is>
          <t>JÄMTLANDS LÄN</t>
        </is>
      </c>
      <c r="E268" t="inlineStr">
        <is>
          <t>BRÄCKE</t>
        </is>
      </c>
      <c r="F268" t="inlineStr">
        <is>
          <t>SCA</t>
        </is>
      </c>
      <c r="G268" t="n">
        <v>2.1</v>
      </c>
      <c r="H268" t="n">
        <v>0</v>
      </c>
      <c r="I268" t="n">
        <v>0</v>
      </c>
      <c r="J268" t="n">
        <v>1</v>
      </c>
      <c r="K268" t="n">
        <v>0</v>
      </c>
      <c r="L268" t="n">
        <v>0</v>
      </c>
      <c r="M268" t="n">
        <v>0</v>
      </c>
      <c r="N268" t="n">
        <v>0</v>
      </c>
      <c r="O268" t="n">
        <v>1</v>
      </c>
      <c r="P268" t="n">
        <v>0</v>
      </c>
      <c r="Q268" t="n">
        <v>1</v>
      </c>
      <c r="R268" s="2" t="inlineStr">
        <is>
          <t>Lunglav</t>
        </is>
      </c>
      <c r="S268">
        <f>HYPERLINK("https://klasma.github.io/Logging_2305/artfynd/A 40914-2025 artfynd.xlsx", "A 40914-2025")</f>
        <v/>
      </c>
      <c r="T268">
        <f>HYPERLINK("https://klasma.github.io/Logging_2305/kartor/A 40914-2025 karta.png", "A 40914-2025")</f>
        <v/>
      </c>
      <c r="V268">
        <f>HYPERLINK("https://klasma.github.io/Logging_2305/klagomål/A 40914-2025 FSC-klagomål.docx", "A 40914-2025")</f>
        <v/>
      </c>
      <c r="W268">
        <f>HYPERLINK("https://klasma.github.io/Logging_2305/klagomålsmail/A 40914-2025 FSC-klagomål mail.docx", "A 40914-2025")</f>
        <v/>
      </c>
      <c r="X268">
        <f>HYPERLINK("https://klasma.github.io/Logging_2305/tillsyn/A 40914-2025 tillsynsbegäran.docx", "A 40914-2025")</f>
        <v/>
      </c>
      <c r="Y268">
        <f>HYPERLINK("https://klasma.github.io/Logging_2305/tillsynsmail/A 40914-2025 tillsynsbegäran mail.docx", "A 40914-2025")</f>
        <v/>
      </c>
    </row>
    <row r="269" ht="15" customHeight="1">
      <c r="A269" t="inlineStr">
        <is>
          <t>A 41059-2025</t>
        </is>
      </c>
      <c r="B269" s="1" t="n">
        <v>45898.40703703704</v>
      </c>
      <c r="C269" s="1" t="n">
        <v>46105</v>
      </c>
      <c r="D269" t="inlineStr">
        <is>
          <t>JÄMTLANDS LÄN</t>
        </is>
      </c>
      <c r="E269" t="inlineStr">
        <is>
          <t>BRÄCKE</t>
        </is>
      </c>
      <c r="F269" t="inlineStr">
        <is>
          <t>SCA</t>
        </is>
      </c>
      <c r="G269" t="n">
        <v>8.9</v>
      </c>
      <c r="H269" t="n">
        <v>0</v>
      </c>
      <c r="I269" t="n">
        <v>0</v>
      </c>
      <c r="J269" t="n">
        <v>1</v>
      </c>
      <c r="K269" t="n">
        <v>0</v>
      </c>
      <c r="L269" t="n">
        <v>0</v>
      </c>
      <c r="M269" t="n">
        <v>0</v>
      </c>
      <c r="N269" t="n">
        <v>0</v>
      </c>
      <c r="O269" t="n">
        <v>1</v>
      </c>
      <c r="P269" t="n">
        <v>0</v>
      </c>
      <c r="Q269" t="n">
        <v>1</v>
      </c>
      <c r="R269" s="2" t="inlineStr">
        <is>
          <t>Lunglav</t>
        </is>
      </c>
      <c r="S269">
        <f>HYPERLINK("https://klasma.github.io/Logging_2305/artfynd/A 41059-2025 artfynd.xlsx", "A 41059-2025")</f>
        <v/>
      </c>
      <c r="T269">
        <f>HYPERLINK("https://klasma.github.io/Logging_2305/kartor/A 41059-2025 karta.png", "A 41059-2025")</f>
        <v/>
      </c>
      <c r="V269">
        <f>HYPERLINK("https://klasma.github.io/Logging_2305/klagomål/A 41059-2025 FSC-klagomål.docx", "A 41059-2025")</f>
        <v/>
      </c>
      <c r="W269">
        <f>HYPERLINK("https://klasma.github.io/Logging_2305/klagomålsmail/A 41059-2025 FSC-klagomål mail.docx", "A 41059-2025")</f>
        <v/>
      </c>
      <c r="X269">
        <f>HYPERLINK("https://klasma.github.io/Logging_2305/tillsyn/A 41059-2025 tillsynsbegäran.docx", "A 41059-2025")</f>
        <v/>
      </c>
      <c r="Y269">
        <f>HYPERLINK("https://klasma.github.io/Logging_2305/tillsynsmail/A 41059-2025 tillsynsbegäran mail.docx", "A 41059-2025")</f>
        <v/>
      </c>
    </row>
    <row r="270" ht="15" customHeight="1">
      <c r="A270" t="inlineStr">
        <is>
          <t>A 40842-2025</t>
        </is>
      </c>
      <c r="B270" s="1" t="n">
        <v>45897.53200231482</v>
      </c>
      <c r="C270" s="1" t="n">
        <v>46105</v>
      </c>
      <c r="D270" t="inlineStr">
        <is>
          <t>JÄMTLANDS LÄN</t>
        </is>
      </c>
      <c r="E270" t="inlineStr">
        <is>
          <t>BRÄCKE</t>
        </is>
      </c>
      <c r="F270" t="inlineStr">
        <is>
          <t>SCA</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40842-2025 artfynd.xlsx", "A 40842-2025")</f>
        <v/>
      </c>
      <c r="T270">
        <f>HYPERLINK("https://klasma.github.io/Logging_2305/kartor/A 40842-2025 karta.png", "A 40842-2025")</f>
        <v/>
      </c>
      <c r="V270">
        <f>HYPERLINK("https://klasma.github.io/Logging_2305/klagomål/A 40842-2025 FSC-klagomål.docx", "A 40842-2025")</f>
        <v/>
      </c>
      <c r="W270">
        <f>HYPERLINK("https://klasma.github.io/Logging_2305/klagomålsmail/A 40842-2025 FSC-klagomål mail.docx", "A 40842-2025")</f>
        <v/>
      </c>
      <c r="X270">
        <f>HYPERLINK("https://klasma.github.io/Logging_2305/tillsyn/A 40842-2025 tillsynsbegäran.docx", "A 40842-2025")</f>
        <v/>
      </c>
      <c r="Y270">
        <f>HYPERLINK("https://klasma.github.io/Logging_2305/tillsynsmail/A 40842-2025 tillsynsbegäran mail.docx", "A 40842-2025")</f>
        <v/>
      </c>
    </row>
    <row r="271" ht="15" customHeight="1">
      <c r="A271" t="inlineStr">
        <is>
          <t>A 40792-2025</t>
        </is>
      </c>
      <c r="B271" s="1" t="n">
        <v>45897.44855324074</v>
      </c>
      <c r="C271" s="1" t="n">
        <v>46105</v>
      </c>
      <c r="D271" t="inlineStr">
        <is>
          <t>JÄMTLANDS LÄN</t>
        </is>
      </c>
      <c r="E271" t="inlineStr">
        <is>
          <t>BRÄCKE</t>
        </is>
      </c>
      <c r="F271" t="inlineStr">
        <is>
          <t>SCA</t>
        </is>
      </c>
      <c r="G271" t="n">
        <v>1.7</v>
      </c>
      <c r="H271" t="n">
        <v>0</v>
      </c>
      <c r="I271" t="n">
        <v>0</v>
      </c>
      <c r="J271" t="n">
        <v>1</v>
      </c>
      <c r="K271" t="n">
        <v>0</v>
      </c>
      <c r="L271" t="n">
        <v>0</v>
      </c>
      <c r="M271" t="n">
        <v>0</v>
      </c>
      <c r="N271" t="n">
        <v>0</v>
      </c>
      <c r="O271" t="n">
        <v>1</v>
      </c>
      <c r="P271" t="n">
        <v>0</v>
      </c>
      <c r="Q271" t="n">
        <v>1</v>
      </c>
      <c r="R271" s="2" t="inlineStr">
        <is>
          <t>Lunglav</t>
        </is>
      </c>
      <c r="S271">
        <f>HYPERLINK("https://klasma.github.io/Logging_2305/artfynd/A 40792-2025 artfynd.xlsx", "A 40792-2025")</f>
        <v/>
      </c>
      <c r="T271">
        <f>HYPERLINK("https://klasma.github.io/Logging_2305/kartor/A 40792-2025 karta.png", "A 40792-2025")</f>
        <v/>
      </c>
      <c r="V271">
        <f>HYPERLINK("https://klasma.github.io/Logging_2305/klagomål/A 40792-2025 FSC-klagomål.docx", "A 40792-2025")</f>
        <v/>
      </c>
      <c r="W271">
        <f>HYPERLINK("https://klasma.github.io/Logging_2305/klagomålsmail/A 40792-2025 FSC-klagomål mail.docx", "A 40792-2025")</f>
        <v/>
      </c>
      <c r="X271">
        <f>HYPERLINK("https://klasma.github.io/Logging_2305/tillsyn/A 40792-2025 tillsynsbegäran.docx", "A 40792-2025")</f>
        <v/>
      </c>
      <c r="Y271">
        <f>HYPERLINK("https://klasma.github.io/Logging_2305/tillsynsmail/A 40792-2025 tillsynsbegäran mail.docx", "A 40792-2025")</f>
        <v/>
      </c>
    </row>
    <row r="272" ht="15" customHeight="1">
      <c r="A272" t="inlineStr">
        <is>
          <t>A 27860-2025</t>
        </is>
      </c>
      <c r="B272" s="1" t="n">
        <v>45817.41630787037</v>
      </c>
      <c r="C272" s="1" t="n">
        <v>46105</v>
      </c>
      <c r="D272" t="inlineStr">
        <is>
          <t>JÄMTLANDS LÄN</t>
        </is>
      </c>
      <c r="E272" t="inlineStr">
        <is>
          <t>BRÄCKE</t>
        </is>
      </c>
      <c r="G272" t="n">
        <v>7.9</v>
      </c>
      <c r="H272" t="n">
        <v>0</v>
      </c>
      <c r="I272" t="n">
        <v>0</v>
      </c>
      <c r="J272" t="n">
        <v>1</v>
      </c>
      <c r="K272" t="n">
        <v>0</v>
      </c>
      <c r="L272" t="n">
        <v>0</v>
      </c>
      <c r="M272" t="n">
        <v>0</v>
      </c>
      <c r="N272" t="n">
        <v>0</v>
      </c>
      <c r="O272" t="n">
        <v>1</v>
      </c>
      <c r="P272" t="n">
        <v>0</v>
      </c>
      <c r="Q272" t="n">
        <v>1</v>
      </c>
      <c r="R272" s="2" t="inlineStr">
        <is>
          <t>Blanksvart spiklav</t>
        </is>
      </c>
      <c r="S272">
        <f>HYPERLINK("https://klasma.github.io/Logging_2305/artfynd/A 27860-2025 artfynd.xlsx", "A 27860-2025")</f>
        <v/>
      </c>
      <c r="T272">
        <f>HYPERLINK("https://klasma.github.io/Logging_2305/kartor/A 27860-2025 karta.png", "A 27860-2025")</f>
        <v/>
      </c>
      <c r="V272">
        <f>HYPERLINK("https://klasma.github.io/Logging_2305/klagomål/A 27860-2025 FSC-klagomål.docx", "A 27860-2025")</f>
        <v/>
      </c>
      <c r="W272">
        <f>HYPERLINK("https://klasma.github.io/Logging_2305/klagomålsmail/A 27860-2025 FSC-klagomål mail.docx", "A 27860-2025")</f>
        <v/>
      </c>
      <c r="X272">
        <f>HYPERLINK("https://klasma.github.io/Logging_2305/tillsyn/A 27860-2025 tillsynsbegäran.docx", "A 27860-2025")</f>
        <v/>
      </c>
      <c r="Y272">
        <f>HYPERLINK("https://klasma.github.io/Logging_2305/tillsynsmail/A 27860-2025 tillsynsbegäran mail.docx", "A 27860-2025")</f>
        <v/>
      </c>
    </row>
    <row r="273" ht="15" customHeight="1">
      <c r="A273" t="inlineStr">
        <is>
          <t>A 31450-2025</t>
        </is>
      </c>
      <c r="B273" s="1" t="n">
        <v>45833.53162037037</v>
      </c>
      <c r="C273" s="1" t="n">
        <v>46105</v>
      </c>
      <c r="D273" t="inlineStr">
        <is>
          <t>JÄMTLANDS LÄN</t>
        </is>
      </c>
      <c r="E273" t="inlineStr">
        <is>
          <t>BRÄCKE</t>
        </is>
      </c>
      <c r="F273" t="inlineStr">
        <is>
          <t>SCA</t>
        </is>
      </c>
      <c r="G273" t="n">
        <v>1.6</v>
      </c>
      <c r="H273" t="n">
        <v>1</v>
      </c>
      <c r="I273" t="n">
        <v>1</v>
      </c>
      <c r="J273" t="n">
        <v>0</v>
      </c>
      <c r="K273" t="n">
        <v>0</v>
      </c>
      <c r="L273" t="n">
        <v>0</v>
      </c>
      <c r="M273" t="n">
        <v>0</v>
      </c>
      <c r="N273" t="n">
        <v>0</v>
      </c>
      <c r="O273" t="n">
        <v>0</v>
      </c>
      <c r="P273" t="n">
        <v>0</v>
      </c>
      <c r="Q273" t="n">
        <v>1</v>
      </c>
      <c r="R273" s="2" t="inlineStr">
        <is>
          <t>Plattlummer</t>
        </is>
      </c>
      <c r="S273">
        <f>HYPERLINK("https://klasma.github.io/Logging_2305/artfynd/A 31450-2025 artfynd.xlsx", "A 31450-2025")</f>
        <v/>
      </c>
      <c r="T273">
        <f>HYPERLINK("https://klasma.github.io/Logging_2305/kartor/A 31450-2025 karta.png", "A 31450-2025")</f>
        <v/>
      </c>
      <c r="V273">
        <f>HYPERLINK("https://klasma.github.io/Logging_2305/klagomål/A 31450-2025 FSC-klagomål.docx", "A 31450-2025")</f>
        <v/>
      </c>
      <c r="W273">
        <f>HYPERLINK("https://klasma.github.io/Logging_2305/klagomålsmail/A 31450-2025 FSC-klagomål mail.docx", "A 31450-2025")</f>
        <v/>
      </c>
      <c r="X273">
        <f>HYPERLINK("https://klasma.github.io/Logging_2305/tillsyn/A 31450-2025 tillsynsbegäran.docx", "A 31450-2025")</f>
        <v/>
      </c>
      <c r="Y273">
        <f>HYPERLINK("https://klasma.github.io/Logging_2305/tillsynsmail/A 31450-2025 tillsynsbegäran mail.docx", "A 31450-2025")</f>
        <v/>
      </c>
    </row>
    <row r="274" ht="15" customHeight="1">
      <c r="A274" t="inlineStr">
        <is>
          <t>A 44214-2025</t>
        </is>
      </c>
      <c r="B274" s="1" t="n">
        <v>45915.63579861111</v>
      </c>
      <c r="C274" s="1" t="n">
        <v>46105</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16366-2023</t>
        </is>
      </c>
      <c r="B275" s="1" t="n">
        <v>45028</v>
      </c>
      <c r="C275" s="1" t="n">
        <v>46105</v>
      </c>
      <c r="D275" t="inlineStr">
        <is>
          <t>JÄMTLANDS LÄN</t>
        </is>
      </c>
      <c r="E275" t="inlineStr">
        <is>
          <t>BRÄCKE</t>
        </is>
      </c>
      <c r="G275" t="n">
        <v>9.1</v>
      </c>
      <c r="H275" t="n">
        <v>0</v>
      </c>
      <c r="I275" t="n">
        <v>0</v>
      </c>
      <c r="J275" t="n">
        <v>1</v>
      </c>
      <c r="K275" t="n">
        <v>0</v>
      </c>
      <c r="L275" t="n">
        <v>0</v>
      </c>
      <c r="M275" t="n">
        <v>0</v>
      </c>
      <c r="N275" t="n">
        <v>0</v>
      </c>
      <c r="O275" t="n">
        <v>1</v>
      </c>
      <c r="P275" t="n">
        <v>0</v>
      </c>
      <c r="Q275" t="n">
        <v>1</v>
      </c>
      <c r="R275" s="2" t="inlineStr">
        <is>
          <t>Lunglav</t>
        </is>
      </c>
      <c r="S275">
        <f>HYPERLINK("https://klasma.github.io/Logging_2305/artfynd/A 16366-2023 artfynd.xlsx", "A 16366-2023")</f>
        <v/>
      </c>
      <c r="T275">
        <f>HYPERLINK("https://klasma.github.io/Logging_2305/kartor/A 16366-2023 karta.png", "A 16366-2023")</f>
        <v/>
      </c>
      <c r="V275">
        <f>HYPERLINK("https://klasma.github.io/Logging_2305/klagomål/A 16366-2023 FSC-klagomål.docx", "A 16366-2023")</f>
        <v/>
      </c>
      <c r="W275">
        <f>HYPERLINK("https://klasma.github.io/Logging_2305/klagomålsmail/A 16366-2023 FSC-klagomål mail.docx", "A 16366-2023")</f>
        <v/>
      </c>
      <c r="X275">
        <f>HYPERLINK("https://klasma.github.io/Logging_2305/tillsyn/A 16366-2023 tillsynsbegäran.docx", "A 16366-2023")</f>
        <v/>
      </c>
      <c r="Y275">
        <f>HYPERLINK("https://klasma.github.io/Logging_2305/tillsynsmail/A 16366-2023 tillsynsbegäran mail.docx", "A 16366-2023")</f>
        <v/>
      </c>
    </row>
    <row r="276" ht="15" customHeight="1">
      <c r="A276" t="inlineStr">
        <is>
          <t>A 34226-2025</t>
        </is>
      </c>
      <c r="B276" s="1" t="n">
        <v>45845.656875</v>
      </c>
      <c r="C276" s="1" t="n">
        <v>46105</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44934-2025</t>
        </is>
      </c>
      <c r="B277" s="1" t="n">
        <v>45918.5737962963</v>
      </c>
      <c r="C277" s="1" t="n">
        <v>46105</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44872-2025</t>
        </is>
      </c>
      <c r="B278" s="1" t="n">
        <v>45918.46957175926</v>
      </c>
      <c r="C278" s="1" t="n">
        <v>46105</v>
      </c>
      <c r="D278" t="inlineStr">
        <is>
          <t>JÄMTLANDS LÄN</t>
        </is>
      </c>
      <c r="E278" t="inlineStr">
        <is>
          <t>BRÄCKE</t>
        </is>
      </c>
      <c r="G278" t="n">
        <v>0.9</v>
      </c>
      <c r="H278" t="n">
        <v>0</v>
      </c>
      <c r="I278" t="n">
        <v>1</v>
      </c>
      <c r="J278" t="n">
        <v>0</v>
      </c>
      <c r="K278" t="n">
        <v>0</v>
      </c>
      <c r="L278" t="n">
        <v>0</v>
      </c>
      <c r="M278" t="n">
        <v>0</v>
      </c>
      <c r="N278" t="n">
        <v>0</v>
      </c>
      <c r="O278" t="n">
        <v>0</v>
      </c>
      <c r="P278" t="n">
        <v>0</v>
      </c>
      <c r="Q278" t="n">
        <v>1</v>
      </c>
      <c r="R278" s="2" t="inlineStr">
        <is>
          <t>Underviol</t>
        </is>
      </c>
      <c r="S278">
        <f>HYPERLINK("https://klasma.github.io/Logging_2305/artfynd/A 44872-2025 artfynd.xlsx", "A 44872-2025")</f>
        <v/>
      </c>
      <c r="T278">
        <f>HYPERLINK("https://klasma.github.io/Logging_2305/kartor/A 44872-2025 karta.png", "A 44872-2025")</f>
        <v/>
      </c>
      <c r="V278">
        <f>HYPERLINK("https://klasma.github.io/Logging_2305/klagomål/A 44872-2025 FSC-klagomål.docx", "A 44872-2025")</f>
        <v/>
      </c>
      <c r="W278">
        <f>HYPERLINK("https://klasma.github.io/Logging_2305/klagomålsmail/A 44872-2025 FSC-klagomål mail.docx", "A 44872-2025")</f>
        <v/>
      </c>
      <c r="X278">
        <f>HYPERLINK("https://klasma.github.io/Logging_2305/tillsyn/A 44872-2025 tillsynsbegäran.docx", "A 44872-2025")</f>
        <v/>
      </c>
      <c r="Y278">
        <f>HYPERLINK("https://klasma.github.io/Logging_2305/tillsynsmail/A 44872-2025 tillsynsbegäran mail.docx", "A 44872-2025")</f>
        <v/>
      </c>
    </row>
    <row r="279" ht="15" customHeight="1">
      <c r="A279" t="inlineStr">
        <is>
          <t>A 34911-2025</t>
        </is>
      </c>
      <c r="B279" s="1" t="n">
        <v>45849.53545138889</v>
      </c>
      <c r="C279" s="1" t="n">
        <v>46105</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35210-2025</t>
        </is>
      </c>
      <c r="B280" s="1" t="n">
        <v>45853.44842592593</v>
      </c>
      <c r="C280" s="1" t="n">
        <v>46105</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46105</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46626-2025</t>
        </is>
      </c>
      <c r="B282" s="1" t="n">
        <v>45926.4487037037</v>
      </c>
      <c r="C282" s="1" t="n">
        <v>46105</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35579-2025</t>
        </is>
      </c>
      <c r="B283" s="1" t="n">
        <v>45856.67818287037</v>
      </c>
      <c r="C283" s="1" t="n">
        <v>46105</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46435-2025</t>
        </is>
      </c>
      <c r="B284" s="1" t="n">
        <v>45925.63583333333</v>
      </c>
      <c r="C284" s="1" t="n">
        <v>46105</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41486-2024</t>
        </is>
      </c>
      <c r="B285" s="1" t="n">
        <v>45560.44907407407</v>
      </c>
      <c r="C285" s="1" t="n">
        <v>46105</v>
      </c>
      <c r="D285" t="inlineStr">
        <is>
          <t>JÄMTLANDS LÄN</t>
        </is>
      </c>
      <c r="E285" t="inlineStr">
        <is>
          <t>BRÄCKE</t>
        </is>
      </c>
      <c r="F285" t="inlineStr">
        <is>
          <t>SCA</t>
        </is>
      </c>
      <c r="G285" t="n">
        <v>5.3</v>
      </c>
      <c r="H285" t="n">
        <v>0</v>
      </c>
      <c r="I285" t="n">
        <v>0</v>
      </c>
      <c r="J285" t="n">
        <v>1</v>
      </c>
      <c r="K285" t="n">
        <v>0</v>
      </c>
      <c r="L285" t="n">
        <v>0</v>
      </c>
      <c r="M285" t="n">
        <v>0</v>
      </c>
      <c r="N285" t="n">
        <v>0</v>
      </c>
      <c r="O285" t="n">
        <v>1</v>
      </c>
      <c r="P285" t="n">
        <v>0</v>
      </c>
      <c r="Q285" t="n">
        <v>1</v>
      </c>
      <c r="R285" s="2" t="inlineStr">
        <is>
          <t>Lunglav</t>
        </is>
      </c>
      <c r="S285">
        <f>HYPERLINK("https://klasma.github.io/Logging_2305/artfynd/A 41486-2024 artfynd.xlsx", "A 41486-2024")</f>
        <v/>
      </c>
      <c r="T285">
        <f>HYPERLINK("https://klasma.github.io/Logging_2305/kartor/A 41486-2024 karta.png", "A 41486-2024")</f>
        <v/>
      </c>
      <c r="V285">
        <f>HYPERLINK("https://klasma.github.io/Logging_2305/klagomål/A 41486-2024 FSC-klagomål.docx", "A 41486-2024")</f>
        <v/>
      </c>
      <c r="W285">
        <f>HYPERLINK("https://klasma.github.io/Logging_2305/klagomålsmail/A 41486-2024 FSC-klagomål mail.docx", "A 41486-2024")</f>
        <v/>
      </c>
      <c r="X285">
        <f>HYPERLINK("https://klasma.github.io/Logging_2305/tillsyn/A 41486-2024 tillsynsbegäran.docx", "A 41486-2024")</f>
        <v/>
      </c>
      <c r="Y285">
        <f>HYPERLINK("https://klasma.github.io/Logging_2305/tillsynsmail/A 41486-2024 tillsynsbegäran mail.docx", "A 41486-2024")</f>
        <v/>
      </c>
    </row>
    <row r="286" ht="15" customHeight="1">
      <c r="A286" t="inlineStr">
        <is>
          <t>A 48289-2025</t>
        </is>
      </c>
      <c r="B286" s="1" t="n">
        <v>45933.59482638889</v>
      </c>
      <c r="C286" s="1" t="n">
        <v>46105</v>
      </c>
      <c r="D286" t="inlineStr">
        <is>
          <t>JÄMTLANDS LÄN</t>
        </is>
      </c>
      <c r="E286" t="inlineStr">
        <is>
          <t>BRÄCKE</t>
        </is>
      </c>
      <c r="F286" t="inlineStr">
        <is>
          <t>SCA</t>
        </is>
      </c>
      <c r="G286" t="n">
        <v>10.9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48289-2025 artfynd.xlsx", "A 48289-2025")</f>
        <v/>
      </c>
      <c r="T286">
        <f>HYPERLINK("https://klasma.github.io/Logging_2305/kartor/A 48289-2025 karta.png", "A 48289-2025")</f>
        <v/>
      </c>
      <c r="V286">
        <f>HYPERLINK("https://klasma.github.io/Logging_2305/klagomål/A 48289-2025 FSC-klagomål.docx", "A 48289-2025")</f>
        <v/>
      </c>
      <c r="W286">
        <f>HYPERLINK("https://klasma.github.io/Logging_2305/klagomålsmail/A 48289-2025 FSC-klagomål mail.docx", "A 48289-2025")</f>
        <v/>
      </c>
      <c r="X286">
        <f>HYPERLINK("https://klasma.github.io/Logging_2305/tillsyn/A 48289-2025 tillsynsbegäran.docx", "A 48289-2025")</f>
        <v/>
      </c>
      <c r="Y286">
        <f>HYPERLINK("https://klasma.github.io/Logging_2305/tillsynsmail/A 48289-2025 tillsynsbegäran mail.docx", "A 48289-2025")</f>
        <v/>
      </c>
    </row>
    <row r="287" ht="15" customHeight="1">
      <c r="A287" t="inlineStr">
        <is>
          <t>A 37248-2025</t>
        </is>
      </c>
      <c r="B287" s="1" t="n">
        <v>45876.40665509259</v>
      </c>
      <c r="C287" s="1" t="n">
        <v>46105</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37922-2025</t>
        </is>
      </c>
      <c r="B288" s="1" t="n">
        <v>45881.5750462963</v>
      </c>
      <c r="C288" s="1" t="n">
        <v>46105</v>
      </c>
      <c r="D288" t="inlineStr">
        <is>
          <t>JÄMTLANDS LÄN</t>
        </is>
      </c>
      <c r="E288" t="inlineStr">
        <is>
          <t>BRÄCKE</t>
        </is>
      </c>
      <c r="F288" t="inlineStr">
        <is>
          <t>SCA</t>
        </is>
      </c>
      <c r="G288" t="n">
        <v>2.1</v>
      </c>
      <c r="H288" t="n">
        <v>1</v>
      </c>
      <c r="I288" t="n">
        <v>1</v>
      </c>
      <c r="J288" t="n">
        <v>0</v>
      </c>
      <c r="K288" t="n">
        <v>0</v>
      </c>
      <c r="L288" t="n">
        <v>0</v>
      </c>
      <c r="M288" t="n">
        <v>0</v>
      </c>
      <c r="N288" t="n">
        <v>0</v>
      </c>
      <c r="O288" t="n">
        <v>0</v>
      </c>
      <c r="P288" t="n">
        <v>0</v>
      </c>
      <c r="Q288" t="n">
        <v>1</v>
      </c>
      <c r="R288" s="2" t="inlineStr">
        <is>
          <t>Plattlummer</t>
        </is>
      </c>
      <c r="S288">
        <f>HYPERLINK("https://klasma.github.io/Logging_2305/artfynd/A 37922-2025 artfynd.xlsx", "A 37922-2025")</f>
        <v/>
      </c>
      <c r="T288">
        <f>HYPERLINK("https://klasma.github.io/Logging_2305/kartor/A 37922-2025 karta.png", "A 37922-2025")</f>
        <v/>
      </c>
      <c r="V288">
        <f>HYPERLINK("https://klasma.github.io/Logging_2305/klagomål/A 37922-2025 FSC-klagomål.docx", "A 37922-2025")</f>
        <v/>
      </c>
      <c r="W288">
        <f>HYPERLINK("https://klasma.github.io/Logging_2305/klagomålsmail/A 37922-2025 FSC-klagomål mail.docx", "A 37922-2025")</f>
        <v/>
      </c>
      <c r="X288">
        <f>HYPERLINK("https://klasma.github.io/Logging_2305/tillsyn/A 37922-2025 tillsynsbegäran.docx", "A 37922-2025")</f>
        <v/>
      </c>
      <c r="Y288">
        <f>HYPERLINK("https://klasma.github.io/Logging_2305/tillsynsmail/A 37922-2025 tillsynsbegäran mail.docx", "A 37922-2025")</f>
        <v/>
      </c>
    </row>
    <row r="289" ht="15" customHeight="1">
      <c r="A289" t="inlineStr">
        <is>
          <t>A 38158-2025</t>
        </is>
      </c>
      <c r="B289" s="1" t="n">
        <v>45882.61518518518</v>
      </c>
      <c r="C289" s="1" t="n">
        <v>46105</v>
      </c>
      <c r="D289" t="inlineStr">
        <is>
          <t>JÄMTLANDS LÄN</t>
        </is>
      </c>
      <c r="E289" t="inlineStr">
        <is>
          <t>BRÄCKE</t>
        </is>
      </c>
      <c r="F289" t="inlineStr">
        <is>
          <t>SCA</t>
        </is>
      </c>
      <c r="G289" t="n">
        <v>19.9</v>
      </c>
      <c r="H289" t="n">
        <v>0</v>
      </c>
      <c r="I289" t="n">
        <v>0</v>
      </c>
      <c r="J289" t="n">
        <v>1</v>
      </c>
      <c r="K289" t="n">
        <v>0</v>
      </c>
      <c r="L289" t="n">
        <v>0</v>
      </c>
      <c r="M289" t="n">
        <v>0</v>
      </c>
      <c r="N289" t="n">
        <v>0</v>
      </c>
      <c r="O289" t="n">
        <v>1</v>
      </c>
      <c r="P289" t="n">
        <v>0</v>
      </c>
      <c r="Q289" t="n">
        <v>1</v>
      </c>
      <c r="R289" s="2" t="inlineStr">
        <is>
          <t>Rödbrun klubbdyna</t>
        </is>
      </c>
      <c r="S289">
        <f>HYPERLINK("https://klasma.github.io/Logging_2305/artfynd/A 38158-2025 artfynd.xlsx", "A 38158-2025")</f>
        <v/>
      </c>
      <c r="T289">
        <f>HYPERLINK("https://klasma.github.io/Logging_2305/kartor/A 38158-2025 karta.png", "A 38158-2025")</f>
        <v/>
      </c>
      <c r="V289">
        <f>HYPERLINK("https://klasma.github.io/Logging_2305/klagomål/A 38158-2025 FSC-klagomål.docx", "A 38158-2025")</f>
        <v/>
      </c>
      <c r="W289">
        <f>HYPERLINK("https://klasma.github.io/Logging_2305/klagomålsmail/A 38158-2025 FSC-klagomål mail.docx", "A 38158-2025")</f>
        <v/>
      </c>
      <c r="X289">
        <f>HYPERLINK("https://klasma.github.io/Logging_2305/tillsyn/A 38158-2025 tillsynsbegäran.docx", "A 38158-2025")</f>
        <v/>
      </c>
      <c r="Y289">
        <f>HYPERLINK("https://klasma.github.io/Logging_2305/tillsynsmail/A 38158-2025 tillsynsbegäran mail.docx", "A 38158-2025")</f>
        <v/>
      </c>
    </row>
    <row r="290" ht="15" customHeight="1">
      <c r="A290" t="inlineStr">
        <is>
          <t>A 37976-2025</t>
        </is>
      </c>
      <c r="B290" s="1" t="n">
        <v>45881.67775462963</v>
      </c>
      <c r="C290" s="1" t="n">
        <v>46105</v>
      </c>
      <c r="D290" t="inlineStr">
        <is>
          <t>JÄMTLANDS LÄN</t>
        </is>
      </c>
      <c r="E290" t="inlineStr">
        <is>
          <t>BRÄCKE</t>
        </is>
      </c>
      <c r="F290" t="inlineStr">
        <is>
          <t>SCA</t>
        </is>
      </c>
      <c r="G290" t="n">
        <v>11.3</v>
      </c>
      <c r="H290" t="n">
        <v>0</v>
      </c>
      <c r="I290" t="n">
        <v>0</v>
      </c>
      <c r="J290" t="n">
        <v>1</v>
      </c>
      <c r="K290" t="n">
        <v>0</v>
      </c>
      <c r="L290" t="n">
        <v>0</v>
      </c>
      <c r="M290" t="n">
        <v>0</v>
      </c>
      <c r="N290" t="n">
        <v>0</v>
      </c>
      <c r="O290" t="n">
        <v>1</v>
      </c>
      <c r="P290" t="n">
        <v>0</v>
      </c>
      <c r="Q290" t="n">
        <v>1</v>
      </c>
      <c r="R290" s="2" t="inlineStr">
        <is>
          <t>Lunglav</t>
        </is>
      </c>
      <c r="S290">
        <f>HYPERLINK("https://klasma.github.io/Logging_2305/artfynd/A 37976-2025 artfynd.xlsx", "A 37976-2025")</f>
        <v/>
      </c>
      <c r="T290">
        <f>HYPERLINK("https://klasma.github.io/Logging_2305/kartor/A 37976-2025 karta.png", "A 37976-2025")</f>
        <v/>
      </c>
      <c r="V290">
        <f>HYPERLINK("https://klasma.github.io/Logging_2305/klagomål/A 37976-2025 FSC-klagomål.docx", "A 37976-2025")</f>
        <v/>
      </c>
      <c r="W290">
        <f>HYPERLINK("https://klasma.github.io/Logging_2305/klagomålsmail/A 37976-2025 FSC-klagomål mail.docx", "A 37976-2025")</f>
        <v/>
      </c>
      <c r="X290">
        <f>HYPERLINK("https://klasma.github.io/Logging_2305/tillsyn/A 37976-2025 tillsynsbegäran.docx", "A 37976-2025")</f>
        <v/>
      </c>
      <c r="Y290">
        <f>HYPERLINK("https://klasma.github.io/Logging_2305/tillsynsmail/A 37976-2025 tillsynsbegäran mail.docx", "A 37976-2025")</f>
        <v/>
      </c>
    </row>
    <row r="291" ht="15" customHeight="1">
      <c r="A291" t="inlineStr">
        <is>
          <t>A 62079-2022</t>
        </is>
      </c>
      <c r="B291" s="1" t="n">
        <v>44918</v>
      </c>
      <c r="C291" s="1" t="n">
        <v>46105</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51177-2025</t>
        </is>
      </c>
      <c r="B292" s="1" t="n">
        <v>45947.61255787037</v>
      </c>
      <c r="C292" s="1" t="n">
        <v>46105</v>
      </c>
      <c r="D292" t="inlineStr">
        <is>
          <t>JÄMTLANDS LÄN</t>
        </is>
      </c>
      <c r="E292" t="inlineStr">
        <is>
          <t>BRÄCKE</t>
        </is>
      </c>
      <c r="G292" t="n">
        <v>9.6</v>
      </c>
      <c r="H292" t="n">
        <v>0</v>
      </c>
      <c r="I292" t="n">
        <v>0</v>
      </c>
      <c r="J292" t="n">
        <v>1</v>
      </c>
      <c r="K292" t="n">
        <v>0</v>
      </c>
      <c r="L292" t="n">
        <v>0</v>
      </c>
      <c r="M292" t="n">
        <v>0</v>
      </c>
      <c r="N292" t="n">
        <v>0</v>
      </c>
      <c r="O292" t="n">
        <v>1</v>
      </c>
      <c r="P292" t="n">
        <v>0</v>
      </c>
      <c r="Q292" t="n">
        <v>1</v>
      </c>
      <c r="R292" s="2" t="inlineStr">
        <is>
          <t>Granticka</t>
        </is>
      </c>
      <c r="S292">
        <f>HYPERLINK("https://klasma.github.io/Logging_2305/artfynd/A 51177-2025 artfynd.xlsx", "A 51177-2025")</f>
        <v/>
      </c>
      <c r="T292">
        <f>HYPERLINK("https://klasma.github.io/Logging_2305/kartor/A 51177-2025 karta.png", "A 51177-2025")</f>
        <v/>
      </c>
      <c r="V292">
        <f>HYPERLINK("https://klasma.github.io/Logging_2305/klagomål/A 51177-2025 FSC-klagomål.docx", "A 51177-2025")</f>
        <v/>
      </c>
      <c r="W292">
        <f>HYPERLINK("https://klasma.github.io/Logging_2305/klagomålsmail/A 51177-2025 FSC-klagomål mail.docx", "A 51177-2025")</f>
        <v/>
      </c>
      <c r="X292">
        <f>HYPERLINK("https://klasma.github.io/Logging_2305/tillsyn/A 51177-2025 tillsynsbegäran.docx", "A 51177-2025")</f>
        <v/>
      </c>
      <c r="Y292">
        <f>HYPERLINK("https://klasma.github.io/Logging_2305/tillsynsmail/A 51177-2025 tillsynsbegäran mail.docx", "A 51177-2025")</f>
        <v/>
      </c>
    </row>
    <row r="293" ht="15" customHeight="1">
      <c r="A293" t="inlineStr">
        <is>
          <t>A 52226-2025</t>
        </is>
      </c>
      <c r="B293" s="1" t="n">
        <v>45953.44850694444</v>
      </c>
      <c r="C293" s="1" t="n">
        <v>46105</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19431-2021</t>
        </is>
      </c>
      <c r="B294" s="1" t="n">
        <v>44309</v>
      </c>
      <c r="C294" s="1" t="n">
        <v>46105</v>
      </c>
      <c r="D294" t="inlineStr">
        <is>
          <t>JÄMTLANDS LÄN</t>
        </is>
      </c>
      <c r="E294" t="inlineStr">
        <is>
          <t>BRÄCKE</t>
        </is>
      </c>
      <c r="G294" t="n">
        <v>4.8</v>
      </c>
      <c r="H294" t="n">
        <v>1</v>
      </c>
      <c r="I294" t="n">
        <v>0</v>
      </c>
      <c r="J294" t="n">
        <v>1</v>
      </c>
      <c r="K294" t="n">
        <v>0</v>
      </c>
      <c r="L294" t="n">
        <v>0</v>
      </c>
      <c r="M294" t="n">
        <v>0</v>
      </c>
      <c r="N294" t="n">
        <v>0</v>
      </c>
      <c r="O294" t="n">
        <v>1</v>
      </c>
      <c r="P294" t="n">
        <v>0</v>
      </c>
      <c r="Q294" t="n">
        <v>1</v>
      </c>
      <c r="R294" s="2" t="inlineStr">
        <is>
          <t>Utter</t>
        </is>
      </c>
      <c r="S294">
        <f>HYPERLINK("https://klasma.github.io/Logging_2305/artfynd/A 19431-2021 artfynd.xlsx", "A 19431-2021")</f>
        <v/>
      </c>
      <c r="T294">
        <f>HYPERLINK("https://klasma.github.io/Logging_2305/kartor/A 19431-2021 karta.png", "A 19431-2021")</f>
        <v/>
      </c>
      <c r="V294">
        <f>HYPERLINK("https://klasma.github.io/Logging_2305/klagomål/A 19431-2021 FSC-klagomål.docx", "A 19431-2021")</f>
        <v/>
      </c>
      <c r="W294">
        <f>HYPERLINK("https://klasma.github.io/Logging_2305/klagomålsmail/A 19431-2021 FSC-klagomål mail.docx", "A 19431-2021")</f>
        <v/>
      </c>
      <c r="X294">
        <f>HYPERLINK("https://klasma.github.io/Logging_2305/tillsyn/A 19431-2021 tillsynsbegäran.docx", "A 19431-2021")</f>
        <v/>
      </c>
      <c r="Y294">
        <f>HYPERLINK("https://klasma.github.io/Logging_2305/tillsynsmail/A 19431-2021 tillsynsbegäran mail.docx", "A 19431-2021")</f>
        <v/>
      </c>
    </row>
    <row r="295" ht="15" customHeight="1">
      <c r="A295" t="inlineStr">
        <is>
          <t>A 2466-2025</t>
        </is>
      </c>
      <c r="B295" s="1" t="n">
        <v>45674.46958333333</v>
      </c>
      <c r="C295" s="1" t="n">
        <v>46105</v>
      </c>
      <c r="D295" t="inlineStr">
        <is>
          <t>JÄMTLANDS LÄN</t>
        </is>
      </c>
      <c r="E295" t="inlineStr">
        <is>
          <t>BRÄCKE</t>
        </is>
      </c>
      <c r="F295" t="inlineStr">
        <is>
          <t>SCA</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HYPERLINK("https://klasma.github.io/Logging_2305/artfynd/A 2466-2025 artfynd.xlsx", "A 2466-2025")</f>
        <v/>
      </c>
      <c r="T295">
        <f>HYPERLINK("https://klasma.github.io/Logging_2305/kartor/A 2466-2025 karta.png", "A 2466-2025")</f>
        <v/>
      </c>
      <c r="V295">
        <f>HYPERLINK("https://klasma.github.io/Logging_2305/klagomål/A 2466-2025 FSC-klagomål.docx", "A 2466-2025")</f>
        <v/>
      </c>
      <c r="W295">
        <f>HYPERLINK("https://klasma.github.io/Logging_2305/klagomålsmail/A 2466-2025 FSC-klagomål mail.docx", "A 2466-2025")</f>
        <v/>
      </c>
      <c r="X295">
        <f>HYPERLINK("https://klasma.github.io/Logging_2305/tillsyn/A 2466-2025 tillsynsbegäran.docx", "A 2466-2025")</f>
        <v/>
      </c>
      <c r="Y295">
        <f>HYPERLINK("https://klasma.github.io/Logging_2305/tillsynsmail/A 2466-2025 tillsynsbegäran mail.docx", "A 2466-2025")</f>
        <v/>
      </c>
    </row>
    <row r="296" ht="15" customHeight="1">
      <c r="A296" t="inlineStr">
        <is>
          <t>A 3234-2025</t>
        </is>
      </c>
      <c r="B296" s="1" t="n">
        <v>45679.49020833334</v>
      </c>
      <c r="C296" s="1" t="n">
        <v>46105</v>
      </c>
      <c r="D296" t="inlineStr">
        <is>
          <t>JÄMTLANDS LÄN</t>
        </is>
      </c>
      <c r="E296" t="inlineStr">
        <is>
          <t>BRÄCKE</t>
        </is>
      </c>
      <c r="F296" t="inlineStr">
        <is>
          <t>SCA</t>
        </is>
      </c>
      <c r="G296" t="n">
        <v>1.7</v>
      </c>
      <c r="H296" t="n">
        <v>1</v>
      </c>
      <c r="I296" t="n">
        <v>0</v>
      </c>
      <c r="J296" t="n">
        <v>1</v>
      </c>
      <c r="K296" t="n">
        <v>0</v>
      </c>
      <c r="L296" t="n">
        <v>0</v>
      </c>
      <c r="M296" t="n">
        <v>0</v>
      </c>
      <c r="N296" t="n">
        <v>0</v>
      </c>
      <c r="O296" t="n">
        <v>1</v>
      </c>
      <c r="P296" t="n">
        <v>0</v>
      </c>
      <c r="Q296" t="n">
        <v>1</v>
      </c>
      <c r="R296" s="2" t="inlineStr">
        <is>
          <t>Utter</t>
        </is>
      </c>
      <c r="S296">
        <f>HYPERLINK("https://klasma.github.io/Logging_2305/artfynd/A 3234-2025 artfynd.xlsx", "A 3234-2025")</f>
        <v/>
      </c>
      <c r="T296">
        <f>HYPERLINK("https://klasma.github.io/Logging_2305/kartor/A 3234-2025 karta.png", "A 3234-2025")</f>
        <v/>
      </c>
      <c r="V296">
        <f>HYPERLINK("https://klasma.github.io/Logging_2305/klagomål/A 3234-2025 FSC-klagomål.docx", "A 3234-2025")</f>
        <v/>
      </c>
      <c r="W296">
        <f>HYPERLINK("https://klasma.github.io/Logging_2305/klagomålsmail/A 3234-2025 FSC-klagomål mail.docx", "A 3234-2025")</f>
        <v/>
      </c>
      <c r="X296">
        <f>HYPERLINK("https://klasma.github.io/Logging_2305/tillsyn/A 3234-2025 tillsynsbegäran.docx", "A 3234-2025")</f>
        <v/>
      </c>
      <c r="Y296">
        <f>HYPERLINK("https://klasma.github.io/Logging_2305/tillsynsmail/A 3234-2025 tillsynsbegäran mail.docx", "A 3234-2025")</f>
        <v/>
      </c>
    </row>
    <row r="297" ht="15" customHeight="1">
      <c r="A297" t="inlineStr">
        <is>
          <t>A 427-2025</t>
        </is>
      </c>
      <c r="B297" s="1" t="n">
        <v>45664.35195601852</v>
      </c>
      <c r="C297" s="1" t="n">
        <v>46105</v>
      </c>
      <c r="D297" t="inlineStr">
        <is>
          <t>JÄMTLANDS LÄN</t>
        </is>
      </c>
      <c r="E297" t="inlineStr">
        <is>
          <t>BRÄCKE</t>
        </is>
      </c>
      <c r="G297" t="n">
        <v>1.2</v>
      </c>
      <c r="H297" t="n">
        <v>0</v>
      </c>
      <c r="I297" t="n">
        <v>1</v>
      </c>
      <c r="J297" t="n">
        <v>0</v>
      </c>
      <c r="K297" t="n">
        <v>0</v>
      </c>
      <c r="L297" t="n">
        <v>0</v>
      </c>
      <c r="M297" t="n">
        <v>0</v>
      </c>
      <c r="N297" t="n">
        <v>0</v>
      </c>
      <c r="O297" t="n">
        <v>0</v>
      </c>
      <c r="P297" t="n">
        <v>0</v>
      </c>
      <c r="Q297" t="n">
        <v>1</v>
      </c>
      <c r="R297" s="2" t="inlineStr">
        <is>
          <t>Rödgul trumpetsvamp</t>
        </is>
      </c>
      <c r="S297">
        <f>HYPERLINK("https://klasma.github.io/Logging_2305/artfynd/A 427-2025 artfynd.xlsx", "A 427-2025")</f>
        <v/>
      </c>
      <c r="T297">
        <f>HYPERLINK("https://klasma.github.io/Logging_2305/kartor/A 427-2025 karta.png", "A 427-2025")</f>
        <v/>
      </c>
      <c r="V297">
        <f>HYPERLINK("https://klasma.github.io/Logging_2305/klagomål/A 427-2025 FSC-klagomål.docx", "A 427-2025")</f>
        <v/>
      </c>
      <c r="W297">
        <f>HYPERLINK("https://klasma.github.io/Logging_2305/klagomålsmail/A 427-2025 FSC-klagomål mail.docx", "A 427-2025")</f>
        <v/>
      </c>
      <c r="X297">
        <f>HYPERLINK("https://klasma.github.io/Logging_2305/tillsyn/A 427-2025 tillsynsbegäran.docx", "A 427-2025")</f>
        <v/>
      </c>
      <c r="Y297">
        <f>HYPERLINK("https://klasma.github.io/Logging_2305/tillsynsmail/A 427-2025 tillsynsbegäran mail.docx", "A 427-2025")</f>
        <v/>
      </c>
    </row>
    <row r="298" ht="15" customHeight="1">
      <c r="A298" t="inlineStr">
        <is>
          <t>A 40100-2023</t>
        </is>
      </c>
      <c r="B298" s="1" t="n">
        <v>45168</v>
      </c>
      <c r="C298" s="1" t="n">
        <v>46105</v>
      </c>
      <c r="D298" t="inlineStr">
        <is>
          <t>JÄMTLANDS LÄN</t>
        </is>
      </c>
      <c r="E298" t="inlineStr">
        <is>
          <t>BRÄCKE</t>
        </is>
      </c>
      <c r="F298" t="inlineStr">
        <is>
          <t>SCA</t>
        </is>
      </c>
      <c r="G298" t="n">
        <v>2.2</v>
      </c>
      <c r="H298" t="n">
        <v>1</v>
      </c>
      <c r="I298" t="n">
        <v>0</v>
      </c>
      <c r="J298" t="n">
        <v>0</v>
      </c>
      <c r="K298" t="n">
        <v>1</v>
      </c>
      <c r="L298" t="n">
        <v>0</v>
      </c>
      <c r="M298" t="n">
        <v>0</v>
      </c>
      <c r="N298" t="n">
        <v>0</v>
      </c>
      <c r="O298" t="n">
        <v>1</v>
      </c>
      <c r="P298" t="n">
        <v>1</v>
      </c>
      <c r="Q298" t="n">
        <v>1</v>
      </c>
      <c r="R298" s="2" t="inlineStr">
        <is>
          <t>Knärot</t>
        </is>
      </c>
      <c r="S298">
        <f>HYPERLINK("https://klasma.github.io/Logging_2305/artfynd/A 40100-2023 artfynd.xlsx", "A 40100-2023")</f>
        <v/>
      </c>
      <c r="T298">
        <f>HYPERLINK("https://klasma.github.io/Logging_2305/kartor/A 40100-2023 karta.png", "A 40100-2023")</f>
        <v/>
      </c>
      <c r="U298">
        <f>HYPERLINK("https://klasma.github.io/Logging_2305/knärot/A 40100-2023 karta knärot.png", "A 40100-2023")</f>
        <v/>
      </c>
      <c r="V298">
        <f>HYPERLINK("https://klasma.github.io/Logging_2305/klagomål/A 40100-2023 FSC-klagomål.docx", "A 40100-2023")</f>
        <v/>
      </c>
      <c r="W298">
        <f>HYPERLINK("https://klasma.github.io/Logging_2305/klagomålsmail/A 40100-2023 FSC-klagomål mail.docx", "A 40100-2023")</f>
        <v/>
      </c>
      <c r="X298">
        <f>HYPERLINK("https://klasma.github.io/Logging_2305/tillsyn/A 40100-2023 tillsynsbegäran.docx", "A 40100-2023")</f>
        <v/>
      </c>
      <c r="Y298">
        <f>HYPERLINK("https://klasma.github.io/Logging_2305/tillsynsmail/A 40100-2023 tillsynsbegäran mail.docx", "A 40100-2023")</f>
        <v/>
      </c>
    </row>
    <row r="299" ht="15" customHeight="1">
      <c r="A299" t="inlineStr">
        <is>
          <t>A 59000-2025</t>
        </is>
      </c>
      <c r="B299" s="1" t="n">
        <v>45987.67792824074</v>
      </c>
      <c r="C299" s="1" t="n">
        <v>46105</v>
      </c>
      <c r="D299" t="inlineStr">
        <is>
          <t>JÄMTLANDS LÄN</t>
        </is>
      </c>
      <c r="E299" t="inlineStr">
        <is>
          <t>BRÄCKE</t>
        </is>
      </c>
      <c r="F299" t="inlineStr">
        <is>
          <t>SCA</t>
        </is>
      </c>
      <c r="G299" t="n">
        <v>11.4</v>
      </c>
      <c r="H299" t="n">
        <v>0</v>
      </c>
      <c r="I299" t="n">
        <v>0</v>
      </c>
      <c r="J299" t="n">
        <v>1</v>
      </c>
      <c r="K299" t="n">
        <v>0</v>
      </c>
      <c r="L299" t="n">
        <v>0</v>
      </c>
      <c r="M299" t="n">
        <v>0</v>
      </c>
      <c r="N299" t="n">
        <v>0</v>
      </c>
      <c r="O299" t="n">
        <v>1</v>
      </c>
      <c r="P299" t="n">
        <v>0</v>
      </c>
      <c r="Q299" t="n">
        <v>1</v>
      </c>
      <c r="R299" s="2" t="inlineStr">
        <is>
          <t>Kolflarnlav</t>
        </is>
      </c>
      <c r="S299">
        <f>HYPERLINK("https://klasma.github.io/Logging_2305/artfynd/A 59000-2025 artfynd.xlsx", "A 59000-2025")</f>
        <v/>
      </c>
      <c r="T299">
        <f>HYPERLINK("https://klasma.github.io/Logging_2305/kartor/A 59000-2025 karta.png", "A 59000-2025")</f>
        <v/>
      </c>
      <c r="V299">
        <f>HYPERLINK("https://klasma.github.io/Logging_2305/klagomål/A 59000-2025 FSC-klagomål.docx", "A 59000-2025")</f>
        <v/>
      </c>
      <c r="W299">
        <f>HYPERLINK("https://klasma.github.io/Logging_2305/klagomålsmail/A 59000-2025 FSC-klagomål mail.docx", "A 59000-2025")</f>
        <v/>
      </c>
      <c r="X299">
        <f>HYPERLINK("https://klasma.github.io/Logging_2305/tillsyn/A 59000-2025 tillsynsbegäran.docx", "A 59000-2025")</f>
        <v/>
      </c>
      <c r="Y299">
        <f>HYPERLINK("https://klasma.github.io/Logging_2305/tillsynsmail/A 59000-2025 tillsynsbegäran mail.docx", "A 59000-2025")</f>
        <v/>
      </c>
    </row>
    <row r="300" ht="15" customHeight="1">
      <c r="A300" t="inlineStr">
        <is>
          <t>A 9204-2025</t>
        </is>
      </c>
      <c r="B300" s="1" t="n">
        <v>45714.48988425926</v>
      </c>
      <c r="C300" s="1" t="n">
        <v>46105</v>
      </c>
      <c r="D300" t="inlineStr">
        <is>
          <t>JÄMTLANDS LÄN</t>
        </is>
      </c>
      <c r="E300" t="inlineStr">
        <is>
          <t>BRÄCKE</t>
        </is>
      </c>
      <c r="F300" t="inlineStr">
        <is>
          <t>SCA</t>
        </is>
      </c>
      <c r="G300" t="n">
        <v>3.6</v>
      </c>
      <c r="H300" t="n">
        <v>1</v>
      </c>
      <c r="I300" t="n">
        <v>0</v>
      </c>
      <c r="J300" t="n">
        <v>1</v>
      </c>
      <c r="K300" t="n">
        <v>0</v>
      </c>
      <c r="L300" t="n">
        <v>0</v>
      </c>
      <c r="M300" t="n">
        <v>0</v>
      </c>
      <c r="N300" t="n">
        <v>0</v>
      </c>
      <c r="O300" t="n">
        <v>1</v>
      </c>
      <c r="P300" t="n">
        <v>0</v>
      </c>
      <c r="Q300" t="n">
        <v>1</v>
      </c>
      <c r="R300" s="2" t="inlineStr">
        <is>
          <t>Talltita</t>
        </is>
      </c>
      <c r="S300">
        <f>HYPERLINK("https://klasma.github.io/Logging_2305/artfynd/A 9204-2025 artfynd.xlsx", "A 9204-2025")</f>
        <v/>
      </c>
      <c r="T300">
        <f>HYPERLINK("https://klasma.github.io/Logging_2305/kartor/A 9204-2025 karta.png", "A 9204-2025")</f>
        <v/>
      </c>
      <c r="V300">
        <f>HYPERLINK("https://klasma.github.io/Logging_2305/klagomål/A 9204-2025 FSC-klagomål.docx", "A 9204-2025")</f>
        <v/>
      </c>
      <c r="W300">
        <f>HYPERLINK("https://klasma.github.io/Logging_2305/klagomålsmail/A 9204-2025 FSC-klagomål mail.docx", "A 9204-2025")</f>
        <v/>
      </c>
      <c r="X300">
        <f>HYPERLINK("https://klasma.github.io/Logging_2305/tillsyn/A 9204-2025 tillsynsbegäran.docx", "A 9204-2025")</f>
        <v/>
      </c>
      <c r="Y300">
        <f>HYPERLINK("https://klasma.github.io/Logging_2305/tillsynsmail/A 9204-2025 tillsynsbegäran mail.docx", "A 9204-2025")</f>
        <v/>
      </c>
      <c r="Z300">
        <f>HYPERLINK("https://klasma.github.io/Logging_2305/fåglar/A 9204-2025 prioriterade fågelarter.docx", "A 9204-2025")</f>
        <v/>
      </c>
    </row>
    <row r="301" ht="15" customHeight="1">
      <c r="A301" t="inlineStr">
        <is>
          <t>A 44323-2023</t>
        </is>
      </c>
      <c r="B301" s="1" t="n">
        <v>45188</v>
      </c>
      <c r="C301" s="1" t="n">
        <v>46105</v>
      </c>
      <c r="D301" t="inlineStr">
        <is>
          <t>JÄMTLANDS LÄN</t>
        </is>
      </c>
      <c r="E301" t="inlineStr">
        <is>
          <t>BRÄCKE</t>
        </is>
      </c>
      <c r="F301" t="inlineStr">
        <is>
          <t>Sveaskog</t>
        </is>
      </c>
      <c r="G301" t="n">
        <v>3.7</v>
      </c>
      <c r="H301" t="n">
        <v>0</v>
      </c>
      <c r="I301" t="n">
        <v>0</v>
      </c>
      <c r="J301" t="n">
        <v>1</v>
      </c>
      <c r="K301" t="n">
        <v>0</v>
      </c>
      <c r="L301" t="n">
        <v>0</v>
      </c>
      <c r="M301" t="n">
        <v>0</v>
      </c>
      <c r="N301" t="n">
        <v>0</v>
      </c>
      <c r="O301" t="n">
        <v>1</v>
      </c>
      <c r="P301" t="n">
        <v>0</v>
      </c>
      <c r="Q301" t="n">
        <v>1</v>
      </c>
      <c r="R301" s="2" t="inlineStr">
        <is>
          <t>Lunglav</t>
        </is>
      </c>
      <c r="S301">
        <f>HYPERLINK("https://klasma.github.io/Logging_2305/artfynd/A 44323-2023 artfynd.xlsx", "A 44323-2023")</f>
        <v/>
      </c>
      <c r="T301">
        <f>HYPERLINK("https://klasma.github.io/Logging_2305/kartor/A 44323-2023 karta.png", "A 44323-2023")</f>
        <v/>
      </c>
      <c r="V301">
        <f>HYPERLINK("https://klasma.github.io/Logging_2305/klagomål/A 44323-2023 FSC-klagomål.docx", "A 44323-2023")</f>
        <v/>
      </c>
      <c r="W301">
        <f>HYPERLINK("https://klasma.github.io/Logging_2305/klagomålsmail/A 44323-2023 FSC-klagomål mail.docx", "A 44323-2023")</f>
        <v/>
      </c>
      <c r="X301">
        <f>HYPERLINK("https://klasma.github.io/Logging_2305/tillsyn/A 44323-2023 tillsynsbegäran.docx", "A 44323-2023")</f>
        <v/>
      </c>
      <c r="Y301">
        <f>HYPERLINK("https://klasma.github.io/Logging_2305/tillsynsmail/A 44323-2023 tillsynsbegäran mail.docx", "A 44323-2023")</f>
        <v/>
      </c>
    </row>
    <row r="302" ht="15" customHeight="1">
      <c r="A302" t="inlineStr">
        <is>
          <t>A 59546-2025</t>
        </is>
      </c>
      <c r="B302" s="1" t="n">
        <v>45990.34497685185</v>
      </c>
      <c r="C302" s="1" t="n">
        <v>46105</v>
      </c>
      <c r="D302" t="inlineStr">
        <is>
          <t>JÄMTLANDS LÄN</t>
        </is>
      </c>
      <c r="E302" t="inlineStr">
        <is>
          <t>BRÄCKE</t>
        </is>
      </c>
      <c r="F302" t="inlineStr">
        <is>
          <t>SCA</t>
        </is>
      </c>
      <c r="G302" t="n">
        <v>1</v>
      </c>
      <c r="H302" t="n">
        <v>0</v>
      </c>
      <c r="I302" t="n">
        <v>0</v>
      </c>
      <c r="J302" t="n">
        <v>1</v>
      </c>
      <c r="K302" t="n">
        <v>0</v>
      </c>
      <c r="L302" t="n">
        <v>0</v>
      </c>
      <c r="M302" t="n">
        <v>0</v>
      </c>
      <c r="N302" t="n">
        <v>0</v>
      </c>
      <c r="O302" t="n">
        <v>1</v>
      </c>
      <c r="P302" t="n">
        <v>0</v>
      </c>
      <c r="Q302" t="n">
        <v>1</v>
      </c>
      <c r="R302" s="2" t="inlineStr">
        <is>
          <t>Vedskivlav</t>
        </is>
      </c>
      <c r="S302">
        <f>HYPERLINK("https://klasma.github.io/Logging_2305/artfynd/A 59546-2025 artfynd.xlsx", "A 59546-2025")</f>
        <v/>
      </c>
      <c r="T302">
        <f>HYPERLINK("https://klasma.github.io/Logging_2305/kartor/A 59546-2025 karta.png", "A 59546-2025")</f>
        <v/>
      </c>
      <c r="V302">
        <f>HYPERLINK("https://klasma.github.io/Logging_2305/klagomål/A 59546-2025 FSC-klagomål.docx", "A 59546-2025")</f>
        <v/>
      </c>
      <c r="W302">
        <f>HYPERLINK("https://klasma.github.io/Logging_2305/klagomålsmail/A 59546-2025 FSC-klagomål mail.docx", "A 59546-2025")</f>
        <v/>
      </c>
      <c r="X302">
        <f>HYPERLINK("https://klasma.github.io/Logging_2305/tillsyn/A 59546-2025 tillsynsbegäran.docx", "A 59546-2025")</f>
        <v/>
      </c>
      <c r="Y302">
        <f>HYPERLINK("https://klasma.github.io/Logging_2305/tillsynsmail/A 59546-2025 tillsynsbegäran mail.docx", "A 59546-2025")</f>
        <v/>
      </c>
    </row>
    <row r="303" ht="15" customHeight="1">
      <c r="A303" t="inlineStr">
        <is>
          <t>A 61187-2025</t>
        </is>
      </c>
      <c r="B303" s="1" t="n">
        <v>46000.5865625</v>
      </c>
      <c r="C303" s="1" t="n">
        <v>46105</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31479-2024</t>
        </is>
      </c>
      <c r="B304" s="1" t="n">
        <v>45505.95263888889</v>
      </c>
      <c r="C304" s="1" t="n">
        <v>46105</v>
      </c>
      <c r="D304" t="inlineStr">
        <is>
          <t>JÄMTLANDS LÄN</t>
        </is>
      </c>
      <c r="E304" t="inlineStr">
        <is>
          <t>BRÄCKE</t>
        </is>
      </c>
      <c r="F304" t="inlineStr">
        <is>
          <t>SCA</t>
        </is>
      </c>
      <c r="G304" t="n">
        <v>3</v>
      </c>
      <c r="H304" t="n">
        <v>0</v>
      </c>
      <c r="I304" t="n">
        <v>0</v>
      </c>
      <c r="J304" t="n">
        <v>1</v>
      </c>
      <c r="K304" t="n">
        <v>0</v>
      </c>
      <c r="L304" t="n">
        <v>0</v>
      </c>
      <c r="M304" t="n">
        <v>0</v>
      </c>
      <c r="N304" t="n">
        <v>0</v>
      </c>
      <c r="O304" t="n">
        <v>1</v>
      </c>
      <c r="P304" t="n">
        <v>0</v>
      </c>
      <c r="Q304" t="n">
        <v>1</v>
      </c>
      <c r="R304" s="2" t="inlineStr">
        <is>
          <t>Violettgrå tagellav</t>
        </is>
      </c>
      <c r="S304">
        <f>HYPERLINK("https://klasma.github.io/Logging_2305/artfynd/A 31479-2024 artfynd.xlsx", "A 31479-2024")</f>
        <v/>
      </c>
      <c r="T304">
        <f>HYPERLINK("https://klasma.github.io/Logging_2305/kartor/A 31479-2024 karta.png", "A 31479-2024")</f>
        <v/>
      </c>
      <c r="V304">
        <f>HYPERLINK("https://klasma.github.io/Logging_2305/klagomål/A 31479-2024 FSC-klagomål.docx", "A 31479-2024")</f>
        <v/>
      </c>
      <c r="W304">
        <f>HYPERLINK("https://klasma.github.io/Logging_2305/klagomålsmail/A 31479-2024 FSC-klagomål mail.docx", "A 31479-2024")</f>
        <v/>
      </c>
      <c r="X304">
        <f>HYPERLINK("https://klasma.github.io/Logging_2305/tillsyn/A 31479-2024 tillsynsbegäran.docx", "A 31479-2024")</f>
        <v/>
      </c>
      <c r="Y304">
        <f>HYPERLINK("https://klasma.github.io/Logging_2305/tillsynsmail/A 31479-2024 tillsynsbegäran mail.docx", "A 31479-2024")</f>
        <v/>
      </c>
    </row>
    <row r="305" ht="15" customHeight="1">
      <c r="A305" t="inlineStr">
        <is>
          <t>A 61415-2025</t>
        </is>
      </c>
      <c r="B305" s="1" t="n">
        <v>46001.53170138889</v>
      </c>
      <c r="C305" s="1" t="n">
        <v>46105</v>
      </c>
      <c r="D305" t="inlineStr">
        <is>
          <t>JÄMTLANDS LÄN</t>
        </is>
      </c>
      <c r="E305" t="inlineStr">
        <is>
          <t>BRÄCKE</t>
        </is>
      </c>
      <c r="G305" t="n">
        <v>5.3</v>
      </c>
      <c r="H305" t="n">
        <v>0</v>
      </c>
      <c r="I305" t="n">
        <v>0</v>
      </c>
      <c r="J305" t="n">
        <v>1</v>
      </c>
      <c r="K305" t="n">
        <v>0</v>
      </c>
      <c r="L305" t="n">
        <v>0</v>
      </c>
      <c r="M305" t="n">
        <v>0</v>
      </c>
      <c r="N305" t="n">
        <v>0</v>
      </c>
      <c r="O305" t="n">
        <v>1</v>
      </c>
      <c r="P305" t="n">
        <v>0</v>
      </c>
      <c r="Q305" t="n">
        <v>1</v>
      </c>
      <c r="R305" s="2" t="inlineStr">
        <is>
          <t>Garnlav</t>
        </is>
      </c>
      <c r="S305">
        <f>HYPERLINK("https://klasma.github.io/Logging_2305/artfynd/A 61415-2025 artfynd.xlsx", "A 61415-2025")</f>
        <v/>
      </c>
      <c r="T305">
        <f>HYPERLINK("https://klasma.github.io/Logging_2305/kartor/A 61415-2025 karta.png", "A 61415-2025")</f>
        <v/>
      </c>
      <c r="V305">
        <f>HYPERLINK("https://klasma.github.io/Logging_2305/klagomål/A 61415-2025 FSC-klagomål.docx", "A 61415-2025")</f>
        <v/>
      </c>
      <c r="W305">
        <f>HYPERLINK("https://klasma.github.io/Logging_2305/klagomålsmail/A 61415-2025 FSC-klagomål mail.docx", "A 61415-2025")</f>
        <v/>
      </c>
      <c r="X305">
        <f>HYPERLINK("https://klasma.github.io/Logging_2305/tillsyn/A 61415-2025 tillsynsbegäran.docx", "A 61415-2025")</f>
        <v/>
      </c>
      <c r="Y305">
        <f>HYPERLINK("https://klasma.github.io/Logging_2305/tillsynsmail/A 61415-2025 tillsynsbegäran mail.docx", "A 61415-2025")</f>
        <v/>
      </c>
    </row>
    <row r="306" ht="15" customHeight="1">
      <c r="A306" t="inlineStr">
        <is>
          <t>A 48064-2023</t>
        </is>
      </c>
      <c r="B306" s="1" t="n">
        <v>45204</v>
      </c>
      <c r="C306" s="1" t="n">
        <v>46105</v>
      </c>
      <c r="D306" t="inlineStr">
        <is>
          <t>JÄMTLANDS LÄN</t>
        </is>
      </c>
      <c r="E306" t="inlineStr">
        <is>
          <t>BRÄCKE</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48064-2023 artfynd.xlsx", "A 48064-2023")</f>
        <v/>
      </c>
      <c r="T306">
        <f>HYPERLINK("https://klasma.github.io/Logging_2305/kartor/A 48064-2023 karta.png", "A 48064-2023")</f>
        <v/>
      </c>
      <c r="V306">
        <f>HYPERLINK("https://klasma.github.io/Logging_2305/klagomål/A 48064-2023 FSC-klagomål.docx", "A 48064-2023")</f>
        <v/>
      </c>
      <c r="W306">
        <f>HYPERLINK("https://klasma.github.io/Logging_2305/klagomålsmail/A 48064-2023 FSC-klagomål mail.docx", "A 48064-2023")</f>
        <v/>
      </c>
      <c r="X306">
        <f>HYPERLINK("https://klasma.github.io/Logging_2305/tillsyn/A 48064-2023 tillsynsbegäran.docx", "A 48064-2023")</f>
        <v/>
      </c>
      <c r="Y306">
        <f>HYPERLINK("https://klasma.github.io/Logging_2305/tillsynsmail/A 48064-2023 tillsynsbegäran mail.docx", "A 48064-2023")</f>
        <v/>
      </c>
      <c r="Z306">
        <f>HYPERLINK("https://klasma.github.io/Logging_2305/fåglar/A 48064-2023 prioriterade fågelarter.docx", "A 48064-2023")</f>
        <v/>
      </c>
    </row>
    <row r="307" ht="15" customHeight="1">
      <c r="A307" t="inlineStr">
        <is>
          <t>A 50837-2023</t>
        </is>
      </c>
      <c r="B307" s="1" t="n">
        <v>45217</v>
      </c>
      <c r="C307" s="1" t="n">
        <v>46105</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30336-2024</t>
        </is>
      </c>
      <c r="B308" s="1" t="n">
        <v>45490</v>
      </c>
      <c r="C308" s="1" t="n">
        <v>46105</v>
      </c>
      <c r="D308" t="inlineStr">
        <is>
          <t>JÄMTLANDS LÄN</t>
        </is>
      </c>
      <c r="E308" t="inlineStr">
        <is>
          <t>BRÄCKE</t>
        </is>
      </c>
      <c r="F308" t="inlineStr">
        <is>
          <t>SCA</t>
        </is>
      </c>
      <c r="G308" t="n">
        <v>2.8</v>
      </c>
      <c r="H308" t="n">
        <v>0</v>
      </c>
      <c r="I308" t="n">
        <v>1</v>
      </c>
      <c r="J308" t="n">
        <v>0</v>
      </c>
      <c r="K308" t="n">
        <v>0</v>
      </c>
      <c r="L308" t="n">
        <v>0</v>
      </c>
      <c r="M308" t="n">
        <v>0</v>
      </c>
      <c r="N308" t="n">
        <v>0</v>
      </c>
      <c r="O308" t="n">
        <v>0</v>
      </c>
      <c r="P308" t="n">
        <v>0</v>
      </c>
      <c r="Q308" t="n">
        <v>1</v>
      </c>
      <c r="R308" s="2" t="inlineStr">
        <is>
          <t>Skinnlav</t>
        </is>
      </c>
      <c r="S308">
        <f>HYPERLINK("https://klasma.github.io/Logging_2305/artfynd/A 30336-2024 artfynd.xlsx", "A 30336-2024")</f>
        <v/>
      </c>
      <c r="T308">
        <f>HYPERLINK("https://klasma.github.io/Logging_2305/kartor/A 30336-2024 karta.png", "A 30336-2024")</f>
        <v/>
      </c>
      <c r="V308">
        <f>HYPERLINK("https://klasma.github.io/Logging_2305/klagomål/A 30336-2024 FSC-klagomål.docx", "A 30336-2024")</f>
        <v/>
      </c>
      <c r="W308">
        <f>HYPERLINK("https://klasma.github.io/Logging_2305/klagomålsmail/A 30336-2024 FSC-klagomål mail.docx", "A 30336-2024")</f>
        <v/>
      </c>
      <c r="X308">
        <f>HYPERLINK("https://klasma.github.io/Logging_2305/tillsyn/A 30336-2024 tillsynsbegäran.docx", "A 30336-2024")</f>
        <v/>
      </c>
      <c r="Y308">
        <f>HYPERLINK("https://klasma.github.io/Logging_2305/tillsynsmail/A 30336-2024 tillsynsbegäran mail.docx", "A 30336-2024")</f>
        <v/>
      </c>
    </row>
    <row r="309" ht="15" customHeight="1">
      <c r="A309" t="inlineStr">
        <is>
          <t>A 62541-2025</t>
        </is>
      </c>
      <c r="B309" s="1" t="n">
        <v>46007.64665509259</v>
      </c>
      <c r="C309" s="1" t="n">
        <v>46105</v>
      </c>
      <c r="D309" t="inlineStr">
        <is>
          <t>JÄMTLANDS LÄN</t>
        </is>
      </c>
      <c r="E309" t="inlineStr">
        <is>
          <t>BRÄCKE</t>
        </is>
      </c>
      <c r="G309" t="n">
        <v>14.5</v>
      </c>
      <c r="H309" t="n">
        <v>1</v>
      </c>
      <c r="I309" t="n">
        <v>0</v>
      </c>
      <c r="J309" t="n">
        <v>0</v>
      </c>
      <c r="K309" t="n">
        <v>1</v>
      </c>
      <c r="L309" t="n">
        <v>0</v>
      </c>
      <c r="M309" t="n">
        <v>0</v>
      </c>
      <c r="N309" t="n">
        <v>0</v>
      </c>
      <c r="O309" t="n">
        <v>1</v>
      </c>
      <c r="P309" t="n">
        <v>1</v>
      </c>
      <c r="Q309" t="n">
        <v>1</v>
      </c>
      <c r="R309" s="2" t="inlineStr">
        <is>
          <t>Doftticka</t>
        </is>
      </c>
      <c r="S309">
        <f>HYPERLINK("https://klasma.github.io/Logging_2305/artfynd/A 62541-2025 artfynd.xlsx", "A 62541-2025")</f>
        <v/>
      </c>
      <c r="T309">
        <f>HYPERLINK("https://klasma.github.io/Logging_2305/kartor/A 62541-2025 karta.png", "A 62541-2025")</f>
        <v/>
      </c>
      <c r="V309">
        <f>HYPERLINK("https://klasma.github.io/Logging_2305/klagomål/A 62541-2025 FSC-klagomål.docx", "A 62541-2025")</f>
        <v/>
      </c>
      <c r="W309">
        <f>HYPERLINK("https://klasma.github.io/Logging_2305/klagomålsmail/A 62541-2025 FSC-klagomål mail.docx", "A 62541-2025")</f>
        <v/>
      </c>
      <c r="X309">
        <f>HYPERLINK("https://klasma.github.io/Logging_2305/tillsyn/A 62541-2025 tillsynsbegäran.docx", "A 62541-2025")</f>
        <v/>
      </c>
      <c r="Y309">
        <f>HYPERLINK("https://klasma.github.io/Logging_2305/tillsynsmail/A 62541-2025 tillsynsbegäran mail.docx", "A 62541-2025")</f>
        <v/>
      </c>
    </row>
    <row r="310" ht="15" customHeight="1">
      <c r="A310" t="inlineStr">
        <is>
          <t>A 39085-2025</t>
        </is>
      </c>
      <c r="B310" s="1" t="n">
        <v>45888</v>
      </c>
      <c r="C310" s="1" t="n">
        <v>46105</v>
      </c>
      <c r="D310" t="inlineStr">
        <is>
          <t>JÄMTLANDS LÄN</t>
        </is>
      </c>
      <c r="E310" t="inlineStr">
        <is>
          <t>BRÄCKE</t>
        </is>
      </c>
      <c r="F310" t="inlineStr">
        <is>
          <t>SCA</t>
        </is>
      </c>
      <c r="G310" t="n">
        <v>3.3</v>
      </c>
      <c r="H310" t="n">
        <v>0</v>
      </c>
      <c r="I310" t="n">
        <v>0</v>
      </c>
      <c r="J310" t="n">
        <v>1</v>
      </c>
      <c r="K310" t="n">
        <v>0</v>
      </c>
      <c r="L310" t="n">
        <v>0</v>
      </c>
      <c r="M310" t="n">
        <v>0</v>
      </c>
      <c r="N310" t="n">
        <v>0</v>
      </c>
      <c r="O310" t="n">
        <v>1</v>
      </c>
      <c r="P310" t="n">
        <v>0</v>
      </c>
      <c r="Q310" t="n">
        <v>1</v>
      </c>
      <c r="R310" s="2" t="inlineStr">
        <is>
          <t>Lunglav</t>
        </is>
      </c>
      <c r="S310">
        <f>HYPERLINK("https://klasma.github.io/Logging_2305/artfynd/A 39085-2025 artfynd.xlsx", "A 39085-2025")</f>
        <v/>
      </c>
      <c r="T310">
        <f>HYPERLINK("https://klasma.github.io/Logging_2305/kartor/A 39085-2025 karta.png", "A 39085-2025")</f>
        <v/>
      </c>
      <c r="V310">
        <f>HYPERLINK("https://klasma.github.io/Logging_2305/klagomål/A 39085-2025 FSC-klagomål.docx", "A 39085-2025")</f>
        <v/>
      </c>
      <c r="W310">
        <f>HYPERLINK("https://klasma.github.io/Logging_2305/klagomålsmail/A 39085-2025 FSC-klagomål mail.docx", "A 39085-2025")</f>
        <v/>
      </c>
      <c r="X310">
        <f>HYPERLINK("https://klasma.github.io/Logging_2305/tillsyn/A 39085-2025 tillsynsbegäran.docx", "A 39085-2025")</f>
        <v/>
      </c>
      <c r="Y310">
        <f>HYPERLINK("https://klasma.github.io/Logging_2305/tillsynsmail/A 39085-2025 tillsynsbegäran mail.docx", "A 39085-2025")</f>
        <v/>
      </c>
    </row>
    <row r="311" ht="15" customHeight="1">
      <c r="A311" t="inlineStr">
        <is>
          <t>A 2063-2024</t>
        </is>
      </c>
      <c r="B311" s="1" t="n">
        <v>45308</v>
      </c>
      <c r="C311" s="1" t="n">
        <v>46105</v>
      </c>
      <c r="D311" t="inlineStr">
        <is>
          <t>JÄMTLANDS LÄN</t>
        </is>
      </c>
      <c r="E311" t="inlineStr">
        <is>
          <t>BRÄCKE</t>
        </is>
      </c>
      <c r="F311" t="inlineStr">
        <is>
          <t>SCA</t>
        </is>
      </c>
      <c r="G311" t="n">
        <v>5.7</v>
      </c>
      <c r="H311" t="n">
        <v>0</v>
      </c>
      <c r="I311" t="n">
        <v>0</v>
      </c>
      <c r="J311" t="n">
        <v>0</v>
      </c>
      <c r="K311" t="n">
        <v>1</v>
      </c>
      <c r="L311" t="n">
        <v>0</v>
      </c>
      <c r="M311" t="n">
        <v>0</v>
      </c>
      <c r="N311" t="n">
        <v>0</v>
      </c>
      <c r="O311" t="n">
        <v>1</v>
      </c>
      <c r="P311" t="n">
        <v>1</v>
      </c>
      <c r="Q311" t="n">
        <v>1</v>
      </c>
      <c r="R311" s="2" t="inlineStr">
        <is>
          <t>Gräddporing</t>
        </is>
      </c>
      <c r="S311">
        <f>HYPERLINK("https://klasma.github.io/Logging_2305/artfynd/A 2063-2024 artfynd.xlsx", "A 2063-2024")</f>
        <v/>
      </c>
      <c r="T311">
        <f>HYPERLINK("https://klasma.github.io/Logging_2305/kartor/A 2063-2024 karta.png", "A 2063-2024")</f>
        <v/>
      </c>
      <c r="V311">
        <f>HYPERLINK("https://klasma.github.io/Logging_2305/klagomål/A 2063-2024 FSC-klagomål.docx", "A 2063-2024")</f>
        <v/>
      </c>
      <c r="W311">
        <f>HYPERLINK("https://klasma.github.io/Logging_2305/klagomålsmail/A 2063-2024 FSC-klagomål mail.docx", "A 2063-2024")</f>
        <v/>
      </c>
      <c r="X311">
        <f>HYPERLINK("https://klasma.github.io/Logging_2305/tillsyn/A 2063-2024 tillsynsbegäran.docx", "A 2063-2024")</f>
        <v/>
      </c>
      <c r="Y311">
        <f>HYPERLINK("https://klasma.github.io/Logging_2305/tillsynsmail/A 2063-2024 tillsynsbegäran mail.docx", "A 2063-2024")</f>
        <v/>
      </c>
    </row>
    <row r="312" ht="15" customHeight="1">
      <c r="A312" t="inlineStr">
        <is>
          <t>A 7686-2025</t>
        </is>
      </c>
      <c r="B312" s="1" t="n">
        <v>45706.38579861111</v>
      </c>
      <c r="C312" s="1" t="n">
        <v>46105</v>
      </c>
      <c r="D312" t="inlineStr">
        <is>
          <t>JÄMTLANDS LÄN</t>
        </is>
      </c>
      <c r="E312" t="inlineStr">
        <is>
          <t>BRÄCKE</t>
        </is>
      </c>
      <c r="F312" t="inlineStr">
        <is>
          <t>SCA</t>
        </is>
      </c>
      <c r="G312" t="n">
        <v>1</v>
      </c>
      <c r="H312" t="n">
        <v>1</v>
      </c>
      <c r="I312" t="n">
        <v>0</v>
      </c>
      <c r="J312" t="n">
        <v>0</v>
      </c>
      <c r="K312" t="n">
        <v>1</v>
      </c>
      <c r="L312" t="n">
        <v>0</v>
      </c>
      <c r="M312" t="n">
        <v>0</v>
      </c>
      <c r="N312" t="n">
        <v>0</v>
      </c>
      <c r="O312" t="n">
        <v>1</v>
      </c>
      <c r="P312" t="n">
        <v>1</v>
      </c>
      <c r="Q312" t="n">
        <v>1</v>
      </c>
      <c r="R312" s="2" t="inlineStr">
        <is>
          <t>Knärot</t>
        </is>
      </c>
      <c r="S312">
        <f>HYPERLINK("https://klasma.github.io/Logging_2305/artfynd/A 7686-2025 artfynd.xlsx", "A 7686-2025")</f>
        <v/>
      </c>
      <c r="T312">
        <f>HYPERLINK("https://klasma.github.io/Logging_2305/kartor/A 7686-2025 karta.png", "A 7686-2025")</f>
        <v/>
      </c>
      <c r="U312">
        <f>HYPERLINK("https://klasma.github.io/Logging_2305/knärot/A 7686-2025 karta knärot.png", "A 7686-2025")</f>
        <v/>
      </c>
      <c r="V312">
        <f>HYPERLINK("https://klasma.github.io/Logging_2305/klagomål/A 7686-2025 FSC-klagomål.docx", "A 7686-2025")</f>
        <v/>
      </c>
      <c r="W312">
        <f>HYPERLINK("https://klasma.github.io/Logging_2305/klagomålsmail/A 7686-2025 FSC-klagomål mail.docx", "A 7686-2025")</f>
        <v/>
      </c>
      <c r="X312">
        <f>HYPERLINK("https://klasma.github.io/Logging_2305/tillsyn/A 7686-2025 tillsynsbegäran.docx", "A 7686-2025")</f>
        <v/>
      </c>
      <c r="Y312">
        <f>HYPERLINK("https://klasma.github.io/Logging_2305/tillsynsmail/A 7686-2025 tillsynsbegäran mail.docx", "A 7686-2025")</f>
        <v/>
      </c>
    </row>
    <row r="313" ht="15" customHeight="1">
      <c r="A313" t="inlineStr">
        <is>
          <t>A 9946-2026</t>
        </is>
      </c>
      <c r="B313" s="1" t="n">
        <v>46073.4703125</v>
      </c>
      <c r="C313" s="1" t="n">
        <v>46105</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Slåtterfibbla</t>
        </is>
      </c>
      <c r="S313">
        <f>HYPERLINK("https://klasma.github.io/Logging_2305/artfynd/A 9946-2026 artfynd.xlsx", "A 9946-2026")</f>
        <v/>
      </c>
      <c r="T313">
        <f>HYPERLINK("https://klasma.github.io/Logging_2305/kartor/A 9946-2026 karta.png", "A 9946-2026")</f>
        <v/>
      </c>
      <c r="V313">
        <f>HYPERLINK("https://klasma.github.io/Logging_2305/klagomål/A 9946-2026 FSC-klagomål.docx", "A 9946-2026")</f>
        <v/>
      </c>
      <c r="W313">
        <f>HYPERLINK("https://klasma.github.io/Logging_2305/klagomålsmail/A 9946-2026 FSC-klagomål mail.docx", "A 9946-2026")</f>
        <v/>
      </c>
      <c r="X313">
        <f>HYPERLINK("https://klasma.github.io/Logging_2305/tillsyn/A 9946-2026 tillsynsbegäran.docx", "A 9946-2026")</f>
        <v/>
      </c>
      <c r="Y313">
        <f>HYPERLINK("https://klasma.github.io/Logging_2305/tillsynsmail/A 9946-2026 tillsynsbegäran mail.docx", "A 9946-2026")</f>
        <v/>
      </c>
    </row>
    <row r="314" ht="15" customHeight="1">
      <c r="A314" t="inlineStr">
        <is>
          <t>A 15076-2022</t>
        </is>
      </c>
      <c r="B314" s="1" t="n">
        <v>44657</v>
      </c>
      <c r="C314" s="1" t="n">
        <v>46105</v>
      </c>
      <c r="D314" t="inlineStr">
        <is>
          <t>JÄMTLANDS LÄN</t>
        </is>
      </c>
      <c r="E314" t="inlineStr">
        <is>
          <t>BRÄCKE</t>
        </is>
      </c>
      <c r="G314" t="n">
        <v>24.7</v>
      </c>
      <c r="H314" t="n">
        <v>0</v>
      </c>
      <c r="I314" t="n">
        <v>0</v>
      </c>
      <c r="J314" t="n">
        <v>1</v>
      </c>
      <c r="K314" t="n">
        <v>0</v>
      </c>
      <c r="L314" t="n">
        <v>0</v>
      </c>
      <c r="M314" t="n">
        <v>0</v>
      </c>
      <c r="N314" t="n">
        <v>0</v>
      </c>
      <c r="O314" t="n">
        <v>1</v>
      </c>
      <c r="P314" t="n">
        <v>0</v>
      </c>
      <c r="Q314" t="n">
        <v>1</v>
      </c>
      <c r="R314" s="2" t="inlineStr">
        <is>
          <t>Skrovellav</t>
        </is>
      </c>
      <c r="S314">
        <f>HYPERLINK("https://klasma.github.io/Logging_2305/artfynd/A 15076-2022 artfynd.xlsx", "A 15076-2022")</f>
        <v/>
      </c>
      <c r="T314">
        <f>HYPERLINK("https://klasma.github.io/Logging_2305/kartor/A 15076-2022 karta.png", "A 15076-2022")</f>
        <v/>
      </c>
      <c r="V314">
        <f>HYPERLINK("https://klasma.github.io/Logging_2305/klagomål/A 15076-2022 FSC-klagomål.docx", "A 15076-2022")</f>
        <v/>
      </c>
      <c r="W314">
        <f>HYPERLINK("https://klasma.github.io/Logging_2305/klagomålsmail/A 15076-2022 FSC-klagomål mail.docx", "A 15076-2022")</f>
        <v/>
      </c>
      <c r="X314">
        <f>HYPERLINK("https://klasma.github.io/Logging_2305/tillsyn/A 15076-2022 tillsynsbegäran.docx", "A 15076-2022")</f>
        <v/>
      </c>
      <c r="Y314">
        <f>HYPERLINK("https://klasma.github.io/Logging_2305/tillsynsmail/A 15076-2022 tillsynsbegäran mail.docx", "A 15076-2022")</f>
        <v/>
      </c>
    </row>
    <row r="315" ht="15" customHeight="1">
      <c r="A315" t="inlineStr">
        <is>
          <t>A 12062-2023</t>
        </is>
      </c>
      <c r="B315" s="1" t="n">
        <v>44996</v>
      </c>
      <c r="C315" s="1" t="n">
        <v>46105</v>
      </c>
      <c r="D315" t="inlineStr">
        <is>
          <t>JÄMTLANDS LÄN</t>
        </is>
      </c>
      <c r="E315" t="inlineStr">
        <is>
          <t>BRÄCKE</t>
        </is>
      </c>
      <c r="G315" t="n">
        <v>5.4</v>
      </c>
      <c r="H315" t="n">
        <v>0</v>
      </c>
      <c r="I315" t="n">
        <v>0</v>
      </c>
      <c r="J315" t="n">
        <v>1</v>
      </c>
      <c r="K315" t="n">
        <v>0</v>
      </c>
      <c r="L315" t="n">
        <v>0</v>
      </c>
      <c r="M315" t="n">
        <v>0</v>
      </c>
      <c r="N315" t="n">
        <v>0</v>
      </c>
      <c r="O315" t="n">
        <v>1</v>
      </c>
      <c r="P315" t="n">
        <v>0</v>
      </c>
      <c r="Q315" t="n">
        <v>1</v>
      </c>
      <c r="R315" s="2" t="inlineStr">
        <is>
          <t>Lunglav</t>
        </is>
      </c>
      <c r="S315">
        <f>HYPERLINK("https://klasma.github.io/Logging_2305/artfynd/A 12062-2023 artfynd.xlsx", "A 12062-2023")</f>
        <v/>
      </c>
      <c r="T315">
        <f>HYPERLINK("https://klasma.github.io/Logging_2305/kartor/A 12062-2023 karta.png", "A 12062-2023")</f>
        <v/>
      </c>
      <c r="V315">
        <f>HYPERLINK("https://klasma.github.io/Logging_2305/klagomål/A 12062-2023 FSC-klagomål.docx", "A 12062-2023")</f>
        <v/>
      </c>
      <c r="W315">
        <f>HYPERLINK("https://klasma.github.io/Logging_2305/klagomålsmail/A 12062-2023 FSC-klagomål mail.docx", "A 12062-2023")</f>
        <v/>
      </c>
      <c r="X315">
        <f>HYPERLINK("https://klasma.github.io/Logging_2305/tillsyn/A 12062-2023 tillsynsbegäran.docx", "A 12062-2023")</f>
        <v/>
      </c>
      <c r="Y315">
        <f>HYPERLINK("https://klasma.github.io/Logging_2305/tillsynsmail/A 12062-2023 tillsynsbegäran mail.docx", "A 12062-2023")</f>
        <v/>
      </c>
    </row>
    <row r="316" ht="15" customHeight="1">
      <c r="A316" t="inlineStr">
        <is>
          <t>A 2882-2025</t>
        </is>
      </c>
      <c r="B316" s="1" t="n">
        <v>45677.69878472222</v>
      </c>
      <c r="C316" s="1" t="n">
        <v>46105</v>
      </c>
      <c r="D316" t="inlineStr">
        <is>
          <t>JÄMTLANDS LÄN</t>
        </is>
      </c>
      <c r="E316" t="inlineStr">
        <is>
          <t>BRÄCKE</t>
        </is>
      </c>
      <c r="F316" t="inlineStr">
        <is>
          <t>SCA</t>
        </is>
      </c>
      <c r="G316" t="n">
        <v>2.7</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2882-2025 artfynd.xlsx", "A 2882-2025")</f>
        <v/>
      </c>
      <c r="T316">
        <f>HYPERLINK("https://klasma.github.io/Logging_2305/kartor/A 2882-2025 karta.png", "A 2882-2025")</f>
        <v/>
      </c>
      <c r="V316">
        <f>HYPERLINK("https://klasma.github.io/Logging_2305/klagomål/A 2882-2025 FSC-klagomål.docx", "A 2882-2025")</f>
        <v/>
      </c>
      <c r="W316">
        <f>HYPERLINK("https://klasma.github.io/Logging_2305/klagomålsmail/A 2882-2025 FSC-klagomål mail.docx", "A 2882-2025")</f>
        <v/>
      </c>
      <c r="X316">
        <f>HYPERLINK("https://klasma.github.io/Logging_2305/tillsyn/A 2882-2025 tillsynsbegäran.docx", "A 2882-2025")</f>
        <v/>
      </c>
      <c r="Y316">
        <f>HYPERLINK("https://klasma.github.io/Logging_2305/tillsynsmail/A 2882-2025 tillsynsbegäran mail.docx", "A 2882-2025")</f>
        <v/>
      </c>
    </row>
    <row r="317" ht="15" customHeight="1">
      <c r="A317" t="inlineStr">
        <is>
          <t>A 17996-2025</t>
        </is>
      </c>
      <c r="B317" s="1" t="n">
        <v>45761.40716435185</v>
      </c>
      <c r="C317" s="1" t="n">
        <v>46105</v>
      </c>
      <c r="D317" t="inlineStr">
        <is>
          <t>JÄMTLANDS LÄN</t>
        </is>
      </c>
      <c r="E317" t="inlineStr">
        <is>
          <t>BRÄCKE</t>
        </is>
      </c>
      <c r="F317" t="inlineStr">
        <is>
          <t>SCA</t>
        </is>
      </c>
      <c r="G317" t="n">
        <v>1.3</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17996-2025 artfynd.xlsx", "A 17996-2025")</f>
        <v/>
      </c>
      <c r="T317">
        <f>HYPERLINK("https://klasma.github.io/Logging_2305/kartor/A 17996-2025 karta.png", "A 17996-2025")</f>
        <v/>
      </c>
      <c r="V317">
        <f>HYPERLINK("https://klasma.github.io/Logging_2305/klagomål/A 17996-2025 FSC-klagomål.docx", "A 17996-2025")</f>
        <v/>
      </c>
      <c r="W317">
        <f>HYPERLINK("https://klasma.github.io/Logging_2305/klagomålsmail/A 17996-2025 FSC-klagomål mail.docx", "A 17996-2025")</f>
        <v/>
      </c>
      <c r="X317">
        <f>HYPERLINK("https://klasma.github.io/Logging_2305/tillsyn/A 17996-2025 tillsynsbegäran.docx", "A 17996-2025")</f>
        <v/>
      </c>
      <c r="Y317">
        <f>HYPERLINK("https://klasma.github.io/Logging_2305/tillsynsmail/A 17996-2025 tillsynsbegäran mail.docx", "A 17996-2025")</f>
        <v/>
      </c>
    </row>
    <row r="318" ht="15" customHeight="1">
      <c r="A318" t="inlineStr">
        <is>
          <t>A 235-2022</t>
        </is>
      </c>
      <c r="B318" s="1" t="n">
        <v>44564</v>
      </c>
      <c r="C318" s="1" t="n">
        <v>46105</v>
      </c>
      <c r="D318" t="inlineStr">
        <is>
          <t>JÄMTLANDS LÄN</t>
        </is>
      </c>
      <c r="E318" t="inlineStr">
        <is>
          <t>BRÄCKE</t>
        </is>
      </c>
      <c r="F318" t="inlineStr">
        <is>
          <t>SCA</t>
        </is>
      </c>
      <c r="G318" t="n">
        <v>5.8</v>
      </c>
      <c r="H318" t="n">
        <v>0</v>
      </c>
      <c r="I318" t="n">
        <v>0</v>
      </c>
      <c r="J318" t="n">
        <v>1</v>
      </c>
      <c r="K318" t="n">
        <v>0</v>
      </c>
      <c r="L318" t="n">
        <v>0</v>
      </c>
      <c r="M318" t="n">
        <v>0</v>
      </c>
      <c r="N318" t="n">
        <v>0</v>
      </c>
      <c r="O318" t="n">
        <v>1</v>
      </c>
      <c r="P318" t="n">
        <v>0</v>
      </c>
      <c r="Q318" t="n">
        <v>1</v>
      </c>
      <c r="R318" s="2" t="inlineStr">
        <is>
          <t>Harticka</t>
        </is>
      </c>
      <c r="S318">
        <f>HYPERLINK("https://klasma.github.io/Logging_2305/artfynd/A 235-2022 artfynd.xlsx", "A 235-2022")</f>
        <v/>
      </c>
      <c r="T318">
        <f>HYPERLINK("https://klasma.github.io/Logging_2305/kartor/A 235-2022 karta.png", "A 235-2022")</f>
        <v/>
      </c>
      <c r="V318">
        <f>HYPERLINK("https://klasma.github.io/Logging_2305/klagomål/A 235-2022 FSC-klagomål.docx", "A 235-2022")</f>
        <v/>
      </c>
      <c r="W318">
        <f>HYPERLINK("https://klasma.github.io/Logging_2305/klagomålsmail/A 235-2022 FSC-klagomål mail.docx", "A 235-2022")</f>
        <v/>
      </c>
      <c r="X318">
        <f>HYPERLINK("https://klasma.github.io/Logging_2305/tillsyn/A 235-2022 tillsynsbegäran.docx", "A 235-2022")</f>
        <v/>
      </c>
      <c r="Y318">
        <f>HYPERLINK("https://klasma.github.io/Logging_2305/tillsynsmail/A 235-2022 tillsynsbegäran mail.docx", "A 235-2022")</f>
        <v/>
      </c>
    </row>
    <row r="319" ht="15" customHeight="1">
      <c r="A319" t="inlineStr">
        <is>
          <t>A 40097-2023</t>
        </is>
      </c>
      <c r="B319" s="1" t="n">
        <v>45168</v>
      </c>
      <c r="C319" s="1" t="n">
        <v>46105</v>
      </c>
      <c r="D319" t="inlineStr">
        <is>
          <t>JÄMTLANDS LÄN</t>
        </is>
      </c>
      <c r="E319" t="inlineStr">
        <is>
          <t>BRÄCKE</t>
        </is>
      </c>
      <c r="F319" t="inlineStr">
        <is>
          <t>SCA</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HYPERLINK("https://klasma.github.io/Logging_2305/artfynd/A 40097-2023 artfynd.xlsx", "A 40097-2023")</f>
        <v/>
      </c>
      <c r="T319">
        <f>HYPERLINK("https://klasma.github.io/Logging_2305/kartor/A 40097-2023 karta.png", "A 40097-2023")</f>
        <v/>
      </c>
      <c r="U319">
        <f>HYPERLINK("https://klasma.github.io/Logging_2305/knärot/A 40097-2023 karta knärot.png", "A 40097-2023")</f>
        <v/>
      </c>
      <c r="V319">
        <f>HYPERLINK("https://klasma.github.io/Logging_2305/klagomål/A 40097-2023 FSC-klagomål.docx", "A 40097-2023")</f>
        <v/>
      </c>
      <c r="W319">
        <f>HYPERLINK("https://klasma.github.io/Logging_2305/klagomålsmail/A 40097-2023 FSC-klagomål mail.docx", "A 40097-2023")</f>
        <v/>
      </c>
      <c r="X319">
        <f>HYPERLINK("https://klasma.github.io/Logging_2305/tillsyn/A 40097-2023 tillsynsbegäran.docx", "A 40097-2023")</f>
        <v/>
      </c>
      <c r="Y319">
        <f>HYPERLINK("https://klasma.github.io/Logging_2305/tillsynsmail/A 40097-2023 tillsynsbegäran mail.docx", "A 40097-2023")</f>
        <v/>
      </c>
    </row>
    <row r="320" ht="15" customHeight="1">
      <c r="A320" t="inlineStr">
        <is>
          <t>A 51910-2024</t>
        </is>
      </c>
      <c r="B320" s="1" t="n">
        <v>45607.59954861111</v>
      </c>
      <c r="C320" s="1" t="n">
        <v>46105</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HYPERLINK("https://klasma.github.io/Logging_2305/artfynd/A 51910-2024 artfynd.xlsx", "A 51910-2024")</f>
        <v/>
      </c>
      <c r="T320">
        <f>HYPERLINK("https://klasma.github.io/Logging_2305/kartor/A 51910-2024 karta.png", "A 51910-2024")</f>
        <v/>
      </c>
      <c r="V320">
        <f>HYPERLINK("https://klasma.github.io/Logging_2305/klagomål/A 51910-2024 FSC-klagomål.docx", "A 51910-2024")</f>
        <v/>
      </c>
      <c r="W320">
        <f>HYPERLINK("https://klasma.github.io/Logging_2305/klagomålsmail/A 51910-2024 FSC-klagomål mail.docx", "A 51910-2024")</f>
        <v/>
      </c>
      <c r="X320">
        <f>HYPERLINK("https://klasma.github.io/Logging_2305/tillsyn/A 51910-2024 tillsynsbegäran.docx", "A 51910-2024")</f>
        <v/>
      </c>
      <c r="Y320">
        <f>HYPERLINK("https://klasma.github.io/Logging_2305/tillsynsmail/A 51910-2024 tillsynsbegäran mail.docx", "A 51910-2024")</f>
        <v/>
      </c>
    </row>
    <row r="321" ht="15" customHeight="1">
      <c r="A321" t="inlineStr">
        <is>
          <t>A 15462-2025</t>
        </is>
      </c>
      <c r="B321" s="1" t="n">
        <v>45747.51086805556</v>
      </c>
      <c r="C321" s="1" t="n">
        <v>46105</v>
      </c>
      <c r="D321" t="inlineStr">
        <is>
          <t>JÄMTLANDS LÄN</t>
        </is>
      </c>
      <c r="E321" t="inlineStr">
        <is>
          <t>BRÄCKE</t>
        </is>
      </c>
      <c r="F321" t="inlineStr">
        <is>
          <t>SCA</t>
        </is>
      </c>
      <c r="G321" t="n">
        <v>1.6</v>
      </c>
      <c r="H321" t="n">
        <v>0</v>
      </c>
      <c r="I321" t="n">
        <v>0</v>
      </c>
      <c r="J321" t="n">
        <v>0</v>
      </c>
      <c r="K321" t="n">
        <v>1</v>
      </c>
      <c r="L321" t="n">
        <v>0</v>
      </c>
      <c r="M321" t="n">
        <v>0</v>
      </c>
      <c r="N321" t="n">
        <v>0</v>
      </c>
      <c r="O321" t="n">
        <v>1</v>
      </c>
      <c r="P321" t="n">
        <v>1</v>
      </c>
      <c r="Q321" t="n">
        <v>1</v>
      </c>
      <c r="R321" s="2" t="inlineStr">
        <is>
          <t>Smalskaftslav</t>
        </is>
      </c>
      <c r="S321">
        <f>HYPERLINK("https://klasma.github.io/Logging_2305/artfynd/A 15462-2025 artfynd.xlsx", "A 15462-2025")</f>
        <v/>
      </c>
      <c r="T321">
        <f>HYPERLINK("https://klasma.github.io/Logging_2305/kartor/A 15462-2025 karta.png", "A 15462-2025")</f>
        <v/>
      </c>
      <c r="V321">
        <f>HYPERLINK("https://klasma.github.io/Logging_2305/klagomål/A 15462-2025 FSC-klagomål.docx", "A 15462-2025")</f>
        <v/>
      </c>
      <c r="W321">
        <f>HYPERLINK("https://klasma.github.io/Logging_2305/klagomålsmail/A 15462-2025 FSC-klagomål mail.docx", "A 15462-2025")</f>
        <v/>
      </c>
      <c r="X321">
        <f>HYPERLINK("https://klasma.github.io/Logging_2305/tillsyn/A 15462-2025 tillsynsbegäran.docx", "A 15462-2025")</f>
        <v/>
      </c>
      <c r="Y321">
        <f>HYPERLINK("https://klasma.github.io/Logging_2305/tillsynsmail/A 15462-2025 tillsynsbegäran mail.docx", "A 15462-2025")</f>
        <v/>
      </c>
    </row>
    <row r="322" ht="15" customHeight="1">
      <c r="A322" t="inlineStr">
        <is>
          <t>A 2463-2025</t>
        </is>
      </c>
      <c r="B322" s="1" t="n">
        <v>45674.46915509259</v>
      </c>
      <c r="C322" s="1" t="n">
        <v>46105</v>
      </c>
      <c r="D322" t="inlineStr">
        <is>
          <t>JÄMTLANDS LÄN</t>
        </is>
      </c>
      <c r="E322" t="inlineStr">
        <is>
          <t>BRÄCKE</t>
        </is>
      </c>
      <c r="F322" t="inlineStr">
        <is>
          <t>SCA</t>
        </is>
      </c>
      <c r="G322" t="n">
        <v>3.9</v>
      </c>
      <c r="H322" t="n">
        <v>0</v>
      </c>
      <c r="I322" t="n">
        <v>1</v>
      </c>
      <c r="J322" t="n">
        <v>0</v>
      </c>
      <c r="K322" t="n">
        <v>0</v>
      </c>
      <c r="L322" t="n">
        <v>0</v>
      </c>
      <c r="M322" t="n">
        <v>0</v>
      </c>
      <c r="N322" t="n">
        <v>0</v>
      </c>
      <c r="O322" t="n">
        <v>0</v>
      </c>
      <c r="P322" t="n">
        <v>0</v>
      </c>
      <c r="Q322" t="n">
        <v>1</v>
      </c>
      <c r="R322" s="2" t="inlineStr">
        <is>
          <t>Vedticka</t>
        </is>
      </c>
      <c r="S322">
        <f>HYPERLINK("https://klasma.github.io/Logging_2305/artfynd/A 2463-2025 artfynd.xlsx", "A 2463-2025")</f>
        <v/>
      </c>
      <c r="T322">
        <f>HYPERLINK("https://klasma.github.io/Logging_2305/kartor/A 2463-2025 karta.png", "A 2463-2025")</f>
        <v/>
      </c>
      <c r="V322">
        <f>HYPERLINK("https://klasma.github.io/Logging_2305/klagomål/A 2463-2025 FSC-klagomål.docx", "A 2463-2025")</f>
        <v/>
      </c>
      <c r="W322">
        <f>HYPERLINK("https://klasma.github.io/Logging_2305/klagomålsmail/A 2463-2025 FSC-klagomål mail.docx", "A 2463-2025")</f>
        <v/>
      </c>
      <c r="X322">
        <f>HYPERLINK("https://klasma.github.io/Logging_2305/tillsyn/A 2463-2025 tillsynsbegäran.docx", "A 2463-2025")</f>
        <v/>
      </c>
      <c r="Y322">
        <f>HYPERLINK("https://klasma.github.io/Logging_2305/tillsynsmail/A 2463-2025 tillsynsbegäran mail.docx", "A 2463-2025")</f>
        <v/>
      </c>
    </row>
    <row r="323" ht="15" customHeight="1">
      <c r="A323" t="inlineStr">
        <is>
          <t>A 14628-2022</t>
        </is>
      </c>
      <c r="B323" s="1" t="n">
        <v>44655</v>
      </c>
      <c r="C323" s="1" t="n">
        <v>46105</v>
      </c>
      <c r="D323" t="inlineStr">
        <is>
          <t>JÄMTLANDS LÄN</t>
        </is>
      </c>
      <c r="E323" t="inlineStr">
        <is>
          <t>BRÄCKE</t>
        </is>
      </c>
      <c r="G323" t="n">
        <v>4.7</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14628-2022 artfynd.xlsx", "A 14628-2022")</f>
        <v/>
      </c>
      <c r="T323">
        <f>HYPERLINK("https://klasma.github.io/Logging_2305/kartor/A 14628-2022 karta.png", "A 14628-2022")</f>
        <v/>
      </c>
      <c r="V323">
        <f>HYPERLINK("https://klasma.github.io/Logging_2305/klagomål/A 14628-2022 FSC-klagomål.docx", "A 14628-2022")</f>
        <v/>
      </c>
      <c r="W323">
        <f>HYPERLINK("https://klasma.github.io/Logging_2305/klagomålsmail/A 14628-2022 FSC-klagomål mail.docx", "A 14628-2022")</f>
        <v/>
      </c>
      <c r="X323">
        <f>HYPERLINK("https://klasma.github.io/Logging_2305/tillsyn/A 14628-2022 tillsynsbegäran.docx", "A 14628-2022")</f>
        <v/>
      </c>
      <c r="Y323">
        <f>HYPERLINK("https://klasma.github.io/Logging_2305/tillsynsmail/A 14628-2022 tillsynsbegäran mail.docx", "A 14628-2022")</f>
        <v/>
      </c>
    </row>
    <row r="324" ht="15" customHeight="1">
      <c r="A324" t="inlineStr">
        <is>
          <t>A 15366-2022</t>
        </is>
      </c>
      <c r="B324" s="1" t="n">
        <v>44659</v>
      </c>
      <c r="C324" s="1" t="n">
        <v>46105</v>
      </c>
      <c r="D324" t="inlineStr">
        <is>
          <t>JÄMTLANDS LÄN</t>
        </is>
      </c>
      <c r="E324" t="inlineStr">
        <is>
          <t>BRÄCKE</t>
        </is>
      </c>
      <c r="G324" t="n">
        <v>3.3</v>
      </c>
      <c r="H324" t="n">
        <v>1</v>
      </c>
      <c r="I324" t="n">
        <v>0</v>
      </c>
      <c r="J324" t="n">
        <v>0</v>
      </c>
      <c r="K324" t="n">
        <v>0</v>
      </c>
      <c r="L324" t="n">
        <v>0</v>
      </c>
      <c r="M324" t="n">
        <v>0</v>
      </c>
      <c r="N324" t="n">
        <v>0</v>
      </c>
      <c r="O324" t="n">
        <v>0</v>
      </c>
      <c r="P324" t="n">
        <v>0</v>
      </c>
      <c r="Q324" t="n">
        <v>1</v>
      </c>
      <c r="R324" s="2" t="inlineStr">
        <is>
          <t>Brudsporre</t>
        </is>
      </c>
      <c r="S324">
        <f>HYPERLINK("https://klasma.github.io/Logging_2305/artfynd/A 15366-2022 artfynd.xlsx", "A 15366-2022")</f>
        <v/>
      </c>
      <c r="T324">
        <f>HYPERLINK("https://klasma.github.io/Logging_2305/kartor/A 15366-2022 karta.png", "A 15366-2022")</f>
        <v/>
      </c>
      <c r="V324">
        <f>HYPERLINK("https://klasma.github.io/Logging_2305/klagomål/A 15366-2022 FSC-klagomål.docx", "A 15366-2022")</f>
        <v/>
      </c>
      <c r="W324">
        <f>HYPERLINK("https://klasma.github.io/Logging_2305/klagomålsmail/A 15366-2022 FSC-klagomål mail.docx", "A 15366-2022")</f>
        <v/>
      </c>
      <c r="X324">
        <f>HYPERLINK("https://klasma.github.io/Logging_2305/tillsyn/A 15366-2022 tillsynsbegäran.docx", "A 15366-2022")</f>
        <v/>
      </c>
      <c r="Y324">
        <f>HYPERLINK("https://klasma.github.io/Logging_2305/tillsynsmail/A 15366-2022 tillsynsbegäran mail.docx", "A 15366-2022")</f>
        <v/>
      </c>
    </row>
    <row r="325" ht="15" customHeight="1">
      <c r="A325" t="inlineStr">
        <is>
          <t>A 9816-2024</t>
        </is>
      </c>
      <c r="B325" s="1" t="n">
        <v>45363.04525462963</v>
      </c>
      <c r="C325" s="1" t="n">
        <v>46105</v>
      </c>
      <c r="D325" t="inlineStr">
        <is>
          <t>JÄMTLANDS LÄN</t>
        </is>
      </c>
      <c r="E325" t="inlineStr">
        <is>
          <t>BRÄCKE</t>
        </is>
      </c>
      <c r="F325" t="inlineStr">
        <is>
          <t>SCA</t>
        </is>
      </c>
      <c r="G325" t="n">
        <v>2.1</v>
      </c>
      <c r="H325" t="n">
        <v>1</v>
      </c>
      <c r="I325" t="n">
        <v>0</v>
      </c>
      <c r="J325" t="n">
        <v>0</v>
      </c>
      <c r="K325" t="n">
        <v>1</v>
      </c>
      <c r="L325" t="n">
        <v>0</v>
      </c>
      <c r="M325" t="n">
        <v>0</v>
      </c>
      <c r="N325" t="n">
        <v>0</v>
      </c>
      <c r="O325" t="n">
        <v>1</v>
      </c>
      <c r="P325" t="n">
        <v>1</v>
      </c>
      <c r="Q325" t="n">
        <v>1</v>
      </c>
      <c r="R325" s="2" t="inlineStr">
        <is>
          <t>Knärot</t>
        </is>
      </c>
      <c r="S325">
        <f>HYPERLINK("https://klasma.github.io/Logging_2305/artfynd/A 9816-2024 artfynd.xlsx", "A 9816-2024")</f>
        <v/>
      </c>
      <c r="T325">
        <f>HYPERLINK("https://klasma.github.io/Logging_2305/kartor/A 9816-2024 karta.png", "A 9816-2024")</f>
        <v/>
      </c>
      <c r="U325">
        <f>HYPERLINK("https://klasma.github.io/Logging_2305/knärot/A 9816-2024 karta knärot.png", "A 9816-2024")</f>
        <v/>
      </c>
      <c r="V325">
        <f>HYPERLINK("https://klasma.github.io/Logging_2305/klagomål/A 9816-2024 FSC-klagomål.docx", "A 9816-2024")</f>
        <v/>
      </c>
      <c r="W325">
        <f>HYPERLINK("https://klasma.github.io/Logging_2305/klagomålsmail/A 9816-2024 FSC-klagomål mail.docx", "A 9816-2024")</f>
        <v/>
      </c>
      <c r="X325">
        <f>HYPERLINK("https://klasma.github.io/Logging_2305/tillsyn/A 9816-2024 tillsynsbegäran.docx", "A 9816-2024")</f>
        <v/>
      </c>
      <c r="Y325">
        <f>HYPERLINK("https://klasma.github.io/Logging_2305/tillsynsmail/A 9816-2024 tillsynsbegäran mail.docx", "A 9816-2024")</f>
        <v/>
      </c>
    </row>
    <row r="326" ht="15" customHeight="1">
      <c r="A326" t="inlineStr">
        <is>
          <t>A 49325-2023</t>
        </is>
      </c>
      <c r="B326" s="1" t="n">
        <v>45210</v>
      </c>
      <c r="C326" s="1" t="n">
        <v>46105</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58777-2023</t>
        </is>
      </c>
      <c r="B327" s="1" t="n">
        <v>45251.96747685185</v>
      </c>
      <c r="C327" s="1" t="n">
        <v>46105</v>
      </c>
      <c r="D327" t="inlineStr">
        <is>
          <t>JÄMTLANDS LÄN</t>
        </is>
      </c>
      <c r="E327" t="inlineStr">
        <is>
          <t>BRÄCKE</t>
        </is>
      </c>
      <c r="F327" t="inlineStr">
        <is>
          <t>SCA</t>
        </is>
      </c>
      <c r="G327" t="n">
        <v>1.1</v>
      </c>
      <c r="H327" t="n">
        <v>0</v>
      </c>
      <c r="I327" t="n">
        <v>0</v>
      </c>
      <c r="J327" t="n">
        <v>1</v>
      </c>
      <c r="K327" t="n">
        <v>0</v>
      </c>
      <c r="L327" t="n">
        <v>0</v>
      </c>
      <c r="M327" t="n">
        <v>0</v>
      </c>
      <c r="N327" t="n">
        <v>0</v>
      </c>
      <c r="O327" t="n">
        <v>1</v>
      </c>
      <c r="P327" t="n">
        <v>0</v>
      </c>
      <c r="Q327" t="n">
        <v>1</v>
      </c>
      <c r="R327" s="2" t="inlineStr">
        <is>
          <t>Igelkott</t>
        </is>
      </c>
      <c r="S327">
        <f>HYPERLINK("https://klasma.github.io/Logging_2305/artfynd/A 58777-2023 artfynd.xlsx", "A 58777-2023")</f>
        <v/>
      </c>
      <c r="T327">
        <f>HYPERLINK("https://klasma.github.io/Logging_2305/kartor/A 58777-2023 karta.png", "A 58777-2023")</f>
        <v/>
      </c>
      <c r="V327">
        <f>HYPERLINK("https://klasma.github.io/Logging_2305/klagomål/A 58777-2023 FSC-klagomål.docx", "A 58777-2023")</f>
        <v/>
      </c>
      <c r="W327">
        <f>HYPERLINK("https://klasma.github.io/Logging_2305/klagomålsmail/A 58777-2023 FSC-klagomål mail.docx", "A 58777-2023")</f>
        <v/>
      </c>
      <c r="X327">
        <f>HYPERLINK("https://klasma.github.io/Logging_2305/tillsyn/A 58777-2023 tillsynsbegäran.docx", "A 58777-2023")</f>
        <v/>
      </c>
      <c r="Y327">
        <f>HYPERLINK("https://klasma.github.io/Logging_2305/tillsynsmail/A 58777-2023 tillsynsbegäran mail.docx", "A 58777-2023")</f>
        <v/>
      </c>
    </row>
    <row r="328" ht="15" customHeight="1">
      <c r="A328" t="inlineStr">
        <is>
          <t>A 50513-2023</t>
        </is>
      </c>
      <c r="B328" s="1" t="n">
        <v>45216</v>
      </c>
      <c r="C328" s="1" t="n">
        <v>46105</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18983-2025</t>
        </is>
      </c>
      <c r="B329" s="1" t="n">
        <v>45764.55618055556</v>
      </c>
      <c r="C329" s="1" t="n">
        <v>46105</v>
      </c>
      <c r="D329" t="inlineStr">
        <is>
          <t>JÄMTLANDS LÄN</t>
        </is>
      </c>
      <c r="E329" t="inlineStr">
        <is>
          <t>BRÄCKE</t>
        </is>
      </c>
      <c r="G329" t="n">
        <v>23.8</v>
      </c>
      <c r="H329" t="n">
        <v>1</v>
      </c>
      <c r="I329" t="n">
        <v>0</v>
      </c>
      <c r="J329" t="n">
        <v>0</v>
      </c>
      <c r="K329" t="n">
        <v>0</v>
      </c>
      <c r="L329" t="n">
        <v>0</v>
      </c>
      <c r="M329" t="n">
        <v>0</v>
      </c>
      <c r="N329" t="n">
        <v>0</v>
      </c>
      <c r="O329" t="n">
        <v>0</v>
      </c>
      <c r="P329" t="n">
        <v>0</v>
      </c>
      <c r="Q329" t="n">
        <v>1</v>
      </c>
      <c r="R329" s="2" t="inlineStr">
        <is>
          <t>Kungsfågel</t>
        </is>
      </c>
      <c r="S329">
        <f>HYPERLINK("https://klasma.github.io/Logging_2305/artfynd/A 18983-2025 artfynd.xlsx", "A 18983-2025")</f>
        <v/>
      </c>
      <c r="T329">
        <f>HYPERLINK("https://klasma.github.io/Logging_2305/kartor/A 18983-2025 karta.png", "A 18983-2025")</f>
        <v/>
      </c>
      <c r="V329">
        <f>HYPERLINK("https://klasma.github.io/Logging_2305/klagomål/A 18983-2025 FSC-klagomål.docx", "A 18983-2025")</f>
        <v/>
      </c>
      <c r="W329">
        <f>HYPERLINK("https://klasma.github.io/Logging_2305/klagomålsmail/A 18983-2025 FSC-klagomål mail.docx", "A 18983-2025")</f>
        <v/>
      </c>
      <c r="X329">
        <f>HYPERLINK("https://klasma.github.io/Logging_2305/tillsyn/A 18983-2025 tillsynsbegäran.docx", "A 18983-2025")</f>
        <v/>
      </c>
      <c r="Y329">
        <f>HYPERLINK("https://klasma.github.io/Logging_2305/tillsynsmail/A 18983-2025 tillsynsbegäran mail.docx", "A 18983-2025")</f>
        <v/>
      </c>
      <c r="Z329">
        <f>HYPERLINK("https://klasma.github.io/Logging_2305/fåglar/A 18983-2025 prioriterade fågelarter.docx", "A 18983-2025")</f>
        <v/>
      </c>
    </row>
    <row r="330" ht="15" customHeight="1">
      <c r="A330" t="inlineStr">
        <is>
          <t>A 4851-2025</t>
        </is>
      </c>
      <c r="B330" s="1" t="n">
        <v>45688.67340277778</v>
      </c>
      <c r="C330" s="1" t="n">
        <v>46105</v>
      </c>
      <c r="D330" t="inlineStr">
        <is>
          <t>JÄMTLANDS LÄN</t>
        </is>
      </c>
      <c r="E330" t="inlineStr">
        <is>
          <t>BRÄCKE</t>
        </is>
      </c>
      <c r="F330" t="inlineStr">
        <is>
          <t>SCA</t>
        </is>
      </c>
      <c r="G330" t="n">
        <v>9.9</v>
      </c>
      <c r="H330" t="n">
        <v>0</v>
      </c>
      <c r="I330" t="n">
        <v>0</v>
      </c>
      <c r="J330" t="n">
        <v>1</v>
      </c>
      <c r="K330" t="n">
        <v>0</v>
      </c>
      <c r="L330" t="n">
        <v>0</v>
      </c>
      <c r="M330" t="n">
        <v>0</v>
      </c>
      <c r="N330" t="n">
        <v>0</v>
      </c>
      <c r="O330" t="n">
        <v>1</v>
      </c>
      <c r="P330" t="n">
        <v>0</v>
      </c>
      <c r="Q330" t="n">
        <v>1</v>
      </c>
      <c r="R330" s="2" t="inlineStr">
        <is>
          <t>Lunglav</t>
        </is>
      </c>
      <c r="S330">
        <f>HYPERLINK("https://klasma.github.io/Logging_2305/artfynd/A 4851-2025 artfynd.xlsx", "A 4851-2025")</f>
        <v/>
      </c>
      <c r="T330">
        <f>HYPERLINK("https://klasma.github.io/Logging_2305/kartor/A 4851-2025 karta.png", "A 4851-2025")</f>
        <v/>
      </c>
      <c r="V330">
        <f>HYPERLINK("https://klasma.github.io/Logging_2305/klagomål/A 4851-2025 FSC-klagomål.docx", "A 4851-2025")</f>
        <v/>
      </c>
      <c r="W330">
        <f>HYPERLINK("https://klasma.github.io/Logging_2305/klagomålsmail/A 4851-2025 FSC-klagomål mail.docx", "A 4851-2025")</f>
        <v/>
      </c>
      <c r="X330">
        <f>HYPERLINK("https://klasma.github.io/Logging_2305/tillsyn/A 4851-2025 tillsynsbegäran.docx", "A 4851-2025")</f>
        <v/>
      </c>
      <c r="Y330">
        <f>HYPERLINK("https://klasma.github.io/Logging_2305/tillsynsmail/A 4851-2025 tillsynsbegäran mail.docx", "A 4851-2025")</f>
        <v/>
      </c>
    </row>
    <row r="331" ht="15" customHeight="1">
      <c r="A331" t="inlineStr">
        <is>
          <t>A 12525-2025</t>
        </is>
      </c>
      <c r="B331" s="1" t="n">
        <v>45730.67770833334</v>
      </c>
      <c r="C331" s="1" t="n">
        <v>46105</v>
      </c>
      <c r="D331" t="inlineStr">
        <is>
          <t>JÄMTLANDS LÄN</t>
        </is>
      </c>
      <c r="E331" t="inlineStr">
        <is>
          <t>BRÄCKE</t>
        </is>
      </c>
      <c r="F331" t="inlineStr">
        <is>
          <t>SCA</t>
        </is>
      </c>
      <c r="G331" t="n">
        <v>3.5</v>
      </c>
      <c r="H331" t="n">
        <v>1</v>
      </c>
      <c r="I331" t="n">
        <v>0</v>
      </c>
      <c r="J331" t="n">
        <v>0</v>
      </c>
      <c r="K331" t="n">
        <v>0</v>
      </c>
      <c r="L331" t="n">
        <v>0</v>
      </c>
      <c r="M331" t="n">
        <v>0</v>
      </c>
      <c r="N331" t="n">
        <v>0</v>
      </c>
      <c r="O331" t="n">
        <v>0</v>
      </c>
      <c r="P331" t="n">
        <v>0</v>
      </c>
      <c r="Q331" t="n">
        <v>1</v>
      </c>
      <c r="R331" s="2" t="inlineStr">
        <is>
          <t>Fläcknycklar</t>
        </is>
      </c>
      <c r="S331">
        <f>HYPERLINK("https://klasma.github.io/Logging_2305/artfynd/A 12525-2025 artfynd.xlsx", "A 12525-2025")</f>
        <v/>
      </c>
      <c r="T331">
        <f>HYPERLINK("https://klasma.github.io/Logging_2305/kartor/A 12525-2025 karta.png", "A 12525-2025")</f>
        <v/>
      </c>
      <c r="V331">
        <f>HYPERLINK("https://klasma.github.io/Logging_2305/klagomål/A 12525-2025 FSC-klagomål.docx", "A 12525-2025")</f>
        <v/>
      </c>
      <c r="W331">
        <f>HYPERLINK("https://klasma.github.io/Logging_2305/klagomålsmail/A 12525-2025 FSC-klagomål mail.docx", "A 12525-2025")</f>
        <v/>
      </c>
      <c r="X331">
        <f>HYPERLINK("https://klasma.github.io/Logging_2305/tillsyn/A 12525-2025 tillsynsbegäran.docx", "A 12525-2025")</f>
        <v/>
      </c>
      <c r="Y331">
        <f>HYPERLINK("https://klasma.github.io/Logging_2305/tillsynsmail/A 12525-2025 tillsynsbegäran mail.docx", "A 12525-2025")</f>
        <v/>
      </c>
    </row>
    <row r="332" ht="15" customHeight="1">
      <c r="A332" t="inlineStr">
        <is>
          <t>A 57797-2023</t>
        </is>
      </c>
      <c r="B332" s="1" t="n">
        <v>45246</v>
      </c>
      <c r="C332" s="1" t="n">
        <v>46105</v>
      </c>
      <c r="D332" t="inlineStr">
        <is>
          <t>JÄMTLANDS LÄN</t>
        </is>
      </c>
      <c r="E332" t="inlineStr">
        <is>
          <t>BRÄCKE</t>
        </is>
      </c>
      <c r="F332" t="inlineStr">
        <is>
          <t>SCA</t>
        </is>
      </c>
      <c r="G332" t="n">
        <v>2.7</v>
      </c>
      <c r="H332" t="n">
        <v>0</v>
      </c>
      <c r="I332" t="n">
        <v>1</v>
      </c>
      <c r="J332" t="n">
        <v>0</v>
      </c>
      <c r="K332" t="n">
        <v>0</v>
      </c>
      <c r="L332" t="n">
        <v>0</v>
      </c>
      <c r="M332" t="n">
        <v>0</v>
      </c>
      <c r="N332" t="n">
        <v>0</v>
      </c>
      <c r="O332" t="n">
        <v>0</v>
      </c>
      <c r="P332" t="n">
        <v>0</v>
      </c>
      <c r="Q332" t="n">
        <v>1</v>
      </c>
      <c r="R332" s="2" t="inlineStr">
        <is>
          <t>Korallblylav</t>
        </is>
      </c>
      <c r="S332">
        <f>HYPERLINK("https://klasma.github.io/Logging_2305/artfynd/A 57797-2023 artfynd.xlsx", "A 57797-2023")</f>
        <v/>
      </c>
      <c r="T332">
        <f>HYPERLINK("https://klasma.github.io/Logging_2305/kartor/A 57797-2023 karta.png", "A 57797-2023")</f>
        <v/>
      </c>
      <c r="V332">
        <f>HYPERLINK("https://klasma.github.io/Logging_2305/klagomål/A 57797-2023 FSC-klagomål.docx", "A 57797-2023")</f>
        <v/>
      </c>
      <c r="W332">
        <f>HYPERLINK("https://klasma.github.io/Logging_2305/klagomålsmail/A 57797-2023 FSC-klagomål mail.docx", "A 57797-2023")</f>
        <v/>
      </c>
      <c r="X332">
        <f>HYPERLINK("https://klasma.github.io/Logging_2305/tillsyn/A 57797-2023 tillsynsbegäran.docx", "A 57797-2023")</f>
        <v/>
      </c>
      <c r="Y332">
        <f>HYPERLINK("https://klasma.github.io/Logging_2305/tillsynsmail/A 57797-2023 tillsynsbegäran mail.docx", "A 57797-2023")</f>
        <v/>
      </c>
    </row>
    <row r="333" ht="15" customHeight="1">
      <c r="A333" t="inlineStr">
        <is>
          <t>A 724-2023</t>
        </is>
      </c>
      <c r="B333" s="1" t="n">
        <v>44930.94215277778</v>
      </c>
      <c r="C333" s="1" t="n">
        <v>46105</v>
      </c>
      <c r="D333" t="inlineStr">
        <is>
          <t>JÄMTLANDS LÄN</t>
        </is>
      </c>
      <c r="E333" t="inlineStr">
        <is>
          <t>BRÄCKE</t>
        </is>
      </c>
      <c r="F333" t="inlineStr">
        <is>
          <t>SCA</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724-2023 artfynd.xlsx", "A 724-2023")</f>
        <v/>
      </c>
      <c r="T333">
        <f>HYPERLINK("https://klasma.github.io/Logging_2305/kartor/A 724-2023 karta.png", "A 724-2023")</f>
        <v/>
      </c>
      <c r="V333">
        <f>HYPERLINK("https://klasma.github.io/Logging_2305/klagomål/A 724-2023 FSC-klagomål.docx", "A 724-2023")</f>
        <v/>
      </c>
      <c r="W333">
        <f>HYPERLINK("https://klasma.github.io/Logging_2305/klagomålsmail/A 724-2023 FSC-klagomål mail.docx", "A 724-2023")</f>
        <v/>
      </c>
      <c r="X333">
        <f>HYPERLINK("https://klasma.github.io/Logging_2305/tillsyn/A 724-2023 tillsynsbegäran.docx", "A 724-2023")</f>
        <v/>
      </c>
      <c r="Y333">
        <f>HYPERLINK("https://klasma.github.io/Logging_2305/tillsynsmail/A 724-2023 tillsynsbegäran mail.docx", "A 724-2023")</f>
        <v/>
      </c>
      <c r="Z333">
        <f>HYPERLINK("https://klasma.github.io/Logging_2305/fåglar/A 724-2023 prioriterade fågelarter.docx", "A 724-2023")</f>
        <v/>
      </c>
    </row>
    <row r="334" ht="15" customHeight="1">
      <c r="A334" t="inlineStr">
        <is>
          <t>A 24552-2022</t>
        </is>
      </c>
      <c r="B334" s="1" t="n">
        <v>44726</v>
      </c>
      <c r="C334" s="1" t="n">
        <v>46105</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11614-2024</t>
        </is>
      </c>
      <c r="B335" s="1" t="n">
        <v>45373.42134259259</v>
      </c>
      <c r="C335" s="1" t="n">
        <v>46105</v>
      </c>
      <c r="D335" t="inlineStr">
        <is>
          <t>JÄMTLANDS LÄN</t>
        </is>
      </c>
      <c r="E335" t="inlineStr">
        <is>
          <t>BRÄCKE</t>
        </is>
      </c>
      <c r="G335" t="n">
        <v>4.3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11614-2024 artfynd.xlsx", "A 11614-2024")</f>
        <v/>
      </c>
      <c r="T335">
        <f>HYPERLINK("https://klasma.github.io/Logging_2305/kartor/A 11614-2024 karta.png", "A 11614-2024")</f>
        <v/>
      </c>
      <c r="V335">
        <f>HYPERLINK("https://klasma.github.io/Logging_2305/klagomål/A 11614-2024 FSC-klagomål.docx", "A 11614-2024")</f>
        <v/>
      </c>
      <c r="W335">
        <f>HYPERLINK("https://klasma.github.io/Logging_2305/klagomålsmail/A 11614-2024 FSC-klagomål mail.docx", "A 11614-2024")</f>
        <v/>
      </c>
      <c r="X335">
        <f>HYPERLINK("https://klasma.github.io/Logging_2305/tillsyn/A 11614-2024 tillsynsbegäran.docx", "A 11614-2024")</f>
        <v/>
      </c>
      <c r="Y335">
        <f>HYPERLINK("https://klasma.github.io/Logging_2305/tillsynsmail/A 11614-2024 tillsynsbegäran mail.docx", "A 11614-2024")</f>
        <v/>
      </c>
    </row>
    <row r="336" ht="15" customHeight="1">
      <c r="A336" t="inlineStr">
        <is>
          <t>A 35023-2022</t>
        </is>
      </c>
      <c r="B336" s="1" t="n">
        <v>44796</v>
      </c>
      <c r="C336" s="1" t="n">
        <v>46105</v>
      </c>
      <c r="D336" t="inlineStr">
        <is>
          <t>JÄMTLANDS LÄN</t>
        </is>
      </c>
      <c r="E336" t="inlineStr">
        <is>
          <t>BRÄCKE</t>
        </is>
      </c>
      <c r="F336" t="inlineStr">
        <is>
          <t>SCA</t>
        </is>
      </c>
      <c r="G336" t="n">
        <v>4.8</v>
      </c>
      <c r="H336" t="n">
        <v>0</v>
      </c>
      <c r="I336" t="n">
        <v>0</v>
      </c>
      <c r="J336" t="n">
        <v>1</v>
      </c>
      <c r="K336" t="n">
        <v>0</v>
      </c>
      <c r="L336" t="n">
        <v>0</v>
      </c>
      <c r="M336" t="n">
        <v>0</v>
      </c>
      <c r="N336" t="n">
        <v>0</v>
      </c>
      <c r="O336" t="n">
        <v>1</v>
      </c>
      <c r="P336" t="n">
        <v>0</v>
      </c>
      <c r="Q336" t="n">
        <v>1</v>
      </c>
      <c r="R336" s="2" t="inlineStr">
        <is>
          <t>Dvärgbägarlav</t>
        </is>
      </c>
      <c r="S336">
        <f>HYPERLINK("https://klasma.github.io/Logging_2305/artfynd/A 35023-2022 artfynd.xlsx", "A 35023-2022")</f>
        <v/>
      </c>
      <c r="T336">
        <f>HYPERLINK("https://klasma.github.io/Logging_2305/kartor/A 35023-2022 karta.png", "A 35023-2022")</f>
        <v/>
      </c>
      <c r="V336">
        <f>HYPERLINK("https://klasma.github.io/Logging_2305/klagomål/A 35023-2022 FSC-klagomål.docx", "A 35023-2022")</f>
        <v/>
      </c>
      <c r="W336">
        <f>HYPERLINK("https://klasma.github.io/Logging_2305/klagomålsmail/A 35023-2022 FSC-klagomål mail.docx", "A 35023-2022")</f>
        <v/>
      </c>
      <c r="X336">
        <f>HYPERLINK("https://klasma.github.io/Logging_2305/tillsyn/A 35023-2022 tillsynsbegäran.docx", "A 35023-2022")</f>
        <v/>
      </c>
      <c r="Y336">
        <f>HYPERLINK("https://klasma.github.io/Logging_2305/tillsynsmail/A 35023-2022 tillsynsbegäran mail.docx", "A 35023-2022")</f>
        <v/>
      </c>
    </row>
    <row r="337" ht="15" customHeight="1">
      <c r="A337" t="inlineStr">
        <is>
          <t>A 698-2025</t>
        </is>
      </c>
      <c r="B337" s="1" t="n">
        <v>45665.34416666667</v>
      </c>
      <c r="C337" s="1" t="n">
        <v>46105</v>
      </c>
      <c r="D337" t="inlineStr">
        <is>
          <t>JÄMTLANDS LÄN</t>
        </is>
      </c>
      <c r="E337" t="inlineStr">
        <is>
          <t>BRÄCKE</t>
        </is>
      </c>
      <c r="F337" t="inlineStr">
        <is>
          <t>SCA</t>
        </is>
      </c>
      <c r="G337" t="n">
        <v>4.6</v>
      </c>
      <c r="H337" t="n">
        <v>0</v>
      </c>
      <c r="I337" t="n">
        <v>0</v>
      </c>
      <c r="J337" t="n">
        <v>1</v>
      </c>
      <c r="K337" t="n">
        <v>0</v>
      </c>
      <c r="L337" t="n">
        <v>0</v>
      </c>
      <c r="M337" t="n">
        <v>0</v>
      </c>
      <c r="N337" t="n">
        <v>0</v>
      </c>
      <c r="O337" t="n">
        <v>1</v>
      </c>
      <c r="P337" t="n">
        <v>0</v>
      </c>
      <c r="Q337" t="n">
        <v>1</v>
      </c>
      <c r="R337" s="2" t="inlineStr">
        <is>
          <t>Lunglav</t>
        </is>
      </c>
      <c r="S337">
        <f>HYPERLINK("https://klasma.github.io/Logging_2305/artfynd/A 698-2025 artfynd.xlsx", "A 698-2025")</f>
        <v/>
      </c>
      <c r="T337">
        <f>HYPERLINK("https://klasma.github.io/Logging_2305/kartor/A 698-2025 karta.png", "A 698-2025")</f>
        <v/>
      </c>
      <c r="V337">
        <f>HYPERLINK("https://klasma.github.io/Logging_2305/klagomål/A 698-2025 FSC-klagomål.docx", "A 698-2025")</f>
        <v/>
      </c>
      <c r="W337">
        <f>HYPERLINK("https://klasma.github.io/Logging_2305/klagomålsmail/A 698-2025 FSC-klagomål mail.docx", "A 698-2025")</f>
        <v/>
      </c>
      <c r="X337">
        <f>HYPERLINK("https://klasma.github.io/Logging_2305/tillsyn/A 698-2025 tillsynsbegäran.docx", "A 698-2025")</f>
        <v/>
      </c>
      <c r="Y337">
        <f>HYPERLINK("https://klasma.github.io/Logging_2305/tillsynsmail/A 698-2025 tillsynsbegäran mail.docx", "A 698-2025")</f>
        <v/>
      </c>
    </row>
    <row r="338" ht="15" customHeight="1">
      <c r="A338" t="inlineStr">
        <is>
          <t>A 11549-2025</t>
        </is>
      </c>
      <c r="B338" s="1" t="n">
        <v>45727.34460648148</v>
      </c>
      <c r="C338" s="1" t="n">
        <v>46105</v>
      </c>
      <c r="D338" t="inlineStr">
        <is>
          <t>JÄMTLANDS LÄN</t>
        </is>
      </c>
      <c r="E338" t="inlineStr">
        <is>
          <t>BRÄCKE</t>
        </is>
      </c>
      <c r="F338" t="inlineStr">
        <is>
          <t>SCA</t>
        </is>
      </c>
      <c r="G338" t="n">
        <v>6.4</v>
      </c>
      <c r="H338" t="n">
        <v>0</v>
      </c>
      <c r="I338" t="n">
        <v>0</v>
      </c>
      <c r="J338" t="n">
        <v>1</v>
      </c>
      <c r="K338" t="n">
        <v>0</v>
      </c>
      <c r="L338" t="n">
        <v>0</v>
      </c>
      <c r="M338" t="n">
        <v>0</v>
      </c>
      <c r="N338" t="n">
        <v>0</v>
      </c>
      <c r="O338" t="n">
        <v>1</v>
      </c>
      <c r="P338" t="n">
        <v>0</v>
      </c>
      <c r="Q338" t="n">
        <v>1</v>
      </c>
      <c r="R338" s="2" t="inlineStr">
        <is>
          <t>Vedtrappmossa</t>
        </is>
      </c>
      <c r="S338">
        <f>HYPERLINK("https://klasma.github.io/Logging_2305/artfynd/A 11549-2025 artfynd.xlsx", "A 11549-2025")</f>
        <v/>
      </c>
      <c r="T338">
        <f>HYPERLINK("https://klasma.github.io/Logging_2305/kartor/A 11549-2025 karta.png", "A 11549-2025")</f>
        <v/>
      </c>
      <c r="V338">
        <f>HYPERLINK("https://klasma.github.io/Logging_2305/klagomål/A 11549-2025 FSC-klagomål.docx", "A 11549-2025")</f>
        <v/>
      </c>
      <c r="W338">
        <f>HYPERLINK("https://klasma.github.io/Logging_2305/klagomålsmail/A 11549-2025 FSC-klagomål mail.docx", "A 11549-2025")</f>
        <v/>
      </c>
      <c r="X338">
        <f>HYPERLINK("https://klasma.github.io/Logging_2305/tillsyn/A 11549-2025 tillsynsbegäran.docx", "A 11549-2025")</f>
        <v/>
      </c>
      <c r="Y338">
        <f>HYPERLINK("https://klasma.github.io/Logging_2305/tillsynsmail/A 11549-2025 tillsynsbegäran mail.docx", "A 11549-2025")</f>
        <v/>
      </c>
    </row>
    <row r="339" ht="15" customHeight="1">
      <c r="A339" t="inlineStr">
        <is>
          <t>A 33479-2024</t>
        </is>
      </c>
      <c r="B339" s="1" t="n">
        <v>45519.60824074074</v>
      </c>
      <c r="C339" s="1" t="n">
        <v>46105</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HYPERLINK("https://klasma.github.io/Logging_2305/artfynd/A 33479-2024 artfynd.xlsx", "A 33479-2024")</f>
        <v/>
      </c>
      <c r="T339">
        <f>HYPERLINK("https://klasma.github.io/Logging_2305/kartor/A 33479-2024 karta.png", "A 33479-2024")</f>
        <v/>
      </c>
      <c r="V339">
        <f>HYPERLINK("https://klasma.github.io/Logging_2305/klagomål/A 33479-2024 FSC-klagomål.docx", "A 33479-2024")</f>
        <v/>
      </c>
      <c r="W339">
        <f>HYPERLINK("https://klasma.github.io/Logging_2305/klagomålsmail/A 33479-2024 FSC-klagomål mail.docx", "A 33479-2024")</f>
        <v/>
      </c>
      <c r="X339">
        <f>HYPERLINK("https://klasma.github.io/Logging_2305/tillsyn/A 33479-2024 tillsynsbegäran.docx", "A 33479-2024")</f>
        <v/>
      </c>
      <c r="Y339">
        <f>HYPERLINK("https://klasma.github.io/Logging_2305/tillsynsmail/A 33479-2024 tillsynsbegäran mail.docx", "A 33479-2024")</f>
        <v/>
      </c>
    </row>
    <row r="340" ht="15" customHeight="1">
      <c r="A340" t="inlineStr">
        <is>
          <t>A 57553-2024</t>
        </is>
      </c>
      <c r="B340" s="1" t="n">
        <v>45630.44898148148</v>
      </c>
      <c r="C340" s="1" t="n">
        <v>46105</v>
      </c>
      <c r="D340" t="inlineStr">
        <is>
          <t>JÄMTLANDS LÄN</t>
        </is>
      </c>
      <c r="E340" t="inlineStr">
        <is>
          <t>BRÄCKE</t>
        </is>
      </c>
      <c r="F340" t="inlineStr">
        <is>
          <t>SCA</t>
        </is>
      </c>
      <c r="G340" t="n">
        <v>8</v>
      </c>
      <c r="H340" t="n">
        <v>0</v>
      </c>
      <c r="I340" t="n">
        <v>0</v>
      </c>
      <c r="J340" t="n">
        <v>1</v>
      </c>
      <c r="K340" t="n">
        <v>0</v>
      </c>
      <c r="L340" t="n">
        <v>0</v>
      </c>
      <c r="M340" t="n">
        <v>0</v>
      </c>
      <c r="N340" t="n">
        <v>0</v>
      </c>
      <c r="O340" t="n">
        <v>1</v>
      </c>
      <c r="P340" t="n">
        <v>0</v>
      </c>
      <c r="Q340" t="n">
        <v>1</v>
      </c>
      <c r="R340" s="2" t="inlineStr">
        <is>
          <t>Lunglav</t>
        </is>
      </c>
      <c r="S340">
        <f>HYPERLINK("https://klasma.github.io/Logging_2305/artfynd/A 57553-2024 artfynd.xlsx", "A 57553-2024")</f>
        <v/>
      </c>
      <c r="T340">
        <f>HYPERLINK("https://klasma.github.io/Logging_2305/kartor/A 57553-2024 karta.png", "A 57553-2024")</f>
        <v/>
      </c>
      <c r="V340">
        <f>HYPERLINK("https://klasma.github.io/Logging_2305/klagomål/A 57553-2024 FSC-klagomål.docx", "A 57553-2024")</f>
        <v/>
      </c>
      <c r="W340">
        <f>HYPERLINK("https://klasma.github.io/Logging_2305/klagomålsmail/A 57553-2024 FSC-klagomål mail.docx", "A 57553-2024")</f>
        <v/>
      </c>
      <c r="X340">
        <f>HYPERLINK("https://klasma.github.io/Logging_2305/tillsyn/A 57553-2024 tillsynsbegäran.docx", "A 57553-2024")</f>
        <v/>
      </c>
      <c r="Y340">
        <f>HYPERLINK("https://klasma.github.io/Logging_2305/tillsynsmail/A 57553-2024 tillsynsbegäran mail.docx", "A 57553-2024")</f>
        <v/>
      </c>
    </row>
    <row r="341" ht="15" customHeight="1">
      <c r="A341" t="inlineStr">
        <is>
          <t>A 14374-2024</t>
        </is>
      </c>
      <c r="B341" s="1" t="n">
        <v>45393</v>
      </c>
      <c r="C341" s="1" t="n">
        <v>46105</v>
      </c>
      <c r="D341" t="inlineStr">
        <is>
          <t>JÄMTLANDS LÄN</t>
        </is>
      </c>
      <c r="E341" t="inlineStr">
        <is>
          <t>BRÄCKE</t>
        </is>
      </c>
      <c r="F341" t="inlineStr">
        <is>
          <t>SCA</t>
        </is>
      </c>
      <c r="G341" t="n">
        <v>0.8</v>
      </c>
      <c r="H341" t="n">
        <v>1</v>
      </c>
      <c r="I341" t="n">
        <v>0</v>
      </c>
      <c r="J341" t="n">
        <v>1</v>
      </c>
      <c r="K341" t="n">
        <v>0</v>
      </c>
      <c r="L341" t="n">
        <v>0</v>
      </c>
      <c r="M341" t="n">
        <v>0</v>
      </c>
      <c r="N341" t="n">
        <v>0</v>
      </c>
      <c r="O341" t="n">
        <v>1</v>
      </c>
      <c r="P341" t="n">
        <v>0</v>
      </c>
      <c r="Q341" t="n">
        <v>1</v>
      </c>
      <c r="R341" s="2" t="inlineStr">
        <is>
          <t>Kungsörn</t>
        </is>
      </c>
      <c r="S341">
        <f>HYPERLINK("https://klasma.github.io/Logging_2305/artfynd/A 14374-2024 artfynd.xlsx", "A 14374-2024")</f>
        <v/>
      </c>
      <c r="T341">
        <f>HYPERLINK("https://klasma.github.io/Logging_2305/kartor/A 14374-2024 karta.png", "A 14374-2024")</f>
        <v/>
      </c>
      <c r="V341">
        <f>HYPERLINK("https://klasma.github.io/Logging_2305/klagomål/A 14374-2024 FSC-klagomål.docx", "A 14374-2024")</f>
        <v/>
      </c>
      <c r="W341">
        <f>HYPERLINK("https://klasma.github.io/Logging_2305/klagomålsmail/A 14374-2024 FSC-klagomål mail.docx", "A 14374-2024")</f>
        <v/>
      </c>
      <c r="X341">
        <f>HYPERLINK("https://klasma.github.io/Logging_2305/tillsyn/A 14374-2024 tillsynsbegäran.docx", "A 14374-2024")</f>
        <v/>
      </c>
      <c r="Y341">
        <f>HYPERLINK("https://klasma.github.io/Logging_2305/tillsynsmail/A 14374-2024 tillsynsbegäran mail.docx", "A 14374-2024")</f>
        <v/>
      </c>
      <c r="Z341">
        <f>HYPERLINK("https://klasma.github.io/Logging_2305/fåglar/A 14374-2024 prioriterade fågelarter.docx", "A 14374-2024")</f>
        <v/>
      </c>
    </row>
    <row r="342" ht="15" customHeight="1">
      <c r="A342" t="inlineStr">
        <is>
          <t>A 12296-2025</t>
        </is>
      </c>
      <c r="B342" s="1" t="n">
        <v>45729.69829861111</v>
      </c>
      <c r="C342" s="1" t="n">
        <v>46105</v>
      </c>
      <c r="D342" t="inlineStr">
        <is>
          <t>JÄMTLANDS LÄN</t>
        </is>
      </c>
      <c r="E342" t="inlineStr">
        <is>
          <t>BRÄCKE</t>
        </is>
      </c>
      <c r="F342" t="inlineStr">
        <is>
          <t>SCA</t>
        </is>
      </c>
      <c r="G342" t="n">
        <v>2.2</v>
      </c>
      <c r="H342" t="n">
        <v>0</v>
      </c>
      <c r="I342" t="n">
        <v>0</v>
      </c>
      <c r="J342" t="n">
        <v>1</v>
      </c>
      <c r="K342" t="n">
        <v>0</v>
      </c>
      <c r="L342" t="n">
        <v>0</v>
      </c>
      <c r="M342" t="n">
        <v>0</v>
      </c>
      <c r="N342" t="n">
        <v>0</v>
      </c>
      <c r="O342" t="n">
        <v>1</v>
      </c>
      <c r="P342" t="n">
        <v>0</v>
      </c>
      <c r="Q342" t="n">
        <v>1</v>
      </c>
      <c r="R342" s="2" t="inlineStr">
        <is>
          <t>Lunglav</t>
        </is>
      </c>
      <c r="S342">
        <f>HYPERLINK("https://klasma.github.io/Logging_2305/artfynd/A 12296-2025 artfynd.xlsx", "A 12296-2025")</f>
        <v/>
      </c>
      <c r="T342">
        <f>HYPERLINK("https://klasma.github.io/Logging_2305/kartor/A 12296-2025 karta.png", "A 12296-2025")</f>
        <v/>
      </c>
      <c r="V342">
        <f>HYPERLINK("https://klasma.github.io/Logging_2305/klagomål/A 12296-2025 FSC-klagomål.docx", "A 12296-2025")</f>
        <v/>
      </c>
      <c r="W342">
        <f>HYPERLINK("https://klasma.github.io/Logging_2305/klagomålsmail/A 12296-2025 FSC-klagomål mail.docx", "A 12296-2025")</f>
        <v/>
      </c>
      <c r="X342">
        <f>HYPERLINK("https://klasma.github.io/Logging_2305/tillsyn/A 12296-2025 tillsynsbegäran.docx", "A 12296-2025")</f>
        <v/>
      </c>
      <c r="Y342">
        <f>HYPERLINK("https://klasma.github.io/Logging_2305/tillsynsmail/A 12296-2025 tillsynsbegäran mail.docx", "A 12296-2025")</f>
        <v/>
      </c>
    </row>
    <row r="343" ht="15" customHeight="1">
      <c r="A343" t="inlineStr">
        <is>
          <t>A 56156-2024</t>
        </is>
      </c>
      <c r="B343" s="1" t="n">
        <v>45624.53180555555</v>
      </c>
      <c r="C343" s="1" t="n">
        <v>46105</v>
      </c>
      <c r="D343" t="inlineStr">
        <is>
          <t>JÄMTLANDS LÄN</t>
        </is>
      </c>
      <c r="E343" t="inlineStr">
        <is>
          <t>BRÄCKE</t>
        </is>
      </c>
      <c r="F343" t="inlineStr">
        <is>
          <t>SCA</t>
        </is>
      </c>
      <c r="G343" t="n">
        <v>4.4</v>
      </c>
      <c r="H343" t="n">
        <v>0</v>
      </c>
      <c r="I343" t="n">
        <v>0</v>
      </c>
      <c r="J343" t="n">
        <v>1</v>
      </c>
      <c r="K343" t="n">
        <v>0</v>
      </c>
      <c r="L343" t="n">
        <v>0</v>
      </c>
      <c r="M343" t="n">
        <v>0</v>
      </c>
      <c r="N343" t="n">
        <v>0</v>
      </c>
      <c r="O343" t="n">
        <v>1</v>
      </c>
      <c r="P343" t="n">
        <v>0</v>
      </c>
      <c r="Q343" t="n">
        <v>1</v>
      </c>
      <c r="R343" s="2" t="inlineStr">
        <is>
          <t>Flattoppad klubbsvamp</t>
        </is>
      </c>
      <c r="S343">
        <f>HYPERLINK("https://klasma.github.io/Logging_2305/artfynd/A 56156-2024 artfynd.xlsx", "A 56156-2024")</f>
        <v/>
      </c>
      <c r="T343">
        <f>HYPERLINK("https://klasma.github.io/Logging_2305/kartor/A 56156-2024 karta.png", "A 56156-2024")</f>
        <v/>
      </c>
      <c r="V343">
        <f>HYPERLINK("https://klasma.github.io/Logging_2305/klagomål/A 56156-2024 FSC-klagomål.docx", "A 56156-2024")</f>
        <v/>
      </c>
      <c r="W343">
        <f>HYPERLINK("https://klasma.github.io/Logging_2305/klagomålsmail/A 56156-2024 FSC-klagomål mail.docx", "A 56156-2024")</f>
        <v/>
      </c>
      <c r="X343">
        <f>HYPERLINK("https://klasma.github.io/Logging_2305/tillsyn/A 56156-2024 tillsynsbegäran.docx", "A 56156-2024")</f>
        <v/>
      </c>
      <c r="Y343">
        <f>HYPERLINK("https://klasma.github.io/Logging_2305/tillsynsmail/A 56156-2024 tillsynsbegäran mail.docx", "A 56156-2024")</f>
        <v/>
      </c>
    </row>
    <row r="344" ht="15" customHeight="1">
      <c r="A344" t="inlineStr">
        <is>
          <t>A 789-2025</t>
        </is>
      </c>
      <c r="B344" s="1" t="n">
        <v>45665.51072916666</v>
      </c>
      <c r="C344" s="1" t="n">
        <v>46105</v>
      </c>
      <c r="D344" t="inlineStr">
        <is>
          <t>JÄMTLANDS LÄN</t>
        </is>
      </c>
      <c r="E344" t="inlineStr">
        <is>
          <t>BRÄCKE</t>
        </is>
      </c>
      <c r="F344" t="inlineStr">
        <is>
          <t>SCA</t>
        </is>
      </c>
      <c r="G344" t="n">
        <v>2.6</v>
      </c>
      <c r="H344" t="n">
        <v>0</v>
      </c>
      <c r="I344" t="n">
        <v>0</v>
      </c>
      <c r="J344" t="n">
        <v>1</v>
      </c>
      <c r="K344" t="n">
        <v>0</v>
      </c>
      <c r="L344" t="n">
        <v>0</v>
      </c>
      <c r="M344" t="n">
        <v>0</v>
      </c>
      <c r="N344" t="n">
        <v>0</v>
      </c>
      <c r="O344" t="n">
        <v>1</v>
      </c>
      <c r="P344" t="n">
        <v>0</v>
      </c>
      <c r="Q344" t="n">
        <v>1</v>
      </c>
      <c r="R344" s="2" t="inlineStr">
        <is>
          <t>Lunglav</t>
        </is>
      </c>
      <c r="S344">
        <f>HYPERLINK("https://klasma.github.io/Logging_2305/artfynd/A 789-2025 artfynd.xlsx", "A 789-2025")</f>
        <v/>
      </c>
      <c r="T344">
        <f>HYPERLINK("https://klasma.github.io/Logging_2305/kartor/A 789-2025 karta.png", "A 789-2025")</f>
        <v/>
      </c>
      <c r="V344">
        <f>HYPERLINK("https://klasma.github.io/Logging_2305/klagomål/A 789-2025 FSC-klagomål.docx", "A 789-2025")</f>
        <v/>
      </c>
      <c r="W344">
        <f>HYPERLINK("https://klasma.github.io/Logging_2305/klagomålsmail/A 789-2025 FSC-klagomål mail.docx", "A 789-2025")</f>
        <v/>
      </c>
      <c r="X344">
        <f>HYPERLINK("https://klasma.github.io/Logging_2305/tillsyn/A 789-2025 tillsynsbegäran.docx", "A 789-2025")</f>
        <v/>
      </c>
      <c r="Y344">
        <f>HYPERLINK("https://klasma.github.io/Logging_2305/tillsynsmail/A 789-2025 tillsynsbegäran mail.docx", "A 789-2025")</f>
        <v/>
      </c>
    </row>
    <row r="345" ht="15" customHeight="1">
      <c r="A345" t="inlineStr">
        <is>
          <t>A 40869-2024</t>
        </is>
      </c>
      <c r="B345" s="1" t="n">
        <v>45558.59409722222</v>
      </c>
      <c r="C345" s="1" t="n">
        <v>46105</v>
      </c>
      <c r="D345" t="inlineStr">
        <is>
          <t>JÄMTLANDS LÄN</t>
        </is>
      </c>
      <c r="E345" t="inlineStr">
        <is>
          <t>BRÄCKE</t>
        </is>
      </c>
      <c r="F345" t="inlineStr">
        <is>
          <t>Naturvårdsverket</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HYPERLINK("https://klasma.github.io/Logging_2305/artfynd/A 40869-2024 artfynd.xlsx", "A 40869-2024")</f>
        <v/>
      </c>
      <c r="T345">
        <f>HYPERLINK("https://klasma.github.io/Logging_2305/kartor/A 40869-2024 karta.png", "A 40869-2024")</f>
        <v/>
      </c>
      <c r="V345">
        <f>HYPERLINK("https://klasma.github.io/Logging_2305/klagomål/A 40869-2024 FSC-klagomål.docx", "A 40869-2024")</f>
        <v/>
      </c>
      <c r="W345">
        <f>HYPERLINK("https://klasma.github.io/Logging_2305/klagomålsmail/A 40869-2024 FSC-klagomål mail.docx", "A 40869-2024")</f>
        <v/>
      </c>
      <c r="X345">
        <f>HYPERLINK("https://klasma.github.io/Logging_2305/tillsyn/A 40869-2024 tillsynsbegäran.docx", "A 40869-2024")</f>
        <v/>
      </c>
      <c r="Y345">
        <f>HYPERLINK("https://klasma.github.io/Logging_2305/tillsynsmail/A 40869-2024 tillsynsbegäran mail.docx", "A 40869-2024")</f>
        <v/>
      </c>
    </row>
    <row r="346" ht="15" customHeight="1">
      <c r="A346" t="inlineStr">
        <is>
          <t>A 20866-2025</t>
        </is>
      </c>
      <c r="B346" s="1" t="n">
        <v>45777.34456018519</v>
      </c>
      <c r="C346" s="1" t="n">
        <v>46105</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21428-2025</t>
        </is>
      </c>
      <c r="B347" s="1" t="n">
        <v>45782.51072916666</v>
      </c>
      <c r="C347" s="1" t="n">
        <v>46105</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HYPERLINK("https://klasma.github.io/Logging_2305/artfynd/A 21428-2025 artfynd.xlsx", "A 21428-2025")</f>
        <v/>
      </c>
      <c r="T347">
        <f>HYPERLINK("https://klasma.github.io/Logging_2305/kartor/A 21428-2025 karta.png", "A 21428-2025")</f>
        <v/>
      </c>
      <c r="V347">
        <f>HYPERLINK("https://klasma.github.io/Logging_2305/klagomål/A 21428-2025 FSC-klagomål.docx", "A 21428-2025")</f>
        <v/>
      </c>
      <c r="W347">
        <f>HYPERLINK("https://klasma.github.io/Logging_2305/klagomålsmail/A 21428-2025 FSC-klagomål mail.docx", "A 21428-2025")</f>
        <v/>
      </c>
      <c r="X347">
        <f>HYPERLINK("https://klasma.github.io/Logging_2305/tillsyn/A 21428-2025 tillsynsbegäran.docx", "A 21428-2025")</f>
        <v/>
      </c>
      <c r="Y347">
        <f>HYPERLINK("https://klasma.github.io/Logging_2305/tillsynsmail/A 21428-2025 tillsynsbegäran mail.docx", "A 21428-2025")</f>
        <v/>
      </c>
    </row>
    <row r="348" ht="15" customHeight="1">
      <c r="A348" t="inlineStr">
        <is>
          <t>A 22651-2025</t>
        </is>
      </c>
      <c r="B348" s="1" t="n">
        <v>45789.46907407408</v>
      </c>
      <c r="C348" s="1" t="n">
        <v>46105</v>
      </c>
      <c r="D348" t="inlineStr">
        <is>
          <t>JÄMTLANDS LÄN</t>
        </is>
      </c>
      <c r="E348" t="inlineStr">
        <is>
          <t>BRÄCKE</t>
        </is>
      </c>
      <c r="F348" t="inlineStr">
        <is>
          <t>SCA</t>
        </is>
      </c>
      <c r="G348" t="n">
        <v>2.3</v>
      </c>
      <c r="H348" t="n">
        <v>1</v>
      </c>
      <c r="I348" t="n">
        <v>1</v>
      </c>
      <c r="J348" t="n">
        <v>0</v>
      </c>
      <c r="K348" t="n">
        <v>0</v>
      </c>
      <c r="L348" t="n">
        <v>0</v>
      </c>
      <c r="M348" t="n">
        <v>0</v>
      </c>
      <c r="N348" t="n">
        <v>0</v>
      </c>
      <c r="O348" t="n">
        <v>0</v>
      </c>
      <c r="P348" t="n">
        <v>0</v>
      </c>
      <c r="Q348" t="n">
        <v>1</v>
      </c>
      <c r="R348" s="2" t="inlineStr">
        <is>
          <t>Guckusko</t>
        </is>
      </c>
      <c r="S348">
        <f>HYPERLINK("https://klasma.github.io/Logging_2305/artfynd/A 22651-2025 artfynd.xlsx", "A 22651-2025")</f>
        <v/>
      </c>
      <c r="T348">
        <f>HYPERLINK("https://klasma.github.io/Logging_2305/kartor/A 22651-2025 karta.png", "A 22651-2025")</f>
        <v/>
      </c>
      <c r="V348">
        <f>HYPERLINK("https://klasma.github.io/Logging_2305/klagomål/A 22651-2025 FSC-klagomål.docx", "A 22651-2025")</f>
        <v/>
      </c>
      <c r="W348">
        <f>HYPERLINK("https://klasma.github.io/Logging_2305/klagomålsmail/A 22651-2025 FSC-klagomål mail.docx", "A 22651-2025")</f>
        <v/>
      </c>
      <c r="X348">
        <f>HYPERLINK("https://klasma.github.io/Logging_2305/tillsyn/A 22651-2025 tillsynsbegäran.docx", "A 22651-2025")</f>
        <v/>
      </c>
      <c r="Y348">
        <f>HYPERLINK("https://klasma.github.io/Logging_2305/tillsynsmail/A 22651-2025 tillsynsbegäran mail.docx", "A 22651-2025")</f>
        <v/>
      </c>
    </row>
    <row r="349" ht="15" customHeight="1">
      <c r="A349" t="inlineStr">
        <is>
          <t>A 23460-2025</t>
        </is>
      </c>
      <c r="B349" s="1" t="n">
        <v>45792.42776620371</v>
      </c>
      <c r="C349" s="1" t="n">
        <v>46105</v>
      </c>
      <c r="D349" t="inlineStr">
        <is>
          <t>JÄMTLANDS LÄN</t>
        </is>
      </c>
      <c r="E349" t="inlineStr">
        <is>
          <t>BRÄCKE</t>
        </is>
      </c>
      <c r="F349" t="inlineStr">
        <is>
          <t>SCA</t>
        </is>
      </c>
      <c r="G349" t="n">
        <v>2.3</v>
      </c>
      <c r="H349" t="n">
        <v>0</v>
      </c>
      <c r="I349" t="n">
        <v>1</v>
      </c>
      <c r="J349" t="n">
        <v>0</v>
      </c>
      <c r="K349" t="n">
        <v>0</v>
      </c>
      <c r="L349" t="n">
        <v>0</v>
      </c>
      <c r="M349" t="n">
        <v>0</v>
      </c>
      <c r="N349" t="n">
        <v>0</v>
      </c>
      <c r="O349" t="n">
        <v>0</v>
      </c>
      <c r="P349" t="n">
        <v>0</v>
      </c>
      <c r="Q349" t="n">
        <v>1</v>
      </c>
      <c r="R349" s="2" t="inlineStr">
        <is>
          <t>Underviol</t>
        </is>
      </c>
      <c r="S349">
        <f>HYPERLINK("https://klasma.github.io/Logging_2305/artfynd/A 23460-2025 artfynd.xlsx", "A 23460-2025")</f>
        <v/>
      </c>
      <c r="T349">
        <f>HYPERLINK("https://klasma.github.io/Logging_2305/kartor/A 23460-2025 karta.png", "A 23460-2025")</f>
        <v/>
      </c>
      <c r="V349">
        <f>HYPERLINK("https://klasma.github.io/Logging_2305/klagomål/A 23460-2025 FSC-klagomål.docx", "A 23460-2025")</f>
        <v/>
      </c>
      <c r="W349">
        <f>HYPERLINK("https://klasma.github.io/Logging_2305/klagomålsmail/A 23460-2025 FSC-klagomål mail.docx", "A 23460-2025")</f>
        <v/>
      </c>
      <c r="X349">
        <f>HYPERLINK("https://klasma.github.io/Logging_2305/tillsyn/A 23460-2025 tillsynsbegäran.docx", "A 23460-2025")</f>
        <v/>
      </c>
      <c r="Y349">
        <f>HYPERLINK("https://klasma.github.io/Logging_2305/tillsynsmail/A 23460-2025 tillsynsbegäran mail.docx", "A 23460-2025")</f>
        <v/>
      </c>
    </row>
    <row r="350" ht="15" customHeight="1">
      <c r="A350" t="inlineStr">
        <is>
          <t>A 24094-2025</t>
        </is>
      </c>
      <c r="B350" s="1" t="n">
        <v>45796.57335648148</v>
      </c>
      <c r="C350" s="1" t="n">
        <v>46105</v>
      </c>
      <c r="D350" t="inlineStr">
        <is>
          <t>JÄMTLANDS LÄN</t>
        </is>
      </c>
      <c r="E350" t="inlineStr">
        <is>
          <t>BRÄCKE</t>
        </is>
      </c>
      <c r="F350" t="inlineStr">
        <is>
          <t>SCA</t>
        </is>
      </c>
      <c r="G350" t="n">
        <v>4.1</v>
      </c>
      <c r="H350" t="n">
        <v>0</v>
      </c>
      <c r="I350" t="n">
        <v>0</v>
      </c>
      <c r="J350" t="n">
        <v>1</v>
      </c>
      <c r="K350" t="n">
        <v>0</v>
      </c>
      <c r="L350" t="n">
        <v>0</v>
      </c>
      <c r="M350" t="n">
        <v>0</v>
      </c>
      <c r="N350" t="n">
        <v>0</v>
      </c>
      <c r="O350" t="n">
        <v>1</v>
      </c>
      <c r="P350" t="n">
        <v>0</v>
      </c>
      <c r="Q350" t="n">
        <v>1</v>
      </c>
      <c r="R350" s="2" t="inlineStr">
        <is>
          <t>Vedskivlav</t>
        </is>
      </c>
      <c r="S350">
        <f>HYPERLINK("https://klasma.github.io/Logging_2305/artfynd/A 24094-2025 artfynd.xlsx", "A 24094-2025")</f>
        <v/>
      </c>
      <c r="T350">
        <f>HYPERLINK("https://klasma.github.io/Logging_2305/kartor/A 24094-2025 karta.png", "A 24094-2025")</f>
        <v/>
      </c>
      <c r="V350">
        <f>HYPERLINK("https://klasma.github.io/Logging_2305/klagomål/A 24094-2025 FSC-klagomål.docx", "A 24094-2025")</f>
        <v/>
      </c>
      <c r="W350">
        <f>HYPERLINK("https://klasma.github.io/Logging_2305/klagomålsmail/A 24094-2025 FSC-klagomål mail.docx", "A 24094-2025")</f>
        <v/>
      </c>
      <c r="X350">
        <f>HYPERLINK("https://klasma.github.io/Logging_2305/tillsyn/A 24094-2025 tillsynsbegäran.docx", "A 24094-2025")</f>
        <v/>
      </c>
      <c r="Y350">
        <f>HYPERLINK("https://klasma.github.io/Logging_2305/tillsynsmail/A 24094-2025 tillsynsbegäran mail.docx", "A 24094-2025")</f>
        <v/>
      </c>
    </row>
    <row r="351" ht="15" customHeight="1">
      <c r="A351" t="inlineStr">
        <is>
          <t>A 15189-2025</t>
        </is>
      </c>
      <c r="B351" s="1" t="n">
        <v>45744.55259259259</v>
      </c>
      <c r="C351" s="1" t="n">
        <v>46105</v>
      </c>
      <c r="D351" t="inlineStr">
        <is>
          <t>JÄMTLANDS LÄN</t>
        </is>
      </c>
      <c r="E351" t="inlineStr">
        <is>
          <t>BRÄCKE</t>
        </is>
      </c>
      <c r="F351" t="inlineStr">
        <is>
          <t>SCA</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HYPERLINK("https://klasma.github.io/Logging_2305/artfynd/A 15189-2025 artfynd.xlsx", "A 15189-2025")</f>
        <v/>
      </c>
      <c r="T351">
        <f>HYPERLINK("https://klasma.github.io/Logging_2305/kartor/A 15189-2025 karta.png", "A 15189-2025")</f>
        <v/>
      </c>
      <c r="V351">
        <f>HYPERLINK("https://klasma.github.io/Logging_2305/klagomål/A 15189-2025 FSC-klagomål.docx", "A 15189-2025")</f>
        <v/>
      </c>
      <c r="W351">
        <f>HYPERLINK("https://klasma.github.io/Logging_2305/klagomålsmail/A 15189-2025 FSC-klagomål mail.docx", "A 15189-2025")</f>
        <v/>
      </c>
      <c r="X351">
        <f>HYPERLINK("https://klasma.github.io/Logging_2305/tillsyn/A 15189-2025 tillsynsbegäran.docx", "A 15189-2025")</f>
        <v/>
      </c>
      <c r="Y351">
        <f>HYPERLINK("https://klasma.github.io/Logging_2305/tillsynsmail/A 15189-2025 tillsynsbegäran mail.docx", "A 15189-2025")</f>
        <v/>
      </c>
      <c r="Z351">
        <f>HYPERLINK("https://klasma.github.io/Logging_2305/fåglar/A 15189-2025 prioriterade fågelarter.docx", "A 15189-2025")</f>
        <v/>
      </c>
    </row>
    <row r="352" ht="15" customHeight="1">
      <c r="A352" t="inlineStr">
        <is>
          <t>A 24851-2025</t>
        </is>
      </c>
      <c r="B352" s="1" t="n">
        <v>45799.46967592592</v>
      </c>
      <c r="C352" s="1" t="n">
        <v>46105</v>
      </c>
      <c r="D352" t="inlineStr">
        <is>
          <t>JÄMTLANDS LÄN</t>
        </is>
      </c>
      <c r="E352" t="inlineStr">
        <is>
          <t>BRÄCKE</t>
        </is>
      </c>
      <c r="F352" t="inlineStr">
        <is>
          <t>SCA</t>
        </is>
      </c>
      <c r="G352" t="n">
        <v>4.1</v>
      </c>
      <c r="H352" t="n">
        <v>1</v>
      </c>
      <c r="I352" t="n">
        <v>0</v>
      </c>
      <c r="J352" t="n">
        <v>0</v>
      </c>
      <c r="K352" t="n">
        <v>0</v>
      </c>
      <c r="L352" t="n">
        <v>1</v>
      </c>
      <c r="M352" t="n">
        <v>0</v>
      </c>
      <c r="N352" t="n">
        <v>0</v>
      </c>
      <c r="O352" t="n">
        <v>1</v>
      </c>
      <c r="P352" t="n">
        <v>1</v>
      </c>
      <c r="Q352" t="n">
        <v>1</v>
      </c>
      <c r="R352" s="2" t="inlineStr">
        <is>
          <t>Violett guldvinge</t>
        </is>
      </c>
      <c r="S352">
        <f>HYPERLINK("https://klasma.github.io/Logging_2305/artfynd/A 24851-2025 artfynd.xlsx", "A 24851-2025")</f>
        <v/>
      </c>
      <c r="T352">
        <f>HYPERLINK("https://klasma.github.io/Logging_2305/kartor/A 24851-2025 karta.png", "A 24851-2025")</f>
        <v/>
      </c>
      <c r="V352">
        <f>HYPERLINK("https://klasma.github.io/Logging_2305/klagomål/A 24851-2025 FSC-klagomål.docx", "A 24851-2025")</f>
        <v/>
      </c>
      <c r="W352">
        <f>HYPERLINK("https://klasma.github.io/Logging_2305/klagomålsmail/A 24851-2025 FSC-klagomål mail.docx", "A 24851-2025")</f>
        <v/>
      </c>
      <c r="X352">
        <f>HYPERLINK("https://klasma.github.io/Logging_2305/tillsyn/A 24851-2025 tillsynsbegäran.docx", "A 24851-2025")</f>
        <v/>
      </c>
      <c r="Y352">
        <f>HYPERLINK("https://klasma.github.io/Logging_2305/tillsynsmail/A 24851-2025 tillsynsbegäran mail.docx", "A 24851-2025")</f>
        <v/>
      </c>
    </row>
    <row r="353" ht="15" customHeight="1">
      <c r="A353" t="inlineStr">
        <is>
          <t>A 39701-2022</t>
        </is>
      </c>
      <c r="B353" s="1" t="n">
        <v>44818</v>
      </c>
      <c r="C353" s="1" t="n">
        <v>46105</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1087-2022</t>
        </is>
      </c>
      <c r="B354" s="1" t="n">
        <v>44571</v>
      </c>
      <c r="C354" s="1" t="n">
        <v>46105</v>
      </c>
      <c r="D354" t="inlineStr">
        <is>
          <t>JÄMTLANDS LÄN</t>
        </is>
      </c>
      <c r="E354" t="inlineStr">
        <is>
          <t>BRÄCKE</t>
        </is>
      </c>
      <c r="G354" t="n">
        <v>3.7</v>
      </c>
      <c r="H354" t="n">
        <v>0</v>
      </c>
      <c r="I354" t="n">
        <v>0</v>
      </c>
      <c r="J354" t="n">
        <v>0</v>
      </c>
      <c r="K354" t="n">
        <v>0</v>
      </c>
      <c r="L354" t="n">
        <v>0</v>
      </c>
      <c r="M354" t="n">
        <v>0</v>
      </c>
      <c r="N354" t="n">
        <v>0</v>
      </c>
      <c r="O354" t="n">
        <v>0</v>
      </c>
      <c r="P354" t="n">
        <v>0</v>
      </c>
      <c r="Q354" t="n">
        <v>0</v>
      </c>
      <c r="R354" s="2" t="inlineStr"/>
    </row>
    <row r="355" ht="15" customHeight="1">
      <c r="A355" t="inlineStr">
        <is>
          <t>A 36840-2022</t>
        </is>
      </c>
      <c r="B355" s="1" t="n">
        <v>44805</v>
      </c>
      <c r="C355" s="1" t="n">
        <v>46105</v>
      </c>
      <c r="D355" t="inlineStr">
        <is>
          <t>JÄMTLANDS LÄN</t>
        </is>
      </c>
      <c r="E355" t="inlineStr">
        <is>
          <t>BRÄCKE</t>
        </is>
      </c>
      <c r="G355" t="n">
        <v>1.2</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46105</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46105</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54829-2022</t>
        </is>
      </c>
      <c r="B358" s="1" t="n">
        <v>44883</v>
      </c>
      <c r="C358" s="1" t="n">
        <v>46105</v>
      </c>
      <c r="D358" t="inlineStr">
        <is>
          <t>JÄMTLANDS LÄN</t>
        </is>
      </c>
      <c r="E358" t="inlineStr">
        <is>
          <t>BRÄCKE</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46105</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59322-2021</t>
        </is>
      </c>
      <c r="B360" s="1" t="n">
        <v>44490.94116898148</v>
      </c>
      <c r="C360" s="1" t="n">
        <v>46105</v>
      </c>
      <c r="D360" t="inlineStr">
        <is>
          <t>JÄMTLANDS LÄN</t>
        </is>
      </c>
      <c r="E360" t="inlineStr">
        <is>
          <t>BRÄCKE</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18006-2021</t>
        </is>
      </c>
      <c r="B361" s="1" t="n">
        <v>44301</v>
      </c>
      <c r="C361" s="1" t="n">
        <v>46105</v>
      </c>
      <c r="D361" t="inlineStr">
        <is>
          <t>JÄMTLANDS LÄN</t>
        </is>
      </c>
      <c r="E361" t="inlineStr">
        <is>
          <t>BRÄCKE</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46105</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63590-2021</t>
        </is>
      </c>
      <c r="B363" s="1" t="n">
        <v>44508.92332175926</v>
      </c>
      <c r="C363" s="1" t="n">
        <v>46105</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43421-2022</t>
        </is>
      </c>
      <c r="B364" s="1" t="n">
        <v>44834</v>
      </c>
      <c r="C364" s="1" t="n">
        <v>46105</v>
      </c>
      <c r="D364" t="inlineStr">
        <is>
          <t>JÄMTLANDS LÄN</t>
        </is>
      </c>
      <c r="E364" t="inlineStr">
        <is>
          <t>BRÄCKE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41474-2021</t>
        </is>
      </c>
      <c r="B365" s="1" t="n">
        <v>44424</v>
      </c>
      <c r="C365" s="1" t="n">
        <v>46105</v>
      </c>
      <c r="D365" t="inlineStr">
        <is>
          <t>JÄMTLANDS LÄN</t>
        </is>
      </c>
      <c r="E365" t="inlineStr">
        <is>
          <t>BRÄCKE</t>
        </is>
      </c>
      <c r="G365" t="n">
        <v>2.3</v>
      </c>
      <c r="H365" t="n">
        <v>0</v>
      </c>
      <c r="I365" t="n">
        <v>0</v>
      </c>
      <c r="J365" t="n">
        <v>0</v>
      </c>
      <c r="K365" t="n">
        <v>0</v>
      </c>
      <c r="L365" t="n">
        <v>0</v>
      </c>
      <c r="M365" t="n">
        <v>0</v>
      </c>
      <c r="N365" t="n">
        <v>0</v>
      </c>
      <c r="O365" t="n">
        <v>0</v>
      </c>
      <c r="P365" t="n">
        <v>0</v>
      </c>
      <c r="Q365" t="n">
        <v>0</v>
      </c>
      <c r="R365" s="2" t="inlineStr"/>
    </row>
    <row r="366" ht="15" customHeight="1">
      <c r="A366" t="inlineStr">
        <is>
          <t>A 30810-2022</t>
        </is>
      </c>
      <c r="B366" s="1" t="n">
        <v>44764.94164351852</v>
      </c>
      <c r="C366" s="1" t="n">
        <v>46105</v>
      </c>
      <c r="D366" t="inlineStr">
        <is>
          <t>JÄMTLANDS LÄN</t>
        </is>
      </c>
      <c r="E366" t="inlineStr">
        <is>
          <t>BRÄCKE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39702-2022</t>
        </is>
      </c>
      <c r="B367" s="1" t="n">
        <v>44818</v>
      </c>
      <c r="C367" s="1" t="n">
        <v>46105</v>
      </c>
      <c r="D367" t="inlineStr">
        <is>
          <t>JÄMTLANDS LÄN</t>
        </is>
      </c>
      <c r="E367" t="inlineStr">
        <is>
          <t>BRÄCKE</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27261-2021</t>
        </is>
      </c>
      <c r="B368" s="1" t="n">
        <v>44350.93945601852</v>
      </c>
      <c r="C368" s="1" t="n">
        <v>46105</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37232-2022</t>
        </is>
      </c>
      <c r="B369" s="1" t="n">
        <v>44806</v>
      </c>
      <c r="C369" s="1" t="n">
        <v>46105</v>
      </c>
      <c r="D369" t="inlineStr">
        <is>
          <t>JÄMTLANDS LÄN</t>
        </is>
      </c>
      <c r="E369" t="inlineStr">
        <is>
          <t>BRÄCKE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46105</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46105</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49858-2022</t>
        </is>
      </c>
      <c r="B372" s="1" t="n">
        <v>44862</v>
      </c>
      <c r="C372" s="1" t="n">
        <v>46105</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41175-2022</t>
        </is>
      </c>
      <c r="B373" s="1" t="n">
        <v>44825.94803240741</v>
      </c>
      <c r="C373" s="1" t="n">
        <v>46105</v>
      </c>
      <c r="D373" t="inlineStr">
        <is>
          <t>JÄMTLANDS LÄN</t>
        </is>
      </c>
      <c r="E373" t="inlineStr">
        <is>
          <t>BRÄCKE</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51095-2021</t>
        </is>
      </c>
      <c r="B374" s="1" t="n">
        <v>44461.38387731482</v>
      </c>
      <c r="C374" s="1" t="n">
        <v>46105</v>
      </c>
      <c r="D374" t="inlineStr">
        <is>
          <t>JÄMTLANDS LÄN</t>
        </is>
      </c>
      <c r="E374" t="inlineStr">
        <is>
          <t>BRÄCKE</t>
        </is>
      </c>
      <c r="G374" t="n">
        <v>0.8</v>
      </c>
      <c r="H374" t="n">
        <v>0</v>
      </c>
      <c r="I374" t="n">
        <v>0</v>
      </c>
      <c r="J374" t="n">
        <v>0</v>
      </c>
      <c r="K374" t="n">
        <v>0</v>
      </c>
      <c r="L374" t="n">
        <v>0</v>
      </c>
      <c r="M374" t="n">
        <v>0</v>
      </c>
      <c r="N374" t="n">
        <v>0</v>
      </c>
      <c r="O374" t="n">
        <v>0</v>
      </c>
      <c r="P374" t="n">
        <v>0</v>
      </c>
      <c r="Q374" t="n">
        <v>0</v>
      </c>
      <c r="R374" s="2" t="inlineStr"/>
    </row>
    <row r="375" ht="15" customHeight="1">
      <c r="A375" t="inlineStr">
        <is>
          <t>A 69155-2021</t>
        </is>
      </c>
      <c r="B375" s="1" t="n">
        <v>44530.94708333333</v>
      </c>
      <c r="C375" s="1" t="n">
        <v>46105</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46105</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46105</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46105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46105</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46105</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38593-2021</t>
        </is>
      </c>
      <c r="B381" s="1" t="n">
        <v>44407</v>
      </c>
      <c r="C381" s="1" t="n">
        <v>46105</v>
      </c>
      <c r="D381" t="inlineStr">
        <is>
          <t>JÄMTLANDS LÄN</t>
        </is>
      </c>
      <c r="E381" t="inlineStr">
        <is>
          <t>BRÄCKE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47256-2022</t>
        </is>
      </c>
      <c r="B382" s="1" t="n">
        <v>44852.94697916666</v>
      </c>
      <c r="C382" s="1" t="n">
        <v>46105</v>
      </c>
      <c r="D382" t="inlineStr">
        <is>
          <t>JÄMTLANDS LÄN</t>
        </is>
      </c>
      <c r="E382" t="inlineStr">
        <is>
          <t>BRÄCKE</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47264-2022</t>
        </is>
      </c>
      <c r="B383" s="1" t="n">
        <v>44852.94967592593</v>
      </c>
      <c r="C383" s="1" t="n">
        <v>46105</v>
      </c>
      <c r="D383" t="inlineStr">
        <is>
          <t>JÄMTLANDS LÄN</t>
        </is>
      </c>
      <c r="E383" t="inlineStr">
        <is>
          <t>BRÄCKE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41182-2022</t>
        </is>
      </c>
      <c r="B384" s="1" t="n">
        <v>44825.94918981481</v>
      </c>
      <c r="C384" s="1" t="n">
        <v>46105</v>
      </c>
      <c r="D384" t="inlineStr">
        <is>
          <t>JÄMTLANDS LÄN</t>
        </is>
      </c>
      <c r="E384" t="inlineStr">
        <is>
          <t>BRÄCKE</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63534-2021</t>
        </is>
      </c>
      <c r="B385" s="1" t="n">
        <v>44508.6696875</v>
      </c>
      <c r="C385" s="1" t="n">
        <v>46105</v>
      </c>
      <c r="D385" t="inlineStr">
        <is>
          <t>JÄMTLANDS LÄN</t>
        </is>
      </c>
      <c r="E385" t="inlineStr">
        <is>
          <t>BRÄCKE</t>
        </is>
      </c>
      <c r="G385" t="n">
        <v>6.6</v>
      </c>
      <c r="H385" t="n">
        <v>0</v>
      </c>
      <c r="I385" t="n">
        <v>0</v>
      </c>
      <c r="J385" t="n">
        <v>0</v>
      </c>
      <c r="K385" t="n">
        <v>0</v>
      </c>
      <c r="L385" t="n">
        <v>0</v>
      </c>
      <c r="M385" t="n">
        <v>0</v>
      </c>
      <c r="N385" t="n">
        <v>0</v>
      </c>
      <c r="O385" t="n">
        <v>0</v>
      </c>
      <c r="P385" t="n">
        <v>0</v>
      </c>
      <c r="Q385" t="n">
        <v>0</v>
      </c>
      <c r="R385" s="2" t="inlineStr"/>
    </row>
    <row r="386" ht="15" customHeight="1">
      <c r="A386" t="inlineStr">
        <is>
          <t>A 43142-2022</t>
        </is>
      </c>
      <c r="B386" s="1" t="n">
        <v>44833.95155092593</v>
      </c>
      <c r="C386" s="1" t="n">
        <v>46105</v>
      </c>
      <c r="D386" t="inlineStr">
        <is>
          <t>JÄMTLANDS LÄN</t>
        </is>
      </c>
      <c r="E386" t="inlineStr">
        <is>
          <t>BRÄCKE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46105</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46105</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42806-2021</t>
        </is>
      </c>
      <c r="B389" s="1" t="n">
        <v>44428.94063657407</v>
      </c>
      <c r="C389" s="1" t="n">
        <v>46105</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38956-2021</t>
        </is>
      </c>
      <c r="B390" s="1" t="n">
        <v>44411</v>
      </c>
      <c r="C390" s="1" t="n">
        <v>46105</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28617-2021</t>
        </is>
      </c>
      <c r="B391" s="1" t="n">
        <v>44356</v>
      </c>
      <c r="C391" s="1" t="n">
        <v>46105</v>
      </c>
      <c r="D391" t="inlineStr">
        <is>
          <t>JÄMTLANDS LÄN</t>
        </is>
      </c>
      <c r="E391" t="inlineStr">
        <is>
          <t>BRÄCKE</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46105</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46105</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46105</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51957-2021</t>
        </is>
      </c>
      <c r="B395" s="1" t="n">
        <v>44462.95658564815</v>
      </c>
      <c r="C395" s="1" t="n">
        <v>46105</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46105</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46105</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46105</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46105</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46105</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29929-2021</t>
        </is>
      </c>
      <c r="B401" s="1" t="n">
        <v>44362</v>
      </c>
      <c r="C401" s="1" t="n">
        <v>46105</v>
      </c>
      <c r="D401" t="inlineStr">
        <is>
          <t>JÄMTLANDS LÄN</t>
        </is>
      </c>
      <c r="E401" t="inlineStr">
        <is>
          <t>BRÄCKE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46105</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46105</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46105</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46105</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17173-2021</t>
        </is>
      </c>
      <c r="B406" s="1" t="n">
        <v>44295</v>
      </c>
      <c r="C406" s="1" t="n">
        <v>46105</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48555-2022</t>
        </is>
      </c>
      <c r="B407" s="1" t="n">
        <v>44859</v>
      </c>
      <c r="C407" s="1" t="n">
        <v>46105</v>
      </c>
      <c r="D407" t="inlineStr">
        <is>
          <t>JÄMTLANDS LÄN</t>
        </is>
      </c>
      <c r="E407" t="inlineStr">
        <is>
          <t>BRÄCKE</t>
        </is>
      </c>
      <c r="G407" t="n">
        <v>1.6</v>
      </c>
      <c r="H407" t="n">
        <v>0</v>
      </c>
      <c r="I407" t="n">
        <v>0</v>
      </c>
      <c r="J407" t="n">
        <v>0</v>
      </c>
      <c r="K407" t="n">
        <v>0</v>
      </c>
      <c r="L407" t="n">
        <v>0</v>
      </c>
      <c r="M407" t="n">
        <v>0</v>
      </c>
      <c r="N407" t="n">
        <v>0</v>
      </c>
      <c r="O407" t="n">
        <v>0</v>
      </c>
      <c r="P407" t="n">
        <v>0</v>
      </c>
      <c r="Q407" t="n">
        <v>0</v>
      </c>
      <c r="R407" s="2" t="inlineStr"/>
    </row>
    <row r="408" ht="15" customHeight="1">
      <c r="A408" t="inlineStr">
        <is>
          <t>A 51020-2022</t>
        </is>
      </c>
      <c r="B408" s="1" t="n">
        <v>44867.95071759259</v>
      </c>
      <c r="C408" s="1" t="n">
        <v>46105</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16619-2021</t>
        </is>
      </c>
      <c r="B409" s="1" t="n">
        <v>44294</v>
      </c>
      <c r="C409" s="1" t="n">
        <v>46105</v>
      </c>
      <c r="D409" t="inlineStr">
        <is>
          <t>JÄMTLANDS LÄN</t>
        </is>
      </c>
      <c r="E409" t="inlineStr">
        <is>
          <t>BRÄCKE</t>
        </is>
      </c>
      <c r="G409" t="n">
        <v>10.3</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46105</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46105</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46105</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46105</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46105</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46105</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46105</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46105</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46105</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16723-2021</t>
        </is>
      </c>
      <c r="B419" s="1" t="n">
        <v>44293</v>
      </c>
      <c r="C419" s="1" t="n">
        <v>46105</v>
      </c>
      <c r="D419" t="inlineStr">
        <is>
          <t>JÄMTLANDS LÄN</t>
        </is>
      </c>
      <c r="E419" t="inlineStr">
        <is>
          <t>BRÄCKE</t>
        </is>
      </c>
      <c r="G419" t="n">
        <v>1.7</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46105</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55900-2022</t>
        </is>
      </c>
      <c r="B421" s="1" t="n">
        <v>44888.95368055555</v>
      </c>
      <c r="C421" s="1" t="n">
        <v>46105</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46105</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46105</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21654-2022</t>
        </is>
      </c>
      <c r="B424" s="1" t="n">
        <v>44706.94207175926</v>
      </c>
      <c r="C424" s="1" t="n">
        <v>46105</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21656-2022</t>
        </is>
      </c>
      <c r="B425" s="1" t="n">
        <v>44706.9421875</v>
      </c>
      <c r="C425" s="1" t="n">
        <v>46105</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26750-2022</t>
        </is>
      </c>
      <c r="B426" s="1" t="n">
        <v>44739.94125</v>
      </c>
      <c r="C426" s="1" t="n">
        <v>46105</v>
      </c>
      <c r="D426" t="inlineStr">
        <is>
          <t>JÄMTLANDS LÄN</t>
        </is>
      </c>
      <c r="E426" t="inlineStr">
        <is>
          <t>BRÄCKE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47257-2022</t>
        </is>
      </c>
      <c r="B427" s="1" t="n">
        <v>44852</v>
      </c>
      <c r="C427" s="1" t="n">
        <v>46105</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16117-2021</t>
        </is>
      </c>
      <c r="B428" s="1" t="n">
        <v>44291</v>
      </c>
      <c r="C428" s="1" t="n">
        <v>46105</v>
      </c>
      <c r="D428" t="inlineStr">
        <is>
          <t>JÄMTLANDS LÄN</t>
        </is>
      </c>
      <c r="E428" t="inlineStr">
        <is>
          <t>BRÄCKE</t>
        </is>
      </c>
      <c r="G428" t="n">
        <v>3.6</v>
      </c>
      <c r="H428" t="n">
        <v>0</v>
      </c>
      <c r="I428" t="n">
        <v>0</v>
      </c>
      <c r="J428" t="n">
        <v>0</v>
      </c>
      <c r="K428" t="n">
        <v>0</v>
      </c>
      <c r="L428" t="n">
        <v>0</v>
      </c>
      <c r="M428" t="n">
        <v>0</v>
      </c>
      <c r="N428" t="n">
        <v>0</v>
      </c>
      <c r="O428" t="n">
        <v>0</v>
      </c>
      <c r="P428" t="n">
        <v>0</v>
      </c>
      <c r="Q428" t="n">
        <v>0</v>
      </c>
      <c r="R428" s="2" t="inlineStr"/>
    </row>
    <row r="429" ht="15" customHeight="1">
      <c r="A429" t="inlineStr">
        <is>
          <t>A 26139-2022</t>
        </is>
      </c>
      <c r="B429" s="1" t="n">
        <v>44734</v>
      </c>
      <c r="C429" s="1" t="n">
        <v>46105</v>
      </c>
      <c r="D429" t="inlineStr">
        <is>
          <t>JÄMTLANDS LÄN</t>
        </is>
      </c>
      <c r="E429" t="inlineStr">
        <is>
          <t>BRÄCKE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66285-2021</t>
        </is>
      </c>
      <c r="B430" s="1" t="n">
        <v>44518</v>
      </c>
      <c r="C430" s="1" t="n">
        <v>46105</v>
      </c>
      <c r="D430" t="inlineStr">
        <is>
          <t>JÄMTLANDS LÄN</t>
        </is>
      </c>
      <c r="E430" t="inlineStr">
        <is>
          <t>BRÄCKE</t>
        </is>
      </c>
      <c r="G430" t="n">
        <v>11.9</v>
      </c>
      <c r="H430" t="n">
        <v>0</v>
      </c>
      <c r="I430" t="n">
        <v>0</v>
      </c>
      <c r="J430" t="n">
        <v>0</v>
      </c>
      <c r="K430" t="n">
        <v>0</v>
      </c>
      <c r="L430" t="n">
        <v>0</v>
      </c>
      <c r="M430" t="n">
        <v>0</v>
      </c>
      <c r="N430" t="n">
        <v>0</v>
      </c>
      <c r="O430" t="n">
        <v>0</v>
      </c>
      <c r="P430" t="n">
        <v>0</v>
      </c>
      <c r="Q430" t="n">
        <v>0</v>
      </c>
      <c r="R430" s="2" t="inlineStr"/>
    </row>
    <row r="431" ht="15" customHeight="1">
      <c r="A431" t="inlineStr">
        <is>
          <t>A 19810-2022</t>
        </is>
      </c>
      <c r="B431" s="1" t="n">
        <v>44694.93921296296</v>
      </c>
      <c r="C431" s="1" t="n">
        <v>46105</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62953-2021</t>
        </is>
      </c>
      <c r="B432" s="1" t="n">
        <v>44504</v>
      </c>
      <c r="C432" s="1" t="n">
        <v>46105</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31978-2022</t>
        </is>
      </c>
      <c r="B433" s="1" t="n">
        <v>44777.95574074074</v>
      </c>
      <c r="C433" s="1" t="n">
        <v>46105</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32964-2022</t>
        </is>
      </c>
      <c r="B434" s="1" t="n">
        <v>44784.9250462963</v>
      </c>
      <c r="C434" s="1" t="n">
        <v>46105</v>
      </c>
      <c r="D434" t="inlineStr">
        <is>
          <t>JÄMTLANDS LÄN</t>
        </is>
      </c>
      <c r="E434" t="inlineStr">
        <is>
          <t>BRÄCKE</t>
        </is>
      </c>
      <c r="G434" t="n">
        <v>2.6</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46105</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46105</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58272-2021</t>
        </is>
      </c>
      <c r="B437" s="1" t="n">
        <v>44487</v>
      </c>
      <c r="C437" s="1" t="n">
        <v>46105</v>
      </c>
      <c r="D437" t="inlineStr">
        <is>
          <t>JÄMTLANDS LÄN</t>
        </is>
      </c>
      <c r="E437" t="inlineStr">
        <is>
          <t>BRÄCKE</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54567-2022</t>
        </is>
      </c>
      <c r="B438" s="1" t="n">
        <v>44882.95473379629</v>
      </c>
      <c r="C438" s="1" t="n">
        <v>46105</v>
      </c>
      <c r="D438" t="inlineStr">
        <is>
          <t>JÄMTLANDS LÄN</t>
        </is>
      </c>
      <c r="E438" t="inlineStr">
        <is>
          <t>BRÄCKE</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46105</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46105</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46105</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45701-2022</t>
        </is>
      </c>
      <c r="B442" s="1" t="n">
        <v>44845</v>
      </c>
      <c r="C442" s="1" t="n">
        <v>46105</v>
      </c>
      <c r="D442" t="inlineStr">
        <is>
          <t>JÄMTLANDS LÄN</t>
        </is>
      </c>
      <c r="E442" t="inlineStr">
        <is>
          <t>BRÄCKE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46105</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55523-2022</t>
        </is>
      </c>
      <c r="B444" s="1" t="n">
        <v>44887.94924768519</v>
      </c>
      <c r="C444" s="1" t="n">
        <v>46105</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46105</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70807-2021</t>
        </is>
      </c>
      <c r="B446" s="1" t="n">
        <v>44537</v>
      </c>
      <c r="C446" s="1" t="n">
        <v>46105</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43832-2021</t>
        </is>
      </c>
      <c r="B447" s="1" t="n">
        <v>44433.9410300926</v>
      </c>
      <c r="C447" s="1" t="n">
        <v>46105</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46105</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16733-2021</t>
        </is>
      </c>
      <c r="B449" s="1" t="n">
        <v>44293</v>
      </c>
      <c r="C449" s="1" t="n">
        <v>46105</v>
      </c>
      <c r="D449" t="inlineStr">
        <is>
          <t>JÄMTLANDS LÄN</t>
        </is>
      </c>
      <c r="E449" t="inlineStr">
        <is>
          <t>BRÄCKE</t>
        </is>
      </c>
      <c r="G449" t="n">
        <v>4</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46105</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46105</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47559-2021</t>
        </is>
      </c>
      <c r="B452" s="1" t="n">
        <v>44447</v>
      </c>
      <c r="C452" s="1" t="n">
        <v>46105</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46105</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53612-2021</t>
        </is>
      </c>
      <c r="B454" s="1" t="n">
        <v>44469</v>
      </c>
      <c r="C454" s="1" t="n">
        <v>46105</v>
      </c>
      <c r="D454" t="inlineStr">
        <is>
          <t>JÄMTLANDS LÄN</t>
        </is>
      </c>
      <c r="E454" t="inlineStr">
        <is>
          <t>BRÄCKE</t>
        </is>
      </c>
      <c r="G454" t="n">
        <v>1.7</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46105</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56221-2021</t>
        </is>
      </c>
      <c r="B456" s="1" t="n">
        <v>44477</v>
      </c>
      <c r="C456" s="1" t="n">
        <v>46105</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46024-2022</t>
        </is>
      </c>
      <c r="B457" s="1" t="n">
        <v>44846.92635416667</v>
      </c>
      <c r="C457" s="1" t="n">
        <v>46105</v>
      </c>
      <c r="D457" t="inlineStr">
        <is>
          <t>JÄMTLANDS LÄN</t>
        </is>
      </c>
      <c r="E457" t="inlineStr">
        <is>
          <t>BRÄCKE</t>
        </is>
      </c>
      <c r="G457" t="n">
        <v>3</v>
      </c>
      <c r="H457" t="n">
        <v>0</v>
      </c>
      <c r="I457" t="n">
        <v>0</v>
      </c>
      <c r="J457" t="n">
        <v>0</v>
      </c>
      <c r="K457" t="n">
        <v>0</v>
      </c>
      <c r="L457" t="n">
        <v>0</v>
      </c>
      <c r="M457" t="n">
        <v>0</v>
      </c>
      <c r="N457" t="n">
        <v>0</v>
      </c>
      <c r="O457" t="n">
        <v>0</v>
      </c>
      <c r="P457" t="n">
        <v>0</v>
      </c>
      <c r="Q457" t="n">
        <v>0</v>
      </c>
      <c r="R457" s="2" t="inlineStr"/>
    </row>
    <row r="458" ht="15" customHeight="1">
      <c r="A458" t="inlineStr">
        <is>
          <t>A 4542-2022</t>
        </is>
      </c>
      <c r="B458" s="1" t="n">
        <v>44590</v>
      </c>
      <c r="C458" s="1" t="n">
        <v>46105</v>
      </c>
      <c r="D458" t="inlineStr">
        <is>
          <t>JÄMTLANDS LÄN</t>
        </is>
      </c>
      <c r="E458" t="inlineStr">
        <is>
          <t>BRÄCKE</t>
        </is>
      </c>
      <c r="G458" t="n">
        <v>18.5</v>
      </c>
      <c r="H458" t="n">
        <v>0</v>
      </c>
      <c r="I458" t="n">
        <v>0</v>
      </c>
      <c r="J458" t="n">
        <v>0</v>
      </c>
      <c r="K458" t="n">
        <v>0</v>
      </c>
      <c r="L458" t="n">
        <v>0</v>
      </c>
      <c r="M458" t="n">
        <v>0</v>
      </c>
      <c r="N458" t="n">
        <v>0</v>
      </c>
      <c r="O458" t="n">
        <v>0</v>
      </c>
      <c r="P458" t="n">
        <v>0</v>
      </c>
      <c r="Q458" t="n">
        <v>0</v>
      </c>
      <c r="R458" s="2" t="inlineStr"/>
    </row>
    <row r="459" ht="15" customHeight="1">
      <c r="A459" t="inlineStr">
        <is>
          <t>A 10536-2022</t>
        </is>
      </c>
      <c r="B459" s="1" t="n">
        <v>44623.92185185185</v>
      </c>
      <c r="C459" s="1" t="n">
        <v>46105</v>
      </c>
      <c r="D459" t="inlineStr">
        <is>
          <t>JÄMTLANDS LÄN</t>
        </is>
      </c>
      <c r="E459" t="inlineStr">
        <is>
          <t>BRÄCKE</t>
        </is>
      </c>
      <c r="G459" t="n">
        <v>3.1</v>
      </c>
      <c r="H459" t="n">
        <v>0</v>
      </c>
      <c r="I459" t="n">
        <v>0</v>
      </c>
      <c r="J459" t="n">
        <v>0</v>
      </c>
      <c r="K459" t="n">
        <v>0</v>
      </c>
      <c r="L459" t="n">
        <v>0</v>
      </c>
      <c r="M459" t="n">
        <v>0</v>
      </c>
      <c r="N459" t="n">
        <v>0</v>
      </c>
      <c r="O459" t="n">
        <v>0</v>
      </c>
      <c r="P459" t="n">
        <v>0</v>
      </c>
      <c r="Q459" t="n">
        <v>0</v>
      </c>
      <c r="R459" s="2" t="inlineStr"/>
    </row>
    <row r="460" ht="15" customHeight="1">
      <c r="A460" t="inlineStr">
        <is>
          <t>A 30483-2022</t>
        </is>
      </c>
      <c r="B460" s="1" t="n">
        <v>44761.94037037037</v>
      </c>
      <c r="C460" s="1" t="n">
        <v>46105</v>
      </c>
      <c r="D460" t="inlineStr">
        <is>
          <t>JÄMTLANDS LÄN</t>
        </is>
      </c>
      <c r="E460" t="inlineStr">
        <is>
          <t>BRÄCKE</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27258-2021</t>
        </is>
      </c>
      <c r="B461" s="1" t="n">
        <v>44350.93927083333</v>
      </c>
      <c r="C461" s="1" t="n">
        <v>46105</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56648-2021</t>
        </is>
      </c>
      <c r="B462" s="1" t="n">
        <v>44480.92122685185</v>
      </c>
      <c r="C462" s="1" t="n">
        <v>46105</v>
      </c>
      <c r="D462" t="inlineStr">
        <is>
          <t>JÄMTLANDS LÄN</t>
        </is>
      </c>
      <c r="E462" t="inlineStr">
        <is>
          <t>BRÄCKE</t>
        </is>
      </c>
      <c r="G462" t="n">
        <v>1.3</v>
      </c>
      <c r="H462" t="n">
        <v>0</v>
      </c>
      <c r="I462" t="n">
        <v>0</v>
      </c>
      <c r="J462" t="n">
        <v>0</v>
      </c>
      <c r="K462" t="n">
        <v>0</v>
      </c>
      <c r="L462" t="n">
        <v>0</v>
      </c>
      <c r="M462" t="n">
        <v>0</v>
      </c>
      <c r="N462" t="n">
        <v>0</v>
      </c>
      <c r="O462" t="n">
        <v>0</v>
      </c>
      <c r="P462" t="n">
        <v>0</v>
      </c>
      <c r="Q462" t="n">
        <v>0</v>
      </c>
      <c r="R462" s="2" t="inlineStr"/>
    </row>
    <row r="463" ht="15" customHeight="1">
      <c r="A463" t="inlineStr">
        <is>
          <t>A 37828-2022</t>
        </is>
      </c>
      <c r="B463" s="1" t="n">
        <v>44810.9428587963</v>
      </c>
      <c r="C463" s="1" t="n">
        <v>46105</v>
      </c>
      <c r="D463" t="inlineStr">
        <is>
          <t>JÄMTLANDS LÄN</t>
        </is>
      </c>
      <c r="E463" t="inlineStr">
        <is>
          <t>BRÄCKE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37829-2022</t>
        </is>
      </c>
      <c r="B464" s="1" t="n">
        <v>44810.94292824074</v>
      </c>
      <c r="C464" s="1" t="n">
        <v>46105</v>
      </c>
      <c r="D464" t="inlineStr">
        <is>
          <t>JÄMTLANDS LÄN</t>
        </is>
      </c>
      <c r="E464" t="inlineStr">
        <is>
          <t>BRÄCKE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63579-2021</t>
        </is>
      </c>
      <c r="B465" s="1" t="n">
        <v>44508</v>
      </c>
      <c r="C465" s="1" t="n">
        <v>46105</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3866-2025</t>
        </is>
      </c>
      <c r="B466" s="1" t="n">
        <v>45684.31995370371</v>
      </c>
      <c r="C466" s="1" t="n">
        <v>46105</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40769-2021</t>
        </is>
      </c>
      <c r="B467" s="1" t="n">
        <v>44420</v>
      </c>
      <c r="C467" s="1" t="n">
        <v>46105</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11093-2024</t>
        </is>
      </c>
      <c r="B468" s="1" t="n">
        <v>45370.94986111111</v>
      </c>
      <c r="C468" s="1" t="n">
        <v>46105</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24056-2022</t>
        </is>
      </c>
      <c r="B469" s="1" t="n">
        <v>44724.938125</v>
      </c>
      <c r="C469" s="1" t="n">
        <v>46105</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13095-2025</t>
        </is>
      </c>
      <c r="B470" s="1" t="n">
        <v>45734.65609953704</v>
      </c>
      <c r="C470" s="1" t="n">
        <v>46105</v>
      </c>
      <c r="D470" t="inlineStr">
        <is>
          <t>JÄMTLANDS LÄN</t>
        </is>
      </c>
      <c r="E470" t="inlineStr">
        <is>
          <t>BRÄCKE</t>
        </is>
      </c>
      <c r="G470" t="n">
        <v>7.9</v>
      </c>
      <c r="H470" t="n">
        <v>0</v>
      </c>
      <c r="I470" t="n">
        <v>0</v>
      </c>
      <c r="J470" t="n">
        <v>0</v>
      </c>
      <c r="K470" t="n">
        <v>0</v>
      </c>
      <c r="L470" t="n">
        <v>0</v>
      </c>
      <c r="M470" t="n">
        <v>0</v>
      </c>
      <c r="N470" t="n">
        <v>0</v>
      </c>
      <c r="O470" t="n">
        <v>0</v>
      </c>
      <c r="P470" t="n">
        <v>0</v>
      </c>
      <c r="Q470" t="n">
        <v>0</v>
      </c>
      <c r="R470" s="2" t="inlineStr"/>
    </row>
    <row r="471" ht="15" customHeight="1">
      <c r="A471" t="inlineStr">
        <is>
          <t>A 32429-2024</t>
        </is>
      </c>
      <c r="B471" s="1" t="n">
        <v>45512.92820601852</v>
      </c>
      <c r="C471" s="1" t="n">
        <v>46105</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49861-2022</t>
        </is>
      </c>
      <c r="B472" s="1" t="n">
        <v>44862</v>
      </c>
      <c r="C472" s="1" t="n">
        <v>46105</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46105</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30719-2022</t>
        </is>
      </c>
      <c r="B474" s="1" t="n">
        <v>44763.94347222222</v>
      </c>
      <c r="C474" s="1" t="n">
        <v>46105</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4170-2024</t>
        </is>
      </c>
      <c r="B475" s="1" t="n">
        <v>45323.94685185186</v>
      </c>
      <c r="C475" s="1" t="n">
        <v>46105</v>
      </c>
      <c r="D475" t="inlineStr">
        <is>
          <t>JÄMTLANDS LÄN</t>
        </is>
      </c>
      <c r="E475" t="inlineStr">
        <is>
          <t>BRÄCKE</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29325-2022</t>
        </is>
      </c>
      <c r="B476" s="1" t="n">
        <v>44751.94157407407</v>
      </c>
      <c r="C476" s="1" t="n">
        <v>46105</v>
      </c>
      <c r="D476" t="inlineStr">
        <is>
          <t>JÄMTLANDS LÄN</t>
        </is>
      </c>
      <c r="E476" t="inlineStr">
        <is>
          <t>BRÄCKE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6362-2024</t>
        </is>
      </c>
      <c r="B477" s="1" t="n">
        <v>45338</v>
      </c>
      <c r="C477" s="1" t="n">
        <v>46105</v>
      </c>
      <c r="D477" t="inlineStr">
        <is>
          <t>JÄMTLANDS LÄN</t>
        </is>
      </c>
      <c r="E477" t="inlineStr">
        <is>
          <t>BRÄCKE</t>
        </is>
      </c>
      <c r="G477" t="n">
        <v>4</v>
      </c>
      <c r="H477" t="n">
        <v>0</v>
      </c>
      <c r="I477" t="n">
        <v>0</v>
      </c>
      <c r="J477" t="n">
        <v>0</v>
      </c>
      <c r="K477" t="n">
        <v>0</v>
      </c>
      <c r="L477" t="n">
        <v>0</v>
      </c>
      <c r="M477" t="n">
        <v>0</v>
      </c>
      <c r="N477" t="n">
        <v>0</v>
      </c>
      <c r="O477" t="n">
        <v>0</v>
      </c>
      <c r="P477" t="n">
        <v>0</v>
      </c>
      <c r="Q477" t="n">
        <v>0</v>
      </c>
      <c r="R477" s="2" t="inlineStr"/>
    </row>
    <row r="478" ht="15" customHeight="1">
      <c r="A478" t="inlineStr">
        <is>
          <t>A 48425-2023</t>
        </is>
      </c>
      <c r="B478" s="1" t="n">
        <v>45205</v>
      </c>
      <c r="C478" s="1" t="n">
        <v>46105</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42290-2022</t>
        </is>
      </c>
      <c r="B479" s="1" t="n">
        <v>44830</v>
      </c>
      <c r="C479" s="1" t="n">
        <v>46105</v>
      </c>
      <c r="D479" t="inlineStr">
        <is>
          <t>JÄMTLANDS LÄN</t>
        </is>
      </c>
      <c r="E479" t="inlineStr">
        <is>
          <t>BRÄCKE</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6516-2024</t>
        </is>
      </c>
      <c r="B480" s="1" t="n">
        <v>45341</v>
      </c>
      <c r="C480" s="1" t="n">
        <v>46105</v>
      </c>
      <c r="D480" t="inlineStr">
        <is>
          <t>JÄMTLANDS LÄN</t>
        </is>
      </c>
      <c r="E480" t="inlineStr">
        <is>
          <t>BRÄCKE</t>
        </is>
      </c>
      <c r="G480" t="n">
        <v>0.3</v>
      </c>
      <c r="H480" t="n">
        <v>0</v>
      </c>
      <c r="I480" t="n">
        <v>0</v>
      </c>
      <c r="J480" t="n">
        <v>0</v>
      </c>
      <c r="K480" t="n">
        <v>0</v>
      </c>
      <c r="L480" t="n">
        <v>0</v>
      </c>
      <c r="M480" t="n">
        <v>0</v>
      </c>
      <c r="N480" t="n">
        <v>0</v>
      </c>
      <c r="O480" t="n">
        <v>0</v>
      </c>
      <c r="P480" t="n">
        <v>0</v>
      </c>
      <c r="Q480" t="n">
        <v>0</v>
      </c>
      <c r="R480" s="2" t="inlineStr"/>
    </row>
    <row r="481" ht="15" customHeight="1">
      <c r="A481" t="inlineStr">
        <is>
          <t>A 47560-2021</t>
        </is>
      </c>
      <c r="B481" s="1" t="n">
        <v>44447.94313657407</v>
      </c>
      <c r="C481" s="1" t="n">
        <v>46105</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54334-2023</t>
        </is>
      </c>
      <c r="B482" s="1" t="n">
        <v>45232.95790509259</v>
      </c>
      <c r="C482" s="1" t="n">
        <v>46105</v>
      </c>
      <c r="D482" t="inlineStr">
        <is>
          <t>JÄMTLANDS LÄN</t>
        </is>
      </c>
      <c r="E482" t="inlineStr">
        <is>
          <t>BRÄCKE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13554-2024</t>
        </is>
      </c>
      <c r="B483" s="1" t="n">
        <v>45387</v>
      </c>
      <c r="C483" s="1" t="n">
        <v>46105</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46105</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16158-2024</t>
        </is>
      </c>
      <c r="B485" s="1" t="n">
        <v>45406.5909837963</v>
      </c>
      <c r="C485" s="1" t="n">
        <v>46105</v>
      </c>
      <c r="D485" t="inlineStr">
        <is>
          <t>JÄMTLANDS LÄN</t>
        </is>
      </c>
      <c r="E485" t="inlineStr">
        <is>
          <t>BRÄCKE</t>
        </is>
      </c>
      <c r="G485" t="n">
        <v>5</v>
      </c>
      <c r="H485" t="n">
        <v>0</v>
      </c>
      <c r="I485" t="n">
        <v>0</v>
      </c>
      <c r="J485" t="n">
        <v>0</v>
      </c>
      <c r="K485" t="n">
        <v>0</v>
      </c>
      <c r="L485" t="n">
        <v>0</v>
      </c>
      <c r="M485" t="n">
        <v>0</v>
      </c>
      <c r="N485" t="n">
        <v>0</v>
      </c>
      <c r="O485" t="n">
        <v>0</v>
      </c>
      <c r="P485" t="n">
        <v>0</v>
      </c>
      <c r="Q485" t="n">
        <v>0</v>
      </c>
      <c r="R485" s="2" t="inlineStr"/>
    </row>
    <row r="486" ht="15" customHeight="1">
      <c r="A486" t="inlineStr">
        <is>
          <t>A 48079-2023</t>
        </is>
      </c>
      <c r="B486" s="1" t="n">
        <v>45204</v>
      </c>
      <c r="C486" s="1" t="n">
        <v>46105</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20267-2024</t>
        </is>
      </c>
      <c r="B487" s="1" t="n">
        <v>45434.9487962963</v>
      </c>
      <c r="C487" s="1" t="n">
        <v>46105</v>
      </c>
      <c r="D487" t="inlineStr">
        <is>
          <t>JÄMTLANDS LÄN</t>
        </is>
      </c>
      <c r="E487" t="inlineStr">
        <is>
          <t>BRÄCKE</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4882-2025</t>
        </is>
      </c>
      <c r="B488" s="1" t="n">
        <v>45688.67729166667</v>
      </c>
      <c r="C488" s="1" t="n">
        <v>46105</v>
      </c>
      <c r="D488" t="inlineStr">
        <is>
          <t>JÄMTLANDS LÄN</t>
        </is>
      </c>
      <c r="E488" t="inlineStr">
        <is>
          <t>BRÄCKE</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52269-2023</t>
        </is>
      </c>
      <c r="B489" s="1" t="n">
        <v>45217</v>
      </c>
      <c r="C489" s="1" t="n">
        <v>46105</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46105</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14510-2025</t>
        </is>
      </c>
      <c r="B491" s="1" t="n">
        <v>45741.63628472222</v>
      </c>
      <c r="C491" s="1" t="n">
        <v>46105</v>
      </c>
      <c r="D491" t="inlineStr">
        <is>
          <t>JÄMTLANDS LÄN</t>
        </is>
      </c>
      <c r="E491" t="inlineStr">
        <is>
          <t>BRÄCKE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14511-2025</t>
        </is>
      </c>
      <c r="B492" s="1" t="n">
        <v>45741.63643518519</v>
      </c>
      <c r="C492" s="1" t="n">
        <v>46105</v>
      </c>
      <c r="D492" t="inlineStr">
        <is>
          <t>JÄMTLANDS LÄN</t>
        </is>
      </c>
      <c r="E492" t="inlineStr">
        <is>
          <t>BRÄCKE</t>
        </is>
      </c>
      <c r="F492" t="inlineStr">
        <is>
          <t>SCA</t>
        </is>
      </c>
      <c r="G492" t="n">
        <v>19.5</v>
      </c>
      <c r="H492" t="n">
        <v>0</v>
      </c>
      <c r="I492" t="n">
        <v>0</v>
      </c>
      <c r="J492" t="n">
        <v>0</v>
      </c>
      <c r="K492" t="n">
        <v>0</v>
      </c>
      <c r="L492" t="n">
        <v>0</v>
      </c>
      <c r="M492" t="n">
        <v>0</v>
      </c>
      <c r="N492" t="n">
        <v>0</v>
      </c>
      <c r="O492" t="n">
        <v>0</v>
      </c>
      <c r="P492" t="n">
        <v>0</v>
      </c>
      <c r="Q492" t="n">
        <v>0</v>
      </c>
      <c r="R492" s="2" t="inlineStr"/>
    </row>
    <row r="493" ht="15" customHeight="1">
      <c r="A493" t="inlineStr">
        <is>
          <t>A 40711-2022</t>
        </is>
      </c>
      <c r="B493" s="1" t="n">
        <v>44820</v>
      </c>
      <c r="C493" s="1" t="n">
        <v>46105</v>
      </c>
      <c r="D493" t="inlineStr">
        <is>
          <t>JÄMTLANDS LÄN</t>
        </is>
      </c>
      <c r="E493" t="inlineStr">
        <is>
          <t>BRÄCKE</t>
        </is>
      </c>
      <c r="G493" t="n">
        <v>5.4</v>
      </c>
      <c r="H493" t="n">
        <v>0</v>
      </c>
      <c r="I493" t="n">
        <v>0</v>
      </c>
      <c r="J493" t="n">
        <v>0</v>
      </c>
      <c r="K493" t="n">
        <v>0</v>
      </c>
      <c r="L493" t="n">
        <v>0</v>
      </c>
      <c r="M493" t="n">
        <v>0</v>
      </c>
      <c r="N493" t="n">
        <v>0</v>
      </c>
      <c r="O493" t="n">
        <v>0</v>
      </c>
      <c r="P493" t="n">
        <v>0</v>
      </c>
      <c r="Q493" t="n">
        <v>0</v>
      </c>
      <c r="R493" s="2" t="inlineStr"/>
    </row>
    <row r="494" ht="15" customHeight="1">
      <c r="A494" t="inlineStr">
        <is>
          <t>A 59417-2023</t>
        </is>
      </c>
      <c r="B494" s="1" t="n">
        <v>45253</v>
      </c>
      <c r="C494" s="1" t="n">
        <v>46105</v>
      </c>
      <c r="D494" t="inlineStr">
        <is>
          <t>JÄMTLANDS LÄN</t>
        </is>
      </c>
      <c r="E494" t="inlineStr">
        <is>
          <t>BRÄCKE</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34409-2021</t>
        </is>
      </c>
      <c r="B495" s="1" t="n">
        <v>44379</v>
      </c>
      <c r="C495" s="1" t="n">
        <v>46105</v>
      </c>
      <c r="D495" t="inlineStr">
        <is>
          <t>JÄMTLANDS LÄN</t>
        </is>
      </c>
      <c r="E495" t="inlineStr">
        <is>
          <t>BRÄCKE</t>
        </is>
      </c>
      <c r="F495" t="inlineStr">
        <is>
          <t>SCA</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13166-2024</t>
        </is>
      </c>
      <c r="B496" s="1" t="n">
        <v>45386.40141203703</v>
      </c>
      <c r="C496" s="1" t="n">
        <v>46105</v>
      </c>
      <c r="D496" t="inlineStr">
        <is>
          <t>JÄMTLANDS LÄN</t>
        </is>
      </c>
      <c r="E496" t="inlineStr">
        <is>
          <t>BRÄCKE</t>
        </is>
      </c>
      <c r="G496" t="n">
        <v>7.3</v>
      </c>
      <c r="H496" t="n">
        <v>0</v>
      </c>
      <c r="I496" t="n">
        <v>0</v>
      </c>
      <c r="J496" t="n">
        <v>0</v>
      </c>
      <c r="K496" t="n">
        <v>0</v>
      </c>
      <c r="L496" t="n">
        <v>0</v>
      </c>
      <c r="M496" t="n">
        <v>0</v>
      </c>
      <c r="N496" t="n">
        <v>0</v>
      </c>
      <c r="O496" t="n">
        <v>0</v>
      </c>
      <c r="P496" t="n">
        <v>0</v>
      </c>
      <c r="Q496" t="n">
        <v>0</v>
      </c>
      <c r="R496" s="2" t="inlineStr"/>
    </row>
    <row r="497" ht="15" customHeight="1">
      <c r="A497" t="inlineStr">
        <is>
          <t>A 24874-2024</t>
        </is>
      </c>
      <c r="B497" s="1" t="n">
        <v>45461.52280092592</v>
      </c>
      <c r="C497" s="1" t="n">
        <v>46105</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24878-2024</t>
        </is>
      </c>
      <c r="B498" s="1" t="n">
        <v>45461.55193287037</v>
      </c>
      <c r="C498" s="1" t="n">
        <v>46105</v>
      </c>
      <c r="D498" t="inlineStr">
        <is>
          <t>JÄMTLANDS LÄN</t>
        </is>
      </c>
      <c r="E498" t="inlineStr">
        <is>
          <t>BRÄCKE</t>
        </is>
      </c>
      <c r="G498" t="n">
        <v>3.8</v>
      </c>
      <c r="H498" t="n">
        <v>0</v>
      </c>
      <c r="I498" t="n">
        <v>0</v>
      </c>
      <c r="J498" t="n">
        <v>0</v>
      </c>
      <c r="K498" t="n">
        <v>0</v>
      </c>
      <c r="L498" t="n">
        <v>0</v>
      </c>
      <c r="M498" t="n">
        <v>0</v>
      </c>
      <c r="N498" t="n">
        <v>0</v>
      </c>
      <c r="O498" t="n">
        <v>0</v>
      </c>
      <c r="P498" t="n">
        <v>0</v>
      </c>
      <c r="Q498" t="n">
        <v>0</v>
      </c>
      <c r="R498" s="2" t="inlineStr"/>
    </row>
    <row r="499" ht="15" customHeight="1">
      <c r="A499" t="inlineStr">
        <is>
          <t>A 13180-2024</t>
        </is>
      </c>
      <c r="B499" s="1" t="n">
        <v>45386.43207175926</v>
      </c>
      <c r="C499" s="1" t="n">
        <v>46105</v>
      </c>
      <c r="D499" t="inlineStr">
        <is>
          <t>JÄMTLANDS LÄN</t>
        </is>
      </c>
      <c r="E499" t="inlineStr">
        <is>
          <t>BRÄCKE</t>
        </is>
      </c>
      <c r="G499" t="n">
        <v>1.8</v>
      </c>
      <c r="H499" t="n">
        <v>0</v>
      </c>
      <c r="I499" t="n">
        <v>0</v>
      </c>
      <c r="J499" t="n">
        <v>0</v>
      </c>
      <c r="K499" t="n">
        <v>0</v>
      </c>
      <c r="L499" t="n">
        <v>0</v>
      </c>
      <c r="M499" t="n">
        <v>0</v>
      </c>
      <c r="N499" t="n">
        <v>0</v>
      </c>
      <c r="O499" t="n">
        <v>0</v>
      </c>
      <c r="P499" t="n">
        <v>0</v>
      </c>
      <c r="Q499" t="n">
        <v>0</v>
      </c>
      <c r="R499" s="2" t="inlineStr"/>
    </row>
    <row r="500" ht="15" customHeight="1">
      <c r="A500" t="inlineStr">
        <is>
          <t>A 32961-2022</t>
        </is>
      </c>
      <c r="B500" s="1" t="n">
        <v>44784.92487268519</v>
      </c>
      <c r="C500" s="1" t="n">
        <v>46105</v>
      </c>
      <c r="D500" t="inlineStr">
        <is>
          <t>JÄMTLANDS LÄN</t>
        </is>
      </c>
      <c r="E500" t="inlineStr">
        <is>
          <t>BRÄCKE</t>
        </is>
      </c>
      <c r="G500" t="n">
        <v>2.6</v>
      </c>
      <c r="H500" t="n">
        <v>0</v>
      </c>
      <c r="I500" t="n">
        <v>0</v>
      </c>
      <c r="J500" t="n">
        <v>0</v>
      </c>
      <c r="K500" t="n">
        <v>0</v>
      </c>
      <c r="L500" t="n">
        <v>0</v>
      </c>
      <c r="M500" t="n">
        <v>0</v>
      </c>
      <c r="N500" t="n">
        <v>0</v>
      </c>
      <c r="O500" t="n">
        <v>0</v>
      </c>
      <c r="P500" t="n">
        <v>0</v>
      </c>
      <c r="Q500" t="n">
        <v>0</v>
      </c>
      <c r="R500" s="2" t="inlineStr"/>
    </row>
    <row r="501" ht="15" customHeight="1">
      <c r="A501" t="inlineStr">
        <is>
          <t>A 22978-2024</t>
        </is>
      </c>
      <c r="B501" s="1" t="n">
        <v>45449</v>
      </c>
      <c r="C501" s="1" t="n">
        <v>46105</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16707-2024</t>
        </is>
      </c>
      <c r="B502" s="1" t="n">
        <v>45409.07706018518</v>
      </c>
      <c r="C502" s="1" t="n">
        <v>46105</v>
      </c>
      <c r="D502" t="inlineStr">
        <is>
          <t>JÄMTLANDS LÄN</t>
        </is>
      </c>
      <c r="E502" t="inlineStr">
        <is>
          <t>BRÄCKE</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56822-2022</t>
        </is>
      </c>
      <c r="B503" s="1" t="n">
        <v>44894.44673611111</v>
      </c>
      <c r="C503" s="1" t="n">
        <v>46105</v>
      </c>
      <c r="D503" t="inlineStr">
        <is>
          <t>JÄMTLANDS LÄN</t>
        </is>
      </c>
      <c r="E503" t="inlineStr">
        <is>
          <t>BRÄCKE</t>
        </is>
      </c>
      <c r="G503" t="n">
        <v>1.2</v>
      </c>
      <c r="H503" t="n">
        <v>0</v>
      </c>
      <c r="I503" t="n">
        <v>0</v>
      </c>
      <c r="J503" t="n">
        <v>0</v>
      </c>
      <c r="K503" t="n">
        <v>0</v>
      </c>
      <c r="L503" t="n">
        <v>0</v>
      </c>
      <c r="M503" t="n">
        <v>0</v>
      </c>
      <c r="N503" t="n">
        <v>0</v>
      </c>
      <c r="O503" t="n">
        <v>0</v>
      </c>
      <c r="P503" t="n">
        <v>0</v>
      </c>
      <c r="Q503" t="n">
        <v>0</v>
      </c>
      <c r="R503" s="2" t="inlineStr"/>
    </row>
    <row r="504" ht="15" customHeight="1">
      <c r="A504" t="inlineStr">
        <is>
          <t>A 29941-2023</t>
        </is>
      </c>
      <c r="B504" s="1" t="n">
        <v>45107</v>
      </c>
      <c r="C504" s="1" t="n">
        <v>46105</v>
      </c>
      <c r="D504" t="inlineStr">
        <is>
          <t>JÄMTLANDS LÄN</t>
        </is>
      </c>
      <c r="E504" t="inlineStr">
        <is>
          <t>BRÄCKE</t>
        </is>
      </c>
      <c r="G504" t="n">
        <v>6.1</v>
      </c>
      <c r="H504" t="n">
        <v>0</v>
      </c>
      <c r="I504" t="n">
        <v>0</v>
      </c>
      <c r="J504" t="n">
        <v>0</v>
      </c>
      <c r="K504" t="n">
        <v>0</v>
      </c>
      <c r="L504" t="n">
        <v>0</v>
      </c>
      <c r="M504" t="n">
        <v>0</v>
      </c>
      <c r="N504" t="n">
        <v>0</v>
      </c>
      <c r="O504" t="n">
        <v>0</v>
      </c>
      <c r="P504" t="n">
        <v>0</v>
      </c>
      <c r="Q504" t="n">
        <v>0</v>
      </c>
      <c r="R504" s="2" t="inlineStr"/>
    </row>
    <row r="505" ht="15" customHeight="1">
      <c r="A505" t="inlineStr">
        <is>
          <t>A 31342-2021</t>
        </is>
      </c>
      <c r="B505" s="1" t="n">
        <v>44368.93855324074</v>
      </c>
      <c r="C505" s="1" t="n">
        <v>46105</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20003-2024</t>
        </is>
      </c>
      <c r="B506" s="1" t="n">
        <v>45433.94275462963</v>
      </c>
      <c r="C506" s="1" t="n">
        <v>46105</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20009-2024</t>
        </is>
      </c>
      <c r="B507" s="1" t="n">
        <v>45433.94325231481</v>
      </c>
      <c r="C507" s="1" t="n">
        <v>46105</v>
      </c>
      <c r="D507" t="inlineStr">
        <is>
          <t>JÄMTLANDS LÄN</t>
        </is>
      </c>
      <c r="E507" t="inlineStr">
        <is>
          <t>BRÄCKE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45381-2024</t>
        </is>
      </c>
      <c r="B508" s="1" t="n">
        <v>45576.53155092592</v>
      </c>
      <c r="C508" s="1" t="n">
        <v>46105</v>
      </c>
      <c r="D508" t="inlineStr">
        <is>
          <t>JÄMTLANDS LÄN</t>
        </is>
      </c>
      <c r="E508" t="inlineStr">
        <is>
          <t>BRÄCKE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35903-2024</t>
        </is>
      </c>
      <c r="B509" s="1" t="n">
        <v>45533.40648148148</v>
      </c>
      <c r="C509" s="1" t="n">
        <v>46105</v>
      </c>
      <c r="D509" t="inlineStr">
        <is>
          <t>JÄMTLANDS LÄN</t>
        </is>
      </c>
      <c r="E509" t="inlineStr">
        <is>
          <t>BRÄCKE</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46601-2022</t>
        </is>
      </c>
      <c r="B510" s="1" t="n">
        <v>44848</v>
      </c>
      <c r="C510" s="1" t="n">
        <v>46105</v>
      </c>
      <c r="D510" t="inlineStr">
        <is>
          <t>JÄMTLANDS LÄN</t>
        </is>
      </c>
      <c r="E510" t="inlineStr">
        <is>
          <t>BRÄCKE</t>
        </is>
      </c>
      <c r="G510" t="n">
        <v>2.7</v>
      </c>
      <c r="H510" t="n">
        <v>0</v>
      </c>
      <c r="I510" t="n">
        <v>0</v>
      </c>
      <c r="J510" t="n">
        <v>0</v>
      </c>
      <c r="K510" t="n">
        <v>0</v>
      </c>
      <c r="L510" t="n">
        <v>0</v>
      </c>
      <c r="M510" t="n">
        <v>0</v>
      </c>
      <c r="N510" t="n">
        <v>0</v>
      </c>
      <c r="O510" t="n">
        <v>0</v>
      </c>
      <c r="P510" t="n">
        <v>0</v>
      </c>
      <c r="Q510" t="n">
        <v>0</v>
      </c>
      <c r="R510" s="2" t="inlineStr"/>
    </row>
    <row r="511" ht="15" customHeight="1">
      <c r="A511" t="inlineStr">
        <is>
          <t>A 32101-2021</t>
        </is>
      </c>
      <c r="B511" s="1" t="n">
        <v>44370.94097222222</v>
      </c>
      <c r="C511" s="1" t="n">
        <v>46105</v>
      </c>
      <c r="D511" t="inlineStr">
        <is>
          <t>JÄMTLANDS LÄN</t>
        </is>
      </c>
      <c r="E511" t="inlineStr">
        <is>
          <t>BRÄCKE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4381-2023</t>
        </is>
      </c>
      <c r="B512" s="1" t="n">
        <v>44955</v>
      </c>
      <c r="C512" s="1" t="n">
        <v>46105</v>
      </c>
      <c r="D512" t="inlineStr">
        <is>
          <t>JÄMTLANDS LÄN</t>
        </is>
      </c>
      <c r="E512" t="inlineStr">
        <is>
          <t>BRÄCKE</t>
        </is>
      </c>
      <c r="G512" t="n">
        <v>2.1</v>
      </c>
      <c r="H512" t="n">
        <v>0</v>
      </c>
      <c r="I512" t="n">
        <v>0</v>
      </c>
      <c r="J512" t="n">
        <v>0</v>
      </c>
      <c r="K512" t="n">
        <v>0</v>
      </c>
      <c r="L512" t="n">
        <v>0</v>
      </c>
      <c r="M512" t="n">
        <v>0</v>
      </c>
      <c r="N512" t="n">
        <v>0</v>
      </c>
      <c r="O512" t="n">
        <v>0</v>
      </c>
      <c r="P512" t="n">
        <v>0</v>
      </c>
      <c r="Q512" t="n">
        <v>0</v>
      </c>
      <c r="R512" s="2" t="inlineStr"/>
    </row>
    <row r="513" ht="15" customHeight="1">
      <c r="A513" t="inlineStr">
        <is>
          <t>A 30102-2021</t>
        </is>
      </c>
      <c r="B513" s="1" t="n">
        <v>44363</v>
      </c>
      <c r="C513" s="1" t="n">
        <v>46105</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29189-2024</t>
        </is>
      </c>
      <c r="B514" s="1" t="n">
        <v>45482.55164351852</v>
      </c>
      <c r="C514" s="1" t="n">
        <v>46105</v>
      </c>
      <c r="D514" t="inlineStr">
        <is>
          <t>JÄMTLANDS LÄN</t>
        </is>
      </c>
      <c r="E514" t="inlineStr">
        <is>
          <t>BRÄCKE</t>
        </is>
      </c>
      <c r="F514" t="inlineStr">
        <is>
          <t>Övriga Aktiebolag</t>
        </is>
      </c>
      <c r="G514" t="n">
        <v>6.6</v>
      </c>
      <c r="H514" t="n">
        <v>0</v>
      </c>
      <c r="I514" t="n">
        <v>0</v>
      </c>
      <c r="J514" t="n">
        <v>0</v>
      </c>
      <c r="K514" t="n">
        <v>0</v>
      </c>
      <c r="L514" t="n">
        <v>0</v>
      </c>
      <c r="M514" t="n">
        <v>0</v>
      </c>
      <c r="N514" t="n">
        <v>0</v>
      </c>
      <c r="O514" t="n">
        <v>0</v>
      </c>
      <c r="P514" t="n">
        <v>0</v>
      </c>
      <c r="Q514" t="n">
        <v>0</v>
      </c>
      <c r="R514" s="2" t="inlineStr"/>
    </row>
    <row r="515" ht="15" customHeight="1">
      <c r="A515" t="inlineStr">
        <is>
          <t>A 37238-2021</t>
        </is>
      </c>
      <c r="B515" s="1" t="n">
        <v>44396.93490740741</v>
      </c>
      <c r="C515" s="1" t="n">
        <v>46105</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22116-2024</t>
        </is>
      </c>
      <c r="B516" s="1" t="n">
        <v>45443.95230324074</v>
      </c>
      <c r="C516" s="1" t="n">
        <v>46105</v>
      </c>
      <c r="D516" t="inlineStr">
        <is>
          <t>JÄMTLANDS LÄN</t>
        </is>
      </c>
      <c r="E516" t="inlineStr">
        <is>
          <t>BRÄCKE</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37375-2021</t>
        </is>
      </c>
      <c r="B517" s="1" t="n">
        <v>44397</v>
      </c>
      <c r="C517" s="1" t="n">
        <v>46105</v>
      </c>
      <c r="D517" t="inlineStr">
        <is>
          <t>JÄMTLANDS LÄN</t>
        </is>
      </c>
      <c r="E517" t="inlineStr">
        <is>
          <t>BRÄCKE</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21086-2024</t>
        </is>
      </c>
      <c r="B518" s="1" t="n">
        <v>45439.92791666667</v>
      </c>
      <c r="C518" s="1" t="n">
        <v>46105</v>
      </c>
      <c r="D518" t="inlineStr">
        <is>
          <t>JÄMTLANDS LÄN</t>
        </is>
      </c>
      <c r="E518" t="inlineStr">
        <is>
          <t>BRÄCKE</t>
        </is>
      </c>
      <c r="G518" t="n">
        <v>1.5</v>
      </c>
      <c r="H518" t="n">
        <v>0</v>
      </c>
      <c r="I518" t="n">
        <v>0</v>
      </c>
      <c r="J518" t="n">
        <v>0</v>
      </c>
      <c r="K518" t="n">
        <v>0</v>
      </c>
      <c r="L518" t="n">
        <v>0</v>
      </c>
      <c r="M518" t="n">
        <v>0</v>
      </c>
      <c r="N518" t="n">
        <v>0</v>
      </c>
      <c r="O518" t="n">
        <v>0</v>
      </c>
      <c r="P518" t="n">
        <v>0</v>
      </c>
      <c r="Q518" t="n">
        <v>0</v>
      </c>
      <c r="R518" s="2" t="inlineStr"/>
    </row>
    <row r="519" ht="15" customHeight="1">
      <c r="A519" t="inlineStr">
        <is>
          <t>A 25718-2024</t>
        </is>
      </c>
      <c r="B519" s="1" t="n">
        <v>45463.94467592592</v>
      </c>
      <c r="C519" s="1" t="n">
        <v>46105</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1863-2022</t>
        </is>
      </c>
      <c r="B520" s="1" t="n">
        <v>44574</v>
      </c>
      <c r="C520" s="1" t="n">
        <v>46105</v>
      </c>
      <c r="D520" t="inlineStr">
        <is>
          <t>JÄMTLANDS LÄN</t>
        </is>
      </c>
      <c r="E520" t="inlineStr">
        <is>
          <t>BRÄCKE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1865-2022</t>
        </is>
      </c>
      <c r="B521" s="1" t="n">
        <v>44574</v>
      </c>
      <c r="C521" s="1" t="n">
        <v>46105</v>
      </c>
      <c r="D521" t="inlineStr">
        <is>
          <t>JÄMTLANDS LÄN</t>
        </is>
      </c>
      <c r="E521" t="inlineStr">
        <is>
          <t>BRÄCKE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54274-2022</t>
        </is>
      </c>
      <c r="B522" s="1" t="n">
        <v>44879</v>
      </c>
      <c r="C522" s="1" t="n">
        <v>46105</v>
      </c>
      <c r="D522" t="inlineStr">
        <is>
          <t>JÄMTLANDS LÄN</t>
        </is>
      </c>
      <c r="E522" t="inlineStr">
        <is>
          <t>BRÄCKE</t>
        </is>
      </c>
      <c r="G522" t="n">
        <v>1.1</v>
      </c>
      <c r="H522" t="n">
        <v>0</v>
      </c>
      <c r="I522" t="n">
        <v>0</v>
      </c>
      <c r="J522" t="n">
        <v>0</v>
      </c>
      <c r="K522" t="n">
        <v>0</v>
      </c>
      <c r="L522" t="n">
        <v>0</v>
      </c>
      <c r="M522" t="n">
        <v>0</v>
      </c>
      <c r="N522" t="n">
        <v>0</v>
      </c>
      <c r="O522" t="n">
        <v>0</v>
      </c>
      <c r="P522" t="n">
        <v>0</v>
      </c>
      <c r="Q522" t="n">
        <v>0</v>
      </c>
      <c r="R522" s="2" t="inlineStr"/>
    </row>
    <row r="523" ht="15" customHeight="1">
      <c r="A523" t="inlineStr">
        <is>
          <t>A 60417-2022</t>
        </is>
      </c>
      <c r="B523" s="1" t="n">
        <v>44910.97158564815</v>
      </c>
      <c r="C523" s="1" t="n">
        <v>46105</v>
      </c>
      <c r="D523" t="inlineStr">
        <is>
          <t>JÄMTLANDS LÄN</t>
        </is>
      </c>
      <c r="E523" t="inlineStr">
        <is>
          <t>BRÄCKE</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3528-2024</t>
        </is>
      </c>
      <c r="B524" s="1" t="n">
        <v>45320</v>
      </c>
      <c r="C524" s="1" t="n">
        <v>46105</v>
      </c>
      <c r="D524" t="inlineStr">
        <is>
          <t>JÄMTLANDS LÄN</t>
        </is>
      </c>
      <c r="E524" t="inlineStr">
        <is>
          <t>BRÄCKE</t>
        </is>
      </c>
      <c r="G524" t="n">
        <v>0.8</v>
      </c>
      <c r="H524" t="n">
        <v>0</v>
      </c>
      <c r="I524" t="n">
        <v>0</v>
      </c>
      <c r="J524" t="n">
        <v>0</v>
      </c>
      <c r="K524" t="n">
        <v>0</v>
      </c>
      <c r="L524" t="n">
        <v>0</v>
      </c>
      <c r="M524" t="n">
        <v>0</v>
      </c>
      <c r="N524" t="n">
        <v>0</v>
      </c>
      <c r="O524" t="n">
        <v>0</v>
      </c>
      <c r="P524" t="n">
        <v>0</v>
      </c>
      <c r="Q524" t="n">
        <v>0</v>
      </c>
      <c r="R524" s="2" t="inlineStr"/>
    </row>
    <row r="525" ht="15" customHeight="1">
      <c r="A525" t="inlineStr">
        <is>
          <t>A 44445-2022</t>
        </is>
      </c>
      <c r="B525" s="1" t="n">
        <v>44839.95482638889</v>
      </c>
      <c r="C525" s="1" t="n">
        <v>46105</v>
      </c>
      <c r="D525" t="inlineStr">
        <is>
          <t>JÄMTLANDS LÄN</t>
        </is>
      </c>
      <c r="E525" t="inlineStr">
        <is>
          <t>BRÄCKE</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23534-2024</t>
        </is>
      </c>
      <c r="B526" s="1" t="n">
        <v>45453.95170138889</v>
      </c>
      <c r="C526" s="1" t="n">
        <v>46105</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26025-2024</t>
        </is>
      </c>
      <c r="B527" s="1" t="n">
        <v>45467.96188657408</v>
      </c>
      <c r="C527" s="1" t="n">
        <v>46105</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57011-2022</t>
        </is>
      </c>
      <c r="B528" s="1" t="n">
        <v>44894</v>
      </c>
      <c r="C528" s="1" t="n">
        <v>46105</v>
      </c>
      <c r="D528" t="inlineStr">
        <is>
          <t>JÄMTLANDS LÄN</t>
        </is>
      </c>
      <c r="E528" t="inlineStr">
        <is>
          <t>BRÄCKE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64037-2023</t>
        </is>
      </c>
      <c r="B529" s="1" t="n">
        <v>45278.94344907408</v>
      </c>
      <c r="C529" s="1" t="n">
        <v>46105</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54568-2022</t>
        </is>
      </c>
      <c r="B530" s="1" t="n">
        <v>44882.95480324074</v>
      </c>
      <c r="C530" s="1" t="n">
        <v>46105</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27256-2021</t>
        </is>
      </c>
      <c r="B531" s="1" t="n">
        <v>44350</v>
      </c>
      <c r="C531" s="1" t="n">
        <v>46105</v>
      </c>
      <c r="D531" t="inlineStr">
        <is>
          <t>JÄMTLANDS LÄN</t>
        </is>
      </c>
      <c r="E531" t="inlineStr">
        <is>
          <t>BRÄCKE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63716-2023</t>
        </is>
      </c>
      <c r="B532" s="1" t="n">
        <v>45275</v>
      </c>
      <c r="C532" s="1" t="n">
        <v>46105</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63534-2023</t>
        </is>
      </c>
      <c r="B533" s="1" t="n">
        <v>45274.94905092593</v>
      </c>
      <c r="C533" s="1" t="n">
        <v>46105</v>
      </c>
      <c r="D533" t="inlineStr">
        <is>
          <t>JÄMTLANDS LÄN</t>
        </is>
      </c>
      <c r="E533" t="inlineStr">
        <is>
          <t>BRÄCKE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35252-2021</t>
        </is>
      </c>
      <c r="B534" s="1" t="n">
        <v>44384.59356481482</v>
      </c>
      <c r="C534" s="1" t="n">
        <v>46105</v>
      </c>
      <c r="D534" t="inlineStr">
        <is>
          <t>JÄMTLANDS LÄN</t>
        </is>
      </c>
      <c r="E534" t="inlineStr">
        <is>
          <t>BRÄCKE</t>
        </is>
      </c>
      <c r="G534" t="n">
        <v>1.9</v>
      </c>
      <c r="H534" t="n">
        <v>0</v>
      </c>
      <c r="I534" t="n">
        <v>0</v>
      </c>
      <c r="J534" t="n">
        <v>0</v>
      </c>
      <c r="K534" t="n">
        <v>0</v>
      </c>
      <c r="L534" t="n">
        <v>0</v>
      </c>
      <c r="M534" t="n">
        <v>0</v>
      </c>
      <c r="N534" t="n">
        <v>0</v>
      </c>
      <c r="O534" t="n">
        <v>0</v>
      </c>
      <c r="P534" t="n">
        <v>0</v>
      </c>
      <c r="Q534" t="n">
        <v>0</v>
      </c>
      <c r="R534" s="2" t="inlineStr"/>
    </row>
    <row r="535" ht="15" customHeight="1">
      <c r="A535" t="inlineStr">
        <is>
          <t>A 3239-2022</t>
        </is>
      </c>
      <c r="B535" s="1" t="n">
        <v>44582.93296296296</v>
      </c>
      <c r="C535" s="1" t="n">
        <v>46105</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33998-2023</t>
        </is>
      </c>
      <c r="B536" s="1" t="n">
        <v>45134</v>
      </c>
      <c r="C536" s="1" t="n">
        <v>46105</v>
      </c>
      <c r="D536" t="inlineStr">
        <is>
          <t>JÄMTLANDS LÄN</t>
        </is>
      </c>
      <c r="E536" t="inlineStr">
        <is>
          <t>BRÄCKE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6768-2023</t>
        </is>
      </c>
      <c r="B537" s="1" t="n">
        <v>44966.93079861111</v>
      </c>
      <c r="C537" s="1" t="n">
        <v>46105</v>
      </c>
      <c r="D537" t="inlineStr">
        <is>
          <t>JÄMTLANDS LÄN</t>
        </is>
      </c>
      <c r="E537" t="inlineStr">
        <is>
          <t>BRÄCKE</t>
        </is>
      </c>
      <c r="G537" t="n">
        <v>3.4</v>
      </c>
      <c r="H537" t="n">
        <v>0</v>
      </c>
      <c r="I537" t="n">
        <v>0</v>
      </c>
      <c r="J537" t="n">
        <v>0</v>
      </c>
      <c r="K537" t="n">
        <v>0</v>
      </c>
      <c r="L537" t="n">
        <v>0</v>
      </c>
      <c r="M537" t="n">
        <v>0</v>
      </c>
      <c r="N537" t="n">
        <v>0</v>
      </c>
      <c r="O537" t="n">
        <v>0</v>
      </c>
      <c r="P537" t="n">
        <v>0</v>
      </c>
      <c r="Q537" t="n">
        <v>0</v>
      </c>
      <c r="R537" s="2" t="inlineStr"/>
      <c r="U537">
        <f>HYPERLINK("https://klasma.github.io/Logging_2305/knärot/A 6768-2023 karta knärot.png", "A 6768-2023")</f>
        <v/>
      </c>
      <c r="V537">
        <f>HYPERLINK("https://klasma.github.io/Logging_2305/klagomål/A 6768-2023 FSC-klagomål.docx", "A 6768-2023")</f>
        <v/>
      </c>
      <c r="W537">
        <f>HYPERLINK("https://klasma.github.io/Logging_2305/klagomålsmail/A 6768-2023 FSC-klagomål mail.docx", "A 6768-2023")</f>
        <v/>
      </c>
      <c r="X537">
        <f>HYPERLINK("https://klasma.github.io/Logging_2305/tillsyn/A 6768-2023 tillsynsbegäran.docx", "A 6768-2023")</f>
        <v/>
      </c>
      <c r="Y537">
        <f>HYPERLINK("https://klasma.github.io/Logging_2305/tillsynsmail/A 6768-2023 tillsynsbegäran mail.docx", "A 6768-2023")</f>
        <v/>
      </c>
    </row>
    <row r="538" ht="15" customHeight="1">
      <c r="A538" t="inlineStr">
        <is>
          <t>A 22459-2024</t>
        </is>
      </c>
      <c r="B538" s="1" t="n">
        <v>45446.94972222222</v>
      </c>
      <c r="C538" s="1" t="n">
        <v>46105</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38105-2024</t>
        </is>
      </c>
      <c r="B539" s="1" t="n">
        <v>45545.36538194444</v>
      </c>
      <c r="C539" s="1" t="n">
        <v>46105</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23640-2024</t>
        </is>
      </c>
      <c r="B540" s="1" t="n">
        <v>45454.49516203703</v>
      </c>
      <c r="C540" s="1" t="n">
        <v>46105</v>
      </c>
      <c r="D540" t="inlineStr">
        <is>
          <t>JÄMTLANDS LÄN</t>
        </is>
      </c>
      <c r="E540" t="inlineStr">
        <is>
          <t>BRÄCKE</t>
        </is>
      </c>
      <c r="G540" t="n">
        <v>19.4</v>
      </c>
      <c r="H540" t="n">
        <v>0</v>
      </c>
      <c r="I540" t="n">
        <v>0</v>
      </c>
      <c r="J540" t="n">
        <v>0</v>
      </c>
      <c r="K540" t="n">
        <v>0</v>
      </c>
      <c r="L540" t="n">
        <v>0</v>
      </c>
      <c r="M540" t="n">
        <v>0</v>
      </c>
      <c r="N540" t="n">
        <v>0</v>
      </c>
      <c r="O540" t="n">
        <v>0</v>
      </c>
      <c r="P540" t="n">
        <v>0</v>
      </c>
      <c r="Q540" t="n">
        <v>0</v>
      </c>
      <c r="R540" s="2" t="inlineStr"/>
    </row>
    <row r="541" ht="15" customHeight="1">
      <c r="A541" t="inlineStr">
        <is>
          <t>A 55663-2023</t>
        </is>
      </c>
      <c r="B541" s="1" t="n">
        <v>45238.96738425926</v>
      </c>
      <c r="C541" s="1" t="n">
        <v>46105</v>
      </c>
      <c r="D541" t="inlineStr">
        <is>
          <t>JÄMTLANDS LÄN</t>
        </is>
      </c>
      <c r="E541" t="inlineStr">
        <is>
          <t>BRÄCKE</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37048-2021</t>
        </is>
      </c>
      <c r="B542" s="1" t="n">
        <v>44393.93534722222</v>
      </c>
      <c r="C542" s="1" t="n">
        <v>46105</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40775-2023</t>
        </is>
      </c>
      <c r="B543" s="1" t="n">
        <v>45170.95685185185</v>
      </c>
      <c r="C543" s="1" t="n">
        <v>46105</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52712-2022</t>
        </is>
      </c>
      <c r="B544" s="1" t="n">
        <v>44874</v>
      </c>
      <c r="C544" s="1" t="n">
        <v>46105</v>
      </c>
      <c r="D544" t="inlineStr">
        <is>
          <t>JÄMTLANDS LÄN</t>
        </is>
      </c>
      <c r="E544" t="inlineStr">
        <is>
          <t>BRÄCKE</t>
        </is>
      </c>
      <c r="F544" t="inlineStr">
        <is>
          <t>SCA</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52713-2022</t>
        </is>
      </c>
      <c r="B545" s="1" t="n">
        <v>44874.95504629629</v>
      </c>
      <c r="C545" s="1" t="n">
        <v>46105</v>
      </c>
      <c r="D545" t="inlineStr">
        <is>
          <t>JÄMTLANDS LÄN</t>
        </is>
      </c>
      <c r="E545" t="inlineStr">
        <is>
          <t>BRÄCKE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46597-2022</t>
        </is>
      </c>
      <c r="B546" s="1" t="n">
        <v>44848</v>
      </c>
      <c r="C546" s="1" t="n">
        <v>46105</v>
      </c>
      <c r="D546" t="inlineStr">
        <is>
          <t>JÄMTLANDS LÄN</t>
        </is>
      </c>
      <c r="E546" t="inlineStr">
        <is>
          <t>BRÄCKE</t>
        </is>
      </c>
      <c r="G546" t="n">
        <v>5.5</v>
      </c>
      <c r="H546" t="n">
        <v>0</v>
      </c>
      <c r="I546" t="n">
        <v>0</v>
      </c>
      <c r="J546" t="n">
        <v>0</v>
      </c>
      <c r="K546" t="n">
        <v>0</v>
      </c>
      <c r="L546" t="n">
        <v>0</v>
      </c>
      <c r="M546" t="n">
        <v>0</v>
      </c>
      <c r="N546" t="n">
        <v>0</v>
      </c>
      <c r="O546" t="n">
        <v>0</v>
      </c>
      <c r="P546" t="n">
        <v>0</v>
      </c>
      <c r="Q546" t="n">
        <v>0</v>
      </c>
      <c r="R546" s="2" t="inlineStr"/>
    </row>
    <row r="547" ht="15" customHeight="1">
      <c r="A547" t="inlineStr">
        <is>
          <t>A 26029-2024</t>
        </is>
      </c>
      <c r="B547" s="1" t="n">
        <v>45467.96262731482</v>
      </c>
      <c r="C547" s="1" t="n">
        <v>46105</v>
      </c>
      <c r="D547" t="inlineStr">
        <is>
          <t>JÄMTLANDS LÄN</t>
        </is>
      </c>
      <c r="E547" t="inlineStr">
        <is>
          <t>BRÄCKE</t>
        </is>
      </c>
      <c r="F547" t="inlineStr">
        <is>
          <t>SCA</t>
        </is>
      </c>
      <c r="G547" t="n">
        <v>40.9</v>
      </c>
      <c r="H547" t="n">
        <v>0</v>
      </c>
      <c r="I547" t="n">
        <v>0</v>
      </c>
      <c r="J547" t="n">
        <v>0</v>
      </c>
      <c r="K547" t="n">
        <v>0</v>
      </c>
      <c r="L547" t="n">
        <v>0</v>
      </c>
      <c r="M547" t="n">
        <v>0</v>
      </c>
      <c r="N547" t="n">
        <v>0</v>
      </c>
      <c r="O547" t="n">
        <v>0</v>
      </c>
      <c r="P547" t="n">
        <v>0</v>
      </c>
      <c r="Q547" t="n">
        <v>0</v>
      </c>
      <c r="R547" s="2" t="inlineStr"/>
      <c r="U547">
        <f>HYPERLINK("https://klasma.github.io/Logging_2305/knärot/A 26029-2024 karta knärot.png", "A 26029-2024")</f>
        <v/>
      </c>
      <c r="V547">
        <f>HYPERLINK("https://klasma.github.io/Logging_2305/klagomål/A 26029-2024 FSC-klagomål.docx", "A 26029-2024")</f>
        <v/>
      </c>
      <c r="W547">
        <f>HYPERLINK("https://klasma.github.io/Logging_2305/klagomålsmail/A 26029-2024 FSC-klagomål mail.docx", "A 26029-2024")</f>
        <v/>
      </c>
      <c r="X547">
        <f>HYPERLINK("https://klasma.github.io/Logging_2305/tillsyn/A 26029-2024 tillsynsbegäran.docx", "A 26029-2024")</f>
        <v/>
      </c>
      <c r="Y547">
        <f>HYPERLINK("https://klasma.github.io/Logging_2305/tillsynsmail/A 26029-2024 tillsynsbegäran mail.docx", "A 26029-2024")</f>
        <v/>
      </c>
    </row>
    <row r="548" ht="15" customHeight="1">
      <c r="A548" t="inlineStr">
        <is>
          <t>A 8865-2023</t>
        </is>
      </c>
      <c r="B548" s="1" t="n">
        <v>44978</v>
      </c>
      <c r="C548" s="1" t="n">
        <v>46105</v>
      </c>
      <c r="D548" t="inlineStr">
        <is>
          <t>JÄMTLANDS LÄN</t>
        </is>
      </c>
      <c r="E548" t="inlineStr">
        <is>
          <t>BRÄCKE</t>
        </is>
      </c>
      <c r="G548" t="n">
        <v>2.9</v>
      </c>
      <c r="H548" t="n">
        <v>0</v>
      </c>
      <c r="I548" t="n">
        <v>0</v>
      </c>
      <c r="J548" t="n">
        <v>0</v>
      </c>
      <c r="K548" t="n">
        <v>0</v>
      </c>
      <c r="L548" t="n">
        <v>0</v>
      </c>
      <c r="M548" t="n">
        <v>0</v>
      </c>
      <c r="N548" t="n">
        <v>0</v>
      </c>
      <c r="O548" t="n">
        <v>0</v>
      </c>
      <c r="P548" t="n">
        <v>0</v>
      </c>
      <c r="Q548" t="n">
        <v>0</v>
      </c>
      <c r="R548" s="2" t="inlineStr"/>
    </row>
    <row r="549" ht="15" customHeight="1">
      <c r="A549" t="inlineStr">
        <is>
          <t>A 24974-2024</t>
        </is>
      </c>
      <c r="B549" s="1" t="n">
        <v>45461</v>
      </c>
      <c r="C549" s="1" t="n">
        <v>46105</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29130-2024</t>
        </is>
      </c>
      <c r="B550" s="1" t="n">
        <v>45482.35856481481</v>
      </c>
      <c r="C550" s="1" t="n">
        <v>46105</v>
      </c>
      <c r="D550" t="inlineStr">
        <is>
          <t>JÄMTLANDS LÄN</t>
        </is>
      </c>
      <c r="E550" t="inlineStr">
        <is>
          <t>BRÄCKE</t>
        </is>
      </c>
      <c r="F550" t="inlineStr">
        <is>
          <t>Övriga Aktiebolag</t>
        </is>
      </c>
      <c r="G550" t="n">
        <v>1.2</v>
      </c>
      <c r="H550" t="n">
        <v>0</v>
      </c>
      <c r="I550" t="n">
        <v>0</v>
      </c>
      <c r="J550" t="n">
        <v>0</v>
      </c>
      <c r="K550" t="n">
        <v>0</v>
      </c>
      <c r="L550" t="n">
        <v>0</v>
      </c>
      <c r="M550" t="n">
        <v>0</v>
      </c>
      <c r="N550" t="n">
        <v>0</v>
      </c>
      <c r="O550" t="n">
        <v>0</v>
      </c>
      <c r="P550" t="n">
        <v>0</v>
      </c>
      <c r="Q550" t="n">
        <v>0</v>
      </c>
      <c r="R550" s="2" t="inlineStr"/>
    </row>
    <row r="551" ht="15" customHeight="1">
      <c r="A551" t="inlineStr">
        <is>
          <t>A 45304-2022</t>
        </is>
      </c>
      <c r="B551" s="1" t="n">
        <v>44841</v>
      </c>
      <c r="C551" s="1" t="n">
        <v>46105</v>
      </c>
      <c r="D551" t="inlineStr">
        <is>
          <t>JÄMTLANDS LÄN</t>
        </is>
      </c>
      <c r="E551" t="inlineStr">
        <is>
          <t>BRÄCKE</t>
        </is>
      </c>
      <c r="G551" t="n">
        <v>3.8</v>
      </c>
      <c r="H551" t="n">
        <v>0</v>
      </c>
      <c r="I551" t="n">
        <v>0</v>
      </c>
      <c r="J551" t="n">
        <v>0</v>
      </c>
      <c r="K551" t="n">
        <v>0</v>
      </c>
      <c r="L551" t="n">
        <v>0</v>
      </c>
      <c r="M551" t="n">
        <v>0</v>
      </c>
      <c r="N551" t="n">
        <v>0</v>
      </c>
      <c r="O551" t="n">
        <v>0</v>
      </c>
      <c r="P551" t="n">
        <v>0</v>
      </c>
      <c r="Q551" t="n">
        <v>0</v>
      </c>
      <c r="R551" s="2" t="inlineStr"/>
    </row>
    <row r="552" ht="15" customHeight="1">
      <c r="A552" t="inlineStr">
        <is>
          <t>A 51559-2022</t>
        </is>
      </c>
      <c r="B552" s="1" t="n">
        <v>44869</v>
      </c>
      <c r="C552" s="1" t="n">
        <v>46105</v>
      </c>
      <c r="D552" t="inlineStr">
        <is>
          <t>JÄMTLANDS LÄN</t>
        </is>
      </c>
      <c r="E552" t="inlineStr">
        <is>
          <t>BRÄCKE</t>
        </is>
      </c>
      <c r="F552" t="inlineStr">
        <is>
          <t>SCA</t>
        </is>
      </c>
      <c r="G552" t="n">
        <v>21.1</v>
      </c>
      <c r="H552" t="n">
        <v>0</v>
      </c>
      <c r="I552" t="n">
        <v>0</v>
      </c>
      <c r="J552" t="n">
        <v>0</v>
      </c>
      <c r="K552" t="n">
        <v>0</v>
      </c>
      <c r="L552" t="n">
        <v>0</v>
      </c>
      <c r="M552" t="n">
        <v>0</v>
      </c>
      <c r="N552" t="n">
        <v>0</v>
      </c>
      <c r="O552" t="n">
        <v>0</v>
      </c>
      <c r="P552" t="n">
        <v>0</v>
      </c>
      <c r="Q552" t="n">
        <v>0</v>
      </c>
      <c r="R552" s="2" t="inlineStr"/>
    </row>
    <row r="553" ht="15" customHeight="1">
      <c r="A553" t="inlineStr">
        <is>
          <t>A 73102-2021</t>
        </is>
      </c>
      <c r="B553" s="1" t="n">
        <v>44550.45236111111</v>
      </c>
      <c r="C553" s="1" t="n">
        <v>46105</v>
      </c>
      <c r="D553" t="inlineStr">
        <is>
          <t>JÄMTLANDS LÄN</t>
        </is>
      </c>
      <c r="E553" t="inlineStr">
        <is>
          <t>BRÄCKE</t>
        </is>
      </c>
      <c r="F553" t="inlineStr">
        <is>
          <t>Sveaskog</t>
        </is>
      </c>
      <c r="G553" t="n">
        <v>6.5</v>
      </c>
      <c r="H553" t="n">
        <v>0</v>
      </c>
      <c r="I553" t="n">
        <v>0</v>
      </c>
      <c r="J553" t="n">
        <v>0</v>
      </c>
      <c r="K553" t="n">
        <v>0</v>
      </c>
      <c r="L553" t="n">
        <v>0</v>
      </c>
      <c r="M553" t="n">
        <v>0</v>
      </c>
      <c r="N553" t="n">
        <v>0</v>
      </c>
      <c r="O553" t="n">
        <v>0</v>
      </c>
      <c r="P553" t="n">
        <v>0</v>
      </c>
      <c r="Q553" t="n">
        <v>0</v>
      </c>
      <c r="R553" s="2" t="inlineStr"/>
    </row>
    <row r="554" ht="15" customHeight="1">
      <c r="A554" t="inlineStr">
        <is>
          <t>A 20760-2024</t>
        </is>
      </c>
      <c r="B554" s="1" t="n">
        <v>45436.92543981481</v>
      </c>
      <c r="C554" s="1" t="n">
        <v>46105</v>
      </c>
      <c r="D554" t="inlineStr">
        <is>
          <t>JÄMTLANDS LÄN</t>
        </is>
      </c>
      <c r="E554" t="inlineStr">
        <is>
          <t>BRÄCKE</t>
        </is>
      </c>
      <c r="G554" t="n">
        <v>10.9</v>
      </c>
      <c r="H554" t="n">
        <v>0</v>
      </c>
      <c r="I554" t="n">
        <v>0</v>
      </c>
      <c r="J554" t="n">
        <v>0</v>
      </c>
      <c r="K554" t="n">
        <v>0</v>
      </c>
      <c r="L554" t="n">
        <v>0</v>
      </c>
      <c r="M554" t="n">
        <v>0</v>
      </c>
      <c r="N554" t="n">
        <v>0</v>
      </c>
      <c r="O554" t="n">
        <v>0</v>
      </c>
      <c r="P554" t="n">
        <v>0</v>
      </c>
      <c r="Q554" t="n">
        <v>0</v>
      </c>
      <c r="R554" s="2" t="inlineStr"/>
    </row>
    <row r="555" ht="15" customHeight="1">
      <c r="A555" t="inlineStr">
        <is>
          <t>A 52846-2022</t>
        </is>
      </c>
      <c r="B555" s="1" t="n">
        <v>44875</v>
      </c>
      <c r="C555" s="1" t="n">
        <v>46105</v>
      </c>
      <c r="D555" t="inlineStr">
        <is>
          <t>JÄMTLANDS LÄN</t>
        </is>
      </c>
      <c r="E555" t="inlineStr">
        <is>
          <t>BRÄCKE</t>
        </is>
      </c>
      <c r="F555" t="inlineStr">
        <is>
          <t>Övriga Aktiebolag</t>
        </is>
      </c>
      <c r="G555" t="n">
        <v>13.1</v>
      </c>
      <c r="H555" t="n">
        <v>0</v>
      </c>
      <c r="I555" t="n">
        <v>0</v>
      </c>
      <c r="J555" t="n">
        <v>0</v>
      </c>
      <c r="K555" t="n">
        <v>0</v>
      </c>
      <c r="L555" t="n">
        <v>0</v>
      </c>
      <c r="M555" t="n">
        <v>0</v>
      </c>
      <c r="N555" t="n">
        <v>0</v>
      </c>
      <c r="O555" t="n">
        <v>0</v>
      </c>
      <c r="P555" t="n">
        <v>0</v>
      </c>
      <c r="Q555" t="n">
        <v>0</v>
      </c>
      <c r="R555" s="2" t="inlineStr"/>
    </row>
    <row r="556" ht="15" customHeight="1">
      <c r="A556" t="inlineStr">
        <is>
          <t>A 60178-2022</t>
        </is>
      </c>
      <c r="B556" s="1" t="n">
        <v>44909</v>
      </c>
      <c r="C556" s="1" t="n">
        <v>46105</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54571-2021</t>
        </is>
      </c>
      <c r="B557" s="1" t="n">
        <v>44473</v>
      </c>
      <c r="C557" s="1" t="n">
        <v>46105</v>
      </c>
      <c r="D557" t="inlineStr">
        <is>
          <t>JÄMTLANDS LÄN</t>
        </is>
      </c>
      <c r="E557" t="inlineStr">
        <is>
          <t>BRÄCKE</t>
        </is>
      </c>
      <c r="G557" t="n">
        <v>3</v>
      </c>
      <c r="H557" t="n">
        <v>0</v>
      </c>
      <c r="I557" t="n">
        <v>0</v>
      </c>
      <c r="J557" t="n">
        <v>0</v>
      </c>
      <c r="K557" t="n">
        <v>0</v>
      </c>
      <c r="L557" t="n">
        <v>0</v>
      </c>
      <c r="M557" t="n">
        <v>0</v>
      </c>
      <c r="N557" t="n">
        <v>0</v>
      </c>
      <c r="O557" t="n">
        <v>0</v>
      </c>
      <c r="P557" t="n">
        <v>0</v>
      </c>
      <c r="Q557" t="n">
        <v>0</v>
      </c>
      <c r="R557" s="2" t="inlineStr"/>
    </row>
    <row r="558" ht="15" customHeight="1">
      <c r="A558" t="inlineStr">
        <is>
          <t>A 56896-2021</t>
        </is>
      </c>
      <c r="B558" s="1" t="n">
        <v>44481.92091435185</v>
      </c>
      <c r="C558" s="1" t="n">
        <v>46105</v>
      </c>
      <c r="D558" t="inlineStr">
        <is>
          <t>JÄMTLANDS LÄN</t>
        </is>
      </c>
      <c r="E558" t="inlineStr">
        <is>
          <t>BRÄCKE</t>
        </is>
      </c>
      <c r="G558" t="n">
        <v>1.3</v>
      </c>
      <c r="H558" t="n">
        <v>0</v>
      </c>
      <c r="I558" t="n">
        <v>0</v>
      </c>
      <c r="J558" t="n">
        <v>0</v>
      </c>
      <c r="K558" t="n">
        <v>0</v>
      </c>
      <c r="L558" t="n">
        <v>0</v>
      </c>
      <c r="M558" t="n">
        <v>0</v>
      </c>
      <c r="N558" t="n">
        <v>0</v>
      </c>
      <c r="O558" t="n">
        <v>0</v>
      </c>
      <c r="P558" t="n">
        <v>0</v>
      </c>
      <c r="Q558" t="n">
        <v>0</v>
      </c>
      <c r="R558" s="2" t="inlineStr"/>
    </row>
    <row r="559" ht="15" customHeight="1">
      <c r="A559" t="inlineStr">
        <is>
          <t>A 10763-2023</t>
        </is>
      </c>
      <c r="B559" s="1" t="n">
        <v>44988</v>
      </c>
      <c r="C559" s="1" t="n">
        <v>46105</v>
      </c>
      <c r="D559" t="inlineStr">
        <is>
          <t>JÄMTLANDS LÄN</t>
        </is>
      </c>
      <c r="E559" t="inlineStr">
        <is>
          <t>BRÄCKE</t>
        </is>
      </c>
      <c r="G559" t="n">
        <v>1.8</v>
      </c>
      <c r="H559" t="n">
        <v>0</v>
      </c>
      <c r="I559" t="n">
        <v>0</v>
      </c>
      <c r="J559" t="n">
        <v>0</v>
      </c>
      <c r="K559" t="n">
        <v>0</v>
      </c>
      <c r="L559" t="n">
        <v>0</v>
      </c>
      <c r="M559" t="n">
        <v>0</v>
      </c>
      <c r="N559" t="n">
        <v>0</v>
      </c>
      <c r="O559" t="n">
        <v>0</v>
      </c>
      <c r="P559" t="n">
        <v>0</v>
      </c>
      <c r="Q559" t="n">
        <v>0</v>
      </c>
      <c r="R559" s="2" t="inlineStr"/>
    </row>
    <row r="560" ht="15" customHeight="1">
      <c r="A560" t="inlineStr">
        <is>
          <t>A 39326-2024</t>
        </is>
      </c>
      <c r="B560" s="1" t="n">
        <v>45551.42741898148</v>
      </c>
      <c r="C560" s="1" t="n">
        <v>46105</v>
      </c>
      <c r="D560" t="inlineStr">
        <is>
          <t>JÄMTLANDS LÄN</t>
        </is>
      </c>
      <c r="E560" t="inlineStr">
        <is>
          <t>BRÄCKE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20095-2023</t>
        </is>
      </c>
      <c r="B561" s="1" t="n">
        <v>45054.94199074074</v>
      </c>
      <c r="C561" s="1" t="n">
        <v>46105</v>
      </c>
      <c r="D561" t="inlineStr">
        <is>
          <t>JÄMTLANDS LÄN</t>
        </is>
      </c>
      <c r="E561" t="inlineStr">
        <is>
          <t>BRÄCKE</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56656-2022</t>
        </is>
      </c>
      <c r="B562" s="1" t="n">
        <v>44893</v>
      </c>
      <c r="C562" s="1" t="n">
        <v>46105</v>
      </c>
      <c r="D562" t="inlineStr">
        <is>
          <t>JÄMTLANDS LÄN</t>
        </is>
      </c>
      <c r="E562" t="inlineStr">
        <is>
          <t>BRÄCKE</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52021-2022</t>
        </is>
      </c>
      <c r="B563" s="1" t="n">
        <v>44872.95638888889</v>
      </c>
      <c r="C563" s="1" t="n">
        <v>46105</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20798-2024</t>
        </is>
      </c>
      <c r="B564" s="1" t="n">
        <v>45438.94798611111</v>
      </c>
      <c r="C564" s="1" t="n">
        <v>46105</v>
      </c>
      <c r="D564" t="inlineStr">
        <is>
          <t>JÄMTLANDS LÄN</t>
        </is>
      </c>
      <c r="E564" t="inlineStr">
        <is>
          <t>BRÄCKE</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18641-2024</t>
        </is>
      </c>
      <c r="B565" s="1" t="n">
        <v>45425.9666087963</v>
      </c>
      <c r="C565" s="1" t="n">
        <v>46105</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58449-2024</t>
        </is>
      </c>
      <c r="B566" s="1" t="n">
        <v>45635.34413194445</v>
      </c>
      <c r="C566" s="1" t="n">
        <v>46105</v>
      </c>
      <c r="D566" t="inlineStr">
        <is>
          <t>JÄMTLANDS LÄN</t>
        </is>
      </c>
      <c r="E566" t="inlineStr">
        <is>
          <t>BRÄCKE</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38336-2024</t>
        </is>
      </c>
      <c r="B567" s="1" t="n">
        <v>45545.68386574074</v>
      </c>
      <c r="C567" s="1" t="n">
        <v>46105</v>
      </c>
      <c r="D567" t="inlineStr">
        <is>
          <t>JÄMTLANDS LÄN</t>
        </is>
      </c>
      <c r="E567" t="inlineStr">
        <is>
          <t>BRÄCKE</t>
        </is>
      </c>
      <c r="G567" t="n">
        <v>1.2</v>
      </c>
      <c r="H567" t="n">
        <v>0</v>
      </c>
      <c r="I567" t="n">
        <v>0</v>
      </c>
      <c r="J567" t="n">
        <v>0</v>
      </c>
      <c r="K567" t="n">
        <v>0</v>
      </c>
      <c r="L567" t="n">
        <v>0</v>
      </c>
      <c r="M567" t="n">
        <v>0</v>
      </c>
      <c r="N567" t="n">
        <v>0</v>
      </c>
      <c r="O567" t="n">
        <v>0</v>
      </c>
      <c r="P567" t="n">
        <v>0</v>
      </c>
      <c r="Q567" t="n">
        <v>0</v>
      </c>
      <c r="R567" s="2" t="inlineStr"/>
    </row>
    <row r="568" ht="15" customHeight="1">
      <c r="A568" t="inlineStr">
        <is>
          <t>A 48416-2024</t>
        </is>
      </c>
      <c r="B568" s="1" t="n">
        <v>45590.64153935185</v>
      </c>
      <c r="C568" s="1" t="n">
        <v>46105</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11550-2023</t>
        </is>
      </c>
      <c r="B569" s="1" t="n">
        <v>44993</v>
      </c>
      <c r="C569" s="1" t="n">
        <v>46105</v>
      </c>
      <c r="D569" t="inlineStr">
        <is>
          <t>JÄMTLANDS LÄN</t>
        </is>
      </c>
      <c r="E569" t="inlineStr">
        <is>
          <t>BRÄCKE</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27799-2024</t>
        </is>
      </c>
      <c r="B570" s="1" t="n">
        <v>45475.56605324074</v>
      </c>
      <c r="C570" s="1" t="n">
        <v>46105</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41922-2023</t>
        </is>
      </c>
      <c r="B571" s="1" t="n">
        <v>45176</v>
      </c>
      <c r="C571" s="1" t="n">
        <v>46105</v>
      </c>
      <c r="D571" t="inlineStr">
        <is>
          <t>JÄMTLANDS LÄN</t>
        </is>
      </c>
      <c r="E571" t="inlineStr">
        <is>
          <t>BRÄCKE</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3180-2024</t>
        </is>
      </c>
      <c r="B572" s="1" t="n">
        <v>45316.64880787037</v>
      </c>
      <c r="C572" s="1" t="n">
        <v>46105</v>
      </c>
      <c r="D572" t="inlineStr">
        <is>
          <t>JÄMTLANDS LÄN</t>
        </is>
      </c>
      <c r="E572" t="inlineStr">
        <is>
          <t>BRÄCKE</t>
        </is>
      </c>
      <c r="G572" t="n">
        <v>4.7</v>
      </c>
      <c r="H572" t="n">
        <v>0</v>
      </c>
      <c r="I572" t="n">
        <v>0</v>
      </c>
      <c r="J572" t="n">
        <v>0</v>
      </c>
      <c r="K572" t="n">
        <v>0</v>
      </c>
      <c r="L572" t="n">
        <v>0</v>
      </c>
      <c r="M572" t="n">
        <v>0</v>
      </c>
      <c r="N572" t="n">
        <v>0</v>
      </c>
      <c r="O572" t="n">
        <v>0</v>
      </c>
      <c r="P572" t="n">
        <v>0</v>
      </c>
      <c r="Q572" t="n">
        <v>0</v>
      </c>
      <c r="R572" s="2" t="inlineStr"/>
    </row>
    <row r="573" ht="15" customHeight="1">
      <c r="A573" t="inlineStr">
        <is>
          <t>A 3182-2024</t>
        </is>
      </c>
      <c r="B573" s="1" t="n">
        <v>45316.65004629629</v>
      </c>
      <c r="C573" s="1" t="n">
        <v>46105</v>
      </c>
      <c r="D573" t="inlineStr">
        <is>
          <t>JÄMTLANDS LÄN</t>
        </is>
      </c>
      <c r="E573" t="inlineStr">
        <is>
          <t>BRÄCKE</t>
        </is>
      </c>
      <c r="G573" t="n">
        <v>2.6</v>
      </c>
      <c r="H573" t="n">
        <v>0</v>
      </c>
      <c r="I573" t="n">
        <v>0</v>
      </c>
      <c r="J573" t="n">
        <v>0</v>
      </c>
      <c r="K573" t="n">
        <v>0</v>
      </c>
      <c r="L573" t="n">
        <v>0</v>
      </c>
      <c r="M573" t="n">
        <v>0</v>
      </c>
      <c r="N573" t="n">
        <v>0</v>
      </c>
      <c r="O573" t="n">
        <v>0</v>
      </c>
      <c r="P573" t="n">
        <v>0</v>
      </c>
      <c r="Q573" t="n">
        <v>0</v>
      </c>
      <c r="R573" s="2" t="inlineStr"/>
    </row>
    <row r="574" ht="15" customHeight="1">
      <c r="A574" t="inlineStr">
        <is>
          <t>A 19584-2024</t>
        </is>
      </c>
      <c r="B574" s="1" t="n">
        <v>45429</v>
      </c>
      <c r="C574" s="1" t="n">
        <v>46105</v>
      </c>
      <c r="D574" t="inlineStr">
        <is>
          <t>JÄMTLANDS LÄN</t>
        </is>
      </c>
      <c r="E574" t="inlineStr">
        <is>
          <t>BRÄCKE</t>
        </is>
      </c>
      <c r="G574" t="n">
        <v>2.6</v>
      </c>
      <c r="H574" t="n">
        <v>0</v>
      </c>
      <c r="I574" t="n">
        <v>0</v>
      </c>
      <c r="J574" t="n">
        <v>0</v>
      </c>
      <c r="K574" t="n">
        <v>0</v>
      </c>
      <c r="L574" t="n">
        <v>0</v>
      </c>
      <c r="M574" t="n">
        <v>0</v>
      </c>
      <c r="N574" t="n">
        <v>0</v>
      </c>
      <c r="O574" t="n">
        <v>0</v>
      </c>
      <c r="P574" t="n">
        <v>0</v>
      </c>
      <c r="Q574" t="n">
        <v>0</v>
      </c>
      <c r="R574" s="2" t="inlineStr"/>
    </row>
    <row r="575" ht="15" customHeight="1">
      <c r="A575" t="inlineStr">
        <is>
          <t>A 24062-2024</t>
        </is>
      </c>
      <c r="B575" s="1" t="n">
        <v>45456.54141203704</v>
      </c>
      <c r="C575" s="1" t="n">
        <v>46105</v>
      </c>
      <c r="D575" t="inlineStr">
        <is>
          <t>JÄMTLANDS LÄN</t>
        </is>
      </c>
      <c r="E575" t="inlineStr">
        <is>
          <t>BRÄCKE</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28796-2023</t>
        </is>
      </c>
      <c r="B576" s="1" t="n">
        <v>45096</v>
      </c>
      <c r="C576" s="1" t="n">
        <v>46105</v>
      </c>
      <c r="D576" t="inlineStr">
        <is>
          <t>JÄMTLANDS LÄN</t>
        </is>
      </c>
      <c r="E576" t="inlineStr">
        <is>
          <t>BRÄCKE</t>
        </is>
      </c>
      <c r="G576" t="n">
        <v>1</v>
      </c>
      <c r="H576" t="n">
        <v>0</v>
      </c>
      <c r="I576" t="n">
        <v>0</v>
      </c>
      <c r="J576" t="n">
        <v>0</v>
      </c>
      <c r="K576" t="n">
        <v>0</v>
      </c>
      <c r="L576" t="n">
        <v>0</v>
      </c>
      <c r="M576" t="n">
        <v>0</v>
      </c>
      <c r="N576" t="n">
        <v>0</v>
      </c>
      <c r="O576" t="n">
        <v>0</v>
      </c>
      <c r="P576" t="n">
        <v>0</v>
      </c>
      <c r="Q576" t="n">
        <v>0</v>
      </c>
      <c r="R576" s="2" t="inlineStr"/>
    </row>
    <row r="577" ht="15" customHeight="1">
      <c r="A577" t="inlineStr">
        <is>
          <t>A 61415-2021</t>
        </is>
      </c>
      <c r="B577" s="1" t="n">
        <v>44500.93565972222</v>
      </c>
      <c r="C577" s="1" t="n">
        <v>46105</v>
      </c>
      <c r="D577" t="inlineStr">
        <is>
          <t>JÄMTLANDS LÄN</t>
        </is>
      </c>
      <c r="E577" t="inlineStr">
        <is>
          <t>BRÄCKE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30487-2024</t>
        </is>
      </c>
      <c r="B578" s="1" t="n">
        <v>45491</v>
      </c>
      <c r="C578" s="1" t="n">
        <v>46105</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29262-2024</t>
        </is>
      </c>
      <c r="B579" s="1" t="n">
        <v>45482.9487962963</v>
      </c>
      <c r="C579" s="1" t="n">
        <v>46105</v>
      </c>
      <c r="D579" t="inlineStr">
        <is>
          <t>JÄMTLANDS LÄN</t>
        </is>
      </c>
      <c r="E579" t="inlineStr">
        <is>
          <t>BRÄCKE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2684-2026</t>
        </is>
      </c>
      <c r="B580" s="1" t="n">
        <v>46037.65673611111</v>
      </c>
      <c r="C580" s="1" t="n">
        <v>46105</v>
      </c>
      <c r="D580" t="inlineStr">
        <is>
          <t>JÄMTLANDS LÄN</t>
        </is>
      </c>
      <c r="E580" t="inlineStr">
        <is>
          <t>BRÄCKE</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11127-2026</t>
        </is>
      </c>
      <c r="B581" s="1" t="n">
        <v>46079.69452546296</v>
      </c>
      <c r="C581" s="1" t="n">
        <v>46105</v>
      </c>
      <c r="D581" t="inlineStr">
        <is>
          <t>JÄMTLANDS LÄN</t>
        </is>
      </c>
      <c r="E581" t="inlineStr">
        <is>
          <t>BRÄCKE</t>
        </is>
      </c>
      <c r="F581" t="inlineStr">
        <is>
          <t>Kyrkan</t>
        </is>
      </c>
      <c r="G581" t="n">
        <v>4</v>
      </c>
      <c r="H581" t="n">
        <v>0</v>
      </c>
      <c r="I581" t="n">
        <v>0</v>
      </c>
      <c r="J581" t="n">
        <v>0</v>
      </c>
      <c r="K581" t="n">
        <v>0</v>
      </c>
      <c r="L581" t="n">
        <v>0</v>
      </c>
      <c r="M581" t="n">
        <v>0</v>
      </c>
      <c r="N581" t="n">
        <v>0</v>
      </c>
      <c r="O581" t="n">
        <v>0</v>
      </c>
      <c r="P581" t="n">
        <v>0</v>
      </c>
      <c r="Q581" t="n">
        <v>0</v>
      </c>
      <c r="R581" s="2" t="inlineStr"/>
    </row>
    <row r="582" ht="15" customHeight="1">
      <c r="A582" t="inlineStr">
        <is>
          <t>A 26379-2025</t>
        </is>
      </c>
      <c r="B582" s="1" t="n">
        <v>45806.48998842593</v>
      </c>
      <c r="C582" s="1" t="n">
        <v>46105</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38324-2025</t>
        </is>
      </c>
      <c r="B583" s="1" t="n">
        <v>45883.49037037037</v>
      </c>
      <c r="C583" s="1" t="n">
        <v>46105</v>
      </c>
      <c r="D583" t="inlineStr">
        <is>
          <t>JÄMTLANDS LÄN</t>
        </is>
      </c>
      <c r="E583" t="inlineStr">
        <is>
          <t>BRÄCKE</t>
        </is>
      </c>
      <c r="F583" t="inlineStr">
        <is>
          <t>SCA</t>
        </is>
      </c>
      <c r="G583" t="n">
        <v>7</v>
      </c>
      <c r="H583" t="n">
        <v>0</v>
      </c>
      <c r="I583" t="n">
        <v>0</v>
      </c>
      <c r="J583" t="n">
        <v>0</v>
      </c>
      <c r="K583" t="n">
        <v>0</v>
      </c>
      <c r="L583" t="n">
        <v>0</v>
      </c>
      <c r="M583" t="n">
        <v>0</v>
      </c>
      <c r="N583" t="n">
        <v>0</v>
      </c>
      <c r="O583" t="n">
        <v>0</v>
      </c>
      <c r="P583" t="n">
        <v>0</v>
      </c>
      <c r="Q583" t="n">
        <v>0</v>
      </c>
      <c r="R583" s="2" t="inlineStr"/>
    </row>
    <row r="584" ht="15" customHeight="1">
      <c r="A584" t="inlineStr">
        <is>
          <t>A 38329-2025</t>
        </is>
      </c>
      <c r="B584" s="1" t="n">
        <v>45883.49111111111</v>
      </c>
      <c r="C584" s="1" t="n">
        <v>46105</v>
      </c>
      <c r="D584" t="inlineStr">
        <is>
          <t>JÄMTLANDS LÄN</t>
        </is>
      </c>
      <c r="E584" t="inlineStr">
        <is>
          <t>BRÄCKE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59932-2022</t>
        </is>
      </c>
      <c r="B585" s="1" t="n">
        <v>44909.36262731482</v>
      </c>
      <c r="C585" s="1" t="n">
        <v>46105</v>
      </c>
      <c r="D585" t="inlineStr">
        <is>
          <t>JÄMTLANDS LÄN</t>
        </is>
      </c>
      <c r="E585" t="inlineStr">
        <is>
          <t>BRÄCKE</t>
        </is>
      </c>
      <c r="G585" t="n">
        <v>1.2</v>
      </c>
      <c r="H585" t="n">
        <v>0</v>
      </c>
      <c r="I585" t="n">
        <v>0</v>
      </c>
      <c r="J585" t="n">
        <v>0</v>
      </c>
      <c r="K585" t="n">
        <v>0</v>
      </c>
      <c r="L585" t="n">
        <v>0</v>
      </c>
      <c r="M585" t="n">
        <v>0</v>
      </c>
      <c r="N585" t="n">
        <v>0</v>
      </c>
      <c r="O585" t="n">
        <v>0</v>
      </c>
      <c r="P585" t="n">
        <v>0</v>
      </c>
      <c r="Q585" t="n">
        <v>0</v>
      </c>
      <c r="R585" s="2" t="inlineStr"/>
    </row>
    <row r="586" ht="15" customHeight="1">
      <c r="A586" t="inlineStr">
        <is>
          <t>A 26298-2025</t>
        </is>
      </c>
      <c r="B586" s="1" t="n">
        <v>45805.63619212963</v>
      </c>
      <c r="C586" s="1" t="n">
        <v>46105</v>
      </c>
      <c r="D586" t="inlineStr">
        <is>
          <t>JÄMTLANDS LÄN</t>
        </is>
      </c>
      <c r="E586" t="inlineStr">
        <is>
          <t>BRÄCKE</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37959-2024</t>
        </is>
      </c>
      <c r="B587" s="1" t="n">
        <v>45544.53870370371</v>
      </c>
      <c r="C587" s="1" t="n">
        <v>46105</v>
      </c>
      <c r="D587" t="inlineStr">
        <is>
          <t>JÄMTLANDS LÄN</t>
        </is>
      </c>
      <c r="E587" t="inlineStr">
        <is>
          <t>BRÄCKE</t>
        </is>
      </c>
      <c r="G587" t="n">
        <v>6.5</v>
      </c>
      <c r="H587" t="n">
        <v>0</v>
      </c>
      <c r="I587" t="n">
        <v>0</v>
      </c>
      <c r="J587" t="n">
        <v>0</v>
      </c>
      <c r="K587" t="n">
        <v>0</v>
      </c>
      <c r="L587" t="n">
        <v>0</v>
      </c>
      <c r="M587" t="n">
        <v>0</v>
      </c>
      <c r="N587" t="n">
        <v>0</v>
      </c>
      <c r="O587" t="n">
        <v>0</v>
      </c>
      <c r="P587" t="n">
        <v>0</v>
      </c>
      <c r="Q587" t="n">
        <v>0</v>
      </c>
      <c r="R587" s="2" t="inlineStr"/>
    </row>
    <row r="588" ht="15" customHeight="1">
      <c r="A588" t="inlineStr">
        <is>
          <t>A 38352-2025</t>
        </is>
      </c>
      <c r="B588" s="1" t="n">
        <v>45883.53186342592</v>
      </c>
      <c r="C588" s="1" t="n">
        <v>46105</v>
      </c>
      <c r="D588" t="inlineStr">
        <is>
          <t>JÄMTLANDS LÄN</t>
        </is>
      </c>
      <c r="E588" t="inlineStr">
        <is>
          <t>BRÄCKE</t>
        </is>
      </c>
      <c r="F588" t="inlineStr">
        <is>
          <t>SCA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38353-2025</t>
        </is>
      </c>
      <c r="B589" s="1" t="n">
        <v>45883.53201388889</v>
      </c>
      <c r="C589" s="1" t="n">
        <v>46105</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38378-2025</t>
        </is>
      </c>
      <c r="B590" s="1" t="n">
        <v>45883.57368055556</v>
      </c>
      <c r="C590" s="1" t="n">
        <v>46105</v>
      </c>
      <c r="D590" t="inlineStr">
        <is>
          <t>JÄMTLANDS LÄN</t>
        </is>
      </c>
      <c r="E590" t="inlineStr">
        <is>
          <t>BRÄCKE</t>
        </is>
      </c>
      <c r="G590" t="n">
        <v>0.7</v>
      </c>
      <c r="H590" t="n">
        <v>0</v>
      </c>
      <c r="I590" t="n">
        <v>0</v>
      </c>
      <c r="J590" t="n">
        <v>0</v>
      </c>
      <c r="K590" t="n">
        <v>0</v>
      </c>
      <c r="L590" t="n">
        <v>0</v>
      </c>
      <c r="M590" t="n">
        <v>0</v>
      </c>
      <c r="N590" t="n">
        <v>0</v>
      </c>
      <c r="O590" t="n">
        <v>0</v>
      </c>
      <c r="P590" t="n">
        <v>0</v>
      </c>
      <c r="Q590" t="n">
        <v>0</v>
      </c>
      <c r="R590" s="2" t="inlineStr"/>
    </row>
    <row r="591" ht="15" customHeight="1">
      <c r="A591" t="inlineStr">
        <is>
          <t>A 38379-2025</t>
        </is>
      </c>
      <c r="B591" s="1" t="n">
        <v>45883.57377314815</v>
      </c>
      <c r="C591" s="1" t="n">
        <v>46105</v>
      </c>
      <c r="D591" t="inlineStr">
        <is>
          <t>JÄMTLANDS LÄN</t>
        </is>
      </c>
      <c r="E591" t="inlineStr">
        <is>
          <t>BRÄCKE</t>
        </is>
      </c>
      <c r="G591" t="n">
        <v>0.7</v>
      </c>
      <c r="H591" t="n">
        <v>0</v>
      </c>
      <c r="I591" t="n">
        <v>0</v>
      </c>
      <c r="J591" t="n">
        <v>0</v>
      </c>
      <c r="K591" t="n">
        <v>0</v>
      </c>
      <c r="L591" t="n">
        <v>0</v>
      </c>
      <c r="M591" t="n">
        <v>0</v>
      </c>
      <c r="N591" t="n">
        <v>0</v>
      </c>
      <c r="O591" t="n">
        <v>0</v>
      </c>
      <c r="P591" t="n">
        <v>0</v>
      </c>
      <c r="Q591" t="n">
        <v>0</v>
      </c>
      <c r="R591" s="2" t="inlineStr"/>
    </row>
    <row r="592" ht="15" customHeight="1">
      <c r="A592" t="inlineStr">
        <is>
          <t>A 48433-2023</t>
        </is>
      </c>
      <c r="B592" s="1" t="n">
        <v>45205</v>
      </c>
      <c r="C592" s="1" t="n">
        <v>46105</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38459-2025</t>
        </is>
      </c>
      <c r="B593" s="1" t="n">
        <v>45883.71927083333</v>
      </c>
      <c r="C593" s="1" t="n">
        <v>46105</v>
      </c>
      <c r="D593" t="inlineStr">
        <is>
          <t>JÄMTLANDS LÄN</t>
        </is>
      </c>
      <c r="E593" t="inlineStr">
        <is>
          <t>BRÄCKE</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48473-2023</t>
        </is>
      </c>
      <c r="B594" s="1" t="n">
        <v>45206.95770833334</v>
      </c>
      <c r="C594" s="1" t="n">
        <v>46105</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18265-2025</t>
        </is>
      </c>
      <c r="B595" s="1" t="n">
        <v>45762.36525462963</v>
      </c>
      <c r="C595" s="1" t="n">
        <v>46105</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4132-2025</t>
        </is>
      </c>
      <c r="B596" s="1" t="n">
        <v>45685.34538194445</v>
      </c>
      <c r="C596" s="1" t="n">
        <v>46105</v>
      </c>
      <c r="D596" t="inlineStr">
        <is>
          <t>JÄMTLANDS LÄN</t>
        </is>
      </c>
      <c r="E596" t="inlineStr">
        <is>
          <t>BRÄCKE</t>
        </is>
      </c>
      <c r="F596" t="inlineStr">
        <is>
          <t>SCA</t>
        </is>
      </c>
      <c r="G596" t="n">
        <v>6.6</v>
      </c>
      <c r="H596" t="n">
        <v>0</v>
      </c>
      <c r="I596" t="n">
        <v>0</v>
      </c>
      <c r="J596" t="n">
        <v>0</v>
      </c>
      <c r="K596" t="n">
        <v>0</v>
      </c>
      <c r="L596" t="n">
        <v>0</v>
      </c>
      <c r="M596" t="n">
        <v>0</v>
      </c>
      <c r="N596" t="n">
        <v>0</v>
      </c>
      <c r="O596" t="n">
        <v>0</v>
      </c>
      <c r="P596" t="n">
        <v>0</v>
      </c>
      <c r="Q596" t="n">
        <v>0</v>
      </c>
      <c r="R596" s="2" t="inlineStr"/>
    </row>
    <row r="597" ht="15" customHeight="1">
      <c r="A597" t="inlineStr">
        <is>
          <t>A 11703-2026</t>
        </is>
      </c>
      <c r="B597" s="1" t="n">
        <v>46084.61517361111</v>
      </c>
      <c r="C597" s="1" t="n">
        <v>46105</v>
      </c>
      <c r="D597" t="inlineStr">
        <is>
          <t>JÄMTLANDS LÄN</t>
        </is>
      </c>
      <c r="E597" t="inlineStr">
        <is>
          <t>BRÄCKE</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57096-2024</t>
        </is>
      </c>
      <c r="B598" s="1" t="n">
        <v>45629.35810185185</v>
      </c>
      <c r="C598" s="1" t="n">
        <v>46105</v>
      </c>
      <c r="D598" t="inlineStr">
        <is>
          <t>JÄMTLANDS LÄN</t>
        </is>
      </c>
      <c r="E598" t="inlineStr">
        <is>
          <t>BRÄCKE</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28135-2024</t>
        </is>
      </c>
      <c r="B599" s="1" t="n">
        <v>45476</v>
      </c>
      <c r="C599" s="1" t="n">
        <v>46105</v>
      </c>
      <c r="D599" t="inlineStr">
        <is>
          <t>JÄMTLANDS LÄN</t>
        </is>
      </c>
      <c r="E599" t="inlineStr">
        <is>
          <t>BRÄCKE</t>
        </is>
      </c>
      <c r="G599" t="n">
        <v>2</v>
      </c>
      <c r="H599" t="n">
        <v>0</v>
      </c>
      <c r="I599" t="n">
        <v>0</v>
      </c>
      <c r="J599" t="n">
        <v>0</v>
      </c>
      <c r="K599" t="n">
        <v>0</v>
      </c>
      <c r="L599" t="n">
        <v>0</v>
      </c>
      <c r="M599" t="n">
        <v>0</v>
      </c>
      <c r="N599" t="n">
        <v>0</v>
      </c>
      <c r="O599" t="n">
        <v>0</v>
      </c>
      <c r="P599" t="n">
        <v>0</v>
      </c>
      <c r="Q599" t="n">
        <v>0</v>
      </c>
      <c r="R599" s="2" t="inlineStr"/>
    </row>
    <row r="600" ht="15" customHeight="1">
      <c r="A600" t="inlineStr">
        <is>
          <t>A 49043-2023</t>
        </is>
      </c>
      <c r="B600" s="1" t="n">
        <v>45209.95743055556</v>
      </c>
      <c r="C600" s="1" t="n">
        <v>46105</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26736-2025</t>
        </is>
      </c>
      <c r="B601" s="1" t="n">
        <v>45810.51644675926</v>
      </c>
      <c r="C601" s="1" t="n">
        <v>46105</v>
      </c>
      <c r="D601" t="inlineStr">
        <is>
          <t>JÄMTLANDS LÄN</t>
        </is>
      </c>
      <c r="E601" t="inlineStr">
        <is>
          <t>BRÄCKE</t>
        </is>
      </c>
      <c r="G601" t="n">
        <v>4.2</v>
      </c>
      <c r="H601" t="n">
        <v>0</v>
      </c>
      <c r="I601" t="n">
        <v>0</v>
      </c>
      <c r="J601" t="n">
        <v>0</v>
      </c>
      <c r="K601" t="n">
        <v>0</v>
      </c>
      <c r="L601" t="n">
        <v>0</v>
      </c>
      <c r="M601" t="n">
        <v>0</v>
      </c>
      <c r="N601" t="n">
        <v>0</v>
      </c>
      <c r="O601" t="n">
        <v>0</v>
      </c>
      <c r="P601" t="n">
        <v>0</v>
      </c>
      <c r="Q601" t="n">
        <v>0</v>
      </c>
      <c r="R601" s="2" t="inlineStr"/>
    </row>
    <row r="602" ht="15" customHeight="1">
      <c r="A602" t="inlineStr">
        <is>
          <t>A 14607-2025</t>
        </is>
      </c>
      <c r="B602" s="1" t="n">
        <v>45742.37540509259</v>
      </c>
      <c r="C602" s="1" t="n">
        <v>46105</v>
      </c>
      <c r="D602" t="inlineStr">
        <is>
          <t>JÄMTLANDS LÄN</t>
        </is>
      </c>
      <c r="E602" t="inlineStr">
        <is>
          <t>BRÄCKE</t>
        </is>
      </c>
      <c r="G602" t="n">
        <v>6.7</v>
      </c>
      <c r="H602" t="n">
        <v>0</v>
      </c>
      <c r="I602" t="n">
        <v>0</v>
      </c>
      <c r="J602" t="n">
        <v>0</v>
      </c>
      <c r="K602" t="n">
        <v>0</v>
      </c>
      <c r="L602" t="n">
        <v>0</v>
      </c>
      <c r="M602" t="n">
        <v>0</v>
      </c>
      <c r="N602" t="n">
        <v>0</v>
      </c>
      <c r="O602" t="n">
        <v>0</v>
      </c>
      <c r="P602" t="n">
        <v>0</v>
      </c>
      <c r="Q602" t="n">
        <v>0</v>
      </c>
      <c r="R602" s="2" t="inlineStr"/>
    </row>
    <row r="603" ht="15" customHeight="1">
      <c r="A603" t="inlineStr">
        <is>
          <t>A 37824-2025</t>
        </is>
      </c>
      <c r="B603" s="1" t="n">
        <v>45881.40686342592</v>
      </c>
      <c r="C603" s="1" t="n">
        <v>46105</v>
      </c>
      <c r="D603" t="inlineStr">
        <is>
          <t>JÄMTLANDS LÄN</t>
        </is>
      </c>
      <c r="E603" t="inlineStr">
        <is>
          <t>BRÄCKE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38241-2025</t>
        </is>
      </c>
      <c r="B604" s="1" t="n">
        <v>45883.36541666667</v>
      </c>
      <c r="C604" s="1" t="n">
        <v>46105</v>
      </c>
      <c r="D604" t="inlineStr">
        <is>
          <t>JÄMTLANDS LÄN</t>
        </is>
      </c>
      <c r="E604" t="inlineStr">
        <is>
          <t>BRÄCKE</t>
        </is>
      </c>
      <c r="G604" t="n">
        <v>1</v>
      </c>
      <c r="H604" t="n">
        <v>0</v>
      </c>
      <c r="I604" t="n">
        <v>0</v>
      </c>
      <c r="J604" t="n">
        <v>0</v>
      </c>
      <c r="K604" t="n">
        <v>0</v>
      </c>
      <c r="L604" t="n">
        <v>0</v>
      </c>
      <c r="M604" t="n">
        <v>0</v>
      </c>
      <c r="N604" t="n">
        <v>0</v>
      </c>
      <c r="O604" t="n">
        <v>0</v>
      </c>
      <c r="P604" t="n">
        <v>0</v>
      </c>
      <c r="Q604" t="n">
        <v>0</v>
      </c>
      <c r="R604" s="2" t="inlineStr"/>
    </row>
    <row r="605" ht="15" customHeight="1">
      <c r="A605" t="inlineStr">
        <is>
          <t>A 38245-2025</t>
        </is>
      </c>
      <c r="B605" s="1" t="n">
        <v>45883.36563657408</v>
      </c>
      <c r="C605" s="1" t="n">
        <v>46105</v>
      </c>
      <c r="D605" t="inlineStr">
        <is>
          <t>JÄMTLANDS LÄN</t>
        </is>
      </c>
      <c r="E605" t="inlineStr">
        <is>
          <t>BRÄCKE</t>
        </is>
      </c>
      <c r="G605" t="n">
        <v>4.8</v>
      </c>
      <c r="H605" t="n">
        <v>0</v>
      </c>
      <c r="I605" t="n">
        <v>0</v>
      </c>
      <c r="J605" t="n">
        <v>0</v>
      </c>
      <c r="K605" t="n">
        <v>0</v>
      </c>
      <c r="L605" t="n">
        <v>0</v>
      </c>
      <c r="M605" t="n">
        <v>0</v>
      </c>
      <c r="N605" t="n">
        <v>0</v>
      </c>
      <c r="O605" t="n">
        <v>0</v>
      </c>
      <c r="P605" t="n">
        <v>0</v>
      </c>
      <c r="Q605" t="n">
        <v>0</v>
      </c>
      <c r="R605" s="2" t="inlineStr"/>
    </row>
    <row r="606" ht="15" customHeight="1">
      <c r="A606" t="inlineStr">
        <is>
          <t>A 26818-2025</t>
        </is>
      </c>
      <c r="B606" s="1" t="n">
        <v>45810.63622685185</v>
      </c>
      <c r="C606" s="1" t="n">
        <v>46105</v>
      </c>
      <c r="D606" t="inlineStr">
        <is>
          <t>JÄMTLANDS LÄN</t>
        </is>
      </c>
      <c r="E606" t="inlineStr">
        <is>
          <t>BRÄCKE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1914-2025</t>
        </is>
      </c>
      <c r="B607" s="1" t="n">
        <v>45671.65984953703</v>
      </c>
      <c r="C607" s="1" t="n">
        <v>46105</v>
      </c>
      <c r="D607" t="inlineStr">
        <is>
          <t>JÄMTLANDS LÄN</t>
        </is>
      </c>
      <c r="E607" t="inlineStr">
        <is>
          <t>BRÄCKE</t>
        </is>
      </c>
      <c r="G607" t="n">
        <v>2.9</v>
      </c>
      <c r="H607" t="n">
        <v>0</v>
      </c>
      <c r="I607" t="n">
        <v>0</v>
      </c>
      <c r="J607" t="n">
        <v>0</v>
      </c>
      <c r="K607" t="n">
        <v>0</v>
      </c>
      <c r="L607" t="n">
        <v>0</v>
      </c>
      <c r="M607" t="n">
        <v>0</v>
      </c>
      <c r="N607" t="n">
        <v>0</v>
      </c>
      <c r="O607" t="n">
        <v>0</v>
      </c>
      <c r="P607" t="n">
        <v>0</v>
      </c>
      <c r="Q607" t="n">
        <v>0</v>
      </c>
      <c r="R607" s="2" t="inlineStr"/>
    </row>
    <row r="608" ht="15" customHeight="1">
      <c r="A608" t="inlineStr">
        <is>
          <t>A 39087-2025</t>
        </is>
      </c>
      <c r="B608" s="1" t="n">
        <v>45888.49076388889</v>
      </c>
      <c r="C608" s="1" t="n">
        <v>46105</v>
      </c>
      <c r="D608" t="inlineStr">
        <is>
          <t>JÄMTLANDS LÄN</t>
        </is>
      </c>
      <c r="E608" t="inlineStr">
        <is>
          <t>BRÄCKE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39100-2025</t>
        </is>
      </c>
      <c r="B609" s="1" t="n">
        <v>45888.5108912037</v>
      </c>
      <c r="C609" s="1" t="n">
        <v>46105</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38847-2025</t>
        </is>
      </c>
      <c r="B610" s="1" t="n">
        <v>45887.54438657407</v>
      </c>
      <c r="C610" s="1" t="n">
        <v>46105</v>
      </c>
      <c r="D610" t="inlineStr">
        <is>
          <t>JÄMTLANDS LÄN</t>
        </is>
      </c>
      <c r="E610" t="inlineStr">
        <is>
          <t>BRÄCKE</t>
        </is>
      </c>
      <c r="G610" t="n">
        <v>4</v>
      </c>
      <c r="H610" t="n">
        <v>0</v>
      </c>
      <c r="I610" t="n">
        <v>0</v>
      </c>
      <c r="J610" t="n">
        <v>0</v>
      </c>
      <c r="K610" t="n">
        <v>0</v>
      </c>
      <c r="L610" t="n">
        <v>0</v>
      </c>
      <c r="M610" t="n">
        <v>0</v>
      </c>
      <c r="N610" t="n">
        <v>0</v>
      </c>
      <c r="O610" t="n">
        <v>0</v>
      </c>
      <c r="P610" t="n">
        <v>0</v>
      </c>
      <c r="Q610" t="n">
        <v>0</v>
      </c>
      <c r="R610" s="2" t="inlineStr"/>
    </row>
    <row r="611" ht="15" customHeight="1">
      <c r="A611" t="inlineStr">
        <is>
          <t>A 59245-2024</t>
        </is>
      </c>
      <c r="B611" s="1" t="n">
        <v>45637.59230324074</v>
      </c>
      <c r="C611" s="1" t="n">
        <v>46105</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11441-2026</t>
        </is>
      </c>
      <c r="B612" s="1" t="n">
        <v>46083.51152777778</v>
      </c>
      <c r="C612" s="1" t="n">
        <v>46105</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3189-2026</t>
        </is>
      </c>
      <c r="B613" s="1" t="n">
        <v>46041.45987268518</v>
      </c>
      <c r="C613" s="1" t="n">
        <v>46105</v>
      </c>
      <c r="D613" t="inlineStr">
        <is>
          <t>JÄMTLANDS LÄN</t>
        </is>
      </c>
      <c r="E613" t="inlineStr">
        <is>
          <t>BRÄCKE</t>
        </is>
      </c>
      <c r="G613" t="n">
        <v>1.6</v>
      </c>
      <c r="H613" t="n">
        <v>0</v>
      </c>
      <c r="I613" t="n">
        <v>0</v>
      </c>
      <c r="J613" t="n">
        <v>0</v>
      </c>
      <c r="K613" t="n">
        <v>0</v>
      </c>
      <c r="L613" t="n">
        <v>0</v>
      </c>
      <c r="M613" t="n">
        <v>0</v>
      </c>
      <c r="N613" t="n">
        <v>0</v>
      </c>
      <c r="O613" t="n">
        <v>0</v>
      </c>
      <c r="P613" t="n">
        <v>0</v>
      </c>
      <c r="Q613" t="n">
        <v>0</v>
      </c>
      <c r="R613" s="2" t="inlineStr"/>
    </row>
    <row r="614" ht="15" customHeight="1">
      <c r="A614" t="inlineStr">
        <is>
          <t>A 3190-2026</t>
        </is>
      </c>
      <c r="B614" s="1" t="n">
        <v>46041.46190972222</v>
      </c>
      <c r="C614" s="1" t="n">
        <v>46105</v>
      </c>
      <c r="D614" t="inlineStr">
        <is>
          <t>JÄMTLANDS LÄN</t>
        </is>
      </c>
      <c r="E614" t="inlineStr">
        <is>
          <t>BRÄCKE</t>
        </is>
      </c>
      <c r="G614" t="n">
        <v>1</v>
      </c>
      <c r="H614" t="n">
        <v>0</v>
      </c>
      <c r="I614" t="n">
        <v>0</v>
      </c>
      <c r="J614" t="n">
        <v>0</v>
      </c>
      <c r="K614" t="n">
        <v>0</v>
      </c>
      <c r="L614" t="n">
        <v>0</v>
      </c>
      <c r="M614" t="n">
        <v>0</v>
      </c>
      <c r="N614" t="n">
        <v>0</v>
      </c>
      <c r="O614" t="n">
        <v>0</v>
      </c>
      <c r="P614" t="n">
        <v>0</v>
      </c>
      <c r="Q614" t="n">
        <v>0</v>
      </c>
      <c r="R614" s="2" t="inlineStr"/>
    </row>
    <row r="615" ht="15" customHeight="1">
      <c r="A615" t="inlineStr">
        <is>
          <t>A 11991-2026</t>
        </is>
      </c>
      <c r="B615" s="1" t="n">
        <v>46085.65692129629</v>
      </c>
      <c r="C615" s="1" t="n">
        <v>46105</v>
      </c>
      <c r="D615" t="inlineStr">
        <is>
          <t>JÄMTLANDS LÄN</t>
        </is>
      </c>
      <c r="E615" t="inlineStr">
        <is>
          <t>BRÄCKE</t>
        </is>
      </c>
      <c r="F615" t="inlineStr">
        <is>
          <t>SCA</t>
        </is>
      </c>
      <c r="G615" t="n">
        <v>12.9</v>
      </c>
      <c r="H615" t="n">
        <v>0</v>
      </c>
      <c r="I615" t="n">
        <v>0</v>
      </c>
      <c r="J615" t="n">
        <v>0</v>
      </c>
      <c r="K615" t="n">
        <v>0</v>
      </c>
      <c r="L615" t="n">
        <v>0</v>
      </c>
      <c r="M615" t="n">
        <v>0</v>
      </c>
      <c r="N615" t="n">
        <v>0</v>
      </c>
      <c r="O615" t="n">
        <v>0</v>
      </c>
      <c r="P615" t="n">
        <v>0</v>
      </c>
      <c r="Q615" t="n">
        <v>0</v>
      </c>
      <c r="R615" s="2" t="inlineStr"/>
    </row>
    <row r="616" ht="15" customHeight="1">
      <c r="A616" t="inlineStr">
        <is>
          <t>A 4126-2026</t>
        </is>
      </c>
      <c r="B616" s="1" t="n">
        <v>46044.61627314815</v>
      </c>
      <c r="C616" s="1" t="n">
        <v>46105</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4144-2026</t>
        </is>
      </c>
      <c r="B617" s="1" t="n">
        <v>46044.63637731481</v>
      </c>
      <c r="C617" s="1" t="n">
        <v>46105</v>
      </c>
      <c r="D617" t="inlineStr">
        <is>
          <t>JÄMTLANDS LÄN</t>
        </is>
      </c>
      <c r="E617" t="inlineStr">
        <is>
          <t>BRÄCKE</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24489-2025</t>
        </is>
      </c>
      <c r="B618" s="1" t="n">
        <v>45798.3859375</v>
      </c>
      <c r="C618" s="1" t="n">
        <v>46105</v>
      </c>
      <c r="D618" t="inlineStr">
        <is>
          <t>JÄMTLANDS LÄN</t>
        </is>
      </c>
      <c r="E618" t="inlineStr">
        <is>
          <t>BRÄCKE</t>
        </is>
      </c>
      <c r="G618" t="n">
        <v>1.5</v>
      </c>
      <c r="H618" t="n">
        <v>0</v>
      </c>
      <c r="I618" t="n">
        <v>0</v>
      </c>
      <c r="J618" t="n">
        <v>0</v>
      </c>
      <c r="K618" t="n">
        <v>0</v>
      </c>
      <c r="L618" t="n">
        <v>0</v>
      </c>
      <c r="M618" t="n">
        <v>0</v>
      </c>
      <c r="N618" t="n">
        <v>0</v>
      </c>
      <c r="O618" t="n">
        <v>0</v>
      </c>
      <c r="P618" t="n">
        <v>0</v>
      </c>
      <c r="Q618" t="n">
        <v>0</v>
      </c>
      <c r="R618" s="2" t="inlineStr"/>
    </row>
    <row r="619" ht="15" customHeight="1">
      <c r="A619" t="inlineStr">
        <is>
          <t>A 11897-2026</t>
        </is>
      </c>
      <c r="B619" s="1" t="n">
        <v>46085.53728009259</v>
      </c>
      <c r="C619" s="1" t="n">
        <v>46105</v>
      </c>
      <c r="D619" t="inlineStr">
        <is>
          <t>JÄMTLANDS LÄN</t>
        </is>
      </c>
      <c r="E619" t="inlineStr">
        <is>
          <t>BRÄCKE</t>
        </is>
      </c>
      <c r="G619" t="n">
        <v>6.4</v>
      </c>
      <c r="H619" t="n">
        <v>0</v>
      </c>
      <c r="I619" t="n">
        <v>0</v>
      </c>
      <c r="J619" t="n">
        <v>0</v>
      </c>
      <c r="K619" t="n">
        <v>0</v>
      </c>
      <c r="L619" t="n">
        <v>0</v>
      </c>
      <c r="M619" t="n">
        <v>0</v>
      </c>
      <c r="N619" t="n">
        <v>0</v>
      </c>
      <c r="O619" t="n">
        <v>0</v>
      </c>
      <c r="P619" t="n">
        <v>0</v>
      </c>
      <c r="Q619" t="n">
        <v>0</v>
      </c>
      <c r="R619" s="2" t="inlineStr"/>
    </row>
    <row r="620" ht="15" customHeight="1">
      <c r="A620" t="inlineStr">
        <is>
          <t>A 11900-2026</t>
        </is>
      </c>
      <c r="B620" s="1" t="n">
        <v>46085.53931712963</v>
      </c>
      <c r="C620" s="1" t="n">
        <v>46105</v>
      </c>
      <c r="D620" t="inlineStr">
        <is>
          <t>JÄMTLANDS LÄN</t>
        </is>
      </c>
      <c r="E620" t="inlineStr">
        <is>
          <t>BRÄCKE</t>
        </is>
      </c>
      <c r="G620" t="n">
        <v>3.6</v>
      </c>
      <c r="H620" t="n">
        <v>0</v>
      </c>
      <c r="I620" t="n">
        <v>0</v>
      </c>
      <c r="J620" t="n">
        <v>0</v>
      </c>
      <c r="K620" t="n">
        <v>0</v>
      </c>
      <c r="L620" t="n">
        <v>0</v>
      </c>
      <c r="M620" t="n">
        <v>0</v>
      </c>
      <c r="N620" t="n">
        <v>0</v>
      </c>
      <c r="O620" t="n">
        <v>0</v>
      </c>
      <c r="P620" t="n">
        <v>0</v>
      </c>
      <c r="Q620" t="n">
        <v>0</v>
      </c>
      <c r="R620" s="2" t="inlineStr"/>
    </row>
    <row r="621" ht="15" customHeight="1">
      <c r="A621" t="inlineStr">
        <is>
          <t>A 11856-2026</t>
        </is>
      </c>
      <c r="B621" s="1" t="n">
        <v>46085.46954861111</v>
      </c>
      <c r="C621" s="1" t="n">
        <v>46105</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27041-2025</t>
        </is>
      </c>
      <c r="B622" s="1" t="n">
        <v>45811.60465277778</v>
      </c>
      <c r="C622" s="1" t="n">
        <v>46105</v>
      </c>
      <c r="D622" t="inlineStr">
        <is>
          <t>JÄMTLANDS LÄN</t>
        </is>
      </c>
      <c r="E622" t="inlineStr">
        <is>
          <t>BRÄCKE</t>
        </is>
      </c>
      <c r="G622" t="n">
        <v>2.6</v>
      </c>
      <c r="H622" t="n">
        <v>0</v>
      </c>
      <c r="I622" t="n">
        <v>0</v>
      </c>
      <c r="J622" t="n">
        <v>0</v>
      </c>
      <c r="K622" t="n">
        <v>0</v>
      </c>
      <c r="L622" t="n">
        <v>0</v>
      </c>
      <c r="M622" t="n">
        <v>0</v>
      </c>
      <c r="N622" t="n">
        <v>0</v>
      </c>
      <c r="O622" t="n">
        <v>0</v>
      </c>
      <c r="P622" t="n">
        <v>0</v>
      </c>
      <c r="Q622" t="n">
        <v>0</v>
      </c>
      <c r="R622" s="2" t="inlineStr"/>
    </row>
    <row r="623" ht="15" customHeight="1">
      <c r="A623" t="inlineStr">
        <is>
          <t>A 3996-2026</t>
        </is>
      </c>
      <c r="B623" s="1" t="n">
        <v>46044.38831018518</v>
      </c>
      <c r="C623" s="1" t="n">
        <v>46105</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38811-2025</t>
        </is>
      </c>
      <c r="B624" s="1" t="n">
        <v>45887.48994212963</v>
      </c>
      <c r="C624" s="1" t="n">
        <v>46105</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38812-2025</t>
        </is>
      </c>
      <c r="B625" s="1" t="n">
        <v>45887.49016203704</v>
      </c>
      <c r="C625" s="1" t="n">
        <v>46105</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38835-2025</t>
        </is>
      </c>
      <c r="B626" s="1" t="n">
        <v>45887.53195601852</v>
      </c>
      <c r="C626" s="1" t="n">
        <v>46105</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12050-2026</t>
        </is>
      </c>
      <c r="B627" s="1" t="n">
        <v>46086.3474074074</v>
      </c>
      <c r="C627" s="1" t="n">
        <v>46105</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39052-2025</t>
        </is>
      </c>
      <c r="B628" s="1" t="n">
        <v>45888.44829861111</v>
      </c>
      <c r="C628" s="1" t="n">
        <v>46105</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4098-2026</t>
        </is>
      </c>
      <c r="B629" s="1" t="n">
        <v>46044.5734375</v>
      </c>
      <c r="C629" s="1" t="n">
        <v>46105</v>
      </c>
      <c r="D629" t="inlineStr">
        <is>
          <t>JÄMTLANDS LÄN</t>
        </is>
      </c>
      <c r="E629" t="inlineStr">
        <is>
          <t>BRÄCKE</t>
        </is>
      </c>
      <c r="F629" t="inlineStr">
        <is>
          <t>SCA</t>
        </is>
      </c>
      <c r="G629" t="n">
        <v>19.5</v>
      </c>
      <c r="H629" t="n">
        <v>0</v>
      </c>
      <c r="I629" t="n">
        <v>0</v>
      </c>
      <c r="J629" t="n">
        <v>0</v>
      </c>
      <c r="K629" t="n">
        <v>0</v>
      </c>
      <c r="L629" t="n">
        <v>0</v>
      </c>
      <c r="M629" t="n">
        <v>0</v>
      </c>
      <c r="N629" t="n">
        <v>0</v>
      </c>
      <c r="O629" t="n">
        <v>0</v>
      </c>
      <c r="P629" t="n">
        <v>0</v>
      </c>
      <c r="Q629" t="n">
        <v>0</v>
      </c>
      <c r="R629" s="2" t="inlineStr"/>
    </row>
    <row r="630" ht="15" customHeight="1">
      <c r="A630" t="inlineStr">
        <is>
          <t>A 23491-2025</t>
        </is>
      </c>
      <c r="B630" s="1" t="n">
        <v>45792.46924768519</v>
      </c>
      <c r="C630" s="1" t="n">
        <v>46105</v>
      </c>
      <c r="D630" t="inlineStr">
        <is>
          <t>JÄMTLANDS LÄN</t>
        </is>
      </c>
      <c r="E630" t="inlineStr">
        <is>
          <t>BRÄCKE</t>
        </is>
      </c>
      <c r="F630" t="inlineStr">
        <is>
          <t>SCA</t>
        </is>
      </c>
      <c r="G630" t="n">
        <v>11.8</v>
      </c>
      <c r="H630" t="n">
        <v>0</v>
      </c>
      <c r="I630" t="n">
        <v>0</v>
      </c>
      <c r="J630" t="n">
        <v>0</v>
      </c>
      <c r="K630" t="n">
        <v>0</v>
      </c>
      <c r="L630" t="n">
        <v>0</v>
      </c>
      <c r="M630" t="n">
        <v>0</v>
      </c>
      <c r="N630" t="n">
        <v>0</v>
      </c>
      <c r="O630" t="n">
        <v>0</v>
      </c>
      <c r="P630" t="n">
        <v>0</v>
      </c>
      <c r="Q630" t="n">
        <v>0</v>
      </c>
      <c r="R630" s="2" t="inlineStr"/>
    </row>
    <row r="631" ht="15" customHeight="1">
      <c r="A631" t="inlineStr">
        <is>
          <t>A 47550-2024</t>
        </is>
      </c>
      <c r="B631" s="1" t="n">
        <v>45587.66041666667</v>
      </c>
      <c r="C631" s="1" t="n">
        <v>46105</v>
      </c>
      <c r="D631" t="inlineStr">
        <is>
          <t>JÄMTLANDS LÄN</t>
        </is>
      </c>
      <c r="E631" t="inlineStr">
        <is>
          <t>BRÄCKE</t>
        </is>
      </c>
      <c r="G631" t="n">
        <v>5.3</v>
      </c>
      <c r="H631" t="n">
        <v>0</v>
      </c>
      <c r="I631" t="n">
        <v>0</v>
      </c>
      <c r="J631" t="n">
        <v>0</v>
      </c>
      <c r="K631" t="n">
        <v>0</v>
      </c>
      <c r="L631" t="n">
        <v>0</v>
      </c>
      <c r="M631" t="n">
        <v>0</v>
      </c>
      <c r="N631" t="n">
        <v>0</v>
      </c>
      <c r="O631" t="n">
        <v>0</v>
      </c>
      <c r="P631" t="n">
        <v>0</v>
      </c>
      <c r="Q631" t="n">
        <v>0</v>
      </c>
      <c r="R631" s="2" t="inlineStr"/>
    </row>
    <row r="632" ht="15" customHeight="1">
      <c r="A632" t="inlineStr">
        <is>
          <t>A 7301-2025</t>
        </is>
      </c>
      <c r="B632" s="1" t="n">
        <v>45702.65668981482</v>
      </c>
      <c r="C632" s="1" t="n">
        <v>46105</v>
      </c>
      <c r="D632" t="inlineStr">
        <is>
          <t>JÄMTLANDS LÄN</t>
        </is>
      </c>
      <c r="E632" t="inlineStr">
        <is>
          <t>BRÄCKE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39086-2025</t>
        </is>
      </c>
      <c r="B633" s="1" t="n">
        <v>45888.49046296296</v>
      </c>
      <c r="C633" s="1" t="n">
        <v>46105</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38775-2025</t>
        </is>
      </c>
      <c r="B634" s="1" t="n">
        <v>45887.42667824074</v>
      </c>
      <c r="C634" s="1" t="n">
        <v>46105</v>
      </c>
      <c r="D634" t="inlineStr">
        <is>
          <t>JÄMTLANDS LÄN</t>
        </is>
      </c>
      <c r="E634" t="inlineStr">
        <is>
          <t>BRÄCKE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38834-2025</t>
        </is>
      </c>
      <c r="B635" s="1" t="n">
        <v>45887.53174768519</v>
      </c>
      <c r="C635" s="1" t="n">
        <v>46105</v>
      </c>
      <c r="D635" t="inlineStr">
        <is>
          <t>JÄMTLANDS LÄN</t>
        </is>
      </c>
      <c r="E635" t="inlineStr">
        <is>
          <t>BRÄCKE</t>
        </is>
      </c>
      <c r="F635" t="inlineStr">
        <is>
          <t>SCA</t>
        </is>
      </c>
      <c r="G635" t="n">
        <v>6.3</v>
      </c>
      <c r="H635" t="n">
        <v>0</v>
      </c>
      <c r="I635" t="n">
        <v>0</v>
      </c>
      <c r="J635" t="n">
        <v>0</v>
      </c>
      <c r="K635" t="n">
        <v>0</v>
      </c>
      <c r="L635" t="n">
        <v>0</v>
      </c>
      <c r="M635" t="n">
        <v>0</v>
      </c>
      <c r="N635" t="n">
        <v>0</v>
      </c>
      <c r="O635" t="n">
        <v>0</v>
      </c>
      <c r="P635" t="n">
        <v>0</v>
      </c>
      <c r="Q635" t="n">
        <v>0</v>
      </c>
      <c r="R635" s="2" t="inlineStr"/>
    </row>
    <row r="636" ht="15" customHeight="1">
      <c r="A636" t="inlineStr">
        <is>
          <t>A 38842-2025</t>
        </is>
      </c>
      <c r="B636" s="1" t="n">
        <v>45887.54003472222</v>
      </c>
      <c r="C636" s="1" t="n">
        <v>46105</v>
      </c>
      <c r="D636" t="inlineStr">
        <is>
          <t>JÄMTLANDS LÄN</t>
        </is>
      </c>
      <c r="E636" t="inlineStr">
        <is>
          <t>BRÄCKE</t>
        </is>
      </c>
      <c r="G636" t="n">
        <v>6.3</v>
      </c>
      <c r="H636" t="n">
        <v>0</v>
      </c>
      <c r="I636" t="n">
        <v>0</v>
      </c>
      <c r="J636" t="n">
        <v>0</v>
      </c>
      <c r="K636" t="n">
        <v>0</v>
      </c>
      <c r="L636" t="n">
        <v>0</v>
      </c>
      <c r="M636" t="n">
        <v>0</v>
      </c>
      <c r="N636" t="n">
        <v>0</v>
      </c>
      <c r="O636" t="n">
        <v>0</v>
      </c>
      <c r="P636" t="n">
        <v>0</v>
      </c>
      <c r="Q636" t="n">
        <v>0</v>
      </c>
      <c r="R636" s="2" t="inlineStr"/>
    </row>
    <row r="637" ht="15" customHeight="1">
      <c r="A637" t="inlineStr">
        <is>
          <t>A 39088-2025</t>
        </is>
      </c>
      <c r="B637" s="1" t="n">
        <v>45888.49105324074</v>
      </c>
      <c r="C637" s="1" t="n">
        <v>46105</v>
      </c>
      <c r="D637" t="inlineStr">
        <is>
          <t>JÄMTLANDS LÄN</t>
        </is>
      </c>
      <c r="E637" t="inlineStr">
        <is>
          <t>BRÄCKE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39117-2025</t>
        </is>
      </c>
      <c r="B638" s="1" t="n">
        <v>45888.55275462963</v>
      </c>
      <c r="C638" s="1" t="n">
        <v>46105</v>
      </c>
      <c r="D638" t="inlineStr">
        <is>
          <t>JÄMTLANDS LÄN</t>
        </is>
      </c>
      <c r="E638" t="inlineStr">
        <is>
          <t>BRÄCKE</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58498-2022</t>
        </is>
      </c>
      <c r="B639" s="1" t="n">
        <v>44902.37547453704</v>
      </c>
      <c r="C639" s="1" t="n">
        <v>46105</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27453-2025</t>
        </is>
      </c>
      <c r="B640" s="1" t="n">
        <v>45813.34454861111</v>
      </c>
      <c r="C640" s="1" t="n">
        <v>46105</v>
      </c>
      <c r="D640" t="inlineStr">
        <is>
          <t>JÄMTLANDS LÄN</t>
        </is>
      </c>
      <c r="E640" t="inlineStr">
        <is>
          <t>BRÄCKE</t>
        </is>
      </c>
      <c r="G640" t="n">
        <v>0.8</v>
      </c>
      <c r="H640" t="n">
        <v>0</v>
      </c>
      <c r="I640" t="n">
        <v>0</v>
      </c>
      <c r="J640" t="n">
        <v>0</v>
      </c>
      <c r="K640" t="n">
        <v>0</v>
      </c>
      <c r="L640" t="n">
        <v>0</v>
      </c>
      <c r="M640" t="n">
        <v>0</v>
      </c>
      <c r="N640" t="n">
        <v>0</v>
      </c>
      <c r="O640" t="n">
        <v>0</v>
      </c>
      <c r="P640" t="n">
        <v>0</v>
      </c>
      <c r="Q640" t="n">
        <v>0</v>
      </c>
      <c r="R640" s="2" t="inlineStr"/>
    </row>
    <row r="641" ht="15" customHeight="1">
      <c r="A641" t="inlineStr">
        <is>
          <t>A 39344-2025</t>
        </is>
      </c>
      <c r="B641" s="1" t="n">
        <v>45889.53175925926</v>
      </c>
      <c r="C641" s="1" t="n">
        <v>46105</v>
      </c>
      <c r="D641" t="inlineStr">
        <is>
          <t>JÄMTLANDS LÄN</t>
        </is>
      </c>
      <c r="E641" t="inlineStr">
        <is>
          <t>BRÄCKE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12047-2026</t>
        </is>
      </c>
      <c r="B642" s="1" t="n">
        <v>46086.34466435185</v>
      </c>
      <c r="C642" s="1" t="n">
        <v>46105</v>
      </c>
      <c r="D642" t="inlineStr">
        <is>
          <t>JÄMTLANDS LÄN</t>
        </is>
      </c>
      <c r="E642" t="inlineStr">
        <is>
          <t>BRÄCKE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52229-2024</t>
        </is>
      </c>
      <c r="B643" s="1" t="n">
        <v>45608.60803240741</v>
      </c>
      <c r="C643" s="1" t="n">
        <v>46105</v>
      </c>
      <c r="D643" t="inlineStr">
        <is>
          <t>JÄMTLANDS LÄN</t>
        </is>
      </c>
      <c r="E643" t="inlineStr">
        <is>
          <t>BRÄCKE</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39532-2025</t>
        </is>
      </c>
      <c r="B644" s="1" t="n">
        <v>45890.44847222222</v>
      </c>
      <c r="C644" s="1" t="n">
        <v>46105</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39376-2025</t>
        </is>
      </c>
      <c r="B645" s="1" t="n">
        <v>45889.59425925926</v>
      </c>
      <c r="C645" s="1" t="n">
        <v>46105</v>
      </c>
      <c r="D645" t="inlineStr">
        <is>
          <t>JÄMTLANDS LÄN</t>
        </is>
      </c>
      <c r="E645" t="inlineStr">
        <is>
          <t>BRÄCKE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27516-2025</t>
        </is>
      </c>
      <c r="B646" s="1" t="n">
        <v>45813.43526620371</v>
      </c>
      <c r="C646" s="1" t="n">
        <v>46105</v>
      </c>
      <c r="D646" t="inlineStr">
        <is>
          <t>JÄMTLANDS LÄN</t>
        </is>
      </c>
      <c r="E646" t="inlineStr">
        <is>
          <t>BRÄCKE</t>
        </is>
      </c>
      <c r="G646" t="n">
        <v>0.1</v>
      </c>
      <c r="H646" t="n">
        <v>0</v>
      </c>
      <c r="I646" t="n">
        <v>0</v>
      </c>
      <c r="J646" t="n">
        <v>0</v>
      </c>
      <c r="K646" t="n">
        <v>0</v>
      </c>
      <c r="L646" t="n">
        <v>0</v>
      </c>
      <c r="M646" t="n">
        <v>0</v>
      </c>
      <c r="N646" t="n">
        <v>0</v>
      </c>
      <c r="O646" t="n">
        <v>0</v>
      </c>
      <c r="P646" t="n">
        <v>0</v>
      </c>
      <c r="Q646" t="n">
        <v>0</v>
      </c>
      <c r="R646" s="2" t="inlineStr"/>
    </row>
    <row r="647" ht="15" customHeight="1">
      <c r="A647" t="inlineStr">
        <is>
          <t>A 27511-2025</t>
        </is>
      </c>
      <c r="B647" s="1" t="n">
        <v>45813.42799768518</v>
      </c>
      <c r="C647" s="1" t="n">
        <v>46105</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39487-2025</t>
        </is>
      </c>
      <c r="B648" s="1" t="n">
        <v>45890.3650462963</v>
      </c>
      <c r="C648" s="1" t="n">
        <v>46105</v>
      </c>
      <c r="D648" t="inlineStr">
        <is>
          <t>JÄMTLANDS LÄN</t>
        </is>
      </c>
      <c r="E648" t="inlineStr">
        <is>
          <t>BRÄCKE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3784-2026</t>
        </is>
      </c>
      <c r="B649" s="1" t="n">
        <v>46043.57167824074</v>
      </c>
      <c r="C649" s="1" t="n">
        <v>46105</v>
      </c>
      <c r="D649" t="inlineStr">
        <is>
          <t>JÄMTLANDS LÄN</t>
        </is>
      </c>
      <c r="E649" t="inlineStr">
        <is>
          <t>BRÄCKE</t>
        </is>
      </c>
      <c r="G649" t="n">
        <v>7.8</v>
      </c>
      <c r="H649" t="n">
        <v>0</v>
      </c>
      <c r="I649" t="n">
        <v>0</v>
      </c>
      <c r="J649" t="n">
        <v>0</v>
      </c>
      <c r="K649" t="n">
        <v>0</v>
      </c>
      <c r="L649" t="n">
        <v>0</v>
      </c>
      <c r="M649" t="n">
        <v>0</v>
      </c>
      <c r="N649" t="n">
        <v>0</v>
      </c>
      <c r="O649" t="n">
        <v>0</v>
      </c>
      <c r="P649" t="n">
        <v>0</v>
      </c>
      <c r="Q649" t="n">
        <v>0</v>
      </c>
      <c r="R649" s="2" t="inlineStr"/>
    </row>
    <row r="650" ht="15" customHeight="1">
      <c r="A650" t="inlineStr">
        <is>
          <t>A 39506-2025</t>
        </is>
      </c>
      <c r="B650" s="1" t="n">
        <v>45890.40703703704</v>
      </c>
      <c r="C650" s="1" t="n">
        <v>46105</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15261-2025</t>
        </is>
      </c>
      <c r="B651" s="1" t="n">
        <v>45744</v>
      </c>
      <c r="C651" s="1" t="n">
        <v>46105</v>
      </c>
      <c r="D651" t="inlineStr">
        <is>
          <t>JÄMTLANDS LÄN</t>
        </is>
      </c>
      <c r="E651" t="inlineStr">
        <is>
          <t>BRÄCKE</t>
        </is>
      </c>
      <c r="F651" t="inlineStr">
        <is>
          <t>SCA</t>
        </is>
      </c>
      <c r="G651" t="n">
        <v>9</v>
      </c>
      <c r="H651" t="n">
        <v>0</v>
      </c>
      <c r="I651" t="n">
        <v>0</v>
      </c>
      <c r="J651" t="n">
        <v>0</v>
      </c>
      <c r="K651" t="n">
        <v>0</v>
      </c>
      <c r="L651" t="n">
        <v>0</v>
      </c>
      <c r="M651" t="n">
        <v>0</v>
      </c>
      <c r="N651" t="n">
        <v>0</v>
      </c>
      <c r="O651" t="n">
        <v>0</v>
      </c>
      <c r="P651" t="n">
        <v>0</v>
      </c>
      <c r="Q651" t="n">
        <v>0</v>
      </c>
      <c r="R651" s="2" t="inlineStr"/>
    </row>
    <row r="652" ht="15" customHeight="1">
      <c r="A652" t="inlineStr">
        <is>
          <t>A 4100-2026</t>
        </is>
      </c>
      <c r="B652" s="1" t="n">
        <v>46044.57376157407</v>
      </c>
      <c r="C652" s="1" t="n">
        <v>46105</v>
      </c>
      <c r="D652" t="inlineStr">
        <is>
          <t>JÄMTLANDS LÄN</t>
        </is>
      </c>
      <c r="E652" t="inlineStr">
        <is>
          <t>BRÄCKE</t>
        </is>
      </c>
      <c r="F652" t="inlineStr">
        <is>
          <t>SCA</t>
        </is>
      </c>
      <c r="G652" t="n">
        <v>20.5</v>
      </c>
      <c r="H652" t="n">
        <v>0</v>
      </c>
      <c r="I652" t="n">
        <v>0</v>
      </c>
      <c r="J652" t="n">
        <v>0</v>
      </c>
      <c r="K652" t="n">
        <v>0</v>
      </c>
      <c r="L652" t="n">
        <v>0</v>
      </c>
      <c r="M652" t="n">
        <v>0</v>
      </c>
      <c r="N652" t="n">
        <v>0</v>
      </c>
      <c r="O652" t="n">
        <v>0</v>
      </c>
      <c r="P652" t="n">
        <v>0</v>
      </c>
      <c r="Q652" t="n">
        <v>0</v>
      </c>
      <c r="R652" s="2" t="inlineStr"/>
    </row>
    <row r="653" ht="15" customHeight="1">
      <c r="A653" t="inlineStr">
        <is>
          <t>A 39272-2025</t>
        </is>
      </c>
      <c r="B653" s="1" t="n">
        <v>45889.38640046296</v>
      </c>
      <c r="C653" s="1" t="n">
        <v>46105</v>
      </c>
      <c r="D653" t="inlineStr">
        <is>
          <t>JÄMTLANDS LÄN</t>
        </is>
      </c>
      <c r="E653" t="inlineStr">
        <is>
          <t>BRÄCKE</t>
        </is>
      </c>
      <c r="F653" t="inlineStr">
        <is>
          <t>SCA</t>
        </is>
      </c>
      <c r="G653" t="n">
        <v>13.1</v>
      </c>
      <c r="H653" t="n">
        <v>0</v>
      </c>
      <c r="I653" t="n">
        <v>0</v>
      </c>
      <c r="J653" t="n">
        <v>0</v>
      </c>
      <c r="K653" t="n">
        <v>0</v>
      </c>
      <c r="L653" t="n">
        <v>0</v>
      </c>
      <c r="M653" t="n">
        <v>0</v>
      </c>
      <c r="N653" t="n">
        <v>0</v>
      </c>
      <c r="O653" t="n">
        <v>0</v>
      </c>
      <c r="P653" t="n">
        <v>0</v>
      </c>
      <c r="Q653" t="n">
        <v>0</v>
      </c>
      <c r="R653" s="2" t="inlineStr"/>
    </row>
    <row r="654" ht="15" customHeight="1">
      <c r="A654" t="inlineStr">
        <is>
          <t>A 3833-2026</t>
        </is>
      </c>
      <c r="B654" s="1" t="n">
        <v>46043.58997685185</v>
      </c>
      <c r="C654" s="1" t="n">
        <v>46105</v>
      </c>
      <c r="D654" t="inlineStr">
        <is>
          <t>JÄMTLANDS LÄN</t>
        </is>
      </c>
      <c r="E654" t="inlineStr">
        <is>
          <t>BRÄCKE</t>
        </is>
      </c>
      <c r="G654" t="n">
        <v>3.8</v>
      </c>
      <c r="H654" t="n">
        <v>0</v>
      </c>
      <c r="I654" t="n">
        <v>0</v>
      </c>
      <c r="J654" t="n">
        <v>0</v>
      </c>
      <c r="K654" t="n">
        <v>0</v>
      </c>
      <c r="L654" t="n">
        <v>0</v>
      </c>
      <c r="M654" t="n">
        <v>0</v>
      </c>
      <c r="N654" t="n">
        <v>0</v>
      </c>
      <c r="O654" t="n">
        <v>0</v>
      </c>
      <c r="P654" t="n">
        <v>0</v>
      </c>
      <c r="Q654" t="n">
        <v>0</v>
      </c>
      <c r="R654" s="2" t="inlineStr"/>
    </row>
    <row r="655" ht="15" customHeight="1">
      <c r="A655" t="inlineStr">
        <is>
          <t>A 27546-2025</t>
        </is>
      </c>
      <c r="B655" s="1" t="n">
        <v>45813.46957175926</v>
      </c>
      <c r="C655" s="1" t="n">
        <v>46105</v>
      </c>
      <c r="D655" t="inlineStr">
        <is>
          <t>JÄMTLANDS LÄN</t>
        </is>
      </c>
      <c r="E655" t="inlineStr">
        <is>
          <t>BRÄCKE</t>
        </is>
      </c>
      <c r="F655" t="inlineStr">
        <is>
          <t>SCA</t>
        </is>
      </c>
      <c r="G655" t="n">
        <v>7</v>
      </c>
      <c r="H655" t="n">
        <v>0</v>
      </c>
      <c r="I655" t="n">
        <v>0</v>
      </c>
      <c r="J655" t="n">
        <v>0</v>
      </c>
      <c r="K655" t="n">
        <v>0</v>
      </c>
      <c r="L655" t="n">
        <v>0</v>
      </c>
      <c r="M655" t="n">
        <v>0</v>
      </c>
      <c r="N655" t="n">
        <v>0</v>
      </c>
      <c r="O655" t="n">
        <v>0</v>
      </c>
      <c r="P655" t="n">
        <v>0</v>
      </c>
      <c r="Q655" t="n">
        <v>0</v>
      </c>
      <c r="R655" s="2" t="inlineStr"/>
    </row>
    <row r="656" ht="15" customHeight="1">
      <c r="A656" t="inlineStr">
        <is>
          <t>A 39535-2025</t>
        </is>
      </c>
      <c r="B656" s="1" t="n">
        <v>45890.44881944444</v>
      </c>
      <c r="C656" s="1" t="n">
        <v>46105</v>
      </c>
      <c r="D656" t="inlineStr">
        <is>
          <t>JÄMTLANDS LÄN</t>
        </is>
      </c>
      <c r="E656" t="inlineStr">
        <is>
          <t>BRÄCKE</t>
        </is>
      </c>
      <c r="G656" t="n">
        <v>6.4</v>
      </c>
      <c r="H656" t="n">
        <v>0</v>
      </c>
      <c r="I656" t="n">
        <v>0</v>
      </c>
      <c r="J656" t="n">
        <v>0</v>
      </c>
      <c r="K656" t="n">
        <v>0</v>
      </c>
      <c r="L656" t="n">
        <v>0</v>
      </c>
      <c r="M656" t="n">
        <v>0</v>
      </c>
      <c r="N656" t="n">
        <v>0</v>
      </c>
      <c r="O656" t="n">
        <v>0</v>
      </c>
      <c r="P656" t="n">
        <v>0</v>
      </c>
      <c r="Q656" t="n">
        <v>0</v>
      </c>
      <c r="R656" s="2" t="inlineStr"/>
    </row>
    <row r="657" ht="15" customHeight="1">
      <c r="A657" t="inlineStr">
        <is>
          <t>A 39680-2025</t>
        </is>
      </c>
      <c r="B657" s="1" t="n">
        <v>45890.65677083333</v>
      </c>
      <c r="C657" s="1" t="n">
        <v>46105</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39377-2025</t>
        </is>
      </c>
      <c r="B658" s="1" t="n">
        <v>45889.59434027778</v>
      </c>
      <c r="C658" s="1" t="n">
        <v>46105</v>
      </c>
      <c r="D658" t="inlineStr">
        <is>
          <t>JÄMTLANDS LÄN</t>
        </is>
      </c>
      <c r="E658" t="inlineStr">
        <is>
          <t>BRÄCKE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4087-2026</t>
        </is>
      </c>
      <c r="B659" s="1" t="n">
        <v>46044.55247685185</v>
      </c>
      <c r="C659" s="1" t="n">
        <v>46105</v>
      </c>
      <c r="D659" t="inlineStr">
        <is>
          <t>JÄMTLANDS LÄN</t>
        </is>
      </c>
      <c r="E659" t="inlineStr">
        <is>
          <t>BRÄCKE</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4124-2026</t>
        </is>
      </c>
      <c r="B660" s="1" t="n">
        <v>46044.61603009259</v>
      </c>
      <c r="C660" s="1" t="n">
        <v>46105</v>
      </c>
      <c r="D660" t="inlineStr">
        <is>
          <t>JÄMTLANDS LÄN</t>
        </is>
      </c>
      <c r="E660" t="inlineStr">
        <is>
          <t>BRÄCKE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39273-2025</t>
        </is>
      </c>
      <c r="B661" s="1" t="n">
        <v>45889.38655092593</v>
      </c>
      <c r="C661" s="1" t="n">
        <v>46105</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12046-2026</t>
        </is>
      </c>
      <c r="B662" s="1" t="n">
        <v>46086.34452546296</v>
      </c>
      <c r="C662" s="1" t="n">
        <v>46105</v>
      </c>
      <c r="D662" t="inlineStr">
        <is>
          <t>JÄMTLANDS LÄN</t>
        </is>
      </c>
      <c r="E662" t="inlineStr">
        <is>
          <t>BRÄCKE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39385-2025</t>
        </is>
      </c>
      <c r="B663" s="1" t="n">
        <v>45889.61550925926</v>
      </c>
      <c r="C663" s="1" t="n">
        <v>46105</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4123-2026</t>
        </is>
      </c>
      <c r="B664" s="1" t="n">
        <v>46044.61585648148</v>
      </c>
      <c r="C664" s="1" t="n">
        <v>46105</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4122-2026</t>
        </is>
      </c>
      <c r="B665" s="1" t="n">
        <v>46044.61547453704</v>
      </c>
      <c r="C665" s="1" t="n">
        <v>46105</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39355-2025</t>
        </is>
      </c>
      <c r="B666" s="1" t="n">
        <v>45889.55252314815</v>
      </c>
      <c r="C666" s="1" t="n">
        <v>46105</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28198-2025</t>
        </is>
      </c>
      <c r="B667" s="1" t="n">
        <v>45818.43175925926</v>
      </c>
      <c r="C667" s="1" t="n">
        <v>46105</v>
      </c>
      <c r="D667" t="inlineStr">
        <is>
          <t>JÄMTLANDS LÄN</t>
        </is>
      </c>
      <c r="E667" t="inlineStr">
        <is>
          <t>BRÄCKE</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39505-2025</t>
        </is>
      </c>
      <c r="B668" s="1" t="n">
        <v>45890.40689814815</v>
      </c>
      <c r="C668" s="1" t="n">
        <v>46105</v>
      </c>
      <c r="D668" t="inlineStr">
        <is>
          <t>JÄMTLANDS LÄN</t>
        </is>
      </c>
      <c r="E668" t="inlineStr">
        <is>
          <t>BRÄCKE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24492-2025</t>
        </is>
      </c>
      <c r="B669" s="1" t="n">
        <v>45798.38611111111</v>
      </c>
      <c r="C669" s="1" t="n">
        <v>46105</v>
      </c>
      <c r="D669" t="inlineStr">
        <is>
          <t>JÄMTLANDS LÄN</t>
        </is>
      </c>
      <c r="E669" t="inlineStr">
        <is>
          <t>BRÄCKE</t>
        </is>
      </c>
      <c r="G669" t="n">
        <v>6.9</v>
      </c>
      <c r="H669" t="n">
        <v>0</v>
      </c>
      <c r="I669" t="n">
        <v>0</v>
      </c>
      <c r="J669" t="n">
        <v>0</v>
      </c>
      <c r="K669" t="n">
        <v>0</v>
      </c>
      <c r="L669" t="n">
        <v>0</v>
      </c>
      <c r="M669" t="n">
        <v>0</v>
      </c>
      <c r="N669" t="n">
        <v>0</v>
      </c>
      <c r="O669" t="n">
        <v>0</v>
      </c>
      <c r="P669" t="n">
        <v>0</v>
      </c>
      <c r="Q669" t="n">
        <v>0</v>
      </c>
      <c r="R669" s="2" t="inlineStr"/>
    </row>
    <row r="670" ht="15" customHeight="1">
      <c r="A670" t="inlineStr">
        <is>
          <t>A 4651-2026</t>
        </is>
      </c>
      <c r="B670" s="1" t="n">
        <v>46048.40722222222</v>
      </c>
      <c r="C670" s="1" t="n">
        <v>46105</v>
      </c>
      <c r="D670" t="inlineStr">
        <is>
          <t>JÄMTLANDS LÄN</t>
        </is>
      </c>
      <c r="E670" t="inlineStr">
        <is>
          <t>BRÄCKE</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39933-2025</t>
        </is>
      </c>
      <c r="B671" s="1" t="n">
        <v>45891.71150462963</v>
      </c>
      <c r="C671" s="1" t="n">
        <v>46105</v>
      </c>
      <c r="D671" t="inlineStr">
        <is>
          <t>JÄMTLANDS LÄN</t>
        </is>
      </c>
      <c r="E671" t="inlineStr">
        <is>
          <t>BRÄCKE</t>
        </is>
      </c>
      <c r="G671" t="n">
        <v>15.1</v>
      </c>
      <c r="H671" t="n">
        <v>0</v>
      </c>
      <c r="I671" t="n">
        <v>0</v>
      </c>
      <c r="J671" t="n">
        <v>0</v>
      </c>
      <c r="K671" t="n">
        <v>0</v>
      </c>
      <c r="L671" t="n">
        <v>0</v>
      </c>
      <c r="M671" t="n">
        <v>0</v>
      </c>
      <c r="N671" t="n">
        <v>0</v>
      </c>
      <c r="O671" t="n">
        <v>0</v>
      </c>
      <c r="P671" t="n">
        <v>0</v>
      </c>
      <c r="Q671" t="n">
        <v>0</v>
      </c>
      <c r="R671" s="2" t="inlineStr"/>
    </row>
    <row r="672" ht="15" customHeight="1">
      <c r="A672" t="inlineStr">
        <is>
          <t>A 39767-2025</t>
        </is>
      </c>
      <c r="B672" s="1" t="n">
        <v>45891.44828703703</v>
      </c>
      <c r="C672" s="1" t="n">
        <v>46105</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10369-2025</t>
        </is>
      </c>
      <c r="B673" s="1" t="n">
        <v>45720.55243055556</v>
      </c>
      <c r="C673" s="1" t="n">
        <v>46105</v>
      </c>
      <c r="D673" t="inlineStr">
        <is>
          <t>JÄMTLANDS LÄN</t>
        </is>
      </c>
      <c r="E673" t="inlineStr">
        <is>
          <t>BRÄCKE</t>
        </is>
      </c>
      <c r="F673" t="inlineStr">
        <is>
          <t>SCA</t>
        </is>
      </c>
      <c r="G673" t="n">
        <v>7.8</v>
      </c>
      <c r="H673" t="n">
        <v>0</v>
      </c>
      <c r="I673" t="n">
        <v>0</v>
      </c>
      <c r="J673" t="n">
        <v>0</v>
      </c>
      <c r="K673" t="n">
        <v>0</v>
      </c>
      <c r="L673" t="n">
        <v>0</v>
      </c>
      <c r="M673" t="n">
        <v>0</v>
      </c>
      <c r="N673" t="n">
        <v>0</v>
      </c>
      <c r="O673" t="n">
        <v>0</v>
      </c>
      <c r="P673" t="n">
        <v>0</v>
      </c>
      <c r="Q673" t="n">
        <v>0</v>
      </c>
      <c r="R673" s="2" t="inlineStr"/>
    </row>
    <row r="674" ht="15" customHeight="1">
      <c r="A674" t="inlineStr">
        <is>
          <t>A 28173-2025</t>
        </is>
      </c>
      <c r="B674" s="1" t="n">
        <v>45818.38231481481</v>
      </c>
      <c r="C674" s="1" t="n">
        <v>46105</v>
      </c>
      <c r="D674" t="inlineStr">
        <is>
          <t>JÄMTLANDS LÄN</t>
        </is>
      </c>
      <c r="E674" t="inlineStr">
        <is>
          <t>BRÄCKE</t>
        </is>
      </c>
      <c r="F674" t="inlineStr">
        <is>
          <t>Övriga Aktiebolag</t>
        </is>
      </c>
      <c r="G674" t="n">
        <v>2</v>
      </c>
      <c r="H674" t="n">
        <v>0</v>
      </c>
      <c r="I674" t="n">
        <v>0</v>
      </c>
      <c r="J674" t="n">
        <v>0</v>
      </c>
      <c r="K674" t="n">
        <v>0</v>
      </c>
      <c r="L674" t="n">
        <v>0</v>
      </c>
      <c r="M674" t="n">
        <v>0</v>
      </c>
      <c r="N674" t="n">
        <v>0</v>
      </c>
      <c r="O674" t="n">
        <v>0</v>
      </c>
      <c r="P674" t="n">
        <v>0</v>
      </c>
      <c r="Q674" t="n">
        <v>0</v>
      </c>
      <c r="R674" s="2" t="inlineStr"/>
    </row>
    <row r="675" ht="15" customHeight="1">
      <c r="A675" t="inlineStr">
        <is>
          <t>A 4819-2026</t>
        </is>
      </c>
      <c r="B675" s="1" t="n">
        <v>46048.5909375</v>
      </c>
      <c r="C675" s="1" t="n">
        <v>46105</v>
      </c>
      <c r="D675" t="inlineStr">
        <is>
          <t>JÄMTLANDS LÄN</t>
        </is>
      </c>
      <c r="E675" t="inlineStr">
        <is>
          <t>BRÄCKE</t>
        </is>
      </c>
      <c r="G675" t="n">
        <v>0.5</v>
      </c>
      <c r="H675" t="n">
        <v>0</v>
      </c>
      <c r="I675" t="n">
        <v>0</v>
      </c>
      <c r="J675" t="n">
        <v>0</v>
      </c>
      <c r="K675" t="n">
        <v>0</v>
      </c>
      <c r="L675" t="n">
        <v>0</v>
      </c>
      <c r="M675" t="n">
        <v>0</v>
      </c>
      <c r="N675" t="n">
        <v>0</v>
      </c>
      <c r="O675" t="n">
        <v>0</v>
      </c>
      <c r="P675" t="n">
        <v>0</v>
      </c>
      <c r="Q675" t="n">
        <v>0</v>
      </c>
      <c r="R675" s="2" t="inlineStr"/>
    </row>
    <row r="676" ht="15" customHeight="1">
      <c r="A676" t="inlineStr">
        <is>
          <t>A 4409-2026</t>
        </is>
      </c>
      <c r="B676" s="1" t="n">
        <v>46045.59473379629</v>
      </c>
      <c r="C676" s="1" t="n">
        <v>46105</v>
      </c>
      <c r="D676" t="inlineStr">
        <is>
          <t>JÄMTLANDS LÄN</t>
        </is>
      </c>
      <c r="E676" t="inlineStr">
        <is>
          <t>BRÄCKE</t>
        </is>
      </c>
      <c r="G676" t="n">
        <v>7.7</v>
      </c>
      <c r="H676" t="n">
        <v>0</v>
      </c>
      <c r="I676" t="n">
        <v>0</v>
      </c>
      <c r="J676" t="n">
        <v>0</v>
      </c>
      <c r="K676" t="n">
        <v>0</v>
      </c>
      <c r="L676" t="n">
        <v>0</v>
      </c>
      <c r="M676" t="n">
        <v>0</v>
      </c>
      <c r="N676" t="n">
        <v>0</v>
      </c>
      <c r="O676" t="n">
        <v>0</v>
      </c>
      <c r="P676" t="n">
        <v>0</v>
      </c>
      <c r="Q676" t="n">
        <v>0</v>
      </c>
      <c r="R676" s="2" t="inlineStr"/>
    </row>
    <row r="677" ht="15" customHeight="1">
      <c r="A677" t="inlineStr">
        <is>
          <t>A 28210-2025</t>
        </is>
      </c>
      <c r="B677" s="1" t="n">
        <v>45818.45143518518</v>
      </c>
      <c r="C677" s="1" t="n">
        <v>46105</v>
      </c>
      <c r="D677" t="inlineStr">
        <is>
          <t>JÄMTLANDS LÄN</t>
        </is>
      </c>
      <c r="E677" t="inlineStr">
        <is>
          <t>BRÄCKE</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28323-2025</t>
        </is>
      </c>
      <c r="B678" s="1" t="n">
        <v>45818.64758101852</v>
      </c>
      <c r="C678" s="1" t="n">
        <v>46105</v>
      </c>
      <c r="D678" t="inlineStr">
        <is>
          <t>JÄMTLANDS LÄN</t>
        </is>
      </c>
      <c r="E678" t="inlineStr">
        <is>
          <t>BRÄCKE</t>
        </is>
      </c>
      <c r="G678" t="n">
        <v>6.8</v>
      </c>
      <c r="H678" t="n">
        <v>0</v>
      </c>
      <c r="I678" t="n">
        <v>0</v>
      </c>
      <c r="J678" t="n">
        <v>0</v>
      </c>
      <c r="K678" t="n">
        <v>0</v>
      </c>
      <c r="L678" t="n">
        <v>0</v>
      </c>
      <c r="M678" t="n">
        <v>0</v>
      </c>
      <c r="N678" t="n">
        <v>0</v>
      </c>
      <c r="O678" t="n">
        <v>0</v>
      </c>
      <c r="P678" t="n">
        <v>0</v>
      </c>
      <c r="Q678" t="n">
        <v>0</v>
      </c>
      <c r="R678" s="2" t="inlineStr"/>
    </row>
    <row r="679" ht="15" customHeight="1">
      <c r="A679" t="inlineStr">
        <is>
          <t>A 24490-2025</t>
        </is>
      </c>
      <c r="B679" s="1" t="n">
        <v>45798.38594907407</v>
      </c>
      <c r="C679" s="1" t="n">
        <v>46105</v>
      </c>
      <c r="D679" t="inlineStr">
        <is>
          <t>JÄMTLANDS LÄN</t>
        </is>
      </c>
      <c r="E679" t="inlineStr">
        <is>
          <t>BRÄCKE</t>
        </is>
      </c>
      <c r="G679" t="n">
        <v>0.7</v>
      </c>
      <c r="H679" t="n">
        <v>0</v>
      </c>
      <c r="I679" t="n">
        <v>0</v>
      </c>
      <c r="J679" t="n">
        <v>0</v>
      </c>
      <c r="K679" t="n">
        <v>0</v>
      </c>
      <c r="L679" t="n">
        <v>0</v>
      </c>
      <c r="M679" t="n">
        <v>0</v>
      </c>
      <c r="N679" t="n">
        <v>0</v>
      </c>
      <c r="O679" t="n">
        <v>0</v>
      </c>
      <c r="P679" t="n">
        <v>0</v>
      </c>
      <c r="Q679" t="n">
        <v>0</v>
      </c>
      <c r="R679" s="2" t="inlineStr"/>
    </row>
    <row r="680" ht="15" customHeight="1">
      <c r="A680" t="inlineStr">
        <is>
          <t>A 39745-2025</t>
        </is>
      </c>
      <c r="B680" s="1" t="n">
        <v>45891.38579861111</v>
      </c>
      <c r="C680" s="1" t="n">
        <v>46105</v>
      </c>
      <c r="D680" t="inlineStr">
        <is>
          <t>JÄMTLANDS LÄN</t>
        </is>
      </c>
      <c r="E680" t="inlineStr">
        <is>
          <t>BRÄCKE</t>
        </is>
      </c>
      <c r="G680" t="n">
        <v>3.4</v>
      </c>
      <c r="H680" t="n">
        <v>0</v>
      </c>
      <c r="I680" t="n">
        <v>0</v>
      </c>
      <c r="J680" t="n">
        <v>0</v>
      </c>
      <c r="K680" t="n">
        <v>0</v>
      </c>
      <c r="L680" t="n">
        <v>0</v>
      </c>
      <c r="M680" t="n">
        <v>0</v>
      </c>
      <c r="N680" t="n">
        <v>0</v>
      </c>
      <c r="O680" t="n">
        <v>0</v>
      </c>
      <c r="P680" t="n">
        <v>0</v>
      </c>
      <c r="Q680" t="n">
        <v>0</v>
      </c>
      <c r="R680" s="2" t="inlineStr"/>
    </row>
    <row r="681" ht="15" customHeight="1">
      <c r="A681" t="inlineStr">
        <is>
          <t>A 39901-2025</t>
        </is>
      </c>
      <c r="B681" s="1" t="n">
        <v>45891.63577546296</v>
      </c>
      <c r="C681" s="1" t="n">
        <v>46105</v>
      </c>
      <c r="D681" t="inlineStr">
        <is>
          <t>JÄMTLANDS LÄN</t>
        </is>
      </c>
      <c r="E681" t="inlineStr">
        <is>
          <t>BRÄCKE</t>
        </is>
      </c>
      <c r="G681" t="n">
        <v>2.3</v>
      </c>
      <c r="H681" t="n">
        <v>0</v>
      </c>
      <c r="I681" t="n">
        <v>0</v>
      </c>
      <c r="J681" t="n">
        <v>0</v>
      </c>
      <c r="K681" t="n">
        <v>0</v>
      </c>
      <c r="L681" t="n">
        <v>0</v>
      </c>
      <c r="M681" t="n">
        <v>0</v>
      </c>
      <c r="N681" t="n">
        <v>0</v>
      </c>
      <c r="O681" t="n">
        <v>0</v>
      </c>
      <c r="P681" t="n">
        <v>0</v>
      </c>
      <c r="Q681" t="n">
        <v>0</v>
      </c>
      <c r="R681" s="2" t="inlineStr"/>
    </row>
    <row r="682" ht="15" customHeight="1">
      <c r="A682" t="inlineStr">
        <is>
          <t>A 59047-2022</t>
        </is>
      </c>
      <c r="B682" s="1" t="n">
        <v>44903.95328703704</v>
      </c>
      <c r="C682" s="1" t="n">
        <v>46105</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28928-2025</t>
        </is>
      </c>
      <c r="B683" s="1" t="n">
        <v>45820.67738425926</v>
      </c>
      <c r="C683" s="1" t="n">
        <v>46105</v>
      </c>
      <c r="D683" t="inlineStr">
        <is>
          <t>JÄMTLANDS LÄN</t>
        </is>
      </c>
      <c r="E683" t="inlineStr">
        <is>
          <t>BRÄCKE</t>
        </is>
      </c>
      <c r="F683" t="inlineStr">
        <is>
          <t>SCA</t>
        </is>
      </c>
      <c r="G683" t="n">
        <v>7.4</v>
      </c>
      <c r="H683" t="n">
        <v>0</v>
      </c>
      <c r="I683" t="n">
        <v>0</v>
      </c>
      <c r="J683" t="n">
        <v>0</v>
      </c>
      <c r="K683" t="n">
        <v>0</v>
      </c>
      <c r="L683" t="n">
        <v>0</v>
      </c>
      <c r="M683" t="n">
        <v>0</v>
      </c>
      <c r="N683" t="n">
        <v>0</v>
      </c>
      <c r="O683" t="n">
        <v>0</v>
      </c>
      <c r="P683" t="n">
        <v>0</v>
      </c>
      <c r="Q683" t="n">
        <v>0</v>
      </c>
      <c r="R683" s="2" t="inlineStr"/>
    </row>
    <row r="684" ht="15" customHeight="1">
      <c r="A684" t="inlineStr">
        <is>
          <t>A 28675-2025</t>
        </is>
      </c>
      <c r="B684" s="1" t="n">
        <v>45819.67756944444</v>
      </c>
      <c r="C684" s="1" t="n">
        <v>46105</v>
      </c>
      <c r="D684" t="inlineStr">
        <is>
          <t>JÄMTLANDS LÄN</t>
        </is>
      </c>
      <c r="E684" t="inlineStr">
        <is>
          <t>BRÄCKE</t>
        </is>
      </c>
      <c r="G684" t="n">
        <v>0.6</v>
      </c>
      <c r="H684" t="n">
        <v>0</v>
      </c>
      <c r="I684" t="n">
        <v>0</v>
      </c>
      <c r="J684" t="n">
        <v>0</v>
      </c>
      <c r="K684" t="n">
        <v>0</v>
      </c>
      <c r="L684" t="n">
        <v>0</v>
      </c>
      <c r="M684" t="n">
        <v>0</v>
      </c>
      <c r="N684" t="n">
        <v>0</v>
      </c>
      <c r="O684" t="n">
        <v>0</v>
      </c>
      <c r="P684" t="n">
        <v>0</v>
      </c>
      <c r="Q684" t="n">
        <v>0</v>
      </c>
      <c r="R684" s="2" t="inlineStr"/>
    </row>
    <row r="685" ht="15" customHeight="1">
      <c r="A685" t="inlineStr">
        <is>
          <t>A 28636-2025</t>
        </is>
      </c>
      <c r="B685" s="1" t="n">
        <v>45819.63576388889</v>
      </c>
      <c r="C685" s="1" t="n">
        <v>46105</v>
      </c>
      <c r="D685" t="inlineStr">
        <is>
          <t>JÄMTLANDS LÄN</t>
        </is>
      </c>
      <c r="E685" t="inlineStr">
        <is>
          <t>BRÄCKE</t>
        </is>
      </c>
      <c r="G685" t="n">
        <v>7.6</v>
      </c>
      <c r="H685" t="n">
        <v>0</v>
      </c>
      <c r="I685" t="n">
        <v>0</v>
      </c>
      <c r="J685" t="n">
        <v>0</v>
      </c>
      <c r="K685" t="n">
        <v>0</v>
      </c>
      <c r="L685" t="n">
        <v>0</v>
      </c>
      <c r="M685" t="n">
        <v>0</v>
      </c>
      <c r="N685" t="n">
        <v>0</v>
      </c>
      <c r="O685" t="n">
        <v>0</v>
      </c>
      <c r="P685" t="n">
        <v>0</v>
      </c>
      <c r="Q685" t="n">
        <v>0</v>
      </c>
      <c r="R685" s="2" t="inlineStr"/>
    </row>
    <row r="686" ht="15" customHeight="1">
      <c r="A686" t="inlineStr">
        <is>
          <t>A 4798-2026</t>
        </is>
      </c>
      <c r="B686" s="1" t="n">
        <v>46048.57349537037</v>
      </c>
      <c r="C686" s="1" t="n">
        <v>46105</v>
      </c>
      <c r="D686" t="inlineStr">
        <is>
          <t>JÄMTLANDS LÄN</t>
        </is>
      </c>
      <c r="E686" t="inlineStr">
        <is>
          <t>BRÄCKE</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40411-2025</t>
        </is>
      </c>
      <c r="B687" s="1" t="n">
        <v>45895.57373842593</v>
      </c>
      <c r="C687" s="1" t="n">
        <v>46105</v>
      </c>
      <c r="D687" t="inlineStr">
        <is>
          <t>JÄMTLANDS LÄN</t>
        </is>
      </c>
      <c r="E687" t="inlineStr">
        <is>
          <t>BRÄCKE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40607-2025</t>
        </is>
      </c>
      <c r="B688" s="1" t="n">
        <v>45896</v>
      </c>
      <c r="C688" s="1" t="n">
        <v>46105</v>
      </c>
      <c r="D688" t="inlineStr">
        <is>
          <t>JÄMTLANDS LÄN</t>
        </is>
      </c>
      <c r="E688" t="inlineStr">
        <is>
          <t>BRÄCKE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40334-2025</t>
        </is>
      </c>
      <c r="B689" s="1" t="n">
        <v>45895</v>
      </c>
      <c r="C689" s="1" t="n">
        <v>46105</v>
      </c>
      <c r="D689" t="inlineStr">
        <is>
          <t>JÄMTLANDS LÄN</t>
        </is>
      </c>
      <c r="E689" t="inlineStr">
        <is>
          <t>BRÄCKE</t>
        </is>
      </c>
      <c r="G689" t="n">
        <v>5.4</v>
      </c>
      <c r="H689" t="n">
        <v>0</v>
      </c>
      <c r="I689" t="n">
        <v>0</v>
      </c>
      <c r="J689" t="n">
        <v>0</v>
      </c>
      <c r="K689" t="n">
        <v>0</v>
      </c>
      <c r="L689" t="n">
        <v>0</v>
      </c>
      <c r="M689" t="n">
        <v>0</v>
      </c>
      <c r="N689" t="n">
        <v>0</v>
      </c>
      <c r="O689" t="n">
        <v>0</v>
      </c>
      <c r="P689" t="n">
        <v>0</v>
      </c>
      <c r="Q689" t="n">
        <v>0</v>
      </c>
      <c r="R689" s="2" t="inlineStr"/>
    </row>
    <row r="690" ht="15" customHeight="1">
      <c r="A690" t="inlineStr">
        <is>
          <t>A 37239-2023</t>
        </is>
      </c>
      <c r="B690" s="1" t="n">
        <v>45155.95373842592</v>
      </c>
      <c r="C690" s="1" t="n">
        <v>46105</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28937-2025</t>
        </is>
      </c>
      <c r="B691" s="1" t="n">
        <v>45820.69825231482</v>
      </c>
      <c r="C691" s="1" t="n">
        <v>46105</v>
      </c>
      <c r="D691" t="inlineStr">
        <is>
          <t>JÄMTLANDS LÄN</t>
        </is>
      </c>
      <c r="E691" t="inlineStr">
        <is>
          <t>BRÄCKE</t>
        </is>
      </c>
      <c r="F691" t="inlineStr">
        <is>
          <t>SCA</t>
        </is>
      </c>
      <c r="G691" t="n">
        <v>11.5</v>
      </c>
      <c r="H691" t="n">
        <v>0</v>
      </c>
      <c r="I691" t="n">
        <v>0</v>
      </c>
      <c r="J691" t="n">
        <v>0</v>
      </c>
      <c r="K691" t="n">
        <v>0</v>
      </c>
      <c r="L691" t="n">
        <v>0</v>
      </c>
      <c r="M691" t="n">
        <v>0</v>
      </c>
      <c r="N691" t="n">
        <v>0</v>
      </c>
      <c r="O691" t="n">
        <v>0</v>
      </c>
      <c r="P691" t="n">
        <v>0</v>
      </c>
      <c r="Q691" t="n">
        <v>0</v>
      </c>
      <c r="R691" s="2" t="inlineStr"/>
    </row>
    <row r="692" ht="15" customHeight="1">
      <c r="A692" t="inlineStr">
        <is>
          <t>A 28656-2025</t>
        </is>
      </c>
      <c r="B692" s="1" t="n">
        <v>45819.65671296296</v>
      </c>
      <c r="C692" s="1" t="n">
        <v>46105</v>
      </c>
      <c r="D692" t="inlineStr">
        <is>
          <t>JÄMTLANDS LÄN</t>
        </is>
      </c>
      <c r="E692" t="inlineStr">
        <is>
          <t>BRÄCKE</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29021-2025</t>
        </is>
      </c>
      <c r="B693" s="1" t="n">
        <v>45821.42736111111</v>
      </c>
      <c r="C693" s="1" t="n">
        <v>46105</v>
      </c>
      <c r="D693" t="inlineStr">
        <is>
          <t>JÄMTLANDS LÄN</t>
        </is>
      </c>
      <c r="E693" t="inlineStr">
        <is>
          <t>BRÄCKE</t>
        </is>
      </c>
      <c r="G693" t="n">
        <v>4.1</v>
      </c>
      <c r="H693" t="n">
        <v>0</v>
      </c>
      <c r="I693" t="n">
        <v>0</v>
      </c>
      <c r="J693" t="n">
        <v>0</v>
      </c>
      <c r="K693" t="n">
        <v>0</v>
      </c>
      <c r="L693" t="n">
        <v>0</v>
      </c>
      <c r="M693" t="n">
        <v>0</v>
      </c>
      <c r="N693" t="n">
        <v>0</v>
      </c>
      <c r="O693" t="n">
        <v>0</v>
      </c>
      <c r="P693" t="n">
        <v>0</v>
      </c>
      <c r="Q693" t="n">
        <v>0</v>
      </c>
      <c r="R693" s="2" t="inlineStr"/>
    </row>
    <row r="694" ht="15" customHeight="1">
      <c r="A694" t="inlineStr">
        <is>
          <t>A 41236-2025</t>
        </is>
      </c>
      <c r="B694" s="1" t="n">
        <v>45898.59565972222</v>
      </c>
      <c r="C694" s="1" t="n">
        <v>46105</v>
      </c>
      <c r="D694" t="inlineStr">
        <is>
          <t>JÄMTLANDS LÄN</t>
        </is>
      </c>
      <c r="E694" t="inlineStr">
        <is>
          <t>BRÄCKE</t>
        </is>
      </c>
      <c r="G694" t="n">
        <v>2.6</v>
      </c>
      <c r="H694" t="n">
        <v>0</v>
      </c>
      <c r="I694" t="n">
        <v>0</v>
      </c>
      <c r="J694" t="n">
        <v>0</v>
      </c>
      <c r="K694" t="n">
        <v>0</v>
      </c>
      <c r="L694" t="n">
        <v>0</v>
      </c>
      <c r="M694" t="n">
        <v>0</v>
      </c>
      <c r="N694" t="n">
        <v>0</v>
      </c>
      <c r="O694" t="n">
        <v>0</v>
      </c>
      <c r="P694" t="n">
        <v>0</v>
      </c>
      <c r="Q694" t="n">
        <v>0</v>
      </c>
      <c r="R694" s="2" t="inlineStr"/>
    </row>
    <row r="695" ht="15" customHeight="1">
      <c r="A695" t="inlineStr">
        <is>
          <t>A 41285-2025</t>
        </is>
      </c>
      <c r="B695" s="1" t="n">
        <v>45898.63637731481</v>
      </c>
      <c r="C695" s="1" t="n">
        <v>46105</v>
      </c>
      <c r="D695" t="inlineStr">
        <is>
          <t>JÄMTLANDS LÄN</t>
        </is>
      </c>
      <c r="E695" t="inlineStr">
        <is>
          <t>BRÄCKE</t>
        </is>
      </c>
      <c r="F695" t="inlineStr">
        <is>
          <t>Övriga Aktiebolag</t>
        </is>
      </c>
      <c r="G695" t="n">
        <v>0.8</v>
      </c>
      <c r="H695" t="n">
        <v>0</v>
      </c>
      <c r="I695" t="n">
        <v>0</v>
      </c>
      <c r="J695" t="n">
        <v>0</v>
      </c>
      <c r="K695" t="n">
        <v>0</v>
      </c>
      <c r="L695" t="n">
        <v>0</v>
      </c>
      <c r="M695" t="n">
        <v>0</v>
      </c>
      <c r="N695" t="n">
        <v>0</v>
      </c>
      <c r="O695" t="n">
        <v>0</v>
      </c>
      <c r="P695" t="n">
        <v>0</v>
      </c>
      <c r="Q695" t="n">
        <v>0</v>
      </c>
      <c r="R695" s="2" t="inlineStr"/>
    </row>
    <row r="696" ht="15" customHeight="1">
      <c r="A696" t="inlineStr">
        <is>
          <t>A 40749-2025</t>
        </is>
      </c>
      <c r="B696" s="1" t="n">
        <v>45897.38248842592</v>
      </c>
      <c r="C696" s="1" t="n">
        <v>46105</v>
      </c>
      <c r="D696" t="inlineStr">
        <is>
          <t>JÄMTLANDS LÄN</t>
        </is>
      </c>
      <c r="E696" t="inlineStr">
        <is>
          <t>BRÄCKE</t>
        </is>
      </c>
      <c r="G696" t="n">
        <v>4.1</v>
      </c>
      <c r="H696" t="n">
        <v>0</v>
      </c>
      <c r="I696" t="n">
        <v>0</v>
      </c>
      <c r="J696" t="n">
        <v>0</v>
      </c>
      <c r="K696" t="n">
        <v>0</v>
      </c>
      <c r="L696" t="n">
        <v>0</v>
      </c>
      <c r="M696" t="n">
        <v>0</v>
      </c>
      <c r="N696" t="n">
        <v>0</v>
      </c>
      <c r="O696" t="n">
        <v>0</v>
      </c>
      <c r="P696" t="n">
        <v>0</v>
      </c>
      <c r="Q696" t="n">
        <v>0</v>
      </c>
      <c r="R696" s="2" t="inlineStr"/>
    </row>
    <row r="697" ht="15" customHeight="1">
      <c r="A697" t="inlineStr">
        <is>
          <t>A 41297-2025</t>
        </is>
      </c>
      <c r="B697" s="1" t="n">
        <v>45898.66872685185</v>
      </c>
      <c r="C697" s="1" t="n">
        <v>46105</v>
      </c>
      <c r="D697" t="inlineStr">
        <is>
          <t>JÄMTLANDS LÄN</t>
        </is>
      </c>
      <c r="E697" t="inlineStr">
        <is>
          <t>BRÄCKE</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4283-2026</t>
        </is>
      </c>
      <c r="B698" s="1" t="n">
        <v>46045.38994212963</v>
      </c>
      <c r="C698" s="1" t="n">
        <v>46105</v>
      </c>
      <c r="D698" t="inlineStr">
        <is>
          <t>JÄMTLANDS LÄN</t>
        </is>
      </c>
      <c r="E698" t="inlineStr">
        <is>
          <t>BRÄCKE</t>
        </is>
      </c>
      <c r="G698" t="n">
        <v>3.4</v>
      </c>
      <c r="H698" t="n">
        <v>0</v>
      </c>
      <c r="I698" t="n">
        <v>0</v>
      </c>
      <c r="J698" t="n">
        <v>0</v>
      </c>
      <c r="K698" t="n">
        <v>0</v>
      </c>
      <c r="L698" t="n">
        <v>0</v>
      </c>
      <c r="M698" t="n">
        <v>0</v>
      </c>
      <c r="N698" t="n">
        <v>0</v>
      </c>
      <c r="O698" t="n">
        <v>0</v>
      </c>
      <c r="P698" t="n">
        <v>0</v>
      </c>
      <c r="Q698" t="n">
        <v>0</v>
      </c>
      <c r="R698" s="2" t="inlineStr"/>
    </row>
    <row r="699" ht="15" customHeight="1">
      <c r="A699" t="inlineStr">
        <is>
          <t>A 29124-2025</t>
        </is>
      </c>
      <c r="B699" s="1" t="n">
        <v>45821.59456018519</v>
      </c>
      <c r="C699" s="1" t="n">
        <v>46105</v>
      </c>
      <c r="D699" t="inlineStr">
        <is>
          <t>JÄMTLANDS LÄN</t>
        </is>
      </c>
      <c r="E699" t="inlineStr">
        <is>
          <t>BRÄCKE</t>
        </is>
      </c>
      <c r="G699" t="n">
        <v>3.1</v>
      </c>
      <c r="H699" t="n">
        <v>0</v>
      </c>
      <c r="I699" t="n">
        <v>0</v>
      </c>
      <c r="J699" t="n">
        <v>0</v>
      </c>
      <c r="K699" t="n">
        <v>0</v>
      </c>
      <c r="L699" t="n">
        <v>0</v>
      </c>
      <c r="M699" t="n">
        <v>0</v>
      </c>
      <c r="N699" t="n">
        <v>0</v>
      </c>
      <c r="O699" t="n">
        <v>0</v>
      </c>
      <c r="P699" t="n">
        <v>0</v>
      </c>
      <c r="Q699" t="n">
        <v>0</v>
      </c>
      <c r="R699" s="2" t="inlineStr"/>
    </row>
    <row r="700" ht="15" customHeight="1">
      <c r="A700" t="inlineStr">
        <is>
          <t>A 40793-2025</t>
        </is>
      </c>
      <c r="B700" s="1" t="n">
        <v>45897.44868055556</v>
      </c>
      <c r="C700" s="1" t="n">
        <v>46105</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40868-2025</t>
        </is>
      </c>
      <c r="B701" s="1" t="n">
        <v>45897.57365740741</v>
      </c>
      <c r="C701" s="1" t="n">
        <v>46105</v>
      </c>
      <c r="D701" t="inlineStr">
        <is>
          <t>JÄMTLANDS LÄN</t>
        </is>
      </c>
      <c r="E701" t="inlineStr">
        <is>
          <t>BRÄCKE</t>
        </is>
      </c>
      <c r="F701" t="inlineStr">
        <is>
          <t>SCA</t>
        </is>
      </c>
      <c r="G701" t="n">
        <v>5.6</v>
      </c>
      <c r="H701" t="n">
        <v>0</v>
      </c>
      <c r="I701" t="n">
        <v>0</v>
      </c>
      <c r="J701" t="n">
        <v>0</v>
      </c>
      <c r="K701" t="n">
        <v>0</v>
      </c>
      <c r="L701" t="n">
        <v>0</v>
      </c>
      <c r="M701" t="n">
        <v>0</v>
      </c>
      <c r="N701" t="n">
        <v>0</v>
      </c>
      <c r="O701" t="n">
        <v>0</v>
      </c>
      <c r="P701" t="n">
        <v>0</v>
      </c>
      <c r="Q701" t="n">
        <v>0</v>
      </c>
      <c r="R701" s="2" t="inlineStr"/>
    </row>
    <row r="702" ht="15" customHeight="1">
      <c r="A702" t="inlineStr">
        <is>
          <t>A 40869-2025</t>
        </is>
      </c>
      <c r="B702" s="1" t="n">
        <v>45897.57383101852</v>
      </c>
      <c r="C702" s="1" t="n">
        <v>46105</v>
      </c>
      <c r="D702" t="inlineStr">
        <is>
          <t>JÄMTLANDS LÄN</t>
        </is>
      </c>
      <c r="E702" t="inlineStr">
        <is>
          <t>BRÄCKE</t>
        </is>
      </c>
      <c r="G702" t="n">
        <v>4.8</v>
      </c>
      <c r="H702" t="n">
        <v>0</v>
      </c>
      <c r="I702" t="n">
        <v>0</v>
      </c>
      <c r="J702" t="n">
        <v>0</v>
      </c>
      <c r="K702" t="n">
        <v>0</v>
      </c>
      <c r="L702" t="n">
        <v>0</v>
      </c>
      <c r="M702" t="n">
        <v>0</v>
      </c>
      <c r="N702" t="n">
        <v>0</v>
      </c>
      <c r="O702" t="n">
        <v>0</v>
      </c>
      <c r="P702" t="n">
        <v>0</v>
      </c>
      <c r="Q702" t="n">
        <v>0</v>
      </c>
      <c r="R702" s="2" t="inlineStr"/>
    </row>
    <row r="703" ht="15" customHeight="1">
      <c r="A703" t="inlineStr">
        <is>
          <t>A 40809-2025</t>
        </is>
      </c>
      <c r="B703" s="1" t="n">
        <v>45897.46936342592</v>
      </c>
      <c r="C703" s="1" t="n">
        <v>46105</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40834-2025</t>
        </is>
      </c>
      <c r="B704" s="1" t="n">
        <v>45897.51135416667</v>
      </c>
      <c r="C704" s="1" t="n">
        <v>46105</v>
      </c>
      <c r="D704" t="inlineStr">
        <is>
          <t>JÄMTLANDS LÄN</t>
        </is>
      </c>
      <c r="E704" t="inlineStr">
        <is>
          <t>BRÄCKE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40843-2025</t>
        </is>
      </c>
      <c r="B705" s="1" t="n">
        <v>45897.5321412037</v>
      </c>
      <c r="C705" s="1" t="n">
        <v>46105</v>
      </c>
      <c r="D705" t="inlineStr">
        <is>
          <t>JÄMTLANDS LÄN</t>
        </is>
      </c>
      <c r="E705" t="inlineStr">
        <is>
          <t>BRÄCKE</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41187-2025</t>
        </is>
      </c>
      <c r="B706" s="1" t="n">
        <v>45898.56390046296</v>
      </c>
      <c r="C706" s="1" t="n">
        <v>46105</v>
      </c>
      <c r="D706" t="inlineStr">
        <is>
          <t>JÄMTLANDS LÄN</t>
        </is>
      </c>
      <c r="E706" t="inlineStr">
        <is>
          <t>BRÄCKE</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29038-2025</t>
        </is>
      </c>
      <c r="B707" s="1" t="n">
        <v>45821.44832175926</v>
      </c>
      <c r="C707" s="1" t="n">
        <v>46105</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41196-2025</t>
        </is>
      </c>
      <c r="B708" s="1" t="n">
        <v>45898.57332175926</v>
      </c>
      <c r="C708" s="1" t="n">
        <v>46105</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40900-2025</t>
        </is>
      </c>
      <c r="B709" s="1" t="n">
        <v>45897.61546296296</v>
      </c>
      <c r="C709" s="1" t="n">
        <v>46105</v>
      </c>
      <c r="D709" t="inlineStr">
        <is>
          <t>JÄMTLANDS LÄN</t>
        </is>
      </c>
      <c r="E709" t="inlineStr">
        <is>
          <t>BRÄCKE</t>
        </is>
      </c>
      <c r="G709" t="n">
        <v>4.8</v>
      </c>
      <c r="H709" t="n">
        <v>0</v>
      </c>
      <c r="I709" t="n">
        <v>0</v>
      </c>
      <c r="J709" t="n">
        <v>0</v>
      </c>
      <c r="K709" t="n">
        <v>0</v>
      </c>
      <c r="L709" t="n">
        <v>0</v>
      </c>
      <c r="M709" t="n">
        <v>0</v>
      </c>
      <c r="N709" t="n">
        <v>0</v>
      </c>
      <c r="O709" t="n">
        <v>0</v>
      </c>
      <c r="P709" t="n">
        <v>0</v>
      </c>
      <c r="Q709" t="n">
        <v>0</v>
      </c>
      <c r="R709" s="2" t="inlineStr"/>
    </row>
    <row r="710" ht="15" customHeight="1">
      <c r="A710" t="inlineStr">
        <is>
          <t>A 28972-2025</t>
        </is>
      </c>
      <c r="B710" s="1" t="n">
        <v>45821.34505787037</v>
      </c>
      <c r="C710" s="1" t="n">
        <v>46105</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41193-2025</t>
        </is>
      </c>
      <c r="B711" s="1" t="n">
        <v>45898.56891203704</v>
      </c>
      <c r="C711" s="1" t="n">
        <v>46105</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41049-2025</t>
        </is>
      </c>
      <c r="B712" s="1" t="n">
        <v>45898.40252314815</v>
      </c>
      <c r="C712" s="1" t="n">
        <v>46105</v>
      </c>
      <c r="D712" t="inlineStr">
        <is>
          <t>JÄMTLANDS LÄN</t>
        </is>
      </c>
      <c r="E712" t="inlineStr">
        <is>
          <t>BRÄCKE</t>
        </is>
      </c>
      <c r="F712" t="inlineStr">
        <is>
          <t>Övriga Aktiebolag</t>
        </is>
      </c>
      <c r="G712" t="n">
        <v>4.1</v>
      </c>
      <c r="H712" t="n">
        <v>0</v>
      </c>
      <c r="I712" t="n">
        <v>0</v>
      </c>
      <c r="J712" t="n">
        <v>0</v>
      </c>
      <c r="K712" t="n">
        <v>0</v>
      </c>
      <c r="L712" t="n">
        <v>0</v>
      </c>
      <c r="M712" t="n">
        <v>0</v>
      </c>
      <c r="N712" t="n">
        <v>0</v>
      </c>
      <c r="O712" t="n">
        <v>0</v>
      </c>
      <c r="P712" t="n">
        <v>0</v>
      </c>
      <c r="Q712" t="n">
        <v>0</v>
      </c>
      <c r="R712" s="2" t="inlineStr"/>
    </row>
    <row r="713" ht="15" customHeight="1">
      <c r="A713" t="inlineStr">
        <is>
          <t>A 29431-2025</t>
        </is>
      </c>
      <c r="B713" s="1" t="n">
        <v>45824.65053240741</v>
      </c>
      <c r="C713" s="1" t="n">
        <v>46105</v>
      </c>
      <c r="D713" t="inlineStr">
        <is>
          <t>JÄMTLANDS LÄN</t>
        </is>
      </c>
      <c r="E713" t="inlineStr">
        <is>
          <t>BRÄCKE</t>
        </is>
      </c>
      <c r="G713" t="n">
        <v>1</v>
      </c>
      <c r="H713" t="n">
        <v>0</v>
      </c>
      <c r="I713" t="n">
        <v>0</v>
      </c>
      <c r="J713" t="n">
        <v>0</v>
      </c>
      <c r="K713" t="n">
        <v>0</v>
      </c>
      <c r="L713" t="n">
        <v>0</v>
      </c>
      <c r="M713" t="n">
        <v>0</v>
      </c>
      <c r="N713" t="n">
        <v>0</v>
      </c>
      <c r="O713" t="n">
        <v>0</v>
      </c>
      <c r="P713" t="n">
        <v>0</v>
      </c>
      <c r="Q713" t="n">
        <v>0</v>
      </c>
      <c r="R713" s="2" t="inlineStr"/>
    </row>
    <row r="714" ht="15" customHeight="1">
      <c r="A714" t="inlineStr">
        <is>
          <t>A 40757-2025</t>
        </is>
      </c>
      <c r="B714" s="1" t="n">
        <v>45897.39034722222</v>
      </c>
      <c r="C714" s="1" t="n">
        <v>46105</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29091-2025</t>
        </is>
      </c>
      <c r="B715" s="1" t="n">
        <v>45821.55241898148</v>
      </c>
      <c r="C715" s="1" t="n">
        <v>46105</v>
      </c>
      <c r="D715" t="inlineStr">
        <is>
          <t>JÄMTLANDS LÄN</t>
        </is>
      </c>
      <c r="E715" t="inlineStr">
        <is>
          <t>BRÄCKE</t>
        </is>
      </c>
      <c r="F715" t="inlineStr">
        <is>
          <t>SCA</t>
        </is>
      </c>
      <c r="G715" t="n">
        <v>13.8</v>
      </c>
      <c r="H715" t="n">
        <v>0</v>
      </c>
      <c r="I715" t="n">
        <v>0</v>
      </c>
      <c r="J715" t="n">
        <v>0</v>
      </c>
      <c r="K715" t="n">
        <v>0</v>
      </c>
      <c r="L715" t="n">
        <v>0</v>
      </c>
      <c r="M715" t="n">
        <v>0</v>
      </c>
      <c r="N715" t="n">
        <v>0</v>
      </c>
      <c r="O715" t="n">
        <v>0</v>
      </c>
      <c r="P715" t="n">
        <v>0</v>
      </c>
      <c r="Q715" t="n">
        <v>0</v>
      </c>
      <c r="R715" s="2" t="inlineStr"/>
    </row>
    <row r="716" ht="15" customHeight="1">
      <c r="A716" t="inlineStr">
        <is>
          <t>A 41060-2025</t>
        </is>
      </c>
      <c r="B716" s="1" t="n">
        <v>45898.4071875</v>
      </c>
      <c r="C716" s="1" t="n">
        <v>46105</v>
      </c>
      <c r="D716" t="inlineStr">
        <is>
          <t>JÄMTLANDS LÄN</t>
        </is>
      </c>
      <c r="E716" t="inlineStr">
        <is>
          <t>BRÄCKE</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40871-2025</t>
        </is>
      </c>
      <c r="B717" s="1" t="n">
        <v>45897.57418981481</v>
      </c>
      <c r="C717" s="1" t="n">
        <v>46105</v>
      </c>
      <c r="D717" t="inlineStr">
        <is>
          <t>JÄMTLANDS LÄN</t>
        </is>
      </c>
      <c r="E717" t="inlineStr">
        <is>
          <t>BRÄCKE</t>
        </is>
      </c>
      <c r="G717" t="n">
        <v>2.9</v>
      </c>
      <c r="H717" t="n">
        <v>0</v>
      </c>
      <c r="I717" t="n">
        <v>0</v>
      </c>
      <c r="J717" t="n">
        <v>0</v>
      </c>
      <c r="K717" t="n">
        <v>0</v>
      </c>
      <c r="L717" t="n">
        <v>0</v>
      </c>
      <c r="M717" t="n">
        <v>0</v>
      </c>
      <c r="N717" t="n">
        <v>0</v>
      </c>
      <c r="O717" t="n">
        <v>0</v>
      </c>
      <c r="P717" t="n">
        <v>0</v>
      </c>
      <c r="Q717" t="n">
        <v>0</v>
      </c>
      <c r="R717" s="2" t="inlineStr"/>
    </row>
    <row r="718" ht="15" customHeight="1">
      <c r="A718" t="inlineStr">
        <is>
          <t>A 29909-2025</t>
        </is>
      </c>
      <c r="B718" s="1" t="n">
        <v>45826.40671296296</v>
      </c>
      <c r="C718" s="1" t="n">
        <v>46105</v>
      </c>
      <c r="D718" t="inlineStr">
        <is>
          <t>JÄMTLANDS LÄN</t>
        </is>
      </c>
      <c r="E718" t="inlineStr">
        <is>
          <t>BRÄCKE</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40832-2025</t>
        </is>
      </c>
      <c r="B719" s="1" t="n">
        <v>45897.51096064815</v>
      </c>
      <c r="C719" s="1" t="n">
        <v>46105</v>
      </c>
      <c r="D719" t="inlineStr">
        <is>
          <t>JÄMTLANDS LÄN</t>
        </is>
      </c>
      <c r="E719" t="inlineStr">
        <is>
          <t>BRÄCKE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40903-2025</t>
        </is>
      </c>
      <c r="B720" s="1" t="n">
        <v>45897.61609953704</v>
      </c>
      <c r="C720" s="1" t="n">
        <v>46105</v>
      </c>
      <c r="D720" t="inlineStr">
        <is>
          <t>JÄMTLANDS LÄN</t>
        </is>
      </c>
      <c r="E720" t="inlineStr">
        <is>
          <t>BRÄCKE</t>
        </is>
      </c>
      <c r="G720" t="n">
        <v>2.9</v>
      </c>
      <c r="H720" t="n">
        <v>0</v>
      </c>
      <c r="I720" t="n">
        <v>0</v>
      </c>
      <c r="J720" t="n">
        <v>0</v>
      </c>
      <c r="K720" t="n">
        <v>0</v>
      </c>
      <c r="L720" t="n">
        <v>0</v>
      </c>
      <c r="M720" t="n">
        <v>0</v>
      </c>
      <c r="N720" t="n">
        <v>0</v>
      </c>
      <c r="O720" t="n">
        <v>0</v>
      </c>
      <c r="P720" t="n">
        <v>0</v>
      </c>
      <c r="Q720" t="n">
        <v>0</v>
      </c>
      <c r="R720" s="2" t="inlineStr"/>
    </row>
    <row r="721" ht="15" customHeight="1">
      <c r="A721" t="inlineStr">
        <is>
          <t>A 41094-2025</t>
        </is>
      </c>
      <c r="B721" s="1" t="n">
        <v>45898.44246527777</v>
      </c>
      <c r="C721" s="1" t="n">
        <v>46105</v>
      </c>
      <c r="D721" t="inlineStr">
        <is>
          <t>JÄMTLANDS LÄN</t>
        </is>
      </c>
      <c r="E721" t="inlineStr">
        <is>
          <t>BRÄCKE</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29763-2025</t>
        </is>
      </c>
      <c r="B722" s="1" t="n">
        <v>45825.61837962963</v>
      </c>
      <c r="C722" s="1" t="n">
        <v>46105</v>
      </c>
      <c r="D722" t="inlineStr">
        <is>
          <t>JÄMTLANDS LÄN</t>
        </is>
      </c>
      <c r="E722" t="inlineStr">
        <is>
          <t>BRÄCKE</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41195-2025</t>
        </is>
      </c>
      <c r="B723" s="1" t="n">
        <v>45898.57331018519</v>
      </c>
      <c r="C723" s="1" t="n">
        <v>46105</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5406-2026</t>
        </is>
      </c>
      <c r="B724" s="1" t="n">
        <v>46050.5103125</v>
      </c>
      <c r="C724" s="1" t="n">
        <v>46105</v>
      </c>
      <c r="D724" t="inlineStr">
        <is>
          <t>JÄMTLANDS LÄN</t>
        </is>
      </c>
      <c r="E724" t="inlineStr">
        <is>
          <t>BRÄCKE</t>
        </is>
      </c>
      <c r="G724" t="n">
        <v>4.7</v>
      </c>
      <c r="H724" t="n">
        <v>0</v>
      </c>
      <c r="I724" t="n">
        <v>0</v>
      </c>
      <c r="J724" t="n">
        <v>0</v>
      </c>
      <c r="K724" t="n">
        <v>0</v>
      </c>
      <c r="L724" t="n">
        <v>0</v>
      </c>
      <c r="M724" t="n">
        <v>0</v>
      </c>
      <c r="N724" t="n">
        <v>0</v>
      </c>
      <c r="O724" t="n">
        <v>0</v>
      </c>
      <c r="P724" t="n">
        <v>0</v>
      </c>
      <c r="Q724" t="n">
        <v>0</v>
      </c>
      <c r="R724" s="2" t="inlineStr"/>
    </row>
    <row r="725" ht="15" customHeight="1">
      <c r="A725" t="inlineStr">
        <is>
          <t>A 41257-2025</t>
        </is>
      </c>
      <c r="B725" s="1" t="n">
        <v>45898.6084375</v>
      </c>
      <c r="C725" s="1" t="n">
        <v>46105</v>
      </c>
      <c r="D725" t="inlineStr">
        <is>
          <t>JÄMTLANDS LÄN</t>
        </is>
      </c>
      <c r="E725" t="inlineStr">
        <is>
          <t>BRÄCKE</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12601-2022</t>
        </is>
      </c>
      <c r="B726" s="1" t="n">
        <v>44638</v>
      </c>
      <c r="C726" s="1" t="n">
        <v>46105</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30014-2025</t>
        </is>
      </c>
      <c r="B727" s="1" t="n">
        <v>45826.55246527777</v>
      </c>
      <c r="C727" s="1" t="n">
        <v>46105</v>
      </c>
      <c r="D727" t="inlineStr">
        <is>
          <t>JÄMTLANDS LÄN</t>
        </is>
      </c>
      <c r="E727" t="inlineStr">
        <is>
          <t>BRÄCKE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41026-2025</t>
        </is>
      </c>
      <c r="B728" s="1" t="n">
        <v>45898.36888888889</v>
      </c>
      <c r="C728" s="1" t="n">
        <v>46105</v>
      </c>
      <c r="D728" t="inlineStr">
        <is>
          <t>JÄMTLANDS LÄN</t>
        </is>
      </c>
      <c r="E728" t="inlineStr">
        <is>
          <t>BRÄCKE</t>
        </is>
      </c>
      <c r="F728" t="inlineStr">
        <is>
          <t>Övriga Aktiebolag</t>
        </is>
      </c>
      <c r="G728" t="n">
        <v>10.3</v>
      </c>
      <c r="H728" t="n">
        <v>0</v>
      </c>
      <c r="I728" t="n">
        <v>0</v>
      </c>
      <c r="J728" t="n">
        <v>0</v>
      </c>
      <c r="K728" t="n">
        <v>0</v>
      </c>
      <c r="L728" t="n">
        <v>0</v>
      </c>
      <c r="M728" t="n">
        <v>0</v>
      </c>
      <c r="N728" t="n">
        <v>0</v>
      </c>
      <c r="O728" t="n">
        <v>0</v>
      </c>
      <c r="P728" t="n">
        <v>0</v>
      </c>
      <c r="Q728" t="n">
        <v>0</v>
      </c>
      <c r="R728" s="2" t="inlineStr"/>
    </row>
    <row r="729" ht="15" customHeight="1">
      <c r="A729" t="inlineStr">
        <is>
          <t>A 30016-2025</t>
        </is>
      </c>
      <c r="B729" s="1" t="n">
        <v>45826.55288194444</v>
      </c>
      <c r="C729" s="1" t="n">
        <v>46105</v>
      </c>
      <c r="D729" t="inlineStr">
        <is>
          <t>JÄMTLANDS LÄN</t>
        </is>
      </c>
      <c r="E729" t="inlineStr">
        <is>
          <t>BRÄCKE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40748-2025</t>
        </is>
      </c>
      <c r="B730" s="1" t="n">
        <v>45897.38009259259</v>
      </c>
      <c r="C730" s="1" t="n">
        <v>46105</v>
      </c>
      <c r="D730" t="inlineStr">
        <is>
          <t>JÄMTLANDS LÄN</t>
        </is>
      </c>
      <c r="E730" t="inlineStr">
        <is>
          <t>BRÄCKE</t>
        </is>
      </c>
      <c r="G730" t="n">
        <v>2</v>
      </c>
      <c r="H730" t="n">
        <v>0</v>
      </c>
      <c r="I730" t="n">
        <v>0</v>
      </c>
      <c r="J730" t="n">
        <v>0</v>
      </c>
      <c r="K730" t="n">
        <v>0</v>
      </c>
      <c r="L730" t="n">
        <v>0</v>
      </c>
      <c r="M730" t="n">
        <v>0</v>
      </c>
      <c r="N730" t="n">
        <v>0</v>
      </c>
      <c r="O730" t="n">
        <v>0</v>
      </c>
      <c r="P730" t="n">
        <v>0</v>
      </c>
      <c r="Q730" t="n">
        <v>0</v>
      </c>
      <c r="R730" s="2" t="inlineStr"/>
    </row>
    <row r="731" ht="15" customHeight="1">
      <c r="A731" t="inlineStr">
        <is>
          <t>A 29996-2025</t>
        </is>
      </c>
      <c r="B731" s="1" t="n">
        <v>45826.51090277778</v>
      </c>
      <c r="C731" s="1" t="n">
        <v>46105</v>
      </c>
      <c r="D731" t="inlineStr">
        <is>
          <t>JÄMTLANDS LÄN</t>
        </is>
      </c>
      <c r="E731" t="inlineStr">
        <is>
          <t>BRÄCKE</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29534-2025</t>
        </is>
      </c>
      <c r="B732" s="1" t="n">
        <v>45825.34476851852</v>
      </c>
      <c r="C732" s="1" t="n">
        <v>46105</v>
      </c>
      <c r="D732" t="inlineStr">
        <is>
          <t>JÄMTLANDS LÄN</t>
        </is>
      </c>
      <c r="E732" t="inlineStr">
        <is>
          <t>BRÄCKE</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40908-2025</t>
        </is>
      </c>
      <c r="B733" s="1" t="n">
        <v>45897.61657407408</v>
      </c>
      <c r="C733" s="1" t="n">
        <v>46105</v>
      </c>
      <c r="D733" t="inlineStr">
        <is>
          <t>JÄMTLANDS LÄN</t>
        </is>
      </c>
      <c r="E733" t="inlineStr">
        <is>
          <t>BRÄCKE</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40959-2025</t>
        </is>
      </c>
      <c r="B734" s="1" t="n">
        <v>45897.67890046296</v>
      </c>
      <c r="C734" s="1" t="n">
        <v>46105</v>
      </c>
      <c r="D734" t="inlineStr">
        <is>
          <t>JÄMTLANDS LÄN</t>
        </is>
      </c>
      <c r="E734" t="inlineStr">
        <is>
          <t>BRÄCKE</t>
        </is>
      </c>
      <c r="F734" t="inlineStr">
        <is>
          <t>Naturvårdsverket</t>
        </is>
      </c>
      <c r="G734" t="n">
        <v>12.6</v>
      </c>
      <c r="H734" t="n">
        <v>0</v>
      </c>
      <c r="I734" t="n">
        <v>0</v>
      </c>
      <c r="J734" t="n">
        <v>0</v>
      </c>
      <c r="K734" t="n">
        <v>0</v>
      </c>
      <c r="L734" t="n">
        <v>0</v>
      </c>
      <c r="M734" t="n">
        <v>0</v>
      </c>
      <c r="N734" t="n">
        <v>0</v>
      </c>
      <c r="O734" t="n">
        <v>0</v>
      </c>
      <c r="P734" t="n">
        <v>0</v>
      </c>
      <c r="Q734" t="n">
        <v>0</v>
      </c>
      <c r="R734" s="2" t="inlineStr"/>
    </row>
    <row r="735" ht="15" customHeight="1">
      <c r="A735" t="inlineStr">
        <is>
          <t>A 15423-2025</t>
        </is>
      </c>
      <c r="B735" s="1" t="n">
        <v>45747.4640162037</v>
      </c>
      <c r="C735" s="1" t="n">
        <v>46105</v>
      </c>
      <c r="D735" t="inlineStr">
        <is>
          <t>JÄMTLANDS LÄN</t>
        </is>
      </c>
      <c r="E735" t="inlineStr">
        <is>
          <t>BRÄCKE</t>
        </is>
      </c>
      <c r="G735" t="n">
        <v>3.4</v>
      </c>
      <c r="H735" t="n">
        <v>0</v>
      </c>
      <c r="I735" t="n">
        <v>0</v>
      </c>
      <c r="J735" t="n">
        <v>0</v>
      </c>
      <c r="K735" t="n">
        <v>0</v>
      </c>
      <c r="L735" t="n">
        <v>0</v>
      </c>
      <c r="M735" t="n">
        <v>0</v>
      </c>
      <c r="N735" t="n">
        <v>0</v>
      </c>
      <c r="O735" t="n">
        <v>0</v>
      </c>
      <c r="P735" t="n">
        <v>0</v>
      </c>
      <c r="Q735" t="n">
        <v>0</v>
      </c>
      <c r="R735" s="2" t="inlineStr"/>
    </row>
    <row r="736" ht="15" customHeight="1">
      <c r="A736" t="inlineStr">
        <is>
          <t>A 41510-2025</t>
        </is>
      </c>
      <c r="B736" s="1" t="n">
        <v>45901.53417824074</v>
      </c>
      <c r="C736" s="1" t="n">
        <v>46105</v>
      </c>
      <c r="D736" t="inlineStr">
        <is>
          <t>JÄMTLANDS LÄN</t>
        </is>
      </c>
      <c r="E736" t="inlineStr">
        <is>
          <t>BRÄCKE</t>
        </is>
      </c>
      <c r="F736" t="inlineStr">
        <is>
          <t>Övriga Aktiebolag</t>
        </is>
      </c>
      <c r="G736" t="n">
        <v>2.2</v>
      </c>
      <c r="H736" t="n">
        <v>0</v>
      </c>
      <c r="I736" t="n">
        <v>0</v>
      </c>
      <c r="J736" t="n">
        <v>0</v>
      </c>
      <c r="K736" t="n">
        <v>0</v>
      </c>
      <c r="L736" t="n">
        <v>0</v>
      </c>
      <c r="M736" t="n">
        <v>0</v>
      </c>
      <c r="N736" t="n">
        <v>0</v>
      </c>
      <c r="O736" t="n">
        <v>0</v>
      </c>
      <c r="P736" t="n">
        <v>0</v>
      </c>
      <c r="Q736" t="n">
        <v>0</v>
      </c>
      <c r="R736" s="2" t="inlineStr"/>
    </row>
    <row r="737" ht="15" customHeight="1">
      <c r="A737" t="inlineStr">
        <is>
          <t>A 41503-2025</t>
        </is>
      </c>
      <c r="B737" s="1" t="n">
        <v>45901.51952546297</v>
      </c>
      <c r="C737" s="1" t="n">
        <v>46105</v>
      </c>
      <c r="D737" t="inlineStr">
        <is>
          <t>JÄMTLANDS LÄN</t>
        </is>
      </c>
      <c r="E737" t="inlineStr">
        <is>
          <t>BRÄCKE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41368-2025</t>
        </is>
      </c>
      <c r="B738" s="1" t="n">
        <v>45900.5678125</v>
      </c>
      <c r="C738" s="1" t="n">
        <v>46105</v>
      </c>
      <c r="D738" t="inlineStr">
        <is>
          <t>JÄMTLANDS LÄN</t>
        </is>
      </c>
      <c r="E738" t="inlineStr">
        <is>
          <t>BRÄCKE</t>
        </is>
      </c>
      <c r="G738" t="n">
        <v>4</v>
      </c>
      <c r="H738" t="n">
        <v>0</v>
      </c>
      <c r="I738" t="n">
        <v>0</v>
      </c>
      <c r="J738" t="n">
        <v>0</v>
      </c>
      <c r="K738" t="n">
        <v>0</v>
      </c>
      <c r="L738" t="n">
        <v>0</v>
      </c>
      <c r="M738" t="n">
        <v>0</v>
      </c>
      <c r="N738" t="n">
        <v>0</v>
      </c>
      <c r="O738" t="n">
        <v>0</v>
      </c>
      <c r="P738" t="n">
        <v>0</v>
      </c>
      <c r="Q738" t="n">
        <v>0</v>
      </c>
      <c r="R738" s="2" t="inlineStr"/>
    </row>
    <row r="739" ht="15" customHeight="1">
      <c r="A739" t="inlineStr">
        <is>
          <t>A 5144-2026</t>
        </is>
      </c>
      <c r="B739" s="1" t="n">
        <v>46049.60674768518</v>
      </c>
      <c r="C739" s="1" t="n">
        <v>46105</v>
      </c>
      <c r="D739" t="inlineStr">
        <is>
          <t>JÄMTLANDS LÄN</t>
        </is>
      </c>
      <c r="E739" t="inlineStr">
        <is>
          <t>BRÄCKE</t>
        </is>
      </c>
      <c r="G739" t="n">
        <v>22.3</v>
      </c>
      <c r="H739" t="n">
        <v>0</v>
      </c>
      <c r="I739" t="n">
        <v>0</v>
      </c>
      <c r="J739" t="n">
        <v>0</v>
      </c>
      <c r="K739" t="n">
        <v>0</v>
      </c>
      <c r="L739" t="n">
        <v>0</v>
      </c>
      <c r="M739" t="n">
        <v>0</v>
      </c>
      <c r="N739" t="n">
        <v>0</v>
      </c>
      <c r="O739" t="n">
        <v>0</v>
      </c>
      <c r="P739" t="n">
        <v>0</v>
      </c>
      <c r="Q739" t="n">
        <v>0</v>
      </c>
      <c r="R739" s="2" t="inlineStr"/>
    </row>
    <row r="740" ht="15" customHeight="1">
      <c r="A740" t="inlineStr">
        <is>
          <t>A 41344-2025</t>
        </is>
      </c>
      <c r="B740" s="1" t="n">
        <v>45899.46899305555</v>
      </c>
      <c r="C740" s="1" t="n">
        <v>46105</v>
      </c>
      <c r="D740" t="inlineStr">
        <is>
          <t>JÄMTLANDS LÄN</t>
        </is>
      </c>
      <c r="E740" t="inlineStr">
        <is>
          <t>BRÄCKE</t>
        </is>
      </c>
      <c r="G740" t="n">
        <v>1.5</v>
      </c>
      <c r="H740" t="n">
        <v>0</v>
      </c>
      <c r="I740" t="n">
        <v>0</v>
      </c>
      <c r="J740" t="n">
        <v>0</v>
      </c>
      <c r="K740" t="n">
        <v>0</v>
      </c>
      <c r="L740" t="n">
        <v>0</v>
      </c>
      <c r="M740" t="n">
        <v>0</v>
      </c>
      <c r="N740" t="n">
        <v>0</v>
      </c>
      <c r="O740" t="n">
        <v>0</v>
      </c>
      <c r="P740" t="n">
        <v>0</v>
      </c>
      <c r="Q740" t="n">
        <v>0</v>
      </c>
      <c r="R740" s="2" t="inlineStr"/>
    </row>
    <row r="741" ht="15" customHeight="1">
      <c r="A741" t="inlineStr">
        <is>
          <t>A 30310-2025</t>
        </is>
      </c>
      <c r="B741" s="1" t="n">
        <v>45827.48996527777</v>
      </c>
      <c r="C741" s="1" t="n">
        <v>46105</v>
      </c>
      <c r="D741" t="inlineStr">
        <is>
          <t>JÄMTLANDS LÄN</t>
        </is>
      </c>
      <c r="E741" t="inlineStr">
        <is>
          <t>BRÄCKE</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30317-2025</t>
        </is>
      </c>
      <c r="B742" s="1" t="n">
        <v>45827.49087962963</v>
      </c>
      <c r="C742" s="1" t="n">
        <v>46105</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41367-2025</t>
        </is>
      </c>
      <c r="B743" s="1" t="n">
        <v>45900.55118055556</v>
      </c>
      <c r="C743" s="1" t="n">
        <v>46105</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30393-2025</t>
        </is>
      </c>
      <c r="B744" s="1" t="n">
        <v>45827.57416666667</v>
      </c>
      <c r="C744" s="1" t="n">
        <v>46105</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4822-2026</t>
        </is>
      </c>
      <c r="B745" s="1" t="n">
        <v>46048.59443287037</v>
      </c>
      <c r="C745" s="1" t="n">
        <v>46105</v>
      </c>
      <c r="D745" t="inlineStr">
        <is>
          <t>JÄMTLANDS LÄN</t>
        </is>
      </c>
      <c r="E745" t="inlineStr">
        <is>
          <t>BRÄCKE</t>
        </is>
      </c>
      <c r="F745" t="inlineStr">
        <is>
          <t>SCA</t>
        </is>
      </c>
      <c r="G745" t="n">
        <v>20.9</v>
      </c>
      <c r="H745" t="n">
        <v>0</v>
      </c>
      <c r="I745" t="n">
        <v>0</v>
      </c>
      <c r="J745" t="n">
        <v>0</v>
      </c>
      <c r="K745" t="n">
        <v>0</v>
      </c>
      <c r="L745" t="n">
        <v>0</v>
      </c>
      <c r="M745" t="n">
        <v>0</v>
      </c>
      <c r="N745" t="n">
        <v>0</v>
      </c>
      <c r="O745" t="n">
        <v>0</v>
      </c>
      <c r="P745" t="n">
        <v>0</v>
      </c>
      <c r="Q745" t="n">
        <v>0</v>
      </c>
      <c r="R745" s="2" t="inlineStr"/>
    </row>
    <row r="746" ht="15" customHeight="1">
      <c r="A746" t="inlineStr">
        <is>
          <t>A 30424-2025</t>
        </is>
      </c>
      <c r="B746" s="1" t="n">
        <v>45827.61495370371</v>
      </c>
      <c r="C746" s="1" t="n">
        <v>46105</v>
      </c>
      <c r="D746" t="inlineStr">
        <is>
          <t>JÄMTLANDS LÄN</t>
        </is>
      </c>
      <c r="E746" t="inlineStr">
        <is>
          <t>BRÄCKE</t>
        </is>
      </c>
      <c r="G746" t="n">
        <v>0.4</v>
      </c>
      <c r="H746" t="n">
        <v>0</v>
      </c>
      <c r="I746" t="n">
        <v>0</v>
      </c>
      <c r="J746" t="n">
        <v>0</v>
      </c>
      <c r="K746" t="n">
        <v>0</v>
      </c>
      <c r="L746" t="n">
        <v>0</v>
      </c>
      <c r="M746" t="n">
        <v>0</v>
      </c>
      <c r="N746" t="n">
        <v>0</v>
      </c>
      <c r="O746" t="n">
        <v>0</v>
      </c>
      <c r="P746" t="n">
        <v>0</v>
      </c>
      <c r="Q746" t="n">
        <v>0</v>
      </c>
      <c r="R746" s="2" t="inlineStr"/>
    </row>
    <row r="747" ht="15" customHeight="1">
      <c r="A747" t="inlineStr">
        <is>
          <t>A 30391-2025</t>
        </is>
      </c>
      <c r="B747" s="1" t="n">
        <v>45827.57387731481</v>
      </c>
      <c r="C747" s="1" t="n">
        <v>46105</v>
      </c>
      <c r="D747" t="inlineStr">
        <is>
          <t>JÄMTLANDS LÄN</t>
        </is>
      </c>
      <c r="E747" t="inlineStr">
        <is>
          <t>BRÄCKE</t>
        </is>
      </c>
      <c r="F747" t="inlineStr">
        <is>
          <t>SCA</t>
        </is>
      </c>
      <c r="G747" t="n">
        <v>6.5</v>
      </c>
      <c r="H747" t="n">
        <v>0</v>
      </c>
      <c r="I747" t="n">
        <v>0</v>
      </c>
      <c r="J747" t="n">
        <v>0</v>
      </c>
      <c r="K747" t="n">
        <v>0</v>
      </c>
      <c r="L747" t="n">
        <v>0</v>
      </c>
      <c r="M747" t="n">
        <v>0</v>
      </c>
      <c r="N747" t="n">
        <v>0</v>
      </c>
      <c r="O747" t="n">
        <v>0</v>
      </c>
      <c r="P747" t="n">
        <v>0</v>
      </c>
      <c r="Q747" t="n">
        <v>0</v>
      </c>
      <c r="R747" s="2" t="inlineStr"/>
    </row>
    <row r="748" ht="15" customHeight="1">
      <c r="A748" t="inlineStr">
        <is>
          <t>A 30425-2025</t>
        </is>
      </c>
      <c r="B748" s="1" t="n">
        <v>45827.61511574074</v>
      </c>
      <c r="C748" s="1" t="n">
        <v>46105</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30392-2025</t>
        </is>
      </c>
      <c r="B749" s="1" t="n">
        <v>45827.5740162037</v>
      </c>
      <c r="C749" s="1" t="n">
        <v>46105</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41345-2025</t>
        </is>
      </c>
      <c r="B750" s="1" t="n">
        <v>45899.46903935185</v>
      </c>
      <c r="C750" s="1" t="n">
        <v>46105</v>
      </c>
      <c r="D750" t="inlineStr">
        <is>
          <t>JÄMTLANDS LÄN</t>
        </is>
      </c>
      <c r="E750" t="inlineStr">
        <is>
          <t>BRÄCKE</t>
        </is>
      </c>
      <c r="G750" t="n">
        <v>7.5</v>
      </c>
      <c r="H750" t="n">
        <v>0</v>
      </c>
      <c r="I750" t="n">
        <v>0</v>
      </c>
      <c r="J750" t="n">
        <v>0</v>
      </c>
      <c r="K750" t="n">
        <v>0</v>
      </c>
      <c r="L750" t="n">
        <v>0</v>
      </c>
      <c r="M750" t="n">
        <v>0</v>
      </c>
      <c r="N750" t="n">
        <v>0</v>
      </c>
      <c r="O750" t="n">
        <v>0</v>
      </c>
      <c r="P750" t="n">
        <v>0</v>
      </c>
      <c r="Q750" t="n">
        <v>0</v>
      </c>
      <c r="R750" s="2" t="inlineStr"/>
    </row>
    <row r="751" ht="15" customHeight="1">
      <c r="A751" t="inlineStr">
        <is>
          <t>A 41526-2025</t>
        </is>
      </c>
      <c r="B751" s="1" t="n">
        <v>45901.5528587963</v>
      </c>
      <c r="C751" s="1" t="n">
        <v>46105</v>
      </c>
      <c r="D751" t="inlineStr">
        <is>
          <t>JÄMTLANDS LÄN</t>
        </is>
      </c>
      <c r="E751" t="inlineStr">
        <is>
          <t>BRÄCKE</t>
        </is>
      </c>
      <c r="G751" t="n">
        <v>1.2</v>
      </c>
      <c r="H751" t="n">
        <v>0</v>
      </c>
      <c r="I751" t="n">
        <v>0</v>
      </c>
      <c r="J751" t="n">
        <v>0</v>
      </c>
      <c r="K751" t="n">
        <v>0</v>
      </c>
      <c r="L751" t="n">
        <v>0</v>
      </c>
      <c r="M751" t="n">
        <v>0</v>
      </c>
      <c r="N751" t="n">
        <v>0</v>
      </c>
      <c r="O751" t="n">
        <v>0</v>
      </c>
      <c r="P751" t="n">
        <v>0</v>
      </c>
      <c r="Q751" t="n">
        <v>0</v>
      </c>
      <c r="R751" s="2" t="inlineStr"/>
    </row>
    <row r="752" ht="15" customHeight="1">
      <c r="A752" t="inlineStr">
        <is>
          <t>A 13212-2026</t>
        </is>
      </c>
      <c r="B752" s="1" t="n">
        <v>46093.61533564814</v>
      </c>
      <c r="C752" s="1" t="n">
        <v>46105</v>
      </c>
      <c r="D752" t="inlineStr">
        <is>
          <t>JÄMTLANDS LÄN</t>
        </is>
      </c>
      <c r="E752" t="inlineStr">
        <is>
          <t>BRÄCKE</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13147-2026</t>
        </is>
      </c>
      <c r="B753" s="1" t="n">
        <v>46093.51188657407</v>
      </c>
      <c r="C753" s="1" t="n">
        <v>46105</v>
      </c>
      <c r="D753" t="inlineStr">
        <is>
          <t>JÄMTLANDS LÄN</t>
        </is>
      </c>
      <c r="E753" t="inlineStr">
        <is>
          <t>BRÄCKE</t>
        </is>
      </c>
      <c r="F753" t="inlineStr">
        <is>
          <t>SCA</t>
        </is>
      </c>
      <c r="G753" t="n">
        <v>19.4</v>
      </c>
      <c r="H753" t="n">
        <v>0</v>
      </c>
      <c r="I753" t="n">
        <v>0</v>
      </c>
      <c r="J753" t="n">
        <v>0</v>
      </c>
      <c r="K753" t="n">
        <v>0</v>
      </c>
      <c r="L753" t="n">
        <v>0</v>
      </c>
      <c r="M753" t="n">
        <v>0</v>
      </c>
      <c r="N753" t="n">
        <v>0</v>
      </c>
      <c r="O753" t="n">
        <v>0</v>
      </c>
      <c r="P753" t="n">
        <v>0</v>
      </c>
      <c r="Q753" t="n">
        <v>0</v>
      </c>
      <c r="R753" s="2" t="inlineStr"/>
    </row>
    <row r="754" ht="15" customHeight="1">
      <c r="A754" t="inlineStr">
        <is>
          <t>A 30313-2025</t>
        </is>
      </c>
      <c r="B754" s="1" t="n">
        <v>45827.49033564814</v>
      </c>
      <c r="C754" s="1" t="n">
        <v>46105</v>
      </c>
      <c r="D754" t="inlineStr">
        <is>
          <t>JÄMTLANDS LÄN</t>
        </is>
      </c>
      <c r="E754" t="inlineStr">
        <is>
          <t>BRÄCKE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41600-2025</t>
        </is>
      </c>
      <c r="B755" s="1" t="n">
        <v>45901.65686342592</v>
      </c>
      <c r="C755" s="1" t="n">
        <v>46105</v>
      </c>
      <c r="D755" t="inlineStr">
        <is>
          <t>JÄMTLANDS LÄN</t>
        </is>
      </c>
      <c r="E755" t="inlineStr">
        <is>
          <t>BRÄCKE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30732-2025</t>
        </is>
      </c>
      <c r="B756" s="1" t="n">
        <v>45831.57324074074</v>
      </c>
      <c r="C756" s="1" t="n">
        <v>46105</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13542-2026</t>
        </is>
      </c>
      <c r="B757" s="1" t="n">
        <v>46094.67759259259</v>
      </c>
      <c r="C757" s="1" t="n">
        <v>46105</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5980-2026</t>
        </is>
      </c>
      <c r="B758" s="1" t="n">
        <v>46052.55277777778</v>
      </c>
      <c r="C758" s="1" t="n">
        <v>46105</v>
      </c>
      <c r="D758" t="inlineStr">
        <is>
          <t>JÄMTLANDS LÄN</t>
        </is>
      </c>
      <c r="E758" t="inlineStr">
        <is>
          <t>BRÄCKE</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30619-2025</t>
        </is>
      </c>
      <c r="B759" s="1" t="n">
        <v>45831.46922453704</v>
      </c>
      <c r="C759" s="1" t="n">
        <v>46105</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42312-2025</t>
        </is>
      </c>
      <c r="B760" s="1" t="n">
        <v>45904.65673611111</v>
      </c>
      <c r="C760" s="1" t="n">
        <v>46105</v>
      </c>
      <c r="D760" t="inlineStr">
        <is>
          <t>JÄMTLANDS LÄN</t>
        </is>
      </c>
      <c r="E760" t="inlineStr">
        <is>
          <t>BRÄCKE</t>
        </is>
      </c>
      <c r="G760" t="n">
        <v>3</v>
      </c>
      <c r="H760" t="n">
        <v>0</v>
      </c>
      <c r="I760" t="n">
        <v>0</v>
      </c>
      <c r="J760" t="n">
        <v>0</v>
      </c>
      <c r="K760" t="n">
        <v>0</v>
      </c>
      <c r="L760" t="n">
        <v>0</v>
      </c>
      <c r="M760" t="n">
        <v>0</v>
      </c>
      <c r="N760" t="n">
        <v>0</v>
      </c>
      <c r="O760" t="n">
        <v>0</v>
      </c>
      <c r="P760" t="n">
        <v>0</v>
      </c>
      <c r="Q760" t="n">
        <v>0</v>
      </c>
      <c r="R760" s="2" t="inlineStr"/>
    </row>
    <row r="761" ht="15" customHeight="1">
      <c r="A761" t="inlineStr">
        <is>
          <t>A 31138-2025</t>
        </is>
      </c>
      <c r="B761" s="1" t="n">
        <v>45832.63618055556</v>
      </c>
      <c r="C761" s="1" t="n">
        <v>46105</v>
      </c>
      <c r="D761" t="inlineStr">
        <is>
          <t>JÄMTLANDS LÄN</t>
        </is>
      </c>
      <c r="E761" t="inlineStr">
        <is>
          <t>BRÄCKE</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13425-2026</t>
        </is>
      </c>
      <c r="B762" s="1" t="n">
        <v>46094.47731481482</v>
      </c>
      <c r="C762" s="1" t="n">
        <v>46105</v>
      </c>
      <c r="D762" t="inlineStr">
        <is>
          <t>JÄMTLANDS LÄN</t>
        </is>
      </c>
      <c r="E762" t="inlineStr">
        <is>
          <t>BRÄCKE</t>
        </is>
      </c>
      <c r="G762" t="n">
        <v>7.2</v>
      </c>
      <c r="H762" t="n">
        <v>0</v>
      </c>
      <c r="I762" t="n">
        <v>0</v>
      </c>
      <c r="J762" t="n">
        <v>0</v>
      </c>
      <c r="K762" t="n">
        <v>0</v>
      </c>
      <c r="L762" t="n">
        <v>0</v>
      </c>
      <c r="M762" t="n">
        <v>0</v>
      </c>
      <c r="N762" t="n">
        <v>0</v>
      </c>
      <c r="O762" t="n">
        <v>0</v>
      </c>
      <c r="P762" t="n">
        <v>0</v>
      </c>
      <c r="Q762" t="n">
        <v>0</v>
      </c>
      <c r="R762" s="2" t="inlineStr"/>
    </row>
    <row r="763" ht="15" customHeight="1">
      <c r="A763" t="inlineStr">
        <is>
          <t>A 42131-2025</t>
        </is>
      </c>
      <c r="B763" s="1" t="n">
        <v>45904.34542824074</v>
      </c>
      <c r="C763" s="1" t="n">
        <v>46105</v>
      </c>
      <c r="D763" t="inlineStr">
        <is>
          <t>JÄMTLANDS LÄN</t>
        </is>
      </c>
      <c r="E763" t="inlineStr">
        <is>
          <t>BRÄCKE</t>
        </is>
      </c>
      <c r="G763" t="n">
        <v>3.3</v>
      </c>
      <c r="H763" t="n">
        <v>0</v>
      </c>
      <c r="I763" t="n">
        <v>0</v>
      </c>
      <c r="J763" t="n">
        <v>0</v>
      </c>
      <c r="K763" t="n">
        <v>0</v>
      </c>
      <c r="L763" t="n">
        <v>0</v>
      </c>
      <c r="M763" t="n">
        <v>0</v>
      </c>
      <c r="N763" t="n">
        <v>0</v>
      </c>
      <c r="O763" t="n">
        <v>0</v>
      </c>
      <c r="P763" t="n">
        <v>0</v>
      </c>
      <c r="Q763" t="n">
        <v>0</v>
      </c>
      <c r="R763" s="2" t="inlineStr"/>
    </row>
    <row r="764" ht="15" customHeight="1">
      <c r="A764" t="inlineStr">
        <is>
          <t>A 30714-2025</t>
        </is>
      </c>
      <c r="B764" s="1" t="n">
        <v>45831.55284722222</v>
      </c>
      <c r="C764" s="1" t="n">
        <v>46105</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50609-2023</t>
        </is>
      </c>
      <c r="B765" s="1" t="n">
        <v>45217</v>
      </c>
      <c r="C765" s="1" t="n">
        <v>46105</v>
      </c>
      <c r="D765" t="inlineStr">
        <is>
          <t>JÄMTLANDS LÄN</t>
        </is>
      </c>
      <c r="E765" t="inlineStr">
        <is>
          <t>BRÄCKE</t>
        </is>
      </c>
      <c r="G765" t="n">
        <v>5.7</v>
      </c>
      <c r="H765" t="n">
        <v>0</v>
      </c>
      <c r="I765" t="n">
        <v>0</v>
      </c>
      <c r="J765" t="n">
        <v>0</v>
      </c>
      <c r="K765" t="n">
        <v>0</v>
      </c>
      <c r="L765" t="n">
        <v>0</v>
      </c>
      <c r="M765" t="n">
        <v>0</v>
      </c>
      <c r="N765" t="n">
        <v>0</v>
      </c>
      <c r="O765" t="n">
        <v>0</v>
      </c>
      <c r="P765" t="n">
        <v>0</v>
      </c>
      <c r="Q765" t="n">
        <v>0</v>
      </c>
      <c r="R765" s="2" t="inlineStr"/>
    </row>
    <row r="766" ht="15" customHeight="1">
      <c r="A766" t="inlineStr">
        <is>
          <t>A 42123-2025</t>
        </is>
      </c>
      <c r="B766" s="1" t="n">
        <v>45904.34429398148</v>
      </c>
      <c r="C766" s="1" t="n">
        <v>46105</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31059-2025</t>
        </is>
      </c>
      <c r="B767" s="1" t="n">
        <v>45832.5734837963</v>
      </c>
      <c r="C767" s="1" t="n">
        <v>46105</v>
      </c>
      <c r="D767" t="inlineStr">
        <is>
          <t>JÄMTLANDS LÄN</t>
        </is>
      </c>
      <c r="E767" t="inlineStr">
        <is>
          <t>BRÄCKE</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42128-2025</t>
        </is>
      </c>
      <c r="B768" s="1" t="n">
        <v>45904.34517361111</v>
      </c>
      <c r="C768" s="1" t="n">
        <v>46105</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42130-2025</t>
        </is>
      </c>
      <c r="B769" s="1" t="n">
        <v>45904.34540509259</v>
      </c>
      <c r="C769" s="1" t="n">
        <v>46105</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13214-2026</t>
        </is>
      </c>
      <c r="B770" s="1" t="n">
        <v>46093.61574074074</v>
      </c>
      <c r="C770" s="1" t="n">
        <v>46105</v>
      </c>
      <c r="D770" t="inlineStr">
        <is>
          <t>JÄMTLANDS LÄN</t>
        </is>
      </c>
      <c r="E770" t="inlineStr">
        <is>
          <t>BRÄCKE</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42132-2025</t>
        </is>
      </c>
      <c r="B771" s="1" t="n">
        <v>45904.34546296296</v>
      </c>
      <c r="C771" s="1" t="n">
        <v>46105</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42270-2025</t>
        </is>
      </c>
      <c r="B772" s="1" t="n">
        <v>45904.60445601852</v>
      </c>
      <c r="C772" s="1" t="n">
        <v>46105</v>
      </c>
      <c r="D772" t="inlineStr">
        <is>
          <t>JÄMTLANDS LÄN</t>
        </is>
      </c>
      <c r="E772" t="inlineStr">
        <is>
          <t>BRÄCKE</t>
        </is>
      </c>
      <c r="G772" t="n">
        <v>6.4</v>
      </c>
      <c r="H772" t="n">
        <v>0</v>
      </c>
      <c r="I772" t="n">
        <v>0</v>
      </c>
      <c r="J772" t="n">
        <v>0</v>
      </c>
      <c r="K772" t="n">
        <v>0</v>
      </c>
      <c r="L772" t="n">
        <v>0</v>
      </c>
      <c r="M772" t="n">
        <v>0</v>
      </c>
      <c r="N772" t="n">
        <v>0</v>
      </c>
      <c r="O772" t="n">
        <v>0</v>
      </c>
      <c r="P772" t="n">
        <v>0</v>
      </c>
      <c r="Q772" t="n">
        <v>0</v>
      </c>
      <c r="R772" s="2" t="inlineStr"/>
    </row>
    <row r="773" ht="15" customHeight="1">
      <c r="A773" t="inlineStr">
        <is>
          <t>A 42280-2025</t>
        </is>
      </c>
      <c r="B773" s="1" t="n">
        <v>45904.61605324074</v>
      </c>
      <c r="C773" s="1" t="n">
        <v>46105</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41547-2025</t>
        </is>
      </c>
      <c r="B774" s="1" t="n">
        <v>45901.57991898148</v>
      </c>
      <c r="C774" s="1" t="n">
        <v>46105</v>
      </c>
      <c r="D774" t="inlineStr">
        <is>
          <t>JÄMTLANDS LÄN</t>
        </is>
      </c>
      <c r="E774" t="inlineStr">
        <is>
          <t>BRÄCKE</t>
        </is>
      </c>
      <c r="G774" t="n">
        <v>5.1</v>
      </c>
      <c r="H774" t="n">
        <v>0</v>
      </c>
      <c r="I774" t="n">
        <v>0</v>
      </c>
      <c r="J774" t="n">
        <v>0</v>
      </c>
      <c r="K774" t="n">
        <v>0</v>
      </c>
      <c r="L774" t="n">
        <v>0</v>
      </c>
      <c r="M774" t="n">
        <v>0</v>
      </c>
      <c r="N774" t="n">
        <v>0</v>
      </c>
      <c r="O774" t="n">
        <v>0</v>
      </c>
      <c r="P774" t="n">
        <v>0</v>
      </c>
      <c r="Q774" t="n">
        <v>0</v>
      </c>
      <c r="R774" s="2" t="inlineStr"/>
    </row>
    <row r="775" ht="15" customHeight="1">
      <c r="A775" t="inlineStr">
        <is>
          <t>A 41757-2025</t>
        </is>
      </c>
      <c r="B775" s="1" t="n">
        <v>45902.50755787037</v>
      </c>
      <c r="C775" s="1" t="n">
        <v>46105</v>
      </c>
      <c r="D775" t="inlineStr">
        <is>
          <t>JÄMTLANDS LÄN</t>
        </is>
      </c>
      <c r="E775" t="inlineStr">
        <is>
          <t>BRÄCKE</t>
        </is>
      </c>
      <c r="G775" t="n">
        <v>1.8</v>
      </c>
      <c r="H775" t="n">
        <v>0</v>
      </c>
      <c r="I775" t="n">
        <v>0</v>
      </c>
      <c r="J775" t="n">
        <v>0</v>
      </c>
      <c r="K775" t="n">
        <v>0</v>
      </c>
      <c r="L775" t="n">
        <v>0</v>
      </c>
      <c r="M775" t="n">
        <v>0</v>
      </c>
      <c r="N775" t="n">
        <v>0</v>
      </c>
      <c r="O775" t="n">
        <v>0</v>
      </c>
      <c r="P775" t="n">
        <v>0</v>
      </c>
      <c r="Q775" t="n">
        <v>0</v>
      </c>
      <c r="R775" s="2" t="inlineStr"/>
    </row>
    <row r="776" ht="15" customHeight="1">
      <c r="A776" t="inlineStr">
        <is>
          <t>A 13128-2026</t>
        </is>
      </c>
      <c r="B776" s="1" t="n">
        <v>46093.46931712963</v>
      </c>
      <c r="C776" s="1" t="n">
        <v>46105</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13171-2026</t>
        </is>
      </c>
      <c r="B777" s="1" t="n">
        <v>46093.57340277778</v>
      </c>
      <c r="C777" s="1" t="n">
        <v>46105</v>
      </c>
      <c r="D777" t="inlineStr">
        <is>
          <t>JÄMTLANDS LÄN</t>
        </is>
      </c>
      <c r="E777" t="inlineStr">
        <is>
          <t>BRÄCKE</t>
        </is>
      </c>
      <c r="F777" t="inlineStr">
        <is>
          <t>SCA</t>
        </is>
      </c>
      <c r="G777" t="n">
        <v>5.5</v>
      </c>
      <c r="H777" t="n">
        <v>0</v>
      </c>
      <c r="I777" t="n">
        <v>0</v>
      </c>
      <c r="J777" t="n">
        <v>0</v>
      </c>
      <c r="K777" t="n">
        <v>0</v>
      </c>
      <c r="L777" t="n">
        <v>0</v>
      </c>
      <c r="M777" t="n">
        <v>0</v>
      </c>
      <c r="N777" t="n">
        <v>0</v>
      </c>
      <c r="O777" t="n">
        <v>0</v>
      </c>
      <c r="P777" t="n">
        <v>0</v>
      </c>
      <c r="Q777" t="n">
        <v>0</v>
      </c>
      <c r="R777" s="2" t="inlineStr"/>
    </row>
    <row r="778" ht="15" customHeight="1">
      <c r="A778" t="inlineStr">
        <is>
          <t>A 41981-2025</t>
        </is>
      </c>
      <c r="B778" s="1" t="n">
        <v>45903.53172453704</v>
      </c>
      <c r="C778" s="1" t="n">
        <v>46105</v>
      </c>
      <c r="D778" t="inlineStr">
        <is>
          <t>JÄMTLANDS LÄN</t>
        </is>
      </c>
      <c r="E778" t="inlineStr">
        <is>
          <t>BRÄCKE</t>
        </is>
      </c>
      <c r="G778" t="n">
        <v>6.2</v>
      </c>
      <c r="H778" t="n">
        <v>0</v>
      </c>
      <c r="I778" t="n">
        <v>0</v>
      </c>
      <c r="J778" t="n">
        <v>0</v>
      </c>
      <c r="K778" t="n">
        <v>0</v>
      </c>
      <c r="L778" t="n">
        <v>0</v>
      </c>
      <c r="M778" t="n">
        <v>0</v>
      </c>
      <c r="N778" t="n">
        <v>0</v>
      </c>
      <c r="O778" t="n">
        <v>0</v>
      </c>
      <c r="P778" t="n">
        <v>0</v>
      </c>
      <c r="Q778" t="n">
        <v>0</v>
      </c>
      <c r="R778" s="2" t="inlineStr"/>
    </row>
    <row r="779" ht="15" customHeight="1">
      <c r="A779" t="inlineStr">
        <is>
          <t>A 13414-2026</t>
        </is>
      </c>
      <c r="B779" s="1" t="n">
        <v>46094.46974537037</v>
      </c>
      <c r="C779" s="1" t="n">
        <v>46105</v>
      </c>
      <c r="D779" t="inlineStr">
        <is>
          <t>JÄMTLANDS LÄN</t>
        </is>
      </c>
      <c r="E779" t="inlineStr">
        <is>
          <t>BRÄCKE</t>
        </is>
      </c>
      <c r="G779" t="n">
        <v>2.1</v>
      </c>
      <c r="H779" t="n">
        <v>0</v>
      </c>
      <c r="I779" t="n">
        <v>0</v>
      </c>
      <c r="J779" t="n">
        <v>0</v>
      </c>
      <c r="K779" t="n">
        <v>0</v>
      </c>
      <c r="L779" t="n">
        <v>0</v>
      </c>
      <c r="M779" t="n">
        <v>0</v>
      </c>
      <c r="N779" t="n">
        <v>0</v>
      </c>
      <c r="O779" t="n">
        <v>0</v>
      </c>
      <c r="P779" t="n">
        <v>0</v>
      </c>
      <c r="Q779" t="n">
        <v>0</v>
      </c>
      <c r="R779" s="2" t="inlineStr"/>
    </row>
    <row r="780" ht="15" customHeight="1">
      <c r="A780" t="inlineStr">
        <is>
          <t>A 13250-2026</t>
        </is>
      </c>
      <c r="B780" s="1" t="n">
        <v>46093.6571412037</v>
      </c>
      <c r="C780" s="1" t="n">
        <v>46105</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62546-2025</t>
        </is>
      </c>
      <c r="B781" s="1" t="n">
        <v>46007.6616087963</v>
      </c>
      <c r="C781" s="1" t="n">
        <v>46105</v>
      </c>
      <c r="D781" t="inlineStr">
        <is>
          <t>JÄMTLANDS LÄN</t>
        </is>
      </c>
      <c r="E781" t="inlineStr">
        <is>
          <t>BRÄCKE</t>
        </is>
      </c>
      <c r="G781" t="n">
        <v>14.1</v>
      </c>
      <c r="H781" t="n">
        <v>0</v>
      </c>
      <c r="I781" t="n">
        <v>0</v>
      </c>
      <c r="J781" t="n">
        <v>0</v>
      </c>
      <c r="K781" t="n">
        <v>0</v>
      </c>
      <c r="L781" t="n">
        <v>0</v>
      </c>
      <c r="M781" t="n">
        <v>0</v>
      </c>
      <c r="N781" t="n">
        <v>0</v>
      </c>
      <c r="O781" t="n">
        <v>0</v>
      </c>
      <c r="P781" t="n">
        <v>0</v>
      </c>
      <c r="Q781" t="n">
        <v>0</v>
      </c>
      <c r="R781" s="2" t="inlineStr"/>
    </row>
    <row r="782" ht="15" customHeight="1">
      <c r="A782" t="inlineStr">
        <is>
          <t>A 20513-2024</t>
        </is>
      </c>
      <c r="B782" s="1" t="n">
        <v>45435.94380787037</v>
      </c>
      <c r="C782" s="1" t="n">
        <v>46105</v>
      </c>
      <c r="D782" t="inlineStr">
        <is>
          <t>JÄMTLANDS LÄN</t>
        </is>
      </c>
      <c r="E782" t="inlineStr">
        <is>
          <t>BRÄCKE</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13192-2026</t>
        </is>
      </c>
      <c r="B783" s="1" t="n">
        <v>46093.59509259259</v>
      </c>
      <c r="C783" s="1" t="n">
        <v>46105</v>
      </c>
      <c r="D783" t="inlineStr">
        <is>
          <t>JÄMTLANDS LÄN</t>
        </is>
      </c>
      <c r="E783" t="inlineStr">
        <is>
          <t>BRÄCKE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31668-2025</t>
        </is>
      </c>
      <c r="B784" s="1" t="n">
        <v>45834.36533564814</v>
      </c>
      <c r="C784" s="1" t="n">
        <v>46105</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31806-2025</t>
        </is>
      </c>
      <c r="B785" s="1" t="n">
        <v>45834.55449074074</v>
      </c>
      <c r="C785" s="1" t="n">
        <v>46105</v>
      </c>
      <c r="D785" t="inlineStr">
        <is>
          <t>JÄMTLANDS LÄN</t>
        </is>
      </c>
      <c r="E785" t="inlineStr">
        <is>
          <t>BRÄCKE</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5774-2026</t>
        </is>
      </c>
      <c r="B786" s="1" t="n">
        <v>46051.64853009259</v>
      </c>
      <c r="C786" s="1" t="n">
        <v>46105</v>
      </c>
      <c r="D786" t="inlineStr">
        <is>
          <t>JÄMTLANDS LÄN</t>
        </is>
      </c>
      <c r="E786" t="inlineStr">
        <is>
          <t>BRÄCKE</t>
        </is>
      </c>
      <c r="G786" t="n">
        <v>6.8</v>
      </c>
      <c r="H786" t="n">
        <v>0</v>
      </c>
      <c r="I786" t="n">
        <v>0</v>
      </c>
      <c r="J786" t="n">
        <v>0</v>
      </c>
      <c r="K786" t="n">
        <v>0</v>
      </c>
      <c r="L786" t="n">
        <v>0</v>
      </c>
      <c r="M786" t="n">
        <v>0</v>
      </c>
      <c r="N786" t="n">
        <v>0</v>
      </c>
      <c r="O786" t="n">
        <v>0</v>
      </c>
      <c r="P786" t="n">
        <v>0</v>
      </c>
      <c r="Q786" t="n">
        <v>0</v>
      </c>
      <c r="R786" s="2" t="inlineStr"/>
    </row>
    <row r="787" ht="15" customHeight="1">
      <c r="A787" t="inlineStr">
        <is>
          <t>A 31425-2025</t>
        </is>
      </c>
      <c r="B787" s="1" t="n">
        <v>45833.49023148148</v>
      </c>
      <c r="C787" s="1" t="n">
        <v>46105</v>
      </c>
      <c r="D787" t="inlineStr">
        <is>
          <t>JÄMTLANDS LÄN</t>
        </is>
      </c>
      <c r="E787" t="inlineStr">
        <is>
          <t>BRÄCKE</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31482-2025</t>
        </is>
      </c>
      <c r="B788" s="1" t="n">
        <v>45833.57390046296</v>
      </c>
      <c r="C788" s="1" t="n">
        <v>46105</v>
      </c>
      <c r="D788" t="inlineStr">
        <is>
          <t>JÄMTLANDS LÄN</t>
        </is>
      </c>
      <c r="E788" t="inlineStr">
        <is>
          <t>BRÄCKE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5772-2026</t>
        </is>
      </c>
      <c r="B789" s="1" t="n">
        <v>46051.64594907407</v>
      </c>
      <c r="C789" s="1" t="n">
        <v>46105</v>
      </c>
      <c r="D789" t="inlineStr">
        <is>
          <t>JÄMTLANDS LÄN</t>
        </is>
      </c>
      <c r="E789" t="inlineStr">
        <is>
          <t>BRÄCKE</t>
        </is>
      </c>
      <c r="G789" t="n">
        <v>3.8</v>
      </c>
      <c r="H789" t="n">
        <v>0</v>
      </c>
      <c r="I789" t="n">
        <v>0</v>
      </c>
      <c r="J789" t="n">
        <v>0</v>
      </c>
      <c r="K789" t="n">
        <v>0</v>
      </c>
      <c r="L789" t="n">
        <v>0</v>
      </c>
      <c r="M789" t="n">
        <v>0</v>
      </c>
      <c r="N789" t="n">
        <v>0</v>
      </c>
      <c r="O789" t="n">
        <v>0</v>
      </c>
      <c r="P789" t="n">
        <v>0</v>
      </c>
      <c r="Q789" t="n">
        <v>0</v>
      </c>
      <c r="R789" s="2" t="inlineStr"/>
    </row>
    <row r="790" ht="15" customHeight="1">
      <c r="A790" t="inlineStr">
        <is>
          <t>A 31794-2025</t>
        </is>
      </c>
      <c r="B790" s="1" t="n">
        <v>45834.54390046297</v>
      </c>
      <c r="C790" s="1" t="n">
        <v>46105</v>
      </c>
      <c r="D790" t="inlineStr">
        <is>
          <t>JÄMTLANDS LÄN</t>
        </is>
      </c>
      <c r="E790" t="inlineStr">
        <is>
          <t>BRÄCKE</t>
        </is>
      </c>
      <c r="F790" t="inlineStr">
        <is>
          <t>Övriga Aktiebolag</t>
        </is>
      </c>
      <c r="G790" t="n">
        <v>6.5</v>
      </c>
      <c r="H790" t="n">
        <v>0</v>
      </c>
      <c r="I790" t="n">
        <v>0</v>
      </c>
      <c r="J790" t="n">
        <v>0</v>
      </c>
      <c r="K790" t="n">
        <v>0</v>
      </c>
      <c r="L790" t="n">
        <v>0</v>
      </c>
      <c r="M790" t="n">
        <v>0</v>
      </c>
      <c r="N790" t="n">
        <v>0</v>
      </c>
      <c r="O790" t="n">
        <v>0</v>
      </c>
      <c r="P790" t="n">
        <v>0</v>
      </c>
      <c r="Q790" t="n">
        <v>0</v>
      </c>
      <c r="R790" s="2" t="inlineStr"/>
    </row>
    <row r="791" ht="15" customHeight="1">
      <c r="A791" t="inlineStr">
        <is>
          <t>A 31819-2025</t>
        </is>
      </c>
      <c r="B791" s="1" t="n">
        <v>45834.57891203704</v>
      </c>
      <c r="C791" s="1" t="n">
        <v>46105</v>
      </c>
      <c r="D791" t="inlineStr">
        <is>
          <t>JÄMTLANDS LÄN</t>
        </is>
      </c>
      <c r="E791" t="inlineStr">
        <is>
          <t>BRÄCKE</t>
        </is>
      </c>
      <c r="F791" t="inlineStr">
        <is>
          <t>Övriga Aktiebolag</t>
        </is>
      </c>
      <c r="G791" t="n">
        <v>5.8</v>
      </c>
      <c r="H791" t="n">
        <v>0</v>
      </c>
      <c r="I791" t="n">
        <v>0</v>
      </c>
      <c r="J791" t="n">
        <v>0</v>
      </c>
      <c r="K791" t="n">
        <v>0</v>
      </c>
      <c r="L791" t="n">
        <v>0</v>
      </c>
      <c r="M791" t="n">
        <v>0</v>
      </c>
      <c r="N791" t="n">
        <v>0</v>
      </c>
      <c r="O791" t="n">
        <v>0</v>
      </c>
      <c r="P791" t="n">
        <v>0</v>
      </c>
      <c r="Q791" t="n">
        <v>0</v>
      </c>
      <c r="R791" s="2" t="inlineStr"/>
    </row>
    <row r="792" ht="15" customHeight="1">
      <c r="A792" t="inlineStr">
        <is>
          <t>A 31832-2025</t>
        </is>
      </c>
      <c r="B792" s="1" t="n">
        <v>45834.59207175926</v>
      </c>
      <c r="C792" s="1" t="n">
        <v>46105</v>
      </c>
      <c r="D792" t="inlineStr">
        <is>
          <t>JÄMTLANDS LÄN</t>
        </is>
      </c>
      <c r="E792" t="inlineStr">
        <is>
          <t>BRÄCKE</t>
        </is>
      </c>
      <c r="F792" t="inlineStr">
        <is>
          <t>Övriga Aktiebolag</t>
        </is>
      </c>
      <c r="G792" t="n">
        <v>4</v>
      </c>
      <c r="H792" t="n">
        <v>0</v>
      </c>
      <c r="I792" t="n">
        <v>0</v>
      </c>
      <c r="J792" t="n">
        <v>0</v>
      </c>
      <c r="K792" t="n">
        <v>0</v>
      </c>
      <c r="L792" t="n">
        <v>0</v>
      </c>
      <c r="M792" t="n">
        <v>0</v>
      </c>
      <c r="N792" t="n">
        <v>0</v>
      </c>
      <c r="O792" t="n">
        <v>0</v>
      </c>
      <c r="P792" t="n">
        <v>0</v>
      </c>
      <c r="Q792" t="n">
        <v>0</v>
      </c>
      <c r="R792" s="2" t="inlineStr"/>
    </row>
    <row r="793" ht="15" customHeight="1">
      <c r="A793" t="inlineStr">
        <is>
          <t>A 42380-2025</t>
        </is>
      </c>
      <c r="B793" s="1" t="n">
        <v>45905.34456018519</v>
      </c>
      <c r="C793" s="1" t="n">
        <v>46105</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31274-2025</t>
        </is>
      </c>
      <c r="B794" s="1" t="n">
        <v>45833.34435185185</v>
      </c>
      <c r="C794" s="1" t="n">
        <v>46105</v>
      </c>
      <c r="D794" t="inlineStr">
        <is>
          <t>JÄMTLANDS LÄN</t>
        </is>
      </c>
      <c r="E794" t="inlineStr">
        <is>
          <t>BRÄCKE</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42507-2025</t>
        </is>
      </c>
      <c r="B795" s="1" t="n">
        <v>45905.53167824074</v>
      </c>
      <c r="C795" s="1" t="n">
        <v>46105</v>
      </c>
      <c r="D795" t="inlineStr">
        <is>
          <t>JÄMTLANDS LÄN</t>
        </is>
      </c>
      <c r="E795" t="inlineStr">
        <is>
          <t>BRÄCKE</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42435-2025</t>
        </is>
      </c>
      <c r="B796" s="1" t="n">
        <v>45905.42763888889</v>
      </c>
      <c r="C796" s="1" t="n">
        <v>46105</v>
      </c>
      <c r="D796" t="inlineStr">
        <is>
          <t>JÄMTLANDS LÄN</t>
        </is>
      </c>
      <c r="E796" t="inlineStr">
        <is>
          <t>BRÄCKE</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42659-2025</t>
        </is>
      </c>
      <c r="B797" s="1" t="n">
        <v>45907.56715277778</v>
      </c>
      <c r="C797" s="1" t="n">
        <v>46105</v>
      </c>
      <c r="D797" t="inlineStr">
        <is>
          <t>JÄMTLANDS LÄN</t>
        </is>
      </c>
      <c r="E797" t="inlineStr">
        <is>
          <t>BRÄCKE</t>
        </is>
      </c>
      <c r="G797" t="n">
        <v>3.2</v>
      </c>
      <c r="H797" t="n">
        <v>0</v>
      </c>
      <c r="I797" t="n">
        <v>0</v>
      </c>
      <c r="J797" t="n">
        <v>0</v>
      </c>
      <c r="K797" t="n">
        <v>0</v>
      </c>
      <c r="L797" t="n">
        <v>0</v>
      </c>
      <c r="M797" t="n">
        <v>0</v>
      </c>
      <c r="N797" t="n">
        <v>0</v>
      </c>
      <c r="O797" t="n">
        <v>0</v>
      </c>
      <c r="P797" t="n">
        <v>0</v>
      </c>
      <c r="Q797" t="n">
        <v>0</v>
      </c>
      <c r="R797" s="2" t="inlineStr"/>
    </row>
    <row r="798" ht="15" customHeight="1">
      <c r="A798" t="inlineStr">
        <is>
          <t>A 31379-2025</t>
        </is>
      </c>
      <c r="B798" s="1" t="n">
        <v>45833.44856481482</v>
      </c>
      <c r="C798" s="1" t="n">
        <v>46105</v>
      </c>
      <c r="D798" t="inlineStr">
        <is>
          <t>JÄMTLANDS LÄN</t>
        </is>
      </c>
      <c r="E798" t="inlineStr">
        <is>
          <t>BRÄCKE</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31728-2025</t>
        </is>
      </c>
      <c r="B799" s="1" t="n">
        <v>45834.46925925926</v>
      </c>
      <c r="C799" s="1" t="n">
        <v>46105</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42784-2025</t>
        </is>
      </c>
      <c r="B800" s="1" t="n">
        <v>45908.51035879629</v>
      </c>
      <c r="C800" s="1" t="n">
        <v>46105</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31696-2025</t>
        </is>
      </c>
      <c r="B801" s="1" t="n">
        <v>45834.40726851852</v>
      </c>
      <c r="C801" s="1" t="n">
        <v>46105</v>
      </c>
      <c r="D801" t="inlineStr">
        <is>
          <t>JÄMTLANDS LÄN</t>
        </is>
      </c>
      <c r="E801" t="inlineStr">
        <is>
          <t>BRÄCKE</t>
        </is>
      </c>
      <c r="F801" t="inlineStr">
        <is>
          <t>SCA</t>
        </is>
      </c>
      <c r="G801" t="n">
        <v>15.8</v>
      </c>
      <c r="H801" t="n">
        <v>0</v>
      </c>
      <c r="I801" t="n">
        <v>0</v>
      </c>
      <c r="J801" t="n">
        <v>0</v>
      </c>
      <c r="K801" t="n">
        <v>0</v>
      </c>
      <c r="L801" t="n">
        <v>0</v>
      </c>
      <c r="M801" t="n">
        <v>0</v>
      </c>
      <c r="N801" t="n">
        <v>0</v>
      </c>
      <c r="O801" t="n">
        <v>0</v>
      </c>
      <c r="P801" t="n">
        <v>0</v>
      </c>
      <c r="Q801" t="n">
        <v>0</v>
      </c>
      <c r="R801" s="2" t="inlineStr"/>
    </row>
    <row r="802" ht="15" customHeight="1">
      <c r="A802" t="inlineStr">
        <is>
          <t>A 12722-2025</t>
        </is>
      </c>
      <c r="B802" s="1" t="n">
        <v>45733.48998842593</v>
      </c>
      <c r="C802" s="1" t="n">
        <v>46105</v>
      </c>
      <c r="D802" t="inlineStr">
        <is>
          <t>JÄMTLANDS LÄN</t>
        </is>
      </c>
      <c r="E802" t="inlineStr">
        <is>
          <t>BRÄCKE</t>
        </is>
      </c>
      <c r="F802" t="inlineStr">
        <is>
          <t>SCA</t>
        </is>
      </c>
      <c r="G802" t="n">
        <v>10.3</v>
      </c>
      <c r="H802" t="n">
        <v>0</v>
      </c>
      <c r="I802" t="n">
        <v>0</v>
      </c>
      <c r="J802" t="n">
        <v>0</v>
      </c>
      <c r="K802" t="n">
        <v>0</v>
      </c>
      <c r="L802" t="n">
        <v>0</v>
      </c>
      <c r="M802" t="n">
        <v>0</v>
      </c>
      <c r="N802" t="n">
        <v>0</v>
      </c>
      <c r="O802" t="n">
        <v>0</v>
      </c>
      <c r="P802" t="n">
        <v>0</v>
      </c>
      <c r="Q802" t="n">
        <v>0</v>
      </c>
      <c r="R802" s="2" t="inlineStr"/>
    </row>
    <row r="803" ht="15" customHeight="1">
      <c r="A803" t="inlineStr">
        <is>
          <t>A 42379-2025</t>
        </is>
      </c>
      <c r="B803" s="1" t="n">
        <v>45905.34443287037</v>
      </c>
      <c r="C803" s="1" t="n">
        <v>46105</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31749-2025</t>
        </is>
      </c>
      <c r="B804" s="1" t="n">
        <v>45834.48164351852</v>
      </c>
      <c r="C804" s="1" t="n">
        <v>46105</v>
      </c>
      <c r="D804" t="inlineStr">
        <is>
          <t>JÄMTLANDS LÄN</t>
        </is>
      </c>
      <c r="E804" t="inlineStr">
        <is>
          <t>BRÄCKE</t>
        </is>
      </c>
      <c r="F804" t="inlineStr">
        <is>
          <t>Övriga Aktiebolag</t>
        </is>
      </c>
      <c r="G804" t="n">
        <v>12.5</v>
      </c>
      <c r="H804" t="n">
        <v>0</v>
      </c>
      <c r="I804" t="n">
        <v>0</v>
      </c>
      <c r="J804" t="n">
        <v>0</v>
      </c>
      <c r="K804" t="n">
        <v>0</v>
      </c>
      <c r="L804" t="n">
        <v>0</v>
      </c>
      <c r="M804" t="n">
        <v>0</v>
      </c>
      <c r="N804" t="n">
        <v>0</v>
      </c>
      <c r="O804" t="n">
        <v>0</v>
      </c>
      <c r="P804" t="n">
        <v>0</v>
      </c>
      <c r="Q804" t="n">
        <v>0</v>
      </c>
      <c r="R804" s="2" t="inlineStr"/>
    </row>
    <row r="805" ht="15" customHeight="1">
      <c r="A805" t="inlineStr">
        <is>
          <t>A 6346-2026</t>
        </is>
      </c>
      <c r="B805" s="1" t="n">
        <v>46055.60908564815</v>
      </c>
      <c r="C805" s="1" t="n">
        <v>46105</v>
      </c>
      <c r="D805" t="inlineStr">
        <is>
          <t>JÄMTLANDS LÄN</t>
        </is>
      </c>
      <c r="E805" t="inlineStr">
        <is>
          <t>BRÄCKE</t>
        </is>
      </c>
      <c r="G805" t="n">
        <v>1.9</v>
      </c>
      <c r="H805" t="n">
        <v>0</v>
      </c>
      <c r="I805" t="n">
        <v>0</v>
      </c>
      <c r="J805" t="n">
        <v>0</v>
      </c>
      <c r="K805" t="n">
        <v>0</v>
      </c>
      <c r="L805" t="n">
        <v>0</v>
      </c>
      <c r="M805" t="n">
        <v>0</v>
      </c>
      <c r="N805" t="n">
        <v>0</v>
      </c>
      <c r="O805" t="n">
        <v>0</v>
      </c>
      <c r="P805" t="n">
        <v>0</v>
      </c>
      <c r="Q805" t="n">
        <v>0</v>
      </c>
      <c r="R805" s="2" t="inlineStr"/>
    </row>
    <row r="806" ht="15" customHeight="1">
      <c r="A806" t="inlineStr">
        <is>
          <t>A 32149-2025</t>
        </is>
      </c>
      <c r="B806" s="1" t="n">
        <v>45835.53086805555</v>
      </c>
      <c r="C806" s="1" t="n">
        <v>46105</v>
      </c>
      <c r="D806" t="inlineStr">
        <is>
          <t>JÄMTLANDS LÄN</t>
        </is>
      </c>
      <c r="E806" t="inlineStr">
        <is>
          <t>BRÄCKE</t>
        </is>
      </c>
      <c r="G806" t="n">
        <v>4.1</v>
      </c>
      <c r="H806" t="n">
        <v>0</v>
      </c>
      <c r="I806" t="n">
        <v>0</v>
      </c>
      <c r="J806" t="n">
        <v>0</v>
      </c>
      <c r="K806" t="n">
        <v>0</v>
      </c>
      <c r="L806" t="n">
        <v>0</v>
      </c>
      <c r="M806" t="n">
        <v>0</v>
      </c>
      <c r="N806" t="n">
        <v>0</v>
      </c>
      <c r="O806" t="n">
        <v>0</v>
      </c>
      <c r="P806" t="n">
        <v>0</v>
      </c>
      <c r="Q806" t="n">
        <v>0</v>
      </c>
      <c r="R806" s="2" t="inlineStr"/>
    </row>
    <row r="807" ht="15" customHeight="1">
      <c r="A807" t="inlineStr">
        <is>
          <t>A 13849-2026</t>
        </is>
      </c>
      <c r="B807" s="1" t="n">
        <v>46098.38708333333</v>
      </c>
      <c r="C807" s="1" t="n">
        <v>46105</v>
      </c>
      <c r="D807" t="inlineStr">
        <is>
          <t>JÄMTLANDS LÄN</t>
        </is>
      </c>
      <c r="E807" t="inlineStr">
        <is>
          <t>BRÄCKE</t>
        </is>
      </c>
      <c r="F807" t="inlineStr">
        <is>
          <t>Naturvårdsverket</t>
        </is>
      </c>
      <c r="G807" t="n">
        <v>5.2</v>
      </c>
      <c r="H807" t="n">
        <v>0</v>
      </c>
      <c r="I807" t="n">
        <v>0</v>
      </c>
      <c r="J807" t="n">
        <v>0</v>
      </c>
      <c r="K807" t="n">
        <v>0</v>
      </c>
      <c r="L807" t="n">
        <v>0</v>
      </c>
      <c r="M807" t="n">
        <v>0</v>
      </c>
      <c r="N807" t="n">
        <v>0</v>
      </c>
      <c r="O807" t="n">
        <v>0</v>
      </c>
      <c r="P807" t="n">
        <v>0</v>
      </c>
      <c r="Q807" t="n">
        <v>0</v>
      </c>
      <c r="R807" s="2" t="inlineStr"/>
    </row>
    <row r="808" ht="15" customHeight="1">
      <c r="A808" t="inlineStr">
        <is>
          <t>A 6340-2026</t>
        </is>
      </c>
      <c r="B808" s="1" t="n">
        <v>46055.60056712963</v>
      </c>
      <c r="C808" s="1" t="n">
        <v>46105</v>
      </c>
      <c r="D808" t="inlineStr">
        <is>
          <t>JÄMTLANDS LÄN</t>
        </is>
      </c>
      <c r="E808" t="inlineStr">
        <is>
          <t>BRÄCKE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31962-2025</t>
        </is>
      </c>
      <c r="B809" s="1" t="n">
        <v>45835.34466435185</v>
      </c>
      <c r="C809" s="1" t="n">
        <v>46105</v>
      </c>
      <c r="D809" t="inlineStr">
        <is>
          <t>JÄMTLANDS LÄN</t>
        </is>
      </c>
      <c r="E809" t="inlineStr">
        <is>
          <t>BRÄCKE</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50514-2023</t>
        </is>
      </c>
      <c r="B810" s="1" t="n">
        <v>45216</v>
      </c>
      <c r="C810" s="1" t="n">
        <v>46105</v>
      </c>
      <c r="D810" t="inlineStr">
        <is>
          <t>JÄMTLANDS LÄN</t>
        </is>
      </c>
      <c r="E810" t="inlineStr">
        <is>
          <t>BRÄCKE</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42732-2025</t>
        </is>
      </c>
      <c r="B811" s="1" t="n">
        <v>45908.40704861111</v>
      </c>
      <c r="C811" s="1" t="n">
        <v>46105</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42590-2025</t>
        </is>
      </c>
      <c r="B812" s="1" t="n">
        <v>45905.63607638889</v>
      </c>
      <c r="C812" s="1" t="n">
        <v>46105</v>
      </c>
      <c r="D812" t="inlineStr">
        <is>
          <t>JÄMTLANDS LÄN</t>
        </is>
      </c>
      <c r="E812" t="inlineStr">
        <is>
          <t>BRÄCKE</t>
        </is>
      </c>
      <c r="F812" t="inlineStr">
        <is>
          <t>SCA</t>
        </is>
      </c>
      <c r="G812" t="n">
        <v>24.2</v>
      </c>
      <c r="H812" t="n">
        <v>0</v>
      </c>
      <c r="I812" t="n">
        <v>0</v>
      </c>
      <c r="J812" t="n">
        <v>0</v>
      </c>
      <c r="K812" t="n">
        <v>0</v>
      </c>
      <c r="L812" t="n">
        <v>0</v>
      </c>
      <c r="M812" t="n">
        <v>0</v>
      </c>
      <c r="N812" t="n">
        <v>0</v>
      </c>
      <c r="O812" t="n">
        <v>0</v>
      </c>
      <c r="P812" t="n">
        <v>0</v>
      </c>
      <c r="Q812" t="n">
        <v>0</v>
      </c>
      <c r="R812" s="2" t="inlineStr"/>
    </row>
    <row r="813" ht="15" customHeight="1">
      <c r="A813" t="inlineStr">
        <is>
          <t>A 12864-2024</t>
        </is>
      </c>
      <c r="B813" s="1" t="n">
        <v>45384.9415625</v>
      </c>
      <c r="C813" s="1" t="n">
        <v>46105</v>
      </c>
      <c r="D813" t="inlineStr">
        <is>
          <t>JÄMTLANDS LÄN</t>
        </is>
      </c>
      <c r="E813" t="inlineStr">
        <is>
          <t>BRÄCKE</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43022-2025</t>
        </is>
      </c>
      <c r="B814" s="1" t="n">
        <v>45909.51016203704</v>
      </c>
      <c r="C814" s="1" t="n">
        <v>46105</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43254-2025</t>
        </is>
      </c>
      <c r="B815" s="1" t="n">
        <v>45910.553125</v>
      </c>
      <c r="C815" s="1" t="n">
        <v>46105</v>
      </c>
      <c r="D815" t="inlineStr">
        <is>
          <t>JÄMTLANDS LÄN</t>
        </is>
      </c>
      <c r="E815" t="inlineStr">
        <is>
          <t>BRÄCKE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32659-2025</t>
        </is>
      </c>
      <c r="B816" s="1" t="n">
        <v>45838.67873842592</v>
      </c>
      <c r="C816" s="1" t="n">
        <v>46105</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32146-2025</t>
        </is>
      </c>
      <c r="B817" s="1" t="n">
        <v>45835.52730324074</v>
      </c>
      <c r="C817" s="1" t="n">
        <v>46105</v>
      </c>
      <c r="D817" t="inlineStr">
        <is>
          <t>JÄMTLANDS LÄN</t>
        </is>
      </c>
      <c r="E817" t="inlineStr">
        <is>
          <t>BRÄCKE</t>
        </is>
      </c>
      <c r="G817" t="n">
        <v>9.5</v>
      </c>
      <c r="H817" t="n">
        <v>0</v>
      </c>
      <c r="I817" t="n">
        <v>0</v>
      </c>
      <c r="J817" t="n">
        <v>0</v>
      </c>
      <c r="K817" t="n">
        <v>0</v>
      </c>
      <c r="L817" t="n">
        <v>0</v>
      </c>
      <c r="M817" t="n">
        <v>0</v>
      </c>
      <c r="N817" t="n">
        <v>0</v>
      </c>
      <c r="O817" t="n">
        <v>0</v>
      </c>
      <c r="P817" t="n">
        <v>0</v>
      </c>
      <c r="Q817" t="n">
        <v>0</v>
      </c>
      <c r="R817" s="2" t="inlineStr"/>
    </row>
    <row r="818" ht="15" customHeight="1">
      <c r="A818" t="inlineStr">
        <is>
          <t>A 32596-2025</t>
        </is>
      </c>
      <c r="B818" s="1" t="n">
        <v>45838.61584490741</v>
      </c>
      <c r="C818" s="1" t="n">
        <v>46105</v>
      </c>
      <c r="D818" t="inlineStr">
        <is>
          <t>JÄMTLANDS LÄN</t>
        </is>
      </c>
      <c r="E818" t="inlineStr">
        <is>
          <t>BRÄCKE</t>
        </is>
      </c>
      <c r="F818" t="inlineStr">
        <is>
          <t>SCA</t>
        </is>
      </c>
      <c r="G818" t="n">
        <v>6.8</v>
      </c>
      <c r="H818" t="n">
        <v>0</v>
      </c>
      <c r="I818" t="n">
        <v>0</v>
      </c>
      <c r="J818" t="n">
        <v>0</v>
      </c>
      <c r="K818" t="n">
        <v>0</v>
      </c>
      <c r="L818" t="n">
        <v>0</v>
      </c>
      <c r="M818" t="n">
        <v>0</v>
      </c>
      <c r="N818" t="n">
        <v>0</v>
      </c>
      <c r="O818" t="n">
        <v>0</v>
      </c>
      <c r="P818" t="n">
        <v>0</v>
      </c>
      <c r="Q818" t="n">
        <v>0</v>
      </c>
      <c r="R818" s="2" t="inlineStr"/>
    </row>
    <row r="819" ht="15" customHeight="1">
      <c r="A819" t="inlineStr">
        <is>
          <t>A 42933-2025</t>
        </is>
      </c>
      <c r="B819" s="1" t="n">
        <v>45909.32215277778</v>
      </c>
      <c r="C819" s="1" t="n">
        <v>46105</v>
      </c>
      <c r="D819" t="inlineStr">
        <is>
          <t>JÄMTLANDS LÄN</t>
        </is>
      </c>
      <c r="E819" t="inlineStr">
        <is>
          <t>BRÄCKE</t>
        </is>
      </c>
      <c r="G819" t="n">
        <v>6.1</v>
      </c>
      <c r="H819" t="n">
        <v>0</v>
      </c>
      <c r="I819" t="n">
        <v>0</v>
      </c>
      <c r="J819" t="n">
        <v>0</v>
      </c>
      <c r="K819" t="n">
        <v>0</v>
      </c>
      <c r="L819" t="n">
        <v>0</v>
      </c>
      <c r="M819" t="n">
        <v>0</v>
      </c>
      <c r="N819" t="n">
        <v>0</v>
      </c>
      <c r="O819" t="n">
        <v>0</v>
      </c>
      <c r="P819" t="n">
        <v>0</v>
      </c>
      <c r="Q819" t="n">
        <v>0</v>
      </c>
      <c r="R819" s="2" t="inlineStr"/>
    </row>
    <row r="820" ht="15" customHeight="1">
      <c r="A820" t="inlineStr">
        <is>
          <t>A 6545-2026</t>
        </is>
      </c>
      <c r="B820" s="1" t="n">
        <v>46056.42810185185</v>
      </c>
      <c r="C820" s="1" t="n">
        <v>46105</v>
      </c>
      <c r="D820" t="inlineStr">
        <is>
          <t>JÄMTLANDS LÄN</t>
        </is>
      </c>
      <c r="E820" t="inlineStr">
        <is>
          <t>BRÄCKE</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32272-2025</t>
        </is>
      </c>
      <c r="B821" s="1" t="n">
        <v>45835.6568287037</v>
      </c>
      <c r="C821" s="1" t="n">
        <v>46105</v>
      </c>
      <c r="D821" t="inlineStr">
        <is>
          <t>JÄMTLANDS LÄN</t>
        </is>
      </c>
      <c r="E821" t="inlineStr">
        <is>
          <t>BRÄCKE</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13970-2026</t>
        </is>
      </c>
      <c r="B822" s="1" t="n">
        <v>46098.57824074074</v>
      </c>
      <c r="C822" s="1" t="n">
        <v>46105</v>
      </c>
      <c r="D822" t="inlineStr">
        <is>
          <t>JÄMTLANDS LÄN</t>
        </is>
      </c>
      <c r="E822" t="inlineStr">
        <is>
          <t>BRÄCKE</t>
        </is>
      </c>
      <c r="G822" t="n">
        <v>1.2</v>
      </c>
      <c r="H822" t="n">
        <v>0</v>
      </c>
      <c r="I822" t="n">
        <v>0</v>
      </c>
      <c r="J822" t="n">
        <v>0</v>
      </c>
      <c r="K822" t="n">
        <v>0</v>
      </c>
      <c r="L822" t="n">
        <v>0</v>
      </c>
      <c r="M822" t="n">
        <v>0</v>
      </c>
      <c r="N822" t="n">
        <v>0</v>
      </c>
      <c r="O822" t="n">
        <v>0</v>
      </c>
      <c r="P822" t="n">
        <v>0</v>
      </c>
      <c r="Q822" t="n">
        <v>0</v>
      </c>
      <c r="R822" s="2" t="inlineStr"/>
    </row>
    <row r="823" ht="15" customHeight="1">
      <c r="A823" t="inlineStr">
        <is>
          <t>A 6334-2026</t>
        </is>
      </c>
      <c r="B823" s="1" t="n">
        <v>46055.59474537037</v>
      </c>
      <c r="C823" s="1" t="n">
        <v>46105</v>
      </c>
      <c r="D823" t="inlineStr">
        <is>
          <t>JÄMTLANDS LÄN</t>
        </is>
      </c>
      <c r="E823" t="inlineStr">
        <is>
          <t>BRÄCKE</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43180-2025</t>
        </is>
      </c>
      <c r="B824" s="1" t="n">
        <v>45910.40699074074</v>
      </c>
      <c r="C824" s="1" t="n">
        <v>46105</v>
      </c>
      <c r="D824" t="inlineStr">
        <is>
          <t>JÄMTLANDS LÄN</t>
        </is>
      </c>
      <c r="E824" t="inlineStr">
        <is>
          <t>BRÄCKE</t>
        </is>
      </c>
      <c r="F824" t="inlineStr">
        <is>
          <t>SCA</t>
        </is>
      </c>
      <c r="G824" t="n">
        <v>10.9</v>
      </c>
      <c r="H824" t="n">
        <v>0</v>
      </c>
      <c r="I824" t="n">
        <v>0</v>
      </c>
      <c r="J824" t="n">
        <v>0</v>
      </c>
      <c r="K824" t="n">
        <v>0</v>
      </c>
      <c r="L824" t="n">
        <v>0</v>
      </c>
      <c r="M824" t="n">
        <v>0</v>
      </c>
      <c r="N824" t="n">
        <v>0</v>
      </c>
      <c r="O824" t="n">
        <v>0</v>
      </c>
      <c r="P824" t="n">
        <v>0</v>
      </c>
      <c r="Q824" t="n">
        <v>0</v>
      </c>
      <c r="R824" s="2" t="inlineStr"/>
    </row>
    <row r="825" ht="15" customHeight="1">
      <c r="A825" t="inlineStr">
        <is>
          <t>A 42936-2025</t>
        </is>
      </c>
      <c r="B825" s="1" t="n">
        <v>45909.32590277777</v>
      </c>
      <c r="C825" s="1" t="n">
        <v>46105</v>
      </c>
      <c r="D825" t="inlineStr">
        <is>
          <t>JÄMTLANDS LÄN</t>
        </is>
      </c>
      <c r="E825" t="inlineStr">
        <is>
          <t>BRÄCKE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32443-2025</t>
        </is>
      </c>
      <c r="B826" s="1" t="n">
        <v>45838.38613425926</v>
      </c>
      <c r="C826" s="1" t="n">
        <v>46105</v>
      </c>
      <c r="D826" t="inlineStr">
        <is>
          <t>JÄMTLANDS LÄN</t>
        </is>
      </c>
      <c r="E826" t="inlineStr">
        <is>
          <t>BRÄCKE</t>
        </is>
      </c>
      <c r="G826" t="n">
        <v>4.7</v>
      </c>
      <c r="H826" t="n">
        <v>0</v>
      </c>
      <c r="I826" t="n">
        <v>0</v>
      </c>
      <c r="J826" t="n">
        <v>0</v>
      </c>
      <c r="K826" t="n">
        <v>0</v>
      </c>
      <c r="L826" t="n">
        <v>0</v>
      </c>
      <c r="M826" t="n">
        <v>0</v>
      </c>
      <c r="N826" t="n">
        <v>0</v>
      </c>
      <c r="O826" t="n">
        <v>0</v>
      </c>
      <c r="P826" t="n">
        <v>0</v>
      </c>
      <c r="Q826" t="n">
        <v>0</v>
      </c>
      <c r="R826" s="2" t="inlineStr"/>
    </row>
    <row r="827" ht="15" customHeight="1">
      <c r="A827" t="inlineStr">
        <is>
          <t>A 13746-2026</t>
        </is>
      </c>
      <c r="B827" s="1" t="n">
        <v>46097.63675925926</v>
      </c>
      <c r="C827" s="1" t="n">
        <v>46105</v>
      </c>
      <c r="D827" t="inlineStr">
        <is>
          <t>JÄMTLANDS LÄN</t>
        </is>
      </c>
      <c r="E827" t="inlineStr">
        <is>
          <t>BRÄCKE</t>
        </is>
      </c>
      <c r="F827" t="inlineStr">
        <is>
          <t>Naturvårdsverket</t>
        </is>
      </c>
      <c r="G827" t="n">
        <v>1.7</v>
      </c>
      <c r="H827" t="n">
        <v>0</v>
      </c>
      <c r="I827" t="n">
        <v>0</v>
      </c>
      <c r="J827" t="n">
        <v>0</v>
      </c>
      <c r="K827" t="n">
        <v>0</v>
      </c>
      <c r="L827" t="n">
        <v>0</v>
      </c>
      <c r="M827" t="n">
        <v>0</v>
      </c>
      <c r="N827" t="n">
        <v>0</v>
      </c>
      <c r="O827" t="n">
        <v>0</v>
      </c>
      <c r="P827" t="n">
        <v>0</v>
      </c>
      <c r="Q827" t="n">
        <v>0</v>
      </c>
      <c r="R827" s="2" t="inlineStr"/>
    </row>
    <row r="828" ht="15" customHeight="1">
      <c r="A828" t="inlineStr">
        <is>
          <t>A 13783-2026</t>
        </is>
      </c>
      <c r="B828" s="1" t="n">
        <v>46097.69842592593</v>
      </c>
      <c r="C828" s="1" t="n">
        <v>46105</v>
      </c>
      <c r="D828" t="inlineStr">
        <is>
          <t>JÄMTLANDS LÄN</t>
        </is>
      </c>
      <c r="E828" t="inlineStr">
        <is>
          <t>BRÄCKE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50515-2023</t>
        </is>
      </c>
      <c r="B829" s="1" t="n">
        <v>45216</v>
      </c>
      <c r="C829" s="1" t="n">
        <v>46105</v>
      </c>
      <c r="D829" t="inlineStr">
        <is>
          <t>JÄMTLANDS LÄN</t>
        </is>
      </c>
      <c r="E829" t="inlineStr">
        <is>
          <t>BRÄCKE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13835-2026</t>
        </is>
      </c>
      <c r="B830" s="1" t="n">
        <v>46098.36530092593</v>
      </c>
      <c r="C830" s="1" t="n">
        <v>46105</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32281-2025</t>
        </is>
      </c>
      <c r="B831" s="1" t="n">
        <v>45835.67778935185</v>
      </c>
      <c r="C831" s="1" t="n">
        <v>46105</v>
      </c>
      <c r="D831" t="inlineStr">
        <is>
          <t>JÄMTLANDS LÄN</t>
        </is>
      </c>
      <c r="E831" t="inlineStr">
        <is>
          <t>BRÄCKE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43723-2025</t>
        </is>
      </c>
      <c r="B832" s="1" t="n">
        <v>45912.42844907408</v>
      </c>
      <c r="C832" s="1" t="n">
        <v>46105</v>
      </c>
      <c r="D832" t="inlineStr">
        <is>
          <t>JÄMTLANDS LÄN</t>
        </is>
      </c>
      <c r="E832" t="inlineStr">
        <is>
          <t>BRÄCKE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43387-2025</t>
        </is>
      </c>
      <c r="B833" s="1" t="n">
        <v>45911.3653587963</v>
      </c>
      <c r="C833" s="1" t="n">
        <v>46105</v>
      </c>
      <c r="D833" t="inlineStr">
        <is>
          <t>JÄMTLANDS LÄN</t>
        </is>
      </c>
      <c r="E833" t="inlineStr">
        <is>
          <t>BRÄCKE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43416-2025</t>
        </is>
      </c>
      <c r="B834" s="1" t="n">
        <v>45911.40685185185</v>
      </c>
      <c r="C834" s="1" t="n">
        <v>46105</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32851-2025</t>
        </is>
      </c>
      <c r="B835" s="1" t="n">
        <v>45839.57388888889</v>
      </c>
      <c r="C835" s="1" t="n">
        <v>46105</v>
      </c>
      <c r="D835" t="inlineStr">
        <is>
          <t>JÄMTLANDS LÄN</t>
        </is>
      </c>
      <c r="E835" t="inlineStr">
        <is>
          <t>BRÄCKE</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32697-2025</t>
        </is>
      </c>
      <c r="B836" s="1" t="n">
        <v>45839.34427083333</v>
      </c>
      <c r="C836" s="1" t="n">
        <v>46105</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43736-2025</t>
        </is>
      </c>
      <c r="B837" s="1" t="n">
        <v>45912.44840277778</v>
      </c>
      <c r="C837" s="1" t="n">
        <v>46105</v>
      </c>
      <c r="D837" t="inlineStr">
        <is>
          <t>JÄMTLANDS LÄN</t>
        </is>
      </c>
      <c r="E837" t="inlineStr">
        <is>
          <t>BRÄCKE</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43618-2025</t>
        </is>
      </c>
      <c r="B838" s="1" t="n">
        <v>45911.67806712963</v>
      </c>
      <c r="C838" s="1" t="n">
        <v>46105</v>
      </c>
      <c r="D838" t="inlineStr">
        <is>
          <t>JÄMTLANDS LÄN</t>
        </is>
      </c>
      <c r="E838" t="inlineStr">
        <is>
          <t>BRÄCKE</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33275-2025</t>
        </is>
      </c>
      <c r="B839" s="1" t="n">
        <v>45840.69829861111</v>
      </c>
      <c r="C839" s="1" t="n">
        <v>46105</v>
      </c>
      <c r="D839" t="inlineStr">
        <is>
          <t>JÄMTLANDS LÄN</t>
        </is>
      </c>
      <c r="E839" t="inlineStr">
        <is>
          <t>BRÄCKE</t>
        </is>
      </c>
      <c r="F839" t="inlineStr">
        <is>
          <t>SCA</t>
        </is>
      </c>
      <c r="G839" t="n">
        <v>10.2</v>
      </c>
      <c r="H839" t="n">
        <v>0</v>
      </c>
      <c r="I839" t="n">
        <v>0</v>
      </c>
      <c r="J839" t="n">
        <v>0</v>
      </c>
      <c r="K839" t="n">
        <v>0</v>
      </c>
      <c r="L839" t="n">
        <v>0</v>
      </c>
      <c r="M839" t="n">
        <v>0</v>
      </c>
      <c r="N839" t="n">
        <v>0</v>
      </c>
      <c r="O839" t="n">
        <v>0</v>
      </c>
      <c r="P839" t="n">
        <v>0</v>
      </c>
      <c r="Q839" t="n">
        <v>0</v>
      </c>
      <c r="R839" s="2" t="inlineStr"/>
    </row>
    <row r="840" ht="15" customHeight="1">
      <c r="A840" t="inlineStr">
        <is>
          <t>A 33133-2025</t>
        </is>
      </c>
      <c r="B840" s="1" t="n">
        <v>45840.5050462963</v>
      </c>
      <c r="C840" s="1" t="n">
        <v>46105</v>
      </c>
      <c r="D840" t="inlineStr">
        <is>
          <t>JÄMTLANDS LÄN</t>
        </is>
      </c>
      <c r="E840" t="inlineStr">
        <is>
          <t>BRÄCKE</t>
        </is>
      </c>
      <c r="G840" t="n">
        <v>3.8</v>
      </c>
      <c r="H840" t="n">
        <v>0</v>
      </c>
      <c r="I840" t="n">
        <v>0</v>
      </c>
      <c r="J840" t="n">
        <v>0</v>
      </c>
      <c r="K840" t="n">
        <v>0</v>
      </c>
      <c r="L840" t="n">
        <v>0</v>
      </c>
      <c r="M840" t="n">
        <v>0</v>
      </c>
      <c r="N840" t="n">
        <v>0</v>
      </c>
      <c r="O840" t="n">
        <v>0</v>
      </c>
      <c r="P840" t="n">
        <v>0</v>
      </c>
      <c r="Q840" t="n">
        <v>0</v>
      </c>
      <c r="R840" s="2" t="inlineStr"/>
    </row>
    <row r="841" ht="15" customHeight="1">
      <c r="A841" t="inlineStr">
        <is>
          <t>A 32913-2025</t>
        </is>
      </c>
      <c r="B841" s="1" t="n">
        <v>45839.63605324074</v>
      </c>
      <c r="C841" s="1" t="n">
        <v>46105</v>
      </c>
      <c r="D841" t="inlineStr">
        <is>
          <t>JÄMTLANDS LÄN</t>
        </is>
      </c>
      <c r="E841" t="inlineStr">
        <is>
          <t>BRÄCKE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6200-2026</t>
        </is>
      </c>
      <c r="B842" s="1" t="n">
        <v>46055.40670138889</v>
      </c>
      <c r="C842" s="1" t="n">
        <v>46105</v>
      </c>
      <c r="D842" t="inlineStr">
        <is>
          <t>JÄMTLANDS LÄN</t>
        </is>
      </c>
      <c r="E842" t="inlineStr">
        <is>
          <t>BRÄCKE</t>
        </is>
      </c>
      <c r="F842" t="inlineStr">
        <is>
          <t>SCA</t>
        </is>
      </c>
      <c r="G842" t="n">
        <v>6.3</v>
      </c>
      <c r="H842" t="n">
        <v>0</v>
      </c>
      <c r="I842" t="n">
        <v>0</v>
      </c>
      <c r="J842" t="n">
        <v>0</v>
      </c>
      <c r="K842" t="n">
        <v>0</v>
      </c>
      <c r="L842" t="n">
        <v>0</v>
      </c>
      <c r="M842" t="n">
        <v>0</v>
      </c>
      <c r="N842" t="n">
        <v>0</v>
      </c>
      <c r="O842" t="n">
        <v>0</v>
      </c>
      <c r="P842" t="n">
        <v>0</v>
      </c>
      <c r="Q842" t="n">
        <v>0</v>
      </c>
      <c r="R842" s="2" t="inlineStr"/>
    </row>
    <row r="843" ht="15" customHeight="1">
      <c r="A843" t="inlineStr">
        <is>
          <t>A 13903-2026</t>
        </is>
      </c>
      <c r="B843" s="1" t="n">
        <v>46098.46943287037</v>
      </c>
      <c r="C843" s="1" t="n">
        <v>46105</v>
      </c>
      <c r="D843" t="inlineStr">
        <is>
          <t>JÄMTLANDS LÄN</t>
        </is>
      </c>
      <c r="E843" t="inlineStr">
        <is>
          <t>BRÄCKE</t>
        </is>
      </c>
      <c r="F843" t="inlineStr">
        <is>
          <t>SCA</t>
        </is>
      </c>
      <c r="G843" t="n">
        <v>5.2</v>
      </c>
      <c r="H843" t="n">
        <v>0</v>
      </c>
      <c r="I843" t="n">
        <v>0</v>
      </c>
      <c r="J843" t="n">
        <v>0</v>
      </c>
      <c r="K843" t="n">
        <v>0</v>
      </c>
      <c r="L843" t="n">
        <v>0</v>
      </c>
      <c r="M843" t="n">
        <v>0</v>
      </c>
      <c r="N843" t="n">
        <v>0</v>
      </c>
      <c r="O843" t="n">
        <v>0</v>
      </c>
      <c r="P843" t="n">
        <v>0</v>
      </c>
      <c r="Q843" t="n">
        <v>0</v>
      </c>
      <c r="R843" s="2" t="inlineStr"/>
    </row>
    <row r="844" ht="15" customHeight="1">
      <c r="A844" t="inlineStr">
        <is>
          <t>A 43591-2025</t>
        </is>
      </c>
      <c r="B844" s="1" t="n">
        <v>45911.65681712963</v>
      </c>
      <c r="C844" s="1" t="n">
        <v>46105</v>
      </c>
      <c r="D844" t="inlineStr">
        <is>
          <t>JÄMTLANDS LÄN</t>
        </is>
      </c>
      <c r="E844" t="inlineStr">
        <is>
          <t>BRÄCKE</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33956-2025</t>
        </is>
      </c>
      <c r="B845" s="1" t="n">
        <v>45842.67746527777</v>
      </c>
      <c r="C845" s="1" t="n">
        <v>46105</v>
      </c>
      <c r="D845" t="inlineStr">
        <is>
          <t>JÄMTLANDS LÄN</t>
        </is>
      </c>
      <c r="E845" t="inlineStr">
        <is>
          <t>BRÄCKE</t>
        </is>
      </c>
      <c r="F845" t="inlineStr">
        <is>
          <t>SCA</t>
        </is>
      </c>
      <c r="G845" t="n">
        <v>6.7</v>
      </c>
      <c r="H845" t="n">
        <v>0</v>
      </c>
      <c r="I845" t="n">
        <v>0</v>
      </c>
      <c r="J845" t="n">
        <v>0</v>
      </c>
      <c r="K845" t="n">
        <v>0</v>
      </c>
      <c r="L845" t="n">
        <v>0</v>
      </c>
      <c r="M845" t="n">
        <v>0</v>
      </c>
      <c r="N845" t="n">
        <v>0</v>
      </c>
      <c r="O845" t="n">
        <v>0</v>
      </c>
      <c r="P845" t="n">
        <v>0</v>
      </c>
      <c r="Q845" t="n">
        <v>0</v>
      </c>
      <c r="R845" s="2" t="inlineStr"/>
    </row>
    <row r="846" ht="15" customHeight="1">
      <c r="A846" t="inlineStr">
        <is>
          <t>A 33854-2025</t>
        </is>
      </c>
      <c r="B846" s="1" t="n">
        <v>45842.51112268519</v>
      </c>
      <c r="C846" s="1" t="n">
        <v>46105</v>
      </c>
      <c r="D846" t="inlineStr">
        <is>
          <t>JÄMTLANDS LÄN</t>
        </is>
      </c>
      <c r="E846" t="inlineStr">
        <is>
          <t>BRÄCKE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7305-2026</t>
        </is>
      </c>
      <c r="B847" s="1" t="n">
        <v>46058.65709490741</v>
      </c>
      <c r="C847" s="1" t="n">
        <v>46105</v>
      </c>
      <c r="D847" t="inlineStr">
        <is>
          <t>JÄMTLANDS LÄN</t>
        </is>
      </c>
      <c r="E847" t="inlineStr">
        <is>
          <t>BRÄCKE</t>
        </is>
      </c>
      <c r="F847" t="inlineStr">
        <is>
          <t>SCA</t>
        </is>
      </c>
      <c r="G847" t="n">
        <v>15.2</v>
      </c>
      <c r="H847" t="n">
        <v>0</v>
      </c>
      <c r="I847" t="n">
        <v>0</v>
      </c>
      <c r="J847" t="n">
        <v>0</v>
      </c>
      <c r="K847" t="n">
        <v>0</v>
      </c>
      <c r="L847" t="n">
        <v>0</v>
      </c>
      <c r="M847" t="n">
        <v>0</v>
      </c>
      <c r="N847" t="n">
        <v>0</v>
      </c>
      <c r="O847" t="n">
        <v>0</v>
      </c>
      <c r="P847" t="n">
        <v>0</v>
      </c>
      <c r="Q847" t="n">
        <v>0</v>
      </c>
      <c r="R847" s="2" t="inlineStr"/>
    </row>
    <row r="848" ht="15" customHeight="1">
      <c r="A848" t="inlineStr">
        <is>
          <t>A 61226-2025</t>
        </is>
      </c>
      <c r="B848" s="1" t="n">
        <v>46000.63048611111</v>
      </c>
      <c r="C848" s="1" t="n">
        <v>46105</v>
      </c>
      <c r="D848" t="inlineStr">
        <is>
          <t>JÄMTLANDS LÄN</t>
        </is>
      </c>
      <c r="E848" t="inlineStr">
        <is>
          <t>BRÄCKE</t>
        </is>
      </c>
      <c r="G848" t="n">
        <v>3</v>
      </c>
      <c r="H848" t="n">
        <v>0</v>
      </c>
      <c r="I848" t="n">
        <v>0</v>
      </c>
      <c r="J848" t="n">
        <v>0</v>
      </c>
      <c r="K848" t="n">
        <v>0</v>
      </c>
      <c r="L848" t="n">
        <v>0</v>
      </c>
      <c r="M848" t="n">
        <v>0</v>
      </c>
      <c r="N848" t="n">
        <v>0</v>
      </c>
      <c r="O848" t="n">
        <v>0</v>
      </c>
      <c r="P848" t="n">
        <v>0</v>
      </c>
      <c r="Q848" t="n">
        <v>0</v>
      </c>
      <c r="R848" s="2" t="inlineStr"/>
    </row>
    <row r="849" ht="15" customHeight="1">
      <c r="A849" t="inlineStr">
        <is>
          <t>A 33648-2025</t>
        </is>
      </c>
      <c r="B849" s="1" t="n">
        <v>45841.65681712963</v>
      </c>
      <c r="C849" s="1" t="n">
        <v>46105</v>
      </c>
      <c r="D849" t="inlineStr">
        <is>
          <t>JÄMTLANDS LÄN</t>
        </is>
      </c>
      <c r="E849" t="inlineStr">
        <is>
          <t>BRÄCKE</t>
        </is>
      </c>
      <c r="F849" t="inlineStr">
        <is>
          <t>SCA</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12900-2023</t>
        </is>
      </c>
      <c r="B850" s="1" t="n">
        <v>45001</v>
      </c>
      <c r="C850" s="1" t="n">
        <v>46105</v>
      </c>
      <c r="D850" t="inlineStr">
        <is>
          <t>JÄMTLANDS LÄN</t>
        </is>
      </c>
      <c r="E850" t="inlineStr">
        <is>
          <t>BRÄCKE</t>
        </is>
      </c>
      <c r="G850" t="n">
        <v>1.3</v>
      </c>
      <c r="H850" t="n">
        <v>0</v>
      </c>
      <c r="I850" t="n">
        <v>0</v>
      </c>
      <c r="J850" t="n">
        <v>0</v>
      </c>
      <c r="K850" t="n">
        <v>0</v>
      </c>
      <c r="L850" t="n">
        <v>0</v>
      </c>
      <c r="M850" t="n">
        <v>0</v>
      </c>
      <c r="N850" t="n">
        <v>0</v>
      </c>
      <c r="O850" t="n">
        <v>0</v>
      </c>
      <c r="P850" t="n">
        <v>0</v>
      </c>
      <c r="Q850" t="n">
        <v>0</v>
      </c>
      <c r="R850" s="2" t="inlineStr"/>
    </row>
    <row r="851" ht="15" customHeight="1">
      <c r="A851" t="inlineStr">
        <is>
          <t>A 6830-2026</t>
        </is>
      </c>
      <c r="B851" s="1" t="n">
        <v>46057.40674768519</v>
      </c>
      <c r="C851" s="1" t="n">
        <v>46105</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33868-2025</t>
        </is>
      </c>
      <c r="B852" s="1" t="n">
        <v>45842.53967592592</v>
      </c>
      <c r="C852" s="1" t="n">
        <v>46105</v>
      </c>
      <c r="D852" t="inlineStr">
        <is>
          <t>JÄMTLANDS LÄN</t>
        </is>
      </c>
      <c r="E852" t="inlineStr">
        <is>
          <t>BRÄCKE</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33900-2025</t>
        </is>
      </c>
      <c r="B853" s="1" t="n">
        <v>45842.59454861111</v>
      </c>
      <c r="C853" s="1" t="n">
        <v>46105</v>
      </c>
      <c r="D853" t="inlineStr">
        <is>
          <t>JÄMTLANDS LÄN</t>
        </is>
      </c>
      <c r="E853" t="inlineStr">
        <is>
          <t>BRÄCKE</t>
        </is>
      </c>
      <c r="G853" t="n">
        <v>4.5</v>
      </c>
      <c r="H853" t="n">
        <v>0</v>
      </c>
      <c r="I853" t="n">
        <v>0</v>
      </c>
      <c r="J853" t="n">
        <v>0</v>
      </c>
      <c r="K853" t="n">
        <v>0</v>
      </c>
      <c r="L853" t="n">
        <v>0</v>
      </c>
      <c r="M853" t="n">
        <v>0</v>
      </c>
      <c r="N853" t="n">
        <v>0</v>
      </c>
      <c r="O853" t="n">
        <v>0</v>
      </c>
      <c r="P853" t="n">
        <v>0</v>
      </c>
      <c r="Q853" t="n">
        <v>0</v>
      </c>
      <c r="R853" s="2" t="inlineStr"/>
    </row>
    <row r="854" ht="15" customHeight="1">
      <c r="A854" t="inlineStr">
        <is>
          <t>A 33937-2025</t>
        </is>
      </c>
      <c r="B854" s="1" t="n">
        <v>45842.63650462963</v>
      </c>
      <c r="C854" s="1" t="n">
        <v>46105</v>
      </c>
      <c r="D854" t="inlineStr">
        <is>
          <t>JÄMTLANDS LÄN</t>
        </is>
      </c>
      <c r="E854" t="inlineStr">
        <is>
          <t>BRÄCKE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33902-2025</t>
        </is>
      </c>
      <c r="B855" s="1" t="n">
        <v>45842.59513888889</v>
      </c>
      <c r="C855" s="1" t="n">
        <v>46105</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33776-2025</t>
        </is>
      </c>
      <c r="B856" s="1" t="n">
        <v>45842.39412037037</v>
      </c>
      <c r="C856" s="1" t="n">
        <v>46105</v>
      </c>
      <c r="D856" t="inlineStr">
        <is>
          <t>JÄMTLANDS LÄN</t>
        </is>
      </c>
      <c r="E856" t="inlineStr">
        <is>
          <t>BRÄCKE</t>
        </is>
      </c>
      <c r="F856" t="inlineStr">
        <is>
          <t>Övriga Aktiebolag</t>
        </is>
      </c>
      <c r="G856" t="n">
        <v>0.8</v>
      </c>
      <c r="H856" t="n">
        <v>0</v>
      </c>
      <c r="I856" t="n">
        <v>0</v>
      </c>
      <c r="J856" t="n">
        <v>0</v>
      </c>
      <c r="K856" t="n">
        <v>0</v>
      </c>
      <c r="L856" t="n">
        <v>0</v>
      </c>
      <c r="M856" t="n">
        <v>0</v>
      </c>
      <c r="N856" t="n">
        <v>0</v>
      </c>
      <c r="O856" t="n">
        <v>0</v>
      </c>
      <c r="P856" t="n">
        <v>0</v>
      </c>
      <c r="Q856" t="n">
        <v>0</v>
      </c>
      <c r="R856" s="2" t="inlineStr"/>
    </row>
    <row r="857" ht="15" customHeight="1">
      <c r="A857" t="inlineStr">
        <is>
          <t>A 44035-2025</t>
        </is>
      </c>
      <c r="B857" s="1" t="n">
        <v>45915.49084490741</v>
      </c>
      <c r="C857" s="1" t="n">
        <v>46105</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44030-2025</t>
        </is>
      </c>
      <c r="B858" s="1" t="n">
        <v>45915.49006944444</v>
      </c>
      <c r="C858" s="1" t="n">
        <v>46105</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33796-2025</t>
        </is>
      </c>
      <c r="B859" s="1" t="n">
        <v>45842.43670138889</v>
      </c>
      <c r="C859" s="1" t="n">
        <v>46105</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44057-2025</t>
        </is>
      </c>
      <c r="B860" s="1" t="n">
        <v>45915.53097222222</v>
      </c>
      <c r="C860" s="1" t="n">
        <v>46105</v>
      </c>
      <c r="D860" t="inlineStr">
        <is>
          <t>JÄMTLANDS LÄN</t>
        </is>
      </c>
      <c r="E860" t="inlineStr">
        <is>
          <t>BRÄCKE</t>
        </is>
      </c>
      <c r="G860" t="n">
        <v>3</v>
      </c>
      <c r="H860" t="n">
        <v>0</v>
      </c>
      <c r="I860" t="n">
        <v>0</v>
      </c>
      <c r="J860" t="n">
        <v>0</v>
      </c>
      <c r="K860" t="n">
        <v>0</v>
      </c>
      <c r="L860" t="n">
        <v>0</v>
      </c>
      <c r="M860" t="n">
        <v>0</v>
      </c>
      <c r="N860" t="n">
        <v>0</v>
      </c>
      <c r="O860" t="n">
        <v>0</v>
      </c>
      <c r="P860" t="n">
        <v>0</v>
      </c>
      <c r="Q860" t="n">
        <v>0</v>
      </c>
      <c r="R860" s="2" t="inlineStr"/>
    </row>
    <row r="861" ht="15" customHeight="1">
      <c r="A861" t="inlineStr">
        <is>
          <t>A 6986-2026</t>
        </is>
      </c>
      <c r="B861" s="1" t="n">
        <v>46057.60162037037</v>
      </c>
      <c r="C861" s="1" t="n">
        <v>46105</v>
      </c>
      <c r="D861" t="inlineStr">
        <is>
          <t>JÄMTLANDS LÄN</t>
        </is>
      </c>
      <c r="E861" t="inlineStr">
        <is>
          <t>BRÄCKE</t>
        </is>
      </c>
      <c r="G861" t="n">
        <v>2.1</v>
      </c>
      <c r="H861" t="n">
        <v>0</v>
      </c>
      <c r="I861" t="n">
        <v>0</v>
      </c>
      <c r="J861" t="n">
        <v>0</v>
      </c>
      <c r="K861" t="n">
        <v>0</v>
      </c>
      <c r="L861" t="n">
        <v>0</v>
      </c>
      <c r="M861" t="n">
        <v>0</v>
      </c>
      <c r="N861" t="n">
        <v>0</v>
      </c>
      <c r="O861" t="n">
        <v>0</v>
      </c>
      <c r="P861" t="n">
        <v>0</v>
      </c>
      <c r="Q861" t="n">
        <v>0</v>
      </c>
      <c r="R861" s="2" t="inlineStr"/>
    </row>
    <row r="862" ht="15" customHeight="1">
      <c r="A862" t="inlineStr">
        <is>
          <t>A 44216-2025</t>
        </is>
      </c>
      <c r="B862" s="1" t="n">
        <v>45915.6359837963</v>
      </c>
      <c r="C862" s="1" t="n">
        <v>46105</v>
      </c>
      <c r="D862" t="inlineStr">
        <is>
          <t>JÄMTLANDS LÄN</t>
        </is>
      </c>
      <c r="E862" t="inlineStr">
        <is>
          <t>BRÄCKE</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33873-2025</t>
        </is>
      </c>
      <c r="B863" s="1" t="n">
        <v>45842.54912037037</v>
      </c>
      <c r="C863" s="1" t="n">
        <v>46105</v>
      </c>
      <c r="D863" t="inlineStr">
        <is>
          <t>JÄMTLANDS LÄN</t>
        </is>
      </c>
      <c r="E863" t="inlineStr">
        <is>
          <t>BRÄCKE</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44959-2025</t>
        </is>
      </c>
      <c r="B864" s="1" t="n">
        <v>45918.61537037037</v>
      </c>
      <c r="C864" s="1" t="n">
        <v>46105</v>
      </c>
      <c r="D864" t="inlineStr">
        <is>
          <t>JÄMTLANDS LÄN</t>
        </is>
      </c>
      <c r="E864" t="inlineStr">
        <is>
          <t>BRÄCKE</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34189-2025</t>
        </is>
      </c>
      <c r="B865" s="1" t="n">
        <v>45845.61555555555</v>
      </c>
      <c r="C865" s="1" t="n">
        <v>46105</v>
      </c>
      <c r="D865" t="inlineStr">
        <is>
          <t>JÄMTLANDS LÄN</t>
        </is>
      </c>
      <c r="E865" t="inlineStr">
        <is>
          <t>BRÄCKE</t>
        </is>
      </c>
      <c r="G865" t="n">
        <v>1.5</v>
      </c>
      <c r="H865" t="n">
        <v>0</v>
      </c>
      <c r="I865" t="n">
        <v>0</v>
      </c>
      <c r="J865" t="n">
        <v>0</v>
      </c>
      <c r="K865" t="n">
        <v>0</v>
      </c>
      <c r="L865" t="n">
        <v>0</v>
      </c>
      <c r="M865" t="n">
        <v>0</v>
      </c>
      <c r="N865" t="n">
        <v>0</v>
      </c>
      <c r="O865" t="n">
        <v>0</v>
      </c>
      <c r="P865" t="n">
        <v>0</v>
      </c>
      <c r="Q865" t="n">
        <v>0</v>
      </c>
      <c r="R865" s="2" t="inlineStr"/>
    </row>
    <row r="866" ht="15" customHeight="1">
      <c r="A866" t="inlineStr">
        <is>
          <t>A 44831-2025</t>
        </is>
      </c>
      <c r="B866" s="1" t="n">
        <v>45918.40663194445</v>
      </c>
      <c r="C866" s="1" t="n">
        <v>46105</v>
      </c>
      <c r="D866" t="inlineStr">
        <is>
          <t>JÄMTLANDS LÄN</t>
        </is>
      </c>
      <c r="E866" t="inlineStr">
        <is>
          <t>BRÄCKE</t>
        </is>
      </c>
      <c r="F866" t="inlineStr">
        <is>
          <t>Naturvårdsverket</t>
        </is>
      </c>
      <c r="G866" t="n">
        <v>6.9</v>
      </c>
      <c r="H866" t="n">
        <v>0</v>
      </c>
      <c r="I866" t="n">
        <v>0</v>
      </c>
      <c r="J866" t="n">
        <v>0</v>
      </c>
      <c r="K866" t="n">
        <v>0</v>
      </c>
      <c r="L866" t="n">
        <v>0</v>
      </c>
      <c r="M866" t="n">
        <v>0</v>
      </c>
      <c r="N866" t="n">
        <v>0</v>
      </c>
      <c r="O866" t="n">
        <v>0</v>
      </c>
      <c r="P866" t="n">
        <v>0</v>
      </c>
      <c r="Q866" t="n">
        <v>0</v>
      </c>
      <c r="R866" s="2" t="inlineStr"/>
    </row>
    <row r="867" ht="15" customHeight="1">
      <c r="A867" t="inlineStr">
        <is>
          <t>A 44840-2025</t>
        </is>
      </c>
      <c r="B867" s="1" t="n">
        <v>45918.42769675926</v>
      </c>
      <c r="C867" s="1" t="n">
        <v>46105</v>
      </c>
      <c r="D867" t="inlineStr">
        <is>
          <t>JÄMTLANDS LÄN</t>
        </is>
      </c>
      <c r="E867" t="inlineStr">
        <is>
          <t>BRÄCKE</t>
        </is>
      </c>
      <c r="F867" t="inlineStr">
        <is>
          <t>SCA</t>
        </is>
      </c>
      <c r="G867" t="n">
        <v>6.5</v>
      </c>
      <c r="H867" t="n">
        <v>0</v>
      </c>
      <c r="I867" t="n">
        <v>0</v>
      </c>
      <c r="J867" t="n">
        <v>0</v>
      </c>
      <c r="K867" t="n">
        <v>0</v>
      </c>
      <c r="L867" t="n">
        <v>0</v>
      </c>
      <c r="M867" t="n">
        <v>0</v>
      </c>
      <c r="N867" t="n">
        <v>0</v>
      </c>
      <c r="O867" t="n">
        <v>0</v>
      </c>
      <c r="P867" t="n">
        <v>0</v>
      </c>
      <c r="Q867" t="n">
        <v>0</v>
      </c>
      <c r="R867" s="2" t="inlineStr"/>
    </row>
    <row r="868" ht="15" customHeight="1">
      <c r="A868" t="inlineStr">
        <is>
          <t>A 34338-2025</t>
        </is>
      </c>
      <c r="B868" s="1" t="n">
        <v>45846.45711805556</v>
      </c>
      <c r="C868" s="1" t="n">
        <v>46105</v>
      </c>
      <c r="D868" t="inlineStr">
        <is>
          <t>JÄMTLANDS LÄN</t>
        </is>
      </c>
      <c r="E868" t="inlineStr">
        <is>
          <t>BRÄCKE</t>
        </is>
      </c>
      <c r="G868" t="n">
        <v>13.3</v>
      </c>
      <c r="H868" t="n">
        <v>0</v>
      </c>
      <c r="I868" t="n">
        <v>0</v>
      </c>
      <c r="J868" t="n">
        <v>0</v>
      </c>
      <c r="K868" t="n">
        <v>0</v>
      </c>
      <c r="L868" t="n">
        <v>0</v>
      </c>
      <c r="M868" t="n">
        <v>0</v>
      </c>
      <c r="N868" t="n">
        <v>0</v>
      </c>
      <c r="O868" t="n">
        <v>0</v>
      </c>
      <c r="P868" t="n">
        <v>0</v>
      </c>
      <c r="Q868" t="n">
        <v>0</v>
      </c>
      <c r="R868" s="2" t="inlineStr"/>
    </row>
    <row r="869" ht="15" customHeight="1">
      <c r="A869" t="inlineStr">
        <is>
          <t>A 44847-2025</t>
        </is>
      </c>
      <c r="B869" s="1" t="n">
        <v>45918.44200231481</v>
      </c>
      <c r="C869" s="1" t="n">
        <v>46105</v>
      </c>
      <c r="D869" t="inlineStr">
        <is>
          <t>JÄMTLANDS LÄN</t>
        </is>
      </c>
      <c r="E869" t="inlineStr">
        <is>
          <t>BRÄCKE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8780-2025</t>
        </is>
      </c>
      <c r="B870" s="1" t="n">
        <v>45712.615625</v>
      </c>
      <c r="C870" s="1" t="n">
        <v>46105</v>
      </c>
      <c r="D870" t="inlineStr">
        <is>
          <t>JÄMTLANDS LÄN</t>
        </is>
      </c>
      <c r="E870" t="inlineStr">
        <is>
          <t>BRÄCKE</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14548-2026</t>
        </is>
      </c>
      <c r="B871" s="1" t="n">
        <v>46100.69842592593</v>
      </c>
      <c r="C871" s="1" t="n">
        <v>46105</v>
      </c>
      <c r="D871" t="inlineStr">
        <is>
          <t>JÄMTLANDS LÄN</t>
        </is>
      </c>
      <c r="E871" t="inlineStr">
        <is>
          <t>BRÄCKE</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16372-2023</t>
        </is>
      </c>
      <c r="B872" s="1" t="n">
        <v>45028.94083333333</v>
      </c>
      <c r="C872" s="1" t="n">
        <v>46105</v>
      </c>
      <c r="D872" t="inlineStr">
        <is>
          <t>JÄMTLANDS LÄN</t>
        </is>
      </c>
      <c r="E872" t="inlineStr">
        <is>
          <t>BRÄCKE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34294-2025</t>
        </is>
      </c>
      <c r="B873" s="1" t="n">
        <v>45846.34422453704</v>
      </c>
      <c r="C873" s="1" t="n">
        <v>46105</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44843-2025</t>
        </is>
      </c>
      <c r="B874" s="1" t="n">
        <v>45918.43283564815</v>
      </c>
      <c r="C874" s="1" t="n">
        <v>46105</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44854-2025</t>
        </is>
      </c>
      <c r="B875" s="1" t="n">
        <v>45918.44819444444</v>
      </c>
      <c r="C875" s="1" t="n">
        <v>46105</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44968-2025</t>
        </is>
      </c>
      <c r="B876" s="1" t="n">
        <v>45918.63228009259</v>
      </c>
      <c r="C876" s="1" t="n">
        <v>46105</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34322-2025</t>
        </is>
      </c>
      <c r="B877" s="1" t="n">
        <v>45846.42747685185</v>
      </c>
      <c r="C877" s="1" t="n">
        <v>46105</v>
      </c>
      <c r="D877" t="inlineStr">
        <is>
          <t>JÄMTLANDS LÄN</t>
        </is>
      </c>
      <c r="E877" t="inlineStr">
        <is>
          <t>BRÄCKE</t>
        </is>
      </c>
      <c r="F877" t="inlineStr">
        <is>
          <t>SCA</t>
        </is>
      </c>
      <c r="G877" t="n">
        <v>32.6</v>
      </c>
      <c r="H877" t="n">
        <v>0</v>
      </c>
      <c r="I877" t="n">
        <v>0</v>
      </c>
      <c r="J877" t="n">
        <v>0</v>
      </c>
      <c r="K877" t="n">
        <v>0</v>
      </c>
      <c r="L877" t="n">
        <v>0</v>
      </c>
      <c r="M877" t="n">
        <v>0</v>
      </c>
      <c r="N877" t="n">
        <v>0</v>
      </c>
      <c r="O877" t="n">
        <v>0</v>
      </c>
      <c r="P877" t="n">
        <v>0</v>
      </c>
      <c r="Q877" t="n">
        <v>0</v>
      </c>
      <c r="R877" s="2" t="inlineStr"/>
    </row>
    <row r="878" ht="15" customHeight="1">
      <c r="A878" t="inlineStr">
        <is>
          <t>A 44957-2025</t>
        </is>
      </c>
      <c r="B878" s="1" t="n">
        <v>45918.615</v>
      </c>
      <c r="C878" s="1" t="n">
        <v>46105</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34087-2025</t>
        </is>
      </c>
      <c r="B879" s="1" t="n">
        <v>45845.46913194445</v>
      </c>
      <c r="C879" s="1" t="n">
        <v>46105</v>
      </c>
      <c r="D879" t="inlineStr">
        <is>
          <t>JÄMTLANDS LÄN</t>
        </is>
      </c>
      <c r="E879" t="inlineStr">
        <is>
          <t>BRÄCKE</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34155-2025</t>
        </is>
      </c>
      <c r="B880" s="1" t="n">
        <v>45845.57334490741</v>
      </c>
      <c r="C880" s="1" t="n">
        <v>46105</v>
      </c>
      <c r="D880" t="inlineStr">
        <is>
          <t>JÄMTLANDS LÄN</t>
        </is>
      </c>
      <c r="E880" t="inlineStr">
        <is>
          <t>BRÄCKE</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6796-2026</t>
        </is>
      </c>
      <c r="B881" s="1" t="n">
        <v>46057.34446759259</v>
      </c>
      <c r="C881" s="1" t="n">
        <v>46105</v>
      </c>
      <c r="D881" t="inlineStr">
        <is>
          <t>JÄMTLANDS LÄN</t>
        </is>
      </c>
      <c r="E881" t="inlineStr">
        <is>
          <t>BRÄCKE</t>
        </is>
      </c>
      <c r="F881" t="inlineStr">
        <is>
          <t>SCA</t>
        </is>
      </c>
      <c r="G881" t="n">
        <v>7.5</v>
      </c>
      <c r="H881" t="n">
        <v>0</v>
      </c>
      <c r="I881" t="n">
        <v>0</v>
      </c>
      <c r="J881" t="n">
        <v>0</v>
      </c>
      <c r="K881" t="n">
        <v>0</v>
      </c>
      <c r="L881" t="n">
        <v>0</v>
      </c>
      <c r="M881" t="n">
        <v>0</v>
      </c>
      <c r="N881" t="n">
        <v>0</v>
      </c>
      <c r="O881" t="n">
        <v>0</v>
      </c>
      <c r="P881" t="n">
        <v>0</v>
      </c>
      <c r="Q881" t="n">
        <v>0</v>
      </c>
      <c r="R881" s="2" t="inlineStr"/>
    </row>
    <row r="882" ht="15" customHeight="1">
      <c r="A882" t="inlineStr">
        <is>
          <t>A 6980-2026</t>
        </is>
      </c>
      <c r="B882" s="1" t="n">
        <v>46057.59642361111</v>
      </c>
      <c r="C882" s="1" t="n">
        <v>46105</v>
      </c>
      <c r="D882" t="inlineStr">
        <is>
          <t>JÄMTLANDS LÄN</t>
        </is>
      </c>
      <c r="E882" t="inlineStr">
        <is>
          <t>BRÄCKE</t>
        </is>
      </c>
      <c r="G882" t="n">
        <v>22.7</v>
      </c>
      <c r="H882" t="n">
        <v>0</v>
      </c>
      <c r="I882" t="n">
        <v>0</v>
      </c>
      <c r="J882" t="n">
        <v>0</v>
      </c>
      <c r="K882" t="n">
        <v>0</v>
      </c>
      <c r="L882" t="n">
        <v>0</v>
      </c>
      <c r="M882" t="n">
        <v>0</v>
      </c>
      <c r="N882" t="n">
        <v>0</v>
      </c>
      <c r="O882" t="n">
        <v>0</v>
      </c>
      <c r="P882" t="n">
        <v>0</v>
      </c>
      <c r="Q882" t="n">
        <v>0</v>
      </c>
      <c r="R882" s="2" t="inlineStr"/>
    </row>
    <row r="883" ht="15" customHeight="1">
      <c r="A883" t="inlineStr">
        <is>
          <t>A 34773-2025</t>
        </is>
      </c>
      <c r="B883" s="1" t="n">
        <v>45848.65672453704</v>
      </c>
      <c r="C883" s="1" t="n">
        <v>46105</v>
      </c>
      <c r="D883" t="inlineStr">
        <is>
          <t>JÄMTLANDS LÄN</t>
        </is>
      </c>
      <c r="E883" t="inlineStr">
        <is>
          <t>BRÄCKE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14065-2026</t>
        </is>
      </c>
      <c r="B884" s="1" t="n">
        <v>46099.34439814815</v>
      </c>
      <c r="C884" s="1" t="n">
        <v>46105</v>
      </c>
      <c r="D884" t="inlineStr">
        <is>
          <t>JÄMTLANDS LÄN</t>
        </is>
      </c>
      <c r="E884" t="inlineStr">
        <is>
          <t>BRÄCKE</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34746-2025</t>
        </is>
      </c>
      <c r="B885" s="1" t="n">
        <v>45848.61505787037</v>
      </c>
      <c r="C885" s="1" t="n">
        <v>46105</v>
      </c>
      <c r="D885" t="inlineStr">
        <is>
          <t>JÄMTLANDS LÄN</t>
        </is>
      </c>
      <c r="E885" t="inlineStr">
        <is>
          <t>BRÄCKE</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34786-2025</t>
        </is>
      </c>
      <c r="B886" s="1" t="n">
        <v>45848.67784722222</v>
      </c>
      <c r="C886" s="1" t="n">
        <v>46105</v>
      </c>
      <c r="D886" t="inlineStr">
        <is>
          <t>JÄMTLANDS LÄN</t>
        </is>
      </c>
      <c r="E886" t="inlineStr">
        <is>
          <t>BRÄCKE</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34518-2025</t>
        </is>
      </c>
      <c r="B887" s="1" t="n">
        <v>45847.46910879629</v>
      </c>
      <c r="C887" s="1" t="n">
        <v>46105</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34460-2025</t>
        </is>
      </c>
      <c r="B888" s="1" t="n">
        <v>45847.34458333333</v>
      </c>
      <c r="C888" s="1" t="n">
        <v>46105</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34613-2025</t>
        </is>
      </c>
      <c r="B889" s="1" t="n">
        <v>45847.67751157407</v>
      </c>
      <c r="C889" s="1" t="n">
        <v>46105</v>
      </c>
      <c r="D889" t="inlineStr">
        <is>
          <t>JÄMTLANDS LÄN</t>
        </is>
      </c>
      <c r="E889" t="inlineStr">
        <is>
          <t>BRÄCKE</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34614-2025</t>
        </is>
      </c>
      <c r="B890" s="1" t="n">
        <v>45847.67768518518</v>
      </c>
      <c r="C890" s="1" t="n">
        <v>46105</v>
      </c>
      <c r="D890" t="inlineStr">
        <is>
          <t>JÄMTLANDS LÄN</t>
        </is>
      </c>
      <c r="E890" t="inlineStr">
        <is>
          <t>BRÄCKE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34783-2025</t>
        </is>
      </c>
      <c r="B891" s="1" t="n">
        <v>45848.67740740741</v>
      </c>
      <c r="C891" s="1" t="n">
        <v>46105</v>
      </c>
      <c r="D891" t="inlineStr">
        <is>
          <t>JÄMTLANDS LÄN</t>
        </is>
      </c>
      <c r="E891" t="inlineStr">
        <is>
          <t>BRÄCKE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34648-2025</t>
        </is>
      </c>
      <c r="B892" s="1" t="n">
        <v>45848.34487268519</v>
      </c>
      <c r="C892" s="1" t="n">
        <v>46105</v>
      </c>
      <c r="D892" t="inlineStr">
        <is>
          <t>JÄMTLANDS LÄN</t>
        </is>
      </c>
      <c r="E892" t="inlineStr">
        <is>
          <t>BRÄCKE</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34680-2025</t>
        </is>
      </c>
      <c r="B893" s="1" t="n">
        <v>45848.42799768518</v>
      </c>
      <c r="C893" s="1" t="n">
        <v>46105</v>
      </c>
      <c r="D893" t="inlineStr">
        <is>
          <t>JÄMTLANDS LÄN</t>
        </is>
      </c>
      <c r="E893" t="inlineStr">
        <is>
          <t>BRÄCKE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7695-2026</t>
        </is>
      </c>
      <c r="B894" s="1" t="n">
        <v>46062.44865740741</v>
      </c>
      <c r="C894" s="1" t="n">
        <v>46105</v>
      </c>
      <c r="D894" t="inlineStr">
        <is>
          <t>JÄMTLANDS LÄN</t>
        </is>
      </c>
      <c r="E894" t="inlineStr">
        <is>
          <t>BRÄCKE</t>
        </is>
      </c>
      <c r="F894" t="inlineStr">
        <is>
          <t>SCA</t>
        </is>
      </c>
      <c r="G894" t="n">
        <v>9.5</v>
      </c>
      <c r="H894" t="n">
        <v>0</v>
      </c>
      <c r="I894" t="n">
        <v>0</v>
      </c>
      <c r="J894" t="n">
        <v>0</v>
      </c>
      <c r="K894" t="n">
        <v>0</v>
      </c>
      <c r="L894" t="n">
        <v>0</v>
      </c>
      <c r="M894" t="n">
        <v>0</v>
      </c>
      <c r="N894" t="n">
        <v>0</v>
      </c>
      <c r="O894" t="n">
        <v>0</v>
      </c>
      <c r="P894" t="n">
        <v>0</v>
      </c>
      <c r="Q894" t="n">
        <v>0</v>
      </c>
      <c r="R894" s="2" t="inlineStr"/>
    </row>
    <row r="895" ht="15" customHeight="1">
      <c r="A895" t="inlineStr">
        <is>
          <t>A 34469-2025</t>
        </is>
      </c>
      <c r="B895" s="1" t="n">
        <v>45847.34608796296</v>
      </c>
      <c r="C895" s="1" t="n">
        <v>46105</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34912-2025</t>
        </is>
      </c>
      <c r="B896" s="1" t="n">
        <v>45849.5378587963</v>
      </c>
      <c r="C896" s="1" t="n">
        <v>46105</v>
      </c>
      <c r="D896" t="inlineStr">
        <is>
          <t>JÄMTLANDS LÄN</t>
        </is>
      </c>
      <c r="E896" t="inlineStr">
        <is>
          <t>BRÄCKE</t>
        </is>
      </c>
      <c r="F896" t="inlineStr">
        <is>
          <t>Sveaskog</t>
        </is>
      </c>
      <c r="G896" t="n">
        <v>3.1</v>
      </c>
      <c r="H896" t="n">
        <v>0</v>
      </c>
      <c r="I896" t="n">
        <v>0</v>
      </c>
      <c r="J896" t="n">
        <v>0</v>
      </c>
      <c r="K896" t="n">
        <v>0</v>
      </c>
      <c r="L896" t="n">
        <v>0</v>
      </c>
      <c r="M896" t="n">
        <v>0</v>
      </c>
      <c r="N896" t="n">
        <v>0</v>
      </c>
      <c r="O896" t="n">
        <v>0</v>
      </c>
      <c r="P896" t="n">
        <v>0</v>
      </c>
      <c r="Q896" t="n">
        <v>0</v>
      </c>
      <c r="R896" s="2" t="inlineStr"/>
    </row>
    <row r="897" ht="15" customHeight="1">
      <c r="A897" t="inlineStr">
        <is>
          <t>A 34983-2025</t>
        </is>
      </c>
      <c r="B897" s="1" t="n">
        <v>45849.71234953704</v>
      </c>
      <c r="C897" s="1" t="n">
        <v>46105</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45081-2025</t>
        </is>
      </c>
      <c r="B898" s="1" t="n">
        <v>45919.36574074074</v>
      </c>
      <c r="C898" s="1" t="n">
        <v>46105</v>
      </c>
      <c r="D898" t="inlineStr">
        <is>
          <t>JÄMTLANDS LÄN</t>
        </is>
      </c>
      <c r="E898" t="inlineStr">
        <is>
          <t>BRÄCKE</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45589-2025</t>
        </is>
      </c>
      <c r="B899" s="1" t="n">
        <v>45922.67697916667</v>
      </c>
      <c r="C899" s="1" t="n">
        <v>46105</v>
      </c>
      <c r="D899" t="inlineStr">
        <is>
          <t>JÄMTLANDS LÄN</t>
        </is>
      </c>
      <c r="E899" t="inlineStr">
        <is>
          <t>BRÄCKE</t>
        </is>
      </c>
      <c r="G899" t="n">
        <v>3.3</v>
      </c>
      <c r="H899" t="n">
        <v>0</v>
      </c>
      <c r="I899" t="n">
        <v>0</v>
      </c>
      <c r="J899" t="n">
        <v>0</v>
      </c>
      <c r="K899" t="n">
        <v>0</v>
      </c>
      <c r="L899" t="n">
        <v>0</v>
      </c>
      <c r="M899" t="n">
        <v>0</v>
      </c>
      <c r="N899" t="n">
        <v>0</v>
      </c>
      <c r="O899" t="n">
        <v>0</v>
      </c>
      <c r="P899" t="n">
        <v>0</v>
      </c>
      <c r="Q899" t="n">
        <v>0</v>
      </c>
      <c r="R899" s="2" t="inlineStr"/>
    </row>
    <row r="900" ht="15" customHeight="1">
      <c r="A900" t="inlineStr">
        <is>
          <t>A 46017-2025</t>
        </is>
      </c>
      <c r="B900" s="1" t="n">
        <v>45924.42774305555</v>
      </c>
      <c r="C900" s="1" t="n">
        <v>46105</v>
      </c>
      <c r="D900" t="inlineStr">
        <is>
          <t>JÄMTLANDS LÄN</t>
        </is>
      </c>
      <c r="E900" t="inlineStr">
        <is>
          <t>BRÄCKE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45797-2025</t>
        </is>
      </c>
      <c r="B901" s="1" t="n">
        <v>45923.57422453703</v>
      </c>
      <c r="C901" s="1" t="n">
        <v>46105</v>
      </c>
      <c r="D901" t="inlineStr">
        <is>
          <t>JÄMTLANDS LÄN</t>
        </is>
      </c>
      <c r="E901" t="inlineStr">
        <is>
          <t>BRÄCKE</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7527-2026</t>
        </is>
      </c>
      <c r="B902" s="1" t="n">
        <v>46059.61508101852</v>
      </c>
      <c r="C902" s="1" t="n">
        <v>46105</v>
      </c>
      <c r="D902" t="inlineStr">
        <is>
          <t>JÄMTLANDS LÄN</t>
        </is>
      </c>
      <c r="E902" t="inlineStr">
        <is>
          <t>BRÄCKE</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54799-2025</t>
        </is>
      </c>
      <c r="B903" s="1" t="n">
        <v>45966.63707175926</v>
      </c>
      <c r="C903" s="1" t="n">
        <v>46105</v>
      </c>
      <c r="D903" t="inlineStr">
        <is>
          <t>JÄMTLANDS LÄN</t>
        </is>
      </c>
      <c r="E903" t="inlineStr">
        <is>
          <t>BRÄCKE</t>
        </is>
      </c>
      <c r="G903" t="n">
        <v>0</v>
      </c>
      <c r="H903" t="n">
        <v>0</v>
      </c>
      <c r="I903" t="n">
        <v>0</v>
      </c>
      <c r="J903" t="n">
        <v>0</v>
      </c>
      <c r="K903" t="n">
        <v>0</v>
      </c>
      <c r="L903" t="n">
        <v>0</v>
      </c>
      <c r="M903" t="n">
        <v>0</v>
      </c>
      <c r="N903" t="n">
        <v>0</v>
      </c>
      <c r="O903" t="n">
        <v>0</v>
      </c>
      <c r="P903" t="n">
        <v>0</v>
      </c>
      <c r="Q903" t="n">
        <v>0</v>
      </c>
      <c r="R903" s="2" t="inlineStr"/>
    </row>
    <row r="904" ht="15" customHeight="1">
      <c r="A904" t="inlineStr">
        <is>
          <t>A 7799-2026</t>
        </is>
      </c>
      <c r="B904" s="1" t="n">
        <v>46062.60248842592</v>
      </c>
      <c r="C904" s="1" t="n">
        <v>46105</v>
      </c>
      <c r="D904" t="inlineStr">
        <is>
          <t>JÄMTLANDS LÄN</t>
        </is>
      </c>
      <c r="E904" t="inlineStr">
        <is>
          <t>BRÄCKE</t>
        </is>
      </c>
      <c r="G904" t="n">
        <v>21.5</v>
      </c>
      <c r="H904" t="n">
        <v>0</v>
      </c>
      <c r="I904" t="n">
        <v>0</v>
      </c>
      <c r="J904" t="n">
        <v>0</v>
      </c>
      <c r="K904" t="n">
        <v>0</v>
      </c>
      <c r="L904" t="n">
        <v>0</v>
      </c>
      <c r="M904" t="n">
        <v>0</v>
      </c>
      <c r="N904" t="n">
        <v>0</v>
      </c>
      <c r="O904" t="n">
        <v>0</v>
      </c>
      <c r="P904" t="n">
        <v>0</v>
      </c>
      <c r="Q904" t="n">
        <v>0</v>
      </c>
      <c r="R904" s="2" t="inlineStr"/>
    </row>
    <row r="905" ht="15" customHeight="1">
      <c r="A905" t="inlineStr">
        <is>
          <t>A 14626-2026</t>
        </is>
      </c>
      <c r="B905" s="1" t="n">
        <v>46101.39383101852</v>
      </c>
      <c r="C905" s="1" t="n">
        <v>46105</v>
      </c>
      <c r="D905" t="inlineStr">
        <is>
          <t>JÄMTLANDS LÄN</t>
        </is>
      </c>
      <c r="E905" t="inlineStr">
        <is>
          <t>BRÄCKE</t>
        </is>
      </c>
      <c r="G905" t="n">
        <v>3.6</v>
      </c>
      <c r="H905" t="n">
        <v>0</v>
      </c>
      <c r="I905" t="n">
        <v>0</v>
      </c>
      <c r="J905" t="n">
        <v>0</v>
      </c>
      <c r="K905" t="n">
        <v>0</v>
      </c>
      <c r="L905" t="n">
        <v>0</v>
      </c>
      <c r="M905" t="n">
        <v>0</v>
      </c>
      <c r="N905" t="n">
        <v>0</v>
      </c>
      <c r="O905" t="n">
        <v>0</v>
      </c>
      <c r="P905" t="n">
        <v>0</v>
      </c>
      <c r="Q905" t="n">
        <v>0</v>
      </c>
      <c r="R905" s="2" t="inlineStr"/>
    </row>
    <row r="906" ht="15" customHeight="1">
      <c r="A906" t="inlineStr">
        <is>
          <t>A 46131-2025</t>
        </is>
      </c>
      <c r="B906" s="1" t="n">
        <v>45924.59469907408</v>
      </c>
      <c r="C906" s="1" t="n">
        <v>46105</v>
      </c>
      <c r="D906" t="inlineStr">
        <is>
          <t>JÄMTLANDS LÄN</t>
        </is>
      </c>
      <c r="E906" t="inlineStr">
        <is>
          <t>BRÄCKE</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46069-2025</t>
        </is>
      </c>
      <c r="B907" s="1" t="n">
        <v>45924.48994212963</v>
      </c>
      <c r="C907" s="1" t="n">
        <v>46105</v>
      </c>
      <c r="D907" t="inlineStr">
        <is>
          <t>JÄMTLANDS LÄN</t>
        </is>
      </c>
      <c r="E907" t="inlineStr">
        <is>
          <t>BRÄCKE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34102-2025</t>
        </is>
      </c>
      <c r="B908" s="1" t="n">
        <v>45845.49</v>
      </c>
      <c r="C908" s="1" t="n">
        <v>46105</v>
      </c>
      <c r="D908" t="inlineStr">
        <is>
          <t>JÄMTLANDS LÄN</t>
        </is>
      </c>
      <c r="E908" t="inlineStr">
        <is>
          <t>BRÄCKE</t>
        </is>
      </c>
      <c r="G908" t="n">
        <v>4.7</v>
      </c>
      <c r="H908" t="n">
        <v>0</v>
      </c>
      <c r="I908" t="n">
        <v>0</v>
      </c>
      <c r="J908" t="n">
        <v>0</v>
      </c>
      <c r="K908" t="n">
        <v>0</v>
      </c>
      <c r="L908" t="n">
        <v>0</v>
      </c>
      <c r="M908" t="n">
        <v>0</v>
      </c>
      <c r="N908" t="n">
        <v>0</v>
      </c>
      <c r="O908" t="n">
        <v>0</v>
      </c>
      <c r="P908" t="n">
        <v>0</v>
      </c>
      <c r="Q908" t="n">
        <v>0</v>
      </c>
      <c r="R908" s="2" t="inlineStr"/>
    </row>
    <row r="909" ht="15" customHeight="1">
      <c r="A909" t="inlineStr">
        <is>
          <t>A 45703-2025</t>
        </is>
      </c>
      <c r="B909" s="1" t="n">
        <v>45923.40854166666</v>
      </c>
      <c r="C909" s="1" t="n">
        <v>46105</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34828-2025</t>
        </is>
      </c>
      <c r="B910" s="1" t="n">
        <v>45849.38579861111</v>
      </c>
      <c r="C910" s="1" t="n">
        <v>46105</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46004-2025</t>
        </is>
      </c>
      <c r="B911" s="1" t="n">
        <v>45924.40741898148</v>
      </c>
      <c r="C911" s="1" t="n">
        <v>46105</v>
      </c>
      <c r="D911" t="inlineStr">
        <is>
          <t>JÄMTLANDS LÄN</t>
        </is>
      </c>
      <c r="E911" t="inlineStr">
        <is>
          <t>BRÄCKE</t>
        </is>
      </c>
      <c r="F911" t="inlineStr">
        <is>
          <t>SCA</t>
        </is>
      </c>
      <c r="G911" t="n">
        <v>7.7</v>
      </c>
      <c r="H911" t="n">
        <v>0</v>
      </c>
      <c r="I911" t="n">
        <v>0</v>
      </c>
      <c r="J911" t="n">
        <v>0</v>
      </c>
      <c r="K911" t="n">
        <v>0</v>
      </c>
      <c r="L911" t="n">
        <v>0</v>
      </c>
      <c r="M911" t="n">
        <v>0</v>
      </c>
      <c r="N911" t="n">
        <v>0</v>
      </c>
      <c r="O911" t="n">
        <v>0</v>
      </c>
      <c r="P911" t="n">
        <v>0</v>
      </c>
      <c r="Q911" t="n">
        <v>0</v>
      </c>
      <c r="R911" s="2" t="inlineStr"/>
    </row>
    <row r="912" ht="15" customHeight="1">
      <c r="A912" t="inlineStr">
        <is>
          <t>A 35060-2025</t>
        </is>
      </c>
      <c r="B912" s="1" t="n">
        <v>45852.42747685185</v>
      </c>
      <c r="C912" s="1" t="n">
        <v>46105</v>
      </c>
      <c r="D912" t="inlineStr">
        <is>
          <t>JÄMTLANDS LÄN</t>
        </is>
      </c>
      <c r="E912" t="inlineStr">
        <is>
          <t>BRÄCKE</t>
        </is>
      </c>
      <c r="F912" t="inlineStr">
        <is>
          <t>SCA</t>
        </is>
      </c>
      <c r="G912" t="n">
        <v>9.5</v>
      </c>
      <c r="H912" t="n">
        <v>0</v>
      </c>
      <c r="I912" t="n">
        <v>0</v>
      </c>
      <c r="J912" t="n">
        <v>0</v>
      </c>
      <c r="K912" t="n">
        <v>0</v>
      </c>
      <c r="L912" t="n">
        <v>0</v>
      </c>
      <c r="M912" t="n">
        <v>0</v>
      </c>
      <c r="N912" t="n">
        <v>0</v>
      </c>
      <c r="O912" t="n">
        <v>0</v>
      </c>
      <c r="P912" t="n">
        <v>0</v>
      </c>
      <c r="Q912" t="n">
        <v>0</v>
      </c>
      <c r="R912" s="2" t="inlineStr"/>
    </row>
    <row r="913" ht="15" customHeight="1">
      <c r="A913" t="inlineStr">
        <is>
          <t>A 46070-2025</t>
        </is>
      </c>
      <c r="B913" s="1" t="n">
        <v>45924.49011574074</v>
      </c>
      <c r="C913" s="1" t="n">
        <v>46105</v>
      </c>
      <c r="D913" t="inlineStr">
        <is>
          <t>JÄMTLANDS LÄN</t>
        </is>
      </c>
      <c r="E913" t="inlineStr">
        <is>
          <t>BRÄCKE</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46005-2025</t>
        </is>
      </c>
      <c r="B914" s="1" t="n">
        <v>45924.40751157407</v>
      </c>
      <c r="C914" s="1" t="n">
        <v>46105</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46093-2025</t>
        </is>
      </c>
      <c r="B915" s="1" t="n">
        <v>45924.53166666667</v>
      </c>
      <c r="C915" s="1" t="n">
        <v>46105</v>
      </c>
      <c r="D915" t="inlineStr">
        <is>
          <t>JÄMTLANDS LÄN</t>
        </is>
      </c>
      <c r="E915" t="inlineStr">
        <is>
          <t>BRÄCKE</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14681-2026</t>
        </is>
      </c>
      <c r="B916" s="1" t="n">
        <v>46101.48452546296</v>
      </c>
      <c r="C916" s="1" t="n">
        <v>46105</v>
      </c>
      <c r="D916" t="inlineStr">
        <is>
          <t>JÄMTLANDS LÄN</t>
        </is>
      </c>
      <c r="E916" t="inlineStr">
        <is>
          <t>BRÄCKE</t>
        </is>
      </c>
      <c r="G916" t="n">
        <v>10.2</v>
      </c>
      <c r="H916" t="n">
        <v>0</v>
      </c>
      <c r="I916" t="n">
        <v>0</v>
      </c>
      <c r="J916" t="n">
        <v>0</v>
      </c>
      <c r="K916" t="n">
        <v>0</v>
      </c>
      <c r="L916" t="n">
        <v>0</v>
      </c>
      <c r="M916" t="n">
        <v>0</v>
      </c>
      <c r="N916" t="n">
        <v>0</v>
      </c>
      <c r="O916" t="n">
        <v>0</v>
      </c>
      <c r="P916" t="n">
        <v>0</v>
      </c>
      <c r="Q916" t="n">
        <v>0</v>
      </c>
      <c r="R916" s="2" t="inlineStr"/>
    </row>
    <row r="917" ht="15" customHeight="1">
      <c r="A917" t="inlineStr">
        <is>
          <t>A 35229-2025</t>
        </is>
      </c>
      <c r="B917" s="1" t="n">
        <v>45853.59420138889</v>
      </c>
      <c r="C917" s="1" t="n">
        <v>46105</v>
      </c>
      <c r="D917" t="inlineStr">
        <is>
          <t>JÄMTLANDS LÄN</t>
        </is>
      </c>
      <c r="E917" t="inlineStr">
        <is>
          <t>BRÄCKE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35325-2025</t>
        </is>
      </c>
      <c r="B918" s="1" t="n">
        <v>45854.52606481482</v>
      </c>
      <c r="C918" s="1" t="n">
        <v>46105</v>
      </c>
      <c r="D918" t="inlineStr">
        <is>
          <t>JÄMTLANDS LÄN</t>
        </is>
      </c>
      <c r="E918" t="inlineStr">
        <is>
          <t>BRÄCKE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35324-2025</t>
        </is>
      </c>
      <c r="B919" s="1" t="n">
        <v>45854.51079861111</v>
      </c>
      <c r="C919" s="1" t="n">
        <v>46105</v>
      </c>
      <c r="D919" t="inlineStr">
        <is>
          <t>JÄMTLANDS LÄN</t>
        </is>
      </c>
      <c r="E919" t="inlineStr">
        <is>
          <t>BRÄCKE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35326-2025</t>
        </is>
      </c>
      <c r="B920" s="1" t="n">
        <v>45854.52724537037</v>
      </c>
      <c r="C920" s="1" t="n">
        <v>46105</v>
      </c>
      <c r="D920" t="inlineStr">
        <is>
          <t>JÄMTLANDS LÄN</t>
        </is>
      </c>
      <c r="E920" t="inlineStr">
        <is>
          <t>BRÄCKE</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35327-2025</t>
        </is>
      </c>
      <c r="B921" s="1" t="n">
        <v>45854.5283449074</v>
      </c>
      <c r="C921" s="1" t="n">
        <v>46105</v>
      </c>
      <c r="D921" t="inlineStr">
        <is>
          <t>JÄMTLANDS LÄN</t>
        </is>
      </c>
      <c r="E921" t="inlineStr">
        <is>
          <t>BRÄCKE</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46180-2025</t>
        </is>
      </c>
      <c r="B922" s="1" t="n">
        <v>45924.65664351852</v>
      </c>
      <c r="C922" s="1" t="n">
        <v>46105</v>
      </c>
      <c r="D922" t="inlineStr">
        <is>
          <t>JÄMTLANDS LÄN</t>
        </is>
      </c>
      <c r="E922" t="inlineStr">
        <is>
          <t>BRÄCKE</t>
        </is>
      </c>
      <c r="F922" t="inlineStr">
        <is>
          <t>SCA</t>
        </is>
      </c>
      <c r="G922" t="n">
        <v>4</v>
      </c>
      <c r="H922" t="n">
        <v>0</v>
      </c>
      <c r="I922" t="n">
        <v>0</v>
      </c>
      <c r="J922" t="n">
        <v>0</v>
      </c>
      <c r="K922" t="n">
        <v>0</v>
      </c>
      <c r="L922" t="n">
        <v>0</v>
      </c>
      <c r="M922" t="n">
        <v>0</v>
      </c>
      <c r="N922" t="n">
        <v>0</v>
      </c>
      <c r="O922" t="n">
        <v>0</v>
      </c>
      <c r="P922" t="n">
        <v>0</v>
      </c>
      <c r="Q922" t="n">
        <v>0</v>
      </c>
      <c r="R922" s="2" t="inlineStr"/>
    </row>
    <row r="923" ht="15" customHeight="1">
      <c r="A923" t="inlineStr">
        <is>
          <t>A 29107-2025</t>
        </is>
      </c>
      <c r="B923" s="1" t="n">
        <v>45821.58030092593</v>
      </c>
      <c r="C923" s="1" t="n">
        <v>46105</v>
      </c>
      <c r="D923" t="inlineStr">
        <is>
          <t>JÄMTLANDS LÄN</t>
        </is>
      </c>
      <c r="E923" t="inlineStr">
        <is>
          <t>BRÄCKE</t>
        </is>
      </c>
      <c r="G923" t="n">
        <v>1.3</v>
      </c>
      <c r="H923" t="n">
        <v>0</v>
      </c>
      <c r="I923" t="n">
        <v>0</v>
      </c>
      <c r="J923" t="n">
        <v>0</v>
      </c>
      <c r="K923" t="n">
        <v>0</v>
      </c>
      <c r="L923" t="n">
        <v>0</v>
      </c>
      <c r="M923" t="n">
        <v>0</v>
      </c>
      <c r="N923" t="n">
        <v>0</v>
      </c>
      <c r="O923" t="n">
        <v>0</v>
      </c>
      <c r="P923" t="n">
        <v>0</v>
      </c>
      <c r="Q923" t="n">
        <v>0</v>
      </c>
      <c r="R923" s="2" t="inlineStr"/>
    </row>
    <row r="924" ht="15" customHeight="1">
      <c r="A924" t="inlineStr">
        <is>
          <t>A 45698-2025</t>
        </is>
      </c>
      <c r="B924" s="1" t="n">
        <v>45923.39917824074</v>
      </c>
      <c r="C924" s="1" t="n">
        <v>46105</v>
      </c>
      <c r="D924" t="inlineStr">
        <is>
          <t>JÄMTLANDS LÄN</t>
        </is>
      </c>
      <c r="E924" t="inlineStr">
        <is>
          <t>BRÄCKE</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35331-2025</t>
        </is>
      </c>
      <c r="B925" s="1" t="n">
        <v>45854.57344907407</v>
      </c>
      <c r="C925" s="1" t="n">
        <v>46105</v>
      </c>
      <c r="D925" t="inlineStr">
        <is>
          <t>JÄMTLANDS LÄN</t>
        </is>
      </c>
      <c r="E925" t="inlineStr">
        <is>
          <t>BRÄCKE</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45741-2025</t>
        </is>
      </c>
      <c r="B926" s="1" t="n">
        <v>45923.46953703704</v>
      </c>
      <c r="C926" s="1" t="n">
        <v>46105</v>
      </c>
      <c r="D926" t="inlineStr">
        <is>
          <t>JÄMTLANDS LÄN</t>
        </is>
      </c>
      <c r="E926" t="inlineStr">
        <is>
          <t>BRÄCKE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45971-2025</t>
        </is>
      </c>
      <c r="B927" s="1" t="n">
        <v>45924.36534722222</v>
      </c>
      <c r="C927" s="1" t="n">
        <v>46105</v>
      </c>
      <c r="D927" t="inlineStr">
        <is>
          <t>JÄMTLANDS LÄN</t>
        </is>
      </c>
      <c r="E927" t="inlineStr">
        <is>
          <t>BRÄCKE</t>
        </is>
      </c>
      <c r="G927" t="n">
        <v>0.9</v>
      </c>
      <c r="H927" t="n">
        <v>0</v>
      </c>
      <c r="I927" t="n">
        <v>0</v>
      </c>
      <c r="J927" t="n">
        <v>0</v>
      </c>
      <c r="K927" t="n">
        <v>0</v>
      </c>
      <c r="L927" t="n">
        <v>0</v>
      </c>
      <c r="M927" t="n">
        <v>0</v>
      </c>
      <c r="N927" t="n">
        <v>0</v>
      </c>
      <c r="O927" t="n">
        <v>0</v>
      </c>
      <c r="P927" t="n">
        <v>0</v>
      </c>
      <c r="Q927" t="n">
        <v>0</v>
      </c>
      <c r="R927" s="2" t="inlineStr"/>
    </row>
    <row r="928" ht="15" customHeight="1">
      <c r="A928" t="inlineStr">
        <is>
          <t>A 45740-2025</t>
        </is>
      </c>
      <c r="B928" s="1" t="n">
        <v>45923.46938657408</v>
      </c>
      <c r="C928" s="1" t="n">
        <v>46105</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15944-2025</t>
        </is>
      </c>
      <c r="B929" s="1" t="n">
        <v>45749.48545138889</v>
      </c>
      <c r="C929" s="1" t="n">
        <v>46105</v>
      </c>
      <c r="D929" t="inlineStr">
        <is>
          <t>JÄMTLANDS LÄN</t>
        </is>
      </c>
      <c r="E929" t="inlineStr">
        <is>
          <t>BRÄCKE</t>
        </is>
      </c>
      <c r="G929" t="n">
        <v>4.5</v>
      </c>
      <c r="H929" t="n">
        <v>0</v>
      </c>
      <c r="I929" t="n">
        <v>0</v>
      </c>
      <c r="J929" t="n">
        <v>0</v>
      </c>
      <c r="K929" t="n">
        <v>0</v>
      </c>
      <c r="L929" t="n">
        <v>0</v>
      </c>
      <c r="M929" t="n">
        <v>0</v>
      </c>
      <c r="N929" t="n">
        <v>0</v>
      </c>
      <c r="O929" t="n">
        <v>0</v>
      </c>
      <c r="P929" t="n">
        <v>0</v>
      </c>
      <c r="Q929" t="n">
        <v>0</v>
      </c>
      <c r="R929" s="2" t="inlineStr"/>
    </row>
    <row r="930" ht="15" customHeight="1">
      <c r="A930" t="inlineStr">
        <is>
          <t>A 35445-2025</t>
        </is>
      </c>
      <c r="B930" s="1" t="n">
        <v>45855.53196759259</v>
      </c>
      <c r="C930" s="1" t="n">
        <v>46105</v>
      </c>
      <c r="D930" t="inlineStr">
        <is>
          <t>JÄMTLANDS LÄN</t>
        </is>
      </c>
      <c r="E930" t="inlineStr">
        <is>
          <t>BRÄCKE</t>
        </is>
      </c>
      <c r="F930" t="inlineStr">
        <is>
          <t>SCA</t>
        </is>
      </c>
      <c r="G930" t="n">
        <v>10</v>
      </c>
      <c r="H930" t="n">
        <v>0</v>
      </c>
      <c r="I930" t="n">
        <v>0</v>
      </c>
      <c r="J930" t="n">
        <v>0</v>
      </c>
      <c r="K930" t="n">
        <v>0</v>
      </c>
      <c r="L930" t="n">
        <v>0</v>
      </c>
      <c r="M930" t="n">
        <v>0</v>
      </c>
      <c r="N930" t="n">
        <v>0</v>
      </c>
      <c r="O930" t="n">
        <v>0</v>
      </c>
      <c r="P930" t="n">
        <v>0</v>
      </c>
      <c r="Q930" t="n">
        <v>0</v>
      </c>
      <c r="R930" s="2" t="inlineStr"/>
    </row>
    <row r="931" ht="15" customHeight="1">
      <c r="A931" t="inlineStr">
        <is>
          <t>A 46625-2025</t>
        </is>
      </c>
      <c r="B931" s="1" t="n">
        <v>45926.44857638889</v>
      </c>
      <c r="C931" s="1" t="n">
        <v>46105</v>
      </c>
      <c r="D931" t="inlineStr">
        <is>
          <t>JÄMTLANDS LÄN</t>
        </is>
      </c>
      <c r="E931" t="inlineStr">
        <is>
          <t>BRÄCKE</t>
        </is>
      </c>
      <c r="G931" t="n">
        <v>4</v>
      </c>
      <c r="H931" t="n">
        <v>0</v>
      </c>
      <c r="I931" t="n">
        <v>0</v>
      </c>
      <c r="J931" t="n">
        <v>0</v>
      </c>
      <c r="K931" t="n">
        <v>0</v>
      </c>
      <c r="L931" t="n">
        <v>0</v>
      </c>
      <c r="M931" t="n">
        <v>0</v>
      </c>
      <c r="N931" t="n">
        <v>0</v>
      </c>
      <c r="O931" t="n">
        <v>0</v>
      </c>
      <c r="P931" t="n">
        <v>0</v>
      </c>
      <c r="Q931" t="n">
        <v>0</v>
      </c>
      <c r="R931" s="2" t="inlineStr"/>
    </row>
    <row r="932" ht="15" customHeight="1">
      <c r="A932" t="inlineStr">
        <is>
          <t>A 46623-2025</t>
        </is>
      </c>
      <c r="B932" s="1" t="n">
        <v>45926.44829861111</v>
      </c>
      <c r="C932" s="1" t="n">
        <v>46105</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46624-2025</t>
        </is>
      </c>
      <c r="B933" s="1" t="n">
        <v>45926.44844907407</v>
      </c>
      <c r="C933" s="1" t="n">
        <v>46105</v>
      </c>
      <c r="D933" t="inlineStr">
        <is>
          <t>JÄMTLANDS LÄN</t>
        </is>
      </c>
      <c r="E933" t="inlineStr">
        <is>
          <t>BRÄCKE</t>
        </is>
      </c>
      <c r="G933" t="n">
        <v>3.7</v>
      </c>
      <c r="H933" t="n">
        <v>0</v>
      </c>
      <c r="I933" t="n">
        <v>0</v>
      </c>
      <c r="J933" t="n">
        <v>0</v>
      </c>
      <c r="K933" t="n">
        <v>0</v>
      </c>
      <c r="L933" t="n">
        <v>0</v>
      </c>
      <c r="M933" t="n">
        <v>0</v>
      </c>
      <c r="N933" t="n">
        <v>0</v>
      </c>
      <c r="O933" t="n">
        <v>0</v>
      </c>
      <c r="P933" t="n">
        <v>0</v>
      </c>
      <c r="Q933" t="n">
        <v>0</v>
      </c>
      <c r="R933" s="2" t="inlineStr"/>
    </row>
    <row r="934" ht="15" customHeight="1">
      <c r="A934" t="inlineStr">
        <is>
          <t>A 14672-2026</t>
        </is>
      </c>
      <c r="B934" s="1" t="n">
        <v>46101.46270833333</v>
      </c>
      <c r="C934" s="1" t="n">
        <v>46105</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46216-2025</t>
        </is>
      </c>
      <c r="B935" s="1" t="n">
        <v>45924.84655092593</v>
      </c>
      <c r="C935" s="1" t="n">
        <v>46105</v>
      </c>
      <c r="D935" t="inlineStr">
        <is>
          <t>JÄMTLANDS LÄN</t>
        </is>
      </c>
      <c r="E935" t="inlineStr">
        <is>
          <t>BRÄCKE</t>
        </is>
      </c>
      <c r="G935" t="n">
        <v>2.8</v>
      </c>
      <c r="H935" t="n">
        <v>0</v>
      </c>
      <c r="I935" t="n">
        <v>0</v>
      </c>
      <c r="J935" t="n">
        <v>0</v>
      </c>
      <c r="K935" t="n">
        <v>0</v>
      </c>
      <c r="L935" t="n">
        <v>0</v>
      </c>
      <c r="M935" t="n">
        <v>0</v>
      </c>
      <c r="N935" t="n">
        <v>0</v>
      </c>
      <c r="O935" t="n">
        <v>0</v>
      </c>
      <c r="P935" t="n">
        <v>0</v>
      </c>
      <c r="Q935" t="n">
        <v>0</v>
      </c>
      <c r="R935" s="2" t="inlineStr"/>
    </row>
    <row r="936" ht="15" customHeight="1">
      <c r="A936" t="inlineStr">
        <is>
          <t>A 46217-2025</t>
        </is>
      </c>
      <c r="B936" s="1" t="n">
        <v>45924.8475925926</v>
      </c>
      <c r="C936" s="1" t="n">
        <v>46105</v>
      </c>
      <c r="D936" t="inlineStr">
        <is>
          <t>JÄMTLANDS LÄN</t>
        </is>
      </c>
      <c r="E936" t="inlineStr">
        <is>
          <t>BRÄCKE</t>
        </is>
      </c>
      <c r="G936" t="n">
        <v>1.1</v>
      </c>
      <c r="H936" t="n">
        <v>0</v>
      </c>
      <c r="I936" t="n">
        <v>0</v>
      </c>
      <c r="J936" t="n">
        <v>0</v>
      </c>
      <c r="K936" t="n">
        <v>0</v>
      </c>
      <c r="L936" t="n">
        <v>0</v>
      </c>
      <c r="M936" t="n">
        <v>0</v>
      </c>
      <c r="N936" t="n">
        <v>0</v>
      </c>
      <c r="O936" t="n">
        <v>0</v>
      </c>
      <c r="P936" t="n">
        <v>0</v>
      </c>
      <c r="Q936" t="n">
        <v>0</v>
      </c>
      <c r="R936" s="2" t="inlineStr"/>
    </row>
    <row r="937" ht="15" customHeight="1">
      <c r="A937" t="inlineStr">
        <is>
          <t>A 7693-2026</t>
        </is>
      </c>
      <c r="B937" s="1" t="n">
        <v>46062.44844907407</v>
      </c>
      <c r="C937" s="1" t="n">
        <v>46105</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43123-2023</t>
        </is>
      </c>
      <c r="B938" s="1" t="n">
        <v>45182</v>
      </c>
      <c r="C938" s="1" t="n">
        <v>46105</v>
      </c>
      <c r="D938" t="inlineStr">
        <is>
          <t>JÄMTLANDS LÄN</t>
        </is>
      </c>
      <c r="E938" t="inlineStr">
        <is>
          <t>BRÄCKE</t>
        </is>
      </c>
      <c r="F938" t="inlineStr">
        <is>
          <t>Naturvårdsverket</t>
        </is>
      </c>
      <c r="G938" t="n">
        <v>9.9</v>
      </c>
      <c r="H938" t="n">
        <v>0</v>
      </c>
      <c r="I938" t="n">
        <v>0</v>
      </c>
      <c r="J938" t="n">
        <v>0</v>
      </c>
      <c r="K938" t="n">
        <v>0</v>
      </c>
      <c r="L938" t="n">
        <v>0</v>
      </c>
      <c r="M938" t="n">
        <v>0</v>
      </c>
      <c r="N938" t="n">
        <v>0</v>
      </c>
      <c r="O938" t="n">
        <v>0</v>
      </c>
      <c r="P938" t="n">
        <v>0</v>
      </c>
      <c r="Q938" t="n">
        <v>0</v>
      </c>
      <c r="R938" s="2" t="inlineStr"/>
    </row>
    <row r="939" ht="15" customHeight="1">
      <c r="A939" t="inlineStr">
        <is>
          <t>A 46686-2025</t>
        </is>
      </c>
      <c r="B939" s="1" t="n">
        <v>45926.55258101852</v>
      </c>
      <c r="C939" s="1" t="n">
        <v>46105</v>
      </c>
      <c r="D939" t="inlineStr">
        <is>
          <t>JÄMTLANDS LÄN</t>
        </is>
      </c>
      <c r="E939" t="inlineStr">
        <is>
          <t>BRÄCKE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35642-2025</t>
        </is>
      </c>
      <c r="B940" s="1" t="n">
        <v>45859.48991898148</v>
      </c>
      <c r="C940" s="1" t="n">
        <v>46105</v>
      </c>
      <c r="D940" t="inlineStr">
        <is>
          <t>JÄMTLANDS LÄN</t>
        </is>
      </c>
      <c r="E940" t="inlineStr">
        <is>
          <t>BRÄCKE</t>
        </is>
      </c>
      <c r="F940" t="inlineStr">
        <is>
          <t>SCA</t>
        </is>
      </c>
      <c r="G940" t="n">
        <v>14.3</v>
      </c>
      <c r="H940" t="n">
        <v>0</v>
      </c>
      <c r="I940" t="n">
        <v>0</v>
      </c>
      <c r="J940" t="n">
        <v>0</v>
      </c>
      <c r="K940" t="n">
        <v>0</v>
      </c>
      <c r="L940" t="n">
        <v>0</v>
      </c>
      <c r="M940" t="n">
        <v>0</v>
      </c>
      <c r="N940" t="n">
        <v>0</v>
      </c>
      <c r="O940" t="n">
        <v>0</v>
      </c>
      <c r="P940" t="n">
        <v>0</v>
      </c>
      <c r="Q940" t="n">
        <v>0</v>
      </c>
      <c r="R940" s="2" t="inlineStr"/>
    </row>
    <row r="941" ht="15" customHeight="1">
      <c r="A941" t="inlineStr">
        <is>
          <t>A 35712-2025</t>
        </is>
      </c>
      <c r="B941" s="1" t="n">
        <v>45860.40660879629</v>
      </c>
      <c r="C941" s="1" t="n">
        <v>46105</v>
      </c>
      <c r="D941" t="inlineStr">
        <is>
          <t>JÄMTLANDS LÄN</t>
        </is>
      </c>
      <c r="E941" t="inlineStr">
        <is>
          <t>BRÄCKE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35731-2025</t>
        </is>
      </c>
      <c r="B942" s="1" t="n">
        <v>45860.46923611111</v>
      </c>
      <c r="C942" s="1" t="n">
        <v>46105</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35668-2025</t>
        </is>
      </c>
      <c r="B943" s="1" t="n">
        <v>45859.61552083334</v>
      </c>
      <c r="C943" s="1" t="n">
        <v>46105</v>
      </c>
      <c r="D943" t="inlineStr">
        <is>
          <t>JÄMTLANDS LÄN</t>
        </is>
      </c>
      <c r="E943" t="inlineStr">
        <is>
          <t>BRÄCKE</t>
        </is>
      </c>
      <c r="G943" t="n">
        <v>7.2</v>
      </c>
      <c r="H943" t="n">
        <v>0</v>
      </c>
      <c r="I943" t="n">
        <v>0</v>
      </c>
      <c r="J943" t="n">
        <v>0</v>
      </c>
      <c r="K943" t="n">
        <v>0</v>
      </c>
      <c r="L943" t="n">
        <v>0</v>
      </c>
      <c r="M943" t="n">
        <v>0</v>
      </c>
      <c r="N943" t="n">
        <v>0</v>
      </c>
      <c r="O943" t="n">
        <v>0</v>
      </c>
      <c r="P943" t="n">
        <v>0</v>
      </c>
      <c r="Q943" t="n">
        <v>0</v>
      </c>
      <c r="R943" s="2" t="inlineStr"/>
    </row>
    <row r="944" ht="15" customHeight="1">
      <c r="A944" t="inlineStr">
        <is>
          <t>A 46218-2025</t>
        </is>
      </c>
      <c r="B944" s="1" t="n">
        <v>45924.851875</v>
      </c>
      <c r="C944" s="1" t="n">
        <v>46105</v>
      </c>
      <c r="D944" t="inlineStr">
        <is>
          <t>JÄMTLANDS LÄN</t>
        </is>
      </c>
      <c r="E944" t="inlineStr">
        <is>
          <t>BRÄCKE</t>
        </is>
      </c>
      <c r="G944" t="n">
        <v>0.8</v>
      </c>
      <c r="H944" t="n">
        <v>0</v>
      </c>
      <c r="I944" t="n">
        <v>0</v>
      </c>
      <c r="J944" t="n">
        <v>0</v>
      </c>
      <c r="K944" t="n">
        <v>0</v>
      </c>
      <c r="L944" t="n">
        <v>0</v>
      </c>
      <c r="M944" t="n">
        <v>0</v>
      </c>
      <c r="N944" t="n">
        <v>0</v>
      </c>
      <c r="O944" t="n">
        <v>0</v>
      </c>
      <c r="P944" t="n">
        <v>0</v>
      </c>
      <c r="Q944" t="n">
        <v>0</v>
      </c>
      <c r="R944" s="2" t="inlineStr"/>
    </row>
    <row r="945" ht="15" customHeight="1">
      <c r="A945" t="inlineStr">
        <is>
          <t>A 47319-2025</t>
        </is>
      </c>
      <c r="B945" s="1" t="n">
        <v>45930.55253472222</v>
      </c>
      <c r="C945" s="1" t="n">
        <v>46105</v>
      </c>
      <c r="D945" t="inlineStr">
        <is>
          <t>JÄMTLANDS LÄN</t>
        </is>
      </c>
      <c r="E945" t="inlineStr">
        <is>
          <t>BRÄCKE</t>
        </is>
      </c>
      <c r="G945" t="n">
        <v>1.1</v>
      </c>
      <c r="H945" t="n">
        <v>0</v>
      </c>
      <c r="I945" t="n">
        <v>0</v>
      </c>
      <c r="J945" t="n">
        <v>0</v>
      </c>
      <c r="K945" t="n">
        <v>0</v>
      </c>
      <c r="L945" t="n">
        <v>0</v>
      </c>
      <c r="M945" t="n">
        <v>0</v>
      </c>
      <c r="N945" t="n">
        <v>0</v>
      </c>
      <c r="O945" t="n">
        <v>0</v>
      </c>
      <c r="P945" t="n">
        <v>0</v>
      </c>
      <c r="Q945" t="n">
        <v>0</v>
      </c>
      <c r="R945" s="2" t="inlineStr"/>
    </row>
    <row r="946" ht="15" customHeight="1">
      <c r="A946" t="inlineStr">
        <is>
          <t>A 35880-2025</t>
        </is>
      </c>
      <c r="B946" s="1" t="n">
        <v>45862.38334490741</v>
      </c>
      <c r="C946" s="1" t="n">
        <v>46105</v>
      </c>
      <c r="D946" t="inlineStr">
        <is>
          <t>JÄMTLANDS LÄN</t>
        </is>
      </c>
      <c r="E946" t="inlineStr">
        <is>
          <t>BRÄCKE</t>
        </is>
      </c>
      <c r="G946" t="n">
        <v>1.3</v>
      </c>
      <c r="H946" t="n">
        <v>0</v>
      </c>
      <c r="I946" t="n">
        <v>0</v>
      </c>
      <c r="J946" t="n">
        <v>0</v>
      </c>
      <c r="K946" t="n">
        <v>0</v>
      </c>
      <c r="L946" t="n">
        <v>0</v>
      </c>
      <c r="M946" t="n">
        <v>0</v>
      </c>
      <c r="N946" t="n">
        <v>0</v>
      </c>
      <c r="O946" t="n">
        <v>0</v>
      </c>
      <c r="P946" t="n">
        <v>0</v>
      </c>
      <c r="Q946" t="n">
        <v>0</v>
      </c>
      <c r="R946" s="2" t="inlineStr"/>
    </row>
    <row r="947" ht="15" customHeight="1">
      <c r="A947" t="inlineStr">
        <is>
          <t>A 47320-2025</t>
        </is>
      </c>
      <c r="B947" s="1" t="n">
        <v>45930.55255787037</v>
      </c>
      <c r="C947" s="1" t="n">
        <v>46105</v>
      </c>
      <c r="D947" t="inlineStr">
        <is>
          <t>JÄMTLANDS LÄN</t>
        </is>
      </c>
      <c r="E947" t="inlineStr">
        <is>
          <t>BRÄCKE</t>
        </is>
      </c>
      <c r="G947" t="n">
        <v>1.9</v>
      </c>
      <c r="H947" t="n">
        <v>0</v>
      </c>
      <c r="I947" t="n">
        <v>0</v>
      </c>
      <c r="J947" t="n">
        <v>0</v>
      </c>
      <c r="K947" t="n">
        <v>0</v>
      </c>
      <c r="L947" t="n">
        <v>0</v>
      </c>
      <c r="M947" t="n">
        <v>0</v>
      </c>
      <c r="N947" t="n">
        <v>0</v>
      </c>
      <c r="O947" t="n">
        <v>0</v>
      </c>
      <c r="P947" t="n">
        <v>0</v>
      </c>
      <c r="Q947" t="n">
        <v>0</v>
      </c>
      <c r="R947" s="2" t="inlineStr"/>
    </row>
    <row r="948" ht="15" customHeight="1">
      <c r="A948" t="inlineStr">
        <is>
          <t>A 47235-2025</t>
        </is>
      </c>
      <c r="B948" s="1" t="n">
        <v>45930.40729166667</v>
      </c>
      <c r="C948" s="1" t="n">
        <v>46105</v>
      </c>
      <c r="D948" t="inlineStr">
        <is>
          <t>JÄMTLANDS LÄN</t>
        </is>
      </c>
      <c r="E948" t="inlineStr">
        <is>
          <t>BRÄCKE</t>
        </is>
      </c>
      <c r="G948" t="n">
        <v>5.8</v>
      </c>
      <c r="H948" t="n">
        <v>0</v>
      </c>
      <c r="I948" t="n">
        <v>0</v>
      </c>
      <c r="J948" t="n">
        <v>0</v>
      </c>
      <c r="K948" t="n">
        <v>0</v>
      </c>
      <c r="L948" t="n">
        <v>0</v>
      </c>
      <c r="M948" t="n">
        <v>0</v>
      </c>
      <c r="N948" t="n">
        <v>0</v>
      </c>
      <c r="O948" t="n">
        <v>0</v>
      </c>
      <c r="P948" t="n">
        <v>0</v>
      </c>
      <c r="Q948" t="n">
        <v>0</v>
      </c>
      <c r="R948" s="2" t="inlineStr"/>
    </row>
    <row r="949" ht="15" customHeight="1">
      <c r="A949" t="inlineStr">
        <is>
          <t>A 35879-2025</t>
        </is>
      </c>
      <c r="B949" s="1" t="n">
        <v>45862.37929398148</v>
      </c>
      <c r="C949" s="1" t="n">
        <v>46105</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47070-2025</t>
        </is>
      </c>
      <c r="B950" s="1" t="n">
        <v>45929.63621527778</v>
      </c>
      <c r="C950" s="1" t="n">
        <v>46105</v>
      </c>
      <c r="D950" t="inlineStr">
        <is>
          <t>JÄMTLANDS LÄN</t>
        </is>
      </c>
      <c r="E950" t="inlineStr">
        <is>
          <t>BRÄCKE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47120-2025</t>
        </is>
      </c>
      <c r="B951" s="1" t="n">
        <v>45929.67829861111</v>
      </c>
      <c r="C951" s="1" t="n">
        <v>46105</v>
      </c>
      <c r="D951" t="inlineStr">
        <is>
          <t>JÄMTLANDS LÄN</t>
        </is>
      </c>
      <c r="E951" t="inlineStr">
        <is>
          <t>BRÄCKE</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35906-2025</t>
        </is>
      </c>
      <c r="B952" s="1" t="n">
        <v>45862.51081018519</v>
      </c>
      <c r="C952" s="1" t="n">
        <v>46105</v>
      </c>
      <c r="D952" t="inlineStr">
        <is>
          <t>JÄMTLANDS LÄN</t>
        </is>
      </c>
      <c r="E952" t="inlineStr">
        <is>
          <t>BRÄCKE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35908-2025</t>
        </is>
      </c>
      <c r="B953" s="1" t="n">
        <v>45862.51113425926</v>
      </c>
      <c r="C953" s="1" t="n">
        <v>46105</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47474-2025</t>
        </is>
      </c>
      <c r="B954" s="1" t="n">
        <v>45930.67776620371</v>
      </c>
      <c r="C954" s="1" t="n">
        <v>46105</v>
      </c>
      <c r="D954" t="inlineStr">
        <is>
          <t>JÄMTLANDS LÄN</t>
        </is>
      </c>
      <c r="E954" t="inlineStr">
        <is>
          <t>BRÄCKE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41825-2024</t>
        </is>
      </c>
      <c r="B955" s="1" t="n">
        <v>45561.39943287037</v>
      </c>
      <c r="C955" s="1" t="n">
        <v>46105</v>
      </c>
      <c r="D955" t="inlineStr">
        <is>
          <t>JÄMTLANDS LÄN</t>
        </is>
      </c>
      <c r="E955" t="inlineStr">
        <is>
          <t>BRÄCKE</t>
        </is>
      </c>
      <c r="G955" t="n">
        <v>0.9</v>
      </c>
      <c r="H955" t="n">
        <v>0</v>
      </c>
      <c r="I955" t="n">
        <v>0</v>
      </c>
      <c r="J955" t="n">
        <v>0</v>
      </c>
      <c r="K955" t="n">
        <v>0</v>
      </c>
      <c r="L955" t="n">
        <v>0</v>
      </c>
      <c r="M955" t="n">
        <v>0</v>
      </c>
      <c r="N955" t="n">
        <v>0</v>
      </c>
      <c r="O955" t="n">
        <v>0</v>
      </c>
      <c r="P955" t="n">
        <v>0</v>
      </c>
      <c r="Q955" t="n">
        <v>0</v>
      </c>
      <c r="R955" s="2" t="inlineStr"/>
    </row>
    <row r="956" ht="15" customHeight="1">
      <c r="A956" t="inlineStr">
        <is>
          <t>A 47230-2025</t>
        </is>
      </c>
      <c r="B956" s="1" t="n">
        <v>45930.40326388889</v>
      </c>
      <c r="C956" s="1" t="n">
        <v>46105</v>
      </c>
      <c r="D956" t="inlineStr">
        <is>
          <t>JÄMTLANDS LÄN</t>
        </is>
      </c>
      <c r="E956" t="inlineStr">
        <is>
          <t>BRÄCKE</t>
        </is>
      </c>
      <c r="G956" t="n">
        <v>2.1</v>
      </c>
      <c r="H956" t="n">
        <v>0</v>
      </c>
      <c r="I956" t="n">
        <v>0</v>
      </c>
      <c r="J956" t="n">
        <v>0</v>
      </c>
      <c r="K956" t="n">
        <v>0</v>
      </c>
      <c r="L956" t="n">
        <v>0</v>
      </c>
      <c r="M956" t="n">
        <v>0</v>
      </c>
      <c r="N956" t="n">
        <v>0</v>
      </c>
      <c r="O956" t="n">
        <v>0</v>
      </c>
      <c r="P956" t="n">
        <v>0</v>
      </c>
      <c r="Q956" t="n">
        <v>0</v>
      </c>
      <c r="R956" s="2" t="inlineStr"/>
    </row>
    <row r="957" ht="15" customHeight="1">
      <c r="A957" t="inlineStr">
        <is>
          <t>A 14798-2023</t>
        </is>
      </c>
      <c r="B957" s="1" t="n">
        <v>45014.61738425926</v>
      </c>
      <c r="C957" s="1" t="n">
        <v>46105</v>
      </c>
      <c r="D957" t="inlineStr">
        <is>
          <t>JÄMTLANDS LÄN</t>
        </is>
      </c>
      <c r="E957" t="inlineStr">
        <is>
          <t>BRÄCKE</t>
        </is>
      </c>
      <c r="G957" t="n">
        <v>3.5</v>
      </c>
      <c r="H957" t="n">
        <v>0</v>
      </c>
      <c r="I957" t="n">
        <v>0</v>
      </c>
      <c r="J957" t="n">
        <v>0</v>
      </c>
      <c r="K957" t="n">
        <v>0</v>
      </c>
      <c r="L957" t="n">
        <v>0</v>
      </c>
      <c r="M957" t="n">
        <v>0</v>
      </c>
      <c r="N957" t="n">
        <v>0</v>
      </c>
      <c r="O957" t="n">
        <v>0</v>
      </c>
      <c r="P957" t="n">
        <v>0</v>
      </c>
      <c r="Q957" t="n">
        <v>0</v>
      </c>
      <c r="R957" s="2" t="inlineStr"/>
    </row>
    <row r="958" ht="15" customHeight="1">
      <c r="A958" t="inlineStr">
        <is>
          <t>A 47318-2025</t>
        </is>
      </c>
      <c r="B958" s="1" t="n">
        <v>45930.55251157407</v>
      </c>
      <c r="C958" s="1" t="n">
        <v>46105</v>
      </c>
      <c r="D958" t="inlineStr">
        <is>
          <t>JÄMTLANDS LÄN</t>
        </is>
      </c>
      <c r="E958" t="inlineStr">
        <is>
          <t>BRÄCKE</t>
        </is>
      </c>
      <c r="G958" t="n">
        <v>0.4</v>
      </c>
      <c r="H958" t="n">
        <v>0</v>
      </c>
      <c r="I958" t="n">
        <v>0</v>
      </c>
      <c r="J958" t="n">
        <v>0</v>
      </c>
      <c r="K958" t="n">
        <v>0</v>
      </c>
      <c r="L958" t="n">
        <v>0</v>
      </c>
      <c r="M958" t="n">
        <v>0</v>
      </c>
      <c r="N958" t="n">
        <v>0</v>
      </c>
      <c r="O958" t="n">
        <v>0</v>
      </c>
      <c r="P958" t="n">
        <v>0</v>
      </c>
      <c r="Q958" t="n">
        <v>0</v>
      </c>
      <c r="R958" s="2" t="inlineStr"/>
    </row>
    <row r="959" ht="15" customHeight="1">
      <c r="A959" t="inlineStr">
        <is>
          <t>A 36034-2025</t>
        </is>
      </c>
      <c r="B959" s="1" t="n">
        <v>45865.64755787037</v>
      </c>
      <c r="C959" s="1" t="n">
        <v>46105</v>
      </c>
      <c r="D959" t="inlineStr">
        <is>
          <t>JÄMTLANDS LÄN</t>
        </is>
      </c>
      <c r="E959" t="inlineStr">
        <is>
          <t>BRÄCKE</t>
        </is>
      </c>
      <c r="G959" t="n">
        <v>1.8</v>
      </c>
      <c r="H959" t="n">
        <v>0</v>
      </c>
      <c r="I959" t="n">
        <v>0</v>
      </c>
      <c r="J959" t="n">
        <v>0</v>
      </c>
      <c r="K959" t="n">
        <v>0</v>
      </c>
      <c r="L959" t="n">
        <v>0</v>
      </c>
      <c r="M959" t="n">
        <v>0</v>
      </c>
      <c r="N959" t="n">
        <v>0</v>
      </c>
      <c r="O959" t="n">
        <v>0</v>
      </c>
      <c r="P959" t="n">
        <v>0</v>
      </c>
      <c r="Q959" t="n">
        <v>0</v>
      </c>
      <c r="R959" s="2" t="inlineStr"/>
    </row>
    <row r="960" ht="15" customHeight="1">
      <c r="A960" t="inlineStr">
        <is>
          <t>A 46875-2025</t>
        </is>
      </c>
      <c r="B960" s="1" t="n">
        <v>45929.34453703704</v>
      </c>
      <c r="C960" s="1" t="n">
        <v>46105</v>
      </c>
      <c r="D960" t="inlineStr">
        <is>
          <t>JÄMTLANDS LÄN</t>
        </is>
      </c>
      <c r="E960" t="inlineStr">
        <is>
          <t>BRÄCKE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47117-2025</t>
        </is>
      </c>
      <c r="B961" s="1" t="n">
        <v>45929.67751157407</v>
      </c>
      <c r="C961" s="1" t="n">
        <v>46105</v>
      </c>
      <c r="D961" t="inlineStr">
        <is>
          <t>JÄMTLANDS LÄN</t>
        </is>
      </c>
      <c r="E961" t="inlineStr">
        <is>
          <t>BRÄCKE</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36169-2025</t>
        </is>
      </c>
      <c r="B962" s="1" t="n">
        <v>45867.38596064815</v>
      </c>
      <c r="C962" s="1" t="n">
        <v>46105</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36311-2025</t>
        </is>
      </c>
      <c r="B963" s="1" t="n">
        <v>45868.34434027778</v>
      </c>
      <c r="C963" s="1" t="n">
        <v>46105</v>
      </c>
      <c r="D963" t="inlineStr">
        <is>
          <t>JÄMTLANDS LÄN</t>
        </is>
      </c>
      <c r="E963" t="inlineStr">
        <is>
          <t>BRÄCKE</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4914-2025</t>
        </is>
      </c>
      <c r="B964" s="1" t="n">
        <v>45688.68173611111</v>
      </c>
      <c r="C964" s="1" t="n">
        <v>46105</v>
      </c>
      <c r="D964" t="inlineStr">
        <is>
          <t>JÄMTLANDS LÄN</t>
        </is>
      </c>
      <c r="E964" t="inlineStr">
        <is>
          <t>BRÄCKE</t>
        </is>
      </c>
      <c r="F964" t="inlineStr">
        <is>
          <t>SCA</t>
        </is>
      </c>
      <c r="G964" t="n">
        <v>7.3</v>
      </c>
      <c r="H964" t="n">
        <v>0</v>
      </c>
      <c r="I964" t="n">
        <v>0</v>
      </c>
      <c r="J964" t="n">
        <v>0</v>
      </c>
      <c r="K964" t="n">
        <v>0</v>
      </c>
      <c r="L964" t="n">
        <v>0</v>
      </c>
      <c r="M964" t="n">
        <v>0</v>
      </c>
      <c r="N964" t="n">
        <v>0</v>
      </c>
      <c r="O964" t="n">
        <v>0</v>
      </c>
      <c r="P964" t="n">
        <v>0</v>
      </c>
      <c r="Q964" t="n">
        <v>0</v>
      </c>
      <c r="R964" s="2" t="inlineStr"/>
    </row>
    <row r="965" ht="15" customHeight="1">
      <c r="A965" t="inlineStr">
        <is>
          <t>A 5621-2025</t>
        </is>
      </c>
      <c r="B965" s="1" t="n">
        <v>45693.6357175926</v>
      </c>
      <c r="C965" s="1" t="n">
        <v>46105</v>
      </c>
      <c r="D965" t="inlineStr">
        <is>
          <t>JÄMTLANDS LÄN</t>
        </is>
      </c>
      <c r="E965" t="inlineStr">
        <is>
          <t>BRÄCKE</t>
        </is>
      </c>
      <c r="F965" t="inlineStr">
        <is>
          <t>SCA</t>
        </is>
      </c>
      <c r="G965" t="n">
        <v>8.4</v>
      </c>
      <c r="H965" t="n">
        <v>0</v>
      </c>
      <c r="I965" t="n">
        <v>0</v>
      </c>
      <c r="J965" t="n">
        <v>0</v>
      </c>
      <c r="K965" t="n">
        <v>0</v>
      </c>
      <c r="L965" t="n">
        <v>0</v>
      </c>
      <c r="M965" t="n">
        <v>0</v>
      </c>
      <c r="N965" t="n">
        <v>0</v>
      </c>
      <c r="O965" t="n">
        <v>0</v>
      </c>
      <c r="P965" t="n">
        <v>0</v>
      </c>
      <c r="Q965" t="n">
        <v>0</v>
      </c>
      <c r="R965" s="2" t="inlineStr"/>
    </row>
    <row r="966" ht="15" customHeight="1">
      <c r="A966" t="inlineStr">
        <is>
          <t>A 44855-2025</t>
        </is>
      </c>
      <c r="B966" s="1" t="n">
        <v>45918</v>
      </c>
      <c r="C966" s="1" t="n">
        <v>46105</v>
      </c>
      <c r="D966" t="inlineStr">
        <is>
          <t>JÄMTLANDS LÄN</t>
        </is>
      </c>
      <c r="E966" t="inlineStr">
        <is>
          <t>BRÄCKE</t>
        </is>
      </c>
      <c r="G966" t="n">
        <v>2</v>
      </c>
      <c r="H966" t="n">
        <v>0</v>
      </c>
      <c r="I966" t="n">
        <v>0</v>
      </c>
      <c r="J966" t="n">
        <v>0</v>
      </c>
      <c r="K966" t="n">
        <v>0</v>
      </c>
      <c r="L966" t="n">
        <v>0</v>
      </c>
      <c r="M966" t="n">
        <v>0</v>
      </c>
      <c r="N966" t="n">
        <v>0</v>
      </c>
      <c r="O966" t="n">
        <v>0</v>
      </c>
      <c r="P966" t="n">
        <v>0</v>
      </c>
      <c r="Q966" t="n">
        <v>0</v>
      </c>
      <c r="R966" s="2" t="inlineStr"/>
    </row>
    <row r="967" ht="15" customHeight="1">
      <c r="A967" t="inlineStr">
        <is>
          <t>A 8739-2025</t>
        </is>
      </c>
      <c r="B967" s="1" t="n">
        <v>45712.55239583334</v>
      </c>
      <c r="C967" s="1" t="n">
        <v>46105</v>
      </c>
      <c r="D967" t="inlineStr">
        <is>
          <t>JÄMTLANDS LÄN</t>
        </is>
      </c>
      <c r="E967" t="inlineStr">
        <is>
          <t>BRÄCKE</t>
        </is>
      </c>
      <c r="F967" t="inlineStr">
        <is>
          <t>SCA</t>
        </is>
      </c>
      <c r="G967" t="n">
        <v>8.4</v>
      </c>
      <c r="H967" t="n">
        <v>0</v>
      </c>
      <c r="I967" t="n">
        <v>0</v>
      </c>
      <c r="J967" t="n">
        <v>0</v>
      </c>
      <c r="K967" t="n">
        <v>0</v>
      </c>
      <c r="L967" t="n">
        <v>0</v>
      </c>
      <c r="M967" t="n">
        <v>0</v>
      </c>
      <c r="N967" t="n">
        <v>0</v>
      </c>
      <c r="O967" t="n">
        <v>0</v>
      </c>
      <c r="P967" t="n">
        <v>0</v>
      </c>
      <c r="Q967" t="n">
        <v>0</v>
      </c>
      <c r="R967" s="2" t="inlineStr"/>
    </row>
    <row r="968" ht="15" customHeight="1">
      <c r="A968" t="inlineStr">
        <is>
          <t>A 31558-2024</t>
        </is>
      </c>
      <c r="B968" s="1" t="n">
        <v>45505</v>
      </c>
      <c r="C968" s="1" t="n">
        <v>46105</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47714-2025</t>
        </is>
      </c>
      <c r="B969" s="1" t="n">
        <v>45931.61553240741</v>
      </c>
      <c r="C969" s="1" t="n">
        <v>46105</v>
      </c>
      <c r="D969" t="inlineStr">
        <is>
          <t>JÄMTLANDS LÄN</t>
        </is>
      </c>
      <c r="E969" t="inlineStr">
        <is>
          <t>BRÄCKE</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36223-2025</t>
        </is>
      </c>
      <c r="B970" s="1" t="n">
        <v>45867.51101851852</v>
      </c>
      <c r="C970" s="1" t="n">
        <v>46105</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47873-2025</t>
        </is>
      </c>
      <c r="B971" s="1" t="n">
        <v>45932.4528587963</v>
      </c>
      <c r="C971" s="1" t="n">
        <v>46105</v>
      </c>
      <c r="D971" t="inlineStr">
        <is>
          <t>JÄMTLANDS LÄN</t>
        </is>
      </c>
      <c r="E971" t="inlineStr">
        <is>
          <t>BRÄCKE</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36222-2025</t>
        </is>
      </c>
      <c r="B972" s="1" t="n">
        <v>45867.51087962963</v>
      </c>
      <c r="C972" s="1" t="n">
        <v>46105</v>
      </c>
      <c r="D972" t="inlineStr">
        <is>
          <t>JÄMTLANDS LÄN</t>
        </is>
      </c>
      <c r="E972" t="inlineStr">
        <is>
          <t>BRÄCKE</t>
        </is>
      </c>
      <c r="G972" t="n">
        <v>1</v>
      </c>
      <c r="H972" t="n">
        <v>0</v>
      </c>
      <c r="I972" t="n">
        <v>0</v>
      </c>
      <c r="J972" t="n">
        <v>0</v>
      </c>
      <c r="K972" t="n">
        <v>0</v>
      </c>
      <c r="L972" t="n">
        <v>0</v>
      </c>
      <c r="M972" t="n">
        <v>0</v>
      </c>
      <c r="N972" t="n">
        <v>0</v>
      </c>
      <c r="O972" t="n">
        <v>0</v>
      </c>
      <c r="P972" t="n">
        <v>0</v>
      </c>
      <c r="Q972" t="n">
        <v>0</v>
      </c>
      <c r="R972" s="2" t="inlineStr"/>
    </row>
    <row r="973" ht="15" customHeight="1">
      <c r="A973" t="inlineStr">
        <is>
          <t>A 10532-2022</t>
        </is>
      </c>
      <c r="B973" s="1" t="n">
        <v>44623</v>
      </c>
      <c r="C973" s="1" t="n">
        <v>46105</v>
      </c>
      <c r="D973" t="inlineStr">
        <is>
          <t>JÄMTLANDS LÄN</t>
        </is>
      </c>
      <c r="E973" t="inlineStr">
        <is>
          <t>BRÄCKE</t>
        </is>
      </c>
      <c r="G973" t="n">
        <v>3.1</v>
      </c>
      <c r="H973" t="n">
        <v>0</v>
      </c>
      <c r="I973" t="n">
        <v>0</v>
      </c>
      <c r="J973" t="n">
        <v>0</v>
      </c>
      <c r="K973" t="n">
        <v>0</v>
      </c>
      <c r="L973" t="n">
        <v>0</v>
      </c>
      <c r="M973" t="n">
        <v>0</v>
      </c>
      <c r="N973" t="n">
        <v>0</v>
      </c>
      <c r="O973" t="n">
        <v>0</v>
      </c>
      <c r="P973" t="n">
        <v>0</v>
      </c>
      <c r="Q973" t="n">
        <v>0</v>
      </c>
      <c r="R973" s="2" t="inlineStr"/>
    </row>
    <row r="974" ht="15" customHeight="1">
      <c r="A974" t="inlineStr">
        <is>
          <t>A 47826-2025</t>
        </is>
      </c>
      <c r="B974" s="1" t="n">
        <v>45932.34487268519</v>
      </c>
      <c r="C974" s="1" t="n">
        <v>46105</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36386-2025</t>
        </is>
      </c>
      <c r="B975" s="1" t="n">
        <v>45868.59412037037</v>
      </c>
      <c r="C975" s="1" t="n">
        <v>46105</v>
      </c>
      <c r="D975" t="inlineStr">
        <is>
          <t>JÄMTLANDS LÄN</t>
        </is>
      </c>
      <c r="E975" t="inlineStr">
        <is>
          <t>BRÄCKE</t>
        </is>
      </c>
      <c r="F975" t="inlineStr">
        <is>
          <t>SCA</t>
        </is>
      </c>
      <c r="G975" t="n">
        <v>6.3</v>
      </c>
      <c r="H975" t="n">
        <v>0</v>
      </c>
      <c r="I975" t="n">
        <v>0</v>
      </c>
      <c r="J975" t="n">
        <v>0</v>
      </c>
      <c r="K975" t="n">
        <v>0</v>
      </c>
      <c r="L975" t="n">
        <v>0</v>
      </c>
      <c r="M975" t="n">
        <v>0</v>
      </c>
      <c r="N975" t="n">
        <v>0</v>
      </c>
      <c r="O975" t="n">
        <v>0</v>
      </c>
      <c r="P975" t="n">
        <v>0</v>
      </c>
      <c r="Q975" t="n">
        <v>0</v>
      </c>
      <c r="R975" s="2" t="inlineStr"/>
    </row>
    <row r="976" ht="15" customHeight="1">
      <c r="A976" t="inlineStr">
        <is>
          <t>A 2245-2025</t>
        </is>
      </c>
      <c r="B976" s="1" t="n">
        <v>45673.49019675926</v>
      </c>
      <c r="C976" s="1" t="n">
        <v>46105</v>
      </c>
      <c r="D976" t="inlineStr">
        <is>
          <t>JÄMTLANDS LÄN</t>
        </is>
      </c>
      <c r="E976" t="inlineStr">
        <is>
          <t>BRÄCKE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2774-2025</t>
        </is>
      </c>
      <c r="B977" s="1" t="n">
        <v>45677.51086805556</v>
      </c>
      <c r="C977" s="1" t="n">
        <v>46105</v>
      </c>
      <c r="D977" t="inlineStr">
        <is>
          <t>JÄMTLANDS LÄN</t>
        </is>
      </c>
      <c r="E977" t="inlineStr">
        <is>
          <t>BRÄCKE</t>
        </is>
      </c>
      <c r="F977" t="inlineStr">
        <is>
          <t>SCA</t>
        </is>
      </c>
      <c r="G977" t="n">
        <v>11.4</v>
      </c>
      <c r="H977" t="n">
        <v>0</v>
      </c>
      <c r="I977" t="n">
        <v>0</v>
      </c>
      <c r="J977" t="n">
        <v>0</v>
      </c>
      <c r="K977" t="n">
        <v>0</v>
      </c>
      <c r="L977" t="n">
        <v>0</v>
      </c>
      <c r="M977" t="n">
        <v>0</v>
      </c>
      <c r="N977" t="n">
        <v>0</v>
      </c>
      <c r="O977" t="n">
        <v>0</v>
      </c>
      <c r="P977" t="n">
        <v>0</v>
      </c>
      <c r="Q977" t="n">
        <v>0</v>
      </c>
      <c r="R977" s="2" t="inlineStr"/>
      <c r="U977">
        <f>HYPERLINK("https://klasma.github.io/Logging_2305/knärot/A 2774-2025 karta knärot.png", "A 2774-2025")</f>
        <v/>
      </c>
      <c r="V977">
        <f>HYPERLINK("https://klasma.github.io/Logging_2305/klagomål/A 2774-2025 FSC-klagomål.docx", "A 2774-2025")</f>
        <v/>
      </c>
      <c r="W977">
        <f>HYPERLINK("https://klasma.github.io/Logging_2305/klagomålsmail/A 2774-2025 FSC-klagomål mail.docx", "A 2774-2025")</f>
        <v/>
      </c>
      <c r="X977">
        <f>HYPERLINK("https://klasma.github.io/Logging_2305/tillsyn/A 2774-2025 tillsynsbegäran.docx", "A 2774-2025")</f>
        <v/>
      </c>
      <c r="Y977">
        <f>HYPERLINK("https://klasma.github.io/Logging_2305/tillsynsmail/A 2774-2025 tillsynsbegäran mail.docx", "A 2774-2025")</f>
        <v/>
      </c>
    </row>
    <row r="978" ht="15" customHeight="1">
      <c r="A978" t="inlineStr">
        <is>
          <t>A 5618-2025</t>
        </is>
      </c>
      <c r="B978" s="1" t="n">
        <v>45693.61509259259</v>
      </c>
      <c r="C978" s="1" t="n">
        <v>46105</v>
      </c>
      <c r="D978" t="inlineStr">
        <is>
          <t>JÄMTLANDS LÄN</t>
        </is>
      </c>
      <c r="E978" t="inlineStr">
        <is>
          <t>BRÄCKE</t>
        </is>
      </c>
      <c r="F978" t="inlineStr">
        <is>
          <t>SCA</t>
        </is>
      </c>
      <c r="G978" t="n">
        <v>5.8</v>
      </c>
      <c r="H978" t="n">
        <v>0</v>
      </c>
      <c r="I978" t="n">
        <v>0</v>
      </c>
      <c r="J978" t="n">
        <v>0</v>
      </c>
      <c r="K978" t="n">
        <v>0</v>
      </c>
      <c r="L978" t="n">
        <v>0</v>
      </c>
      <c r="M978" t="n">
        <v>0</v>
      </c>
      <c r="N978" t="n">
        <v>0</v>
      </c>
      <c r="O978" t="n">
        <v>0</v>
      </c>
      <c r="P978" t="n">
        <v>0</v>
      </c>
      <c r="Q978" t="n">
        <v>0</v>
      </c>
      <c r="R978" s="2" t="inlineStr"/>
    </row>
    <row r="979" ht="15" customHeight="1">
      <c r="A979" t="inlineStr">
        <is>
          <t>A 54986-2023</t>
        </is>
      </c>
      <c r="B979" s="1" t="n">
        <v>45236.96729166667</v>
      </c>
      <c r="C979" s="1" t="n">
        <v>46105</v>
      </c>
      <c r="D979" t="inlineStr">
        <is>
          <t>JÄMTLANDS LÄN</t>
        </is>
      </c>
      <c r="E979" t="inlineStr">
        <is>
          <t>BRÄCKE</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31526-2024</t>
        </is>
      </c>
      <c r="B980" s="1" t="n">
        <v>45505.95956018518</v>
      </c>
      <c r="C980" s="1" t="n">
        <v>46105</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45691-2022</t>
        </is>
      </c>
      <c r="B981" s="1" t="n">
        <v>44845.95319444445</v>
      </c>
      <c r="C981" s="1" t="n">
        <v>46105</v>
      </c>
      <c r="D981" t="inlineStr">
        <is>
          <t>JÄMTLANDS LÄN</t>
        </is>
      </c>
      <c r="E981" t="inlineStr">
        <is>
          <t>BRÄCKE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46623-2022</t>
        </is>
      </c>
      <c r="B982" s="1" t="n">
        <v>44848.95137731481</v>
      </c>
      <c r="C982" s="1" t="n">
        <v>46105</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48067-2025</t>
        </is>
      </c>
      <c r="B983" s="1" t="n">
        <v>45932.69829861111</v>
      </c>
      <c r="C983" s="1" t="n">
        <v>46105</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9970-2025</t>
        </is>
      </c>
      <c r="B984" s="1" t="n">
        <v>45719.38614583333</v>
      </c>
      <c r="C984" s="1" t="n">
        <v>46105</v>
      </c>
      <c r="D984" t="inlineStr">
        <is>
          <t>JÄMTLANDS LÄN</t>
        </is>
      </c>
      <c r="E984" t="inlineStr">
        <is>
          <t>BRÄCKE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36534-2025</t>
        </is>
      </c>
      <c r="B985" s="1" t="n">
        <v>45869.61495370371</v>
      </c>
      <c r="C985" s="1" t="n">
        <v>46105</v>
      </c>
      <c r="D985" t="inlineStr">
        <is>
          <t>JÄMTLANDS LÄN</t>
        </is>
      </c>
      <c r="E985" t="inlineStr">
        <is>
          <t>BRÄCKE</t>
        </is>
      </c>
      <c r="F985" t="inlineStr">
        <is>
          <t>SCA</t>
        </is>
      </c>
      <c r="G985" t="n">
        <v>22.1</v>
      </c>
      <c r="H985" t="n">
        <v>0</v>
      </c>
      <c r="I985" t="n">
        <v>0</v>
      </c>
      <c r="J985" t="n">
        <v>0</v>
      </c>
      <c r="K985" t="n">
        <v>0</v>
      </c>
      <c r="L985" t="n">
        <v>0</v>
      </c>
      <c r="M985" t="n">
        <v>0</v>
      </c>
      <c r="N985" t="n">
        <v>0</v>
      </c>
      <c r="O985" t="n">
        <v>0</v>
      </c>
      <c r="P985" t="n">
        <v>0</v>
      </c>
      <c r="Q985" t="n">
        <v>0</v>
      </c>
      <c r="R985" s="2" t="inlineStr"/>
    </row>
    <row r="986" ht="15" customHeight="1">
      <c r="A986" t="inlineStr">
        <is>
          <t>A 24588-2025</t>
        </is>
      </c>
      <c r="B986" s="1" t="n">
        <v>45798.53157407408</v>
      </c>
      <c r="C986" s="1" t="n">
        <v>46105</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27197-2025</t>
        </is>
      </c>
      <c r="B987" s="1" t="n">
        <v>45812.38596064815</v>
      </c>
      <c r="C987" s="1" t="n">
        <v>46105</v>
      </c>
      <c r="D987" t="inlineStr">
        <is>
          <t>JÄMTLANDS LÄN</t>
        </is>
      </c>
      <c r="E987" t="inlineStr">
        <is>
          <t>BRÄCKE</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47868-2025</t>
        </is>
      </c>
      <c r="B988" s="1" t="n">
        <v>45932.44094907407</v>
      </c>
      <c r="C988" s="1" t="n">
        <v>46105</v>
      </c>
      <c r="D988" t="inlineStr">
        <is>
          <t>JÄMTLANDS LÄN</t>
        </is>
      </c>
      <c r="E988" t="inlineStr">
        <is>
          <t>BRÄCKE</t>
        </is>
      </c>
      <c r="F988" t="inlineStr">
        <is>
          <t>Kyrkan</t>
        </is>
      </c>
      <c r="G988" t="n">
        <v>5.9</v>
      </c>
      <c r="H988" t="n">
        <v>0</v>
      </c>
      <c r="I988" t="n">
        <v>0</v>
      </c>
      <c r="J988" t="n">
        <v>0</v>
      </c>
      <c r="K988" t="n">
        <v>0</v>
      </c>
      <c r="L988" t="n">
        <v>0</v>
      </c>
      <c r="M988" t="n">
        <v>0</v>
      </c>
      <c r="N988" t="n">
        <v>0</v>
      </c>
      <c r="O988" t="n">
        <v>0</v>
      </c>
      <c r="P988" t="n">
        <v>0</v>
      </c>
      <c r="Q988" t="n">
        <v>0</v>
      </c>
      <c r="R988" s="2" t="inlineStr"/>
    </row>
    <row r="989" ht="15" customHeight="1">
      <c r="A989" t="inlineStr">
        <is>
          <t>A 5004-2023</t>
        </is>
      </c>
      <c r="B989" s="1" t="n">
        <v>44956</v>
      </c>
      <c r="C989" s="1" t="n">
        <v>46105</v>
      </c>
      <c r="D989" t="inlineStr">
        <is>
          <t>JÄMTLANDS LÄN</t>
        </is>
      </c>
      <c r="E989" t="inlineStr">
        <is>
          <t>BRÄCKE</t>
        </is>
      </c>
      <c r="G989" t="n">
        <v>1.1</v>
      </c>
      <c r="H989" t="n">
        <v>0</v>
      </c>
      <c r="I989" t="n">
        <v>0</v>
      </c>
      <c r="J989" t="n">
        <v>0</v>
      </c>
      <c r="K989" t="n">
        <v>0</v>
      </c>
      <c r="L989" t="n">
        <v>0</v>
      </c>
      <c r="M989" t="n">
        <v>0</v>
      </c>
      <c r="N989" t="n">
        <v>0</v>
      </c>
      <c r="O989" t="n">
        <v>0</v>
      </c>
      <c r="P989" t="n">
        <v>0</v>
      </c>
      <c r="Q989" t="n">
        <v>0</v>
      </c>
      <c r="R989" s="2" t="inlineStr"/>
    </row>
    <row r="990" ht="15" customHeight="1">
      <c r="A990" t="inlineStr">
        <is>
          <t>A 5169-2025</t>
        </is>
      </c>
      <c r="B990" s="1" t="n">
        <v>45691.61571759259</v>
      </c>
      <c r="C990" s="1" t="n">
        <v>46105</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36507-2025</t>
        </is>
      </c>
      <c r="B991" s="1" t="n">
        <v>45869.57335648148</v>
      </c>
      <c r="C991" s="1" t="n">
        <v>46105</v>
      </c>
      <c r="D991" t="inlineStr">
        <is>
          <t>JÄMTLANDS LÄN</t>
        </is>
      </c>
      <c r="E991" t="inlineStr">
        <is>
          <t>BRÄCKE</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36508-2025</t>
        </is>
      </c>
      <c r="B992" s="1" t="n">
        <v>45869.57351851852</v>
      </c>
      <c r="C992" s="1" t="n">
        <v>46105</v>
      </c>
      <c r="D992" t="inlineStr">
        <is>
          <t>JÄMTLANDS LÄN</t>
        </is>
      </c>
      <c r="E992" t="inlineStr">
        <is>
          <t>BRÄCKE</t>
        </is>
      </c>
      <c r="F992" t="inlineStr">
        <is>
          <t>SCA</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48706-2025</t>
        </is>
      </c>
      <c r="B993" s="1" t="n">
        <v>45936.62423611111</v>
      </c>
      <c r="C993" s="1" t="n">
        <v>46105</v>
      </c>
      <c r="D993" t="inlineStr">
        <is>
          <t>JÄMTLANDS LÄN</t>
        </is>
      </c>
      <c r="E993" t="inlineStr">
        <is>
          <t>BRÄCKE</t>
        </is>
      </c>
      <c r="F993" t="inlineStr">
        <is>
          <t>Övriga Aktiebolag</t>
        </is>
      </c>
      <c r="G993" t="n">
        <v>3.4</v>
      </c>
      <c r="H993" t="n">
        <v>0</v>
      </c>
      <c r="I993" t="n">
        <v>0</v>
      </c>
      <c r="J993" t="n">
        <v>0</v>
      </c>
      <c r="K993" t="n">
        <v>0</v>
      </c>
      <c r="L993" t="n">
        <v>0</v>
      </c>
      <c r="M993" t="n">
        <v>0</v>
      </c>
      <c r="N993" t="n">
        <v>0</v>
      </c>
      <c r="O993" t="n">
        <v>0</v>
      </c>
      <c r="P993" t="n">
        <v>0</v>
      </c>
      <c r="Q993" t="n">
        <v>0</v>
      </c>
      <c r="R993" s="2" t="inlineStr"/>
    </row>
    <row r="994" ht="15" customHeight="1">
      <c r="A994" t="inlineStr">
        <is>
          <t>A 59650-2024</t>
        </is>
      </c>
      <c r="B994" s="1" t="n">
        <v>45639.34488425926</v>
      </c>
      <c r="C994" s="1" t="n">
        <v>46105</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36970-2025</t>
        </is>
      </c>
      <c r="B995" s="1" t="n">
        <v>45874.63700231481</v>
      </c>
      <c r="C995" s="1" t="n">
        <v>46105</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48177-2025</t>
        </is>
      </c>
      <c r="B996" s="1" t="n">
        <v>45933.44846064815</v>
      </c>
      <c r="C996" s="1" t="n">
        <v>46105</v>
      </c>
      <c r="D996" t="inlineStr">
        <is>
          <t>JÄMTLANDS LÄN</t>
        </is>
      </c>
      <c r="E996" t="inlineStr">
        <is>
          <t>BRÄCKE</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48562-2025</t>
        </is>
      </c>
      <c r="B997" s="1" t="n">
        <v>45936.43636574074</v>
      </c>
      <c r="C997" s="1" t="n">
        <v>46105</v>
      </c>
      <c r="D997" t="inlineStr">
        <is>
          <t>JÄMTLANDS LÄN</t>
        </is>
      </c>
      <c r="E997" t="inlineStr">
        <is>
          <t>BRÄCKE</t>
        </is>
      </c>
      <c r="F997" t="inlineStr">
        <is>
          <t>Övriga Aktiebolag</t>
        </is>
      </c>
      <c r="G997" t="n">
        <v>6.6</v>
      </c>
      <c r="H997" t="n">
        <v>0</v>
      </c>
      <c r="I997" t="n">
        <v>0</v>
      </c>
      <c r="J997" t="n">
        <v>0</v>
      </c>
      <c r="K997" t="n">
        <v>0</v>
      </c>
      <c r="L997" t="n">
        <v>0</v>
      </c>
      <c r="M997" t="n">
        <v>0</v>
      </c>
      <c r="N997" t="n">
        <v>0</v>
      </c>
      <c r="O997" t="n">
        <v>0</v>
      </c>
      <c r="P997" t="n">
        <v>0</v>
      </c>
      <c r="Q997" t="n">
        <v>0</v>
      </c>
      <c r="R997" s="2" t="inlineStr"/>
    </row>
    <row r="998" ht="15" customHeight="1">
      <c r="A998" t="inlineStr">
        <is>
          <t>A 48660-2025</t>
        </is>
      </c>
      <c r="B998" s="1" t="n">
        <v>45936.56836805555</v>
      </c>
      <c r="C998" s="1" t="n">
        <v>46105</v>
      </c>
      <c r="D998" t="inlineStr">
        <is>
          <t>JÄMTLANDS LÄN</t>
        </is>
      </c>
      <c r="E998" t="inlineStr">
        <is>
          <t>BRÄCKE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37116-2025</t>
        </is>
      </c>
      <c r="B999" s="1" t="n">
        <v>45875.51150462963</v>
      </c>
      <c r="C999" s="1" t="n">
        <v>46105</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37241-2025</t>
        </is>
      </c>
      <c r="B1000" s="1" t="n">
        <v>45876.38599537037</v>
      </c>
      <c r="C1000" s="1" t="n">
        <v>46105</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37117-2025</t>
        </is>
      </c>
      <c r="B1001" s="1" t="n">
        <v>45875.51163194444</v>
      </c>
      <c r="C1001" s="1" t="n">
        <v>46105</v>
      </c>
      <c r="D1001" t="inlineStr">
        <is>
          <t>JÄMTLANDS LÄN</t>
        </is>
      </c>
      <c r="E1001" t="inlineStr">
        <is>
          <t>BRÄCKE</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48851-2025</t>
        </is>
      </c>
      <c r="B1002" s="1" t="n">
        <v>45937.42969907408</v>
      </c>
      <c r="C1002" s="1" t="n">
        <v>46105</v>
      </c>
      <c r="D1002" t="inlineStr">
        <is>
          <t>JÄMTLANDS LÄN</t>
        </is>
      </c>
      <c r="E1002" t="inlineStr">
        <is>
          <t>BRÄCKE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22841-2025</t>
        </is>
      </c>
      <c r="B1003" s="1" t="n">
        <v>45789</v>
      </c>
      <c r="C1003" s="1" t="n">
        <v>46105</v>
      </c>
      <c r="D1003" t="inlineStr">
        <is>
          <t>JÄMTLANDS LÄN</t>
        </is>
      </c>
      <c r="E1003" t="inlineStr">
        <is>
          <t>BRÄCKE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37185-2025</t>
        </is>
      </c>
      <c r="B1004" s="1" t="n">
        <v>45875.63608796296</v>
      </c>
      <c r="C1004" s="1" t="n">
        <v>46105</v>
      </c>
      <c r="D1004" t="inlineStr">
        <is>
          <t>JÄMTLANDS LÄN</t>
        </is>
      </c>
      <c r="E1004" t="inlineStr">
        <is>
          <t>BRÄCKE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49046-2025</t>
        </is>
      </c>
      <c r="B1005" s="1" t="n">
        <v>45937.63693287037</v>
      </c>
      <c r="C1005" s="1" t="n">
        <v>46105</v>
      </c>
      <c r="D1005" t="inlineStr">
        <is>
          <t>JÄMTLANDS LÄN</t>
        </is>
      </c>
      <c r="E1005" t="inlineStr">
        <is>
          <t>BRÄCKE</t>
        </is>
      </c>
      <c r="F1005" t="inlineStr">
        <is>
          <t>SCA</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37074-2025</t>
        </is>
      </c>
      <c r="B1006" s="1" t="n">
        <v>45875.40717592592</v>
      </c>
      <c r="C1006" s="1" t="n">
        <v>46105</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37093-2025</t>
        </is>
      </c>
      <c r="B1007" s="1" t="n">
        <v>45875.46909722222</v>
      </c>
      <c r="C1007" s="1" t="n">
        <v>46105</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37412-2025</t>
        </is>
      </c>
      <c r="B1008" s="1" t="n">
        <v>45877.46915509259</v>
      </c>
      <c r="C1008" s="1" t="n">
        <v>46105</v>
      </c>
      <c r="D1008" t="inlineStr">
        <is>
          <t>JÄMTLANDS LÄN</t>
        </is>
      </c>
      <c r="E1008" t="inlineStr">
        <is>
          <t>BRÄCKE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37403-2025</t>
        </is>
      </c>
      <c r="B1009" s="1" t="n">
        <v>45877.44828703703</v>
      </c>
      <c r="C1009" s="1" t="n">
        <v>46105</v>
      </c>
      <c r="D1009" t="inlineStr">
        <is>
          <t>JÄMTLANDS LÄN</t>
        </is>
      </c>
      <c r="E1009" t="inlineStr">
        <is>
          <t>BRÄCKE</t>
        </is>
      </c>
      <c r="F1009" t="inlineStr">
        <is>
          <t>SCA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37411-2025</t>
        </is>
      </c>
      <c r="B1010" s="1" t="n">
        <v>45877.46912037037</v>
      </c>
      <c r="C1010" s="1" t="n">
        <v>46105</v>
      </c>
      <c r="D1010" t="inlineStr">
        <is>
          <t>JÄMTLANDS LÄN</t>
        </is>
      </c>
      <c r="E1010" t="inlineStr">
        <is>
          <t>BRÄCKE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37459-2025</t>
        </is>
      </c>
      <c r="B1011" s="1" t="n">
        <v>45877.57327546296</v>
      </c>
      <c r="C1011" s="1" t="n">
        <v>46105</v>
      </c>
      <c r="D1011" t="inlineStr">
        <is>
          <t>JÄMTLANDS LÄN</t>
        </is>
      </c>
      <c r="E1011" t="inlineStr">
        <is>
          <t>BRÄCKE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3840-2024</t>
        </is>
      </c>
      <c r="B1012" s="1" t="n">
        <v>45321.94605324074</v>
      </c>
      <c r="C1012" s="1" t="n">
        <v>46105</v>
      </c>
      <c r="D1012" t="inlineStr">
        <is>
          <t>JÄMTLANDS LÄN</t>
        </is>
      </c>
      <c r="E1012" t="inlineStr">
        <is>
          <t>BRÄCKE</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49292-2025</t>
        </is>
      </c>
      <c r="B1013" s="1" t="n">
        <v>45938.53203703704</v>
      </c>
      <c r="C1013" s="1" t="n">
        <v>46105</v>
      </c>
      <c r="D1013" t="inlineStr">
        <is>
          <t>JÄMTLANDS LÄN</t>
        </is>
      </c>
      <c r="E1013" t="inlineStr">
        <is>
          <t>BRÄCKE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37423-2025</t>
        </is>
      </c>
      <c r="B1014" s="1" t="n">
        <v>45877.48996527777</v>
      </c>
      <c r="C1014" s="1" t="n">
        <v>46105</v>
      </c>
      <c r="D1014" t="inlineStr">
        <is>
          <t>JÄMTLANDS LÄN</t>
        </is>
      </c>
      <c r="E1014" t="inlineStr">
        <is>
          <t>BRÄCKE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37938-2025</t>
        </is>
      </c>
      <c r="B1015" s="1" t="n">
        <v>45880</v>
      </c>
      <c r="C1015" s="1" t="n">
        <v>46105</v>
      </c>
      <c r="D1015" t="inlineStr">
        <is>
          <t>JÄMTLANDS LÄN</t>
        </is>
      </c>
      <c r="E1015" t="inlineStr">
        <is>
          <t>BRÄCKE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49255-2025</t>
        </is>
      </c>
      <c r="B1016" s="1" t="n">
        <v>45938.49164351852</v>
      </c>
      <c r="C1016" s="1" t="n">
        <v>46105</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49260-2025</t>
        </is>
      </c>
      <c r="B1017" s="1" t="n">
        <v>45938.49702546297</v>
      </c>
      <c r="C1017" s="1" t="n">
        <v>46105</v>
      </c>
      <c r="D1017" t="inlineStr">
        <is>
          <t>JÄMTLANDS LÄN</t>
        </is>
      </c>
      <c r="E1017" t="inlineStr">
        <is>
          <t>BRÄCKE</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41450-2024</t>
        </is>
      </c>
      <c r="B1018" s="1" t="n">
        <v>45560.40653935185</v>
      </c>
      <c r="C1018" s="1" t="n">
        <v>46105</v>
      </c>
      <c r="D1018" t="inlineStr">
        <is>
          <t>JÄMTLANDS LÄN</t>
        </is>
      </c>
      <c r="E1018" t="inlineStr">
        <is>
          <t>BRÄCKE</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37394-2025</t>
        </is>
      </c>
      <c r="B1019" s="1" t="n">
        <v>45877.4275462963</v>
      </c>
      <c r="C1019" s="1" t="n">
        <v>46105</v>
      </c>
      <c r="D1019" t="inlineStr">
        <is>
          <t>JÄMTLANDS LÄN</t>
        </is>
      </c>
      <c r="E1019" t="inlineStr">
        <is>
          <t>BRÄCKE</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37709-2025</t>
        </is>
      </c>
      <c r="B1020" s="1" t="n">
        <v>45880.59458333333</v>
      </c>
      <c r="C1020" s="1" t="n">
        <v>46105</v>
      </c>
      <c r="D1020" t="inlineStr">
        <is>
          <t>JÄMTLANDS LÄN</t>
        </is>
      </c>
      <c r="E1020" t="inlineStr">
        <is>
          <t>BRÄCKE</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48982-2025</t>
        </is>
      </c>
      <c r="B1021" s="1" t="n">
        <v>45937.57377314815</v>
      </c>
      <c r="C1021" s="1" t="n">
        <v>46105</v>
      </c>
      <c r="D1021" t="inlineStr">
        <is>
          <t>JÄMTLANDS LÄN</t>
        </is>
      </c>
      <c r="E1021" t="inlineStr">
        <is>
          <t>BRÄCKE</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37377-2025</t>
        </is>
      </c>
      <c r="B1022" s="1" t="n">
        <v>45877.3653125</v>
      </c>
      <c r="C1022" s="1" t="n">
        <v>46105</v>
      </c>
      <c r="D1022" t="inlineStr">
        <is>
          <t>JÄMTLANDS LÄN</t>
        </is>
      </c>
      <c r="E1022" t="inlineStr">
        <is>
          <t>BRÄCKE</t>
        </is>
      </c>
      <c r="F1022" t="inlineStr">
        <is>
          <t>SCA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49276-2025</t>
        </is>
      </c>
      <c r="B1023" s="1" t="n">
        <v>45938.50738425926</v>
      </c>
      <c r="C1023" s="1" t="n">
        <v>46105</v>
      </c>
      <c r="D1023" t="inlineStr">
        <is>
          <t>JÄMTLANDS LÄN</t>
        </is>
      </c>
      <c r="E1023" t="inlineStr">
        <is>
          <t>BRÄCKE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37405-2025</t>
        </is>
      </c>
      <c r="B1024" s="1" t="n">
        <v>45877.44858796296</v>
      </c>
      <c r="C1024" s="1" t="n">
        <v>46105</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37460-2025</t>
        </is>
      </c>
      <c r="B1025" s="1" t="n">
        <v>45877.57342592593</v>
      </c>
      <c r="C1025" s="1" t="n">
        <v>46105</v>
      </c>
      <c r="D1025" t="inlineStr">
        <is>
          <t>JÄMTLANDS LÄN</t>
        </is>
      </c>
      <c r="E1025" t="inlineStr">
        <is>
          <t>BRÄCKE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49826-2025</t>
        </is>
      </c>
      <c r="B1026" s="1" t="n">
        <v>45940.44829861111</v>
      </c>
      <c r="C1026" s="1" t="n">
        <v>46105</v>
      </c>
      <c r="D1026" t="inlineStr">
        <is>
          <t>JÄMTLANDS LÄN</t>
        </is>
      </c>
      <c r="E1026" t="inlineStr">
        <is>
          <t>BRÄCKE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37585-2025</t>
        </is>
      </c>
      <c r="B1027" s="1" t="n">
        <v>45880.40076388889</v>
      </c>
      <c r="C1027" s="1" t="n">
        <v>46105</v>
      </c>
      <c r="D1027" t="inlineStr">
        <is>
          <t>JÄMTLANDS LÄN</t>
        </is>
      </c>
      <c r="E1027" t="inlineStr">
        <is>
          <t>BRÄCKE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37464-2025</t>
        </is>
      </c>
      <c r="B1028" s="1" t="n">
        <v>45877.57395833333</v>
      </c>
      <c r="C1028" s="1" t="n">
        <v>46105</v>
      </c>
      <c r="D1028" t="inlineStr">
        <is>
          <t>JÄMTLANDS LÄN</t>
        </is>
      </c>
      <c r="E1028" t="inlineStr">
        <is>
          <t>BRÄCKE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38025-2025</t>
        </is>
      </c>
      <c r="B1029" s="1" t="n">
        <v>45882.34527777778</v>
      </c>
      <c r="C1029" s="1" t="n">
        <v>46105</v>
      </c>
      <c r="D1029" t="inlineStr">
        <is>
          <t>JÄMTLANDS LÄN</t>
        </is>
      </c>
      <c r="E1029" t="inlineStr">
        <is>
          <t>BRÄCKE</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37974-2025</t>
        </is>
      </c>
      <c r="B1030" s="1" t="n">
        <v>45881.67743055556</v>
      </c>
      <c r="C1030" s="1" t="n">
        <v>46105</v>
      </c>
      <c r="D1030" t="inlineStr">
        <is>
          <t>JÄMTLANDS LÄN</t>
        </is>
      </c>
      <c r="E1030" t="inlineStr">
        <is>
          <t>BRÄCKE</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33112-2024</t>
        </is>
      </c>
      <c r="B1031" s="1" t="n">
        <v>45517.92994212963</v>
      </c>
      <c r="C1031" s="1" t="n">
        <v>46105</v>
      </c>
      <c r="D1031" t="inlineStr">
        <is>
          <t>JÄMTLANDS LÄN</t>
        </is>
      </c>
      <c r="E1031" t="inlineStr">
        <is>
          <t>BRÄCKE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38095-2025</t>
        </is>
      </c>
      <c r="B1032" s="1" t="n">
        <v>45882.49050925926</v>
      </c>
      <c r="C1032" s="1" t="n">
        <v>46105</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38072-2025</t>
        </is>
      </c>
      <c r="B1033" s="1" t="n">
        <v>45882</v>
      </c>
      <c r="C1033" s="1" t="n">
        <v>46105</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37887-2025</t>
        </is>
      </c>
      <c r="B1034" s="1" t="n">
        <v>45881.51099537037</v>
      </c>
      <c r="C1034" s="1" t="n">
        <v>46105</v>
      </c>
      <c r="D1034" t="inlineStr">
        <is>
          <t>JÄMTLANDS LÄN</t>
        </is>
      </c>
      <c r="E1034" t="inlineStr">
        <is>
          <t>BRÄCKE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50256-2025</t>
        </is>
      </c>
      <c r="B1035" s="1" t="n">
        <v>45944.34435185185</v>
      </c>
      <c r="C1035" s="1" t="n">
        <v>46105</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50263-2025</t>
        </is>
      </c>
      <c r="B1036" s="1" t="n">
        <v>45944.34545138889</v>
      </c>
      <c r="C1036" s="1" t="n">
        <v>46105</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14474-2025</t>
        </is>
      </c>
      <c r="B1037" s="1" t="n">
        <v>45741.57782407408</v>
      </c>
      <c r="C1037" s="1" t="n">
        <v>46105</v>
      </c>
      <c r="D1037" t="inlineStr">
        <is>
          <t>JÄMTLANDS LÄN</t>
        </is>
      </c>
      <c r="E1037" t="inlineStr">
        <is>
          <t>BRÄCKE</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49399-2024</t>
        </is>
      </c>
      <c r="B1038" s="1" t="n">
        <v>45595.67138888889</v>
      </c>
      <c r="C1038" s="1" t="n">
        <v>46105</v>
      </c>
      <c r="D1038" t="inlineStr">
        <is>
          <t>JÄMTLANDS LÄN</t>
        </is>
      </c>
      <c r="E1038" t="inlineStr">
        <is>
          <t>BRÄCKE</t>
        </is>
      </c>
      <c r="F1038" t="inlineStr">
        <is>
          <t>SCA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49400-2024</t>
        </is>
      </c>
      <c r="B1039" s="1" t="n">
        <v>45595.67152777778</v>
      </c>
      <c r="C1039" s="1" t="n">
        <v>46105</v>
      </c>
      <c r="D1039" t="inlineStr">
        <is>
          <t>JÄMTLANDS LÄN</t>
        </is>
      </c>
      <c r="E1039" t="inlineStr">
        <is>
          <t>BRÄCKE</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38030-2025</t>
        </is>
      </c>
      <c r="B1040" s="1" t="n">
        <v>45882.36521990741</v>
      </c>
      <c r="C1040" s="1" t="n">
        <v>46105</v>
      </c>
      <c r="D1040" t="inlineStr">
        <is>
          <t>JÄMTLANDS LÄN</t>
        </is>
      </c>
      <c r="E1040" t="inlineStr">
        <is>
          <t>BRÄCKE</t>
        </is>
      </c>
      <c r="F1040" t="inlineStr">
        <is>
          <t>SCA</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50016-2025</t>
        </is>
      </c>
      <c r="B1041" s="1" t="n">
        <v>45943.35318287037</v>
      </c>
      <c r="C1041" s="1" t="n">
        <v>46105</v>
      </c>
      <c r="D1041" t="inlineStr">
        <is>
          <t>JÄMTLANDS LÄN</t>
        </is>
      </c>
      <c r="E1041" t="inlineStr">
        <is>
          <t>BRÄCKE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50079-2025</t>
        </is>
      </c>
      <c r="B1042" s="1" t="n">
        <v>45943.46916666667</v>
      </c>
      <c r="C1042" s="1" t="n">
        <v>46105</v>
      </c>
      <c r="D1042" t="inlineStr">
        <is>
          <t>JÄMTLANDS LÄN</t>
        </is>
      </c>
      <c r="E1042" t="inlineStr">
        <is>
          <t>BRÄCKE</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45722-2024</t>
        </is>
      </c>
      <c r="B1043" s="1" t="n">
        <v>45579.59447916667</v>
      </c>
      <c r="C1043" s="1" t="n">
        <v>46105</v>
      </c>
      <c r="D1043" t="inlineStr">
        <is>
          <t>JÄMTLANDS LÄN</t>
        </is>
      </c>
      <c r="E1043" t="inlineStr">
        <is>
          <t>BRÄCKE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53113-2022</t>
        </is>
      </c>
      <c r="B1044" s="1" t="n">
        <v>44873</v>
      </c>
      <c r="C1044" s="1" t="n">
        <v>46105</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50272-2025</t>
        </is>
      </c>
      <c r="B1045" s="1" t="n">
        <v>45944.365</v>
      </c>
      <c r="C1045" s="1" t="n">
        <v>46105</v>
      </c>
      <c r="D1045" t="inlineStr">
        <is>
          <t>JÄMTLANDS LÄN</t>
        </is>
      </c>
      <c r="E1045" t="inlineStr">
        <is>
          <t>BRÄCKE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50257-2025</t>
        </is>
      </c>
      <c r="B1046" s="1" t="n">
        <v>45944.34462962963</v>
      </c>
      <c r="C1046" s="1" t="n">
        <v>46105</v>
      </c>
      <c r="D1046" t="inlineStr">
        <is>
          <t>JÄMTLANDS LÄN</t>
        </is>
      </c>
      <c r="E1046" t="inlineStr">
        <is>
          <t>BRÄCKE</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50214-2025</t>
        </is>
      </c>
      <c r="B1047" s="1" t="n">
        <v>45943.67826388889</v>
      </c>
      <c r="C1047" s="1" t="n">
        <v>46105</v>
      </c>
      <c r="D1047" t="inlineStr">
        <is>
          <t>JÄMTLANDS LÄN</t>
        </is>
      </c>
      <c r="E1047" t="inlineStr">
        <is>
          <t>BRÄCKE</t>
        </is>
      </c>
      <c r="F1047" t="inlineStr">
        <is>
          <t>SCA</t>
        </is>
      </c>
      <c r="G1047" t="n">
        <v>15.7</v>
      </c>
      <c r="H1047" t="n">
        <v>0</v>
      </c>
      <c r="I1047" t="n">
        <v>0</v>
      </c>
      <c r="J1047" t="n">
        <v>0</v>
      </c>
      <c r="K1047" t="n">
        <v>0</v>
      </c>
      <c r="L1047" t="n">
        <v>0</v>
      </c>
      <c r="M1047" t="n">
        <v>0</v>
      </c>
      <c r="N1047" t="n">
        <v>0</v>
      </c>
      <c r="O1047" t="n">
        <v>0</v>
      </c>
      <c r="P1047" t="n">
        <v>0</v>
      </c>
      <c r="Q1047" t="n">
        <v>0</v>
      </c>
      <c r="R1047" s="2" t="inlineStr"/>
    </row>
    <row r="1048" ht="15" customHeight="1">
      <c r="A1048" t="inlineStr">
        <is>
          <t>A 50216-2025</t>
        </is>
      </c>
      <c r="B1048" s="1" t="n">
        <v>45943.67859953704</v>
      </c>
      <c r="C1048" s="1" t="n">
        <v>46105</v>
      </c>
      <c r="D1048" t="inlineStr">
        <is>
          <t>JÄMTLANDS LÄN</t>
        </is>
      </c>
      <c r="E1048" t="inlineStr">
        <is>
          <t>BRÄCKE</t>
        </is>
      </c>
      <c r="F1048" t="inlineStr">
        <is>
          <t>SCA</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50271-2025</t>
        </is>
      </c>
      <c r="B1049" s="1" t="n">
        <v>45944.35690972222</v>
      </c>
      <c r="C1049" s="1" t="n">
        <v>46105</v>
      </c>
      <c r="D1049" t="inlineStr">
        <is>
          <t>JÄMTLANDS LÄN</t>
        </is>
      </c>
      <c r="E1049" t="inlineStr">
        <is>
          <t>BRÄCKE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50262-2025</t>
        </is>
      </c>
      <c r="B1050" s="1" t="n">
        <v>45944.34542824074</v>
      </c>
      <c r="C1050" s="1" t="n">
        <v>46105</v>
      </c>
      <c r="D1050" t="inlineStr">
        <is>
          <t>JÄMTLANDS LÄN</t>
        </is>
      </c>
      <c r="E1050" t="inlineStr">
        <is>
          <t>BRÄCKE</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38456-2025</t>
        </is>
      </c>
      <c r="B1051" s="1" t="n">
        <v>45883.69831018519</v>
      </c>
      <c r="C1051" s="1" t="n">
        <v>46105</v>
      </c>
      <c r="D1051" t="inlineStr">
        <is>
          <t>JÄMTLANDS LÄN</t>
        </is>
      </c>
      <c r="E1051" t="inlineStr">
        <is>
          <t>BRÄCKE</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38333-2025</t>
        </is>
      </c>
      <c r="B1052" s="1" t="n">
        <v>45883.49164351852</v>
      </c>
      <c r="C1052" s="1" t="n">
        <v>46105</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38461-2025</t>
        </is>
      </c>
      <c r="B1053" s="1" t="n">
        <v>45883.71962962963</v>
      </c>
      <c r="C1053" s="1" t="n">
        <v>46105</v>
      </c>
      <c r="D1053" t="inlineStr">
        <is>
          <t>JÄMTLANDS LÄN</t>
        </is>
      </c>
      <c r="E1053" t="inlineStr">
        <is>
          <t>BRÄCKE</t>
        </is>
      </c>
      <c r="F1053" t="inlineStr">
        <is>
          <t>SCA</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56732-2022</t>
        </is>
      </c>
      <c r="B1054" s="1" t="n">
        <v>44893.94966435185</v>
      </c>
      <c r="C1054" s="1" t="n">
        <v>46105</v>
      </c>
      <c r="D1054" t="inlineStr">
        <is>
          <t>JÄMTLANDS LÄN</t>
        </is>
      </c>
      <c r="E1054" t="inlineStr">
        <is>
          <t>BRÄCKE</t>
        </is>
      </c>
      <c r="F1054" t="inlineStr">
        <is>
          <t>SCA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11331-2024</t>
        </is>
      </c>
      <c r="B1055" s="1" t="n">
        <v>45372.04696759259</v>
      </c>
      <c r="C1055" s="1" t="n">
        <v>46105</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50722-2025</t>
        </is>
      </c>
      <c r="B1056" s="1" t="n">
        <v>45946.34673611111</v>
      </c>
      <c r="C1056" s="1" t="n">
        <v>46105</v>
      </c>
      <c r="D1056" t="inlineStr">
        <is>
          <t>JÄMTLANDS LÄN</t>
        </is>
      </c>
      <c r="E1056" t="inlineStr">
        <is>
          <t>BRÄCKE</t>
        </is>
      </c>
      <c r="F1056" t="inlineStr">
        <is>
          <t>SCA</t>
        </is>
      </c>
      <c r="G1056" t="n">
        <v>22.7</v>
      </c>
      <c r="H1056" t="n">
        <v>0</v>
      </c>
      <c r="I1056" t="n">
        <v>0</v>
      </c>
      <c r="J1056" t="n">
        <v>0</v>
      </c>
      <c r="K1056" t="n">
        <v>0</v>
      </c>
      <c r="L1056" t="n">
        <v>0</v>
      </c>
      <c r="M1056" t="n">
        <v>0</v>
      </c>
      <c r="N1056" t="n">
        <v>0</v>
      </c>
      <c r="O1056" t="n">
        <v>0</v>
      </c>
      <c r="P1056" t="n">
        <v>0</v>
      </c>
      <c r="Q1056" t="n">
        <v>0</v>
      </c>
      <c r="R1056" s="2" t="inlineStr"/>
    </row>
    <row r="1057" ht="15" customHeight="1">
      <c r="A1057" t="inlineStr">
        <is>
          <t>A 38381-2025</t>
        </is>
      </c>
      <c r="B1057" s="1" t="n">
        <v>45883.57380787037</v>
      </c>
      <c r="C1057" s="1" t="n">
        <v>46105</v>
      </c>
      <c r="D1057" t="inlineStr">
        <is>
          <t>JÄMTLANDS LÄN</t>
        </is>
      </c>
      <c r="E1057" t="inlineStr">
        <is>
          <t>BRÄCKE</t>
        </is>
      </c>
      <c r="G1057" t="n">
        <v>11.1</v>
      </c>
      <c r="H1057" t="n">
        <v>0</v>
      </c>
      <c r="I1057" t="n">
        <v>0</v>
      </c>
      <c r="J1057" t="n">
        <v>0</v>
      </c>
      <c r="K1057" t="n">
        <v>0</v>
      </c>
      <c r="L1057" t="n">
        <v>0</v>
      </c>
      <c r="M1057" t="n">
        <v>0</v>
      </c>
      <c r="N1057" t="n">
        <v>0</v>
      </c>
      <c r="O1057" t="n">
        <v>0</v>
      </c>
      <c r="P1057" t="n">
        <v>0</v>
      </c>
      <c r="Q1057" t="n">
        <v>0</v>
      </c>
      <c r="R1057" s="2" t="inlineStr"/>
    </row>
    <row r="1058" ht="15" customHeight="1">
      <c r="A1058" t="inlineStr">
        <is>
          <t>A 38278-2025</t>
        </is>
      </c>
      <c r="B1058" s="1" t="n">
        <v>45883.41405092592</v>
      </c>
      <c r="C1058" s="1" t="n">
        <v>46105</v>
      </c>
      <c r="D1058" t="inlineStr">
        <is>
          <t>JÄMTLANDS LÄN</t>
        </is>
      </c>
      <c r="E1058" t="inlineStr">
        <is>
          <t>BRÄCKE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50669-2025</t>
        </is>
      </c>
      <c r="B1059" s="1" t="n">
        <v>45945.70633101852</v>
      </c>
      <c r="C1059" s="1" t="n">
        <v>46105</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18036-2025</t>
        </is>
      </c>
      <c r="B1060" s="1" t="n">
        <v>45761.45518518519</v>
      </c>
      <c r="C1060" s="1" t="n">
        <v>46105</v>
      </c>
      <c r="D1060" t="inlineStr">
        <is>
          <t>JÄMTLANDS LÄN</t>
        </is>
      </c>
      <c r="E1060" t="inlineStr">
        <is>
          <t>BRÄCKE</t>
        </is>
      </c>
      <c r="G1060" t="n">
        <v>19.5</v>
      </c>
      <c r="H1060" t="n">
        <v>0</v>
      </c>
      <c r="I1060" t="n">
        <v>0</v>
      </c>
      <c r="J1060" t="n">
        <v>0</v>
      </c>
      <c r="K1060" t="n">
        <v>0</v>
      </c>
      <c r="L1060" t="n">
        <v>0</v>
      </c>
      <c r="M1060" t="n">
        <v>0</v>
      </c>
      <c r="N1060" t="n">
        <v>0</v>
      </c>
      <c r="O1060" t="n">
        <v>0</v>
      </c>
      <c r="P1060" t="n">
        <v>0</v>
      </c>
      <c r="Q1060" t="n">
        <v>0</v>
      </c>
      <c r="R1060" s="2" t="inlineStr"/>
    </row>
    <row r="1061" ht="15" customHeight="1">
      <c r="A1061" t="inlineStr">
        <is>
          <t>A 38123-2025</t>
        </is>
      </c>
      <c r="B1061" s="1" t="n">
        <v>45882.55259259259</v>
      </c>
      <c r="C1061" s="1" t="n">
        <v>46105</v>
      </c>
      <c r="D1061" t="inlineStr">
        <is>
          <t>JÄMTLANDS LÄN</t>
        </is>
      </c>
      <c r="E1061" t="inlineStr">
        <is>
          <t>BRÄCKE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18984-2022</t>
        </is>
      </c>
      <c r="B1062" s="1" t="n">
        <v>44690</v>
      </c>
      <c r="C1062" s="1" t="n">
        <v>46105</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51452-2025</t>
        </is>
      </c>
      <c r="B1063" s="1" t="n">
        <v>45950.59430555555</v>
      </c>
      <c r="C1063" s="1" t="n">
        <v>46105</v>
      </c>
      <c r="D1063" t="inlineStr">
        <is>
          <t>JÄMTLANDS LÄN</t>
        </is>
      </c>
      <c r="E1063" t="inlineStr">
        <is>
          <t>BRÄCKE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56895-2021</t>
        </is>
      </c>
      <c r="B1064" s="1" t="n">
        <v>44481.92086805555</v>
      </c>
      <c r="C1064" s="1" t="n">
        <v>46105</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38304-2025</t>
        </is>
      </c>
      <c r="B1065" s="1" t="n">
        <v>45883.46912037037</v>
      </c>
      <c r="C1065" s="1" t="n">
        <v>46105</v>
      </c>
      <c r="D1065" t="inlineStr">
        <is>
          <t>JÄMTLANDS LÄN</t>
        </is>
      </c>
      <c r="E1065" t="inlineStr">
        <is>
          <t>BRÄCKE</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51204-2025</t>
        </is>
      </c>
      <c r="B1066" s="1" t="n">
        <v>45947.63607638889</v>
      </c>
      <c r="C1066" s="1" t="n">
        <v>46105</v>
      </c>
      <c r="D1066" t="inlineStr">
        <is>
          <t>JÄMTLANDS LÄN</t>
        </is>
      </c>
      <c r="E1066" t="inlineStr">
        <is>
          <t>BRÄCKE</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51205-2025</t>
        </is>
      </c>
      <c r="B1067" s="1" t="n">
        <v>45947.63615740741</v>
      </c>
      <c r="C1067" s="1" t="n">
        <v>46105</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22980-2024</t>
        </is>
      </c>
      <c r="B1068" s="1" t="n">
        <v>45449.90008101852</v>
      </c>
      <c r="C1068" s="1" t="n">
        <v>46105</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3020-2023</t>
        </is>
      </c>
      <c r="B1069" s="1" t="n">
        <v>44945.9396412037</v>
      </c>
      <c r="C1069" s="1" t="n">
        <v>46105</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18982-2025</t>
        </is>
      </c>
      <c r="B1070" s="1" t="n">
        <v>45764.55288194444</v>
      </c>
      <c r="C1070" s="1" t="n">
        <v>46105</v>
      </c>
      <c r="D1070" t="inlineStr">
        <is>
          <t>JÄMTLANDS LÄN</t>
        </is>
      </c>
      <c r="E1070" t="inlineStr">
        <is>
          <t>BRÄCKE</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38326-2025</t>
        </is>
      </c>
      <c r="B1071" s="1" t="n">
        <v>45883.49070601852</v>
      </c>
      <c r="C1071" s="1" t="n">
        <v>46105</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38328-2025</t>
        </is>
      </c>
      <c r="B1072" s="1" t="n">
        <v>45883.4909837963</v>
      </c>
      <c r="C1072" s="1" t="n">
        <v>46105</v>
      </c>
      <c r="D1072" t="inlineStr">
        <is>
          <t>JÄMTLANDS LÄN</t>
        </is>
      </c>
      <c r="E1072" t="inlineStr">
        <is>
          <t>BRÄCKE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3032-2023</t>
        </is>
      </c>
      <c r="B1073" s="1" t="n">
        <v>44945.9412962963</v>
      </c>
      <c r="C1073" s="1" t="n">
        <v>46105</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38358-2025</t>
        </is>
      </c>
      <c r="B1074" s="1" t="n">
        <v>45883.5327662037</v>
      </c>
      <c r="C1074" s="1" t="n">
        <v>46105</v>
      </c>
      <c r="D1074" t="inlineStr">
        <is>
          <t>JÄMTLANDS LÄN</t>
        </is>
      </c>
      <c r="E1074" t="inlineStr">
        <is>
          <t>BRÄCKE</t>
        </is>
      </c>
      <c r="F1074" t="inlineStr">
        <is>
          <t>SCA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38361-2025</t>
        </is>
      </c>
      <c r="B1075" s="1" t="n">
        <v>45883.53303240741</v>
      </c>
      <c r="C1075" s="1" t="n">
        <v>46105</v>
      </c>
      <c r="D1075" t="inlineStr">
        <is>
          <t>JÄMTLANDS LÄN</t>
        </is>
      </c>
      <c r="E1075" t="inlineStr">
        <is>
          <t>BRÄCKE</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38391-2025</t>
        </is>
      </c>
      <c r="B1076" s="1" t="n">
        <v>45883.57501157407</v>
      </c>
      <c r="C1076" s="1" t="n">
        <v>46105</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48900-2023</t>
        </is>
      </c>
      <c r="B1077" s="1" t="n">
        <v>45209</v>
      </c>
      <c r="C1077" s="1" t="n">
        <v>46105</v>
      </c>
      <c r="D1077" t="inlineStr">
        <is>
          <t>JÄMTLANDS LÄN</t>
        </is>
      </c>
      <c r="E1077" t="inlineStr">
        <is>
          <t>BRÄCKE</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37960-2024</t>
        </is>
      </c>
      <c r="B1078" s="1" t="n">
        <v>45544.53925925926</v>
      </c>
      <c r="C1078" s="1" t="n">
        <v>46105</v>
      </c>
      <c r="D1078" t="inlineStr">
        <is>
          <t>JÄMTLANDS LÄN</t>
        </is>
      </c>
      <c r="E1078" t="inlineStr">
        <is>
          <t>BRÄCKE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31566-2024</t>
        </is>
      </c>
      <c r="B1079" s="1" t="n">
        <v>45505.96675925926</v>
      </c>
      <c r="C1079" s="1" t="n">
        <v>46105</v>
      </c>
      <c r="D1079" t="inlineStr">
        <is>
          <t>JÄMTLANDS LÄN</t>
        </is>
      </c>
      <c r="E1079" t="inlineStr">
        <is>
          <t>BRÄCKE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34807-2024</t>
        </is>
      </c>
      <c r="B1080" s="1" t="n">
        <v>45526.69046296296</v>
      </c>
      <c r="C1080" s="1" t="n">
        <v>46105</v>
      </c>
      <c r="D1080" t="inlineStr">
        <is>
          <t>JÄMTLANDS LÄN</t>
        </is>
      </c>
      <c r="E1080" t="inlineStr">
        <is>
          <t>BRÄCKE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51619-2025</t>
        </is>
      </c>
      <c r="B1081" s="1" t="n">
        <v>45951.41025462963</v>
      </c>
      <c r="C1081" s="1" t="n">
        <v>46105</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51625-2025</t>
        </is>
      </c>
      <c r="B1082" s="1" t="n">
        <v>45951.41704861111</v>
      </c>
      <c r="C1082" s="1" t="n">
        <v>46105</v>
      </c>
      <c r="D1082" t="inlineStr">
        <is>
          <t>JÄMTLANDS LÄN</t>
        </is>
      </c>
      <c r="E1082" t="inlineStr">
        <is>
          <t>BRÄCKE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30874-2024</t>
        </is>
      </c>
      <c r="B1083" s="1" t="n">
        <v>45498.3091087963</v>
      </c>
      <c r="C1083" s="1" t="n">
        <v>46105</v>
      </c>
      <c r="D1083" t="inlineStr">
        <is>
          <t>JÄMTLANDS LÄN</t>
        </is>
      </c>
      <c r="E1083" t="inlineStr">
        <is>
          <t>BRÄCKE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55662-2023</t>
        </is>
      </c>
      <c r="B1084" s="1" t="n">
        <v>45238.96730324074</v>
      </c>
      <c r="C1084" s="1" t="n">
        <v>46105</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51612-2025</t>
        </is>
      </c>
      <c r="B1085" s="1" t="n">
        <v>45951.39751157408</v>
      </c>
      <c r="C1085" s="1" t="n">
        <v>46105</v>
      </c>
      <c r="D1085" t="inlineStr">
        <is>
          <t>JÄMTLANDS LÄN</t>
        </is>
      </c>
      <c r="E1085" t="inlineStr">
        <is>
          <t>BRÄCKE</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51616-2025</t>
        </is>
      </c>
      <c r="B1086" s="1" t="n">
        <v>45951.40637731482</v>
      </c>
      <c r="C1086" s="1" t="n">
        <v>46105</v>
      </c>
      <c r="D1086" t="inlineStr">
        <is>
          <t>JÄMTLANDS LÄN</t>
        </is>
      </c>
      <c r="E1086" t="inlineStr">
        <is>
          <t>BRÄCKE</t>
        </is>
      </c>
      <c r="G1086" t="n">
        <v>18.9</v>
      </c>
      <c r="H1086" t="n">
        <v>0</v>
      </c>
      <c r="I1086" t="n">
        <v>0</v>
      </c>
      <c r="J1086" t="n">
        <v>0</v>
      </c>
      <c r="K1086" t="n">
        <v>0</v>
      </c>
      <c r="L1086" t="n">
        <v>0</v>
      </c>
      <c r="M1086" t="n">
        <v>0</v>
      </c>
      <c r="N1086" t="n">
        <v>0</v>
      </c>
      <c r="O1086" t="n">
        <v>0</v>
      </c>
      <c r="P1086" t="n">
        <v>0</v>
      </c>
      <c r="Q1086" t="n">
        <v>0</v>
      </c>
      <c r="R1086" s="2" t="inlineStr"/>
    </row>
    <row r="1087" ht="15" customHeight="1">
      <c r="A1087" t="inlineStr">
        <is>
          <t>A 29835-2022</t>
        </is>
      </c>
      <c r="B1087" s="1" t="n">
        <v>44755.94592592592</v>
      </c>
      <c r="C1087" s="1" t="n">
        <v>46105</v>
      </c>
      <c r="D1087" t="inlineStr">
        <is>
          <t>JÄMTLANDS LÄN</t>
        </is>
      </c>
      <c r="E1087" t="inlineStr">
        <is>
          <t>BRÄCKE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61362-2024</t>
        </is>
      </c>
      <c r="B1088" s="1" t="n">
        <v>45646.3857175926</v>
      </c>
      <c r="C1088" s="1" t="n">
        <v>46105</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37238-2023</t>
        </is>
      </c>
      <c r="B1089" s="1" t="n">
        <v>45155.95366898148</v>
      </c>
      <c r="C1089" s="1" t="n">
        <v>46105</v>
      </c>
      <c r="D1089" t="inlineStr">
        <is>
          <t>JÄMTLANDS LÄN</t>
        </is>
      </c>
      <c r="E1089" t="inlineStr">
        <is>
          <t>BRÄCKE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51858-2025</t>
        </is>
      </c>
      <c r="B1090" s="1" t="n">
        <v>45952.36511574074</v>
      </c>
      <c r="C1090" s="1" t="n">
        <v>46105</v>
      </c>
      <c r="D1090" t="inlineStr">
        <is>
          <t>JÄMTLANDS LÄN</t>
        </is>
      </c>
      <c r="E1090" t="inlineStr">
        <is>
          <t>BRÄCKE</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51964-2025</t>
        </is>
      </c>
      <c r="B1091" s="1" t="n">
        <v>45952.55321759259</v>
      </c>
      <c r="C1091" s="1" t="n">
        <v>46105</v>
      </c>
      <c r="D1091" t="inlineStr">
        <is>
          <t>JÄMTLANDS LÄN</t>
        </is>
      </c>
      <c r="E1091" t="inlineStr">
        <is>
          <t>BRÄCKE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51965-2025</t>
        </is>
      </c>
      <c r="B1092" s="1" t="n">
        <v>45952.55327546296</v>
      </c>
      <c r="C1092" s="1" t="n">
        <v>46105</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40410-2023</t>
        </is>
      </c>
      <c r="B1093" s="1" t="n">
        <v>45169</v>
      </c>
      <c r="C1093" s="1" t="n">
        <v>46105</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51620-2025</t>
        </is>
      </c>
      <c r="B1094" s="1" t="n">
        <v>45951.4128125</v>
      </c>
      <c r="C1094" s="1" t="n">
        <v>46105</v>
      </c>
      <c r="D1094" t="inlineStr">
        <is>
          <t>JÄMTLANDS LÄN</t>
        </is>
      </c>
      <c r="E1094" t="inlineStr">
        <is>
          <t>BRÄCKE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51623-2025</t>
        </is>
      </c>
      <c r="B1095" s="1" t="n">
        <v>45951.41578703704</v>
      </c>
      <c r="C1095" s="1" t="n">
        <v>46105</v>
      </c>
      <c r="D1095" t="inlineStr">
        <is>
          <t>JÄMTLANDS LÄN</t>
        </is>
      </c>
      <c r="E1095" t="inlineStr">
        <is>
          <t>BRÄCKE</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51614-2025</t>
        </is>
      </c>
      <c r="B1096" s="1" t="n">
        <v>45951.40204861111</v>
      </c>
      <c r="C1096" s="1" t="n">
        <v>46105</v>
      </c>
      <c r="D1096" t="inlineStr">
        <is>
          <t>JÄMTLANDS LÄN</t>
        </is>
      </c>
      <c r="E1096" t="inlineStr">
        <is>
          <t>BRÄCKE</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51161-2023</t>
        </is>
      </c>
      <c r="B1097" s="1" t="n">
        <v>45219.38019675926</v>
      </c>
      <c r="C1097" s="1" t="n">
        <v>46105</v>
      </c>
      <c r="D1097" t="inlineStr">
        <is>
          <t>JÄMTLANDS LÄN</t>
        </is>
      </c>
      <c r="E1097" t="inlineStr">
        <is>
          <t>BRÄCKE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22985-2023</t>
        </is>
      </c>
      <c r="B1098" s="1" t="n">
        <v>45072</v>
      </c>
      <c r="C1098" s="1" t="n">
        <v>46105</v>
      </c>
      <c r="D1098" t="inlineStr">
        <is>
          <t>JÄMTLANDS LÄN</t>
        </is>
      </c>
      <c r="E1098" t="inlineStr">
        <is>
          <t>BRÄCKE</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18645-2024</t>
        </is>
      </c>
      <c r="B1099" s="1" t="n">
        <v>45425.96738425926</v>
      </c>
      <c r="C1099" s="1" t="n">
        <v>46105</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44082-2024</t>
        </is>
      </c>
      <c r="B1100" s="1" t="n">
        <v>45572.61549768518</v>
      </c>
      <c r="C1100" s="1" t="n">
        <v>46105</v>
      </c>
      <c r="D1100" t="inlineStr">
        <is>
          <t>JÄMTLANDS LÄN</t>
        </is>
      </c>
      <c r="E1100" t="inlineStr">
        <is>
          <t>BRÄCKE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51574-2025</t>
        </is>
      </c>
      <c r="B1101" s="1" t="n">
        <v>45951.34423611111</v>
      </c>
      <c r="C1101" s="1" t="n">
        <v>46105</v>
      </c>
      <c r="D1101" t="inlineStr">
        <is>
          <t>JÄMTLANDS LÄN</t>
        </is>
      </c>
      <c r="E1101" t="inlineStr">
        <is>
          <t>BRÄCKE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51839-2025</t>
        </is>
      </c>
      <c r="B1102" s="1" t="n">
        <v>45952.34472222222</v>
      </c>
      <c r="C1102" s="1" t="n">
        <v>46105</v>
      </c>
      <c r="D1102" t="inlineStr">
        <is>
          <t>JÄMTLANDS LÄN</t>
        </is>
      </c>
      <c r="E1102" t="inlineStr">
        <is>
          <t>BRÄCKE</t>
        </is>
      </c>
      <c r="F1102" t="inlineStr">
        <is>
          <t>SCA</t>
        </is>
      </c>
      <c r="G1102" t="n">
        <v>17.5</v>
      </c>
      <c r="H1102" t="n">
        <v>0</v>
      </c>
      <c r="I1102" t="n">
        <v>0</v>
      </c>
      <c r="J1102" t="n">
        <v>0</v>
      </c>
      <c r="K1102" t="n">
        <v>0</v>
      </c>
      <c r="L1102" t="n">
        <v>0</v>
      </c>
      <c r="M1102" t="n">
        <v>0</v>
      </c>
      <c r="N1102" t="n">
        <v>0</v>
      </c>
      <c r="O1102" t="n">
        <v>0</v>
      </c>
      <c r="P1102" t="n">
        <v>0</v>
      </c>
      <c r="Q1102" t="n">
        <v>0</v>
      </c>
      <c r="R1102" s="2" t="inlineStr"/>
    </row>
    <row r="1103" ht="15" customHeight="1">
      <c r="A1103" t="inlineStr">
        <is>
          <t>A 52342-2025</t>
        </is>
      </c>
      <c r="B1103" s="1" t="n">
        <v>45953.71928240741</v>
      </c>
      <c r="C1103" s="1" t="n">
        <v>46105</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52343-2025</t>
        </is>
      </c>
      <c r="B1104" s="1" t="n">
        <v>45953.71953703704</v>
      </c>
      <c r="C1104" s="1" t="n">
        <v>46105</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52345-2025</t>
        </is>
      </c>
      <c r="B1105" s="1" t="n">
        <v>45953.71998842592</v>
      </c>
      <c r="C1105" s="1" t="n">
        <v>46105</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52346-2025</t>
        </is>
      </c>
      <c r="B1106" s="1" t="n">
        <v>45953</v>
      </c>
      <c r="C1106" s="1" t="n">
        <v>46105</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52347-2025</t>
        </is>
      </c>
      <c r="B1107" s="1" t="n">
        <v>45953.72041666666</v>
      </c>
      <c r="C1107" s="1" t="n">
        <v>46105</v>
      </c>
      <c r="D1107" t="inlineStr">
        <is>
          <t>JÄMTLANDS LÄN</t>
        </is>
      </c>
      <c r="E1107" t="inlineStr">
        <is>
          <t>BRÄCKE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52202-2025</t>
        </is>
      </c>
      <c r="B1108" s="1" t="n">
        <v>45953.40715277778</v>
      </c>
      <c r="C1108" s="1" t="n">
        <v>46105</v>
      </c>
      <c r="D1108" t="inlineStr">
        <is>
          <t>JÄMTLANDS LÄN</t>
        </is>
      </c>
      <c r="E1108" t="inlineStr">
        <is>
          <t>BRÄCKE</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52468-2025</t>
        </is>
      </c>
      <c r="B1109" s="1" t="n">
        <v>45954.44833333333</v>
      </c>
      <c r="C1109" s="1" t="n">
        <v>46105</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52157-2025</t>
        </is>
      </c>
      <c r="B1110" s="1" t="n">
        <v>45953.3558912037</v>
      </c>
      <c r="C1110" s="1" t="n">
        <v>46105</v>
      </c>
      <c r="D1110" t="inlineStr">
        <is>
          <t>JÄMTLANDS LÄN</t>
        </is>
      </c>
      <c r="E1110" t="inlineStr">
        <is>
          <t>BRÄCKE</t>
        </is>
      </c>
      <c r="F1110" t="inlineStr">
        <is>
          <t>SCA</t>
        </is>
      </c>
      <c r="G1110" t="n">
        <v>13.3</v>
      </c>
      <c r="H1110" t="n">
        <v>0</v>
      </c>
      <c r="I1110" t="n">
        <v>0</v>
      </c>
      <c r="J1110" t="n">
        <v>0</v>
      </c>
      <c r="K1110" t="n">
        <v>0</v>
      </c>
      <c r="L1110" t="n">
        <v>0</v>
      </c>
      <c r="M1110" t="n">
        <v>0</v>
      </c>
      <c r="N1110" t="n">
        <v>0</v>
      </c>
      <c r="O1110" t="n">
        <v>0</v>
      </c>
      <c r="P1110" t="n">
        <v>0</v>
      </c>
      <c r="Q1110" t="n">
        <v>0</v>
      </c>
      <c r="R1110" s="2" t="inlineStr"/>
    </row>
    <row r="1111" ht="15" customHeight="1">
      <c r="A1111" t="inlineStr">
        <is>
          <t>A 52344-2025</t>
        </is>
      </c>
      <c r="B1111" s="1" t="n">
        <v>45953.71978009259</v>
      </c>
      <c r="C1111" s="1" t="n">
        <v>46105</v>
      </c>
      <c r="D1111" t="inlineStr">
        <is>
          <t>JÄMTLANDS LÄN</t>
        </is>
      </c>
      <c r="E1111" t="inlineStr">
        <is>
          <t>BRÄCKE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49709-2024</t>
        </is>
      </c>
      <c r="B1112" s="1" t="n">
        <v>45596.69858796296</v>
      </c>
      <c r="C1112" s="1" t="n">
        <v>46105</v>
      </c>
      <c r="D1112" t="inlineStr">
        <is>
          <t>JÄMTLANDS LÄN</t>
        </is>
      </c>
      <c r="E1112" t="inlineStr">
        <is>
          <t>BRÄCKE</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51167-2023</t>
        </is>
      </c>
      <c r="B1113" s="1" t="n">
        <v>45219.38388888889</v>
      </c>
      <c r="C1113" s="1" t="n">
        <v>46105</v>
      </c>
      <c r="D1113" t="inlineStr">
        <is>
          <t>JÄMTLANDS LÄN</t>
        </is>
      </c>
      <c r="E1113" t="inlineStr">
        <is>
          <t>BRÄCKE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53140-2025</t>
        </is>
      </c>
      <c r="B1114" s="1" t="n">
        <v>45958.4703125</v>
      </c>
      <c r="C1114" s="1" t="n">
        <v>46105</v>
      </c>
      <c r="D1114" t="inlineStr">
        <is>
          <t>JÄMTLANDS LÄN</t>
        </is>
      </c>
      <c r="E1114" t="inlineStr">
        <is>
          <t>BRÄCKE</t>
        </is>
      </c>
      <c r="F1114" t="inlineStr">
        <is>
          <t>Övriga Aktiebolag</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4121-2025</t>
        </is>
      </c>
      <c r="B1115" s="1" t="n">
        <v>45685.26607638889</v>
      </c>
      <c r="C1115" s="1" t="n">
        <v>46105</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53139-2025</t>
        </is>
      </c>
      <c r="B1116" s="1" t="n">
        <v>45958.47019675926</v>
      </c>
      <c r="C1116" s="1" t="n">
        <v>46105</v>
      </c>
      <c r="D1116" t="inlineStr">
        <is>
          <t>JÄMTLANDS LÄN</t>
        </is>
      </c>
      <c r="E1116" t="inlineStr">
        <is>
          <t>BRÄCKE</t>
        </is>
      </c>
      <c r="F1116" t="inlineStr">
        <is>
          <t>Övriga Aktiebolag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43551-2023</t>
        </is>
      </c>
      <c r="B1117" s="1" t="n">
        <v>45181</v>
      </c>
      <c r="C1117" s="1" t="n">
        <v>46105</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31843-2022</t>
        </is>
      </c>
      <c r="B1118" s="1" t="n">
        <v>44776.94121527778</v>
      </c>
      <c r="C1118" s="1" t="n">
        <v>46105</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31853-2022</t>
        </is>
      </c>
      <c r="B1119" s="1" t="n">
        <v>44776</v>
      </c>
      <c r="C1119" s="1" t="n">
        <v>46105</v>
      </c>
      <c r="D1119" t="inlineStr">
        <is>
          <t>JÄMTLANDS LÄN</t>
        </is>
      </c>
      <c r="E1119" t="inlineStr">
        <is>
          <t>BRÄCKE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45010-2023</t>
        </is>
      </c>
      <c r="B1120" s="1" t="n">
        <v>45190.96116898148</v>
      </c>
      <c r="C1120" s="1" t="n">
        <v>46105</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45013-2023</t>
        </is>
      </c>
      <c r="B1121" s="1" t="n">
        <v>45190.96158564815</v>
      </c>
      <c r="C1121" s="1" t="n">
        <v>46105</v>
      </c>
      <c r="D1121" t="inlineStr">
        <is>
          <t>JÄMTLANDS LÄN</t>
        </is>
      </c>
      <c r="E1121" t="inlineStr">
        <is>
          <t>BRÄCKE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53114-2025</t>
        </is>
      </c>
      <c r="B1122" s="1" t="n">
        <v>45958.44440972222</v>
      </c>
      <c r="C1122" s="1" t="n">
        <v>46105</v>
      </c>
      <c r="D1122" t="inlineStr">
        <is>
          <t>JÄMTLANDS LÄN</t>
        </is>
      </c>
      <c r="E1122" t="inlineStr">
        <is>
          <t>BRÄCKE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57590-2024</t>
        </is>
      </c>
      <c r="B1123" s="1" t="n">
        <v>45630.49729166667</v>
      </c>
      <c r="C1123" s="1" t="n">
        <v>46105</v>
      </c>
      <c r="D1123" t="inlineStr">
        <is>
          <t>JÄMTLANDS LÄN</t>
        </is>
      </c>
      <c r="E1123" t="inlineStr">
        <is>
          <t>BRÄCKE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30685-2023</t>
        </is>
      </c>
      <c r="B1124" s="1" t="n">
        <v>45112.56471064815</v>
      </c>
      <c r="C1124" s="1" t="n">
        <v>46105</v>
      </c>
      <c r="D1124" t="inlineStr">
        <is>
          <t>JÄMTLANDS LÄN</t>
        </is>
      </c>
      <c r="E1124" t="inlineStr">
        <is>
          <t>BRÄCKE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46105</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55997-2024</t>
        </is>
      </c>
      <c r="B1126" s="1" t="n">
        <v>45623.6984837963</v>
      </c>
      <c r="C1126" s="1" t="n">
        <v>46105</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52798-2025</t>
        </is>
      </c>
      <c r="B1127" s="1" t="n">
        <v>45957.44013888889</v>
      </c>
      <c r="C1127" s="1" t="n">
        <v>46105</v>
      </c>
      <c r="D1127" t="inlineStr">
        <is>
          <t>JÄMTLANDS LÄN</t>
        </is>
      </c>
      <c r="E1127" t="inlineStr">
        <is>
          <t>BRÄCKE</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53270-2025</t>
        </is>
      </c>
      <c r="B1128" s="1" t="n">
        <v>45958.70261574074</v>
      </c>
      <c r="C1128" s="1" t="n">
        <v>46105</v>
      </c>
      <c r="D1128" t="inlineStr">
        <is>
          <t>JÄMTLANDS LÄN</t>
        </is>
      </c>
      <c r="E1128" t="inlineStr">
        <is>
          <t>BRÄCKE</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52476-2025</t>
        </is>
      </c>
      <c r="B1129" s="1" t="n">
        <v>45954.46921296296</v>
      </c>
      <c r="C1129" s="1" t="n">
        <v>46105</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53138-2025</t>
        </is>
      </c>
      <c r="B1130" s="1" t="n">
        <v>45958.47013888889</v>
      </c>
      <c r="C1130" s="1" t="n">
        <v>46105</v>
      </c>
      <c r="D1130" t="inlineStr">
        <is>
          <t>JÄMTLANDS LÄN</t>
        </is>
      </c>
      <c r="E1130" t="inlineStr">
        <is>
          <t>BRÄCKE</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53168-2025</t>
        </is>
      </c>
      <c r="B1131" s="1" t="n">
        <v>45958.51083333333</v>
      </c>
      <c r="C1131" s="1" t="n">
        <v>46105</v>
      </c>
      <c r="D1131" t="inlineStr">
        <is>
          <t>JÄMTLANDS LÄN</t>
        </is>
      </c>
      <c r="E1131" t="inlineStr">
        <is>
          <t>BRÄCKE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53197-2025</t>
        </is>
      </c>
      <c r="B1132" s="1" t="n">
        <v>45958.57358796296</v>
      </c>
      <c r="C1132" s="1" t="n">
        <v>46105</v>
      </c>
      <c r="D1132" t="inlineStr">
        <is>
          <t>JÄMTLANDS LÄN</t>
        </is>
      </c>
      <c r="E1132" t="inlineStr">
        <is>
          <t>BRÄCKE</t>
        </is>
      </c>
      <c r="F1132" t="inlineStr">
        <is>
          <t>SCA</t>
        </is>
      </c>
      <c r="G1132" t="n">
        <v>43.4</v>
      </c>
      <c r="H1132" t="n">
        <v>0</v>
      </c>
      <c r="I1132" t="n">
        <v>0</v>
      </c>
      <c r="J1132" t="n">
        <v>0</v>
      </c>
      <c r="K1132" t="n">
        <v>0</v>
      </c>
      <c r="L1132" t="n">
        <v>0</v>
      </c>
      <c r="M1132" t="n">
        <v>0</v>
      </c>
      <c r="N1132" t="n">
        <v>0</v>
      </c>
      <c r="O1132" t="n">
        <v>0</v>
      </c>
      <c r="P1132" t="n">
        <v>0</v>
      </c>
      <c r="Q1132" t="n">
        <v>0</v>
      </c>
      <c r="R1132" s="2" t="inlineStr"/>
    </row>
    <row r="1133" ht="15" customHeight="1">
      <c r="A1133" t="inlineStr">
        <is>
          <t>A 53169-2025</t>
        </is>
      </c>
      <c r="B1133" s="1" t="n">
        <v>45958.51101851852</v>
      </c>
      <c r="C1133" s="1" t="n">
        <v>46105</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53210-2025</t>
        </is>
      </c>
      <c r="B1134" s="1" t="n">
        <v>45958.59469907408</v>
      </c>
      <c r="C1134" s="1" t="n">
        <v>46105</v>
      </c>
      <c r="D1134" t="inlineStr">
        <is>
          <t>JÄMTLANDS LÄN</t>
        </is>
      </c>
      <c r="E1134" t="inlineStr">
        <is>
          <t>BRÄCKE</t>
        </is>
      </c>
      <c r="F1134" t="inlineStr">
        <is>
          <t>SCA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52771-2025</t>
        </is>
      </c>
      <c r="B1135" s="1" t="n">
        <v>45957.41019675926</v>
      </c>
      <c r="C1135" s="1" t="n">
        <v>46105</v>
      </c>
      <c r="D1135" t="inlineStr">
        <is>
          <t>JÄMTLANDS LÄN</t>
        </is>
      </c>
      <c r="E1135" t="inlineStr">
        <is>
          <t>BRÄCKE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52781-2025</t>
        </is>
      </c>
      <c r="B1136" s="1" t="n">
        <v>45957.4228125</v>
      </c>
      <c r="C1136" s="1" t="n">
        <v>46105</v>
      </c>
      <c r="D1136" t="inlineStr">
        <is>
          <t>JÄMTLANDS LÄN</t>
        </is>
      </c>
      <c r="E1136" t="inlineStr">
        <is>
          <t>BRÄCKE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52991-2025</t>
        </is>
      </c>
      <c r="B1137" s="1" t="n">
        <v>45957.71960648148</v>
      </c>
      <c r="C1137" s="1" t="n">
        <v>46105</v>
      </c>
      <c r="D1137" t="inlineStr">
        <is>
          <t>JÄMTLANDS LÄN</t>
        </is>
      </c>
      <c r="E1137" t="inlineStr">
        <is>
          <t>BRÄCKE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41311-2024</t>
        </is>
      </c>
      <c r="B1138" s="1" t="n">
        <v>45559.63569444444</v>
      </c>
      <c r="C1138" s="1" t="n">
        <v>46105</v>
      </c>
      <c r="D1138" t="inlineStr">
        <is>
          <t>JÄMTLANDS LÄN</t>
        </is>
      </c>
      <c r="E1138" t="inlineStr">
        <is>
          <t>BRÄCKE</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41315-2024</t>
        </is>
      </c>
      <c r="B1139" s="1" t="n">
        <v>45559.63628472222</v>
      </c>
      <c r="C1139" s="1" t="n">
        <v>46105</v>
      </c>
      <c r="D1139" t="inlineStr">
        <is>
          <t>JÄMTLANDS LÄN</t>
        </is>
      </c>
      <c r="E1139" t="inlineStr">
        <is>
          <t>BRÄCKE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20157-2025</t>
        </is>
      </c>
      <c r="B1140" s="1" t="n">
        <v>45772.56060185185</v>
      </c>
      <c r="C1140" s="1" t="n">
        <v>46105</v>
      </c>
      <c r="D1140" t="inlineStr">
        <is>
          <t>JÄMTLANDS LÄN</t>
        </is>
      </c>
      <c r="E1140" t="inlineStr">
        <is>
          <t>BRÄCKE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53352-2025</t>
        </is>
      </c>
      <c r="B1141" s="1" t="n">
        <v>45959.44840277778</v>
      </c>
      <c r="C1141" s="1" t="n">
        <v>46105</v>
      </c>
      <c r="D1141" t="inlineStr">
        <is>
          <t>JÄMTLANDS LÄN</t>
        </is>
      </c>
      <c r="E1141" t="inlineStr">
        <is>
          <t>BRÄCKE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31567-2024</t>
        </is>
      </c>
      <c r="B1142" s="1" t="n">
        <v>45505.96689814814</v>
      </c>
      <c r="C1142" s="1" t="n">
        <v>46105</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4893-2025</t>
        </is>
      </c>
      <c r="B1143" s="1" t="n">
        <v>45688.67871527778</v>
      </c>
      <c r="C1143" s="1" t="n">
        <v>46105</v>
      </c>
      <c r="D1143" t="inlineStr">
        <is>
          <t>JÄMTLANDS LÄN</t>
        </is>
      </c>
      <c r="E1143" t="inlineStr">
        <is>
          <t>BRÄCKE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54010-2025</t>
        </is>
      </c>
      <c r="B1144" s="1" t="n">
        <v>45961.6153125</v>
      </c>
      <c r="C1144" s="1" t="n">
        <v>46105</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54011-2025</t>
        </is>
      </c>
      <c r="B1145" s="1" t="n">
        <v>45961.61545138889</v>
      </c>
      <c r="C1145" s="1" t="n">
        <v>46105</v>
      </c>
      <c r="D1145" t="inlineStr">
        <is>
          <t>JÄMTLANDS LÄN</t>
        </is>
      </c>
      <c r="E1145" t="inlineStr">
        <is>
          <t>BRÄCKE</t>
        </is>
      </c>
      <c r="F1145" t="inlineStr">
        <is>
          <t>SCA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54160-2025</t>
        </is>
      </c>
      <c r="B1146" s="1" t="n">
        <v>45964.50528935185</v>
      </c>
      <c r="C1146" s="1" t="n">
        <v>46105</v>
      </c>
      <c r="D1146" t="inlineStr">
        <is>
          <t>JÄMTLANDS LÄN</t>
        </is>
      </c>
      <c r="E1146" t="inlineStr">
        <is>
          <t>BRÄCKE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53844-2025</t>
        </is>
      </c>
      <c r="B1147" s="1" t="n">
        <v>45961.36488425926</v>
      </c>
      <c r="C1147" s="1" t="n">
        <v>46105</v>
      </c>
      <c r="D1147" t="inlineStr">
        <is>
          <t>JÄMTLANDS LÄN</t>
        </is>
      </c>
      <c r="E1147" t="inlineStr">
        <is>
          <t>BRÄCKE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53943-2025</t>
        </is>
      </c>
      <c r="B1148" s="1" t="n">
        <v>45961.48997685185</v>
      </c>
      <c r="C1148" s="1" t="n">
        <v>46105</v>
      </c>
      <c r="D1148" t="inlineStr">
        <is>
          <t>JÄMTLANDS LÄN</t>
        </is>
      </c>
      <c r="E1148" t="inlineStr">
        <is>
          <t>BRÄCKE</t>
        </is>
      </c>
      <c r="F1148" t="inlineStr">
        <is>
          <t>SCA</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9387-2025</t>
        </is>
      </c>
      <c r="B1149" s="1" t="n">
        <v>45715.34461805555</v>
      </c>
      <c r="C1149" s="1" t="n">
        <v>46105</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54158-2025</t>
        </is>
      </c>
      <c r="B1150" s="1" t="n">
        <v>45964.50181712963</v>
      </c>
      <c r="C1150" s="1" t="n">
        <v>46105</v>
      </c>
      <c r="D1150" t="inlineStr">
        <is>
          <t>JÄMTLANDS LÄN</t>
        </is>
      </c>
      <c r="E1150" t="inlineStr">
        <is>
          <t>BRÄCKE</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14868-2021</t>
        </is>
      </c>
      <c r="B1151" s="1" t="n">
        <v>44280</v>
      </c>
      <c r="C1151" s="1" t="n">
        <v>46105</v>
      </c>
      <c r="D1151" t="inlineStr">
        <is>
          <t>JÄMTLANDS LÄN</t>
        </is>
      </c>
      <c r="E1151" t="inlineStr">
        <is>
          <t>BRÄCKE</t>
        </is>
      </c>
      <c r="F1151" t="inlineStr">
        <is>
          <t>SCA</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54009-2025</t>
        </is>
      </c>
      <c r="B1152" s="1" t="n">
        <v>45961.61516203704</v>
      </c>
      <c r="C1152" s="1" t="n">
        <v>46105</v>
      </c>
      <c r="D1152" t="inlineStr">
        <is>
          <t>JÄMTLANDS LÄN</t>
        </is>
      </c>
      <c r="E1152" t="inlineStr">
        <is>
          <t>BRÄCKE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54257-2025</t>
        </is>
      </c>
      <c r="B1153" s="1" t="n">
        <v>45964.65732638889</v>
      </c>
      <c r="C1153" s="1" t="n">
        <v>46105</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53868-2025</t>
        </is>
      </c>
      <c r="B1154" s="1" t="n">
        <v>45961.38594907407</v>
      </c>
      <c r="C1154" s="1" t="n">
        <v>46105</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54007-2025</t>
        </is>
      </c>
      <c r="B1155" s="1" t="n">
        <v>45961.61497685185</v>
      </c>
      <c r="C1155" s="1" t="n">
        <v>46105</v>
      </c>
      <c r="D1155" t="inlineStr">
        <is>
          <t>JÄMTLANDS LÄN</t>
        </is>
      </c>
      <c r="E1155" t="inlineStr">
        <is>
          <t>BRÄCKE</t>
        </is>
      </c>
      <c r="F1155" t="inlineStr">
        <is>
          <t>SCA</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53829-2025</t>
        </is>
      </c>
      <c r="B1156" s="1" t="n">
        <v>45961.34475694445</v>
      </c>
      <c r="C1156" s="1" t="n">
        <v>46105</v>
      </c>
      <c r="D1156" t="inlineStr">
        <is>
          <t>JÄMTLANDS LÄN</t>
        </is>
      </c>
      <c r="E1156" t="inlineStr">
        <is>
          <t>BRÄCKE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45974-2024</t>
        </is>
      </c>
      <c r="B1157" s="1" t="n">
        <v>45580.59408564815</v>
      </c>
      <c r="C1157" s="1" t="n">
        <v>46105</v>
      </c>
      <c r="D1157" t="inlineStr">
        <is>
          <t>JÄMTLANDS LÄN</t>
        </is>
      </c>
      <c r="E1157" t="inlineStr">
        <is>
          <t>BRÄCKE</t>
        </is>
      </c>
      <c r="F1157" t="inlineStr">
        <is>
          <t>Naturvårdsverket</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54681-2025</t>
        </is>
      </c>
      <c r="B1158" s="1" t="n">
        <v>45966.42777777778</v>
      </c>
      <c r="C1158" s="1" t="n">
        <v>46105</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54372-2025</t>
        </is>
      </c>
      <c r="B1159" s="1" t="n">
        <v>45965.41297453704</v>
      </c>
      <c r="C1159" s="1" t="n">
        <v>46105</v>
      </c>
      <c r="D1159" t="inlineStr">
        <is>
          <t>JÄMTLANDS LÄN</t>
        </is>
      </c>
      <c r="E1159" t="inlineStr">
        <is>
          <t>BRÄCKE</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54775-2025</t>
        </is>
      </c>
      <c r="B1160" s="1" t="n">
        <v>45966.61333333333</v>
      </c>
      <c r="C1160" s="1" t="n">
        <v>46105</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54793-2025</t>
        </is>
      </c>
      <c r="B1161" s="1" t="n">
        <v>45966.63584490741</v>
      </c>
      <c r="C1161" s="1" t="n">
        <v>46105</v>
      </c>
      <c r="D1161" t="inlineStr">
        <is>
          <t>JÄMTLANDS LÄN</t>
        </is>
      </c>
      <c r="E1161" t="inlineStr">
        <is>
          <t>BRÄCKE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54422-2025</t>
        </is>
      </c>
      <c r="B1162" s="1" t="n">
        <v>45965.48649305556</v>
      </c>
      <c r="C1162" s="1" t="n">
        <v>46105</v>
      </c>
      <c r="D1162" t="inlineStr">
        <is>
          <t>JÄMTLANDS LÄN</t>
        </is>
      </c>
      <c r="E1162" t="inlineStr">
        <is>
          <t>BRÄCKE</t>
        </is>
      </c>
      <c r="F1162" t="inlineStr">
        <is>
          <t>Övriga Aktiebolag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54316-2025</t>
        </is>
      </c>
      <c r="B1163" s="1" t="n">
        <v>45965.32975694445</v>
      </c>
      <c r="C1163" s="1" t="n">
        <v>46105</v>
      </c>
      <c r="D1163" t="inlineStr">
        <is>
          <t>JÄMTLANDS LÄN</t>
        </is>
      </c>
      <c r="E1163" t="inlineStr">
        <is>
          <t>BRÄCKE</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54642-2025</t>
        </is>
      </c>
      <c r="B1164" s="1" t="n">
        <v>45966.36555555555</v>
      </c>
      <c r="C1164" s="1" t="n">
        <v>46105</v>
      </c>
      <c r="D1164" t="inlineStr">
        <is>
          <t>JÄMTLANDS LÄN</t>
        </is>
      </c>
      <c r="E1164" t="inlineStr">
        <is>
          <t>BRÄCKE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18982-2022</t>
        </is>
      </c>
      <c r="B1165" s="1" t="n">
        <v>44690.92626157407</v>
      </c>
      <c r="C1165" s="1" t="n">
        <v>46105</v>
      </c>
      <c r="D1165" t="inlineStr">
        <is>
          <t>JÄMTLANDS LÄN</t>
        </is>
      </c>
      <c r="E1165" t="inlineStr">
        <is>
          <t>BRÄCKE</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54315-2025</t>
        </is>
      </c>
      <c r="B1166" s="1" t="n">
        <v>45965.32789351852</v>
      </c>
      <c r="C1166" s="1" t="n">
        <v>46105</v>
      </c>
      <c r="D1166" t="inlineStr">
        <is>
          <t>JÄMTLANDS LÄN</t>
        </is>
      </c>
      <c r="E1166" t="inlineStr">
        <is>
          <t>BRÄCKE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54323-2025</t>
        </is>
      </c>
      <c r="B1167" s="1" t="n">
        <v>45965.34454861111</v>
      </c>
      <c r="C1167" s="1" t="n">
        <v>46105</v>
      </c>
      <c r="D1167" t="inlineStr">
        <is>
          <t>JÄMTLANDS LÄN</t>
        </is>
      </c>
      <c r="E1167" t="inlineStr">
        <is>
          <t>BRÄCKE</t>
        </is>
      </c>
      <c r="F1167" t="inlineStr">
        <is>
          <t>SCA</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52227-2024</t>
        </is>
      </c>
      <c r="B1168" s="1" t="n">
        <v>45608.60768518518</v>
      </c>
      <c r="C1168" s="1" t="n">
        <v>46105</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29751-2023</t>
        </is>
      </c>
      <c r="B1169" s="1" t="n">
        <v>45107</v>
      </c>
      <c r="C1169" s="1" t="n">
        <v>46105</v>
      </c>
      <c r="D1169" t="inlineStr">
        <is>
          <t>JÄMTLANDS LÄN</t>
        </is>
      </c>
      <c r="E1169" t="inlineStr">
        <is>
          <t>BRÄCKE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54741-2025</t>
        </is>
      </c>
      <c r="B1170" s="1" t="n">
        <v>45966.57350694444</v>
      </c>
      <c r="C1170" s="1" t="n">
        <v>46105</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42480-2024</t>
        </is>
      </c>
      <c r="B1171" s="1" t="n">
        <v>45565.49185185185</v>
      </c>
      <c r="C1171" s="1" t="n">
        <v>46105</v>
      </c>
      <c r="D1171" t="inlineStr">
        <is>
          <t>JÄMTLANDS LÄN</t>
        </is>
      </c>
      <c r="E1171" t="inlineStr">
        <is>
          <t>BRÄCKE</t>
        </is>
      </c>
      <c r="F1171" t="inlineStr">
        <is>
          <t>Kyrkan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55028-2025</t>
        </is>
      </c>
      <c r="B1172" s="1" t="n">
        <v>45967.63650462963</v>
      </c>
      <c r="C1172" s="1" t="n">
        <v>46105</v>
      </c>
      <c r="D1172" t="inlineStr">
        <is>
          <t>JÄMTLANDS LÄN</t>
        </is>
      </c>
      <c r="E1172" t="inlineStr">
        <is>
          <t>BRÄCKE</t>
        </is>
      </c>
      <c r="F1172" t="inlineStr">
        <is>
          <t>SCA</t>
        </is>
      </c>
      <c r="G1172" t="n">
        <v>16.4</v>
      </c>
      <c r="H1172" t="n">
        <v>0</v>
      </c>
      <c r="I1172" t="n">
        <v>0</v>
      </c>
      <c r="J1172" t="n">
        <v>0</v>
      </c>
      <c r="K1172" t="n">
        <v>0</v>
      </c>
      <c r="L1172" t="n">
        <v>0</v>
      </c>
      <c r="M1172" t="n">
        <v>0</v>
      </c>
      <c r="N1172" t="n">
        <v>0</v>
      </c>
      <c r="O1172" t="n">
        <v>0</v>
      </c>
      <c r="P1172" t="n">
        <v>0</v>
      </c>
      <c r="Q1172" t="n">
        <v>0</v>
      </c>
      <c r="R1172" s="2" t="inlineStr"/>
    </row>
    <row r="1173" ht="15" customHeight="1">
      <c r="A1173" t="inlineStr">
        <is>
          <t>A 53260-2024</t>
        </is>
      </c>
      <c r="B1173" s="1" t="n">
        <v>45614</v>
      </c>
      <c r="C1173" s="1" t="n">
        <v>46105</v>
      </c>
      <c r="D1173" t="inlineStr">
        <is>
          <t>JÄMTLANDS LÄN</t>
        </is>
      </c>
      <c r="E1173" t="inlineStr">
        <is>
          <t>BRÄCKE</t>
        </is>
      </c>
      <c r="F1173" t="inlineStr">
        <is>
          <t>SCA</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55069-2025</t>
        </is>
      </c>
      <c r="B1174" s="1" t="n">
        <v>45967.72344907407</v>
      </c>
      <c r="C1174" s="1" t="n">
        <v>46105</v>
      </c>
      <c r="D1174" t="inlineStr">
        <is>
          <t>JÄMTLANDS LÄN</t>
        </is>
      </c>
      <c r="E1174" t="inlineStr">
        <is>
          <t>BRÄCKE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56429-2024</t>
        </is>
      </c>
      <c r="B1175" s="1" t="n">
        <v>45625.40149305556</v>
      </c>
      <c r="C1175" s="1" t="n">
        <v>46105</v>
      </c>
      <c r="D1175" t="inlineStr">
        <is>
          <t>JÄMTLANDS LÄN</t>
        </is>
      </c>
      <c r="E1175" t="inlineStr">
        <is>
          <t>BRÄCKE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56432-2024</t>
        </is>
      </c>
      <c r="B1176" s="1" t="n">
        <v>45625.40679398148</v>
      </c>
      <c r="C1176" s="1" t="n">
        <v>46105</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54887-2025</t>
        </is>
      </c>
      <c r="B1177" s="1" t="n">
        <v>45967.34484953704</v>
      </c>
      <c r="C1177" s="1" t="n">
        <v>46105</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48816-2022</t>
        </is>
      </c>
      <c r="B1178" s="1" t="n">
        <v>44859</v>
      </c>
      <c r="C1178" s="1" t="n">
        <v>46105</v>
      </c>
      <c r="D1178" t="inlineStr">
        <is>
          <t>JÄMTLANDS LÄN</t>
        </is>
      </c>
      <c r="E1178" t="inlineStr">
        <is>
          <t>BRÄCKE</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54885-2025</t>
        </is>
      </c>
      <c r="B1179" s="1" t="n">
        <v>45967.34465277778</v>
      </c>
      <c r="C1179" s="1" t="n">
        <v>46105</v>
      </c>
      <c r="D1179" t="inlineStr">
        <is>
          <t>JÄMTLANDS LÄN</t>
        </is>
      </c>
      <c r="E1179" t="inlineStr">
        <is>
          <t>BRÄCKE</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54886-2025</t>
        </is>
      </c>
      <c r="B1180" s="1" t="n">
        <v>45967.34481481482</v>
      </c>
      <c r="C1180" s="1" t="n">
        <v>46105</v>
      </c>
      <c r="D1180" t="inlineStr">
        <is>
          <t>JÄMTLANDS LÄN</t>
        </is>
      </c>
      <c r="E1180" t="inlineStr">
        <is>
          <t>BRÄCKE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54888-2025</t>
        </is>
      </c>
      <c r="B1181" s="1" t="n">
        <v>45967.34487268519</v>
      </c>
      <c r="C1181" s="1" t="n">
        <v>46105</v>
      </c>
      <c r="D1181" t="inlineStr">
        <is>
          <t>JÄMTLANDS LÄN</t>
        </is>
      </c>
      <c r="E1181" t="inlineStr">
        <is>
          <t>BRÄCKE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54904-2025</t>
        </is>
      </c>
      <c r="B1182" s="1" t="n">
        <v>45967.36640046296</v>
      </c>
      <c r="C1182" s="1" t="n">
        <v>46105</v>
      </c>
      <c r="D1182" t="inlineStr">
        <is>
          <t>JÄMTLANDS LÄN</t>
        </is>
      </c>
      <c r="E1182" t="inlineStr">
        <is>
          <t>BRÄCKE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55382-2025</t>
        </is>
      </c>
      <c r="B1183" s="1" t="n">
        <v>45971.42909722222</v>
      </c>
      <c r="C1183" s="1" t="n">
        <v>46105</v>
      </c>
      <c r="D1183" t="inlineStr">
        <is>
          <t>JÄMTLANDS LÄN</t>
        </is>
      </c>
      <c r="E1183" t="inlineStr">
        <is>
          <t>BRÄCKE</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20624-2023</t>
        </is>
      </c>
      <c r="B1184" s="1" t="n">
        <v>45057.94346064814</v>
      </c>
      <c r="C1184" s="1" t="n">
        <v>46105</v>
      </c>
      <c r="D1184" t="inlineStr">
        <is>
          <t>JÄMTLANDS LÄN</t>
        </is>
      </c>
      <c r="E1184" t="inlineStr">
        <is>
          <t>BRÄCKE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24214-2023</t>
        </is>
      </c>
      <c r="B1185" s="1" t="n">
        <v>45079.5752199074</v>
      </c>
      <c r="C1185" s="1" t="n">
        <v>46105</v>
      </c>
      <c r="D1185" t="inlineStr">
        <is>
          <t>JÄMTLANDS LÄN</t>
        </is>
      </c>
      <c r="E1185" t="inlineStr">
        <is>
          <t>BRÄCKE</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24026-2024</t>
        </is>
      </c>
      <c r="B1186" s="1" t="n">
        <v>45456.45159722222</v>
      </c>
      <c r="C1186" s="1" t="n">
        <v>46105</v>
      </c>
      <c r="D1186" t="inlineStr">
        <is>
          <t>JÄMTLANDS LÄN</t>
        </is>
      </c>
      <c r="E1186" t="inlineStr">
        <is>
          <t>BRÄCKE</t>
        </is>
      </c>
      <c r="F1186" t="inlineStr">
        <is>
          <t>Övriga Aktiebolag</t>
        </is>
      </c>
      <c r="G1186" t="n">
        <v>23.7</v>
      </c>
      <c r="H1186" t="n">
        <v>0</v>
      </c>
      <c r="I1186" t="n">
        <v>0</v>
      </c>
      <c r="J1186" t="n">
        <v>0</v>
      </c>
      <c r="K1186" t="n">
        <v>0</v>
      </c>
      <c r="L1186" t="n">
        <v>0</v>
      </c>
      <c r="M1186" t="n">
        <v>0</v>
      </c>
      <c r="N1186" t="n">
        <v>0</v>
      </c>
      <c r="O1186" t="n">
        <v>0</v>
      </c>
      <c r="P1186" t="n">
        <v>0</v>
      </c>
      <c r="Q1186" t="n">
        <v>0</v>
      </c>
      <c r="R1186" s="2" t="inlineStr"/>
    </row>
    <row r="1187" ht="15" customHeight="1">
      <c r="A1187" t="inlineStr">
        <is>
          <t>A 55654-2025</t>
        </is>
      </c>
      <c r="B1187" s="1" t="n">
        <v>45972.38594907407</v>
      </c>
      <c r="C1187" s="1" t="n">
        <v>46105</v>
      </c>
      <c r="D1187" t="inlineStr">
        <is>
          <t>JÄMTLANDS LÄN</t>
        </is>
      </c>
      <c r="E1187" t="inlineStr">
        <is>
          <t>BRÄCKE</t>
        </is>
      </c>
      <c r="F1187" t="inlineStr">
        <is>
          <t>SCA</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55733-2025</t>
        </is>
      </c>
      <c r="B1188" s="1" t="n">
        <v>45972.55298611111</v>
      </c>
      <c r="C1188" s="1" t="n">
        <v>46105</v>
      </c>
      <c r="D1188" t="inlineStr">
        <is>
          <t>JÄMTLANDS LÄN</t>
        </is>
      </c>
      <c r="E1188" t="inlineStr">
        <is>
          <t>BRÄCKE</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55388-2025</t>
        </is>
      </c>
      <c r="B1189" s="1" t="n">
        <v>45971.43935185186</v>
      </c>
      <c r="C1189" s="1" t="n">
        <v>46105</v>
      </c>
      <c r="D1189" t="inlineStr">
        <is>
          <t>JÄMTLANDS LÄN</t>
        </is>
      </c>
      <c r="E1189" t="inlineStr">
        <is>
          <t>BRÄCKE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54035-2021</t>
        </is>
      </c>
      <c r="B1190" s="1" t="n">
        <v>44470</v>
      </c>
      <c r="C1190" s="1" t="n">
        <v>46105</v>
      </c>
      <c r="D1190" t="inlineStr">
        <is>
          <t>JÄMTLANDS LÄN</t>
        </is>
      </c>
      <c r="E1190" t="inlineStr">
        <is>
          <t>BRÄCKE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55524-2025</t>
        </is>
      </c>
      <c r="B1191" s="1" t="n">
        <v>45971.61523148148</v>
      </c>
      <c r="C1191" s="1" t="n">
        <v>46105</v>
      </c>
      <c r="D1191" t="inlineStr">
        <is>
          <t>JÄMTLANDS LÄN</t>
        </is>
      </c>
      <c r="E1191" t="inlineStr">
        <is>
          <t>BRÄCKE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55457-2025</t>
        </is>
      </c>
      <c r="B1192" s="1" t="n">
        <v>45971.51321759259</v>
      </c>
      <c r="C1192" s="1" t="n">
        <v>46105</v>
      </c>
      <c r="D1192" t="inlineStr">
        <is>
          <t>JÄMTLANDS LÄN</t>
        </is>
      </c>
      <c r="E1192" t="inlineStr">
        <is>
          <t>BRÄCKE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35501-2022</t>
        </is>
      </c>
      <c r="B1193" s="1" t="n">
        <v>44798.94827546296</v>
      </c>
      <c r="C1193" s="1" t="n">
        <v>46105</v>
      </c>
      <c r="D1193" t="inlineStr">
        <is>
          <t>JÄMTLANDS LÄN</t>
        </is>
      </c>
      <c r="E1193" t="inlineStr">
        <is>
          <t>BRÄCKE</t>
        </is>
      </c>
      <c r="F1193" t="inlineStr">
        <is>
          <t>SCA</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55636-2025</t>
        </is>
      </c>
      <c r="B1194" s="1" t="n">
        <v>45972.345</v>
      </c>
      <c r="C1194" s="1" t="n">
        <v>46105</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55485-2025</t>
        </is>
      </c>
      <c r="B1195" s="1" t="n">
        <v>45971.5733912037</v>
      </c>
      <c r="C1195" s="1" t="n">
        <v>46105</v>
      </c>
      <c r="D1195" t="inlineStr">
        <is>
          <t>JÄMTLANDS LÄN</t>
        </is>
      </c>
      <c r="E1195" t="inlineStr">
        <is>
          <t>BRÄCKE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55367-2025</t>
        </is>
      </c>
      <c r="B1196" s="1" t="n">
        <v>45971.41381944445</v>
      </c>
      <c r="C1196" s="1" t="n">
        <v>46105</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23444-2022</t>
        </is>
      </c>
      <c r="B1197" s="1" t="n">
        <v>44720.94118055556</v>
      </c>
      <c r="C1197" s="1" t="n">
        <v>46105</v>
      </c>
      <c r="D1197" t="inlineStr">
        <is>
          <t>JÄMTLANDS LÄN</t>
        </is>
      </c>
      <c r="E1197" t="inlineStr">
        <is>
          <t>BRÄCKE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57088-2024</t>
        </is>
      </c>
      <c r="B1198" s="1" t="n">
        <v>45629.35652777777</v>
      </c>
      <c r="C1198" s="1" t="n">
        <v>46105</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17568-2023</t>
        </is>
      </c>
      <c r="B1199" s="1" t="n">
        <v>45036</v>
      </c>
      <c r="C1199" s="1" t="n">
        <v>46105</v>
      </c>
      <c r="D1199" t="inlineStr">
        <is>
          <t>JÄMTLANDS LÄN</t>
        </is>
      </c>
      <c r="E1199" t="inlineStr">
        <is>
          <t>BRÄCKE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55880-2025</t>
        </is>
      </c>
      <c r="B1200" s="1" t="n">
        <v>45973.36510416667</v>
      </c>
      <c r="C1200" s="1" t="n">
        <v>46105</v>
      </c>
      <c r="D1200" t="inlineStr">
        <is>
          <t>JÄMTLANDS LÄN</t>
        </is>
      </c>
      <c r="E1200" t="inlineStr">
        <is>
          <t>BRÄCKE</t>
        </is>
      </c>
      <c r="F1200" t="inlineStr">
        <is>
          <t>SCA</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56309-2025</t>
        </is>
      </c>
      <c r="B1201" s="1" t="n">
        <v>45974.61491898148</v>
      </c>
      <c r="C1201" s="1" t="n">
        <v>46105</v>
      </c>
      <c r="D1201" t="inlineStr">
        <is>
          <t>JÄMTLANDS LÄN</t>
        </is>
      </c>
      <c r="E1201" t="inlineStr">
        <is>
          <t>BRÄCKE</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48284-2021</t>
        </is>
      </c>
      <c r="B1202" s="1" t="n">
        <v>44449.75931712963</v>
      </c>
      <c r="C1202" s="1" t="n">
        <v>46105</v>
      </c>
      <c r="D1202" t="inlineStr">
        <is>
          <t>JÄMTLANDS LÄN</t>
        </is>
      </c>
      <c r="E1202" t="inlineStr">
        <is>
          <t>BRÄCKE</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1127-2025</t>
        </is>
      </c>
      <c r="B1203" s="1" t="n">
        <v>45666.67756944444</v>
      </c>
      <c r="C1203" s="1" t="n">
        <v>46105</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55905-2025</t>
        </is>
      </c>
      <c r="B1204" s="1" t="n">
        <v>45973.39108796296</v>
      </c>
      <c r="C1204" s="1" t="n">
        <v>46105</v>
      </c>
      <c r="D1204" t="inlineStr">
        <is>
          <t>JÄMTLANDS LÄN</t>
        </is>
      </c>
      <c r="E1204" t="inlineStr">
        <is>
          <t>BRÄCKE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39509-2023</t>
        </is>
      </c>
      <c r="B1205" s="1" t="n">
        <v>45166.95824074074</v>
      </c>
      <c r="C1205" s="1" t="n">
        <v>46105</v>
      </c>
      <c r="D1205" t="inlineStr">
        <is>
          <t>JÄMTLANDS LÄN</t>
        </is>
      </c>
      <c r="E1205" t="inlineStr">
        <is>
          <t>BRÄCKE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49189-2024</t>
        </is>
      </c>
      <c r="B1206" s="1" t="n">
        <v>45595.34502314815</v>
      </c>
      <c r="C1206" s="1" t="n">
        <v>46105</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56431-2025</t>
        </is>
      </c>
      <c r="B1207" s="1" t="n">
        <v>45975.34625</v>
      </c>
      <c r="C1207" s="1" t="n">
        <v>46105</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56448-2025</t>
        </is>
      </c>
      <c r="B1208" s="1" t="n">
        <v>45975.34862268518</v>
      </c>
      <c r="C1208" s="1" t="n">
        <v>46105</v>
      </c>
      <c r="D1208" t="inlineStr">
        <is>
          <t>JÄMTLANDS LÄN</t>
        </is>
      </c>
      <c r="E1208" t="inlineStr">
        <is>
          <t>BRÄCKE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172-2025</t>
        </is>
      </c>
      <c r="B1209" s="1" t="n">
        <v>45659.6565625</v>
      </c>
      <c r="C1209" s="1" t="n">
        <v>46105</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40693-2024</t>
        </is>
      </c>
      <c r="B1210" s="1" t="n">
        <v>45558.40670138889</v>
      </c>
      <c r="C1210" s="1" t="n">
        <v>46105</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56807-2025</t>
        </is>
      </c>
      <c r="B1211" s="1" t="n">
        <v>45978.44863425926</v>
      </c>
      <c r="C1211" s="1" t="n">
        <v>46105</v>
      </c>
      <c r="D1211" t="inlineStr">
        <is>
          <t>JÄMTLANDS LÄN</t>
        </is>
      </c>
      <c r="E1211" t="inlineStr">
        <is>
          <t>BRÄCKE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61787-2023</t>
        </is>
      </c>
      <c r="B1212" s="1" t="n">
        <v>45265.95765046297</v>
      </c>
      <c r="C1212" s="1" t="n">
        <v>46105</v>
      </c>
      <c r="D1212" t="inlineStr">
        <is>
          <t>JÄMTLANDS LÄN</t>
        </is>
      </c>
      <c r="E1212" t="inlineStr">
        <is>
          <t>BRÄCKE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52610-2024</t>
        </is>
      </c>
      <c r="B1213" s="1" t="n">
        <v>45609.78957175926</v>
      </c>
      <c r="C1213" s="1" t="n">
        <v>46105</v>
      </c>
      <c r="D1213" t="inlineStr">
        <is>
          <t>JÄMTLANDS LÄN</t>
        </is>
      </c>
      <c r="E1213" t="inlineStr">
        <is>
          <t>BRÄCKE</t>
        </is>
      </c>
      <c r="G1213" t="n">
        <v>16.7</v>
      </c>
      <c r="H1213" t="n">
        <v>0</v>
      </c>
      <c r="I1213" t="n">
        <v>0</v>
      </c>
      <c r="J1213" t="n">
        <v>0</v>
      </c>
      <c r="K1213" t="n">
        <v>0</v>
      </c>
      <c r="L1213" t="n">
        <v>0</v>
      </c>
      <c r="M1213" t="n">
        <v>0</v>
      </c>
      <c r="N1213" t="n">
        <v>0</v>
      </c>
      <c r="O1213" t="n">
        <v>0</v>
      </c>
      <c r="P1213" t="n">
        <v>0</v>
      </c>
      <c r="Q1213" t="n">
        <v>0</v>
      </c>
      <c r="R1213" s="2" t="inlineStr"/>
    </row>
    <row r="1214" ht="15" customHeight="1">
      <c r="A1214" t="inlineStr">
        <is>
          <t>A 56535-2025</t>
        </is>
      </c>
      <c r="B1214" s="1" t="n">
        <v>45975.46998842592</v>
      </c>
      <c r="C1214" s="1" t="n">
        <v>46105</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26437-2022</t>
        </is>
      </c>
      <c r="B1215" s="1" t="n">
        <v>44736.93912037037</v>
      </c>
      <c r="C1215" s="1" t="n">
        <v>46105</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46105</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21366-2021</t>
        </is>
      </c>
      <c r="B1217" s="1" t="n">
        <v>44320</v>
      </c>
      <c r="C1217" s="1" t="n">
        <v>46105</v>
      </c>
      <c r="D1217" t="inlineStr">
        <is>
          <t>JÄMTLANDS LÄN</t>
        </is>
      </c>
      <c r="E1217" t="inlineStr">
        <is>
          <t>BRÄCKE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56449-2025</t>
        </is>
      </c>
      <c r="B1218" s="1" t="n">
        <v>45975.34864583334</v>
      </c>
      <c r="C1218" s="1" t="n">
        <v>46105</v>
      </c>
      <c r="D1218" t="inlineStr">
        <is>
          <t>JÄMTLANDS LÄN</t>
        </is>
      </c>
      <c r="E1218" t="inlineStr">
        <is>
          <t>BRÄCKE</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56738-2025</t>
        </is>
      </c>
      <c r="B1219" s="1" t="n">
        <v>45978.34487268519</v>
      </c>
      <c r="C1219" s="1" t="n">
        <v>46105</v>
      </c>
      <c r="D1219" t="inlineStr">
        <is>
          <t>JÄMTLANDS LÄN</t>
        </is>
      </c>
      <c r="E1219" t="inlineStr">
        <is>
          <t>BRÄCKE</t>
        </is>
      </c>
      <c r="F1219" t="inlineStr">
        <is>
          <t>SCA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56739-2025</t>
        </is>
      </c>
      <c r="B1220" s="1" t="n">
        <v>45978.34491898148</v>
      </c>
      <c r="C1220" s="1" t="n">
        <v>46105</v>
      </c>
      <c r="D1220" t="inlineStr">
        <is>
          <t>JÄMTLANDS LÄN</t>
        </is>
      </c>
      <c r="E1220" t="inlineStr">
        <is>
          <t>BRÄCKE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57038-2025</t>
        </is>
      </c>
      <c r="B1221" s="1" t="n">
        <v>45979.34527777778</v>
      </c>
      <c r="C1221" s="1" t="n">
        <v>46105</v>
      </c>
      <c r="D1221" t="inlineStr">
        <is>
          <t>JÄMTLANDS LÄN</t>
        </is>
      </c>
      <c r="E1221" t="inlineStr">
        <is>
          <t>BRÄCKE</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57084-2025</t>
        </is>
      </c>
      <c r="B1222" s="1" t="n">
        <v>45979.41707175926</v>
      </c>
      <c r="C1222" s="1" t="n">
        <v>46105</v>
      </c>
      <c r="D1222" t="inlineStr">
        <is>
          <t>JÄMTLANDS LÄN</t>
        </is>
      </c>
      <c r="E1222" t="inlineStr">
        <is>
          <t>BRÄCKE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57334-2025</t>
        </is>
      </c>
      <c r="B1223" s="1" t="n">
        <v>45980.345</v>
      </c>
      <c r="C1223" s="1" t="n">
        <v>46105</v>
      </c>
      <c r="D1223" t="inlineStr">
        <is>
          <t>JÄMTLANDS LÄN</t>
        </is>
      </c>
      <c r="E1223" t="inlineStr">
        <is>
          <t>BRÄCKE</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57133-2025</t>
        </is>
      </c>
      <c r="B1224" s="1" t="n">
        <v>45979.4744212963</v>
      </c>
      <c r="C1224" s="1" t="n">
        <v>46105</v>
      </c>
      <c r="D1224" t="inlineStr">
        <is>
          <t>JÄMTLANDS LÄN</t>
        </is>
      </c>
      <c r="E1224" t="inlineStr">
        <is>
          <t>BRÄCKE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57139-2025</t>
        </is>
      </c>
      <c r="B1225" s="1" t="n">
        <v>45979.48126157407</v>
      </c>
      <c r="C1225" s="1" t="n">
        <v>46105</v>
      </c>
      <c r="D1225" t="inlineStr">
        <is>
          <t>JÄMTLANDS LÄN</t>
        </is>
      </c>
      <c r="E1225" t="inlineStr">
        <is>
          <t>BRÄCKE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61079-2024</t>
        </is>
      </c>
      <c r="B1226" s="1" t="n">
        <v>45645.51072916666</v>
      </c>
      <c r="C1226" s="1" t="n">
        <v>46105</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5052-2024</t>
        </is>
      </c>
      <c r="B1227" s="1" t="n">
        <v>45329.93077546296</v>
      </c>
      <c r="C1227" s="1" t="n">
        <v>46105</v>
      </c>
      <c r="D1227" t="inlineStr">
        <is>
          <t>JÄMTLANDS LÄN</t>
        </is>
      </c>
      <c r="E1227" t="inlineStr">
        <is>
          <t>BRÄCKE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5053-2024</t>
        </is>
      </c>
      <c r="B1228" s="1" t="n">
        <v>45329.93084490741</v>
      </c>
      <c r="C1228" s="1" t="n">
        <v>46105</v>
      </c>
      <c r="D1228" t="inlineStr">
        <is>
          <t>JÄMTLANDS LÄN</t>
        </is>
      </c>
      <c r="E1228" t="inlineStr">
        <is>
          <t>BRÄCKE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2179-2025</t>
        </is>
      </c>
      <c r="B1229" s="1" t="n">
        <v>45673.34421296296</v>
      </c>
      <c r="C1229" s="1" t="n">
        <v>46105</v>
      </c>
      <c r="D1229" t="inlineStr">
        <is>
          <t>JÄMTLANDS LÄN</t>
        </is>
      </c>
      <c r="E1229" t="inlineStr">
        <is>
          <t>BRÄCKE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2197-2025</t>
        </is>
      </c>
      <c r="B1230" s="1" t="n">
        <v>45673.38782407407</v>
      </c>
      <c r="C1230" s="1" t="n">
        <v>46105</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57272-2025</t>
        </is>
      </c>
      <c r="B1231" s="1" t="n">
        <v>45979.67814814814</v>
      </c>
      <c r="C1231" s="1" t="n">
        <v>46105</v>
      </c>
      <c r="D1231" t="inlineStr">
        <is>
          <t>JÄMTLANDS LÄN</t>
        </is>
      </c>
      <c r="E1231" t="inlineStr">
        <is>
          <t>BRÄCKE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57050-2025</t>
        </is>
      </c>
      <c r="B1232" s="1" t="n">
        <v>45979.34721064815</v>
      </c>
      <c r="C1232" s="1" t="n">
        <v>46105</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57354-2025</t>
        </is>
      </c>
      <c r="B1233" s="1" t="n">
        <v>45980.36532407408</v>
      </c>
      <c r="C1233" s="1" t="n">
        <v>46105</v>
      </c>
      <c r="D1233" t="inlineStr">
        <is>
          <t>JÄMTLANDS LÄN</t>
        </is>
      </c>
      <c r="E1233" t="inlineStr">
        <is>
          <t>BRÄCKE</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2581-2025</t>
        </is>
      </c>
      <c r="B1234" s="1" t="n">
        <v>45674.67771990741</v>
      </c>
      <c r="C1234" s="1" t="n">
        <v>46105</v>
      </c>
      <c r="D1234" t="inlineStr">
        <is>
          <t>JÄMTLANDS LÄN</t>
        </is>
      </c>
      <c r="E1234" t="inlineStr">
        <is>
          <t>BRÄCKE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57036-2025</t>
        </is>
      </c>
      <c r="B1235" s="1" t="n">
        <v>45979.34494212963</v>
      </c>
      <c r="C1235" s="1" t="n">
        <v>46105</v>
      </c>
      <c r="D1235" t="inlineStr">
        <is>
          <t>JÄMTLANDS LÄN</t>
        </is>
      </c>
      <c r="E1235" t="inlineStr">
        <is>
          <t>BRÄCKE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57352-2025</t>
        </is>
      </c>
      <c r="B1236" s="1" t="n">
        <v>45980.36506944444</v>
      </c>
      <c r="C1236" s="1" t="n">
        <v>46105</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3787-2025</t>
        </is>
      </c>
      <c r="B1237" s="1" t="n">
        <v>45681.6362037037</v>
      </c>
      <c r="C1237" s="1" t="n">
        <v>46105</v>
      </c>
      <c r="D1237" t="inlineStr">
        <is>
          <t>JÄMTLANDS LÄN</t>
        </is>
      </c>
      <c r="E1237" t="inlineStr">
        <is>
          <t>BRÄCKE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58132-2025</t>
        </is>
      </c>
      <c r="B1238" s="1" t="n">
        <v>45982.61650462963</v>
      </c>
      <c r="C1238" s="1" t="n">
        <v>46105</v>
      </c>
      <c r="D1238" t="inlineStr">
        <is>
          <t>JÄMTLANDS LÄN</t>
        </is>
      </c>
      <c r="E1238" t="inlineStr">
        <is>
          <t>BRÄCKE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57607-2025</t>
        </is>
      </c>
      <c r="B1239" s="1" t="n">
        <v>45981</v>
      </c>
      <c r="C1239" s="1" t="n">
        <v>46105</v>
      </c>
      <c r="D1239" t="inlineStr">
        <is>
          <t>JÄMTLANDS LÄN</t>
        </is>
      </c>
      <c r="E1239" t="inlineStr">
        <is>
          <t>BRÄCKE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57850-2025</t>
        </is>
      </c>
      <c r="B1240" s="1" t="n">
        <v>45981.6360300926</v>
      </c>
      <c r="C1240" s="1" t="n">
        <v>46105</v>
      </c>
      <c r="D1240" t="inlineStr">
        <is>
          <t>JÄMTLANDS LÄN</t>
        </is>
      </c>
      <c r="E1240" t="inlineStr">
        <is>
          <t>BRÄCKE</t>
        </is>
      </c>
      <c r="F1240" t="inlineStr">
        <is>
          <t>SCA</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35896-2023</t>
        </is>
      </c>
      <c r="B1241" s="1" t="n">
        <v>45148</v>
      </c>
      <c r="C1241" s="1" t="n">
        <v>46105</v>
      </c>
      <c r="D1241" t="inlineStr">
        <is>
          <t>JÄMTLANDS LÄN</t>
        </is>
      </c>
      <c r="E1241" t="inlineStr">
        <is>
          <t>BRÄCKE</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58091-2025</t>
        </is>
      </c>
      <c r="B1242" s="1" t="n">
        <v>45982.57381944444</v>
      </c>
      <c r="C1242" s="1" t="n">
        <v>46105</v>
      </c>
      <c r="D1242" t="inlineStr">
        <is>
          <t>JÄMTLANDS LÄN</t>
        </is>
      </c>
      <c r="E1242" t="inlineStr">
        <is>
          <t>BRÄCKE</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57616-2025</t>
        </is>
      </c>
      <c r="B1243" s="1" t="n">
        <v>45981.34456018519</v>
      </c>
      <c r="C1243" s="1" t="n">
        <v>46105</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40430-2023</t>
        </is>
      </c>
      <c r="B1244" s="1" t="n">
        <v>45169</v>
      </c>
      <c r="C1244" s="1" t="n">
        <v>46105</v>
      </c>
      <c r="D1244" t="inlineStr">
        <is>
          <t>JÄMTLANDS LÄN</t>
        </is>
      </c>
      <c r="E1244" t="inlineStr">
        <is>
          <t>BRÄCKE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57948-2025</t>
        </is>
      </c>
      <c r="B1245" s="1" t="n">
        <v>45982.34452546296</v>
      </c>
      <c r="C1245" s="1" t="n">
        <v>46105</v>
      </c>
      <c r="D1245" t="inlineStr">
        <is>
          <t>JÄMTLANDS LÄN</t>
        </is>
      </c>
      <c r="E1245" t="inlineStr">
        <is>
          <t>BRÄCKE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9996-2025</t>
        </is>
      </c>
      <c r="B1246" s="1" t="n">
        <v>45719.44133101852</v>
      </c>
      <c r="C1246" s="1" t="n">
        <v>46105</v>
      </c>
      <c r="D1246" t="inlineStr">
        <is>
          <t>JÄMTLANDS LÄN</t>
        </is>
      </c>
      <c r="E1246" t="inlineStr">
        <is>
          <t>BRÄCKE</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58351-2025</t>
        </is>
      </c>
      <c r="B1247" s="1" t="n">
        <v>45985.5109375</v>
      </c>
      <c r="C1247" s="1" t="n">
        <v>46105</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36209-2023</t>
        </is>
      </c>
      <c r="B1248" s="1" t="n">
        <v>45149</v>
      </c>
      <c r="C1248" s="1" t="n">
        <v>46105</v>
      </c>
      <c r="D1248" t="inlineStr">
        <is>
          <t>JÄMTLANDS LÄN</t>
        </is>
      </c>
      <c r="E1248" t="inlineStr">
        <is>
          <t>BRÄCKE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62102-2024</t>
        </is>
      </c>
      <c r="B1249" s="1" t="n">
        <v>45656.51145833333</v>
      </c>
      <c r="C1249" s="1" t="n">
        <v>46105</v>
      </c>
      <c r="D1249" t="inlineStr">
        <is>
          <t>JÄMTLANDS LÄN</t>
        </is>
      </c>
      <c r="E1249" t="inlineStr">
        <is>
          <t>BRÄCKE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58618-2025</t>
        </is>
      </c>
      <c r="B1250" s="1" t="n">
        <v>45986.46935185185</v>
      </c>
      <c r="C1250" s="1" t="n">
        <v>46105</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58495-2025</t>
        </is>
      </c>
      <c r="B1251" s="1" t="n">
        <v>45985.67776620371</v>
      </c>
      <c r="C1251" s="1" t="n">
        <v>46105</v>
      </c>
      <c r="D1251" t="inlineStr">
        <is>
          <t>JÄMTLANDS LÄN</t>
        </is>
      </c>
      <c r="E1251" t="inlineStr">
        <is>
          <t>BRÄCKE</t>
        </is>
      </c>
      <c r="F1251" t="inlineStr">
        <is>
          <t>SCA</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29572-2024</t>
        </is>
      </c>
      <c r="B1252" s="1" t="n">
        <v>45484.55929398148</v>
      </c>
      <c r="C1252" s="1" t="n">
        <v>46105</v>
      </c>
      <c r="D1252" t="inlineStr">
        <is>
          <t>JÄMTLANDS LÄN</t>
        </is>
      </c>
      <c r="E1252" t="inlineStr">
        <is>
          <t>BRÄCKE</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44403-2023</t>
        </is>
      </c>
      <c r="B1253" s="1" t="n">
        <v>45188.94601851852</v>
      </c>
      <c r="C1253" s="1" t="n">
        <v>46105</v>
      </c>
      <c r="D1253" t="inlineStr">
        <is>
          <t>JÄMTLANDS LÄN</t>
        </is>
      </c>
      <c r="E1253" t="inlineStr">
        <is>
          <t>BRÄCKE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1080-2025</t>
        </is>
      </c>
      <c r="B1254" s="1" t="n">
        <v>45666.61513888889</v>
      </c>
      <c r="C1254" s="1" t="n">
        <v>46105</v>
      </c>
      <c r="D1254" t="inlineStr">
        <is>
          <t>JÄMTLANDS LÄN</t>
        </is>
      </c>
      <c r="E1254" t="inlineStr">
        <is>
          <t>BRÄCKE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48440-2024</t>
        </is>
      </c>
      <c r="B1255" s="1" t="n">
        <v>45590.67774305555</v>
      </c>
      <c r="C1255" s="1" t="n">
        <v>46105</v>
      </c>
      <c r="D1255" t="inlineStr">
        <is>
          <t>JÄMTLANDS LÄN</t>
        </is>
      </c>
      <c r="E1255" t="inlineStr">
        <is>
          <t>BRÄCKE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30479-2022</t>
        </is>
      </c>
      <c r="B1256" s="1" t="n">
        <v>44761.94013888889</v>
      </c>
      <c r="C1256" s="1" t="n">
        <v>46105</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37957-2021</t>
        </is>
      </c>
      <c r="B1257" s="1" t="n">
        <v>44403</v>
      </c>
      <c r="C1257" s="1" t="n">
        <v>46105</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31467-2023</t>
        </is>
      </c>
      <c r="B1258" s="1" t="n">
        <v>45104</v>
      </c>
      <c r="C1258" s="1" t="n">
        <v>46105</v>
      </c>
      <c r="D1258" t="inlineStr">
        <is>
          <t>JÄMTLANDS LÄN</t>
        </is>
      </c>
      <c r="E1258" t="inlineStr">
        <is>
          <t>BRÄCKE</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31471-2023</t>
        </is>
      </c>
      <c r="B1259" s="1" t="n">
        <v>45104</v>
      </c>
      <c r="C1259" s="1" t="n">
        <v>46105</v>
      </c>
      <c r="D1259" t="inlineStr">
        <is>
          <t>JÄMTLANDS LÄN</t>
        </is>
      </c>
      <c r="E1259" t="inlineStr">
        <is>
          <t>BRÄCKE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10769-2025</t>
        </is>
      </c>
      <c r="B1260" s="1" t="n">
        <v>45722.4690625</v>
      </c>
      <c r="C1260" s="1" t="n">
        <v>46105</v>
      </c>
      <c r="D1260" t="inlineStr">
        <is>
          <t>JÄMTLANDS LÄN</t>
        </is>
      </c>
      <c r="E1260" t="inlineStr">
        <is>
          <t>BRÄCKE</t>
        </is>
      </c>
      <c r="F1260" t="inlineStr">
        <is>
          <t>SCA</t>
        </is>
      </c>
      <c r="G1260" t="n">
        <v>18.7</v>
      </c>
      <c r="H1260" t="n">
        <v>0</v>
      </c>
      <c r="I1260" t="n">
        <v>0</v>
      </c>
      <c r="J1260" t="n">
        <v>0</v>
      </c>
      <c r="K1260" t="n">
        <v>0</v>
      </c>
      <c r="L1260" t="n">
        <v>0</v>
      </c>
      <c r="M1260" t="n">
        <v>0</v>
      </c>
      <c r="N1260" t="n">
        <v>0</v>
      </c>
      <c r="O1260" t="n">
        <v>0</v>
      </c>
      <c r="P1260" t="n">
        <v>0</v>
      </c>
      <c r="Q1260" t="n">
        <v>0</v>
      </c>
      <c r="R1260" s="2" t="inlineStr"/>
    </row>
    <row r="1261" ht="15" customHeight="1">
      <c r="A1261" t="inlineStr">
        <is>
          <t>A 17209-2023</t>
        </is>
      </c>
      <c r="B1261" s="1" t="n">
        <v>45034</v>
      </c>
      <c r="C1261" s="1" t="n">
        <v>46105</v>
      </c>
      <c r="D1261" t="inlineStr">
        <is>
          <t>JÄMTLANDS LÄN</t>
        </is>
      </c>
      <c r="E1261" t="inlineStr">
        <is>
          <t>BRÄCKE</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6788-2025</t>
        </is>
      </c>
      <c r="B1262" s="1" t="n">
        <v>45700.65692129629</v>
      </c>
      <c r="C1262" s="1" t="n">
        <v>46105</v>
      </c>
      <c r="D1262" t="inlineStr">
        <is>
          <t>JÄMTLANDS LÄN</t>
        </is>
      </c>
      <c r="E1262" t="inlineStr">
        <is>
          <t>BRÄCKE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32471-2021</t>
        </is>
      </c>
      <c r="B1263" s="1" t="n">
        <v>44371</v>
      </c>
      <c r="C1263" s="1" t="n">
        <v>46105</v>
      </c>
      <c r="D1263" t="inlineStr">
        <is>
          <t>JÄMTLANDS LÄN</t>
        </is>
      </c>
      <c r="E1263" t="inlineStr">
        <is>
          <t>BRÄCKE</t>
        </is>
      </c>
      <c r="F1263" t="inlineStr">
        <is>
          <t>SCA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61973-2024</t>
        </is>
      </c>
      <c r="B1264" s="1" t="n">
        <v>45653.61484953704</v>
      </c>
      <c r="C1264" s="1" t="n">
        <v>46105</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57412-2023</t>
        </is>
      </c>
      <c r="B1265" s="1" t="n">
        <v>45245</v>
      </c>
      <c r="C1265" s="1" t="n">
        <v>46105</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57419-2023</t>
        </is>
      </c>
      <c r="B1266" s="1" t="n">
        <v>45245.96983796296</v>
      </c>
      <c r="C1266" s="1" t="n">
        <v>46105</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35244-2021</t>
        </is>
      </c>
      <c r="B1267" s="1" t="n">
        <v>44384.58844907407</v>
      </c>
      <c r="C1267" s="1" t="n">
        <v>46105</v>
      </c>
      <c r="D1267" t="inlineStr">
        <is>
          <t>JÄMTLANDS LÄN</t>
        </is>
      </c>
      <c r="E1267" t="inlineStr">
        <is>
          <t>BRÄCKE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41401-2023</t>
        </is>
      </c>
      <c r="B1268" s="1" t="n">
        <v>45174</v>
      </c>
      <c r="C1268" s="1" t="n">
        <v>46105</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22001-2024</t>
        </is>
      </c>
      <c r="B1269" s="1" t="n">
        <v>45443.56649305556</v>
      </c>
      <c r="C1269" s="1" t="n">
        <v>46105</v>
      </c>
      <c r="D1269" t="inlineStr">
        <is>
          <t>JÄMTLANDS LÄN</t>
        </is>
      </c>
      <c r="E1269" t="inlineStr">
        <is>
          <t>BRÄCKE</t>
        </is>
      </c>
      <c r="F1269" t="inlineStr">
        <is>
          <t>Övriga Aktiebolag</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14601-2025</t>
        </is>
      </c>
      <c r="B1270" s="1" t="n">
        <v>45742.36497685185</v>
      </c>
      <c r="C1270" s="1" t="n">
        <v>46105</v>
      </c>
      <c r="D1270" t="inlineStr">
        <is>
          <t>JÄMTLANDS LÄN</t>
        </is>
      </c>
      <c r="E1270" t="inlineStr">
        <is>
          <t>BRÄCKE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22121-2024</t>
        </is>
      </c>
      <c r="B1271" s="1" t="n">
        <v>45443.95271990741</v>
      </c>
      <c r="C1271" s="1" t="n">
        <v>46105</v>
      </c>
      <c r="D1271" t="inlineStr">
        <is>
          <t>JÄMTLANDS LÄN</t>
        </is>
      </c>
      <c r="E1271" t="inlineStr">
        <is>
          <t>BRÄCKE</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58826-2025</t>
        </is>
      </c>
      <c r="B1272" s="1" t="n">
        <v>45987.346875</v>
      </c>
      <c r="C1272" s="1" t="n">
        <v>46105</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59008-2024</t>
        </is>
      </c>
      <c r="B1273" s="1" t="n">
        <v>45636.65724537037</v>
      </c>
      <c r="C1273" s="1" t="n">
        <v>46105</v>
      </c>
      <c r="D1273" t="inlineStr">
        <is>
          <t>JÄMTLANDS LÄN</t>
        </is>
      </c>
      <c r="E1273" t="inlineStr">
        <is>
          <t>BRÄCKE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58957-2025</t>
        </is>
      </c>
      <c r="B1274" s="1" t="n">
        <v>45987.59512731482</v>
      </c>
      <c r="C1274" s="1" t="n">
        <v>46105</v>
      </c>
      <c r="D1274" t="inlineStr">
        <is>
          <t>JÄMTLANDS LÄN</t>
        </is>
      </c>
      <c r="E1274" t="inlineStr">
        <is>
          <t>BRÄCKE</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16634-2025</t>
        </is>
      </c>
      <c r="B1275" s="1" t="n">
        <v>45754.3653125</v>
      </c>
      <c r="C1275" s="1" t="n">
        <v>46105</v>
      </c>
      <c r="D1275" t="inlineStr">
        <is>
          <t>JÄMTLANDS LÄN</t>
        </is>
      </c>
      <c r="E1275" t="inlineStr">
        <is>
          <t>BRÄCKE</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59285-2025</t>
        </is>
      </c>
      <c r="B1276" s="1" t="n">
        <v>45988.73943287037</v>
      </c>
      <c r="C1276" s="1" t="n">
        <v>46105</v>
      </c>
      <c r="D1276" t="inlineStr">
        <is>
          <t>JÄMTLANDS LÄN</t>
        </is>
      </c>
      <c r="E1276" t="inlineStr">
        <is>
          <t>BRÄCKE</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60654-2024</t>
        </is>
      </c>
      <c r="B1277" s="1" t="n">
        <v>45644</v>
      </c>
      <c r="C1277" s="1" t="n">
        <v>46105</v>
      </c>
      <c r="D1277" t="inlineStr">
        <is>
          <t>JÄMTLANDS LÄN</t>
        </is>
      </c>
      <c r="E1277" t="inlineStr">
        <is>
          <t>BRÄCKE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58972-2025</t>
        </is>
      </c>
      <c r="B1278" s="1" t="n">
        <v>45987</v>
      </c>
      <c r="C1278" s="1" t="n">
        <v>46105</v>
      </c>
      <c r="D1278" t="inlineStr">
        <is>
          <t>JÄMTLANDS LÄN</t>
        </is>
      </c>
      <c r="E1278" t="inlineStr">
        <is>
          <t>BRÄCKE</t>
        </is>
      </c>
      <c r="F1278" t="inlineStr">
        <is>
          <t>SCA</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34873-2021</t>
        </is>
      </c>
      <c r="B1279" s="1" t="n">
        <v>44382</v>
      </c>
      <c r="C1279" s="1" t="n">
        <v>46105</v>
      </c>
      <c r="D1279" t="inlineStr">
        <is>
          <t>JÄMTLANDS LÄN</t>
        </is>
      </c>
      <c r="E1279" t="inlineStr">
        <is>
          <t>BRÄCKE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59542-2025</t>
        </is>
      </c>
      <c r="B1280" s="1" t="n">
        <v>45990.34454861111</v>
      </c>
      <c r="C1280" s="1" t="n">
        <v>46105</v>
      </c>
      <c r="D1280" t="inlineStr">
        <is>
          <t>JÄMTLANDS LÄN</t>
        </is>
      </c>
      <c r="E1280" t="inlineStr">
        <is>
          <t>BRÄCKE</t>
        </is>
      </c>
      <c r="F1280" t="inlineStr">
        <is>
          <t>SCA</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59545-2025</t>
        </is>
      </c>
      <c r="B1281" s="1" t="n">
        <v>45990.34488425926</v>
      </c>
      <c r="C1281" s="1" t="n">
        <v>46105</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45085.94633101852</v>
      </c>
      <c r="C1282" s="1" t="n">
        <v>46105</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41175-2023</t>
        </is>
      </c>
      <c r="B1283" s="1" t="n">
        <v>45170</v>
      </c>
      <c r="C1283" s="1" t="n">
        <v>46105</v>
      </c>
      <c r="D1283" t="inlineStr">
        <is>
          <t>JÄMTLANDS LÄN</t>
        </is>
      </c>
      <c r="E1283" t="inlineStr">
        <is>
          <t>BRÄCKE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59543-2025</t>
        </is>
      </c>
      <c r="B1284" s="1" t="n">
        <v>45990.34466435185</v>
      </c>
      <c r="C1284" s="1" t="n">
        <v>46105</v>
      </c>
      <c r="D1284" t="inlineStr">
        <is>
          <t>JÄMTLANDS LÄN</t>
        </is>
      </c>
      <c r="E1284" t="inlineStr">
        <is>
          <t>BRÄCKE</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15779-2025</t>
        </is>
      </c>
      <c r="B1285" s="1" t="n">
        <v>45748.60634259259</v>
      </c>
      <c r="C1285" s="1" t="n">
        <v>46105</v>
      </c>
      <c r="D1285" t="inlineStr">
        <is>
          <t>JÄMTLANDS LÄN</t>
        </is>
      </c>
      <c r="E1285" t="inlineStr">
        <is>
          <t>BRÄCKE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59323-2025</t>
        </is>
      </c>
      <c r="B1286" s="1" t="n">
        <v>45989.34443287037</v>
      </c>
      <c r="C1286" s="1" t="n">
        <v>46105</v>
      </c>
      <c r="D1286" t="inlineStr">
        <is>
          <t>JÄMTLANDS LÄN</t>
        </is>
      </c>
      <c r="E1286" t="inlineStr">
        <is>
          <t>BRÄCKE</t>
        </is>
      </c>
      <c r="F1286" t="inlineStr">
        <is>
          <t>SCA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35564-2021</t>
        </is>
      </c>
      <c r="B1287" s="1" t="n">
        <v>44385.93597222222</v>
      </c>
      <c r="C1287" s="1" t="n">
        <v>46105</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59547-2025</t>
        </is>
      </c>
      <c r="B1288" s="1" t="n">
        <v>45990.34509259259</v>
      </c>
      <c r="C1288" s="1" t="n">
        <v>46105</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12452-2025</t>
        </is>
      </c>
      <c r="B1289" s="1" t="n">
        <v>45730.51483796296</v>
      </c>
      <c r="C1289" s="1" t="n">
        <v>46105</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30287-2024</t>
        </is>
      </c>
      <c r="B1290" s="1" t="n">
        <v>45490.6452199074</v>
      </c>
      <c r="C1290" s="1" t="n">
        <v>46105</v>
      </c>
      <c r="D1290" t="inlineStr">
        <is>
          <t>JÄMTLANDS LÄN</t>
        </is>
      </c>
      <c r="E1290" t="inlineStr">
        <is>
          <t>BRÄCKE</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59544-2025</t>
        </is>
      </c>
      <c r="B1291" s="1" t="n">
        <v>45990.34483796296</v>
      </c>
      <c r="C1291" s="1" t="n">
        <v>46105</v>
      </c>
      <c r="D1291" t="inlineStr">
        <is>
          <t>JÄMTLANDS LÄN</t>
        </is>
      </c>
      <c r="E1291" t="inlineStr">
        <is>
          <t>BRÄCKE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60053-2025</t>
        </is>
      </c>
      <c r="B1292" s="1" t="n">
        <v>45993.63614583333</v>
      </c>
      <c r="C1292" s="1" t="n">
        <v>46105</v>
      </c>
      <c r="D1292" t="inlineStr">
        <is>
          <t>JÄMTLANDS LÄN</t>
        </is>
      </c>
      <c r="E1292" t="inlineStr">
        <is>
          <t>BRÄCKE</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60321-2025</t>
        </is>
      </c>
      <c r="B1293" s="1" t="n">
        <v>45994.71998842592</v>
      </c>
      <c r="C1293" s="1" t="n">
        <v>46105</v>
      </c>
      <c r="D1293" t="inlineStr">
        <is>
          <t>JÄMTLANDS LÄN</t>
        </is>
      </c>
      <c r="E1293" t="inlineStr">
        <is>
          <t>BRÄCKE</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60221-2025</t>
        </is>
      </c>
      <c r="B1294" s="1" t="n">
        <v>45994.54357638889</v>
      </c>
      <c r="C1294" s="1" t="n">
        <v>46105</v>
      </c>
      <c r="D1294" t="inlineStr">
        <is>
          <t>JÄMTLANDS LÄN</t>
        </is>
      </c>
      <c r="E1294" t="inlineStr">
        <is>
          <t>BRÄCKE</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41722-2023</t>
        </is>
      </c>
      <c r="B1295" s="1" t="n">
        <v>45176.4012037037</v>
      </c>
      <c r="C1295" s="1" t="n">
        <v>46105</v>
      </c>
      <c r="D1295" t="inlineStr">
        <is>
          <t>JÄMTLANDS LÄN</t>
        </is>
      </c>
      <c r="E1295" t="inlineStr">
        <is>
          <t>BRÄCKE</t>
        </is>
      </c>
      <c r="G1295" t="n">
        <v>21.3</v>
      </c>
      <c r="H1295" t="n">
        <v>0</v>
      </c>
      <c r="I1295" t="n">
        <v>0</v>
      </c>
      <c r="J1295" t="n">
        <v>0</v>
      </c>
      <c r="K1295" t="n">
        <v>0</v>
      </c>
      <c r="L1295" t="n">
        <v>0</v>
      </c>
      <c r="M1295" t="n">
        <v>0</v>
      </c>
      <c r="N1295" t="n">
        <v>0</v>
      </c>
      <c r="O1295" t="n">
        <v>0</v>
      </c>
      <c r="P1295" t="n">
        <v>0</v>
      </c>
      <c r="Q1295" t="n">
        <v>0</v>
      </c>
      <c r="R1295" s="2" t="inlineStr"/>
    </row>
    <row r="1296" ht="15" customHeight="1">
      <c r="A1296" t="inlineStr">
        <is>
          <t>A 60248-2025</t>
        </is>
      </c>
      <c r="B1296" s="1" t="n">
        <v>45994.59428240741</v>
      </c>
      <c r="C1296" s="1" t="n">
        <v>46105</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21637-2021</t>
        </is>
      </c>
      <c r="B1297" s="1" t="n">
        <v>44321</v>
      </c>
      <c r="C1297" s="1" t="n">
        <v>46105</v>
      </c>
      <c r="D1297" t="inlineStr">
        <is>
          <t>JÄMTLANDS LÄN</t>
        </is>
      </c>
      <c r="E1297" t="inlineStr">
        <is>
          <t>BRÄCKE</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65096-2023</t>
        </is>
      </c>
      <c r="B1298" s="1" t="n">
        <v>45288</v>
      </c>
      <c r="C1298" s="1" t="n">
        <v>46105</v>
      </c>
      <c r="D1298" t="inlineStr">
        <is>
          <t>JÄMTLANDS LÄN</t>
        </is>
      </c>
      <c r="E1298" t="inlineStr">
        <is>
          <t>BRÄCKE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60132-2025</t>
        </is>
      </c>
      <c r="B1299" s="1" t="n">
        <v>45994.34591435185</v>
      </c>
      <c r="C1299" s="1" t="n">
        <v>46105</v>
      </c>
      <c r="D1299" t="inlineStr">
        <is>
          <t>JÄMTLANDS LÄN</t>
        </is>
      </c>
      <c r="E1299" t="inlineStr">
        <is>
          <t>BRÄCKE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60295-2025</t>
        </is>
      </c>
      <c r="B1300" s="1" t="n">
        <v>45994.65680555555</v>
      </c>
      <c r="C1300" s="1" t="n">
        <v>46105</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59976-2025</t>
        </is>
      </c>
      <c r="B1301" s="1" t="n">
        <v>45993.51091435185</v>
      </c>
      <c r="C1301" s="1" t="n">
        <v>46105</v>
      </c>
      <c r="D1301" t="inlineStr">
        <is>
          <t>JÄMTLANDS LÄN</t>
        </is>
      </c>
      <c r="E1301" t="inlineStr">
        <is>
          <t>BRÄCKE</t>
        </is>
      </c>
      <c r="F1301" t="inlineStr">
        <is>
          <t>SCA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52023-2022</t>
        </is>
      </c>
      <c r="B1302" s="1" t="n">
        <v>44872.95675925926</v>
      </c>
      <c r="C1302" s="1" t="n">
        <v>46105</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3697-2025</t>
        </is>
      </c>
      <c r="B1303" s="1" t="n">
        <v>45681.46973379629</v>
      </c>
      <c r="C1303" s="1" t="n">
        <v>46105</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3862-2025</t>
        </is>
      </c>
      <c r="B1304" s="1" t="n">
        <v>45684.31023148148</v>
      </c>
      <c r="C1304" s="1" t="n">
        <v>46105</v>
      </c>
      <c r="D1304" t="inlineStr">
        <is>
          <t>JÄMTLANDS LÄN</t>
        </is>
      </c>
      <c r="E1304" t="inlineStr">
        <is>
          <t>BRÄCKE</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60432-2025</t>
        </is>
      </c>
      <c r="B1305" s="1" t="n">
        <v>45995.47159722223</v>
      </c>
      <c r="C1305" s="1" t="n">
        <v>46105</v>
      </c>
      <c r="D1305" t="inlineStr">
        <is>
          <t>JÄMTLANDS LÄN</t>
        </is>
      </c>
      <c r="E1305" t="inlineStr">
        <is>
          <t>BRÄCKE</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60660-2025</t>
        </is>
      </c>
      <c r="B1306" s="1" t="n">
        <v>45996.48990740741</v>
      </c>
      <c r="C1306" s="1" t="n">
        <v>46105</v>
      </c>
      <c r="D1306" t="inlineStr">
        <is>
          <t>JÄMTLANDS LÄN</t>
        </is>
      </c>
      <c r="E1306" t="inlineStr">
        <is>
          <t>BRÄCKE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60353-2025</t>
        </is>
      </c>
      <c r="B1307" s="1" t="n">
        <v>45995.30998842593</v>
      </c>
      <c r="C1307" s="1" t="n">
        <v>46105</v>
      </c>
      <c r="D1307" t="inlineStr">
        <is>
          <t>JÄMTLANDS LÄN</t>
        </is>
      </c>
      <c r="E1307" t="inlineStr">
        <is>
          <t>BRÄCKE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60355-2025</t>
        </is>
      </c>
      <c r="B1308" s="1" t="n">
        <v>45995.31350694445</v>
      </c>
      <c r="C1308" s="1" t="n">
        <v>46105</v>
      </c>
      <c r="D1308" t="inlineStr">
        <is>
          <t>JÄMTLANDS LÄN</t>
        </is>
      </c>
      <c r="E1308" t="inlineStr">
        <is>
          <t>BRÄCKE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34410-2021</t>
        </is>
      </c>
      <c r="B1309" s="1" t="n">
        <v>44379.94194444444</v>
      </c>
      <c r="C1309" s="1" t="n">
        <v>46105</v>
      </c>
      <c r="D1309" t="inlineStr">
        <is>
          <t>JÄMTLANDS LÄN</t>
        </is>
      </c>
      <c r="E1309" t="inlineStr">
        <is>
          <t>BRÄCKE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60377-2025</t>
        </is>
      </c>
      <c r="B1310" s="1" t="n">
        <v>45995.36479166667</v>
      </c>
      <c r="C1310" s="1" t="n">
        <v>46105</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45342-2023</t>
        </is>
      </c>
      <c r="B1311" s="1" t="n">
        <v>45191.93817129629</v>
      </c>
      <c r="C1311" s="1" t="n">
        <v>46105</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60220-2025</t>
        </is>
      </c>
      <c r="B1312" s="1" t="n">
        <v>45994</v>
      </c>
      <c r="C1312" s="1" t="n">
        <v>46105</v>
      </c>
      <c r="D1312" t="inlineStr">
        <is>
          <t>JÄMTLANDS LÄN</t>
        </is>
      </c>
      <c r="E1312" t="inlineStr">
        <is>
          <t>BRÄCKE</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20532-2025</t>
        </is>
      </c>
      <c r="B1313" s="1" t="n">
        <v>45775.61515046296</v>
      </c>
      <c r="C1313" s="1" t="n">
        <v>46105</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61190-2025</t>
        </is>
      </c>
      <c r="B1314" s="1" t="n">
        <v>46000.59221064814</v>
      </c>
      <c r="C1314" s="1" t="n">
        <v>46105</v>
      </c>
      <c r="D1314" t="inlineStr">
        <is>
          <t>JÄMTLANDS LÄN</t>
        </is>
      </c>
      <c r="E1314" t="inlineStr">
        <is>
          <t>BRÄCKE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45436-2022</t>
        </is>
      </c>
      <c r="B1315" s="1" t="n">
        <v>44844.95355324074</v>
      </c>
      <c r="C1315" s="1" t="n">
        <v>46105</v>
      </c>
      <c r="D1315" t="inlineStr">
        <is>
          <t>JÄMTLANDS LÄN</t>
        </is>
      </c>
      <c r="E1315" t="inlineStr">
        <is>
          <t>BRÄCKE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60762-2025</t>
        </is>
      </c>
      <c r="B1316" s="1" t="n">
        <v>45999.3863425926</v>
      </c>
      <c r="C1316" s="1" t="n">
        <v>46105</v>
      </c>
      <c r="D1316" t="inlineStr">
        <is>
          <t>JÄMTLANDS LÄN</t>
        </is>
      </c>
      <c r="E1316" t="inlineStr">
        <is>
          <t>BRÄCKE</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60769-2025</t>
        </is>
      </c>
      <c r="B1317" s="1" t="n">
        <v>45999.38702546297</v>
      </c>
      <c r="C1317" s="1" t="n">
        <v>46105</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41694-2025</t>
        </is>
      </c>
      <c r="B1318" s="1" t="n">
        <v>45902</v>
      </c>
      <c r="C1318" s="1" t="n">
        <v>46105</v>
      </c>
      <c r="D1318" t="inlineStr">
        <is>
          <t>JÄMTLANDS LÄN</t>
        </is>
      </c>
      <c r="E1318" t="inlineStr">
        <is>
          <t>BRÄCKE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6291-2025</t>
        </is>
      </c>
      <c r="B1319" s="1" t="n">
        <v>45698.65653935185</v>
      </c>
      <c r="C1319" s="1" t="n">
        <v>46105</v>
      </c>
      <c r="D1319" t="inlineStr">
        <is>
          <t>JÄMTLANDS LÄN</t>
        </is>
      </c>
      <c r="E1319" t="inlineStr">
        <is>
          <t>BRÄCKE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18057-2025</t>
        </is>
      </c>
      <c r="B1320" s="1" t="n">
        <v>45761.47681712963</v>
      </c>
      <c r="C1320" s="1" t="n">
        <v>46105</v>
      </c>
      <c r="D1320" t="inlineStr">
        <is>
          <t>JÄMTLANDS LÄN</t>
        </is>
      </c>
      <c r="E1320" t="inlineStr">
        <is>
          <t>BRÄCKE</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18065-2025</t>
        </is>
      </c>
      <c r="B1321" s="1" t="n">
        <v>45761.48989583334</v>
      </c>
      <c r="C1321" s="1" t="n">
        <v>46105</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60870-2023</t>
        </is>
      </c>
      <c r="B1322" s="1" t="n">
        <v>45260.96667824074</v>
      </c>
      <c r="C1322" s="1" t="n">
        <v>46105</v>
      </c>
      <c r="D1322" t="inlineStr">
        <is>
          <t>JÄMTLANDS LÄN</t>
        </is>
      </c>
      <c r="E1322" t="inlineStr">
        <is>
          <t>BRÄCKE</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33773-2024</t>
        </is>
      </c>
      <c r="B1323" s="1" t="n">
        <v>45520</v>
      </c>
      <c r="C1323" s="1" t="n">
        <v>46105</v>
      </c>
      <c r="D1323" t="inlineStr">
        <is>
          <t>JÄMTLANDS LÄN</t>
        </is>
      </c>
      <c r="E1323" t="inlineStr">
        <is>
          <t>BRÄCKE</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33774-2024</t>
        </is>
      </c>
      <c r="B1324" s="1" t="n">
        <v>45520</v>
      </c>
      <c r="C1324" s="1" t="n">
        <v>46105</v>
      </c>
      <c r="D1324" t="inlineStr">
        <is>
          <t>JÄMTLANDS LÄN</t>
        </is>
      </c>
      <c r="E1324" t="inlineStr">
        <is>
          <t>BRÄCKE</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61196-2025</t>
        </is>
      </c>
      <c r="B1325" s="1" t="n">
        <v>46000.60346064815</v>
      </c>
      <c r="C1325" s="1" t="n">
        <v>46105</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61171-2025</t>
        </is>
      </c>
      <c r="B1326" s="1" t="n">
        <v>46000.57232638889</v>
      </c>
      <c r="C1326" s="1" t="n">
        <v>46105</v>
      </c>
      <c r="D1326" t="inlineStr">
        <is>
          <t>JÄMTLANDS LÄN</t>
        </is>
      </c>
      <c r="E1326" t="inlineStr">
        <is>
          <t>BRÄCKE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29323-2023</t>
        </is>
      </c>
      <c r="B1327" s="1" t="n">
        <v>45105</v>
      </c>
      <c r="C1327" s="1" t="n">
        <v>46105</v>
      </c>
      <c r="D1327" t="inlineStr">
        <is>
          <t>JÄMTLANDS LÄN</t>
        </is>
      </c>
      <c r="E1327" t="inlineStr">
        <is>
          <t>BRÄCKE</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61587-2025</t>
        </is>
      </c>
      <c r="B1328" s="1" t="n">
        <v>46002.34481481482</v>
      </c>
      <c r="C1328" s="1" t="n">
        <v>46105</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23752-2023</t>
        </is>
      </c>
      <c r="B1329" s="1" t="n">
        <v>45077.92935185185</v>
      </c>
      <c r="C1329" s="1" t="n">
        <v>46105</v>
      </c>
      <c r="D1329" t="inlineStr">
        <is>
          <t>JÄMTLANDS LÄN</t>
        </is>
      </c>
      <c r="E1329" t="inlineStr">
        <is>
          <t>BRÄCKE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44444-2022</t>
        </is>
      </c>
      <c r="B1330" s="1" t="n">
        <v>44839.95474537037</v>
      </c>
      <c r="C1330" s="1" t="n">
        <v>46105</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5005-2025</t>
        </is>
      </c>
      <c r="B1331" s="1" t="n">
        <v>45691.36862268519</v>
      </c>
      <c r="C1331" s="1" t="n">
        <v>46105</v>
      </c>
      <c r="D1331" t="inlineStr">
        <is>
          <t>JÄMTLANDS LÄN</t>
        </is>
      </c>
      <c r="E1331" t="inlineStr">
        <is>
          <t>BRÄCKE</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61489-2025</t>
        </is>
      </c>
      <c r="B1332" s="1" t="n">
        <v>46001.63672453703</v>
      </c>
      <c r="C1332" s="1" t="n">
        <v>46105</v>
      </c>
      <c r="D1332" t="inlineStr">
        <is>
          <t>JÄMTLANDS LÄN</t>
        </is>
      </c>
      <c r="E1332" t="inlineStr">
        <is>
          <t>BRÄCKE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42959-2024</t>
        </is>
      </c>
      <c r="B1333" s="1" t="n">
        <v>45567.37144675926</v>
      </c>
      <c r="C1333" s="1" t="n">
        <v>46105</v>
      </c>
      <c r="D1333" t="inlineStr">
        <is>
          <t>JÄMTLANDS LÄN</t>
        </is>
      </c>
      <c r="E1333" t="inlineStr">
        <is>
          <t>BRÄCKE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61903-2025</t>
        </is>
      </c>
      <c r="B1334" s="1" t="n">
        <v>46003.46973379629</v>
      </c>
      <c r="C1334" s="1" t="n">
        <v>46105</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57420-2023</t>
        </is>
      </c>
      <c r="B1335" s="1" t="n">
        <v>45245.96990740741</v>
      </c>
      <c r="C1335" s="1" t="n">
        <v>46105</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63292-2023</t>
        </is>
      </c>
      <c r="B1336" s="1" t="n">
        <v>45273.94680555556</v>
      </c>
      <c r="C1336" s="1" t="n">
        <v>46105</v>
      </c>
      <c r="D1336" t="inlineStr">
        <is>
          <t>JÄMTLANDS LÄN</t>
        </is>
      </c>
      <c r="E1336" t="inlineStr">
        <is>
          <t>BRÄCKE</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62063-2025</t>
        </is>
      </c>
      <c r="B1337" s="1" t="n">
        <v>46006.34462962963</v>
      </c>
      <c r="C1337" s="1" t="n">
        <v>46105</v>
      </c>
      <c r="D1337" t="inlineStr">
        <is>
          <t>JÄMTLANDS LÄN</t>
        </is>
      </c>
      <c r="E1337" t="inlineStr">
        <is>
          <t>BRÄCKE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62236-2025</t>
        </is>
      </c>
      <c r="B1338" s="1" t="n">
        <v>46006.59461805555</v>
      </c>
      <c r="C1338" s="1" t="n">
        <v>46105</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61862-2025</t>
        </is>
      </c>
      <c r="B1339" s="1" t="n">
        <v>46003.38708333333</v>
      </c>
      <c r="C1339" s="1" t="n">
        <v>46105</v>
      </c>
      <c r="D1339" t="inlineStr">
        <is>
          <t>JÄMTLANDS LÄN</t>
        </is>
      </c>
      <c r="E1339" t="inlineStr">
        <is>
          <t>BRÄCKE</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61859-2025</t>
        </is>
      </c>
      <c r="B1340" s="1" t="n">
        <v>46003.38662037037</v>
      </c>
      <c r="C1340" s="1" t="n">
        <v>46105</v>
      </c>
      <c r="D1340" t="inlineStr">
        <is>
          <t>JÄMTLANDS LÄN</t>
        </is>
      </c>
      <c r="E1340" t="inlineStr">
        <is>
          <t>BRÄCKE</t>
        </is>
      </c>
      <c r="F1340" t="inlineStr">
        <is>
          <t>SCA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62022-2025</t>
        </is>
      </c>
      <c r="B1341" s="1" t="n">
        <v>46003.69835648148</v>
      </c>
      <c r="C1341" s="1" t="n">
        <v>46105</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62023-2025</t>
        </is>
      </c>
      <c r="B1342" s="1" t="n">
        <v>46003.69858796296</v>
      </c>
      <c r="C1342" s="1" t="n">
        <v>46105</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62233-2025</t>
        </is>
      </c>
      <c r="B1343" s="1" t="n">
        <v>46006.59424768519</v>
      </c>
      <c r="C1343" s="1" t="n">
        <v>46105</v>
      </c>
      <c r="D1343" t="inlineStr">
        <is>
          <t>JÄMTLANDS LÄN</t>
        </is>
      </c>
      <c r="E1343" t="inlineStr">
        <is>
          <t>BRÄCKE</t>
        </is>
      </c>
      <c r="F1343" t="inlineStr">
        <is>
          <t>SCA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62265-2025</t>
        </is>
      </c>
      <c r="B1344" s="1" t="n">
        <v>46006.61657407408</v>
      </c>
      <c r="C1344" s="1" t="n">
        <v>46105</v>
      </c>
      <c r="D1344" t="inlineStr">
        <is>
          <t>JÄMTLANDS LÄN</t>
        </is>
      </c>
      <c r="E1344" t="inlineStr">
        <is>
          <t>BRÄCKE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50840-2023</t>
        </is>
      </c>
      <c r="B1345" s="1" t="n">
        <v>45217</v>
      </c>
      <c r="C1345" s="1" t="n">
        <v>46105</v>
      </c>
      <c r="D1345" t="inlineStr">
        <is>
          <t>JÄMTLANDS LÄN</t>
        </is>
      </c>
      <c r="E1345" t="inlineStr">
        <is>
          <t>BRÄCKE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46793-2021</t>
        </is>
      </c>
      <c r="B1346" s="1" t="n">
        <v>44445</v>
      </c>
      <c r="C1346" s="1" t="n">
        <v>46105</v>
      </c>
      <c r="D1346" t="inlineStr">
        <is>
          <t>JÄMTLANDS LÄN</t>
        </is>
      </c>
      <c r="E1346" t="inlineStr">
        <is>
          <t>BRÄCKE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20276-2023</t>
        </is>
      </c>
      <c r="B1347" s="1" t="n">
        <v>45055.94465277778</v>
      </c>
      <c r="C1347" s="1" t="n">
        <v>46105</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62261-2025</t>
        </is>
      </c>
      <c r="B1348" s="1" t="n">
        <v>46006.61622685185</v>
      </c>
      <c r="C1348" s="1" t="n">
        <v>46105</v>
      </c>
      <c r="D1348" t="inlineStr">
        <is>
          <t>JÄMTLANDS LÄN</t>
        </is>
      </c>
      <c r="E1348" t="inlineStr">
        <is>
          <t>BRÄCKE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61827-2025</t>
        </is>
      </c>
      <c r="B1349" s="1" t="n">
        <v>46003.33991898148</v>
      </c>
      <c r="C1349" s="1" t="n">
        <v>46105</v>
      </c>
      <c r="D1349" t="inlineStr">
        <is>
          <t>JÄMTLANDS LÄN</t>
        </is>
      </c>
      <c r="E1349" t="inlineStr">
        <is>
          <t>BRÄCKE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9707-2025</t>
        </is>
      </c>
      <c r="B1350" s="1" t="n">
        <v>45716.38592592593</v>
      </c>
      <c r="C1350" s="1" t="n">
        <v>46105</v>
      </c>
      <c r="D1350" t="inlineStr">
        <is>
          <t>JÄMTLANDS LÄN</t>
        </is>
      </c>
      <c r="E1350" t="inlineStr">
        <is>
          <t>BRÄCKE</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62535-2025</t>
        </is>
      </c>
      <c r="B1351" s="1" t="n">
        <v>46007.63792824074</v>
      </c>
      <c r="C1351" s="1" t="n">
        <v>46105</v>
      </c>
      <c r="D1351" t="inlineStr">
        <is>
          <t>JÄMTLANDS LÄN</t>
        </is>
      </c>
      <c r="E1351" t="inlineStr">
        <is>
          <t>BRÄCKE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62625-2025</t>
        </is>
      </c>
      <c r="B1352" s="1" t="n">
        <v>46008.34506944445</v>
      </c>
      <c r="C1352" s="1" t="n">
        <v>46105</v>
      </c>
      <c r="D1352" t="inlineStr">
        <is>
          <t>JÄMTLANDS LÄN</t>
        </is>
      </c>
      <c r="E1352" t="inlineStr">
        <is>
          <t>BRÄCKE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48435-2023</t>
        </is>
      </c>
      <c r="B1353" s="1" t="n">
        <v>45205</v>
      </c>
      <c r="C1353" s="1" t="n">
        <v>46105</v>
      </c>
      <c r="D1353" t="inlineStr">
        <is>
          <t>JÄMTLANDS LÄN</t>
        </is>
      </c>
      <c r="E1353" t="inlineStr">
        <is>
          <t>BRÄCKE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62536-2025</t>
        </is>
      </c>
      <c r="B1354" s="1" t="n">
        <v>46007.63947916667</v>
      </c>
      <c r="C1354" s="1" t="n">
        <v>46105</v>
      </c>
      <c r="D1354" t="inlineStr">
        <is>
          <t>JÄMTLANDS LÄN</t>
        </is>
      </c>
      <c r="E1354" t="inlineStr">
        <is>
          <t>BRÄCKE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62511-2025</t>
        </is>
      </c>
      <c r="B1355" s="1" t="n">
        <v>46007.59884259259</v>
      </c>
      <c r="C1355" s="1" t="n">
        <v>46105</v>
      </c>
      <c r="D1355" t="inlineStr">
        <is>
          <t>JÄMTLANDS LÄN</t>
        </is>
      </c>
      <c r="E1355" t="inlineStr">
        <is>
          <t>BRÄCKE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62457-2025</t>
        </is>
      </c>
      <c r="B1356" s="1" t="n">
        <v>46007.50248842593</v>
      </c>
      <c r="C1356" s="1" t="n">
        <v>46105</v>
      </c>
      <c r="D1356" t="inlineStr">
        <is>
          <t>JÄMTLANDS LÄN</t>
        </is>
      </c>
      <c r="E1356" t="inlineStr">
        <is>
          <t>BRÄCKE</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62460-2025</t>
        </is>
      </c>
      <c r="B1357" s="1" t="n">
        <v>46007.50479166667</v>
      </c>
      <c r="C1357" s="1" t="n">
        <v>46105</v>
      </c>
      <c r="D1357" t="inlineStr">
        <is>
          <t>JÄMTLANDS LÄN</t>
        </is>
      </c>
      <c r="E1357" t="inlineStr">
        <is>
          <t>BRÄCKE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62406-2025</t>
        </is>
      </c>
      <c r="B1358" s="1" t="n">
        <v>46007.4287962963</v>
      </c>
      <c r="C1358" s="1" t="n">
        <v>46105</v>
      </c>
      <c r="D1358" t="inlineStr">
        <is>
          <t>JÄMTLANDS LÄN</t>
        </is>
      </c>
      <c r="E1358" t="inlineStr">
        <is>
          <t>BRÄCKE</t>
        </is>
      </c>
      <c r="F1358" t="inlineStr">
        <is>
          <t>Övriga Aktiebolag</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62445-2025</t>
        </is>
      </c>
      <c r="B1359" s="1" t="n">
        <v>46007.484375</v>
      </c>
      <c r="C1359" s="1" t="n">
        <v>46105</v>
      </c>
      <c r="D1359" t="inlineStr">
        <is>
          <t>JÄMTLANDS LÄN</t>
        </is>
      </c>
      <c r="E1359" t="inlineStr">
        <is>
          <t>BRÄCKE</t>
        </is>
      </c>
      <c r="F1359" t="inlineStr">
        <is>
          <t>Övriga Aktiebolag</t>
        </is>
      </c>
      <c r="G1359" t="n">
        <v>9.4</v>
      </c>
      <c r="H1359" t="n">
        <v>0</v>
      </c>
      <c r="I1359" t="n">
        <v>0</v>
      </c>
      <c r="J1359" t="n">
        <v>0</v>
      </c>
      <c r="K1359" t="n">
        <v>0</v>
      </c>
      <c r="L1359" t="n">
        <v>0</v>
      </c>
      <c r="M1359" t="n">
        <v>0</v>
      </c>
      <c r="N1359" t="n">
        <v>0</v>
      </c>
      <c r="O1359" t="n">
        <v>0</v>
      </c>
      <c r="P1359" t="n">
        <v>0</v>
      </c>
      <c r="Q1359" t="n">
        <v>0</v>
      </c>
      <c r="R1359" s="2" t="inlineStr"/>
    </row>
    <row r="1360" ht="15" customHeight="1">
      <c r="A1360" t="inlineStr">
        <is>
          <t>A 62533-2025</t>
        </is>
      </c>
      <c r="B1360" s="1" t="n">
        <v>46007.63633101852</v>
      </c>
      <c r="C1360" s="1" t="n">
        <v>46105</v>
      </c>
      <c r="D1360" t="inlineStr">
        <is>
          <t>JÄMTLANDS LÄN</t>
        </is>
      </c>
      <c r="E1360" t="inlineStr">
        <is>
          <t>BRÄCKE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18267-2025</t>
        </is>
      </c>
      <c r="B1361" s="1" t="n">
        <v>45762.36527777778</v>
      </c>
      <c r="C1361" s="1" t="n">
        <v>46105</v>
      </c>
      <c r="D1361" t="inlineStr">
        <is>
          <t>JÄMTLANDS LÄN</t>
        </is>
      </c>
      <c r="E1361" t="inlineStr">
        <is>
          <t>BRÄCKE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62499-2025</t>
        </is>
      </c>
      <c r="B1362" s="1" t="n">
        <v>46007.58229166667</v>
      </c>
      <c r="C1362" s="1" t="n">
        <v>46105</v>
      </c>
      <c r="D1362" t="inlineStr">
        <is>
          <t>JÄMTLANDS LÄN</t>
        </is>
      </c>
      <c r="E1362" t="inlineStr">
        <is>
          <t>BRÄCKE</t>
        </is>
      </c>
      <c r="F1362" t="inlineStr">
        <is>
          <t>Övriga Aktiebolag</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62466-2025</t>
        </is>
      </c>
      <c r="B1363" s="1" t="n">
        <v>46007.50883101852</v>
      </c>
      <c r="C1363" s="1" t="n">
        <v>46105</v>
      </c>
      <c r="D1363" t="inlineStr">
        <is>
          <t>JÄMTLANDS LÄN</t>
        </is>
      </c>
      <c r="E1363" t="inlineStr">
        <is>
          <t>BRÄCKE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62464-2025</t>
        </is>
      </c>
      <c r="B1364" s="1" t="n">
        <v>46007.50673611111</v>
      </c>
      <c r="C1364" s="1" t="n">
        <v>46105</v>
      </c>
      <c r="D1364" t="inlineStr">
        <is>
          <t>JÄMTLANDS LÄN</t>
        </is>
      </c>
      <c r="E1364" t="inlineStr">
        <is>
          <t>BRÄCKE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62389-2025</t>
        </is>
      </c>
      <c r="B1365" s="1" t="n">
        <v>46007.38496527778</v>
      </c>
      <c r="C1365" s="1" t="n">
        <v>46105</v>
      </c>
      <c r="D1365" t="inlineStr">
        <is>
          <t>JÄMTLANDS LÄN</t>
        </is>
      </c>
      <c r="E1365" t="inlineStr">
        <is>
          <t>BRÄCKE</t>
        </is>
      </c>
      <c r="F1365" t="inlineStr">
        <is>
          <t>Övriga Aktiebolag</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23746-2021</t>
        </is>
      </c>
      <c r="B1366" s="1" t="n">
        <v>44334.93716435185</v>
      </c>
      <c r="C1366" s="1" t="n">
        <v>46105</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11699-2025</t>
        </is>
      </c>
      <c r="B1367" s="1" t="n">
        <v>45727.57402777778</v>
      </c>
      <c r="C1367" s="1" t="n">
        <v>46105</v>
      </c>
      <c r="D1367" t="inlineStr">
        <is>
          <t>JÄMTLANDS LÄN</t>
        </is>
      </c>
      <c r="E1367" t="inlineStr">
        <is>
          <t>BRÄCKE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23767-2023</t>
        </is>
      </c>
      <c r="B1368" s="1" t="n">
        <v>45077</v>
      </c>
      <c r="C1368" s="1" t="n">
        <v>46105</v>
      </c>
      <c r="D1368" t="inlineStr">
        <is>
          <t>JÄMTLANDS LÄN</t>
        </is>
      </c>
      <c r="E1368" t="inlineStr">
        <is>
          <t>BRÄCKE</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23773-2023</t>
        </is>
      </c>
      <c r="B1369" s="1" t="n">
        <v>45077.94631944445</v>
      </c>
      <c r="C1369" s="1" t="n">
        <v>46105</v>
      </c>
      <c r="D1369" t="inlineStr">
        <is>
          <t>JÄMTLANDS LÄN</t>
        </is>
      </c>
      <c r="E1369" t="inlineStr">
        <is>
          <t>BRÄCKE</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56686-2023</t>
        </is>
      </c>
      <c r="B1370" s="1" t="n">
        <v>45243.96622685185</v>
      </c>
      <c r="C1370" s="1" t="n">
        <v>46105</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62950-2025</t>
        </is>
      </c>
      <c r="B1371" s="1" t="n">
        <v>46009.44737268519</v>
      </c>
      <c r="C1371" s="1" t="n">
        <v>46105</v>
      </c>
      <c r="D1371" t="inlineStr">
        <is>
          <t>JÄMTLANDS LÄN</t>
        </is>
      </c>
      <c r="E1371" t="inlineStr">
        <is>
          <t>BRÄCKE</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63089-2025</t>
        </is>
      </c>
      <c r="B1372" s="1" t="n">
        <v>46009.67777777778</v>
      </c>
      <c r="C1372" s="1" t="n">
        <v>46105</v>
      </c>
      <c r="D1372" t="inlineStr">
        <is>
          <t>JÄMTLANDS LÄN</t>
        </is>
      </c>
      <c r="E1372" t="inlineStr">
        <is>
          <t>BRÄCKE</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62943-2025</t>
        </is>
      </c>
      <c r="B1373" s="1" t="n">
        <v>46009.43425925926</v>
      </c>
      <c r="C1373" s="1" t="n">
        <v>46105</v>
      </c>
      <c r="D1373" t="inlineStr">
        <is>
          <t>JÄMTLANDS LÄN</t>
        </is>
      </c>
      <c r="E1373" t="inlineStr">
        <is>
          <t>BRÄCKE</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63319-2025</t>
        </is>
      </c>
      <c r="B1374" s="1" t="n">
        <v>46010.63584490741</v>
      </c>
      <c r="C1374" s="1" t="n">
        <v>46105</v>
      </c>
      <c r="D1374" t="inlineStr">
        <is>
          <t>JÄMTLANDS LÄN</t>
        </is>
      </c>
      <c r="E1374" t="inlineStr">
        <is>
          <t>BRÄCKE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49707-2024</t>
        </is>
      </c>
      <c r="B1375" s="1" t="n">
        <v>45596.69832175926</v>
      </c>
      <c r="C1375" s="1" t="n">
        <v>46105</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4861-2025</t>
        </is>
      </c>
      <c r="B1376" s="1" t="n">
        <v>45688.67481481482</v>
      </c>
      <c r="C1376" s="1" t="n">
        <v>46105</v>
      </c>
      <c r="D1376" t="inlineStr">
        <is>
          <t>JÄMTLANDS LÄN</t>
        </is>
      </c>
      <c r="E1376" t="inlineStr">
        <is>
          <t>BRÄCKE</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33870-2023</t>
        </is>
      </c>
      <c r="B1377" s="1" t="n">
        <v>45133.95326388889</v>
      </c>
      <c r="C1377" s="1" t="n">
        <v>46105</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20093-2023</t>
        </is>
      </c>
      <c r="B1378" s="1" t="n">
        <v>45054.94181712963</v>
      </c>
      <c r="C1378" s="1" t="n">
        <v>46105</v>
      </c>
      <c r="D1378" t="inlineStr">
        <is>
          <t>JÄMTLANDS LÄN</t>
        </is>
      </c>
      <c r="E1378" t="inlineStr">
        <is>
          <t>BRÄCKE</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58854-2025</t>
        </is>
      </c>
      <c r="B1379" s="1" t="n">
        <v>45987.40699074074</v>
      </c>
      <c r="C1379" s="1" t="n">
        <v>46105</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63651-2025</t>
        </is>
      </c>
      <c r="B1380" s="1" t="n">
        <v>46014</v>
      </c>
      <c r="C1380" s="1" t="n">
        <v>46105</v>
      </c>
      <c r="D1380" t="inlineStr">
        <is>
          <t>JÄMTLANDS LÄN</t>
        </is>
      </c>
      <c r="E1380" t="inlineStr">
        <is>
          <t>BRÄCKE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60052-2025</t>
        </is>
      </c>
      <c r="B1381" s="1" t="n">
        <v>45993.63590277778</v>
      </c>
      <c r="C1381" s="1" t="n">
        <v>46105</v>
      </c>
      <c r="D1381" t="inlineStr">
        <is>
          <t>JÄMTLANDS LÄN</t>
        </is>
      </c>
      <c r="E1381" t="inlineStr">
        <is>
          <t>BRÄCKE</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51777-2025</t>
        </is>
      </c>
      <c r="B1382" s="1" t="n">
        <v>45951.65680555555</v>
      </c>
      <c r="C1382" s="1" t="n">
        <v>46105</v>
      </c>
      <c r="D1382" t="inlineStr">
        <is>
          <t>JÄMTLANDS LÄN</t>
        </is>
      </c>
      <c r="E1382" t="inlineStr">
        <is>
          <t>BRÄCKE</t>
        </is>
      </c>
      <c r="F1382" t="inlineStr">
        <is>
          <t>SCA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11309-2025</t>
        </is>
      </c>
      <c r="B1383" s="1" t="n">
        <v>45726</v>
      </c>
      <c r="C1383" s="1" t="n">
        <v>46105</v>
      </c>
      <c r="D1383" t="inlineStr">
        <is>
          <t>JÄMTLANDS LÄN</t>
        </is>
      </c>
      <c r="E1383" t="inlineStr">
        <is>
          <t>BRÄCKE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17097-2025</t>
        </is>
      </c>
      <c r="B1384" s="1" t="n">
        <v>45755</v>
      </c>
      <c r="C1384" s="1" t="n">
        <v>46105</v>
      </c>
      <c r="D1384" t="inlineStr">
        <is>
          <t>JÄMTLANDS LÄN</t>
        </is>
      </c>
      <c r="E1384" t="inlineStr">
        <is>
          <t>BRÄCKE</t>
        </is>
      </c>
      <c r="F1384" t="inlineStr">
        <is>
          <t>SCA</t>
        </is>
      </c>
      <c r="G1384" t="n">
        <v>29.9</v>
      </c>
      <c r="H1384" t="n">
        <v>0</v>
      </c>
      <c r="I1384" t="n">
        <v>0</v>
      </c>
      <c r="J1384" t="n">
        <v>0</v>
      </c>
      <c r="K1384" t="n">
        <v>0</v>
      </c>
      <c r="L1384" t="n">
        <v>0</v>
      </c>
      <c r="M1384" t="n">
        <v>0</v>
      </c>
      <c r="N1384" t="n">
        <v>0</v>
      </c>
      <c r="O1384" t="n">
        <v>0</v>
      </c>
      <c r="P1384" t="n">
        <v>0</v>
      </c>
      <c r="Q1384" t="n">
        <v>0</v>
      </c>
      <c r="R1384" s="2" t="inlineStr"/>
    </row>
    <row r="1385" ht="15" customHeight="1">
      <c r="A1385" t="inlineStr">
        <is>
          <t>A 19342-2025</t>
        </is>
      </c>
      <c r="B1385" s="1" t="n">
        <v>45769.59520833333</v>
      </c>
      <c r="C1385" s="1" t="n">
        <v>46105</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63641-2025</t>
        </is>
      </c>
      <c r="B1386" s="1" t="n">
        <v>46014.40689814815</v>
      </c>
      <c r="C1386" s="1" t="n">
        <v>46105</v>
      </c>
      <c r="D1386" t="inlineStr">
        <is>
          <t>JÄMTLANDS LÄN</t>
        </is>
      </c>
      <c r="E1386" t="inlineStr">
        <is>
          <t>BRÄCKE</t>
        </is>
      </c>
      <c r="F1386" t="inlineStr">
        <is>
          <t>SCA</t>
        </is>
      </c>
      <c r="G1386" t="n">
        <v>17.7</v>
      </c>
      <c r="H1386" t="n">
        <v>0</v>
      </c>
      <c r="I1386" t="n">
        <v>0</v>
      </c>
      <c r="J1386" t="n">
        <v>0</v>
      </c>
      <c r="K1386" t="n">
        <v>0</v>
      </c>
      <c r="L1386" t="n">
        <v>0</v>
      </c>
      <c r="M1386" t="n">
        <v>0</v>
      </c>
      <c r="N1386" t="n">
        <v>0</v>
      </c>
      <c r="O1386" t="n">
        <v>0</v>
      </c>
      <c r="P1386" t="n">
        <v>0</v>
      </c>
      <c r="Q1386" t="n">
        <v>0</v>
      </c>
      <c r="R1386" s="2" t="inlineStr"/>
    </row>
    <row r="1387" ht="15" customHeight="1">
      <c r="A1387" t="inlineStr">
        <is>
          <t>A 58744-2025</t>
        </is>
      </c>
      <c r="B1387" s="1" t="n">
        <v>45986.6365162037</v>
      </c>
      <c r="C1387" s="1" t="n">
        <v>46105</v>
      </c>
      <c r="D1387" t="inlineStr">
        <is>
          <t>JÄMTLANDS LÄN</t>
        </is>
      </c>
      <c r="E1387" t="inlineStr">
        <is>
          <t>BRÄCKE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9824-2025</t>
        </is>
      </c>
      <c r="B1388" s="1" t="n">
        <v>45716</v>
      </c>
      <c r="C1388" s="1" t="n">
        <v>46105</v>
      </c>
      <c r="D1388" t="inlineStr">
        <is>
          <t>JÄMTLANDS LÄN</t>
        </is>
      </c>
      <c r="E1388" t="inlineStr">
        <is>
          <t>BRÄCKE</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11545-2025</t>
        </is>
      </c>
      <c r="B1389" s="1" t="n">
        <v>45727</v>
      </c>
      <c r="C1389" s="1" t="n">
        <v>46105</v>
      </c>
      <c r="D1389" t="inlineStr">
        <is>
          <t>JÄMTLANDS LÄN</t>
        </is>
      </c>
      <c r="E1389" t="inlineStr">
        <is>
          <t>BRÄCKE</t>
        </is>
      </c>
      <c r="F1389" t="inlineStr">
        <is>
          <t>SCA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49666-2025</t>
        </is>
      </c>
      <c r="B1390" s="1" t="n">
        <v>45939.63657407407</v>
      </c>
      <c r="C1390" s="1" t="n">
        <v>46105</v>
      </c>
      <c r="D1390" t="inlineStr">
        <is>
          <t>JÄMTLANDS LÄN</t>
        </is>
      </c>
      <c r="E1390" t="inlineStr">
        <is>
          <t>BRÄCKE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58762-2025</t>
        </is>
      </c>
      <c r="B1391" s="1" t="n">
        <v>45986.6568287037</v>
      </c>
      <c r="C1391" s="1" t="n">
        <v>46105</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23723-2025</t>
        </is>
      </c>
      <c r="B1392" s="1" t="n">
        <v>45793</v>
      </c>
      <c r="C1392" s="1" t="n">
        <v>46105</v>
      </c>
      <c r="D1392" t="inlineStr">
        <is>
          <t>JÄMTLANDS LÄN</t>
        </is>
      </c>
      <c r="E1392" t="inlineStr">
        <is>
          <t>BRÄCKE</t>
        </is>
      </c>
      <c r="F1392" t="inlineStr">
        <is>
          <t>SCA</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47439-2025</t>
        </is>
      </c>
      <c r="B1393" s="1" t="n">
        <v>45930.63744212963</v>
      </c>
      <c r="C1393" s="1" t="n">
        <v>46105</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17907-2025</t>
        </is>
      </c>
      <c r="B1394" s="1" t="n">
        <v>45758.73046296297</v>
      </c>
      <c r="C1394" s="1" t="n">
        <v>46105</v>
      </c>
      <c r="D1394" t="inlineStr">
        <is>
          <t>JÄMTLANDS LÄN</t>
        </is>
      </c>
      <c r="E1394" t="inlineStr">
        <is>
          <t>BRÄCKE</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55149-2025</t>
        </is>
      </c>
      <c r="B1395" s="1" t="n">
        <v>45968.44840277778</v>
      </c>
      <c r="C1395" s="1" t="n">
        <v>46105</v>
      </c>
      <c r="D1395" t="inlineStr">
        <is>
          <t>JÄMTLANDS LÄN</t>
        </is>
      </c>
      <c r="E1395" t="inlineStr">
        <is>
          <t>BRÄCKE</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55138-2025</t>
        </is>
      </c>
      <c r="B1396" s="1" t="n">
        <v>45968.42784722222</v>
      </c>
      <c r="C1396" s="1" t="n">
        <v>46105</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63809-2025</t>
        </is>
      </c>
      <c r="B1397" s="1" t="n">
        <v>46020.31028935185</v>
      </c>
      <c r="C1397" s="1" t="n">
        <v>46105</v>
      </c>
      <c r="D1397" t="inlineStr">
        <is>
          <t>JÄMTLANDS LÄN</t>
        </is>
      </c>
      <c r="E1397" t="inlineStr">
        <is>
          <t>BRÄCKE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35395-2024</t>
        </is>
      </c>
      <c r="B1398" s="1" t="n">
        <v>45531.403125</v>
      </c>
      <c r="C1398" s="1" t="n">
        <v>46105</v>
      </c>
      <c r="D1398" t="inlineStr">
        <is>
          <t>JÄMTLANDS LÄN</t>
        </is>
      </c>
      <c r="E1398" t="inlineStr">
        <is>
          <t>BRÄCKE</t>
        </is>
      </c>
      <c r="F1398" t="inlineStr">
        <is>
          <t>SCA</t>
        </is>
      </c>
      <c r="G1398" t="n">
        <v>23.2</v>
      </c>
      <c r="H1398" t="n">
        <v>0</v>
      </c>
      <c r="I1398" t="n">
        <v>0</v>
      </c>
      <c r="J1398" t="n">
        <v>0</v>
      </c>
      <c r="K1398" t="n">
        <v>0</v>
      </c>
      <c r="L1398" t="n">
        <v>0</v>
      </c>
      <c r="M1398" t="n">
        <v>0</v>
      </c>
      <c r="N1398" t="n">
        <v>0</v>
      </c>
      <c r="O1398" t="n">
        <v>0</v>
      </c>
      <c r="P1398" t="n">
        <v>0</v>
      </c>
      <c r="Q1398" t="n">
        <v>0</v>
      </c>
      <c r="R1398" s="2" t="inlineStr"/>
    </row>
    <row r="1399" ht="15" customHeight="1">
      <c r="A1399" t="inlineStr">
        <is>
          <t>A 35400-2024</t>
        </is>
      </c>
      <c r="B1399" s="1" t="n">
        <v>45531.40457175926</v>
      </c>
      <c r="C1399" s="1" t="n">
        <v>46105</v>
      </c>
      <c r="D1399" t="inlineStr">
        <is>
          <t>JÄMTLANDS LÄN</t>
        </is>
      </c>
      <c r="E1399" t="inlineStr">
        <is>
          <t>BRÄCKE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63820-2025</t>
        </is>
      </c>
      <c r="B1400" s="1" t="n">
        <v>46020.3547800926</v>
      </c>
      <c r="C1400" s="1" t="n">
        <v>46105</v>
      </c>
      <c r="D1400" t="inlineStr">
        <is>
          <t>JÄMTLANDS LÄN</t>
        </is>
      </c>
      <c r="E1400" t="inlineStr">
        <is>
          <t>BRÄCKE</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63822-2025</t>
        </is>
      </c>
      <c r="B1401" s="1" t="n">
        <v>46020.35534722222</v>
      </c>
      <c r="C1401" s="1" t="n">
        <v>46105</v>
      </c>
      <c r="D1401" t="inlineStr">
        <is>
          <t>JÄMTLANDS LÄN</t>
        </is>
      </c>
      <c r="E1401" t="inlineStr">
        <is>
          <t>BRÄCKE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22986-2023</t>
        </is>
      </c>
      <c r="B1402" s="1" t="n">
        <v>45072.94140046297</v>
      </c>
      <c r="C1402" s="1" t="n">
        <v>46105</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63803-2025</t>
        </is>
      </c>
      <c r="B1403" s="1" t="n">
        <v>46019.91809027778</v>
      </c>
      <c r="C1403" s="1" t="n">
        <v>46105</v>
      </c>
      <c r="D1403" t="inlineStr">
        <is>
          <t>JÄMTLANDS LÄN</t>
        </is>
      </c>
      <c r="E1403" t="inlineStr">
        <is>
          <t>BRÄCKE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63821-2025</t>
        </is>
      </c>
      <c r="B1404" s="1" t="n">
        <v>46020.3550462963</v>
      </c>
      <c r="C1404" s="1" t="n">
        <v>46105</v>
      </c>
      <c r="D1404" t="inlineStr">
        <is>
          <t>JÄMTLANDS LÄN</t>
        </is>
      </c>
      <c r="E1404" t="inlineStr">
        <is>
          <t>BRÄCKE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26351-2023</t>
        </is>
      </c>
      <c r="B1405" s="1" t="n">
        <v>45091</v>
      </c>
      <c r="C1405" s="1" t="n">
        <v>46105</v>
      </c>
      <c r="D1405" t="inlineStr">
        <is>
          <t>JÄMTLANDS LÄN</t>
        </is>
      </c>
      <c r="E1405" t="inlineStr">
        <is>
          <t>BRÄCKE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24195-2023</t>
        </is>
      </c>
      <c r="B1406" s="1" t="n">
        <v>45079</v>
      </c>
      <c r="C1406" s="1" t="n">
        <v>46105</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12640-2025</t>
        </is>
      </c>
      <c r="B1407" s="1" t="n">
        <v>45733.38606481482</v>
      </c>
      <c r="C1407" s="1" t="n">
        <v>46105</v>
      </c>
      <c r="D1407" t="inlineStr">
        <is>
          <t>JÄMTLANDS LÄN</t>
        </is>
      </c>
      <c r="E1407" t="inlineStr">
        <is>
          <t>BRÄCKE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46952-2021</t>
        </is>
      </c>
      <c r="B1408" s="1" t="n">
        <v>44446</v>
      </c>
      <c r="C1408" s="1" t="n">
        <v>46105</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7922-2026</t>
        </is>
      </c>
      <c r="B1409" s="1" t="n">
        <v>46063.38585648148</v>
      </c>
      <c r="C1409" s="1" t="n">
        <v>46105</v>
      </c>
      <c r="D1409" t="inlineStr">
        <is>
          <t>JÄMTLANDS LÄN</t>
        </is>
      </c>
      <c r="E1409" t="inlineStr">
        <is>
          <t>BRÄCKE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7940-2026</t>
        </is>
      </c>
      <c r="B1410" s="1" t="n">
        <v>46063.40670138889</v>
      </c>
      <c r="C1410" s="1" t="n">
        <v>46105</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16059-2024</t>
        </is>
      </c>
      <c r="B1411" s="1" t="n">
        <v>45406.04950231482</v>
      </c>
      <c r="C1411" s="1" t="n">
        <v>46105</v>
      </c>
      <c r="D1411" t="inlineStr">
        <is>
          <t>JÄMTLANDS LÄN</t>
        </is>
      </c>
      <c r="E1411" t="inlineStr">
        <is>
          <t>BRÄCKE</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25883-2024</t>
        </is>
      </c>
      <c r="B1412" s="1" t="n">
        <v>45467.49233796296</v>
      </c>
      <c r="C1412" s="1" t="n">
        <v>46105</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4365-2023</t>
        </is>
      </c>
      <c r="B1413" s="1" t="n">
        <v>44954</v>
      </c>
      <c r="C1413" s="1" t="n">
        <v>46105</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8835-2026</t>
        </is>
      </c>
      <c r="B1414" s="1" t="n">
        <v>46066.63686342593</v>
      </c>
      <c r="C1414" s="1" t="n">
        <v>46105</v>
      </c>
      <c r="D1414" t="inlineStr">
        <is>
          <t>JÄMTLANDS LÄN</t>
        </is>
      </c>
      <c r="E1414" t="inlineStr">
        <is>
          <t>BRÄCKE</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20879-2023</t>
        </is>
      </c>
      <c r="B1415" s="1" t="n">
        <v>45058.94399305555</v>
      </c>
      <c r="C1415" s="1" t="n">
        <v>46105</v>
      </c>
      <c r="D1415" t="inlineStr">
        <is>
          <t>JÄMTLANDS LÄN</t>
        </is>
      </c>
      <c r="E1415" t="inlineStr">
        <is>
          <t>BRÄCKE</t>
        </is>
      </c>
      <c r="F1415" t="inlineStr">
        <is>
          <t>Naturvårdsverket</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26353-2023</t>
        </is>
      </c>
      <c r="B1416" s="1" t="n">
        <v>45091.94232638889</v>
      </c>
      <c r="C1416" s="1" t="n">
        <v>46105</v>
      </c>
      <c r="D1416" t="inlineStr">
        <is>
          <t>JÄMTLANDS LÄN</t>
        </is>
      </c>
      <c r="E1416" t="inlineStr">
        <is>
          <t>BRÄCKE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46105</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47983-2021</t>
        </is>
      </c>
      <c r="B1418" s="1" t="n">
        <v>44448</v>
      </c>
      <c r="C1418" s="1" t="n">
        <v>46105</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49721-2024</t>
        </is>
      </c>
      <c r="B1419" s="1" t="n">
        <v>45596.72841435186</v>
      </c>
      <c r="C1419" s="1" t="n">
        <v>46105</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16322-2025</t>
        </is>
      </c>
      <c r="B1420" s="1" t="n">
        <v>45751.34886574074</v>
      </c>
      <c r="C1420" s="1" t="n">
        <v>46105</v>
      </c>
      <c r="D1420" t="inlineStr">
        <is>
          <t>JÄMTLANDS LÄN</t>
        </is>
      </c>
      <c r="E1420" t="inlineStr">
        <is>
          <t>BRÄCKE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56640-2021</t>
        </is>
      </c>
      <c r="B1421" s="1" t="n">
        <v>44480</v>
      </c>
      <c r="C1421" s="1" t="n">
        <v>46105</v>
      </c>
      <c r="D1421" t="inlineStr">
        <is>
          <t>JÄMTLANDS LÄN</t>
        </is>
      </c>
      <c r="E1421" t="inlineStr">
        <is>
          <t>BRÄCKE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2065-2024</t>
        </is>
      </c>
      <c r="B1422" s="1" t="n">
        <v>45308.97871527778</v>
      </c>
      <c r="C1422" s="1" t="n">
        <v>46105</v>
      </c>
      <c r="D1422" t="inlineStr">
        <is>
          <t>JÄMTLANDS LÄN</t>
        </is>
      </c>
      <c r="E1422" t="inlineStr">
        <is>
          <t>BRÄCKE</t>
        </is>
      </c>
      <c r="F1422" t="inlineStr">
        <is>
          <t>SCA</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8831-2026</t>
        </is>
      </c>
      <c r="B1423" s="1" t="n">
        <v>46066.63613425926</v>
      </c>
      <c r="C1423" s="1" t="n">
        <v>46105</v>
      </c>
      <c r="D1423" t="inlineStr">
        <is>
          <t>JÄMTLANDS LÄN</t>
        </is>
      </c>
      <c r="E1423" t="inlineStr">
        <is>
          <t>BRÄCKE</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8981-2026</t>
        </is>
      </c>
      <c r="B1424" s="1" t="n">
        <v>46069.44878472222</v>
      </c>
      <c r="C1424" s="1" t="n">
        <v>46105</v>
      </c>
      <c r="D1424" t="inlineStr">
        <is>
          <t>JÄMTLANDS LÄN</t>
        </is>
      </c>
      <c r="E1424" t="inlineStr">
        <is>
          <t>BRÄCKE</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26665-2021</t>
        </is>
      </c>
      <c r="B1425" s="1" t="n">
        <v>44348</v>
      </c>
      <c r="C1425" s="1" t="n">
        <v>46105</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9117-2026</t>
        </is>
      </c>
      <c r="B1426" s="1" t="n">
        <v>46069.67493055556</v>
      </c>
      <c r="C1426" s="1" t="n">
        <v>46105</v>
      </c>
      <c r="D1426" t="inlineStr">
        <is>
          <t>JÄMTLANDS LÄN</t>
        </is>
      </c>
      <c r="E1426" t="inlineStr">
        <is>
          <t>BRÄCKE</t>
        </is>
      </c>
      <c r="G1426" t="n">
        <v>17.5</v>
      </c>
      <c r="H1426" t="n">
        <v>0</v>
      </c>
      <c r="I1426" t="n">
        <v>0</v>
      </c>
      <c r="J1426" t="n">
        <v>0</v>
      </c>
      <c r="K1426" t="n">
        <v>0</v>
      </c>
      <c r="L1426" t="n">
        <v>0</v>
      </c>
      <c r="M1426" t="n">
        <v>0</v>
      </c>
      <c r="N1426" t="n">
        <v>0</v>
      </c>
      <c r="O1426" t="n">
        <v>0</v>
      </c>
      <c r="P1426" t="n">
        <v>0</v>
      </c>
      <c r="Q1426" t="n">
        <v>0</v>
      </c>
      <c r="R1426" s="2" t="inlineStr"/>
    </row>
    <row r="1427" ht="15" customHeight="1">
      <c r="A1427" t="inlineStr">
        <is>
          <t>A 276-2026</t>
        </is>
      </c>
      <c r="B1427" s="1" t="n">
        <v>46027.469375</v>
      </c>
      <c r="C1427" s="1" t="n">
        <v>46105</v>
      </c>
      <c r="D1427" t="inlineStr">
        <is>
          <t>JÄMTLANDS LÄN</t>
        </is>
      </c>
      <c r="E1427" t="inlineStr">
        <is>
          <t>BRÄCKE</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262-2026</t>
        </is>
      </c>
      <c r="B1428" s="1" t="n">
        <v>46027.44850694444</v>
      </c>
      <c r="C1428" s="1" t="n">
        <v>46105</v>
      </c>
      <c r="D1428" t="inlineStr">
        <is>
          <t>JÄMTLANDS LÄN</t>
        </is>
      </c>
      <c r="E1428" t="inlineStr">
        <is>
          <t>BRÄCKE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8956-2026</t>
        </is>
      </c>
      <c r="B1429" s="1" t="n">
        <v>46069.40670138889</v>
      </c>
      <c r="C1429" s="1" t="n">
        <v>46105</v>
      </c>
      <c r="D1429" t="inlineStr">
        <is>
          <t>JÄMTLANDS LÄN</t>
        </is>
      </c>
      <c r="E1429" t="inlineStr">
        <is>
          <t>BRÄCKE</t>
        </is>
      </c>
      <c r="F1429" t="inlineStr">
        <is>
          <t>SCA</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9114-2026</t>
        </is>
      </c>
      <c r="B1430" s="1" t="n">
        <v>46069.66898148148</v>
      </c>
      <c r="C1430" s="1" t="n">
        <v>46105</v>
      </c>
      <c r="D1430" t="inlineStr">
        <is>
          <t>JÄMTLANDS LÄN</t>
        </is>
      </c>
      <c r="E1430" t="inlineStr">
        <is>
          <t>BRÄCKE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51042-2023</t>
        </is>
      </c>
      <c r="B1431" s="1" t="n">
        <v>45218.62233796297</v>
      </c>
      <c r="C1431" s="1" t="n">
        <v>46105</v>
      </c>
      <c r="D1431" t="inlineStr">
        <is>
          <t>JÄMTLANDS LÄN</t>
        </is>
      </c>
      <c r="E1431" t="inlineStr">
        <is>
          <t>BRÄCKE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9111-2026</t>
        </is>
      </c>
      <c r="B1432" s="1" t="n">
        <v>46069.66473379629</v>
      </c>
      <c r="C1432" s="1" t="n">
        <v>46105</v>
      </c>
      <c r="D1432" t="inlineStr">
        <is>
          <t>JÄMTLANDS LÄN</t>
        </is>
      </c>
      <c r="E1432" t="inlineStr">
        <is>
          <t>BRÄCKE</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8980-2026</t>
        </is>
      </c>
      <c r="B1433" s="1" t="n">
        <v>46069.44855324074</v>
      </c>
      <c r="C1433" s="1" t="n">
        <v>46105</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261-2026</t>
        </is>
      </c>
      <c r="B1434" s="1" t="n">
        <v>46027.44835648148</v>
      </c>
      <c r="C1434" s="1" t="n">
        <v>46105</v>
      </c>
      <c r="D1434" t="inlineStr">
        <is>
          <t>JÄMTLANDS LÄN</t>
        </is>
      </c>
      <c r="E1434" t="inlineStr">
        <is>
          <t>BRÄCKE</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277-2026</t>
        </is>
      </c>
      <c r="B1435" s="1" t="n">
        <v>46027.46945601852</v>
      </c>
      <c r="C1435" s="1" t="n">
        <v>46105</v>
      </c>
      <c r="D1435" t="inlineStr">
        <is>
          <t>JÄMTLANDS LÄN</t>
        </is>
      </c>
      <c r="E1435" t="inlineStr">
        <is>
          <t>BRÄCKE</t>
        </is>
      </c>
      <c r="F1435" t="inlineStr">
        <is>
          <t>SCA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9100-2026</t>
        </is>
      </c>
      <c r="B1436" s="1" t="n">
        <v>46069.64517361111</v>
      </c>
      <c r="C1436" s="1" t="n">
        <v>46105</v>
      </c>
      <c r="D1436" t="inlineStr">
        <is>
          <t>JÄMTLANDS LÄN</t>
        </is>
      </c>
      <c r="E1436" t="inlineStr">
        <is>
          <t>BRÄCKE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30488-2024</t>
        </is>
      </c>
      <c r="B1437" s="1" t="n">
        <v>45491</v>
      </c>
      <c r="C1437" s="1" t="n">
        <v>46105</v>
      </c>
      <c r="D1437" t="inlineStr">
        <is>
          <t>JÄMTLANDS LÄN</t>
        </is>
      </c>
      <c r="E1437" t="inlineStr">
        <is>
          <t>BRÄCKE</t>
        </is>
      </c>
      <c r="F1437" t="inlineStr">
        <is>
          <t>Naturvårdsverket</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41552-2024</t>
        </is>
      </c>
      <c r="B1438" s="1" t="n">
        <v>45560.51988425926</v>
      </c>
      <c r="C1438" s="1" t="n">
        <v>46105</v>
      </c>
      <c r="D1438" t="inlineStr">
        <is>
          <t>JÄMTLANDS LÄN</t>
        </is>
      </c>
      <c r="E1438" t="inlineStr">
        <is>
          <t>BRÄCKE</t>
        </is>
      </c>
      <c r="F1438" t="inlineStr">
        <is>
          <t>Övriga Aktiebolag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962-2026</t>
        </is>
      </c>
      <c r="B1439" s="1" t="n">
        <v>46030.55704861111</v>
      </c>
      <c r="C1439" s="1" t="n">
        <v>46105</v>
      </c>
      <c r="D1439" t="inlineStr">
        <is>
          <t>JÄMTLANDS LÄN</t>
        </is>
      </c>
      <c r="E1439" t="inlineStr">
        <is>
          <t>BRÄCKE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41936-2023</t>
        </is>
      </c>
      <c r="B1440" s="1" t="n">
        <v>45176.94594907408</v>
      </c>
      <c r="C1440" s="1" t="n">
        <v>46105</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9576-2026</t>
        </is>
      </c>
      <c r="B1441" s="1" t="n">
        <v>46071.67259259259</v>
      </c>
      <c r="C1441" s="1" t="n">
        <v>46105</v>
      </c>
      <c r="D1441" t="inlineStr">
        <is>
          <t>JÄMTLANDS LÄN</t>
        </is>
      </c>
      <c r="E1441" t="inlineStr">
        <is>
          <t>BRÄCKE</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9406-2026</t>
        </is>
      </c>
      <c r="B1442" s="1" t="n">
        <v>46071.40701388889</v>
      </c>
      <c r="C1442" s="1" t="n">
        <v>46105</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14503-2024</t>
        </is>
      </c>
      <c r="B1443" s="1" t="n">
        <v>45394.60408564815</v>
      </c>
      <c r="C1443" s="1" t="n">
        <v>46105</v>
      </c>
      <c r="D1443" t="inlineStr">
        <is>
          <t>JÄMTLANDS LÄN</t>
        </is>
      </c>
      <c r="E1443" t="inlineStr">
        <is>
          <t>BRÄCKE</t>
        </is>
      </c>
      <c r="G1443" t="n">
        <v>15.2</v>
      </c>
      <c r="H1443" t="n">
        <v>0</v>
      </c>
      <c r="I1443" t="n">
        <v>0</v>
      </c>
      <c r="J1443" t="n">
        <v>0</v>
      </c>
      <c r="K1443" t="n">
        <v>0</v>
      </c>
      <c r="L1443" t="n">
        <v>0</v>
      </c>
      <c r="M1443" t="n">
        <v>0</v>
      </c>
      <c r="N1443" t="n">
        <v>0</v>
      </c>
      <c r="O1443" t="n">
        <v>0</v>
      </c>
      <c r="P1443" t="n">
        <v>0</v>
      </c>
      <c r="Q1443" t="n">
        <v>0</v>
      </c>
      <c r="R1443" s="2" t="inlineStr"/>
    </row>
    <row r="1444" ht="15" customHeight="1">
      <c r="A1444" t="inlineStr">
        <is>
          <t>A 974-2026</t>
        </is>
      </c>
      <c r="B1444" s="1" t="n">
        <v>46030.56853009259</v>
      </c>
      <c r="C1444" s="1" t="n">
        <v>46105</v>
      </c>
      <c r="D1444" t="inlineStr">
        <is>
          <t>JÄMTLANDS LÄN</t>
        </is>
      </c>
      <c r="E1444" t="inlineStr">
        <is>
          <t>BRÄCKE</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18066-2025</t>
        </is>
      </c>
      <c r="B1445" s="1" t="n">
        <v>45761.49002314815</v>
      </c>
      <c r="C1445" s="1" t="n">
        <v>46105</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1080-2026</t>
        </is>
      </c>
      <c r="B1446" s="1" t="n">
        <v>46029</v>
      </c>
      <c r="C1446" s="1" t="n">
        <v>46105</v>
      </c>
      <c r="D1446" t="inlineStr">
        <is>
          <t>JÄMTLANDS LÄN</t>
        </is>
      </c>
      <c r="E1446" t="inlineStr">
        <is>
          <t>BRÄCKE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9631-2026</t>
        </is>
      </c>
      <c r="B1447" s="1" t="n">
        <v>46072.34469907408</v>
      </c>
      <c r="C1447" s="1" t="n">
        <v>46105</v>
      </c>
      <c r="D1447" t="inlineStr">
        <is>
          <t>JÄMTLANDS LÄN</t>
        </is>
      </c>
      <c r="E1447" t="inlineStr">
        <is>
          <t>BRÄCKE</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496-2026</t>
        </is>
      </c>
      <c r="B1448" s="1" t="n">
        <v>46029.43114583333</v>
      </c>
      <c r="C1448" s="1" t="n">
        <v>46105</v>
      </c>
      <c r="D1448" t="inlineStr">
        <is>
          <t>JÄMTLANDS LÄN</t>
        </is>
      </c>
      <c r="E1448" t="inlineStr">
        <is>
          <t>BRÄCKE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11548-2023</t>
        </is>
      </c>
      <c r="B1449" s="1" t="n">
        <v>44993.9484837963</v>
      </c>
      <c r="C1449" s="1" t="n">
        <v>46105</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998-2026</t>
        </is>
      </c>
      <c r="B1450" s="1" t="n">
        <v>46030.59447916667</v>
      </c>
      <c r="C1450" s="1" t="n">
        <v>46105</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38302-2024</t>
        </is>
      </c>
      <c r="B1451" s="1" t="n">
        <v>45545.63614583333</v>
      </c>
      <c r="C1451" s="1" t="n">
        <v>46105</v>
      </c>
      <c r="D1451" t="inlineStr">
        <is>
          <t>JÄMTLANDS LÄN</t>
        </is>
      </c>
      <c r="E1451" t="inlineStr">
        <is>
          <t>BRÄCKE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12762-2025</t>
        </is>
      </c>
      <c r="B1452" s="1" t="n">
        <v>45733.57340277778</v>
      </c>
      <c r="C1452" s="1" t="n">
        <v>46105</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13019-2023</t>
        </is>
      </c>
      <c r="B1453" s="1" t="n">
        <v>45001</v>
      </c>
      <c r="C1453" s="1" t="n">
        <v>46105</v>
      </c>
      <c r="D1453" t="inlineStr">
        <is>
          <t>JÄMTLANDS LÄN</t>
        </is>
      </c>
      <c r="E1453" t="inlineStr">
        <is>
          <t>BRÄCKE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9913-2026</t>
        </is>
      </c>
      <c r="B1454" s="1" t="n">
        <v>46073.42787037037</v>
      </c>
      <c r="C1454" s="1" t="n">
        <v>46105</v>
      </c>
      <c r="D1454" t="inlineStr">
        <is>
          <t>JÄMTLANDS LÄN</t>
        </is>
      </c>
      <c r="E1454" t="inlineStr">
        <is>
          <t>BRÄCKE</t>
        </is>
      </c>
      <c r="F1454" t="inlineStr">
        <is>
          <t>SCA</t>
        </is>
      </c>
      <c r="G1454" t="n">
        <v>34.2</v>
      </c>
      <c r="H1454" t="n">
        <v>0</v>
      </c>
      <c r="I1454" t="n">
        <v>0</v>
      </c>
      <c r="J1454" t="n">
        <v>0</v>
      </c>
      <c r="K1454" t="n">
        <v>0</v>
      </c>
      <c r="L1454" t="n">
        <v>0</v>
      </c>
      <c r="M1454" t="n">
        <v>0</v>
      </c>
      <c r="N1454" t="n">
        <v>0</v>
      </c>
      <c r="O1454" t="n">
        <v>0</v>
      </c>
      <c r="P1454" t="n">
        <v>0</v>
      </c>
      <c r="Q1454" t="n">
        <v>0</v>
      </c>
      <c r="R1454" s="2" t="inlineStr"/>
    </row>
    <row r="1455" ht="15" customHeight="1">
      <c r="A1455" t="inlineStr">
        <is>
          <t>A 62674-2021</t>
        </is>
      </c>
      <c r="B1455" s="1" t="n">
        <v>44503.94478009259</v>
      </c>
      <c r="C1455" s="1" t="n">
        <v>46105</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1226-2026</t>
        </is>
      </c>
      <c r="B1456" s="1" t="n">
        <v>46031.40679398148</v>
      </c>
      <c r="C1456" s="1" t="n">
        <v>46105</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58039-2021</t>
        </is>
      </c>
      <c r="B1457" s="1" t="n">
        <v>44487</v>
      </c>
      <c r="C1457" s="1" t="n">
        <v>46105</v>
      </c>
      <c r="D1457" t="inlineStr">
        <is>
          <t>JÄMTLANDS LÄN</t>
        </is>
      </c>
      <c r="E1457" t="inlineStr">
        <is>
          <t>BRÄCKE</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17313-2025</t>
        </is>
      </c>
      <c r="B1458" s="1" t="n">
        <v>45756.61498842593</v>
      </c>
      <c r="C1458" s="1" t="n">
        <v>46105</v>
      </c>
      <c r="D1458" t="inlineStr">
        <is>
          <t>JÄMTLANDS LÄN</t>
        </is>
      </c>
      <c r="E1458" t="inlineStr">
        <is>
          <t>BRÄCKE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1227-2026</t>
        </is>
      </c>
      <c r="B1459" s="1" t="n">
        <v>46031.40693287037</v>
      </c>
      <c r="C1459" s="1" t="n">
        <v>46105</v>
      </c>
      <c r="D1459" t="inlineStr">
        <is>
          <t>JÄMTLANDS LÄN</t>
        </is>
      </c>
      <c r="E1459" t="inlineStr">
        <is>
          <t>BRÄCKE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1877-2026</t>
        </is>
      </c>
      <c r="B1460" s="1" t="n">
        <v>46035.46924768519</v>
      </c>
      <c r="C1460" s="1" t="n">
        <v>46105</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1878-2026</t>
        </is>
      </c>
      <c r="B1461" s="1" t="n">
        <v>46035.46946759259</v>
      </c>
      <c r="C1461" s="1" t="n">
        <v>46105</v>
      </c>
      <c r="D1461" t="inlineStr">
        <is>
          <t>JÄMTLANDS LÄN</t>
        </is>
      </c>
      <c r="E1461" t="inlineStr">
        <is>
          <t>BRÄCKE</t>
        </is>
      </c>
      <c r="F1461" t="inlineStr">
        <is>
          <t>SCA</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1941-2026</t>
        </is>
      </c>
      <c r="B1462" s="1" t="n">
        <v>46035.59439814815</v>
      </c>
      <c r="C1462" s="1" t="n">
        <v>46105</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10588-2026</t>
        </is>
      </c>
      <c r="B1463" s="1" t="n">
        <v>46077.68863425926</v>
      </c>
      <c r="C1463" s="1" t="n">
        <v>46105</v>
      </c>
      <c r="D1463" t="inlineStr">
        <is>
          <t>JÄMTLANDS LÄN</t>
        </is>
      </c>
      <c r="E1463" t="inlineStr">
        <is>
          <t>BRÄCKE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2170-2026</t>
        </is>
      </c>
      <c r="B1464" s="1" t="n">
        <v>46036.44859953703</v>
      </c>
      <c r="C1464" s="1" t="n">
        <v>46105</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1998-2026</t>
        </is>
      </c>
      <c r="B1465" s="1" t="n">
        <v>46035.67759259259</v>
      </c>
      <c r="C1465" s="1" t="n">
        <v>46105</v>
      </c>
      <c r="D1465" t="inlineStr">
        <is>
          <t>JÄMTLANDS LÄN</t>
        </is>
      </c>
      <c r="E1465" t="inlineStr">
        <is>
          <t>BRÄCKE</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38943-2024</t>
        </is>
      </c>
      <c r="B1466" s="1" t="n">
        <v>45548.34490740741</v>
      </c>
      <c r="C1466" s="1" t="n">
        <v>46105</v>
      </c>
      <c r="D1466" t="inlineStr">
        <is>
          <t>JÄMTLANDS LÄN</t>
        </is>
      </c>
      <c r="E1466" t="inlineStr">
        <is>
          <t>BRÄCKE</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1816-2026</t>
        </is>
      </c>
      <c r="B1467" s="1" t="n">
        <v>46035.34453703704</v>
      </c>
      <c r="C1467" s="1" t="n">
        <v>46105</v>
      </c>
      <c r="D1467" t="inlineStr">
        <is>
          <t>JÄMTLANDS LÄN</t>
        </is>
      </c>
      <c r="E1467" t="inlineStr">
        <is>
          <t>BRÄCKE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9984-2026</t>
        </is>
      </c>
      <c r="B1468" s="1" t="n">
        <v>46073</v>
      </c>
      <c r="C1468" s="1" t="n">
        <v>46105</v>
      </c>
      <c r="D1468" t="inlineStr">
        <is>
          <t>JÄMTLANDS LÄN</t>
        </is>
      </c>
      <c r="E1468" t="inlineStr">
        <is>
          <t>BRÄCKE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1942-2026</t>
        </is>
      </c>
      <c r="B1469" s="1" t="n">
        <v>46035.59452546296</v>
      </c>
      <c r="C1469" s="1" t="n">
        <v>46105</v>
      </c>
      <c r="D1469" t="inlineStr">
        <is>
          <t>JÄMTLANDS LÄN</t>
        </is>
      </c>
      <c r="E1469" t="inlineStr">
        <is>
          <t>BRÄCKE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10755-2026</t>
        </is>
      </c>
      <c r="B1470" s="1" t="n">
        <v>46078.55270833334</v>
      </c>
      <c r="C1470" s="1" t="n">
        <v>46105</v>
      </c>
      <c r="D1470" t="inlineStr">
        <is>
          <t>JÄMTLANDS LÄN</t>
        </is>
      </c>
      <c r="E1470" t="inlineStr">
        <is>
          <t>BRÄCKE</t>
        </is>
      </c>
      <c r="F1470" t="inlineStr">
        <is>
          <t>SCA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2310-2026</t>
        </is>
      </c>
      <c r="B1471" s="1" t="n">
        <v>46036.59472222222</v>
      </c>
      <c r="C1471" s="1" t="n">
        <v>46105</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52529-2024</t>
        </is>
      </c>
      <c r="B1472" s="1" t="n">
        <v>45609.61483796296</v>
      </c>
      <c r="C1472" s="1" t="n">
        <v>46105</v>
      </c>
      <c r="D1472" t="inlineStr">
        <is>
          <t>JÄMTLANDS LÄN</t>
        </is>
      </c>
      <c r="E1472" t="inlineStr">
        <is>
          <t>BRÄCKE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3390-2024</t>
        </is>
      </c>
      <c r="B1473" s="1" t="n">
        <v>45317.94108796296</v>
      </c>
      <c r="C1473" s="1" t="n">
        <v>46105</v>
      </c>
      <c r="D1473" t="inlineStr">
        <is>
          <t>JÄMTLANDS LÄN</t>
        </is>
      </c>
      <c r="E1473" t="inlineStr">
        <is>
          <t>BRÄCKE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2355-2026</t>
        </is>
      </c>
      <c r="B1474" s="1" t="n">
        <v>46036.6362037037</v>
      </c>
      <c r="C1474" s="1" t="n">
        <v>46105</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1810-2026</t>
        </is>
      </c>
      <c r="B1475" s="1" t="n">
        <v>46035.33962962963</v>
      </c>
      <c r="C1475" s="1" t="n">
        <v>46105</v>
      </c>
      <c r="D1475" t="inlineStr">
        <is>
          <t>JÄMTLANDS LÄN</t>
        </is>
      </c>
      <c r="E1475" t="inlineStr">
        <is>
          <t>BRÄCKE</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1811-2026</t>
        </is>
      </c>
      <c r="B1476" s="1" t="n">
        <v>46035.34351851852</v>
      </c>
      <c r="C1476" s="1" t="n">
        <v>46105</v>
      </c>
      <c r="D1476" t="inlineStr">
        <is>
          <t>JÄMTLANDS LÄN</t>
        </is>
      </c>
      <c r="E1476" t="inlineStr">
        <is>
          <t>BRÄCKE</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55512-2022</t>
        </is>
      </c>
      <c r="B1477" s="1" t="n">
        <v>44887</v>
      </c>
      <c r="C1477" s="1" t="n">
        <v>46105</v>
      </c>
      <c r="D1477" t="inlineStr">
        <is>
          <t>JÄMTLANDS LÄN</t>
        </is>
      </c>
      <c r="E1477" t="inlineStr">
        <is>
          <t>BRÄCKE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55520-2022</t>
        </is>
      </c>
      <c r="B1478" s="1" t="n">
        <v>44887</v>
      </c>
      <c r="C1478" s="1" t="n">
        <v>46105</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55529-2022</t>
        </is>
      </c>
      <c r="B1479" s="1" t="n">
        <v>44887.95256944445</v>
      </c>
      <c r="C1479" s="1" t="n">
        <v>46105</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36551-2024</t>
        </is>
      </c>
      <c r="B1480" s="1" t="n">
        <v>45537.468125</v>
      </c>
      <c r="C1480" s="1" t="n">
        <v>46105</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2982-2026</t>
        </is>
      </c>
      <c r="B1481" s="1" t="n">
        <v>46038.62986111111</v>
      </c>
      <c r="C1481" s="1" t="n">
        <v>46105</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24049-2023</t>
        </is>
      </c>
      <c r="B1482" s="1" t="n">
        <v>45078.93966435185</v>
      </c>
      <c r="C1482" s="1" t="n">
        <v>46105</v>
      </c>
      <c r="D1482" t="inlineStr">
        <is>
          <t>JÄMTLANDS LÄN</t>
        </is>
      </c>
      <c r="E1482" t="inlineStr">
        <is>
          <t>BRÄCKE</t>
        </is>
      </c>
      <c r="G1482" t="n">
        <v>15.2</v>
      </c>
      <c r="H1482" t="n">
        <v>0</v>
      </c>
      <c r="I1482" t="n">
        <v>0</v>
      </c>
      <c r="J1482" t="n">
        <v>0</v>
      </c>
      <c r="K1482" t="n">
        <v>0</v>
      </c>
      <c r="L1482" t="n">
        <v>0</v>
      </c>
      <c r="M1482" t="n">
        <v>0</v>
      </c>
      <c r="N1482" t="n">
        <v>0</v>
      </c>
      <c r="O1482" t="n">
        <v>0</v>
      </c>
      <c r="P1482" t="n">
        <v>0</v>
      </c>
      <c r="Q1482" t="n">
        <v>0</v>
      </c>
      <c r="R1482" s="2" t="inlineStr"/>
    </row>
    <row r="1483" ht="15" customHeight="1">
      <c r="A1483" t="inlineStr">
        <is>
          <t>A 11195-2026</t>
        </is>
      </c>
      <c r="B1483" s="1" t="n">
        <v>46080.42756944444</v>
      </c>
      <c r="C1483" s="1" t="n">
        <v>46105</v>
      </c>
      <c r="D1483" t="inlineStr">
        <is>
          <t>JÄMTLANDS LÄN</t>
        </is>
      </c>
      <c r="E1483" t="inlineStr">
        <is>
          <t>BRÄCKE</t>
        </is>
      </c>
      <c r="F1483" t="inlineStr">
        <is>
          <t>SCA</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59419-2023</t>
        </is>
      </c>
      <c r="B1484" s="1" t="n">
        <v>45253.96864583333</v>
      </c>
      <c r="C1484" s="1" t="n">
        <v>46105</v>
      </c>
      <c r="D1484" t="inlineStr">
        <is>
          <t>JÄMTLANDS LÄN</t>
        </is>
      </c>
      <c r="E1484" t="inlineStr">
        <is>
          <t>BRÄCKE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11155-2026</t>
        </is>
      </c>
      <c r="B1485" s="1" t="n">
        <v>46080.33803240741</v>
      </c>
      <c r="C1485" s="1" t="n">
        <v>46105</v>
      </c>
      <c r="D1485" t="inlineStr">
        <is>
          <t>JÄMTLANDS LÄN</t>
        </is>
      </c>
      <c r="E1485" t="inlineStr">
        <is>
          <t>BRÄCKE</t>
        </is>
      </c>
      <c r="F1485" t="inlineStr">
        <is>
          <t>Kyrkan</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11161-2026</t>
        </is>
      </c>
      <c r="B1486" s="1" t="n">
        <v>46080.34491898148</v>
      </c>
      <c r="C1486" s="1" t="n">
        <v>46105</v>
      </c>
      <c r="D1486" t="inlineStr">
        <is>
          <t>JÄMTLANDS LÄN</t>
        </is>
      </c>
      <c r="E1486" t="inlineStr">
        <is>
          <t>BRÄCKE</t>
        </is>
      </c>
      <c r="F1486" t="inlineStr">
        <is>
          <t>SCA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11165-2026</t>
        </is>
      </c>
      <c r="B1487" s="1" t="n">
        <v>46080.3487962963</v>
      </c>
      <c r="C1487" s="1" t="n">
        <v>46105</v>
      </c>
      <c r="D1487" t="inlineStr">
        <is>
          <t>JÄMTLANDS LÄN</t>
        </is>
      </c>
      <c r="E1487" t="inlineStr">
        <is>
          <t>BRÄCKE</t>
        </is>
      </c>
      <c r="F1487" t="inlineStr">
        <is>
          <t>Kyrkan</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24432-2024</t>
        </is>
      </c>
      <c r="B1488" s="1" t="n">
        <v>45457.96054398148</v>
      </c>
      <c r="C1488" s="1" t="n">
        <v>46105</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41313-2024</t>
        </is>
      </c>
      <c r="B1489" s="1" t="n">
        <v>45559.6359837963</v>
      </c>
      <c r="C1489" s="1" t="n">
        <v>46105</v>
      </c>
      <c r="D1489" t="inlineStr">
        <is>
          <t>JÄMTLANDS LÄN</t>
        </is>
      </c>
      <c r="E1489" t="inlineStr">
        <is>
          <t>BRÄCKE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25934-2024</t>
        </is>
      </c>
      <c r="B1490" s="1" t="n">
        <v>45467.62287037037</v>
      </c>
      <c r="C1490" s="1" t="n">
        <v>46105</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36497-2023</t>
        </is>
      </c>
      <c r="B1491" s="1" t="n">
        <v>45152</v>
      </c>
      <c r="C1491" s="1" t="n">
        <v>46105</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26910-2024</t>
        </is>
      </c>
      <c r="B1492" s="1" t="n">
        <v>45470.76403935185</v>
      </c>
      <c r="C1492" s="1" t="n">
        <v>46105</v>
      </c>
      <c r="D1492" t="inlineStr">
        <is>
          <t>JÄMTLANDS LÄN</t>
        </is>
      </c>
      <c r="E1492" t="inlineStr">
        <is>
          <t>BRÄCKE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51378-2024</t>
        </is>
      </c>
      <c r="B1493" s="1" t="n">
        <v>45604.38572916666</v>
      </c>
      <c r="C1493" s="1" t="n">
        <v>46105</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8253-2024</t>
        </is>
      </c>
      <c r="B1494" s="1" t="n">
        <v>45350</v>
      </c>
      <c r="C1494" s="1" t="n">
        <v>46105</v>
      </c>
      <c r="D1494" t="inlineStr">
        <is>
          <t>JÄMTLANDS LÄN</t>
        </is>
      </c>
      <c r="E1494" t="inlineStr">
        <is>
          <t>BRÄCKE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23771-2023</t>
        </is>
      </c>
      <c r="B1495" s="1" t="n">
        <v>45077</v>
      </c>
      <c r="C1495" s="1" t="n">
        <v>46105</v>
      </c>
      <c r="D1495" t="inlineStr">
        <is>
          <t>JÄMTLANDS LÄN</t>
        </is>
      </c>
      <c r="E1495" t="inlineStr">
        <is>
          <t>BRÄCKE</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24307-2024</t>
        </is>
      </c>
      <c r="B1496" s="1" t="n">
        <v>45457.49471064815</v>
      </c>
      <c r="C1496" s="1" t="n">
        <v>46105</v>
      </c>
      <c r="D1496" t="inlineStr">
        <is>
          <t>JÄMTLANDS LÄN</t>
        </is>
      </c>
      <c r="E1496" t="inlineStr">
        <is>
          <t>BRÄCKE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25413-2024</t>
        </is>
      </c>
      <c r="B1497" s="1" t="n">
        <v>45462</v>
      </c>
      <c r="C1497" s="1" t="n">
        <v>46105</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73106-2021</t>
        </is>
      </c>
      <c r="B1498" s="1" t="n">
        <v>44550.45646990741</v>
      </c>
      <c r="C1498" s="1" t="n">
        <v>46105</v>
      </c>
      <c r="D1498" t="inlineStr">
        <is>
          <t>JÄMTLANDS LÄN</t>
        </is>
      </c>
      <c r="E1498" t="inlineStr">
        <is>
          <t>BRÄCKE</t>
        </is>
      </c>
      <c r="F1498" t="inlineStr">
        <is>
          <t>Sveaskog</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52714-2022</t>
        </is>
      </c>
      <c r="B1499" s="1" t="n">
        <v>44874.95511574074</v>
      </c>
      <c r="C1499" s="1" t="n">
        <v>46105</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62249-2021</t>
        </is>
      </c>
      <c r="B1500" s="1" t="n">
        <v>44503</v>
      </c>
      <c r="C1500" s="1" t="n">
        <v>46105</v>
      </c>
      <c r="D1500" t="inlineStr">
        <is>
          <t>JÄMTLANDS LÄN</t>
        </is>
      </c>
      <c r="E1500" t="inlineStr">
        <is>
          <t>BRÄCKE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20100-2023</t>
        </is>
      </c>
      <c r="B1501" s="1" t="n">
        <v>45054.94239583334</v>
      </c>
      <c r="C1501" s="1" t="n">
        <v>46105</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20101-2023</t>
        </is>
      </c>
      <c r="B1502" s="1" t="n">
        <v>45054.94247685185</v>
      </c>
      <c r="C1502" s="1" t="n">
        <v>46105</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44841-2024</t>
        </is>
      </c>
      <c r="B1503" s="1" t="n">
        <v>45574.71900462963</v>
      </c>
      <c r="C1503" s="1" t="n">
        <v>46105</v>
      </c>
      <c r="D1503" t="inlineStr">
        <is>
          <t>JÄMTLANDS LÄN</t>
        </is>
      </c>
      <c r="E1503" t="inlineStr">
        <is>
          <t>BRÄCKE</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37173-2024</t>
        </is>
      </c>
      <c r="B1504" s="1" t="n">
        <v>45539.63597222222</v>
      </c>
      <c r="C1504" s="1" t="n">
        <v>46105</v>
      </c>
      <c r="D1504" t="inlineStr">
        <is>
          <t>JÄMTLANDS LÄN</t>
        </is>
      </c>
      <c r="E1504" t="inlineStr">
        <is>
          <t>BRÄCKE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41418-2024</t>
        </is>
      </c>
      <c r="B1505" s="1" t="n">
        <v>45560.34599537037</v>
      </c>
      <c r="C1505" s="1" t="n">
        <v>46105</v>
      </c>
      <c r="D1505" t="inlineStr">
        <is>
          <t>JÄMTLANDS LÄN</t>
        </is>
      </c>
      <c r="E1505" t="inlineStr">
        <is>
          <t>BRÄCKE</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41419-2024</t>
        </is>
      </c>
      <c r="B1506" s="1" t="n">
        <v>45560</v>
      </c>
      <c r="C1506" s="1" t="n">
        <v>46105</v>
      </c>
      <c r="D1506" t="inlineStr">
        <is>
          <t>JÄMTLANDS LÄN</t>
        </is>
      </c>
      <c r="E1506" t="inlineStr">
        <is>
          <t>BRÄCKE</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12063-2023</t>
        </is>
      </c>
      <c r="B1507" s="1" t="n">
        <v>44996</v>
      </c>
      <c r="C1507" s="1" t="n">
        <v>46105</v>
      </c>
      <c r="D1507" t="inlineStr">
        <is>
          <t>JÄMTLANDS LÄN</t>
        </is>
      </c>
      <c r="E1507" t="inlineStr">
        <is>
          <t>BRÄCKE</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14373-2024</t>
        </is>
      </c>
      <c r="B1508" s="1" t="n">
        <v>45393</v>
      </c>
      <c r="C1508" s="1" t="n">
        <v>46105</v>
      </c>
      <c r="D1508" t="inlineStr">
        <is>
          <t>JÄMTLANDS LÄN</t>
        </is>
      </c>
      <c r="E1508" t="inlineStr">
        <is>
          <t>BRÄCKE</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18206-2023</t>
        </is>
      </c>
      <c r="B1509" s="1" t="n">
        <v>45041</v>
      </c>
      <c r="C1509" s="1" t="n">
        <v>46105</v>
      </c>
      <c r="D1509" t="inlineStr">
        <is>
          <t>JÄMTLANDS LÄN</t>
        </is>
      </c>
      <c r="E1509" t="inlineStr">
        <is>
          <t>BRÄCKE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53724-2024</t>
        </is>
      </c>
      <c r="B1510" s="1" t="n">
        <v>45615.45042824074</v>
      </c>
      <c r="C1510" s="1" t="n">
        <v>46105</v>
      </c>
      <c r="D1510" t="inlineStr">
        <is>
          <t>JÄMTLANDS LÄN</t>
        </is>
      </c>
      <c r="E1510" t="inlineStr">
        <is>
          <t>BRÄCKE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48784-2024</t>
        </is>
      </c>
      <c r="B1511" s="1" t="n">
        <v>45593.63570601852</v>
      </c>
      <c r="C1511" s="1" t="n">
        <v>46105</v>
      </c>
      <c r="D1511" t="inlineStr">
        <is>
          <t>JÄMTLANDS LÄN</t>
        </is>
      </c>
      <c r="E1511" t="inlineStr">
        <is>
          <t>BRÄCKE</t>
        </is>
      </c>
      <c r="F1511" t="inlineStr">
        <is>
          <t>SCA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53696-2024</t>
        </is>
      </c>
      <c r="B1512" s="1" t="n">
        <v>45615.3857175926</v>
      </c>
      <c r="C1512" s="1" t="n">
        <v>46105</v>
      </c>
      <c r="D1512" t="inlineStr">
        <is>
          <t>JÄMTLANDS LÄN</t>
        </is>
      </c>
      <c r="E1512" t="inlineStr">
        <is>
          <t>BRÄCKE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58776-2023</t>
        </is>
      </c>
      <c r="B1513" s="1" t="n">
        <v>45251.96740740741</v>
      </c>
      <c r="C1513" s="1" t="n">
        <v>46105</v>
      </c>
      <c r="D1513" t="inlineStr">
        <is>
          <t>JÄMTLANDS LÄN</t>
        </is>
      </c>
      <c r="E1513" t="inlineStr">
        <is>
          <t>BRÄCKE</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49185-2024</t>
        </is>
      </c>
      <c r="B1514" s="1" t="n">
        <v>45595.34466435185</v>
      </c>
      <c r="C1514" s="1" t="n">
        <v>46105</v>
      </c>
      <c r="D1514" t="inlineStr">
        <is>
          <t>JÄMTLANDS LÄN</t>
        </is>
      </c>
      <c r="E1514" t="inlineStr">
        <is>
          <t>BRÄCKE</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50813-2024</t>
        </is>
      </c>
      <c r="B1515" s="1" t="n">
        <v>45602</v>
      </c>
      <c r="C1515" s="1" t="n">
        <v>46105</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49291-2024</t>
        </is>
      </c>
      <c r="B1516" s="1" t="n">
        <v>45595.53299768519</v>
      </c>
      <c r="C1516" s="1" t="n">
        <v>46105</v>
      </c>
      <c r="D1516" t="inlineStr">
        <is>
          <t>JÄMTLANDS LÄN</t>
        </is>
      </c>
      <c r="E1516" t="inlineStr">
        <is>
          <t>BRÄCKE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53046-2023</t>
        </is>
      </c>
      <c r="B1517" s="1" t="n">
        <v>45226.96388888889</v>
      </c>
      <c r="C1517" s="1" t="n">
        <v>46105</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31470-2023</t>
        </is>
      </c>
      <c r="B1518" s="1" t="n">
        <v>45104</v>
      </c>
      <c r="C1518" s="1" t="n">
        <v>46105</v>
      </c>
      <c r="D1518" t="inlineStr">
        <is>
          <t>JÄMTLANDS LÄN</t>
        </is>
      </c>
      <c r="E1518" t="inlineStr">
        <is>
          <t>BRÄCKE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33033-2023</t>
        </is>
      </c>
      <c r="B1519" s="1" t="n">
        <v>45125.95037037037</v>
      </c>
      <c r="C1519" s="1" t="n">
        <v>46105</v>
      </c>
      <c r="D1519" t="inlineStr">
        <is>
          <t>JÄMTLANDS LÄN</t>
        </is>
      </c>
      <c r="E1519" t="inlineStr">
        <is>
          <t>BRÄCKE</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68763-2021</t>
        </is>
      </c>
      <c r="B1520" s="1" t="n">
        <v>44529</v>
      </c>
      <c r="C1520" s="1" t="n">
        <v>46105</v>
      </c>
      <c r="D1520" t="inlineStr">
        <is>
          <t>JÄMTLANDS LÄN</t>
        </is>
      </c>
      <c r="E1520" t="inlineStr">
        <is>
          <t>BRÄCKE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29003-2024</t>
        </is>
      </c>
      <c r="B1521" s="1" t="n">
        <v>45481.52758101852</v>
      </c>
      <c r="C1521" s="1" t="n">
        <v>46105</v>
      </c>
      <c r="D1521" t="inlineStr">
        <is>
          <t>JÄMTLANDS LÄN</t>
        </is>
      </c>
      <c r="E1521" t="inlineStr">
        <is>
          <t>BRÄCKE</t>
        </is>
      </c>
      <c r="F1521" t="inlineStr">
        <is>
          <t>Övriga Aktiebolag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48080-2023</t>
        </is>
      </c>
      <c r="B1522" s="1" t="n">
        <v>45204.94569444445</v>
      </c>
      <c r="C1522" s="1" t="n">
        <v>46105</v>
      </c>
      <c r="D1522" t="inlineStr">
        <is>
          <t>JÄMTLANDS LÄN</t>
        </is>
      </c>
      <c r="E1522" t="inlineStr">
        <is>
          <t>BRÄCKE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44694-2023</t>
        </is>
      </c>
      <c r="B1523" s="1" t="n">
        <v>45189.92251157408</v>
      </c>
      <c r="C1523" s="1" t="n">
        <v>46105</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45807-2024</t>
        </is>
      </c>
      <c r="B1524" s="1" t="n">
        <v>45579.69815972223</v>
      </c>
      <c r="C1524" s="1" t="n">
        <v>46105</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7756-2025</t>
        </is>
      </c>
      <c r="B1525" s="1" t="n">
        <v>45706.51079861111</v>
      </c>
      <c r="C1525" s="1" t="n">
        <v>46105</v>
      </c>
      <c r="D1525" t="inlineStr">
        <is>
          <t>JÄMTLANDS LÄN</t>
        </is>
      </c>
      <c r="E1525" t="inlineStr">
        <is>
          <t>BRÄCKE</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7757-2025</t>
        </is>
      </c>
      <c r="B1526" s="1" t="n">
        <v>45706.51085648148</v>
      </c>
      <c r="C1526" s="1" t="n">
        <v>46105</v>
      </c>
      <c r="D1526" t="inlineStr">
        <is>
          <t>JÄMTLANDS LÄN</t>
        </is>
      </c>
      <c r="E1526" t="inlineStr">
        <is>
          <t>BRÄCKE</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26923-2024</t>
        </is>
      </c>
      <c r="B1527" s="1" t="n">
        <v>45470.93094907407</v>
      </c>
      <c r="C1527" s="1" t="n">
        <v>46105</v>
      </c>
      <c r="D1527" t="inlineStr">
        <is>
          <t>JÄMTLANDS LÄN</t>
        </is>
      </c>
      <c r="E1527" t="inlineStr">
        <is>
          <t>BRÄCKE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6378-2025</t>
        </is>
      </c>
      <c r="B1528" s="1" t="n">
        <v>45699.40689814815</v>
      </c>
      <c r="C1528" s="1" t="n">
        <v>46105</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36549-2024</t>
        </is>
      </c>
      <c r="B1529" s="1" t="n">
        <v>45537.46791666667</v>
      </c>
      <c r="C1529" s="1" t="n">
        <v>46105</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13069-2025</t>
        </is>
      </c>
      <c r="B1530" s="1" t="n">
        <v>45734.61494212963</v>
      </c>
      <c r="C1530" s="1" t="n">
        <v>46105</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10606-2025</t>
        </is>
      </c>
      <c r="B1531" s="1" t="n">
        <v>45721.59429398148</v>
      </c>
      <c r="C1531" s="1" t="n">
        <v>46105</v>
      </c>
      <c r="D1531" t="inlineStr">
        <is>
          <t>JÄMTLANDS LÄN</t>
        </is>
      </c>
      <c r="E1531" t="inlineStr">
        <is>
          <t>BRÄCKE</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14492-2024</t>
        </is>
      </c>
      <c r="B1532" s="1" t="n">
        <v>45394.58215277778</v>
      </c>
      <c r="C1532" s="1" t="n">
        <v>46105</v>
      </c>
      <c r="D1532" t="inlineStr">
        <is>
          <t>JÄMTLANDS LÄN</t>
        </is>
      </c>
      <c r="E1532" t="inlineStr">
        <is>
          <t>BRÄCKE</t>
        </is>
      </c>
      <c r="G1532" t="n">
        <v>16.6</v>
      </c>
      <c r="H1532" t="n">
        <v>0</v>
      </c>
      <c r="I1532" t="n">
        <v>0</v>
      </c>
      <c r="J1532" t="n">
        <v>0</v>
      </c>
      <c r="K1532" t="n">
        <v>0</v>
      </c>
      <c r="L1532" t="n">
        <v>0</v>
      </c>
      <c r="M1532" t="n">
        <v>0</v>
      </c>
      <c r="N1532" t="n">
        <v>0</v>
      </c>
      <c r="O1532" t="n">
        <v>0</v>
      </c>
      <c r="P1532" t="n">
        <v>0</v>
      </c>
      <c r="Q1532" t="n">
        <v>0</v>
      </c>
      <c r="R1532" s="2" t="inlineStr"/>
    </row>
    <row r="1533" ht="15" customHeight="1">
      <c r="A1533" t="inlineStr">
        <is>
          <t>A 39122-2024</t>
        </is>
      </c>
      <c r="B1533" s="1" t="n">
        <v>45548.5940162037</v>
      </c>
      <c r="C1533" s="1" t="n">
        <v>46105</v>
      </c>
      <c r="D1533" t="inlineStr">
        <is>
          <t>JÄMTLANDS LÄN</t>
        </is>
      </c>
      <c r="E1533" t="inlineStr">
        <is>
          <t>BRÄCKE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231-2025</t>
        </is>
      </c>
      <c r="B1534" s="1" t="n">
        <v>45660.36972222223</v>
      </c>
      <c r="C1534" s="1" t="n">
        <v>46105</v>
      </c>
      <c r="D1534" t="inlineStr">
        <is>
          <t>JÄMTLANDS LÄN</t>
        </is>
      </c>
      <c r="E1534" t="inlineStr">
        <is>
          <t>BRÄCKE</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278-2025</t>
        </is>
      </c>
      <c r="B1535" s="1" t="n">
        <v>45660.49075231481</v>
      </c>
      <c r="C1535" s="1" t="n">
        <v>46105</v>
      </c>
      <c r="D1535" t="inlineStr">
        <is>
          <t>JÄMTLANDS LÄN</t>
        </is>
      </c>
      <c r="E1535" t="inlineStr">
        <is>
          <t>BRÄCKE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17973-2025</t>
        </is>
      </c>
      <c r="B1536" s="1" t="n">
        <v>45761.36490740741</v>
      </c>
      <c r="C1536" s="1" t="n">
        <v>46105</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17977-2025</t>
        </is>
      </c>
      <c r="B1537" s="1" t="n">
        <v>45761.36550925926</v>
      </c>
      <c r="C1537" s="1" t="n">
        <v>46105</v>
      </c>
      <c r="D1537" t="inlineStr">
        <is>
          <t>JÄMTLANDS LÄN</t>
        </is>
      </c>
      <c r="E1537" t="inlineStr">
        <is>
          <t>BRÄCKE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51809-2023</t>
        </is>
      </c>
      <c r="B1538" s="1" t="n">
        <v>45222.96574074074</v>
      </c>
      <c r="C1538" s="1" t="n">
        <v>46105</v>
      </c>
      <c r="D1538" t="inlineStr">
        <is>
          <t>JÄMTLANDS LÄN</t>
        </is>
      </c>
      <c r="E1538" t="inlineStr">
        <is>
          <t>BRÄCKE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51832-2023</t>
        </is>
      </c>
      <c r="B1539" s="1" t="n">
        <v>45222.96841435185</v>
      </c>
      <c r="C1539" s="1" t="n">
        <v>46105</v>
      </c>
      <c r="D1539" t="inlineStr">
        <is>
          <t>JÄMTLANDS LÄN</t>
        </is>
      </c>
      <c r="E1539" t="inlineStr">
        <is>
          <t>BRÄCKE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29456-2024</t>
        </is>
      </c>
      <c r="B1540" s="1" t="n">
        <v>45483.96898148148</v>
      </c>
      <c r="C1540" s="1" t="n">
        <v>46105</v>
      </c>
      <c r="D1540" t="inlineStr">
        <is>
          <t>JÄMTLANDS LÄN</t>
        </is>
      </c>
      <c r="E1540" t="inlineStr">
        <is>
          <t>BRÄCKE</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29460-2024</t>
        </is>
      </c>
      <c r="B1541" s="1" t="n">
        <v>45483.96952546296</v>
      </c>
      <c r="C1541" s="1" t="n">
        <v>46105</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57605-2024</t>
        </is>
      </c>
      <c r="B1542" s="1" t="n">
        <v>45630.53201388889</v>
      </c>
      <c r="C1542" s="1" t="n">
        <v>46105</v>
      </c>
      <c r="D1542" t="inlineStr">
        <is>
          <t>JÄMTLANDS LÄN</t>
        </is>
      </c>
      <c r="E1542" t="inlineStr">
        <is>
          <t>BRÄCKE</t>
        </is>
      </c>
      <c r="F1542" t="inlineStr">
        <is>
          <t>SCA</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57623-2024</t>
        </is>
      </c>
      <c r="B1543" s="1" t="n">
        <v>45630.55260416667</v>
      </c>
      <c r="C1543" s="1" t="n">
        <v>46105</v>
      </c>
      <c r="D1543" t="inlineStr">
        <is>
          <t>JÄMTLANDS LÄN</t>
        </is>
      </c>
      <c r="E1543" t="inlineStr">
        <is>
          <t>BRÄCKE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45005-2023</t>
        </is>
      </c>
      <c r="B1544" s="1" t="n">
        <v>45190</v>
      </c>
      <c r="C1544" s="1" t="n">
        <v>46105</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10110-2025</t>
        </is>
      </c>
      <c r="B1545" s="1" t="n">
        <v>45719.58855324074</v>
      </c>
      <c r="C1545" s="1" t="n">
        <v>46105</v>
      </c>
      <c r="D1545" t="inlineStr">
        <is>
          <t>JÄMTLANDS LÄN</t>
        </is>
      </c>
      <c r="E1545" t="inlineStr">
        <is>
          <t>BRÄCKE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10130-2022</t>
        </is>
      </c>
      <c r="B1546" s="1" t="n">
        <v>44621.94561342592</v>
      </c>
      <c r="C1546" s="1" t="n">
        <v>46105</v>
      </c>
      <c r="D1546" t="inlineStr">
        <is>
          <t>JÄMTLANDS LÄN</t>
        </is>
      </c>
      <c r="E1546" t="inlineStr">
        <is>
          <t>BRÄCKE</t>
        </is>
      </c>
      <c r="F1546" t="inlineStr">
        <is>
          <t>SCA</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41647-2023</t>
        </is>
      </c>
      <c r="B1547" s="1" t="n">
        <v>45175.95690972222</v>
      </c>
      <c r="C1547" s="1" t="n">
        <v>46105</v>
      </c>
      <c r="D1547" t="inlineStr">
        <is>
          <t>JÄMTLANDS LÄN</t>
        </is>
      </c>
      <c r="E1547" t="inlineStr">
        <is>
          <t>BRÄCKE</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45758-2024</t>
        </is>
      </c>
      <c r="B1548" s="1" t="n">
        <v>45579.6357175926</v>
      </c>
      <c r="C1548" s="1" t="n">
        <v>46105</v>
      </c>
      <c r="D1548" t="inlineStr">
        <is>
          <t>JÄMTLANDS LÄN</t>
        </is>
      </c>
      <c r="E1548" t="inlineStr">
        <is>
          <t>BRÄCKE</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782-2025</t>
        </is>
      </c>
      <c r="B1549" s="1" t="n">
        <v>45665.48423611111</v>
      </c>
      <c r="C1549" s="1" t="n">
        <v>46105</v>
      </c>
      <c r="D1549" t="inlineStr">
        <is>
          <t>JÄMTLANDS LÄN</t>
        </is>
      </c>
      <c r="E1549" t="inlineStr">
        <is>
          <t>BRÄCKE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4635-2022</t>
        </is>
      </c>
      <c r="B1550" s="1" t="n">
        <v>44592.41413194445</v>
      </c>
      <c r="C1550" s="1" t="n">
        <v>46105</v>
      </c>
      <c r="D1550" t="inlineStr">
        <is>
          <t>JÄMTLANDS LÄN</t>
        </is>
      </c>
      <c r="E1550" t="inlineStr">
        <is>
          <t>BRÄCKE</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21781-2023</t>
        </is>
      </c>
      <c r="B1551" s="1" t="n">
        <v>45065</v>
      </c>
      <c r="C1551" s="1" t="n">
        <v>46105</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25676-2023</t>
        </is>
      </c>
      <c r="B1552" s="1" t="n">
        <v>45089.93925925926</v>
      </c>
      <c r="C1552" s="1" t="n">
        <v>46105</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49526-2024</t>
        </is>
      </c>
      <c r="B1553" s="1" t="n">
        <v>45596.40731481482</v>
      </c>
      <c r="C1553" s="1" t="n">
        <v>46105</v>
      </c>
      <c r="D1553" t="inlineStr">
        <is>
          <t>JÄMTLANDS LÄN</t>
        </is>
      </c>
      <c r="E1553" t="inlineStr">
        <is>
          <t>BRÄCKE</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48342-2024</t>
        </is>
      </c>
      <c r="B1554" s="1" t="n">
        <v>45590.55238425926</v>
      </c>
      <c r="C1554" s="1" t="n">
        <v>46105</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45950-2023</t>
        </is>
      </c>
      <c r="B1555" s="1" t="n">
        <v>45195</v>
      </c>
      <c r="C1555" s="1" t="n">
        <v>46105</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49032-2024</t>
        </is>
      </c>
      <c r="B1556" s="1" t="n">
        <v>45594.53152777778</v>
      </c>
      <c r="C1556" s="1" t="n">
        <v>46105</v>
      </c>
      <c r="D1556" t="inlineStr">
        <is>
          <t>JÄMTLANDS LÄN</t>
        </is>
      </c>
      <c r="E1556" t="inlineStr">
        <is>
          <t>BRÄCKE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10510-2025</t>
        </is>
      </c>
      <c r="B1557" s="1" t="n">
        <v>45721.40363425926</v>
      </c>
      <c r="C1557" s="1" t="n">
        <v>46105</v>
      </c>
      <c r="D1557" t="inlineStr">
        <is>
          <t>JÄMTLANDS LÄN</t>
        </is>
      </c>
      <c r="E1557" t="inlineStr">
        <is>
          <t>BRÄCKE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55478-2024</t>
        </is>
      </c>
      <c r="B1558" s="1" t="n">
        <v>45622.43795138889</v>
      </c>
      <c r="C1558" s="1" t="n">
        <v>46105</v>
      </c>
      <c r="D1558" t="inlineStr">
        <is>
          <t>JÄMTLANDS LÄN</t>
        </is>
      </c>
      <c r="E1558" t="inlineStr">
        <is>
          <t>BRÄCKE</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30480-2024</t>
        </is>
      </c>
      <c r="B1559" s="1" t="n">
        <v>45491.9494675926</v>
      </c>
      <c r="C1559" s="1" t="n">
        <v>46105</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56493-2024</t>
        </is>
      </c>
      <c r="B1560" s="1" t="n">
        <v>45625.49034722222</v>
      </c>
      <c r="C1560" s="1" t="n">
        <v>46105</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72025-2021</t>
        </is>
      </c>
      <c r="B1561" s="1" t="n">
        <v>44540</v>
      </c>
      <c r="C1561" s="1" t="n">
        <v>46105</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28765-2024</t>
        </is>
      </c>
      <c r="B1562" s="1" t="n">
        <v>45478.59344907408</v>
      </c>
      <c r="C1562" s="1" t="n">
        <v>46105</v>
      </c>
      <c r="D1562" t="inlineStr">
        <is>
          <t>JÄMTLANDS LÄN</t>
        </is>
      </c>
      <c r="E1562" t="inlineStr">
        <is>
          <t>BRÄCKE</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58086-2024</t>
        </is>
      </c>
      <c r="B1563" s="1" t="n">
        <v>45632.34436342592</v>
      </c>
      <c r="C1563" s="1" t="n">
        <v>46105</v>
      </c>
      <c r="D1563" t="inlineStr">
        <is>
          <t>JÄMTLANDS LÄN</t>
        </is>
      </c>
      <c r="E1563" t="inlineStr">
        <is>
          <t>BRÄCKE</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45028-2023</t>
        </is>
      </c>
      <c r="B1564" s="1" t="n">
        <v>45190</v>
      </c>
      <c r="C1564" s="1" t="n">
        <v>46105</v>
      </c>
      <c r="D1564" t="inlineStr">
        <is>
          <t>JÄMTLANDS LÄN</t>
        </is>
      </c>
      <c r="E1564" t="inlineStr">
        <is>
          <t>BRÄCKE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40394-2023</t>
        </is>
      </c>
      <c r="B1565" s="1" t="n">
        <v>45169.93751157408</v>
      </c>
      <c r="C1565" s="1" t="n">
        <v>46105</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46105</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28903-2021</t>
        </is>
      </c>
      <c r="B1567" s="1" t="n">
        <v>44357</v>
      </c>
      <c r="C1567" s="1" t="n">
        <v>46105</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50520-2024</t>
        </is>
      </c>
      <c r="B1568" s="1" t="n">
        <v>45601.55320601852</v>
      </c>
      <c r="C1568" s="1" t="n">
        <v>46105</v>
      </c>
      <c r="D1568" t="inlineStr">
        <is>
          <t>JÄMTLANDS LÄN</t>
        </is>
      </c>
      <c r="E1568" t="inlineStr">
        <is>
          <t>BRÄCKE</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49307-2024</t>
        </is>
      </c>
      <c r="B1569" s="1" t="n">
        <v>45595.55241898148</v>
      </c>
      <c r="C1569" s="1" t="n">
        <v>46105</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1504-2025</t>
        </is>
      </c>
      <c r="B1570" s="1" t="n">
        <v>45670.42738425926</v>
      </c>
      <c r="C1570" s="1" t="n">
        <v>46105</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2498-2025</t>
        </is>
      </c>
      <c r="B1571" s="1" t="n">
        <v>45674.5315625</v>
      </c>
      <c r="C1571" s="1" t="n">
        <v>46105</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2511-2025</t>
        </is>
      </c>
      <c r="B1572" s="1" t="n">
        <v>45674.57393518519</v>
      </c>
      <c r="C1572" s="1" t="n">
        <v>46105</v>
      </c>
      <c r="D1572" t="inlineStr">
        <is>
          <t>JÄMTLANDS LÄN</t>
        </is>
      </c>
      <c r="E1572" t="inlineStr">
        <is>
          <t>BRÄCKE</t>
        </is>
      </c>
      <c r="F1572" t="inlineStr">
        <is>
          <t>SCA</t>
        </is>
      </c>
      <c r="G1572" t="n">
        <v>10.5</v>
      </c>
      <c r="H1572" t="n">
        <v>0</v>
      </c>
      <c r="I1572" t="n">
        <v>0</v>
      </c>
      <c r="J1572" t="n">
        <v>0</v>
      </c>
      <c r="K1572" t="n">
        <v>0</v>
      </c>
      <c r="L1572" t="n">
        <v>0</v>
      </c>
      <c r="M1572" t="n">
        <v>0</v>
      </c>
      <c r="N1572" t="n">
        <v>0</v>
      </c>
      <c r="O1572" t="n">
        <v>0</v>
      </c>
      <c r="P1572" t="n">
        <v>0</v>
      </c>
      <c r="Q1572" t="n">
        <v>0</v>
      </c>
      <c r="R1572" s="2" t="inlineStr"/>
    </row>
    <row r="1573" ht="15" customHeight="1">
      <c r="A1573" t="inlineStr">
        <is>
          <t>A 1864-2022</t>
        </is>
      </c>
      <c r="B1573" s="1" t="n">
        <v>44574</v>
      </c>
      <c r="C1573" s="1" t="n">
        <v>46105</v>
      </c>
      <c r="D1573" t="inlineStr">
        <is>
          <t>JÄMTLANDS LÄN</t>
        </is>
      </c>
      <c r="E1573" t="inlineStr">
        <is>
          <t>BRÄCKE</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53608-2024</t>
        </is>
      </c>
      <c r="B1574" s="1" t="n">
        <v>45614</v>
      </c>
      <c r="C1574" s="1" t="n">
        <v>46105</v>
      </c>
      <c r="D1574" t="inlineStr">
        <is>
          <t>JÄMTLANDS LÄN</t>
        </is>
      </c>
      <c r="E1574" t="inlineStr">
        <is>
          <t>BRÄCKE</t>
        </is>
      </c>
      <c r="F1574" t="inlineStr">
        <is>
          <t>SCA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20625-2023</t>
        </is>
      </c>
      <c r="B1575" s="1" t="n">
        <v>45057.94351851852</v>
      </c>
      <c r="C1575" s="1" t="n">
        <v>46105</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11310-2025</t>
        </is>
      </c>
      <c r="B1576" s="1" t="n">
        <v>45726.44832175926</v>
      </c>
      <c r="C1576" s="1" t="n">
        <v>46105</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1201-2022</t>
        </is>
      </c>
      <c r="B1577" s="1" t="n">
        <v>44572</v>
      </c>
      <c r="C1577" s="1" t="n">
        <v>46105</v>
      </c>
      <c r="D1577" t="inlineStr">
        <is>
          <t>JÄMTLANDS LÄN</t>
        </is>
      </c>
      <c r="E1577" t="inlineStr">
        <is>
          <t>BRÄCKE</t>
        </is>
      </c>
      <c r="G1577" t="n">
        <v>13.7</v>
      </c>
      <c r="H1577" t="n">
        <v>0</v>
      </c>
      <c r="I1577" t="n">
        <v>0</v>
      </c>
      <c r="J1577" t="n">
        <v>0</v>
      </c>
      <c r="K1577" t="n">
        <v>0</v>
      </c>
      <c r="L1577" t="n">
        <v>0</v>
      </c>
      <c r="M1577" t="n">
        <v>0</v>
      </c>
      <c r="N1577" t="n">
        <v>0</v>
      </c>
      <c r="O1577" t="n">
        <v>0</v>
      </c>
      <c r="P1577" t="n">
        <v>0</v>
      </c>
      <c r="Q1577" t="n">
        <v>0</v>
      </c>
      <c r="R1577" s="2" t="inlineStr"/>
    </row>
    <row r="1578" ht="15" customHeight="1">
      <c r="A1578" t="inlineStr">
        <is>
          <t>A 3865-2025</t>
        </is>
      </c>
      <c r="B1578" s="1" t="n">
        <v>45684.31815972222</v>
      </c>
      <c r="C1578" s="1" t="n">
        <v>46105</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11313-2022</t>
        </is>
      </c>
      <c r="B1579" s="1" t="n">
        <v>44629.94712962963</v>
      </c>
      <c r="C1579" s="1" t="n">
        <v>46105</v>
      </c>
      <c r="D1579" t="inlineStr">
        <is>
          <t>JÄMTLANDS LÄN</t>
        </is>
      </c>
      <c r="E1579" t="inlineStr">
        <is>
          <t>BRÄCKE</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5340-2025</t>
        </is>
      </c>
      <c r="B1580" s="1" t="n">
        <v>45692.55248842593</v>
      </c>
      <c r="C1580" s="1" t="n">
        <v>46105</v>
      </c>
      <c r="D1580" t="inlineStr">
        <is>
          <t>JÄMTLANDS LÄN</t>
        </is>
      </c>
      <c r="E1580" t="inlineStr">
        <is>
          <t>BRÄCKE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20014-2022</t>
        </is>
      </c>
      <c r="B1581" s="1" t="n">
        <v>44697.64387731482</v>
      </c>
      <c r="C1581" s="1" t="n">
        <v>46105</v>
      </c>
      <c r="D1581" t="inlineStr">
        <is>
          <t>JÄMTLANDS LÄN</t>
        </is>
      </c>
      <c r="E1581" t="inlineStr">
        <is>
          <t>BRÄCKE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56491-2024</t>
        </is>
      </c>
      <c r="B1582" s="1" t="n">
        <v>45625.48987268518</v>
      </c>
      <c r="C1582" s="1" t="n">
        <v>46105</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30478-2022</t>
        </is>
      </c>
      <c r="B1583" s="1" t="n">
        <v>44761</v>
      </c>
      <c r="C1583" s="1" t="n">
        <v>46105</v>
      </c>
      <c r="D1583" t="inlineStr">
        <is>
          <t>JÄMTLANDS LÄN</t>
        </is>
      </c>
      <c r="E1583" t="inlineStr">
        <is>
          <t>BRÄCKE</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30480-2022</t>
        </is>
      </c>
      <c r="B1584" s="1" t="n">
        <v>44761.94019675926</v>
      </c>
      <c r="C1584" s="1" t="n">
        <v>46105</v>
      </c>
      <c r="D1584" t="inlineStr">
        <is>
          <t>JÄMTLANDS LÄN</t>
        </is>
      </c>
      <c r="E1584" t="inlineStr">
        <is>
          <t>BRÄCKE</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54447-2023</t>
        </is>
      </c>
      <c r="B1585" s="1" t="n">
        <v>45233.44271990741</v>
      </c>
      <c r="C1585" s="1" t="n">
        <v>46105</v>
      </c>
      <c r="D1585" t="inlineStr">
        <is>
          <t>JÄMTLANDS LÄN</t>
        </is>
      </c>
      <c r="E1585" t="inlineStr">
        <is>
          <t>BRÄCKE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13165-2025</t>
        </is>
      </c>
      <c r="B1586" s="1" t="n">
        <v>45735.36491898148</v>
      </c>
      <c r="C1586" s="1" t="n">
        <v>46105</v>
      </c>
      <c r="D1586" t="inlineStr">
        <is>
          <t>JÄMTLANDS LÄN</t>
        </is>
      </c>
      <c r="E1586" t="inlineStr">
        <is>
          <t>BRÄCKE</t>
        </is>
      </c>
      <c r="F1586" t="inlineStr">
        <is>
          <t>SCA</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59846-2024</t>
        </is>
      </c>
      <c r="B1587" s="1" t="n">
        <v>45639.67769675926</v>
      </c>
      <c r="C1587" s="1" t="n">
        <v>46105</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19485-2023</t>
        </is>
      </c>
      <c r="B1588" s="1" t="n">
        <v>45049</v>
      </c>
      <c r="C1588" s="1" t="n">
        <v>46105</v>
      </c>
      <c r="D1588" t="inlineStr">
        <is>
          <t>JÄMTLANDS LÄN</t>
        </is>
      </c>
      <c r="E1588" t="inlineStr">
        <is>
          <t>BRÄCKE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13249-2025</t>
        </is>
      </c>
      <c r="B1589" s="1" t="n">
        <v>45735.48996527777</v>
      </c>
      <c r="C1589" s="1" t="n">
        <v>46105</v>
      </c>
      <c r="D1589" t="inlineStr">
        <is>
          <t>JÄMTLANDS LÄN</t>
        </is>
      </c>
      <c r="E1589" t="inlineStr">
        <is>
          <t>BRÄCKE</t>
        </is>
      </c>
      <c r="F1589" t="inlineStr">
        <is>
          <t>SCA</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5167-2025</t>
        </is>
      </c>
      <c r="B1590" s="1" t="n">
        <v>45691.61539351852</v>
      </c>
      <c r="C1590" s="1" t="n">
        <v>46105</v>
      </c>
      <c r="D1590" t="inlineStr">
        <is>
          <t>JÄMTLANDS LÄN</t>
        </is>
      </c>
      <c r="E1590" t="inlineStr">
        <is>
          <t>BRÄCKE</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16317-2025</t>
        </is>
      </c>
      <c r="B1591" s="1" t="n">
        <v>45751.3480787037</v>
      </c>
      <c r="C1591" s="1" t="n">
        <v>46105</v>
      </c>
      <c r="D1591" t="inlineStr">
        <is>
          <t>JÄMTLANDS LÄN</t>
        </is>
      </c>
      <c r="E1591" t="inlineStr">
        <is>
          <t>BRÄCKE</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51432-2023</t>
        </is>
      </c>
      <c r="B1592" s="1" t="n">
        <v>45219.96431712963</v>
      </c>
      <c r="C1592" s="1" t="n">
        <v>46105</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16462-2024</t>
        </is>
      </c>
      <c r="B1593" s="1" t="n">
        <v>45408.05018518519</v>
      </c>
      <c r="C1593" s="1" t="n">
        <v>46105</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17182-2024</t>
        </is>
      </c>
      <c r="B1594" s="1" t="n">
        <v>45412.97984953703</v>
      </c>
      <c r="C1594" s="1" t="n">
        <v>46105</v>
      </c>
      <c r="D1594" t="inlineStr">
        <is>
          <t>JÄMTLANDS LÄN</t>
        </is>
      </c>
      <c r="E1594" t="inlineStr">
        <is>
          <t>BRÄCKE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25883-2022</t>
        </is>
      </c>
      <c r="B1595" s="1" t="n">
        <v>44733</v>
      </c>
      <c r="C1595" s="1" t="n">
        <v>46105</v>
      </c>
      <c r="D1595" t="inlineStr">
        <is>
          <t>JÄMTLANDS LÄN</t>
        </is>
      </c>
      <c r="E1595" t="inlineStr">
        <is>
          <t>BRÄCKE</t>
        </is>
      </c>
      <c r="F1595" t="inlineStr">
        <is>
          <t>Övriga Aktiebolag</t>
        </is>
      </c>
      <c r="G1595" t="n">
        <v>23.4</v>
      </c>
      <c r="H1595" t="n">
        <v>0</v>
      </c>
      <c r="I1595" t="n">
        <v>0</v>
      </c>
      <c r="J1595" t="n">
        <v>0</v>
      </c>
      <c r="K1595" t="n">
        <v>0</v>
      </c>
      <c r="L1595" t="n">
        <v>0</v>
      </c>
      <c r="M1595" t="n">
        <v>0</v>
      </c>
      <c r="N1595" t="n">
        <v>0</v>
      </c>
      <c r="O1595" t="n">
        <v>0</v>
      </c>
      <c r="P1595" t="n">
        <v>0</v>
      </c>
      <c r="Q1595" t="n">
        <v>0</v>
      </c>
      <c r="R1595" s="2" t="inlineStr"/>
    </row>
    <row r="1596" ht="15" customHeight="1">
      <c r="A1596" t="inlineStr">
        <is>
          <t>A 24726-2022</t>
        </is>
      </c>
      <c r="B1596" s="1" t="n">
        <v>44727</v>
      </c>
      <c r="C1596" s="1" t="n">
        <v>46105</v>
      </c>
      <c r="D1596" t="inlineStr">
        <is>
          <t>JÄMTLANDS LÄN</t>
        </is>
      </c>
      <c r="E1596" t="inlineStr">
        <is>
          <t>BRÄCKE</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30685-2024</t>
        </is>
      </c>
      <c r="B1597" s="1" t="n">
        <v>45495.95159722222</v>
      </c>
      <c r="C1597" s="1" t="n">
        <v>46105</v>
      </c>
      <c r="D1597" t="inlineStr">
        <is>
          <t>JÄMTLANDS LÄN</t>
        </is>
      </c>
      <c r="E1597" t="inlineStr">
        <is>
          <t>BRÄCKE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5527-2025</t>
        </is>
      </c>
      <c r="B1598" s="1" t="n">
        <v>45693.42859953704</v>
      </c>
      <c r="C1598" s="1" t="n">
        <v>46105</v>
      </c>
      <c r="D1598" t="inlineStr">
        <is>
          <t>JÄMTLANDS LÄN</t>
        </is>
      </c>
      <c r="E1598" t="inlineStr">
        <is>
          <t>BRÄCKE</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10476-2022</t>
        </is>
      </c>
      <c r="B1599" s="1" t="n">
        <v>44623</v>
      </c>
      <c r="C1599" s="1" t="n">
        <v>46105</v>
      </c>
      <c r="D1599" t="inlineStr">
        <is>
          <t>JÄMTLANDS LÄN</t>
        </is>
      </c>
      <c r="E1599" t="inlineStr">
        <is>
          <t>BRÄCKE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10542-2022</t>
        </is>
      </c>
      <c r="B1600" s="1" t="n">
        <v>44623.92204861111</v>
      </c>
      <c r="C1600" s="1" t="n">
        <v>46105</v>
      </c>
      <c r="D1600" t="inlineStr">
        <is>
          <t>JÄMTLANDS LÄN</t>
        </is>
      </c>
      <c r="E1600" t="inlineStr">
        <is>
          <t>BRÄCKE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58461-2023</t>
        </is>
      </c>
      <c r="B1601" s="1" t="n">
        <v>45250</v>
      </c>
      <c r="C1601" s="1" t="n">
        <v>46105</v>
      </c>
      <c r="D1601" t="inlineStr">
        <is>
          <t>JÄMTLANDS LÄN</t>
        </is>
      </c>
      <c r="E1601" t="inlineStr">
        <is>
          <t>BRÄCKE</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17601-2025</t>
        </is>
      </c>
      <c r="B1602" s="1" t="n">
        <v>45757.71991898148</v>
      </c>
      <c r="C1602" s="1" t="n">
        <v>46105</v>
      </c>
      <c r="D1602" t="inlineStr">
        <is>
          <t>JÄMTLANDS LÄN</t>
        </is>
      </c>
      <c r="E1602" t="inlineStr">
        <is>
          <t>BRÄCKE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35880-2023</t>
        </is>
      </c>
      <c r="B1603" s="1" t="n">
        <v>45148</v>
      </c>
      <c r="C1603" s="1" t="n">
        <v>46105</v>
      </c>
      <c r="D1603" t="inlineStr">
        <is>
          <t>JÄMTLANDS LÄN</t>
        </is>
      </c>
      <c r="E1603" t="inlineStr">
        <is>
          <t>BRÄCKE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25895-2023</t>
        </is>
      </c>
      <c r="B1604" s="1" t="n">
        <v>45085</v>
      </c>
      <c r="C1604" s="1" t="n">
        <v>46105</v>
      </c>
      <c r="D1604" t="inlineStr">
        <is>
          <t>JÄMTLANDS LÄN</t>
        </is>
      </c>
      <c r="E1604" t="inlineStr">
        <is>
          <t>BRÄCKE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35424-2023</t>
        </is>
      </c>
      <c r="B1605" s="1" t="n">
        <v>45146.6240625</v>
      </c>
      <c r="C1605" s="1" t="n">
        <v>46105</v>
      </c>
      <c r="D1605" t="inlineStr">
        <is>
          <t>JÄMTLANDS LÄN</t>
        </is>
      </c>
      <c r="E1605" t="inlineStr">
        <is>
          <t>BRÄCKE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19996-2024</t>
        </is>
      </c>
      <c r="B1606" s="1" t="n">
        <v>45433.92756944444</v>
      </c>
      <c r="C1606" s="1" t="n">
        <v>46105</v>
      </c>
      <c r="D1606" t="inlineStr">
        <is>
          <t>JÄMTLANDS LÄN</t>
        </is>
      </c>
      <c r="E1606" t="inlineStr">
        <is>
          <t>BRÄCKE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9467-2025</t>
        </is>
      </c>
      <c r="B1607" s="1" t="n">
        <v>45715.46903935185</v>
      </c>
      <c r="C1607" s="1" t="n">
        <v>46105</v>
      </c>
      <c r="D1607" t="inlineStr">
        <is>
          <t>JÄMTLANDS LÄN</t>
        </is>
      </c>
      <c r="E1607" t="inlineStr">
        <is>
          <t>BRÄCKE</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4857-2025</t>
        </is>
      </c>
      <c r="B1608" s="1" t="n">
        <v>45688.67418981482</v>
      </c>
      <c r="C1608" s="1" t="n">
        <v>46105</v>
      </c>
      <c r="D1608" t="inlineStr">
        <is>
          <t>JÄMTLANDS LÄN</t>
        </is>
      </c>
      <c r="E1608" t="inlineStr">
        <is>
          <t>BRÄCKE</t>
        </is>
      </c>
      <c r="F1608" t="inlineStr">
        <is>
          <t>SCA</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9386-2025</t>
        </is>
      </c>
      <c r="B1609" s="1" t="n">
        <v>45715.34450231482</v>
      </c>
      <c r="C1609" s="1" t="n">
        <v>46105</v>
      </c>
      <c r="D1609" t="inlineStr">
        <is>
          <t>JÄMTLANDS LÄN</t>
        </is>
      </c>
      <c r="E1609" t="inlineStr">
        <is>
          <t>BRÄCKE</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31517-2024</t>
        </is>
      </c>
      <c r="B1610" s="1" t="n">
        <v>45505</v>
      </c>
      <c r="C1610" s="1" t="n">
        <v>46105</v>
      </c>
      <c r="D1610" t="inlineStr">
        <is>
          <t>JÄMTLANDS LÄN</t>
        </is>
      </c>
      <c r="E1610" t="inlineStr">
        <is>
          <t>BRÄCKE</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55221-2024</t>
        </is>
      </c>
      <c r="B1611" s="1" t="n">
        <v>45621.57369212963</v>
      </c>
      <c r="C1611" s="1" t="n">
        <v>46105</v>
      </c>
      <c r="D1611" t="inlineStr">
        <is>
          <t>JÄMTLANDS LÄN</t>
        </is>
      </c>
      <c r="E1611" t="inlineStr">
        <is>
          <t>BRÄCKE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57414-2023</t>
        </is>
      </c>
      <c r="B1612" s="1" t="n">
        <v>45245.96939814815</v>
      </c>
      <c r="C1612" s="1" t="n">
        <v>46105</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51827-2023</t>
        </is>
      </c>
      <c r="B1613" s="1" t="n">
        <v>45222.96791666667</v>
      </c>
      <c r="C1613" s="1" t="n">
        <v>46105</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41831-2024</t>
        </is>
      </c>
      <c r="B1614" s="1" t="n">
        <v>45561.40703703704</v>
      </c>
      <c r="C1614" s="1" t="n">
        <v>46105</v>
      </c>
      <c r="D1614" t="inlineStr">
        <is>
          <t>JÄMTLANDS LÄN</t>
        </is>
      </c>
      <c r="E1614" t="inlineStr">
        <is>
          <t>BRÄCKE</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59416-2023</t>
        </is>
      </c>
      <c r="B1615" s="1" t="n">
        <v>45253</v>
      </c>
      <c r="C1615" s="1" t="n">
        <v>46105</v>
      </c>
      <c r="D1615" t="inlineStr">
        <is>
          <t>JÄMTLANDS LÄN</t>
        </is>
      </c>
      <c r="E1615" t="inlineStr">
        <is>
          <t>BRÄCKE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48770-2023</t>
        </is>
      </c>
      <c r="B1616" s="1" t="n">
        <v>45208.9489699074</v>
      </c>
      <c r="C1616" s="1" t="n">
        <v>46105</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53578-2024</t>
        </is>
      </c>
      <c r="B1617" s="1" t="n">
        <v>45614</v>
      </c>
      <c r="C1617" s="1" t="n">
        <v>46105</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7123-2025</t>
        </is>
      </c>
      <c r="B1618" s="1" t="n">
        <v>45702.34427083333</v>
      </c>
      <c r="C1618" s="1" t="n">
        <v>46105</v>
      </c>
      <c r="D1618" t="inlineStr">
        <is>
          <t>JÄMTLANDS LÄN</t>
        </is>
      </c>
      <c r="E1618" t="inlineStr">
        <is>
          <t>BRÄCKE</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33172-2023</t>
        </is>
      </c>
      <c r="B1619" s="1" t="n">
        <v>45126.94283564815</v>
      </c>
      <c r="C1619" s="1" t="n">
        <v>46105</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32229-2023</t>
        </is>
      </c>
      <c r="B1620" s="1" t="n">
        <v>45119.94334490741</v>
      </c>
      <c r="C1620" s="1" t="n">
        <v>46105</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1672-2025</t>
        </is>
      </c>
      <c r="B1621" s="1" t="n">
        <v>45670.6781712963</v>
      </c>
      <c r="C1621" s="1" t="n">
        <v>46105</v>
      </c>
      <c r="D1621" t="inlineStr">
        <is>
          <t>JÄMTLANDS LÄN</t>
        </is>
      </c>
      <c r="E1621" t="inlineStr">
        <is>
          <t>BRÄCKE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41923-2023</t>
        </is>
      </c>
      <c r="B1622" s="1" t="n">
        <v>45176</v>
      </c>
      <c r="C1622" s="1" t="n">
        <v>46105</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58467-2023</t>
        </is>
      </c>
      <c r="B1623" s="1" t="n">
        <v>45250.96192129629</v>
      </c>
      <c r="C1623" s="1" t="n">
        <v>46105</v>
      </c>
      <c r="D1623" t="inlineStr">
        <is>
          <t>JÄMTLANDS LÄN</t>
        </is>
      </c>
      <c r="E1623" t="inlineStr">
        <is>
          <t>BRÄCKE</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35972-2023</t>
        </is>
      </c>
      <c r="B1624" s="1" t="n">
        <v>45148</v>
      </c>
      <c r="C1624" s="1" t="n">
        <v>46105</v>
      </c>
      <c r="D1624" t="inlineStr">
        <is>
          <t>JÄMTLANDS LÄN</t>
        </is>
      </c>
      <c r="E1624" t="inlineStr">
        <is>
          <t>BRÄCKE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8386-2025</t>
        </is>
      </c>
      <c r="B1625" s="1" t="n">
        <v>45709.35850694445</v>
      </c>
      <c r="C1625" s="1" t="n">
        <v>46105</v>
      </c>
      <c r="D1625" t="inlineStr">
        <is>
          <t>JÄMTLANDS LÄN</t>
        </is>
      </c>
      <c r="E1625" t="inlineStr">
        <is>
          <t>BRÄCKE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18965-2025</t>
        </is>
      </c>
      <c r="B1626" s="1" t="n">
        <v>45764.53155092592</v>
      </c>
      <c r="C1626" s="1" t="n">
        <v>46105</v>
      </c>
      <c r="D1626" t="inlineStr">
        <is>
          <t>JÄMTLANDS LÄN</t>
        </is>
      </c>
      <c r="E1626" t="inlineStr">
        <is>
          <t>BRÄCKE</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35766-2023</t>
        </is>
      </c>
      <c r="B1627" s="1" t="n">
        <v>45147</v>
      </c>
      <c r="C1627" s="1" t="n">
        <v>46105</v>
      </c>
      <c r="D1627" t="inlineStr">
        <is>
          <t>JÄMTLANDS LÄN</t>
        </is>
      </c>
      <c r="E1627" t="inlineStr">
        <is>
          <t>BRÄCKE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56499-2023</t>
        </is>
      </c>
      <c r="B1628" s="1" t="n">
        <v>45237</v>
      </c>
      <c r="C1628" s="1" t="n">
        <v>46105</v>
      </c>
      <c r="D1628" t="inlineStr">
        <is>
          <t>JÄMTLANDS LÄN</t>
        </is>
      </c>
      <c r="E1628" t="inlineStr">
        <is>
          <t>BRÄCKE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56525-2023</t>
        </is>
      </c>
      <c r="B1629" s="1" t="n">
        <v>45243.56650462963</v>
      </c>
      <c r="C1629" s="1" t="n">
        <v>46105</v>
      </c>
      <c r="D1629" t="inlineStr">
        <is>
          <t>JÄMTLANDS LÄN</t>
        </is>
      </c>
      <c r="E1629" t="inlineStr">
        <is>
          <t>BRÄCKE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28738-2022</t>
        </is>
      </c>
      <c r="B1630" s="1" t="n">
        <v>44748.94701388889</v>
      </c>
      <c r="C1630" s="1" t="n">
        <v>46105</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46798-2023</t>
        </is>
      </c>
      <c r="B1631" s="1" t="n">
        <v>45198</v>
      </c>
      <c r="C1631" s="1" t="n">
        <v>46105</v>
      </c>
      <c r="D1631" t="inlineStr">
        <is>
          <t>JÄMTLANDS LÄN</t>
        </is>
      </c>
      <c r="E1631" t="inlineStr">
        <is>
          <t>BRÄCKE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52127-2023</t>
        </is>
      </c>
      <c r="B1632" s="1" t="n">
        <v>45223.96543981481</v>
      </c>
      <c r="C1632" s="1" t="n">
        <v>46105</v>
      </c>
      <c r="D1632" t="inlineStr">
        <is>
          <t>JÄMTLANDS LÄN</t>
        </is>
      </c>
      <c r="E1632" t="inlineStr">
        <is>
          <t>BRÄCKE</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54789-2023</t>
        </is>
      </c>
      <c r="B1633" s="1" t="n">
        <v>45236.48659722223</v>
      </c>
      <c r="C1633" s="1" t="n">
        <v>46105</v>
      </c>
      <c r="D1633" t="inlineStr">
        <is>
          <t>JÄMTLANDS LÄN</t>
        </is>
      </c>
      <c r="E1633" t="inlineStr">
        <is>
          <t>BRÄCKE</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24531-2022</t>
        </is>
      </c>
      <c r="B1634" s="1" t="n">
        <v>44726</v>
      </c>
      <c r="C1634" s="1" t="n">
        <v>46105</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4122-2025</t>
        </is>
      </c>
      <c r="B1635" s="1" t="n">
        <v>45685.26828703703</v>
      </c>
      <c r="C1635" s="1" t="n">
        <v>46105</v>
      </c>
      <c r="D1635" t="inlineStr">
        <is>
          <t>JÄMTLANDS LÄN</t>
        </is>
      </c>
      <c r="E1635" t="inlineStr">
        <is>
          <t>BRÄCKE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7943-2025</t>
        </is>
      </c>
      <c r="B1636" s="1" t="n">
        <v>45707.40697916667</v>
      </c>
      <c r="C1636" s="1" t="n">
        <v>46105</v>
      </c>
      <c r="D1636" t="inlineStr">
        <is>
          <t>JÄMTLANDS LÄN</t>
        </is>
      </c>
      <c r="E1636" t="inlineStr">
        <is>
          <t>BRÄCKE</t>
        </is>
      </c>
      <c r="F1636" t="inlineStr">
        <is>
          <t>SCA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24718-2022</t>
        </is>
      </c>
      <c r="B1637" s="1" t="n">
        <v>44727.94221064815</v>
      </c>
      <c r="C1637" s="1" t="n">
        <v>46105</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12732-2025</t>
        </is>
      </c>
      <c r="B1638" s="1" t="n">
        <v>45733.51090277778</v>
      </c>
      <c r="C1638" s="1" t="n">
        <v>46105</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58503-2022</t>
        </is>
      </c>
      <c r="B1639" s="1" t="n">
        <v>44902.38313657408</v>
      </c>
      <c r="C1639" s="1" t="n">
        <v>46105</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52760-2023</t>
        </is>
      </c>
      <c r="B1640" s="1" t="n">
        <v>45225</v>
      </c>
      <c r="C1640" s="1" t="n">
        <v>46105</v>
      </c>
      <c r="D1640" t="inlineStr">
        <is>
          <t>JÄMTLANDS LÄN</t>
        </is>
      </c>
      <c r="E1640" t="inlineStr">
        <is>
          <t>BRÄCKE</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50223-2023</t>
        </is>
      </c>
      <c r="B1641" s="1" t="n">
        <v>45215.94747685185</v>
      </c>
      <c r="C1641" s="1" t="n">
        <v>46105</v>
      </c>
      <c r="D1641" t="inlineStr">
        <is>
          <t>JÄMTLANDS LÄN</t>
        </is>
      </c>
      <c r="E1641" t="inlineStr">
        <is>
          <t>BRÄCKE</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1881-2024</t>
        </is>
      </c>
      <c r="B1642" s="1" t="n">
        <v>45307.96266203704</v>
      </c>
      <c r="C1642" s="1" t="n">
        <v>46105</v>
      </c>
      <c r="D1642" t="inlineStr">
        <is>
          <t>JÄMTLANDS LÄN</t>
        </is>
      </c>
      <c r="E1642" t="inlineStr">
        <is>
          <t>BRÄCKE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44321-2023</t>
        </is>
      </c>
      <c r="B1643" s="1" t="n">
        <v>45188.65484953704</v>
      </c>
      <c r="C1643" s="1" t="n">
        <v>46105</v>
      </c>
      <c r="D1643" t="inlineStr">
        <is>
          <t>JÄMTLANDS LÄN</t>
        </is>
      </c>
      <c r="E1643" t="inlineStr">
        <is>
          <t>BRÄCKE</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44328-2023</t>
        </is>
      </c>
      <c r="B1644" s="1" t="n">
        <v>45188.659375</v>
      </c>
      <c r="C1644" s="1" t="n">
        <v>46105</v>
      </c>
      <c r="D1644" t="inlineStr">
        <is>
          <t>JÄMTLANDS LÄN</t>
        </is>
      </c>
      <c r="E1644" t="inlineStr">
        <is>
          <t>BRÄCKE</t>
        </is>
      </c>
      <c r="F1644" t="inlineStr">
        <is>
          <t>Sveaskog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53047-2023</t>
        </is>
      </c>
      <c r="B1645" s="1" t="n">
        <v>45226.96398148148</v>
      </c>
      <c r="C1645" s="1" t="n">
        <v>46105</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10486-2025</t>
        </is>
      </c>
      <c r="B1646" s="1" t="n">
        <v>45721.34410879629</v>
      </c>
      <c r="C1646" s="1" t="n">
        <v>46105</v>
      </c>
      <c r="D1646" t="inlineStr">
        <is>
          <t>JÄMTLANDS LÄN</t>
        </is>
      </c>
      <c r="E1646" t="inlineStr">
        <is>
          <t>BRÄCKE</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54328-2023</t>
        </is>
      </c>
      <c r="B1647" s="1" t="n">
        <v>45232.95774305556</v>
      </c>
      <c r="C1647" s="1" t="n">
        <v>46105</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59369-2022</t>
        </is>
      </c>
      <c r="B1648" s="1" t="n">
        <v>44904.94859953703</v>
      </c>
      <c r="C1648" s="1" t="n">
        <v>46105</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23687-2022</t>
        </is>
      </c>
      <c r="B1649" s="1" t="n">
        <v>44721</v>
      </c>
      <c r="C1649" s="1" t="n">
        <v>46105</v>
      </c>
      <c r="D1649" t="inlineStr">
        <is>
          <t>JÄMTLANDS LÄN</t>
        </is>
      </c>
      <c r="E1649" t="inlineStr">
        <is>
          <t>BRÄCKE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19386-2025</t>
        </is>
      </c>
      <c r="B1650" s="1" t="n">
        <v>45769.65719907408</v>
      </c>
      <c r="C1650" s="1" t="n">
        <v>46105</v>
      </c>
      <c r="D1650" t="inlineStr">
        <is>
          <t>JÄMTLANDS LÄN</t>
        </is>
      </c>
      <c r="E1650" t="inlineStr">
        <is>
          <t>BRÄCKE</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54524-2022</t>
        </is>
      </c>
      <c r="B1651" s="1" t="n">
        <v>44882.74364583333</v>
      </c>
      <c r="C1651" s="1" t="n">
        <v>46105</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54600-2023</t>
        </is>
      </c>
      <c r="B1652" s="1" t="n">
        <v>45233.95663194444</v>
      </c>
      <c r="C1652" s="1" t="n">
        <v>46105</v>
      </c>
      <c r="D1652" t="inlineStr">
        <is>
          <t>JÄMTLANDS LÄN</t>
        </is>
      </c>
      <c r="E1652" t="inlineStr">
        <is>
          <t>BRÄCKE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47500-2023</t>
        </is>
      </c>
      <c r="B1653" s="1" t="n">
        <v>45202.9425</v>
      </c>
      <c r="C1653" s="1" t="n">
        <v>46105</v>
      </c>
      <c r="D1653" t="inlineStr">
        <is>
          <t>JÄMTLANDS LÄN</t>
        </is>
      </c>
      <c r="E1653" t="inlineStr">
        <is>
          <t>BRÄCKE</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48419-2023</t>
        </is>
      </c>
      <c r="B1654" s="1" t="n">
        <v>45205</v>
      </c>
      <c r="C1654" s="1" t="n">
        <v>46105</v>
      </c>
      <c r="D1654" t="inlineStr">
        <is>
          <t>JÄMTLANDS LÄN</t>
        </is>
      </c>
      <c r="E1654" t="inlineStr">
        <is>
          <t>BRÄCKE</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18047-2025</t>
        </is>
      </c>
      <c r="B1655" s="1" t="n">
        <v>45761.46606481481</v>
      </c>
      <c r="C1655" s="1" t="n">
        <v>46105</v>
      </c>
      <c r="D1655" t="inlineStr">
        <is>
          <t>JÄMTLANDS LÄN</t>
        </is>
      </c>
      <c r="E1655" t="inlineStr">
        <is>
          <t>BRÄCKE</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47486-2023</t>
        </is>
      </c>
      <c r="B1656" s="1" t="n">
        <v>45202.94155092593</v>
      </c>
      <c r="C1656" s="1" t="n">
        <v>46105</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47487-2023</t>
        </is>
      </c>
      <c r="B1657" s="1" t="n">
        <v>45202.94162037037</v>
      </c>
      <c r="C1657" s="1" t="n">
        <v>46105</v>
      </c>
      <c r="D1657" t="inlineStr">
        <is>
          <t>JÄMTLANDS LÄN</t>
        </is>
      </c>
      <c r="E1657" t="inlineStr">
        <is>
          <t>BRÄCKE</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17420-2024</t>
        </is>
      </c>
      <c r="B1658" s="1" t="n">
        <v>45414.96395833333</v>
      </c>
      <c r="C1658" s="1" t="n">
        <v>46105</v>
      </c>
      <c r="D1658" t="inlineStr">
        <is>
          <t>JÄMTLANDS LÄN</t>
        </is>
      </c>
      <c r="E1658" t="inlineStr">
        <is>
          <t>BRÄCKE</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45238.96780092592</v>
      </c>
      <c r="C1659" s="1" t="n">
        <v>46105</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55668-2023</t>
        </is>
      </c>
      <c r="B1660" s="1" t="n">
        <v>45238</v>
      </c>
      <c r="C1660" s="1" t="n">
        <v>46105</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64302-2023</t>
        </is>
      </c>
      <c r="B1661" s="1" t="n">
        <v>45280</v>
      </c>
      <c r="C1661" s="1" t="n">
        <v>46105</v>
      </c>
      <c r="D1661" t="inlineStr">
        <is>
          <t>JÄMTLANDS LÄN</t>
        </is>
      </c>
      <c r="E1661" t="inlineStr">
        <is>
          <t>BRÄCKE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59586-2023</t>
        </is>
      </c>
      <c r="B1662" s="1" t="n">
        <v>45254.61172453704</v>
      </c>
      <c r="C1662" s="1" t="n">
        <v>46105</v>
      </c>
      <c r="D1662" t="inlineStr">
        <is>
          <t>JÄMTLANDS LÄN</t>
        </is>
      </c>
      <c r="E1662" t="inlineStr">
        <is>
          <t>BRÄCKE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56047-2024</t>
        </is>
      </c>
      <c r="B1663" s="1" t="n">
        <v>45624.34450231482</v>
      </c>
      <c r="C1663" s="1" t="n">
        <v>46105</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57783-2023</t>
        </is>
      </c>
      <c r="B1664" s="1" t="n">
        <v>45246.96743055555</v>
      </c>
      <c r="C1664" s="1" t="n">
        <v>46105</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57798-2023</t>
        </is>
      </c>
      <c r="B1665" s="1" t="n">
        <v>45246.96893518518</v>
      </c>
      <c r="C1665" s="1" t="n">
        <v>46105</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10103-2025</t>
        </is>
      </c>
      <c r="B1666" s="1" t="n">
        <v>45719.57978009259</v>
      </c>
      <c r="C1666" s="1" t="n">
        <v>46105</v>
      </c>
      <c r="D1666" t="inlineStr">
        <is>
          <t>JÄMTLANDS LÄN</t>
        </is>
      </c>
      <c r="E1666" t="inlineStr">
        <is>
          <t>BRÄCKE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43789-2022</t>
        </is>
      </c>
      <c r="B1667" s="1" t="n">
        <v>44837</v>
      </c>
      <c r="C1667" s="1" t="n">
        <v>46105</v>
      </c>
      <c r="D1667" t="inlineStr">
        <is>
          <t>JÄMTLANDS LÄN</t>
        </is>
      </c>
      <c r="E1667" t="inlineStr">
        <is>
          <t>BRÄCKE</t>
        </is>
      </c>
      <c r="F1667" t="inlineStr">
        <is>
          <t>SCA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8853-2025</t>
        </is>
      </c>
      <c r="B1668" s="1" t="n">
        <v>45713.34482638889</v>
      </c>
      <c r="C1668" s="1" t="n">
        <v>46105</v>
      </c>
      <c r="D1668" t="inlineStr">
        <is>
          <t>JÄMTLANDS LÄN</t>
        </is>
      </c>
      <c r="E1668" t="inlineStr">
        <is>
          <t>BRÄCKE</t>
        </is>
      </c>
      <c r="F1668" t="inlineStr">
        <is>
          <t>SCA</t>
        </is>
      </c>
      <c r="G1668" t="n">
        <v>15.7</v>
      </c>
      <c r="H1668" t="n">
        <v>0</v>
      </c>
      <c r="I1668" t="n">
        <v>0</v>
      </c>
      <c r="J1668" t="n">
        <v>0</v>
      </c>
      <c r="K1668" t="n">
        <v>0</v>
      </c>
      <c r="L1668" t="n">
        <v>0</v>
      </c>
      <c r="M1668" t="n">
        <v>0</v>
      </c>
      <c r="N1668" t="n">
        <v>0</v>
      </c>
      <c r="O1668" t="n">
        <v>0</v>
      </c>
      <c r="P1668" t="n">
        <v>0</v>
      </c>
      <c r="Q1668" t="n">
        <v>0</v>
      </c>
      <c r="R1668" s="2" t="inlineStr"/>
    </row>
    <row r="1669" ht="15" customHeight="1">
      <c r="A1669" t="inlineStr">
        <is>
          <t>A 9706-2025</t>
        </is>
      </c>
      <c r="B1669" s="1" t="n">
        <v>45716.3858912037</v>
      </c>
      <c r="C1669" s="1" t="n">
        <v>46105</v>
      </c>
      <c r="D1669" t="inlineStr">
        <is>
          <t>JÄMTLANDS LÄN</t>
        </is>
      </c>
      <c r="E1669" t="inlineStr">
        <is>
          <t>BRÄCKE</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8958-2023</t>
        </is>
      </c>
      <c r="B1670" s="1" t="n">
        <v>44979.47976851852</v>
      </c>
      <c r="C1670" s="1" t="n">
        <v>46105</v>
      </c>
      <c r="D1670" t="inlineStr">
        <is>
          <t>JÄMTLANDS LÄN</t>
        </is>
      </c>
      <c r="E1670" t="inlineStr">
        <is>
          <t>BRÄCKE</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18255-2025</t>
        </is>
      </c>
      <c r="B1671" s="1" t="n">
        <v>45762.3446412037</v>
      </c>
      <c r="C1671" s="1" t="n">
        <v>46105</v>
      </c>
      <c r="D1671" t="inlineStr">
        <is>
          <t>JÄMTLANDS LÄN</t>
        </is>
      </c>
      <c r="E1671" t="inlineStr">
        <is>
          <t>BRÄCKE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45225.96831018518</v>
      </c>
      <c r="C1672" s="1" t="n">
        <v>46105</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10857-2024</t>
        </is>
      </c>
      <c r="B1673" s="1" t="n">
        <v>45370.01916666667</v>
      </c>
      <c r="C1673" s="1" t="n">
        <v>46105</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58083-2023</t>
        </is>
      </c>
      <c r="B1674" s="1" t="n">
        <v>45247</v>
      </c>
      <c r="C1674" s="1" t="n">
        <v>46105</v>
      </c>
      <c r="D1674" t="inlineStr">
        <is>
          <t>JÄMTLANDS LÄN</t>
        </is>
      </c>
      <c r="E1674" t="inlineStr">
        <is>
          <t>BRÄCKE</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20514-2024</t>
        </is>
      </c>
      <c r="B1675" s="1" t="n">
        <v>45435.94387731481</v>
      </c>
      <c r="C1675" s="1" t="n">
        <v>46105</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39930-2022</t>
        </is>
      </c>
      <c r="B1676" s="1" t="n">
        <v>44819</v>
      </c>
      <c r="C1676" s="1" t="n">
        <v>46105</v>
      </c>
      <c r="D1676" t="inlineStr">
        <is>
          <t>JÄMTLANDS LÄN</t>
        </is>
      </c>
      <c r="E1676" t="inlineStr">
        <is>
          <t>BRÄCKE</t>
        </is>
      </c>
      <c r="F1676" t="inlineStr">
        <is>
          <t>SCA</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12524-2025</t>
        </is>
      </c>
      <c r="B1677" s="1" t="n">
        <v>45730.6775462963</v>
      </c>
      <c r="C1677" s="1" t="n">
        <v>46105</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12553-2025</t>
        </is>
      </c>
      <c r="B1678" s="1" t="n">
        <v>45731.34431712963</v>
      </c>
      <c r="C1678" s="1" t="n">
        <v>46105</v>
      </c>
      <c r="D1678" t="inlineStr">
        <is>
          <t>JÄMTLANDS LÄN</t>
        </is>
      </c>
      <c r="E1678" t="inlineStr">
        <is>
          <t>BRÄCKE</t>
        </is>
      </c>
      <c r="F1678" t="inlineStr">
        <is>
          <t>SCA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43785-2022</t>
        </is>
      </c>
      <c r="B1679" s="1" t="n">
        <v>44837</v>
      </c>
      <c r="C1679" s="1" t="n">
        <v>46105</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59914-2022</t>
        </is>
      </c>
      <c r="B1680" s="1" t="n">
        <v>44908.96010416667</v>
      </c>
      <c r="C1680" s="1" t="n">
        <v>46105</v>
      </c>
      <c r="D1680" t="inlineStr">
        <is>
          <t>JÄMTLANDS LÄN</t>
        </is>
      </c>
      <c r="E1680" t="inlineStr">
        <is>
          <t>BRÄCKE</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17577-2022</t>
        </is>
      </c>
      <c r="B1681" s="1" t="n">
        <v>44679</v>
      </c>
      <c r="C1681" s="1" t="n">
        <v>46105</v>
      </c>
      <c r="D1681" t="inlineStr">
        <is>
          <t>JÄMTLANDS LÄN</t>
        </is>
      </c>
      <c r="E1681" t="inlineStr">
        <is>
          <t>BRÄCKE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40791-2024</t>
        </is>
      </c>
      <c r="B1682" s="1" t="n">
        <v>45558.50222222223</v>
      </c>
      <c r="C1682" s="1" t="n">
        <v>46105</v>
      </c>
      <c r="D1682" t="inlineStr">
        <is>
          <t>JÄMTLANDS LÄN</t>
        </is>
      </c>
      <c r="E1682" t="inlineStr">
        <is>
          <t>BRÄCKE</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64034-2023</t>
        </is>
      </c>
      <c r="B1683" s="1" t="n">
        <v>45278.94321759259</v>
      </c>
      <c r="C1683" s="1" t="n">
        <v>46105</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3389-2024</t>
        </is>
      </c>
      <c r="B1684" s="1" t="n">
        <v>45317.9409837963</v>
      </c>
      <c r="C1684" s="1" t="n">
        <v>46105</v>
      </c>
      <c r="D1684" t="inlineStr">
        <is>
          <t>JÄMTLANDS LÄN</t>
        </is>
      </c>
      <c r="E1684" t="inlineStr">
        <is>
          <t>BRÄCKE</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64266-2023</t>
        </is>
      </c>
      <c r="B1685" s="1" t="n">
        <v>45279.94579861111</v>
      </c>
      <c r="C1685" s="1" t="n">
        <v>46105</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60435-2023</t>
        </is>
      </c>
      <c r="B1686" s="1" t="n">
        <v>45258</v>
      </c>
      <c r="C1686" s="1" t="n">
        <v>46105</v>
      </c>
      <c r="D1686" t="inlineStr">
        <is>
          <t>JÄMTLANDS LÄN</t>
        </is>
      </c>
      <c r="E1686" t="inlineStr">
        <is>
          <t>BRÄCKE</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57417-2023</t>
        </is>
      </c>
      <c r="B1687" s="1" t="n">
        <v>45245.96966435185</v>
      </c>
      <c r="C1687" s="1" t="n">
        <v>46105</v>
      </c>
      <c r="D1687" t="inlineStr">
        <is>
          <t>JÄMTLANDS LÄN</t>
        </is>
      </c>
      <c r="E1687" t="inlineStr">
        <is>
          <t>BRÄCKE</t>
        </is>
      </c>
      <c r="F1687" t="inlineStr">
        <is>
          <t>SCA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14630-2025</t>
        </is>
      </c>
      <c r="B1688" s="1" t="n">
        <v>45742.42767361111</v>
      </c>
      <c r="C1688" s="1" t="n">
        <v>46105</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58079-2023</t>
        </is>
      </c>
      <c r="B1689" s="1" t="n">
        <v>45247.96510416667</v>
      </c>
      <c r="C1689" s="1" t="n">
        <v>46105</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39937-2022</t>
        </is>
      </c>
      <c r="B1690" s="1" t="n">
        <v>44819.9487962963</v>
      </c>
      <c r="C1690" s="1" t="n">
        <v>46105</v>
      </c>
      <c r="D1690" t="inlineStr">
        <is>
          <t>JÄMTLANDS LÄN</t>
        </is>
      </c>
      <c r="E1690" t="inlineStr">
        <is>
          <t>BRÄCKE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35398-2024</t>
        </is>
      </c>
      <c r="B1691" s="1" t="n">
        <v>45531.40420138889</v>
      </c>
      <c r="C1691" s="1" t="n">
        <v>46105</v>
      </c>
      <c r="D1691" t="inlineStr">
        <is>
          <t>JÄMTLANDS LÄN</t>
        </is>
      </c>
      <c r="E1691" t="inlineStr">
        <is>
          <t>BRÄCKE</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37504-2023</t>
        </is>
      </c>
      <c r="B1692" s="1" t="n">
        <v>45157.59725694444</v>
      </c>
      <c r="C1692" s="1" t="n">
        <v>46105</v>
      </c>
      <c r="D1692" t="inlineStr">
        <is>
          <t>JÄMTLANDS LÄN</t>
        </is>
      </c>
      <c r="E1692" t="inlineStr">
        <is>
          <t>BRÄCKE</t>
        </is>
      </c>
      <c r="F1692" t="inlineStr">
        <is>
          <t>Sveaskog</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46939-2023</t>
        </is>
      </c>
      <c r="B1693" s="1" t="n">
        <v>45195</v>
      </c>
      <c r="C1693" s="1" t="n">
        <v>46105</v>
      </c>
      <c r="D1693" t="inlineStr">
        <is>
          <t>JÄMTLANDS LÄN</t>
        </is>
      </c>
      <c r="E1693" t="inlineStr">
        <is>
          <t>BRÄCKE</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14838-2025</t>
        </is>
      </c>
      <c r="B1694" s="1" t="n">
        <v>45743.38582175926</v>
      </c>
      <c r="C1694" s="1" t="n">
        <v>46105</v>
      </c>
      <c r="D1694" t="inlineStr">
        <is>
          <t>JÄMTLANDS LÄN</t>
        </is>
      </c>
      <c r="E1694" t="inlineStr">
        <is>
          <t>BRÄCKE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31520-2022</t>
        </is>
      </c>
      <c r="B1695" s="1" t="n">
        <v>44774.94930555556</v>
      </c>
      <c r="C1695" s="1" t="n">
        <v>46105</v>
      </c>
      <c r="D1695" t="inlineStr">
        <is>
          <t>JÄMTLANDS LÄN</t>
        </is>
      </c>
      <c r="E1695" t="inlineStr">
        <is>
          <t>BRÄCKE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36392-2022</t>
        </is>
      </c>
      <c r="B1696" s="1" t="n">
        <v>44803.94673611111</v>
      </c>
      <c r="C1696" s="1" t="n">
        <v>46105</v>
      </c>
      <c r="D1696" t="inlineStr">
        <is>
          <t>JÄMTLANDS LÄN</t>
        </is>
      </c>
      <c r="E1696" t="inlineStr">
        <is>
          <t>BRÄCKE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1347-2025</t>
        </is>
      </c>
      <c r="B1697" s="1" t="n">
        <v>45667.61490740741</v>
      </c>
      <c r="C1697" s="1" t="n">
        <v>46105</v>
      </c>
      <c r="D1697" t="inlineStr">
        <is>
          <t>JÄMTLANDS LÄN</t>
        </is>
      </c>
      <c r="E1697" t="inlineStr">
        <is>
          <t>BRÄCKE</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4904-2025</t>
        </is>
      </c>
      <c r="B1698" s="1" t="n">
        <v>45688.68020833333</v>
      </c>
      <c r="C1698" s="1" t="n">
        <v>46105</v>
      </c>
      <c r="D1698" t="inlineStr">
        <is>
          <t>JÄMTLANDS LÄN</t>
        </is>
      </c>
      <c r="E1698" t="inlineStr">
        <is>
          <t>BRÄCKE</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40313-2021</t>
        </is>
      </c>
      <c r="B1699" s="1" t="n">
        <v>44419.50186342592</v>
      </c>
      <c r="C1699" s="1" t="n">
        <v>46105</v>
      </c>
      <c r="D1699" t="inlineStr">
        <is>
          <t>JÄMTLANDS LÄN</t>
        </is>
      </c>
      <c r="E1699" t="inlineStr">
        <is>
          <t>BRÄCKE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34138-2023</t>
        </is>
      </c>
      <c r="B1700" s="1" t="n">
        <v>45135</v>
      </c>
      <c r="C1700" s="1" t="n">
        <v>46105</v>
      </c>
      <c r="D1700" t="inlineStr">
        <is>
          <t>JÄMTLANDS LÄN</t>
        </is>
      </c>
      <c r="E1700" t="inlineStr">
        <is>
          <t>BRÄCKE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51270-2022</t>
        </is>
      </c>
      <c r="B1701" s="1" t="n">
        <v>44866</v>
      </c>
      <c r="C1701" s="1" t="n">
        <v>46105</v>
      </c>
      <c r="D1701" t="inlineStr">
        <is>
          <t>JÄMTLANDS LÄN</t>
        </is>
      </c>
      <c r="E1701" t="inlineStr">
        <is>
          <t>BRÄCKE</t>
        </is>
      </c>
      <c r="F1701" t="inlineStr">
        <is>
          <t>Kommuner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15262-2025</t>
        </is>
      </c>
      <c r="B1702" s="1" t="n">
        <v>45744.65693287037</v>
      </c>
      <c r="C1702" s="1" t="n">
        <v>46105</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58728-2022</t>
        </is>
      </c>
      <c r="B1703" s="1" t="n">
        <v>44902</v>
      </c>
      <c r="C1703" s="1" t="n">
        <v>46105</v>
      </c>
      <c r="D1703" t="inlineStr">
        <is>
          <t>JÄMTLANDS LÄN</t>
        </is>
      </c>
      <c r="E1703" t="inlineStr">
        <is>
          <t>BRÄCKE</t>
        </is>
      </c>
      <c r="G1703" t="n">
        <v>21.5</v>
      </c>
      <c r="H1703" t="n">
        <v>0</v>
      </c>
      <c r="I1703" t="n">
        <v>0</v>
      </c>
      <c r="J1703" t="n">
        <v>0</v>
      </c>
      <c r="K1703" t="n">
        <v>0</v>
      </c>
      <c r="L1703" t="n">
        <v>0</v>
      </c>
      <c r="M1703" t="n">
        <v>0</v>
      </c>
      <c r="N1703" t="n">
        <v>0</v>
      </c>
      <c r="O1703" t="n">
        <v>0</v>
      </c>
      <c r="P1703" t="n">
        <v>0</v>
      </c>
      <c r="Q1703" t="n">
        <v>0</v>
      </c>
      <c r="R1703" s="2" t="inlineStr"/>
    </row>
    <row r="1704" ht="15" customHeight="1">
      <c r="A1704" t="inlineStr">
        <is>
          <t>A 51195-2024</t>
        </is>
      </c>
      <c r="B1704" s="1" t="n">
        <v>45603.61532407408</v>
      </c>
      <c r="C1704" s="1" t="n">
        <v>46105</v>
      </c>
      <c r="D1704" t="inlineStr">
        <is>
          <t>JÄMTLANDS LÄN</t>
        </is>
      </c>
      <c r="E1704" t="inlineStr">
        <is>
          <t>BRÄCKE</t>
        </is>
      </c>
      <c r="F1704" t="inlineStr">
        <is>
          <t>SCA</t>
        </is>
      </c>
      <c r="G1704" t="n">
        <v>17.4</v>
      </c>
      <c r="H1704" t="n">
        <v>0</v>
      </c>
      <c r="I1704" t="n">
        <v>0</v>
      </c>
      <c r="J1704" t="n">
        <v>0</v>
      </c>
      <c r="K1704" t="n">
        <v>0</v>
      </c>
      <c r="L1704" t="n">
        <v>0</v>
      </c>
      <c r="M1704" t="n">
        <v>0</v>
      </c>
      <c r="N1704" t="n">
        <v>0</v>
      </c>
      <c r="O1704" t="n">
        <v>0</v>
      </c>
      <c r="P1704" t="n">
        <v>0</v>
      </c>
      <c r="Q1704" t="n">
        <v>0</v>
      </c>
      <c r="R1704" s="2" t="inlineStr"/>
    </row>
    <row r="1705" ht="15" customHeight="1">
      <c r="A1705" t="inlineStr">
        <is>
          <t>A 50522-2024</t>
        </is>
      </c>
      <c r="B1705" s="1" t="n">
        <v>45601.55399305555</v>
      </c>
      <c r="C1705" s="1" t="n">
        <v>46105</v>
      </c>
      <c r="D1705" t="inlineStr">
        <is>
          <t>JÄMTLANDS LÄN</t>
        </is>
      </c>
      <c r="E1705" t="inlineStr">
        <is>
          <t>BRÄCKE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23443-2022</t>
        </is>
      </c>
      <c r="B1706" s="1" t="n">
        <v>44720.94112268519</v>
      </c>
      <c r="C1706" s="1" t="n">
        <v>46105</v>
      </c>
      <c r="D1706" t="inlineStr">
        <is>
          <t>JÄMTLANDS LÄN</t>
        </is>
      </c>
      <c r="E1706" t="inlineStr">
        <is>
          <t>BRÄCKE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58078-2023</t>
        </is>
      </c>
      <c r="B1707" s="1" t="n">
        <v>45247.965</v>
      </c>
      <c r="C1707" s="1" t="n">
        <v>46105</v>
      </c>
      <c r="D1707" t="inlineStr">
        <is>
          <t>JÄMTLANDS LÄN</t>
        </is>
      </c>
      <c r="E1707" t="inlineStr">
        <is>
          <t>BRÄCKE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52983-2022</t>
        </is>
      </c>
      <c r="B1708" s="1" t="n">
        <v>44875.92745370371</v>
      </c>
      <c r="C1708" s="1" t="n">
        <v>46105</v>
      </c>
      <c r="D1708" t="inlineStr">
        <is>
          <t>JÄMTLANDS LÄN</t>
        </is>
      </c>
      <c r="E1708" t="inlineStr">
        <is>
          <t>BRÄCKE</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60015-2021</t>
        </is>
      </c>
      <c r="B1709" s="1" t="n">
        <v>44494.94096064815</v>
      </c>
      <c r="C1709" s="1" t="n">
        <v>46105</v>
      </c>
      <c r="D1709" t="inlineStr">
        <is>
          <t>JÄMTLANDS LÄN</t>
        </is>
      </c>
      <c r="E1709" t="inlineStr">
        <is>
          <t>BRÄCKE</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38862-2024</t>
        </is>
      </c>
      <c r="B1710" s="1" t="n">
        <v>45547.63063657407</v>
      </c>
      <c r="C1710" s="1" t="n">
        <v>46105</v>
      </c>
      <c r="D1710" t="inlineStr">
        <is>
          <t>JÄMTLANDS LÄN</t>
        </is>
      </c>
      <c r="E1710" t="inlineStr">
        <is>
          <t>BRÄCKE</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52022-2022</t>
        </is>
      </c>
      <c r="B1711" s="1" t="n">
        <v>44872.95662037037</v>
      </c>
      <c r="C1711" s="1" t="n">
        <v>46105</v>
      </c>
      <c r="D1711" t="inlineStr">
        <is>
          <t>JÄMTLANDS LÄN</t>
        </is>
      </c>
      <c r="E1711" t="inlineStr">
        <is>
          <t>BRÄCKE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44753-2022</t>
        </is>
      </c>
      <c r="B1712" s="1" t="n">
        <v>44840</v>
      </c>
      <c r="C1712" s="1" t="n">
        <v>46105</v>
      </c>
      <c r="D1712" t="inlineStr">
        <is>
          <t>JÄMTLANDS LÄN</t>
        </is>
      </c>
      <c r="E1712" t="inlineStr">
        <is>
          <t>BRÄCKE</t>
        </is>
      </c>
      <c r="F1712" t="inlineStr">
        <is>
          <t>SCA</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23013-2021</t>
        </is>
      </c>
      <c r="B1713" s="1" t="n">
        <v>44328</v>
      </c>
      <c r="C1713" s="1" t="n">
        <v>46105</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6345-2023</t>
        </is>
      </c>
      <c r="B1714" s="1" t="n">
        <v>44960</v>
      </c>
      <c r="C1714" s="1" t="n">
        <v>46105</v>
      </c>
      <c r="D1714" t="inlineStr">
        <is>
          <t>JÄMTLANDS LÄN</t>
        </is>
      </c>
      <c r="E1714" t="inlineStr">
        <is>
          <t>BRÄCKE</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28077-2024</t>
        </is>
      </c>
      <c r="B1715" s="1" t="n">
        <v>45476.58508101852</v>
      </c>
      <c r="C1715" s="1" t="n">
        <v>46105</v>
      </c>
      <c r="D1715" t="inlineStr">
        <is>
          <t>JÄMTLANDS LÄN</t>
        </is>
      </c>
      <c r="E1715" t="inlineStr">
        <is>
          <t>BRÄCKE</t>
        </is>
      </c>
      <c r="G1715" t="n">
        <v>18.3</v>
      </c>
      <c r="H1715" t="n">
        <v>0</v>
      </c>
      <c r="I1715" t="n">
        <v>0</v>
      </c>
      <c r="J1715" t="n">
        <v>0</v>
      </c>
      <c r="K1715" t="n">
        <v>0</v>
      </c>
      <c r="L1715" t="n">
        <v>0</v>
      </c>
      <c r="M1715" t="n">
        <v>0</v>
      </c>
      <c r="N1715" t="n">
        <v>0</v>
      </c>
      <c r="O1715" t="n">
        <v>0</v>
      </c>
      <c r="P1715" t="n">
        <v>0</v>
      </c>
      <c r="Q1715" t="n">
        <v>0</v>
      </c>
      <c r="R1715" s="2" t="inlineStr"/>
    </row>
    <row r="1716" ht="15" customHeight="1">
      <c r="A1716" t="inlineStr">
        <is>
          <t>A 29028-2024</t>
        </is>
      </c>
      <c r="B1716" s="1" t="n">
        <v>45481.59387731482</v>
      </c>
      <c r="C1716" s="1" t="n">
        <v>46105</v>
      </c>
      <c r="D1716" t="inlineStr">
        <is>
          <t>JÄMTLANDS LÄN</t>
        </is>
      </c>
      <c r="E1716" t="inlineStr">
        <is>
          <t>BRÄCKE</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1799-2024</t>
        </is>
      </c>
      <c r="B1717" s="1" t="n">
        <v>45307</v>
      </c>
      <c r="C1717" s="1" t="n">
        <v>46105</v>
      </c>
      <c r="D1717" t="inlineStr">
        <is>
          <t>JÄMTLANDS LÄN</t>
        </is>
      </c>
      <c r="E1717" t="inlineStr">
        <is>
          <t>BRÄCKE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55976-2024</t>
        </is>
      </c>
      <c r="B1718" s="1" t="n">
        <v>45623.65659722222</v>
      </c>
      <c r="C1718" s="1" t="n">
        <v>46105</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19667-2025</t>
        </is>
      </c>
      <c r="B1719" s="1" t="n">
        <v>45770.69820601852</v>
      </c>
      <c r="C1719" s="1" t="n">
        <v>46105</v>
      </c>
      <c r="D1719" t="inlineStr">
        <is>
          <t>JÄMTLANDS LÄN</t>
        </is>
      </c>
      <c r="E1719" t="inlineStr">
        <is>
          <t>BRÄCKE</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27280-2024</t>
        </is>
      </c>
      <c r="B1720" s="1" t="n">
        <v>45471.92576388889</v>
      </c>
      <c r="C1720" s="1" t="n">
        <v>46105</v>
      </c>
      <c r="D1720" t="inlineStr">
        <is>
          <t>JÄMTLANDS LÄN</t>
        </is>
      </c>
      <c r="E1720" t="inlineStr">
        <is>
          <t>BRÄCKE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65433-2021</t>
        </is>
      </c>
      <c r="B1721" s="1" t="n">
        <v>44515.93875</v>
      </c>
      <c r="C1721" s="1" t="n">
        <v>46105</v>
      </c>
      <c r="D1721" t="inlineStr">
        <is>
          <t>JÄMTLANDS LÄN</t>
        </is>
      </c>
      <c r="E1721" t="inlineStr">
        <is>
          <t>BRÄCKE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41314-2024</t>
        </is>
      </c>
      <c r="B1722" s="1" t="n">
        <v>45559.63613425926</v>
      </c>
      <c r="C1722" s="1" t="n">
        <v>46105</v>
      </c>
      <c r="D1722" t="inlineStr">
        <is>
          <t>JÄMTLANDS LÄN</t>
        </is>
      </c>
      <c r="E1722" t="inlineStr">
        <is>
          <t>BRÄCKE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59910-2022</t>
        </is>
      </c>
      <c r="B1723" s="1" t="n">
        <v>44908</v>
      </c>
      <c r="C1723" s="1" t="n">
        <v>46105</v>
      </c>
      <c r="D1723" t="inlineStr">
        <is>
          <t>JÄMTLANDS LÄN</t>
        </is>
      </c>
      <c r="E1723" t="inlineStr">
        <is>
          <t>BRÄCKE</t>
        </is>
      </c>
      <c r="F1723" t="inlineStr">
        <is>
          <t>SCA</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59915-2022</t>
        </is>
      </c>
      <c r="B1724" s="1" t="n">
        <v>44908.96019675926</v>
      </c>
      <c r="C1724" s="1" t="n">
        <v>46105</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56641-2022</t>
        </is>
      </c>
      <c r="B1725" s="1" t="n">
        <v>44893</v>
      </c>
      <c r="C1725" s="1" t="n">
        <v>46105</v>
      </c>
      <c r="D1725" t="inlineStr">
        <is>
          <t>JÄMTLANDS LÄN</t>
        </is>
      </c>
      <c r="E1725" t="inlineStr">
        <is>
          <t>BRÄCKE</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9553-2024</t>
        </is>
      </c>
      <c r="B1726" s="1" t="n">
        <v>45360.03491898148</v>
      </c>
      <c r="C1726" s="1" t="n">
        <v>46105</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31888-2024</t>
        </is>
      </c>
      <c r="B1727" s="1" t="n">
        <v>45509</v>
      </c>
      <c r="C1727" s="1" t="n">
        <v>46105</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10815-2022</t>
        </is>
      </c>
      <c r="B1728" s="1" t="n">
        <v>44627</v>
      </c>
      <c r="C1728" s="1" t="n">
        <v>46105</v>
      </c>
      <c r="D1728" t="inlineStr">
        <is>
          <t>JÄMTLANDS LÄN</t>
        </is>
      </c>
      <c r="E1728" t="inlineStr">
        <is>
          <t>BRÄCKE</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53407-2022</t>
        </is>
      </c>
      <c r="B1729" s="1" t="n">
        <v>44874</v>
      </c>
      <c r="C1729" s="1" t="n">
        <v>46105</v>
      </c>
      <c r="D1729" t="inlineStr">
        <is>
          <t>JÄMTLANDS LÄN</t>
        </is>
      </c>
      <c r="E1729" t="inlineStr">
        <is>
          <t>BRÄCKE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60325-2021</t>
        </is>
      </c>
      <c r="B1730" s="1" t="n">
        <v>44495.94054398148</v>
      </c>
      <c r="C1730" s="1" t="n">
        <v>46105</v>
      </c>
      <c r="D1730" t="inlineStr">
        <is>
          <t>JÄMTLANDS LÄN</t>
        </is>
      </c>
      <c r="E1730" t="inlineStr">
        <is>
          <t>BRÄCKE</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29314-2021</t>
        </is>
      </c>
      <c r="B1731" s="1" t="n">
        <v>44361</v>
      </c>
      <c r="C1731" s="1" t="n">
        <v>46105</v>
      </c>
      <c r="D1731" t="inlineStr">
        <is>
          <t>JÄMTLANDS LÄN</t>
        </is>
      </c>
      <c r="E1731" t="inlineStr">
        <is>
          <t>BRÄCKE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43910-2023</t>
        </is>
      </c>
      <c r="B1732" s="1" t="n">
        <v>45182</v>
      </c>
      <c r="C1732" s="1" t="n">
        <v>46105</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11830-2024</t>
        </is>
      </c>
      <c r="B1733" s="1" t="n">
        <v>45376.35451388889</v>
      </c>
      <c r="C1733" s="1" t="n">
        <v>46105</v>
      </c>
      <c r="D1733" t="inlineStr">
        <is>
          <t>JÄMTLANDS LÄN</t>
        </is>
      </c>
      <c r="E1733" t="inlineStr">
        <is>
          <t>BRÄCKE</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46105</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41738-2023</t>
        </is>
      </c>
      <c r="B1735" s="1" t="n">
        <v>45176.418125</v>
      </c>
      <c r="C1735" s="1" t="n">
        <v>46105</v>
      </c>
      <c r="D1735" t="inlineStr">
        <is>
          <t>JÄMTLANDS LÄN</t>
        </is>
      </c>
      <c r="E1735" t="inlineStr">
        <is>
          <t>BRÄCKE</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7027-2022</t>
        </is>
      </c>
      <c r="B1736" s="1" t="n">
        <v>44603.46644675926</v>
      </c>
      <c r="C1736" s="1" t="n">
        <v>46105</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45414-2024</t>
        </is>
      </c>
      <c r="B1737" s="1" t="n">
        <v>45576.5943287037</v>
      </c>
      <c r="C1737" s="1" t="n">
        <v>46105</v>
      </c>
      <c r="D1737" t="inlineStr">
        <is>
          <t>JÄMTLANDS LÄN</t>
        </is>
      </c>
      <c r="E1737" t="inlineStr">
        <is>
          <t>BRÄCKE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54451-2023</t>
        </is>
      </c>
      <c r="B1738" s="1" t="n">
        <v>45233.44581018519</v>
      </c>
      <c r="C1738" s="1" t="n">
        <v>46105</v>
      </c>
      <c r="D1738" t="inlineStr">
        <is>
          <t>JÄMTLANDS LÄN</t>
        </is>
      </c>
      <c r="E1738" t="inlineStr">
        <is>
          <t>BRÄCKE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33538-2021</t>
        </is>
      </c>
      <c r="B1739" s="1" t="n">
        <v>44377</v>
      </c>
      <c r="C1739" s="1" t="n">
        <v>46105</v>
      </c>
      <c r="D1739" t="inlineStr">
        <is>
          <t>JÄMTLANDS LÄN</t>
        </is>
      </c>
      <c r="E1739" t="inlineStr">
        <is>
          <t>BRÄCKE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20265-2023</t>
        </is>
      </c>
      <c r="B1740" s="1" t="n">
        <v>45055.94337962963</v>
      </c>
      <c r="C1740" s="1" t="n">
        <v>46105</v>
      </c>
      <c r="D1740" t="inlineStr">
        <is>
          <t>JÄMTLANDS LÄN</t>
        </is>
      </c>
      <c r="E1740" t="inlineStr">
        <is>
          <t>BRÄCKE</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22981-2024</t>
        </is>
      </c>
      <c r="B1741" s="1" t="n">
        <v>45449.90369212963</v>
      </c>
      <c r="C1741" s="1" t="n">
        <v>46105</v>
      </c>
      <c r="D1741" t="inlineStr">
        <is>
          <t>JÄMTLANDS LÄN</t>
        </is>
      </c>
      <c r="E1741" t="inlineStr">
        <is>
          <t>BRÄCKE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12036-2023</t>
        </is>
      </c>
      <c r="B1742" s="1" t="n">
        <v>44995</v>
      </c>
      <c r="C1742" s="1" t="n">
        <v>46105</v>
      </c>
      <c r="D1742" t="inlineStr">
        <is>
          <t>JÄMTLANDS LÄN</t>
        </is>
      </c>
      <c r="E1742" t="inlineStr">
        <is>
          <t>BRÄCKE</t>
        </is>
      </c>
      <c r="G1742" t="n">
        <v>16.3</v>
      </c>
      <c r="H1742" t="n">
        <v>0</v>
      </c>
      <c r="I1742" t="n">
        <v>0</v>
      </c>
      <c r="J1742" t="n">
        <v>0</v>
      </c>
      <c r="K1742" t="n">
        <v>0</v>
      </c>
      <c r="L1742" t="n">
        <v>0</v>
      </c>
      <c r="M1742" t="n">
        <v>0</v>
      </c>
      <c r="N1742" t="n">
        <v>0</v>
      </c>
      <c r="O1742" t="n">
        <v>0</v>
      </c>
      <c r="P1742" t="n">
        <v>0</v>
      </c>
      <c r="Q1742" t="n">
        <v>0</v>
      </c>
      <c r="R1742" s="2" t="inlineStr"/>
    </row>
    <row r="1743" ht="15" customHeight="1">
      <c r="A1743" t="inlineStr">
        <is>
          <t>A 46860-2023</t>
        </is>
      </c>
      <c r="B1743" s="1" t="n">
        <v>45200.12724537037</v>
      </c>
      <c r="C1743" s="1" t="n">
        <v>46105</v>
      </c>
      <c r="D1743" t="inlineStr">
        <is>
          <t>JÄMTLANDS LÄN</t>
        </is>
      </c>
      <c r="E1743" t="inlineStr">
        <is>
          <t>BRÄCKE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21183-2023</t>
        </is>
      </c>
      <c r="B1744" s="1" t="n">
        <v>45058</v>
      </c>
      <c r="C1744" s="1" t="n">
        <v>46105</v>
      </c>
      <c r="D1744" t="inlineStr">
        <is>
          <t>JÄMTLANDS LÄN</t>
        </is>
      </c>
      <c r="E1744" t="inlineStr">
        <is>
          <t>BRÄCKE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30592-2021</t>
        </is>
      </c>
      <c r="B1745" s="1" t="n">
        <v>44364.93850694445</v>
      </c>
      <c r="C1745" s="1" t="n">
        <v>46105</v>
      </c>
      <c r="D1745" t="inlineStr">
        <is>
          <t>JÄMTLANDS LÄN</t>
        </is>
      </c>
      <c r="E1745" t="inlineStr">
        <is>
          <t>BRÄCKE</t>
        </is>
      </c>
      <c r="F1745" t="inlineStr">
        <is>
          <t>SCA</t>
        </is>
      </c>
      <c r="G1745" t="n">
        <v>22.4</v>
      </c>
      <c r="H1745" t="n">
        <v>0</v>
      </c>
      <c r="I1745" t="n">
        <v>0</v>
      </c>
      <c r="J1745" t="n">
        <v>0</v>
      </c>
      <c r="K1745" t="n">
        <v>0</v>
      </c>
      <c r="L1745" t="n">
        <v>0</v>
      </c>
      <c r="M1745" t="n">
        <v>0</v>
      </c>
      <c r="N1745" t="n">
        <v>0</v>
      </c>
      <c r="O1745" t="n">
        <v>0</v>
      </c>
      <c r="P1745" t="n">
        <v>0</v>
      </c>
      <c r="Q1745" t="n">
        <v>0</v>
      </c>
      <c r="R1745" s="2" t="inlineStr"/>
    </row>
    <row r="1746" ht="15" customHeight="1">
      <c r="A1746" t="inlineStr">
        <is>
          <t>A 61662-2022</t>
        </is>
      </c>
      <c r="B1746" s="1" t="n">
        <v>44916.96359953703</v>
      </c>
      <c r="C1746" s="1" t="n">
        <v>46105</v>
      </c>
      <c r="D1746" t="inlineStr">
        <is>
          <t>JÄMTLANDS LÄN</t>
        </is>
      </c>
      <c r="E1746" t="inlineStr">
        <is>
          <t>BRÄCKE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25674-2023</t>
        </is>
      </c>
      <c r="B1747" s="1" t="n">
        <v>45089</v>
      </c>
      <c r="C1747" s="1" t="n">
        <v>46105</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17905-2025</t>
        </is>
      </c>
      <c r="B1748" s="1" t="n">
        <v>45758.71907407408</v>
      </c>
      <c r="C1748" s="1" t="n">
        <v>46105</v>
      </c>
      <c r="D1748" t="inlineStr">
        <is>
          <t>JÄMTLANDS LÄN</t>
        </is>
      </c>
      <c r="E1748" t="inlineStr">
        <is>
          <t>BRÄCKE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49646-2023</t>
        </is>
      </c>
      <c r="B1749" s="1" t="n">
        <v>45211</v>
      </c>
      <c r="C1749" s="1" t="n">
        <v>46105</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20667-2022</t>
        </is>
      </c>
      <c r="B1750" s="1" t="n">
        <v>44700.65226851852</v>
      </c>
      <c r="C1750" s="1" t="n">
        <v>46105</v>
      </c>
      <c r="D1750" t="inlineStr">
        <is>
          <t>JÄMTLANDS LÄN</t>
        </is>
      </c>
      <c r="E1750" t="inlineStr">
        <is>
          <t>BRÄCKE</t>
        </is>
      </c>
      <c r="G1750" t="n">
        <v>13.8</v>
      </c>
      <c r="H1750" t="n">
        <v>0</v>
      </c>
      <c r="I1750" t="n">
        <v>0</v>
      </c>
      <c r="J1750" t="n">
        <v>0</v>
      </c>
      <c r="K1750" t="n">
        <v>0</v>
      </c>
      <c r="L1750" t="n">
        <v>0</v>
      </c>
      <c r="M1750" t="n">
        <v>0</v>
      </c>
      <c r="N1750" t="n">
        <v>0</v>
      </c>
      <c r="O1750" t="n">
        <v>0</v>
      </c>
      <c r="P1750" t="n">
        <v>0</v>
      </c>
      <c r="Q1750" t="n">
        <v>0</v>
      </c>
      <c r="R1750" s="2" t="inlineStr"/>
    </row>
    <row r="1751" ht="15" customHeight="1">
      <c r="A1751" t="inlineStr">
        <is>
          <t>A 2483-2025</t>
        </is>
      </c>
      <c r="B1751" s="1" t="n">
        <v>45673</v>
      </c>
      <c r="C1751" s="1" t="n">
        <v>46105</v>
      </c>
      <c r="D1751" t="inlineStr">
        <is>
          <t>JÄMTLANDS LÄN</t>
        </is>
      </c>
      <c r="E1751" t="inlineStr">
        <is>
          <t>BRÄCKE</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23081-2024</t>
        </is>
      </c>
      <c r="B1752" s="1" t="n">
        <v>45450.50152777778</v>
      </c>
      <c r="C1752" s="1" t="n">
        <v>46105</v>
      </c>
      <c r="D1752" t="inlineStr">
        <is>
          <t>JÄMTLANDS LÄN</t>
        </is>
      </c>
      <c r="E1752" t="inlineStr">
        <is>
          <t>BRÄCKE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61663-2022</t>
        </is>
      </c>
      <c r="B1753" s="1" t="n">
        <v>44916</v>
      </c>
      <c r="C1753" s="1" t="n">
        <v>46105</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24717-2022</t>
        </is>
      </c>
      <c r="B1754" s="1" t="n">
        <v>44727</v>
      </c>
      <c r="C1754" s="1" t="n">
        <v>46105</v>
      </c>
      <c r="D1754" t="inlineStr">
        <is>
          <t>JÄMTLANDS LÄN</t>
        </is>
      </c>
      <c r="E1754" t="inlineStr">
        <is>
          <t>BRÄCKE</t>
        </is>
      </c>
      <c r="F1754" t="inlineStr">
        <is>
          <t>SCA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15201-2024</t>
        </is>
      </c>
      <c r="B1755" s="1" t="n">
        <v>45400.43778935185</v>
      </c>
      <c r="C1755" s="1" t="n">
        <v>46105</v>
      </c>
      <c r="D1755" t="inlineStr">
        <is>
          <t>JÄMTLANDS LÄN</t>
        </is>
      </c>
      <c r="E1755" t="inlineStr">
        <is>
          <t>BRÄCKE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5482-2025</t>
        </is>
      </c>
      <c r="B1756" s="1" t="n">
        <v>45693.34427083333</v>
      </c>
      <c r="C1756" s="1" t="n">
        <v>46105</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17016-2024</t>
        </is>
      </c>
      <c r="B1757" s="1" t="n">
        <v>45411</v>
      </c>
      <c r="C1757" s="1" t="n">
        <v>46105</v>
      </c>
      <c r="D1757" t="inlineStr">
        <is>
          <t>JÄMTLANDS LÄN</t>
        </is>
      </c>
      <c r="E1757" t="inlineStr">
        <is>
          <t>BRÄCKE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51540-2024</t>
        </is>
      </c>
      <c r="B1758" s="1" t="n">
        <v>45604</v>
      </c>
      <c r="C1758" s="1" t="n">
        <v>46105</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14664-2024</t>
        </is>
      </c>
      <c r="B1759" s="1" t="n">
        <v>45397.41673611111</v>
      </c>
      <c r="C1759" s="1" t="n">
        <v>46105</v>
      </c>
      <c r="D1759" t="inlineStr">
        <is>
          <t>JÄMTLANDS LÄN</t>
        </is>
      </c>
      <c r="E1759" t="inlineStr">
        <is>
          <t>BRÄCKE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16073-2021</t>
        </is>
      </c>
      <c r="B1760" s="1" t="n">
        <v>44287</v>
      </c>
      <c r="C1760" s="1" t="n">
        <v>46105</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52137-2023</t>
        </is>
      </c>
      <c r="B1761" s="1" t="n">
        <v>45223</v>
      </c>
      <c r="C1761" s="1" t="n">
        <v>46105</v>
      </c>
      <c r="D1761" t="inlineStr">
        <is>
          <t>JÄMTLANDS LÄN</t>
        </is>
      </c>
      <c r="E1761" t="inlineStr">
        <is>
          <t>BRÄCKE</t>
        </is>
      </c>
      <c r="F1761" t="inlineStr">
        <is>
          <t>SCA</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59405-2022</t>
        </is>
      </c>
      <c r="B1762" s="1" t="n">
        <v>44906</v>
      </c>
      <c r="C1762" s="1" t="n">
        <v>46105</v>
      </c>
      <c r="D1762" t="inlineStr">
        <is>
          <t>JÄMTLANDS LÄN</t>
        </is>
      </c>
      <c r="E1762" t="inlineStr">
        <is>
          <t>BRÄCKE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49330-2023</t>
        </is>
      </c>
      <c r="B1763" s="1" t="n">
        <v>45210.94927083333</v>
      </c>
      <c r="C1763" s="1" t="n">
        <v>46105</v>
      </c>
      <c r="D1763" t="inlineStr">
        <is>
          <t>JÄMTLANDS LÄN</t>
        </is>
      </c>
      <c r="E1763" t="inlineStr">
        <is>
          <t>BRÄCKE</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50260-2024</t>
        </is>
      </c>
      <c r="B1764" s="1" t="n">
        <v>45600</v>
      </c>
      <c r="C1764" s="1" t="n">
        <v>46105</v>
      </c>
      <c r="D1764" t="inlineStr">
        <is>
          <t>JÄMTLANDS LÄN</t>
        </is>
      </c>
      <c r="E1764" t="inlineStr">
        <is>
          <t>BRÄCKE</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2035-2022</t>
        </is>
      </c>
      <c r="B1765" s="1" t="n">
        <v>44575.6277662037</v>
      </c>
      <c r="C1765" s="1" t="n">
        <v>46105</v>
      </c>
      <c r="D1765" t="inlineStr">
        <is>
          <t>JÄMTLANDS LÄN</t>
        </is>
      </c>
      <c r="E1765" t="inlineStr">
        <is>
          <t>BRÄCKE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21117-2023</t>
        </is>
      </c>
      <c r="B1766" s="1" t="n">
        <v>45061</v>
      </c>
      <c r="C1766" s="1" t="n">
        <v>46105</v>
      </c>
      <c r="D1766" t="inlineStr">
        <is>
          <t>JÄMTLANDS LÄN</t>
        </is>
      </c>
      <c r="E1766" t="inlineStr">
        <is>
          <t>BRÄCKE</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54863-2024</t>
        </is>
      </c>
      <c r="B1767" s="1" t="n">
        <v>45618.59431712963</v>
      </c>
      <c r="C1767" s="1" t="n">
        <v>46105</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54865-2024</t>
        </is>
      </c>
      <c r="B1768" s="1" t="n">
        <v>45618.59471064815</v>
      </c>
      <c r="C1768" s="1" t="n">
        <v>46105</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18640-2024</t>
        </is>
      </c>
      <c r="B1769" s="1" t="n">
        <v>45425.96644675926</v>
      </c>
      <c r="C1769" s="1" t="n">
        <v>46105</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18626-2024</t>
        </is>
      </c>
      <c r="B1770" s="1" t="n">
        <v>45425.96429398148</v>
      </c>
      <c r="C1770" s="1" t="n">
        <v>46105</v>
      </c>
      <c r="D1770" t="inlineStr">
        <is>
          <t>JÄMTLANDS LÄN</t>
        </is>
      </c>
      <c r="E1770" t="inlineStr">
        <is>
          <t>BRÄCKE</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13668-2024</t>
        </is>
      </c>
      <c r="B1771" s="1" t="n">
        <v>45387</v>
      </c>
      <c r="C1771" s="1" t="n">
        <v>46105</v>
      </c>
      <c r="D1771" t="inlineStr">
        <is>
          <t>JÄMTLANDS LÄN</t>
        </is>
      </c>
      <c r="E1771" t="inlineStr">
        <is>
          <t>BRÄCKE</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31521-2022</t>
        </is>
      </c>
      <c r="B1772" s="1" t="n">
        <v>44774.949375</v>
      </c>
      <c r="C1772" s="1" t="n">
        <v>46105</v>
      </c>
      <c r="D1772" t="inlineStr">
        <is>
          <t>JÄMTLANDS LÄN</t>
        </is>
      </c>
      <c r="E1772" t="inlineStr">
        <is>
          <t>BRÄCKE</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11371-2025</t>
        </is>
      </c>
      <c r="B1773" s="1" t="n">
        <v>45726.55258101852</v>
      </c>
      <c r="C1773" s="1" t="n">
        <v>46105</v>
      </c>
      <c r="D1773" t="inlineStr">
        <is>
          <t>JÄMTLANDS LÄN</t>
        </is>
      </c>
      <c r="E1773" t="inlineStr">
        <is>
          <t>BRÄCKE</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13525-2022</t>
        </is>
      </c>
      <c r="B1774" s="1" t="n">
        <v>44648</v>
      </c>
      <c r="C1774" s="1" t="n">
        <v>46105</v>
      </c>
      <c r="D1774" t="inlineStr">
        <is>
          <t>JÄMTLANDS LÄN</t>
        </is>
      </c>
      <c r="E1774" t="inlineStr">
        <is>
          <t>BRÄCKE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24010-2024</t>
        </is>
      </c>
      <c r="B1775" s="1" t="n">
        <v>45456.40370370371</v>
      </c>
      <c r="C1775" s="1" t="n">
        <v>46105</v>
      </c>
      <c r="D1775" t="inlineStr">
        <is>
          <t>JÄMTLANDS LÄN</t>
        </is>
      </c>
      <c r="E1775" t="inlineStr">
        <is>
          <t>BRÄCKE</t>
        </is>
      </c>
      <c r="F1775" t="inlineStr">
        <is>
          <t>Övriga Aktiebolag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59774-2024</t>
        </is>
      </c>
      <c r="B1776" s="1" t="n">
        <v>45639.56954861111</v>
      </c>
      <c r="C1776" s="1" t="n">
        <v>46105</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17606-2025</t>
        </is>
      </c>
      <c r="B1777" s="1" t="n">
        <v>45757.73796296296</v>
      </c>
      <c r="C1777" s="1" t="n">
        <v>46105</v>
      </c>
      <c r="D1777" t="inlineStr">
        <is>
          <t>JÄMTLANDS LÄN</t>
        </is>
      </c>
      <c r="E1777" t="inlineStr">
        <is>
          <t>BRÄCKE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19088-2021</t>
        </is>
      </c>
      <c r="B1778" s="1" t="n">
        <v>44308</v>
      </c>
      <c r="C1778" s="1" t="n">
        <v>46105</v>
      </c>
      <c r="D1778" t="inlineStr">
        <is>
          <t>JÄMTLANDS LÄN</t>
        </is>
      </c>
      <c r="E1778" t="inlineStr">
        <is>
          <t>BRÄCKE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35506-2023</t>
        </is>
      </c>
      <c r="B1779" s="1" t="n">
        <v>45146</v>
      </c>
      <c r="C1779" s="1" t="n">
        <v>46105</v>
      </c>
      <c r="D1779" t="inlineStr">
        <is>
          <t>JÄMTLANDS LÄN</t>
        </is>
      </c>
      <c r="E1779" t="inlineStr">
        <is>
          <t>BRÄCKE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31692-2024</t>
        </is>
      </c>
      <c r="B1780" s="1" t="n">
        <v>45507.95684027778</v>
      </c>
      <c r="C1780" s="1" t="n">
        <v>46105</v>
      </c>
      <c r="D1780" t="inlineStr">
        <is>
          <t>JÄMTLANDS LÄN</t>
        </is>
      </c>
      <c r="E1780" t="inlineStr">
        <is>
          <t>BRÄCKE</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31713-2024</t>
        </is>
      </c>
      <c r="B1781" s="1" t="n">
        <v>45508.95126157408</v>
      </c>
      <c r="C1781" s="1" t="n">
        <v>46105</v>
      </c>
      <c r="D1781" t="inlineStr">
        <is>
          <t>JÄMTLANDS LÄN</t>
        </is>
      </c>
      <c r="E1781" t="inlineStr">
        <is>
          <t>BRÄCKE</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57066-2024</t>
        </is>
      </c>
      <c r="B1782" s="1" t="n">
        <v>45629.35359953704</v>
      </c>
      <c r="C1782" s="1" t="n">
        <v>46105</v>
      </c>
      <c r="D1782" t="inlineStr">
        <is>
          <t>JÄMTLANDS LÄN</t>
        </is>
      </c>
      <c r="E1782" t="inlineStr">
        <is>
          <t>BRÄCKE</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57069-2024</t>
        </is>
      </c>
      <c r="B1783" s="1" t="n">
        <v>45629.35391203704</v>
      </c>
      <c r="C1783" s="1" t="n">
        <v>46105</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51558-2022</t>
        </is>
      </c>
      <c r="B1784" s="1" t="n">
        <v>44869.9497337963</v>
      </c>
      <c r="C1784" s="1" t="n">
        <v>46105</v>
      </c>
      <c r="D1784" t="inlineStr">
        <is>
          <t>JÄMTLANDS LÄN</t>
        </is>
      </c>
      <c r="E1784" t="inlineStr">
        <is>
          <t>BRÄCKE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24053-2022</t>
        </is>
      </c>
      <c r="B1785" s="1" t="n">
        <v>44724.93731481482</v>
      </c>
      <c r="C1785" s="1" t="n">
        <v>46105</v>
      </c>
      <c r="D1785" t="inlineStr">
        <is>
          <t>JÄMTLANDS LÄN</t>
        </is>
      </c>
      <c r="E1785" t="inlineStr">
        <is>
          <t>BRÄCKE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58547-2022</t>
        </is>
      </c>
      <c r="B1786" s="1" t="n">
        <v>44894</v>
      </c>
      <c r="C1786" s="1" t="n">
        <v>46105</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19486-2023</t>
        </is>
      </c>
      <c r="B1787" s="1" t="n">
        <v>45049</v>
      </c>
      <c r="C1787" s="1" t="n">
        <v>46105</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32636-2024</t>
        </is>
      </c>
      <c r="B1788" s="1" t="n">
        <v>45513.96137731482</v>
      </c>
      <c r="C1788" s="1" t="n">
        <v>46105</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58767-2023</t>
        </is>
      </c>
      <c r="B1789" s="1" t="n">
        <v>45251.96665509259</v>
      </c>
      <c r="C1789" s="1" t="n">
        <v>46105</v>
      </c>
      <c r="D1789" t="inlineStr">
        <is>
          <t>JÄMTLANDS LÄN</t>
        </is>
      </c>
      <c r="E1789" t="inlineStr">
        <is>
          <t>BRÄCKE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23064-2024</t>
        </is>
      </c>
      <c r="B1790" s="1" t="n">
        <v>45450.44827546296</v>
      </c>
      <c r="C1790" s="1" t="n">
        <v>46105</v>
      </c>
      <c r="D1790" t="inlineStr">
        <is>
          <t>JÄMTLANDS LÄN</t>
        </is>
      </c>
      <c r="E1790" t="inlineStr">
        <is>
          <t>BRÄCKE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18600-2024</t>
        </is>
      </c>
      <c r="B1791" s="1" t="n">
        <v>45425.92462962963</v>
      </c>
      <c r="C1791" s="1" t="n">
        <v>46105</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34137-2023</t>
        </is>
      </c>
      <c r="B1792" s="1" t="n">
        <v>45135</v>
      </c>
      <c r="C1792" s="1" t="n">
        <v>46105</v>
      </c>
      <c r="D1792" t="inlineStr">
        <is>
          <t>JÄMTLANDS LÄN</t>
        </is>
      </c>
      <c r="E1792" t="inlineStr">
        <is>
          <t>BRÄCKE</t>
        </is>
      </c>
      <c r="F1792" t="inlineStr">
        <is>
          <t>SCA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104-2025</t>
        </is>
      </c>
      <c r="B1793" s="1" t="n">
        <v>45659</v>
      </c>
      <c r="C1793" s="1" t="n">
        <v>46105</v>
      </c>
      <c r="D1793" t="inlineStr">
        <is>
          <t>JÄMTLANDS LÄN</t>
        </is>
      </c>
      <c r="E1793" t="inlineStr">
        <is>
          <t>BRÄCKE</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3249-2025</t>
        </is>
      </c>
      <c r="B1794" s="1" t="n">
        <v>45679.53177083333</v>
      </c>
      <c r="C1794" s="1" t="n">
        <v>46105</v>
      </c>
      <c r="D1794" t="inlineStr">
        <is>
          <t>JÄMTLANDS LÄN</t>
        </is>
      </c>
      <c r="E1794" t="inlineStr">
        <is>
          <t>BRÄCKE</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49339-2024</t>
        </is>
      </c>
      <c r="B1795" s="1" t="n">
        <v>45595.59420138889</v>
      </c>
      <c r="C1795" s="1" t="n">
        <v>46105</v>
      </c>
      <c r="D1795" t="inlineStr">
        <is>
          <t>JÄMTLANDS LÄN</t>
        </is>
      </c>
      <c r="E1795" t="inlineStr">
        <is>
          <t>BRÄCKE</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26522-2024</t>
        </is>
      </c>
      <c r="B1796" s="1" t="n">
        <v>45469</v>
      </c>
      <c r="C1796" s="1" t="n">
        <v>46105</v>
      </c>
      <c r="D1796" t="inlineStr">
        <is>
          <t>JÄMTLANDS LÄN</t>
        </is>
      </c>
      <c r="E1796" t="inlineStr">
        <is>
          <t>BRÄCKE</t>
        </is>
      </c>
      <c r="G1796" t="n">
        <v>14.1</v>
      </c>
      <c r="H1796" t="n">
        <v>0</v>
      </c>
      <c r="I1796" t="n">
        <v>0</v>
      </c>
      <c r="J1796" t="n">
        <v>0</v>
      </c>
      <c r="K1796" t="n">
        <v>0</v>
      </c>
      <c r="L1796" t="n">
        <v>0</v>
      </c>
      <c r="M1796" t="n">
        <v>0</v>
      </c>
      <c r="N1796" t="n">
        <v>0</v>
      </c>
      <c r="O1796" t="n">
        <v>0</v>
      </c>
      <c r="P1796" t="n">
        <v>0</v>
      </c>
      <c r="Q1796" t="n">
        <v>0</v>
      </c>
      <c r="R1796" s="2" t="inlineStr"/>
    </row>
    <row r="1797" ht="15" customHeight="1">
      <c r="A1797" t="inlineStr">
        <is>
          <t>A 4123-2025</t>
        </is>
      </c>
      <c r="B1797" s="1" t="n">
        <v>45685.27107638889</v>
      </c>
      <c r="C1797" s="1" t="n">
        <v>46105</v>
      </c>
      <c r="D1797" t="inlineStr">
        <is>
          <t>JÄMTLANDS LÄN</t>
        </is>
      </c>
      <c r="E1797" t="inlineStr">
        <is>
          <t>BRÄCKE</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45939-2024</t>
        </is>
      </c>
      <c r="B1798" s="1" t="n">
        <v>45580.53155092592</v>
      </c>
      <c r="C1798" s="1" t="n">
        <v>46105</v>
      </c>
      <c r="D1798" t="inlineStr">
        <is>
          <t>JÄMTLANDS LÄN</t>
        </is>
      </c>
      <c r="E1798" t="inlineStr">
        <is>
          <t>BRÄCKE</t>
        </is>
      </c>
      <c r="F1798" t="inlineStr">
        <is>
          <t>Naturvårdsverket</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17252-2025</t>
        </is>
      </c>
      <c r="B1799" s="1" t="n">
        <v>45756.5109837963</v>
      </c>
      <c r="C1799" s="1" t="n">
        <v>46105</v>
      </c>
      <c r="D1799" t="inlineStr">
        <is>
          <t>JÄMTLANDS LÄN</t>
        </is>
      </c>
      <c r="E1799" t="inlineStr">
        <is>
          <t>BRÄCKE</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38007-2024</t>
        </is>
      </c>
      <c r="B1800" s="1" t="n">
        <v>45544.62063657407</v>
      </c>
      <c r="C1800" s="1" t="n">
        <v>46105</v>
      </c>
      <c r="D1800" t="inlineStr">
        <is>
          <t>JÄMTLANDS LÄN</t>
        </is>
      </c>
      <c r="E1800" t="inlineStr">
        <is>
          <t>BRÄCKE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53278-2022</t>
        </is>
      </c>
      <c r="B1801" s="1" t="n">
        <v>44876.94785879629</v>
      </c>
      <c r="C1801" s="1" t="n">
        <v>46105</v>
      </c>
      <c r="D1801" t="inlineStr">
        <is>
          <t>JÄMTLANDS LÄN</t>
        </is>
      </c>
      <c r="E1801" t="inlineStr">
        <is>
          <t>BRÄCKE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53152-2024</t>
        </is>
      </c>
      <c r="B1802" s="1" t="n">
        <v>45611.62123842593</v>
      </c>
      <c r="C1802" s="1" t="n">
        <v>46105</v>
      </c>
      <c r="D1802" t="inlineStr">
        <is>
          <t>JÄMTLANDS LÄN</t>
        </is>
      </c>
      <c r="E1802" t="inlineStr">
        <is>
          <t>BRÄCKE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3247-2025</t>
        </is>
      </c>
      <c r="B1803" s="1" t="n">
        <v>45679.5315625</v>
      </c>
      <c r="C1803" s="1" t="n">
        <v>46105</v>
      </c>
      <c r="D1803" t="inlineStr">
        <is>
          <t>JÄMTLANDS LÄN</t>
        </is>
      </c>
      <c r="E1803" t="inlineStr">
        <is>
          <t>BRÄCKE</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57586-2024</t>
        </is>
      </c>
      <c r="B1804" s="1" t="n">
        <v>45630.49229166667</v>
      </c>
      <c r="C1804" s="1" t="n">
        <v>46105</v>
      </c>
      <c r="D1804" t="inlineStr">
        <is>
          <t>JÄMTLANDS LÄN</t>
        </is>
      </c>
      <c r="E1804" t="inlineStr">
        <is>
          <t>BRÄCKE</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13906-2025</t>
        </is>
      </c>
      <c r="B1805" s="1" t="n">
        <v>45737.6359375</v>
      </c>
      <c r="C1805" s="1" t="n">
        <v>46105</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55468-2024</t>
        </is>
      </c>
      <c r="B1806" s="1" t="n">
        <v>45622.43024305555</v>
      </c>
      <c r="C1806" s="1" t="n">
        <v>46105</v>
      </c>
      <c r="D1806" t="inlineStr">
        <is>
          <t>JÄMTLANDS LÄN</t>
        </is>
      </c>
      <c r="E1806" t="inlineStr">
        <is>
          <t>BRÄCKE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14290-2025</t>
        </is>
      </c>
      <c r="B1807" s="1" t="n">
        <v>45740.67755787037</v>
      </c>
      <c r="C1807" s="1" t="n">
        <v>46105</v>
      </c>
      <c r="D1807" t="inlineStr">
        <is>
          <t>JÄMTLANDS LÄN</t>
        </is>
      </c>
      <c r="E1807" t="inlineStr">
        <is>
          <t>BRÄCKE</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13244-2023</t>
        </is>
      </c>
      <c r="B1808" s="1" t="n">
        <v>45002</v>
      </c>
      <c r="C1808" s="1" t="n">
        <v>46105</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34315-2022</t>
        </is>
      </c>
      <c r="B1809" s="1" t="n">
        <v>44792</v>
      </c>
      <c r="C1809" s="1" t="n">
        <v>46105</v>
      </c>
      <c r="D1809" t="inlineStr">
        <is>
          <t>JÄMTLANDS LÄN</t>
        </is>
      </c>
      <c r="E1809" t="inlineStr">
        <is>
          <t>BRÄCKE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57942-2023</t>
        </is>
      </c>
      <c r="B1810" s="1" t="n">
        <v>45244</v>
      </c>
      <c r="C1810" s="1" t="n">
        <v>46105</v>
      </c>
      <c r="D1810" t="inlineStr">
        <is>
          <t>JÄMTLANDS LÄN</t>
        </is>
      </c>
      <c r="E1810" t="inlineStr">
        <is>
          <t>BRÄCKE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44324-2023</t>
        </is>
      </c>
      <c r="B1811" s="1" t="n">
        <v>45188</v>
      </c>
      <c r="C1811" s="1" t="n">
        <v>46105</v>
      </c>
      <c r="D1811" t="inlineStr">
        <is>
          <t>JÄMTLANDS LÄN</t>
        </is>
      </c>
      <c r="E1811" t="inlineStr">
        <is>
          <t>BRÄCKE</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39662-2024</t>
        </is>
      </c>
      <c r="B1812" s="1" t="n">
        <v>45552.51068287037</v>
      </c>
      <c r="C1812" s="1" t="n">
        <v>46105</v>
      </c>
      <c r="D1812" t="inlineStr">
        <is>
          <t>JÄMTLANDS LÄN</t>
        </is>
      </c>
      <c r="E1812" t="inlineStr">
        <is>
          <t>BRÄCKE</t>
        </is>
      </c>
      <c r="F1812" t="inlineStr">
        <is>
          <t>SCA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2954-2023</t>
        </is>
      </c>
      <c r="B1813" s="1" t="n">
        <v>44945.62861111111</v>
      </c>
      <c r="C1813" s="1" t="n">
        <v>46105</v>
      </c>
      <c r="D1813" t="inlineStr">
        <is>
          <t>JÄMTLANDS LÄN</t>
        </is>
      </c>
      <c r="E1813" t="inlineStr">
        <is>
          <t>BRÄCKE</t>
        </is>
      </c>
      <c r="F1813" t="inlineStr">
        <is>
          <t>Övriga Aktiebolag</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8891-2025</t>
        </is>
      </c>
      <c r="B1814" s="1" t="n">
        <v>45713.39917824074</v>
      </c>
      <c r="C1814" s="1" t="n">
        <v>46105</v>
      </c>
      <c r="D1814" t="inlineStr">
        <is>
          <t>JÄMTLANDS LÄN</t>
        </is>
      </c>
      <c r="E1814" t="inlineStr">
        <is>
          <t>BRÄCKE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6213-2025</t>
        </is>
      </c>
      <c r="B1815" s="1" t="n">
        <v>45698.51072916666</v>
      </c>
      <c r="C1815" s="1" t="n">
        <v>46105</v>
      </c>
      <c r="D1815" t="inlineStr">
        <is>
          <t>JÄMTLANDS LÄN</t>
        </is>
      </c>
      <c r="E1815" t="inlineStr">
        <is>
          <t>BRÄCKE</t>
        </is>
      </c>
      <c r="F1815" t="inlineStr">
        <is>
          <t>SCA</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58740-2023</t>
        </is>
      </c>
      <c r="B1816" s="1" t="n">
        <v>45251.92890046296</v>
      </c>
      <c r="C1816" s="1" t="n">
        <v>46105</v>
      </c>
      <c r="D1816" t="inlineStr">
        <is>
          <t>JÄMTLANDS LÄN</t>
        </is>
      </c>
      <c r="E1816" t="inlineStr">
        <is>
          <t>BRÄCKE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26444-2022</t>
        </is>
      </c>
      <c r="B1817" s="1" t="n">
        <v>44738.93929398148</v>
      </c>
      <c r="C1817" s="1" t="n">
        <v>46105</v>
      </c>
      <c r="D1817" t="inlineStr">
        <is>
          <t>JÄMTLANDS LÄN</t>
        </is>
      </c>
      <c r="E1817" t="inlineStr">
        <is>
          <t>BRÄCKE</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20803-2021</t>
        </is>
      </c>
      <c r="B1818" s="1" t="n">
        <v>44316</v>
      </c>
      <c r="C1818" s="1" t="n">
        <v>46105</v>
      </c>
      <c r="D1818" t="inlineStr">
        <is>
          <t>JÄMTLANDS LÄN</t>
        </is>
      </c>
      <c r="E1818" t="inlineStr">
        <is>
          <t>BRÄCKE</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2064-2024</t>
        </is>
      </c>
      <c r="B1819" s="1" t="n">
        <v>45308</v>
      </c>
      <c r="C1819" s="1" t="n">
        <v>46105</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26100-2021</t>
        </is>
      </c>
      <c r="B1820" s="1" t="n">
        <v>44344.93584490741</v>
      </c>
      <c r="C1820" s="1" t="n">
        <v>46105</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8052-2022</t>
        </is>
      </c>
      <c r="B1821" s="1" t="n">
        <v>44609</v>
      </c>
      <c r="C1821" s="1" t="n">
        <v>46105</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50151-2023</t>
        </is>
      </c>
      <c r="B1822" s="1" t="n">
        <v>45208</v>
      </c>
      <c r="C1822" s="1" t="n">
        <v>46105</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12889-2024</t>
        </is>
      </c>
      <c r="B1823" s="1" t="n">
        <v>45385</v>
      </c>
      <c r="C1823" s="1" t="n">
        <v>46105</v>
      </c>
      <c r="D1823" t="inlineStr">
        <is>
          <t>JÄMTLANDS LÄN</t>
        </is>
      </c>
      <c r="E1823" t="inlineStr">
        <is>
          <t>BRÄCKE</t>
        </is>
      </c>
      <c r="F1823" t="inlineStr">
        <is>
          <t>Kyrkan</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56687-2023</t>
        </is>
      </c>
      <c r="B1824" s="1" t="n">
        <v>45243.96633101852</v>
      </c>
      <c r="C1824" s="1" t="n">
        <v>46105</v>
      </c>
      <c r="D1824" t="inlineStr">
        <is>
          <t>JÄMTLANDS LÄN</t>
        </is>
      </c>
      <c r="E1824" t="inlineStr">
        <is>
          <t>BRÄCKE</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56688-2023</t>
        </is>
      </c>
      <c r="B1825" s="1" t="n">
        <v>45243.96645833334</v>
      </c>
      <c r="C1825" s="1" t="n">
        <v>46105</v>
      </c>
      <c r="D1825" t="inlineStr">
        <is>
          <t>JÄMTLANDS LÄN</t>
        </is>
      </c>
      <c r="E1825" t="inlineStr">
        <is>
          <t>BRÄCKE</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16512-2024</t>
        </is>
      </c>
      <c r="B1826" s="1" t="n">
        <v>45408.39922453704</v>
      </c>
      <c r="C1826" s="1" t="n">
        <v>46105</v>
      </c>
      <c r="D1826" t="inlineStr">
        <is>
          <t>JÄMTLANDS LÄN</t>
        </is>
      </c>
      <c r="E1826" t="inlineStr">
        <is>
          <t>BRÄCKE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21380-2024</t>
        </is>
      </c>
      <c r="B1827" s="1" t="n">
        <v>45440</v>
      </c>
      <c r="C1827" s="1" t="n">
        <v>46105</v>
      </c>
      <c r="D1827" t="inlineStr">
        <is>
          <t>JÄMTLANDS LÄN</t>
        </is>
      </c>
      <c r="E1827" t="inlineStr">
        <is>
          <t>BRÄCKE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21381-2024</t>
        </is>
      </c>
      <c r="B1828" s="1" t="n">
        <v>45440.95402777778</v>
      </c>
      <c r="C1828" s="1" t="n">
        <v>46105</v>
      </c>
      <c r="D1828" t="inlineStr">
        <is>
          <t>JÄMTLANDS LÄN</t>
        </is>
      </c>
      <c r="E1828" t="inlineStr">
        <is>
          <t>BRÄCKE</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62074-2023</t>
        </is>
      </c>
      <c r="B1829" s="1" t="n">
        <v>45266</v>
      </c>
      <c r="C1829" s="1" t="n">
        <v>46105</v>
      </c>
      <c r="D1829" t="inlineStr">
        <is>
          <t>JÄMTLANDS LÄN</t>
        </is>
      </c>
      <c r="E1829" t="inlineStr">
        <is>
          <t>BRÄCKE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6622-2025</t>
        </is>
      </c>
      <c r="B1830" s="1" t="n">
        <v>45700.36594907408</v>
      </c>
      <c r="C1830" s="1" t="n">
        <v>46105</v>
      </c>
      <c r="D1830" t="inlineStr">
        <is>
          <t>JÄMTLANDS LÄN</t>
        </is>
      </c>
      <c r="E1830" t="inlineStr">
        <is>
          <t>BRÄCKE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48480-2023</t>
        </is>
      </c>
      <c r="B1831" s="1" t="n">
        <v>45206.95831018518</v>
      </c>
      <c r="C1831" s="1" t="n">
        <v>46105</v>
      </c>
      <c r="D1831" t="inlineStr">
        <is>
          <t>JÄMTLANDS LÄN</t>
        </is>
      </c>
      <c r="E1831" t="inlineStr">
        <is>
          <t>BRÄCKE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10088-2025</t>
        </is>
      </c>
      <c r="B1832" s="1" t="n">
        <v>45719.57335648148</v>
      </c>
      <c r="C1832" s="1" t="n">
        <v>46105</v>
      </c>
      <c r="D1832" t="inlineStr">
        <is>
          <t>JÄMTLANDS LÄN</t>
        </is>
      </c>
      <c r="E1832" t="inlineStr">
        <is>
          <t>BRÄCKE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10106-2025</t>
        </is>
      </c>
      <c r="B1833" s="1" t="n">
        <v>45719.58611111111</v>
      </c>
      <c r="C1833" s="1" t="n">
        <v>46105</v>
      </c>
      <c r="D1833" t="inlineStr">
        <is>
          <t>JÄMTLANDS LÄN</t>
        </is>
      </c>
      <c r="E1833" t="inlineStr">
        <is>
          <t>BRÄCKE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45251.93006944445</v>
      </c>
      <c r="C1834" s="1" t="n">
        <v>46105</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47186-2023</t>
        </is>
      </c>
      <c r="B1835" s="1" t="n">
        <v>45201</v>
      </c>
      <c r="C1835" s="1" t="n">
        <v>46105</v>
      </c>
      <c r="D1835" t="inlineStr">
        <is>
          <t>JÄMTLANDS LÄN</t>
        </is>
      </c>
      <c r="E1835" t="inlineStr">
        <is>
          <t>BRÄCKE</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41183-2023</t>
        </is>
      </c>
      <c r="B1836" s="1" t="n">
        <v>45170</v>
      </c>
      <c r="C1836" s="1" t="n">
        <v>46105</v>
      </c>
      <c r="D1836" t="inlineStr">
        <is>
          <t>JÄMTLANDS LÄN</t>
        </is>
      </c>
      <c r="E1836" t="inlineStr">
        <is>
          <t>BRÄCKE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26278-2024</t>
        </is>
      </c>
      <c r="B1837" s="1" t="n">
        <v>45468.68905092592</v>
      </c>
      <c r="C1837" s="1" t="n">
        <v>46105</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49591-2024</t>
        </is>
      </c>
      <c r="B1838" s="1" t="n">
        <v>45596.5525</v>
      </c>
      <c r="C1838" s="1" t="n">
        <v>46105</v>
      </c>
      <c r="D1838" t="inlineStr">
        <is>
          <t>JÄMTLANDS LÄN</t>
        </is>
      </c>
      <c r="E1838" t="inlineStr">
        <is>
          <t>BRÄCKE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26350-2023</t>
        </is>
      </c>
      <c r="B1839" s="1" t="n">
        <v>45091.9421412037</v>
      </c>
      <c r="C1839" s="1" t="n">
        <v>46105</v>
      </c>
      <c r="D1839" t="inlineStr">
        <is>
          <t>JÄMTLANDS LÄN</t>
        </is>
      </c>
      <c r="E1839" t="inlineStr">
        <is>
          <t>BRÄCKE</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11438-2025</t>
        </is>
      </c>
      <c r="B1840" s="1" t="n">
        <v>45726.61552083334</v>
      </c>
      <c r="C1840" s="1" t="n">
        <v>46105</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28766-2024</t>
        </is>
      </c>
      <c r="B1841" s="1" t="n">
        <v>45478</v>
      </c>
      <c r="C1841" s="1" t="n">
        <v>46105</v>
      </c>
      <c r="D1841" t="inlineStr">
        <is>
          <t>JÄMTLANDS LÄN</t>
        </is>
      </c>
      <c r="E1841" t="inlineStr">
        <is>
          <t>BRÄCKE</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64643-2023</t>
        </is>
      </c>
      <c r="B1842" s="1" t="n">
        <v>45281</v>
      </c>
      <c r="C1842" s="1" t="n">
        <v>46105</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26302-2024</t>
        </is>
      </c>
      <c r="B1843" s="1" t="n">
        <v>45468.9328587963</v>
      </c>
      <c r="C1843" s="1" t="n">
        <v>46105</v>
      </c>
      <c r="D1843" t="inlineStr">
        <is>
          <t>JÄMTLANDS LÄN</t>
        </is>
      </c>
      <c r="E1843" t="inlineStr">
        <is>
          <t>BRÄCKE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47746-2024</t>
        </is>
      </c>
      <c r="B1844" s="1" t="n">
        <v>45588.53438657407</v>
      </c>
      <c r="C1844" s="1" t="n">
        <v>46105</v>
      </c>
      <c r="D1844" t="inlineStr">
        <is>
          <t>JÄMTLANDS LÄN</t>
        </is>
      </c>
      <c r="E1844" t="inlineStr">
        <is>
          <t>BRÄCKE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40094-2023</t>
        </is>
      </c>
      <c r="B1845" s="1" t="n">
        <v>45168</v>
      </c>
      <c r="C1845" s="1" t="n">
        <v>46105</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5536-2025</t>
        </is>
      </c>
      <c r="B1846" s="1" t="n">
        <v>45693.44846064815</v>
      </c>
      <c r="C1846" s="1" t="n">
        <v>46105</v>
      </c>
      <c r="D1846" t="inlineStr">
        <is>
          <t>JÄMTLANDS LÄN</t>
        </is>
      </c>
      <c r="E1846" t="inlineStr">
        <is>
          <t>BRÄCKE</t>
        </is>
      </c>
      <c r="F1846" t="inlineStr">
        <is>
          <t>SCA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5537-2025</t>
        </is>
      </c>
      <c r="B1847" s="1" t="n">
        <v>45693.44858796296</v>
      </c>
      <c r="C1847" s="1" t="n">
        <v>46105</v>
      </c>
      <c r="D1847" t="inlineStr">
        <is>
          <t>JÄMTLANDS LÄN</t>
        </is>
      </c>
      <c r="E1847" t="inlineStr">
        <is>
          <t>BRÄCKE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61149-2023</t>
        </is>
      </c>
      <c r="B1848" s="1" t="n">
        <v>45261.96777777778</v>
      </c>
      <c r="C1848" s="1" t="n">
        <v>46105</v>
      </c>
      <c r="D1848" t="inlineStr">
        <is>
          <t>JÄMTLANDS LÄN</t>
        </is>
      </c>
      <c r="E1848" t="inlineStr">
        <is>
          <t>BRÄCKE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10309-2023</t>
        </is>
      </c>
      <c r="B1849" s="1" t="n">
        <v>44986</v>
      </c>
      <c r="C1849" s="1" t="n">
        <v>46105</v>
      </c>
      <c r="D1849" t="inlineStr">
        <is>
          <t>JÄMTLANDS LÄN</t>
        </is>
      </c>
      <c r="E1849" t="inlineStr">
        <is>
          <t>BRÄCKE</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30569-2024</t>
        </is>
      </c>
      <c r="B1850" s="1" t="n">
        <v>45492.95690972222</v>
      </c>
      <c r="C1850" s="1" t="n">
        <v>46105</v>
      </c>
      <c r="D1850" t="inlineStr">
        <is>
          <t>JÄMTLANDS LÄN</t>
        </is>
      </c>
      <c r="E1850" t="inlineStr">
        <is>
          <t>BRÄCKE</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12891-2024</t>
        </is>
      </c>
      <c r="B1851" s="1" t="n">
        <v>45385</v>
      </c>
      <c r="C1851" s="1" t="n">
        <v>46105</v>
      </c>
      <c r="D1851" t="inlineStr">
        <is>
          <t>JÄMTLANDS LÄN</t>
        </is>
      </c>
      <c r="E1851" t="inlineStr">
        <is>
          <t>BRÄCKE</t>
        </is>
      </c>
      <c r="F1851" t="inlineStr">
        <is>
          <t>Kyrkan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39996-2024</t>
        </is>
      </c>
      <c r="B1852" s="1" t="n">
        <v>45553.63585648148</v>
      </c>
      <c r="C1852" s="1" t="n">
        <v>46105</v>
      </c>
      <c r="D1852" t="inlineStr">
        <is>
          <t>JÄMTLANDS LÄN</t>
        </is>
      </c>
      <c r="E1852" t="inlineStr">
        <is>
          <t>BRÄCKE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783-2025</t>
        </is>
      </c>
      <c r="B1853" s="1" t="n">
        <v>45665.49290509259</v>
      </c>
      <c r="C1853" s="1" t="n">
        <v>46105</v>
      </c>
      <c r="D1853" t="inlineStr">
        <is>
          <t>JÄMTLANDS LÄN</t>
        </is>
      </c>
      <c r="E1853" t="inlineStr">
        <is>
          <t>BRÄCKE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53941-2022</t>
        </is>
      </c>
      <c r="B1854" s="1" t="n">
        <v>44880</v>
      </c>
      <c r="C1854" s="1" t="n">
        <v>46105</v>
      </c>
      <c r="D1854" t="inlineStr">
        <is>
          <t>JÄMTLANDS LÄN</t>
        </is>
      </c>
      <c r="E1854" t="inlineStr">
        <is>
          <t>BRÄCKE</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29314-2021</t>
        </is>
      </c>
      <c r="B1855" s="1" t="n">
        <v>44361</v>
      </c>
      <c r="C1855" s="1" t="n">
        <v>46105</v>
      </c>
      <c r="D1855" t="inlineStr">
        <is>
          <t>JÄMTLANDS LÄN</t>
        </is>
      </c>
      <c r="E1855" t="inlineStr">
        <is>
          <t>BRÄCKE</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3179-2024</t>
        </is>
      </c>
      <c r="B1856" s="1" t="n">
        <v>45316</v>
      </c>
      <c r="C1856" s="1" t="n">
        <v>46105</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38280-2021</t>
        </is>
      </c>
      <c r="B1857" s="1" t="n">
        <v>44405</v>
      </c>
      <c r="C1857" s="1" t="n">
        <v>46105</v>
      </c>
      <c r="D1857" t="inlineStr">
        <is>
          <t>JÄMTLANDS LÄN</t>
        </is>
      </c>
      <c r="E1857" t="inlineStr">
        <is>
          <t>BRÄCKE</t>
        </is>
      </c>
      <c r="F1857" t="inlineStr">
        <is>
          <t>SCA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51441-2023</t>
        </is>
      </c>
      <c r="B1858" s="1" t="n">
        <v>45219</v>
      </c>
      <c r="C1858" s="1" t="n">
        <v>46105</v>
      </c>
      <c r="D1858" t="inlineStr">
        <is>
          <t>JÄMTLANDS LÄN</t>
        </is>
      </c>
      <c r="E1858" t="inlineStr">
        <is>
          <t>BRÄCKE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40765-2023</t>
        </is>
      </c>
      <c r="B1859" s="1" t="n">
        <v>45170</v>
      </c>
      <c r="C1859" s="1" t="n">
        <v>46105</v>
      </c>
      <c r="D1859" t="inlineStr">
        <is>
          <t>JÄMTLANDS LÄN</t>
        </is>
      </c>
      <c r="E1859" t="inlineStr">
        <is>
          <t>BRÄCKE</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50220-2023</t>
        </is>
      </c>
      <c r="B1860" s="1" t="n">
        <v>45215</v>
      </c>
      <c r="C1860" s="1" t="n">
        <v>46105</v>
      </c>
      <c r="D1860" t="inlineStr">
        <is>
          <t>JÄMTLANDS LÄN</t>
        </is>
      </c>
      <c r="E1860" t="inlineStr">
        <is>
          <t>BRÄCKE</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3031-2023</t>
        </is>
      </c>
      <c r="B1861" s="1" t="n">
        <v>44945</v>
      </c>
      <c r="C1861" s="1" t="n">
        <v>46105</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3033-2023</t>
        </is>
      </c>
      <c r="B1862" s="1" t="n">
        <v>44945</v>
      </c>
      <c r="C1862" s="1" t="n">
        <v>46105</v>
      </c>
      <c r="D1862" t="inlineStr">
        <is>
          <t>JÄMTLANDS LÄN</t>
        </is>
      </c>
      <c r="E1862" t="inlineStr">
        <is>
          <t>BRÄCKE</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3036-2023</t>
        </is>
      </c>
      <c r="B1863" s="1" t="n">
        <v>44945.94201388889</v>
      </c>
      <c r="C1863" s="1" t="n">
        <v>46105</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8422-2022</t>
        </is>
      </c>
      <c r="B1864" s="1" t="n">
        <v>44610</v>
      </c>
      <c r="C1864" s="1" t="n">
        <v>46105</v>
      </c>
      <c r="D1864" t="inlineStr">
        <is>
          <t>JÄMTLANDS LÄN</t>
        </is>
      </c>
      <c r="E1864" t="inlineStr">
        <is>
          <t>BRÄCKE</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48507-2023</t>
        </is>
      </c>
      <c r="B1865" s="1" t="n">
        <v>45207.94034722223</v>
      </c>
      <c r="C1865" s="1" t="n">
        <v>46105</v>
      </c>
      <c r="D1865" t="inlineStr">
        <is>
          <t>JÄMTLANDS LÄN</t>
        </is>
      </c>
      <c r="E1865" t="inlineStr">
        <is>
          <t>BRÄCKE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60954-2023</t>
        </is>
      </c>
      <c r="B1866" s="1" t="n">
        <v>45261.45638888889</v>
      </c>
      <c r="C1866" s="1" t="n">
        <v>46105</v>
      </c>
      <c r="D1866" t="inlineStr">
        <is>
          <t>JÄMTLANDS LÄN</t>
        </is>
      </c>
      <c r="E1866" t="inlineStr">
        <is>
          <t>BRÄCKE</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29821-2022</t>
        </is>
      </c>
      <c r="B1867" s="1" t="n">
        <v>44755.94486111111</v>
      </c>
      <c r="C1867" s="1" t="n">
        <v>46105</v>
      </c>
      <c r="D1867" t="inlineStr">
        <is>
          <t>JÄMTLANDS LÄN</t>
        </is>
      </c>
      <c r="E1867" t="inlineStr">
        <is>
          <t>BRÄCKE</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15243-2025</t>
        </is>
      </c>
      <c r="B1868" s="1" t="n">
        <v>45744.61537037037</v>
      </c>
      <c r="C1868" s="1" t="n">
        <v>46105</v>
      </c>
      <c r="D1868" t="inlineStr">
        <is>
          <t>JÄMTLANDS LÄN</t>
        </is>
      </c>
      <c r="E1868" t="inlineStr">
        <is>
          <t>BRÄCKE</t>
        </is>
      </c>
      <c r="F1868" t="inlineStr">
        <is>
          <t>SCA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53522-2023</t>
        </is>
      </c>
      <c r="B1869" s="1" t="n">
        <v>45223</v>
      </c>
      <c r="C1869" s="1" t="n">
        <v>46105</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60666-2024</t>
        </is>
      </c>
      <c r="B1870" s="1" t="n">
        <v>45644.44833333333</v>
      </c>
      <c r="C1870" s="1" t="n">
        <v>46105</v>
      </c>
      <c r="D1870" t="inlineStr">
        <is>
          <t>JÄMTLANDS LÄN</t>
        </is>
      </c>
      <c r="E1870" t="inlineStr">
        <is>
          <t>BRÄCKE</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58491-2024</t>
        </is>
      </c>
      <c r="B1871" s="1" t="n">
        <v>45635.40408564815</v>
      </c>
      <c r="C1871" s="1" t="n">
        <v>46105</v>
      </c>
      <c r="D1871" t="inlineStr">
        <is>
          <t>JÄMTLANDS LÄN</t>
        </is>
      </c>
      <c r="E1871" t="inlineStr">
        <is>
          <t>BRÄCKE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16466-2024</t>
        </is>
      </c>
      <c r="B1872" s="1" t="n">
        <v>45408.050625</v>
      </c>
      <c r="C1872" s="1" t="n">
        <v>46105</v>
      </c>
      <c r="D1872" t="inlineStr">
        <is>
          <t>JÄMTLANDS LÄN</t>
        </is>
      </c>
      <c r="E1872" t="inlineStr">
        <is>
          <t>BRÄCKE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13083-2025</t>
        </is>
      </c>
      <c r="B1873" s="1" t="n">
        <v>45734</v>
      </c>
      <c r="C1873" s="1" t="n">
        <v>46105</v>
      </c>
      <c r="D1873" t="inlineStr">
        <is>
          <t>JÄMTLANDS LÄN</t>
        </is>
      </c>
      <c r="E1873" t="inlineStr">
        <is>
          <t>BRÄCKE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4887-2025</t>
        </is>
      </c>
      <c r="B1874" s="1" t="n">
        <v>45688.67800925926</v>
      </c>
      <c r="C1874" s="1" t="n">
        <v>46105</v>
      </c>
      <c r="D1874" t="inlineStr">
        <is>
          <t>JÄMTLANDS LÄN</t>
        </is>
      </c>
      <c r="E1874" t="inlineStr">
        <is>
          <t>BRÄCKE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58082-2023</t>
        </is>
      </c>
      <c r="B1875" s="1" t="n">
        <v>45247.96538194444</v>
      </c>
      <c r="C1875" s="1" t="n">
        <v>46105</v>
      </c>
      <c r="D1875" t="inlineStr">
        <is>
          <t>JÄMTLANDS LÄN</t>
        </is>
      </c>
      <c r="E1875" t="inlineStr">
        <is>
          <t>BRÄCKE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49727-2023</t>
        </is>
      </c>
      <c r="B1876" s="1" t="n">
        <v>45208</v>
      </c>
      <c r="C1876" s="1" t="n">
        <v>46105</v>
      </c>
      <c r="D1876" t="inlineStr">
        <is>
          <t>JÄMTLANDS LÄN</t>
        </is>
      </c>
      <c r="E1876" t="inlineStr">
        <is>
          <t>BRÄCKE</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45577-2023</t>
        </is>
      </c>
      <c r="B1877" s="1" t="n">
        <v>45194</v>
      </c>
      <c r="C1877" s="1" t="n">
        <v>46105</v>
      </c>
      <c r="D1877" t="inlineStr">
        <is>
          <t>JÄMTLANDS LÄN</t>
        </is>
      </c>
      <c r="E1877" t="inlineStr">
        <is>
          <t>BRÄCKE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14266-2025</t>
        </is>
      </c>
      <c r="B1878" s="1" t="n">
        <v>45740.63572916666</v>
      </c>
      <c r="C1878" s="1" t="n">
        <v>46105</v>
      </c>
      <c r="D1878" t="inlineStr">
        <is>
          <t>JÄMTLANDS LÄN</t>
        </is>
      </c>
      <c r="E1878" t="inlineStr">
        <is>
          <t>BRÄCKE</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3248-2025</t>
        </is>
      </c>
      <c r="B1879" s="1" t="n">
        <v>45679.53173611111</v>
      </c>
      <c r="C1879" s="1" t="n">
        <v>46105</v>
      </c>
      <c r="D1879" t="inlineStr">
        <is>
          <t>JÄMTLANDS LÄN</t>
        </is>
      </c>
      <c r="E1879" t="inlineStr">
        <is>
          <t>BRÄCKE</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4915-2025</t>
        </is>
      </c>
      <c r="B1880" s="1" t="n">
        <v>45688.68184027778</v>
      </c>
      <c r="C1880" s="1" t="n">
        <v>46105</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19615-2025</t>
        </is>
      </c>
      <c r="B1881" s="1" t="n">
        <v>45770.61519675926</v>
      </c>
      <c r="C1881" s="1" t="n">
        <v>46105</v>
      </c>
      <c r="D1881" t="inlineStr">
        <is>
          <t>JÄMTLANDS LÄN</t>
        </is>
      </c>
      <c r="E1881" t="inlineStr">
        <is>
          <t>BRÄCKE</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57473-2024</t>
        </is>
      </c>
      <c r="B1882" s="1" t="n">
        <v>45630.34438657408</v>
      </c>
      <c r="C1882" s="1" t="n">
        <v>46105</v>
      </c>
      <c r="D1882" t="inlineStr">
        <is>
          <t>JÄMTLANDS LÄN</t>
        </is>
      </c>
      <c r="E1882" t="inlineStr">
        <is>
          <t>BRÄCKE</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51416-2024</t>
        </is>
      </c>
      <c r="B1883" s="1" t="n">
        <v>45604.44829861111</v>
      </c>
      <c r="C1883" s="1" t="n">
        <v>46105</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3737-2025</t>
        </is>
      </c>
      <c r="B1884" s="1" t="n">
        <v>45681.57335648148</v>
      </c>
      <c r="C1884" s="1" t="n">
        <v>46105</v>
      </c>
      <c r="D1884" t="inlineStr">
        <is>
          <t>JÄMTLANDS LÄN</t>
        </is>
      </c>
      <c r="E1884" t="inlineStr">
        <is>
          <t>BRÄCKE</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58848-2024</t>
        </is>
      </c>
      <c r="B1885" s="1" t="n">
        <v>45636.38657407407</v>
      </c>
      <c r="C1885" s="1" t="n">
        <v>46105</v>
      </c>
      <c r="D1885" t="inlineStr">
        <is>
          <t>JÄMTLANDS LÄN</t>
        </is>
      </c>
      <c r="E1885" t="inlineStr">
        <is>
          <t>BRÄCKE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54243-2022</t>
        </is>
      </c>
      <c r="B1886" s="1" t="n">
        <v>44881</v>
      </c>
      <c r="C1886" s="1" t="n">
        <v>46105</v>
      </c>
      <c r="D1886" t="inlineStr">
        <is>
          <t>JÄMTLANDS LÄN</t>
        </is>
      </c>
      <c r="E1886" t="inlineStr">
        <is>
          <t>BRÄCKE</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52723-2023</t>
        </is>
      </c>
      <c r="B1887" s="1" t="n">
        <v>45225</v>
      </c>
      <c r="C1887" s="1" t="n">
        <v>46105</v>
      </c>
      <c r="D1887" t="inlineStr">
        <is>
          <t>JÄMTLANDS LÄN</t>
        </is>
      </c>
      <c r="E1887" t="inlineStr">
        <is>
          <t>BRÄCKE</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55436-2024</t>
        </is>
      </c>
      <c r="B1888" s="1" t="n">
        <v>45622.4022337963</v>
      </c>
      <c r="C1888" s="1" t="n">
        <v>46105</v>
      </c>
      <c r="D1888" t="inlineStr">
        <is>
          <t>JÄMTLANDS LÄN</t>
        </is>
      </c>
      <c r="E1888" t="inlineStr">
        <is>
          <t>BRÄCKE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20756-2025</t>
        </is>
      </c>
      <c r="B1889" s="1" t="n">
        <v>45776.57333333333</v>
      </c>
      <c r="C1889" s="1" t="n">
        <v>46105</v>
      </c>
      <c r="D1889" t="inlineStr">
        <is>
          <t>JÄMTLANDS LÄN</t>
        </is>
      </c>
      <c r="E1889" t="inlineStr">
        <is>
          <t>BRÄCKE</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20778-2025</t>
        </is>
      </c>
      <c r="B1890" s="1" t="n">
        <v>45776.59439814815</v>
      </c>
      <c r="C1890" s="1" t="n">
        <v>46105</v>
      </c>
      <c r="D1890" t="inlineStr">
        <is>
          <t>JÄMTLANDS LÄN</t>
        </is>
      </c>
      <c r="E1890" t="inlineStr">
        <is>
          <t>BRÄCKE</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20870-2025</t>
        </is>
      </c>
      <c r="B1891" s="1" t="n">
        <v>45777.34517361111</v>
      </c>
      <c r="C1891" s="1" t="n">
        <v>46105</v>
      </c>
      <c r="D1891" t="inlineStr">
        <is>
          <t>JÄMTLANDS LÄN</t>
        </is>
      </c>
      <c r="E1891" t="inlineStr">
        <is>
          <t>BRÄCKE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20909-2025</t>
        </is>
      </c>
      <c r="B1892" s="1" t="n">
        <v>45777.40672453704</v>
      </c>
      <c r="C1892" s="1" t="n">
        <v>46105</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21305-2025</t>
        </is>
      </c>
      <c r="B1893" s="1" t="n">
        <v>45781.40665509259</v>
      </c>
      <c r="C1893" s="1" t="n">
        <v>46105</v>
      </c>
      <c r="D1893" t="inlineStr">
        <is>
          <t>JÄMTLANDS LÄN</t>
        </is>
      </c>
      <c r="E1893" t="inlineStr">
        <is>
          <t>BRÄCKE</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21368-2025</t>
        </is>
      </c>
      <c r="B1894" s="1" t="n">
        <v>45782.44824074074</v>
      </c>
      <c r="C1894" s="1" t="n">
        <v>46105</v>
      </c>
      <c r="D1894" t="inlineStr">
        <is>
          <t>JÄMTLANDS LÄN</t>
        </is>
      </c>
      <c r="E1894" t="inlineStr">
        <is>
          <t>BRÄCKE</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34646-2024</t>
        </is>
      </c>
      <c r="B1895" s="1" t="n">
        <v>45526.4784375</v>
      </c>
      <c r="C1895" s="1" t="n">
        <v>46105</v>
      </c>
      <c r="D1895" t="inlineStr">
        <is>
          <t>JÄMTLANDS LÄN</t>
        </is>
      </c>
      <c r="E1895" t="inlineStr">
        <is>
          <t>BRÄCKE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29409-2024</t>
        </is>
      </c>
      <c r="B1896" s="1" t="n">
        <v>45483.67341435186</v>
      </c>
      <c r="C1896" s="1" t="n">
        <v>46105</v>
      </c>
      <c r="D1896" t="inlineStr">
        <is>
          <t>JÄMTLANDS LÄN</t>
        </is>
      </c>
      <c r="E1896" t="inlineStr">
        <is>
          <t>BRÄCKE</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21551-2025</t>
        </is>
      </c>
      <c r="B1897" s="1" t="n">
        <v>45782.67771990741</v>
      </c>
      <c r="C1897" s="1" t="n">
        <v>46105</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21549-2025</t>
        </is>
      </c>
      <c r="B1898" s="1" t="n">
        <v>45782.67743055556</v>
      </c>
      <c r="C1898" s="1" t="n">
        <v>46105</v>
      </c>
      <c r="D1898" t="inlineStr">
        <is>
          <t>JÄMTLANDS LÄN</t>
        </is>
      </c>
      <c r="E1898" t="inlineStr">
        <is>
          <t>BRÄCKE</t>
        </is>
      </c>
      <c r="F1898" t="inlineStr">
        <is>
          <t>SCA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21449-2025</t>
        </is>
      </c>
      <c r="B1899" s="1" t="n">
        <v>45782.55255787037</v>
      </c>
      <c r="C1899" s="1" t="n">
        <v>46105</v>
      </c>
      <c r="D1899" t="inlineStr">
        <is>
          <t>JÄMTLANDS LÄN</t>
        </is>
      </c>
      <c r="E1899" t="inlineStr">
        <is>
          <t>BRÄCKE</t>
        </is>
      </c>
      <c r="F1899" t="inlineStr">
        <is>
          <t>SCA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21450-2025</t>
        </is>
      </c>
      <c r="B1900" s="1" t="n">
        <v>45782.55275462963</v>
      </c>
      <c r="C1900" s="1" t="n">
        <v>46105</v>
      </c>
      <c r="D1900" t="inlineStr">
        <is>
          <t>JÄMTLANDS LÄN</t>
        </is>
      </c>
      <c r="E1900" t="inlineStr">
        <is>
          <t>BRÄCKE</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21486-2025</t>
        </is>
      </c>
      <c r="B1901" s="1" t="n">
        <v>45782.59521990741</v>
      </c>
      <c r="C1901" s="1" t="n">
        <v>46105</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63713-2023</t>
        </is>
      </c>
      <c r="B1902" s="1" t="n">
        <v>45275</v>
      </c>
      <c r="C1902" s="1" t="n">
        <v>46105</v>
      </c>
      <c r="D1902" t="inlineStr">
        <is>
          <t>JÄMTLANDS LÄN</t>
        </is>
      </c>
      <c r="E1902" t="inlineStr">
        <is>
          <t>BRÄCKE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26919-2024</t>
        </is>
      </c>
      <c r="B1903" s="1" t="n">
        <v>45470.93050925926</v>
      </c>
      <c r="C1903" s="1" t="n">
        <v>46105</v>
      </c>
      <c r="D1903" t="inlineStr">
        <is>
          <t>JÄMTLANDS LÄN</t>
        </is>
      </c>
      <c r="E1903" t="inlineStr">
        <is>
          <t>BRÄCKE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34647-2024</t>
        </is>
      </c>
      <c r="B1904" s="1" t="n">
        <v>45526.47844907407</v>
      </c>
      <c r="C1904" s="1" t="n">
        <v>46105</v>
      </c>
      <c r="D1904" t="inlineStr">
        <is>
          <t>JÄMTLANDS LÄN</t>
        </is>
      </c>
      <c r="E1904" t="inlineStr">
        <is>
          <t>BRÄCKE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22000-2025</t>
        </is>
      </c>
      <c r="B1905" s="1" t="n">
        <v>45784.69851851852</v>
      </c>
      <c r="C1905" s="1" t="n">
        <v>46105</v>
      </c>
      <c r="D1905" t="inlineStr">
        <is>
          <t>JÄMTLANDS LÄN</t>
        </is>
      </c>
      <c r="E1905" t="inlineStr">
        <is>
          <t>BRÄCKE</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22936-2024</t>
        </is>
      </c>
      <c r="B1906" s="1" t="n">
        <v>45448.94478009259</v>
      </c>
      <c r="C1906" s="1" t="n">
        <v>46105</v>
      </c>
      <c r="D1906" t="inlineStr">
        <is>
          <t>JÄMTLANDS LÄN</t>
        </is>
      </c>
      <c r="E1906" t="inlineStr">
        <is>
          <t>BRÄCKE</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21961-2025</t>
        </is>
      </c>
      <c r="B1907" s="1" t="n">
        <v>45784.61517361111</v>
      </c>
      <c r="C1907" s="1" t="n">
        <v>46105</v>
      </c>
      <c r="D1907" t="inlineStr">
        <is>
          <t>JÄMTLANDS LÄN</t>
        </is>
      </c>
      <c r="E1907" t="inlineStr">
        <is>
          <t>BRÄCKE</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32963-2022</t>
        </is>
      </c>
      <c r="B1908" s="1" t="n">
        <v>44784.92496527778</v>
      </c>
      <c r="C1908" s="1" t="n">
        <v>46105</v>
      </c>
      <c r="D1908" t="inlineStr">
        <is>
          <t>JÄMTLANDS LÄN</t>
        </is>
      </c>
      <c r="E1908" t="inlineStr">
        <is>
          <t>BRÄCKE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21634-2025</t>
        </is>
      </c>
      <c r="B1909" s="1" t="n">
        <v>45783.42775462963</v>
      </c>
      <c r="C1909" s="1" t="n">
        <v>46105</v>
      </c>
      <c r="D1909" t="inlineStr">
        <is>
          <t>JÄMTLANDS LÄN</t>
        </is>
      </c>
      <c r="E1909" t="inlineStr">
        <is>
          <t>BRÄCKE</t>
        </is>
      </c>
      <c r="F1909" t="inlineStr">
        <is>
          <t>SCA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9438-2025</t>
        </is>
      </c>
      <c r="B1910" s="1" t="n">
        <v>45715.41347222222</v>
      </c>
      <c r="C1910" s="1" t="n">
        <v>46105</v>
      </c>
      <c r="D1910" t="inlineStr">
        <is>
          <t>JÄMTLANDS LÄN</t>
        </is>
      </c>
      <c r="E1910" t="inlineStr">
        <is>
          <t>BRÄCKE</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22164-2025</t>
        </is>
      </c>
      <c r="B1911" s="1" t="n">
        <v>45785.59428240741</v>
      </c>
      <c r="C1911" s="1" t="n">
        <v>46105</v>
      </c>
      <c r="D1911" t="inlineStr">
        <is>
          <t>JÄMTLANDS LÄN</t>
        </is>
      </c>
      <c r="E1911" t="inlineStr">
        <is>
          <t>BRÄCKE</t>
        </is>
      </c>
      <c r="F1911" t="inlineStr">
        <is>
          <t>SCA</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22167-2025</t>
        </is>
      </c>
      <c r="B1912" s="1" t="n">
        <v>45785.59498842592</v>
      </c>
      <c r="C1912" s="1" t="n">
        <v>46105</v>
      </c>
      <c r="D1912" t="inlineStr">
        <is>
          <t>JÄMTLANDS LÄN</t>
        </is>
      </c>
      <c r="E1912" t="inlineStr">
        <is>
          <t>BRÄCKE</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50591-2024</t>
        </is>
      </c>
      <c r="B1913" s="1" t="n">
        <v>45601.6190625</v>
      </c>
      <c r="C1913" s="1" t="n">
        <v>46105</v>
      </c>
      <c r="D1913" t="inlineStr">
        <is>
          <t>JÄMTLANDS LÄN</t>
        </is>
      </c>
      <c r="E1913" t="inlineStr">
        <is>
          <t>BRÄCKE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48482-2023</t>
        </is>
      </c>
      <c r="B1914" s="1" t="n">
        <v>45206.95846064815</v>
      </c>
      <c r="C1914" s="1" t="n">
        <v>46105</v>
      </c>
      <c r="D1914" t="inlineStr">
        <is>
          <t>JÄMTLANDS LÄN</t>
        </is>
      </c>
      <c r="E1914" t="inlineStr">
        <is>
          <t>BRÄCKE</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4491-2024</t>
        </is>
      </c>
      <c r="B1915" s="1" t="n">
        <v>45327</v>
      </c>
      <c r="C1915" s="1" t="n">
        <v>46105</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22940-2025</t>
        </is>
      </c>
      <c r="B1916" s="1" t="n">
        <v>45790.46918981482</v>
      </c>
      <c r="C1916" s="1" t="n">
        <v>46105</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22670-2025</t>
        </is>
      </c>
      <c r="B1917" s="1" t="n">
        <v>45789.49024305555</v>
      </c>
      <c r="C1917" s="1" t="n">
        <v>46105</v>
      </c>
      <c r="D1917" t="inlineStr">
        <is>
          <t>JÄMTLANDS LÄN</t>
        </is>
      </c>
      <c r="E1917" t="inlineStr">
        <is>
          <t>BRÄCKE</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22958-2025</t>
        </is>
      </c>
      <c r="B1918" s="1" t="n">
        <v>45790.53184027778</v>
      </c>
      <c r="C1918" s="1" t="n">
        <v>46105</v>
      </c>
      <c r="D1918" t="inlineStr">
        <is>
          <t>JÄMTLANDS LÄN</t>
        </is>
      </c>
      <c r="E1918" t="inlineStr">
        <is>
          <t>BRÄCKE</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22957-2025</t>
        </is>
      </c>
      <c r="B1919" s="1" t="n">
        <v>45790.53179398148</v>
      </c>
      <c r="C1919" s="1" t="n">
        <v>46105</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22313-2025</t>
        </is>
      </c>
      <c r="B1920" s="1" t="n">
        <v>45786.38583333333</v>
      </c>
      <c r="C1920" s="1" t="n">
        <v>46105</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22772-2025</t>
        </is>
      </c>
      <c r="B1921" s="1" t="n">
        <v>45789.63618055556</v>
      </c>
      <c r="C1921" s="1" t="n">
        <v>46105</v>
      </c>
      <c r="D1921" t="inlineStr">
        <is>
          <t>JÄMTLANDS LÄN</t>
        </is>
      </c>
      <c r="E1921" t="inlineStr">
        <is>
          <t>BRÄCKE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22792-2025</t>
        </is>
      </c>
      <c r="B1922" s="1" t="n">
        <v>45789.65681712963</v>
      </c>
      <c r="C1922" s="1" t="n">
        <v>46105</v>
      </c>
      <c r="D1922" t="inlineStr">
        <is>
          <t>JÄMTLANDS LÄN</t>
        </is>
      </c>
      <c r="E1922" t="inlineStr">
        <is>
          <t>BRÄCKE</t>
        </is>
      </c>
      <c r="F1922" t="inlineStr">
        <is>
          <t>SCA</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22652-2025</t>
        </is>
      </c>
      <c r="B1923" s="1" t="n">
        <v>45789.46920138889</v>
      </c>
      <c r="C1923" s="1" t="n">
        <v>46105</v>
      </c>
      <c r="D1923" t="inlineStr">
        <is>
          <t>JÄMTLANDS LÄN</t>
        </is>
      </c>
      <c r="E1923" t="inlineStr">
        <is>
          <t>BRÄCKE</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22816-2025</t>
        </is>
      </c>
      <c r="B1924" s="1" t="n">
        <v>45789.69841435185</v>
      </c>
      <c r="C1924" s="1" t="n">
        <v>46105</v>
      </c>
      <c r="D1924" t="inlineStr">
        <is>
          <t>JÄMTLANDS LÄN</t>
        </is>
      </c>
      <c r="E1924" t="inlineStr">
        <is>
          <t>BRÄCKE</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23211-2025</t>
        </is>
      </c>
      <c r="B1925" s="1" t="n">
        <v>45791.46956018519</v>
      </c>
      <c r="C1925" s="1" t="n">
        <v>46105</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23298-2025</t>
        </is>
      </c>
      <c r="B1926" s="1" t="n">
        <v>45791.59456018519</v>
      </c>
      <c r="C1926" s="1" t="n">
        <v>46105</v>
      </c>
      <c r="D1926" t="inlineStr">
        <is>
          <t>JÄMTLANDS LÄN</t>
        </is>
      </c>
      <c r="E1926" t="inlineStr">
        <is>
          <t>BRÄCKE</t>
        </is>
      </c>
      <c r="F1926" t="inlineStr">
        <is>
          <t>SCA</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23344-2025</t>
        </is>
      </c>
      <c r="B1927" s="1" t="n">
        <v>45791.65712962963</v>
      </c>
      <c r="C1927" s="1" t="n">
        <v>46105</v>
      </c>
      <c r="D1927" t="inlineStr">
        <is>
          <t>JÄMTLANDS LÄN</t>
        </is>
      </c>
      <c r="E1927" t="inlineStr">
        <is>
          <t>BRÄCKE</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11093-2022</t>
        </is>
      </c>
      <c r="B1928" s="1" t="n">
        <v>44628</v>
      </c>
      <c r="C1928" s="1" t="n">
        <v>46105</v>
      </c>
      <c r="D1928" t="inlineStr">
        <is>
          <t>JÄMTLANDS LÄN</t>
        </is>
      </c>
      <c r="E1928" t="inlineStr">
        <is>
          <t>BRÄCKE</t>
        </is>
      </c>
      <c r="G1928" t="n">
        <v>16.4</v>
      </c>
      <c r="H1928" t="n">
        <v>0</v>
      </c>
      <c r="I1928" t="n">
        <v>0</v>
      </c>
      <c r="J1928" t="n">
        <v>0</v>
      </c>
      <c r="K1928" t="n">
        <v>0</v>
      </c>
      <c r="L1928" t="n">
        <v>0</v>
      </c>
      <c r="M1928" t="n">
        <v>0</v>
      </c>
      <c r="N1928" t="n">
        <v>0</v>
      </c>
      <c r="O1928" t="n">
        <v>0</v>
      </c>
      <c r="P1928" t="n">
        <v>0</v>
      </c>
      <c r="Q1928" t="n">
        <v>0</v>
      </c>
      <c r="R1928" s="2" t="inlineStr"/>
    </row>
    <row r="1929" ht="15" customHeight="1">
      <c r="A1929" t="inlineStr">
        <is>
          <t>A 23363-2025</t>
        </is>
      </c>
      <c r="B1929" s="1" t="n">
        <v>45791.67775462963</v>
      </c>
      <c r="C1929" s="1" t="n">
        <v>46105</v>
      </c>
      <c r="D1929" t="inlineStr">
        <is>
          <t>JÄMTLANDS LÄN</t>
        </is>
      </c>
      <c r="E1929" t="inlineStr">
        <is>
          <t>BRÄCKE</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23458-2025</t>
        </is>
      </c>
      <c r="B1930" s="1" t="n">
        <v>45792.42756944444</v>
      </c>
      <c r="C1930" s="1" t="n">
        <v>46105</v>
      </c>
      <c r="D1930" t="inlineStr">
        <is>
          <t>JÄMTLANDS LÄN</t>
        </is>
      </c>
      <c r="E1930" t="inlineStr">
        <is>
          <t>BRÄCKE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23583-2025</t>
        </is>
      </c>
      <c r="B1931" s="1" t="n">
        <v>45792.63043981481</v>
      </c>
      <c r="C1931" s="1" t="n">
        <v>46105</v>
      </c>
      <c r="D1931" t="inlineStr">
        <is>
          <t>JÄMTLANDS LÄN</t>
        </is>
      </c>
      <c r="E1931" t="inlineStr">
        <is>
          <t>BRÄCKE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52249-2023</t>
        </is>
      </c>
      <c r="B1932" s="1" t="n">
        <v>45217</v>
      </c>
      <c r="C1932" s="1" t="n">
        <v>46105</v>
      </c>
      <c r="D1932" t="inlineStr">
        <is>
          <t>JÄMTLANDS LÄN</t>
        </is>
      </c>
      <c r="E1932" t="inlineStr">
        <is>
          <t>BRÄCKE</t>
        </is>
      </c>
      <c r="F1932" t="inlineStr">
        <is>
          <t>SCA</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23320-2025</t>
        </is>
      </c>
      <c r="B1933" s="1" t="n">
        <v>45791.61528935185</v>
      </c>
      <c r="C1933" s="1" t="n">
        <v>46105</v>
      </c>
      <c r="D1933" t="inlineStr">
        <is>
          <t>JÄMTLANDS LÄN</t>
        </is>
      </c>
      <c r="E1933" t="inlineStr">
        <is>
          <t>BRÄCKE</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32671-2024</t>
        </is>
      </c>
      <c r="B1934" s="1" t="n">
        <v>45514.59587962963</v>
      </c>
      <c r="C1934" s="1" t="n">
        <v>46105</v>
      </c>
      <c r="D1934" t="inlineStr">
        <is>
          <t>JÄMTLANDS LÄN</t>
        </is>
      </c>
      <c r="E1934" t="inlineStr">
        <is>
          <t>BRÄCKE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13762-2024</t>
        </is>
      </c>
      <c r="B1935" s="1" t="n">
        <v>45390</v>
      </c>
      <c r="C1935" s="1" t="n">
        <v>46105</v>
      </c>
      <c r="D1935" t="inlineStr">
        <is>
          <t>JÄMTLANDS LÄN</t>
        </is>
      </c>
      <c r="E1935" t="inlineStr">
        <is>
          <t>BRÄCKE</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24077-2025</t>
        </is>
      </c>
      <c r="B1936" s="1" t="n">
        <v>45796.55240740741</v>
      </c>
      <c r="C1936" s="1" t="n">
        <v>46105</v>
      </c>
      <c r="D1936" t="inlineStr">
        <is>
          <t>JÄMTLANDS LÄN</t>
        </is>
      </c>
      <c r="E1936" t="inlineStr">
        <is>
          <t>BRÄCKE</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23303-2025</t>
        </is>
      </c>
      <c r="B1937" s="1" t="n">
        <v>45791</v>
      </c>
      <c r="C1937" s="1" t="n">
        <v>46105</v>
      </c>
      <c r="D1937" t="inlineStr">
        <is>
          <t>JÄMTLANDS LÄN</t>
        </is>
      </c>
      <c r="E1937" t="inlineStr">
        <is>
          <t>BRÄCKE</t>
        </is>
      </c>
      <c r="G1937" t="n">
        <v>22.2</v>
      </c>
      <c r="H1937" t="n">
        <v>0</v>
      </c>
      <c r="I1937" t="n">
        <v>0</v>
      </c>
      <c r="J1937" t="n">
        <v>0</v>
      </c>
      <c r="K1937" t="n">
        <v>0</v>
      </c>
      <c r="L1937" t="n">
        <v>0</v>
      </c>
      <c r="M1937" t="n">
        <v>0</v>
      </c>
      <c r="N1937" t="n">
        <v>0</v>
      </c>
      <c r="O1937" t="n">
        <v>0</v>
      </c>
      <c r="P1937" t="n">
        <v>0</v>
      </c>
      <c r="Q1937" t="n">
        <v>0</v>
      </c>
      <c r="R1937" s="2" t="inlineStr"/>
    </row>
    <row r="1938" ht="15" customHeight="1">
      <c r="A1938" t="inlineStr">
        <is>
          <t>A 27460-2024</t>
        </is>
      </c>
      <c r="B1938" s="1" t="n">
        <v>45474.44785879629</v>
      </c>
      <c r="C1938" s="1" t="n">
        <v>46105</v>
      </c>
      <c r="D1938" t="inlineStr">
        <is>
          <t>JÄMTLANDS LÄN</t>
        </is>
      </c>
      <c r="E1938" t="inlineStr">
        <is>
          <t>BRÄCKE</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24043-2025</t>
        </is>
      </c>
      <c r="B1939" s="1" t="n">
        <v>45796.49002314815</v>
      </c>
      <c r="C1939" s="1" t="n">
        <v>46105</v>
      </c>
      <c r="D1939" t="inlineStr">
        <is>
          <t>JÄMTLANDS LÄN</t>
        </is>
      </c>
      <c r="E1939" t="inlineStr">
        <is>
          <t>BRÄCKE</t>
        </is>
      </c>
      <c r="F1939" t="inlineStr">
        <is>
          <t>SCA</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9434-2025</t>
        </is>
      </c>
      <c r="B1940" s="1" t="n">
        <v>45715.41209490741</v>
      </c>
      <c r="C1940" s="1" t="n">
        <v>46105</v>
      </c>
      <c r="D1940" t="inlineStr">
        <is>
          <t>JÄMTLANDS LÄN</t>
        </is>
      </c>
      <c r="E1940" t="inlineStr">
        <is>
          <t>BRÄCKE</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27455-2024</t>
        </is>
      </c>
      <c r="B1941" s="1" t="n">
        <v>45474.43834490741</v>
      </c>
      <c r="C1941" s="1" t="n">
        <v>46105</v>
      </c>
      <c r="D1941" t="inlineStr">
        <is>
          <t>JÄMTLANDS LÄN</t>
        </is>
      </c>
      <c r="E1941" t="inlineStr">
        <is>
          <t>BRÄCKE</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23842-2025</t>
        </is>
      </c>
      <c r="B1942" s="1" t="n">
        <v>45793.61534722222</v>
      </c>
      <c r="C1942" s="1" t="n">
        <v>46105</v>
      </c>
      <c r="D1942" t="inlineStr">
        <is>
          <t>JÄMTLANDS LÄN</t>
        </is>
      </c>
      <c r="E1942" t="inlineStr">
        <is>
          <t>BRÄCKE</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29873-2024</t>
        </is>
      </c>
      <c r="B1943" s="1" t="n">
        <v>45485.94542824074</v>
      </c>
      <c r="C1943" s="1" t="n">
        <v>46105</v>
      </c>
      <c r="D1943" t="inlineStr">
        <is>
          <t>JÄMTLANDS LÄN</t>
        </is>
      </c>
      <c r="E1943" t="inlineStr">
        <is>
          <t>BRÄCKE</t>
        </is>
      </c>
      <c r="F1943" t="inlineStr">
        <is>
          <t>SCA</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15144-2024</t>
        </is>
      </c>
      <c r="B1944" s="1" t="n">
        <v>45399.94340277778</v>
      </c>
      <c r="C1944" s="1" t="n">
        <v>46105</v>
      </c>
      <c r="D1944" t="inlineStr">
        <is>
          <t>JÄMTLANDS LÄN</t>
        </is>
      </c>
      <c r="E1944" t="inlineStr">
        <is>
          <t>BRÄCKE</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23539-2025</t>
        </is>
      </c>
      <c r="B1945" s="1" t="n">
        <v>45792</v>
      </c>
      <c r="C1945" s="1" t="n">
        <v>46105</v>
      </c>
      <c r="D1945" t="inlineStr">
        <is>
          <t>JÄMTLANDS LÄN</t>
        </is>
      </c>
      <c r="E1945" t="inlineStr">
        <is>
          <t>BRÄCKE</t>
        </is>
      </c>
      <c r="G1945" t="n">
        <v>14.9</v>
      </c>
      <c r="H1945" t="n">
        <v>0</v>
      </c>
      <c r="I1945" t="n">
        <v>0</v>
      </c>
      <c r="J1945" t="n">
        <v>0</v>
      </c>
      <c r="K1945" t="n">
        <v>0</v>
      </c>
      <c r="L1945" t="n">
        <v>0</v>
      </c>
      <c r="M1945" t="n">
        <v>0</v>
      </c>
      <c r="N1945" t="n">
        <v>0</v>
      </c>
      <c r="O1945" t="n">
        <v>0</v>
      </c>
      <c r="P1945" t="n">
        <v>0</v>
      </c>
      <c r="Q1945" t="n">
        <v>0</v>
      </c>
      <c r="R1945" s="2" t="inlineStr"/>
    </row>
    <row r="1946" ht="15" customHeight="1">
      <c r="A1946" t="inlineStr">
        <is>
          <t>A 1174-2025</t>
        </is>
      </c>
      <c r="B1946" s="1" t="n">
        <v>45667.34418981482</v>
      </c>
      <c r="C1946" s="1" t="n">
        <v>46105</v>
      </c>
      <c r="D1946" t="inlineStr">
        <is>
          <t>JÄMTLANDS LÄN</t>
        </is>
      </c>
      <c r="E1946" t="inlineStr">
        <is>
          <t>BRÄCKE</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24154-2025</t>
        </is>
      </c>
      <c r="B1947" s="1" t="n">
        <v>45796.65685185185</v>
      </c>
      <c r="C1947" s="1" t="n">
        <v>46105</v>
      </c>
      <c r="D1947" t="inlineStr">
        <is>
          <t>JÄMTLANDS LÄN</t>
        </is>
      </c>
      <c r="E1947" t="inlineStr">
        <is>
          <t>BRÄCKE</t>
        </is>
      </c>
      <c r="F1947" t="inlineStr">
        <is>
          <t>SCA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24456-2025</t>
        </is>
      </c>
      <c r="B1948" s="1" t="n">
        <v>45798.34450231482</v>
      </c>
      <c r="C1948" s="1" t="n">
        <v>46105</v>
      </c>
      <c r="D1948" t="inlineStr">
        <is>
          <t>JÄMTLANDS LÄN</t>
        </is>
      </c>
      <c r="E1948" t="inlineStr">
        <is>
          <t>BRÄCKE</t>
        </is>
      </c>
      <c r="F1948" t="inlineStr">
        <is>
          <t>SCA</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24436-2025</t>
        </is>
      </c>
      <c r="B1949" s="1" t="n">
        <v>45797.7922337963</v>
      </c>
      <c r="C1949" s="1" t="n">
        <v>46105</v>
      </c>
      <c r="D1949" t="inlineStr">
        <is>
          <t>JÄMTLANDS LÄN</t>
        </is>
      </c>
      <c r="E1949" t="inlineStr">
        <is>
          <t>BRÄCKE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24236-2025</t>
        </is>
      </c>
      <c r="B1950" s="1" t="n">
        <v>45797.38586805556</v>
      </c>
      <c r="C1950" s="1" t="n">
        <v>46105</v>
      </c>
      <c r="D1950" t="inlineStr">
        <is>
          <t>JÄMTLANDS LÄN</t>
        </is>
      </c>
      <c r="E1950" t="inlineStr">
        <is>
          <t>BRÄCKE</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24454-2025</t>
        </is>
      </c>
      <c r="B1951" s="1" t="n">
        <v>45798.34436342592</v>
      </c>
      <c r="C1951" s="1" t="n">
        <v>46105</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24502-2025</t>
        </is>
      </c>
      <c r="B1952" s="1" t="n">
        <v>45798.39761574074</v>
      </c>
      <c r="C1952" s="1" t="n">
        <v>46105</v>
      </c>
      <c r="D1952" t="inlineStr">
        <is>
          <t>JÄMTLANDS LÄN</t>
        </is>
      </c>
      <c r="E1952" t="inlineStr">
        <is>
          <t>BRÄCKE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24437-2025</t>
        </is>
      </c>
      <c r="B1953" s="1" t="n">
        <v>45797.79256944444</v>
      </c>
      <c r="C1953" s="1" t="n">
        <v>46105</v>
      </c>
      <c r="D1953" t="inlineStr">
        <is>
          <t>JÄMTLANDS LÄN</t>
        </is>
      </c>
      <c r="E1953" t="inlineStr">
        <is>
          <t>BRÄCKE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24636-2025</t>
        </is>
      </c>
      <c r="B1954" s="1" t="n">
        <v>45798.61528935185</v>
      </c>
      <c r="C1954" s="1" t="n">
        <v>46105</v>
      </c>
      <c r="D1954" t="inlineStr">
        <is>
          <t>JÄMTLANDS LÄN</t>
        </is>
      </c>
      <c r="E1954" t="inlineStr">
        <is>
          <t>BRÄCKE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24647-2025</t>
        </is>
      </c>
      <c r="B1955" s="1" t="n">
        <v>45798.63575231482</v>
      </c>
      <c r="C1955" s="1" t="n">
        <v>46105</v>
      </c>
      <c r="D1955" t="inlineStr">
        <is>
          <t>JÄMTLANDS LÄN</t>
        </is>
      </c>
      <c r="E1955" t="inlineStr">
        <is>
          <t>BRÄCKE</t>
        </is>
      </c>
      <c r="F1955" t="inlineStr">
        <is>
          <t>SCA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24427-2025</t>
        </is>
      </c>
      <c r="B1956" s="1" t="n">
        <v>45797.69851851852</v>
      </c>
      <c r="C1956" s="1" t="n">
        <v>46105</v>
      </c>
      <c r="D1956" t="inlineStr">
        <is>
          <t>JÄMTLANDS LÄN</t>
        </is>
      </c>
      <c r="E1956" t="inlineStr">
        <is>
          <t>BRÄCKE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24433-2025</t>
        </is>
      </c>
      <c r="B1957" s="1" t="n">
        <v>45797.75547453704</v>
      </c>
      <c r="C1957" s="1" t="n">
        <v>46105</v>
      </c>
      <c r="D1957" t="inlineStr">
        <is>
          <t>JÄMTLANDS LÄN</t>
        </is>
      </c>
      <c r="E1957" t="inlineStr">
        <is>
          <t>BRÄCKE</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24550-2025</t>
        </is>
      </c>
      <c r="B1958" s="1" t="n">
        <v>45798.44836805556</v>
      </c>
      <c r="C1958" s="1" t="n">
        <v>46105</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58741-2023</t>
        </is>
      </c>
      <c r="B1959" s="1" t="n">
        <v>45251.92894675926</v>
      </c>
      <c r="C1959" s="1" t="n">
        <v>46105</v>
      </c>
      <c r="D1959" t="inlineStr">
        <is>
          <t>JÄMTLANDS LÄN</t>
        </is>
      </c>
      <c r="E1959" t="inlineStr">
        <is>
          <t>BRÄCKE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24604-2025</t>
        </is>
      </c>
      <c r="B1960" s="1" t="n">
        <v>45798.5734375</v>
      </c>
      <c r="C1960" s="1" t="n">
        <v>46105</v>
      </c>
      <c r="D1960" t="inlineStr">
        <is>
          <t>JÄMTLANDS LÄN</t>
        </is>
      </c>
      <c r="E1960" t="inlineStr">
        <is>
          <t>BRÄCKE</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24784-2025</t>
        </is>
      </c>
      <c r="B1961" s="1" t="n">
        <v>45799.42741898148</v>
      </c>
      <c r="C1961" s="1" t="n">
        <v>46105</v>
      </c>
      <c r="D1961" t="inlineStr">
        <is>
          <t>JÄMTLANDS LÄN</t>
        </is>
      </c>
      <c r="E1961" t="inlineStr">
        <is>
          <t>BRÄCKE</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25101-2025</t>
        </is>
      </c>
      <c r="B1962" s="1" t="n">
        <v>45800.34444444445</v>
      </c>
      <c r="C1962" s="1" t="n">
        <v>46105</v>
      </c>
      <c r="D1962" t="inlineStr">
        <is>
          <t>JÄMTLANDS LÄN</t>
        </is>
      </c>
      <c r="E1962" t="inlineStr">
        <is>
          <t>BRÄCKE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25102-2025</t>
        </is>
      </c>
      <c r="B1963" s="1" t="n">
        <v>45800.34445601852</v>
      </c>
      <c r="C1963" s="1" t="n">
        <v>46105</v>
      </c>
      <c r="D1963" t="inlineStr">
        <is>
          <t>JÄMTLANDS LÄN</t>
        </is>
      </c>
      <c r="E1963" t="inlineStr">
        <is>
          <t>BRÄCKE</t>
        </is>
      </c>
      <c r="G1963" t="n">
        <v>11.1</v>
      </c>
      <c r="H1963" t="n">
        <v>0</v>
      </c>
      <c r="I1963" t="n">
        <v>0</v>
      </c>
      <c r="J1963" t="n">
        <v>0</v>
      </c>
      <c r="K1963" t="n">
        <v>0</v>
      </c>
      <c r="L1963" t="n">
        <v>0</v>
      </c>
      <c r="M1963" t="n">
        <v>0</v>
      </c>
      <c r="N1963" t="n">
        <v>0</v>
      </c>
      <c r="O1963" t="n">
        <v>0</v>
      </c>
      <c r="P1963" t="n">
        <v>0</v>
      </c>
      <c r="Q1963" t="n">
        <v>0</v>
      </c>
      <c r="R1963" s="2" t="inlineStr"/>
    </row>
    <row r="1964" ht="15" customHeight="1">
      <c r="A1964" t="inlineStr">
        <is>
          <t>A 25159-2025</t>
        </is>
      </c>
      <c r="B1964" s="1" t="n">
        <v>45800.42804398148</v>
      </c>
      <c r="C1964" s="1" t="n">
        <v>46105</v>
      </c>
      <c r="D1964" t="inlineStr">
        <is>
          <t>JÄMTLANDS LÄN</t>
        </is>
      </c>
      <c r="E1964" t="inlineStr">
        <is>
          <t>BRÄCKE</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24850-2025</t>
        </is>
      </c>
      <c r="B1965" s="1" t="n">
        <v>45799.46958333333</v>
      </c>
      <c r="C1965" s="1" t="n">
        <v>46105</v>
      </c>
      <c r="D1965" t="inlineStr">
        <is>
          <t>JÄMTLANDS LÄN</t>
        </is>
      </c>
      <c r="E1965" t="inlineStr">
        <is>
          <t>BRÄCKE</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25734-2025</t>
        </is>
      </c>
      <c r="B1966" s="1" t="n">
        <v>45803.76541666667</v>
      </c>
      <c r="C1966" s="1" t="n">
        <v>46105</v>
      </c>
      <c r="D1966" t="inlineStr">
        <is>
          <t>JÄMTLANDS LÄN</t>
        </is>
      </c>
      <c r="E1966" t="inlineStr">
        <is>
          <t>BRÄCKE</t>
        </is>
      </c>
      <c r="G1966" t="n">
        <v>12</v>
      </c>
      <c r="H1966" t="n">
        <v>0</v>
      </c>
      <c r="I1966" t="n">
        <v>0</v>
      </c>
      <c r="J1966" t="n">
        <v>0</v>
      </c>
      <c r="K1966" t="n">
        <v>0</v>
      </c>
      <c r="L1966" t="n">
        <v>0</v>
      </c>
      <c r="M1966" t="n">
        <v>0</v>
      </c>
      <c r="N1966" t="n">
        <v>0</v>
      </c>
      <c r="O1966" t="n">
        <v>0</v>
      </c>
      <c r="P1966" t="n">
        <v>0</v>
      </c>
      <c r="Q1966" t="n">
        <v>0</v>
      </c>
      <c r="R1966" s="2" t="inlineStr"/>
    </row>
    <row r="1967">
      <c r="A1967" t="inlineStr">
        <is>
          <t>A 25821-2025</t>
        </is>
      </c>
      <c r="B1967" s="1" t="n">
        <v>45804.43686342592</v>
      </c>
      <c r="C1967" s="1" t="n">
        <v>46105</v>
      </c>
      <c r="D1967" t="inlineStr">
        <is>
          <t>JÄMTLANDS LÄN</t>
        </is>
      </c>
      <c r="E1967" t="inlineStr">
        <is>
          <t>BRÄCKE</t>
        </is>
      </c>
      <c r="G1967" t="n">
        <v>3.3</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2026-03-24T11:36:02Z</dcterms:created>
  <dcterms:modified xmlns:dcterms="http://purl.org/dc/terms/" xmlns:xsi="http://www.w3.org/2001/XMLSchema-instance" xsi:type="dcterms:W3CDTF">2026-03-24T11:36:04Z</dcterms:modified>
</cp:coreProperties>
</file>