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46200</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46200</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46200</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46200</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46200</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46200</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46200</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46200</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46200</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46200</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46200</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46200</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46200</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34927-2023</t>
        </is>
      </c>
      <c r="B15" s="1" t="n">
        <v>45142</v>
      </c>
      <c r="C15" s="1" t="n">
        <v>46200</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46200</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46200</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46200</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46200</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46200</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46200</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46200</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46200</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58085-2024</t>
        </is>
      </c>
      <c r="B24" s="1" t="n">
        <v>45632</v>
      </c>
      <c r="C24" s="1" t="n">
        <v>46200</v>
      </c>
      <c r="D24" t="inlineStr">
        <is>
          <t>JÄMTLANDS LÄN</t>
        </is>
      </c>
      <c r="E24" t="inlineStr">
        <is>
          <t>BRÄCKE</t>
        </is>
      </c>
      <c r="F24" t="inlineStr">
        <is>
          <t>SCA</t>
        </is>
      </c>
      <c r="G24" t="n">
        <v>12.3</v>
      </c>
      <c r="H24" t="n">
        <v>3</v>
      </c>
      <c r="I24" t="n">
        <v>7</v>
      </c>
      <c r="J24" t="n">
        <v>6</v>
      </c>
      <c r="K24" t="n">
        <v>2</v>
      </c>
      <c r="L24" t="n">
        <v>0</v>
      </c>
      <c r="M24" t="n">
        <v>0</v>
      </c>
      <c r="N24" t="n">
        <v>0</v>
      </c>
      <c r="O24" t="n">
        <v>8</v>
      </c>
      <c r="P24" t="n">
        <v>2</v>
      </c>
      <c r="Q24" t="n">
        <v>16</v>
      </c>
      <c r="R24" s="2" t="inlineStr">
        <is>
          <t>Garnlav
Knärot
Gammelgransskål
Lunglav
Skrovellav
Tretåig hackspett
Ullticka
Vitgrynig nållav
Barkkornlav
Bårdlav
Korallblylav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29244-2024</t>
        </is>
      </c>
      <c r="B25" s="1" t="n">
        <v>45482</v>
      </c>
      <c r="C25" s="1" t="n">
        <v>46200</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28153-2025</t>
        </is>
      </c>
      <c r="B26" s="1" t="n">
        <v>45818</v>
      </c>
      <c r="C26" s="1" t="n">
        <v>46200</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19680-2026</t>
        </is>
      </c>
      <c r="B27" s="1" t="n">
        <v>46134</v>
      </c>
      <c r="C27" s="1" t="n">
        <v>46200</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46200</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31470-2024</t>
        </is>
      </c>
      <c r="B29" s="1" t="n">
        <v>45505</v>
      </c>
      <c r="C29" s="1" t="n">
        <v>46200</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61981-2025</t>
        </is>
      </c>
      <c r="B30" s="1" t="n">
        <v>46003</v>
      </c>
      <c r="C30" s="1" t="n">
        <v>46200</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20225-2026</t>
        </is>
      </c>
      <c r="B31" s="1" t="n">
        <v>46139</v>
      </c>
      <c r="C31" s="1" t="n">
        <v>46200</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46200</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49712-2024</t>
        </is>
      </c>
      <c r="B33" s="1" t="n">
        <v>45596</v>
      </c>
      <c r="C33" s="1" t="n">
        <v>46200</v>
      </c>
      <c r="D33" t="inlineStr">
        <is>
          <t>JÄMTLANDS LÄN</t>
        </is>
      </c>
      <c r="E33" t="inlineStr">
        <is>
          <t>BRÄCKE</t>
        </is>
      </c>
      <c r="F33" t="inlineStr">
        <is>
          <t>Naturvårdsverket</t>
        </is>
      </c>
      <c r="G33" t="n">
        <v>1.9</v>
      </c>
      <c r="H33" t="n">
        <v>1</v>
      </c>
      <c r="I33" t="n">
        <v>3</v>
      </c>
      <c r="J33" t="n">
        <v>6</v>
      </c>
      <c r="K33" t="n">
        <v>3</v>
      </c>
      <c r="L33" t="n">
        <v>0</v>
      </c>
      <c r="M33" t="n">
        <v>0</v>
      </c>
      <c r="N33" t="n">
        <v>0</v>
      </c>
      <c r="O33" t="n">
        <v>9</v>
      </c>
      <c r="P33" t="n">
        <v>3</v>
      </c>
      <c r="Q33" t="n">
        <v>12</v>
      </c>
      <c r="R33" s="2" t="inlineStr">
        <is>
          <t>Garnlav
Knärot
Skrovlig taggsvamp
Harticka
Lunglav
Rosenticka
Talltaggsvamp
Vedflamlav
Vedskivlav
Svart trolldruva
Svavelriska
Tibast</t>
        </is>
      </c>
      <c r="S33">
        <f>HYPERLINK("https://klasma.github.io/Logging_2305/artfynd/A 49712-2024 artfynd.xlsx", "A 49712-2024")</f>
        <v/>
      </c>
      <c r="T33">
        <f>HYPERLINK("https://klasma.github.io/Logging_2305/kartor/A 49712-2024 karta.png", "A 49712-2024")</f>
        <v/>
      </c>
      <c r="U33">
        <f>HYPERLINK("https://klasma.github.io/Logging_2305/knärot/A 49712-2024 karta knärot.png", "A 49712-2024")</f>
        <v/>
      </c>
      <c r="V33">
        <f>HYPERLINK("https://klasma.github.io/Logging_2305/klagomål/A 49712-2024 FSC-klagomål.docx", "A 49712-2024")</f>
        <v/>
      </c>
      <c r="W33">
        <f>HYPERLINK("https://klasma.github.io/Logging_2305/klagomålsmail/A 49712-2024 FSC-klagomål mail.docx", "A 49712-2024")</f>
        <v/>
      </c>
      <c r="X33">
        <f>HYPERLINK("https://klasma.github.io/Logging_2305/tillsyn/A 49712-2024 tillsynsbegäran.docx", "A 49712-2024")</f>
        <v/>
      </c>
      <c r="Y33">
        <f>HYPERLINK("https://klasma.github.io/Logging_2305/tillsynsmail/A 49712-2024 tillsynsbegäran mail.docx", "A 49712-2024")</f>
        <v/>
      </c>
    </row>
    <row r="34" ht="15" customHeight="1">
      <c r="A34" t="inlineStr">
        <is>
          <t>A 34529-2025</t>
        </is>
      </c>
      <c r="B34" s="1" t="n">
        <v>45847</v>
      </c>
      <c r="C34" s="1" t="n">
        <v>46200</v>
      </c>
      <c r="D34" t="inlineStr">
        <is>
          <t>JÄMTLANDS LÄN</t>
        </is>
      </c>
      <c r="E34" t="inlineStr">
        <is>
          <t>BRÄCKE</t>
        </is>
      </c>
      <c r="F34" t="inlineStr">
        <is>
          <t>SCA</t>
        </is>
      </c>
      <c r="G34" t="n">
        <v>2.4</v>
      </c>
      <c r="H34" t="n">
        <v>1</v>
      </c>
      <c r="I34" t="n">
        <v>0</v>
      </c>
      <c r="J34" t="n">
        <v>6</v>
      </c>
      <c r="K34" t="n">
        <v>6</v>
      </c>
      <c r="L34" t="n">
        <v>0</v>
      </c>
      <c r="M34" t="n">
        <v>0</v>
      </c>
      <c r="N34" t="n">
        <v>0</v>
      </c>
      <c r="O34" t="n">
        <v>12</v>
      </c>
      <c r="P34" t="n">
        <v>6</v>
      </c>
      <c r="Q34" t="n">
        <v>12</v>
      </c>
      <c r="R34" s="2" t="inlineStr">
        <is>
          <t>Jättemusseron
Knärot
Lammticka
Skrovlig taggsvamp
Tallgråticka
Torrmusseron
Dropptaggsvamp
Orange taggsvamp
Svartvit taggsvamp
Tallfingersvamp
Tallriska
Talltaggsvamp</t>
        </is>
      </c>
      <c r="S34">
        <f>HYPERLINK("https://klasma.github.io/Logging_2305/artfynd/A 34529-2025 artfynd.xlsx", "A 34529-2025")</f>
        <v/>
      </c>
      <c r="T34">
        <f>HYPERLINK("https://klasma.github.io/Logging_2305/kartor/A 34529-2025 karta.png", "A 34529-2025")</f>
        <v/>
      </c>
      <c r="U34">
        <f>HYPERLINK("https://klasma.github.io/Logging_2305/knärot/A 34529-2025 karta knärot.png", "A 34529-2025")</f>
        <v/>
      </c>
      <c r="V34">
        <f>HYPERLINK("https://klasma.github.io/Logging_2305/klagomål/A 34529-2025 FSC-klagomål.docx", "A 34529-2025")</f>
        <v/>
      </c>
      <c r="W34">
        <f>HYPERLINK("https://klasma.github.io/Logging_2305/klagomålsmail/A 34529-2025 FSC-klagomål mail.docx", "A 34529-2025")</f>
        <v/>
      </c>
      <c r="X34">
        <f>HYPERLINK("https://klasma.github.io/Logging_2305/tillsyn/A 34529-2025 tillsynsbegäran.docx", "A 34529-2025")</f>
        <v/>
      </c>
      <c r="Y34">
        <f>HYPERLINK("https://klasma.github.io/Logging_2305/tillsynsmail/A 34529-2025 tillsynsbegäran mail.docx", "A 34529-2025")</f>
        <v/>
      </c>
    </row>
    <row r="35" ht="15" customHeight="1">
      <c r="A35" t="inlineStr">
        <is>
          <t>A 19337-2024</t>
        </is>
      </c>
      <c r="B35" s="1" t="n">
        <v>45428</v>
      </c>
      <c r="C35" s="1" t="n">
        <v>46200</v>
      </c>
      <c r="D35" t="inlineStr">
        <is>
          <t>JÄMTLANDS LÄN</t>
        </is>
      </c>
      <c r="E35" t="inlineStr">
        <is>
          <t>BRÄCKE</t>
        </is>
      </c>
      <c r="F35" t="inlineStr">
        <is>
          <t>SCA</t>
        </is>
      </c>
      <c r="G35" t="n">
        <v>6</v>
      </c>
      <c r="H35" t="n">
        <v>4</v>
      </c>
      <c r="I35" t="n">
        <v>5</v>
      </c>
      <c r="J35" t="n">
        <v>4</v>
      </c>
      <c r="K35" t="n">
        <v>1</v>
      </c>
      <c r="L35" t="n">
        <v>0</v>
      </c>
      <c r="M35" t="n">
        <v>0</v>
      </c>
      <c r="N35" t="n">
        <v>0</v>
      </c>
      <c r="O35" t="n">
        <v>5</v>
      </c>
      <c r="P35" t="n">
        <v>1</v>
      </c>
      <c r="Q35" t="n">
        <v>12</v>
      </c>
      <c r="R35" s="2" t="inlineStr">
        <is>
          <t>Gränsticka
Gammelgransskål
Lavskrika
Ullticka
Vedtrappmossa
Guckusko
Kransrams
Svavelriska
Tibast
Underviol
Blåsippa
Spillkråka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67343-2021</t>
        </is>
      </c>
      <c r="B36" s="1" t="n">
        <v>44523</v>
      </c>
      <c r="C36" s="1" t="n">
        <v>46200</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46200</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61433-2025</t>
        </is>
      </c>
      <c r="B38" s="1" t="n">
        <v>46001</v>
      </c>
      <c r="C38" s="1" t="n">
        <v>46200</v>
      </c>
      <c r="D38" t="inlineStr">
        <is>
          <t>JÄMTLANDS LÄN</t>
        </is>
      </c>
      <c r="E38" t="inlineStr">
        <is>
          <t>BRÄCKE</t>
        </is>
      </c>
      <c r="G38" t="n">
        <v>12.5</v>
      </c>
      <c r="H38" t="n">
        <v>5</v>
      </c>
      <c r="I38" t="n">
        <v>4</v>
      </c>
      <c r="J38" t="n">
        <v>3</v>
      </c>
      <c r="K38" t="n">
        <v>2</v>
      </c>
      <c r="L38" t="n">
        <v>0</v>
      </c>
      <c r="M38" t="n">
        <v>0</v>
      </c>
      <c r="N38" t="n">
        <v>0</v>
      </c>
      <c r="O38" t="n">
        <v>5</v>
      </c>
      <c r="P38" t="n">
        <v>2</v>
      </c>
      <c r="Q38" t="n">
        <v>12</v>
      </c>
      <c r="R38" s="2" t="inlineStr">
        <is>
          <t>Garnlav
Knärot
Doftskinn
Lunglav
Tretåig hackspett
Luddlav
Plattlummer
Stuplav
Ögonpyrola
Linnea
Spillkråka
Revlummer</t>
        </is>
      </c>
      <c r="S38">
        <f>HYPERLINK("https://klasma.github.io/Logging_2305/artfynd/A 61433-2025 artfynd.xlsx", "A 61433-2025")</f>
        <v/>
      </c>
      <c r="T38">
        <f>HYPERLINK("https://klasma.github.io/Logging_2305/kartor/A 61433-2025 karta.png", "A 61433-2025")</f>
        <v/>
      </c>
      <c r="U38">
        <f>HYPERLINK("https://klasma.github.io/Logging_2305/knärot/A 61433-2025 karta knärot.png", "A 61433-2025")</f>
        <v/>
      </c>
      <c r="V38">
        <f>HYPERLINK("https://klasma.github.io/Logging_2305/klagomål/A 61433-2025 FSC-klagomål.docx", "A 61433-2025")</f>
        <v/>
      </c>
      <c r="W38">
        <f>HYPERLINK("https://klasma.github.io/Logging_2305/klagomålsmail/A 61433-2025 FSC-klagomål mail.docx", "A 61433-2025")</f>
        <v/>
      </c>
      <c r="X38">
        <f>HYPERLINK("https://klasma.github.io/Logging_2305/tillsyn/A 61433-2025 tillsynsbegäran.docx", "A 61433-2025")</f>
        <v/>
      </c>
      <c r="Y38">
        <f>HYPERLINK("https://klasma.github.io/Logging_2305/tillsynsmail/A 61433-2025 tillsynsbegäran mail.docx", "A 61433-2025")</f>
        <v/>
      </c>
      <c r="Z38">
        <f>HYPERLINK("https://klasma.github.io/Logging_2305/fåglar/A 61433-2025 prioriterade fågelarter.docx", "A 61433-2025")</f>
        <v/>
      </c>
    </row>
    <row r="39" ht="15" customHeight="1">
      <c r="A39" t="inlineStr">
        <is>
          <t>A 11002-2022</t>
        </is>
      </c>
      <c r="B39" s="1" t="n">
        <v>44628</v>
      </c>
      <c r="C39" s="1" t="n">
        <v>46200</v>
      </c>
      <c r="D39" t="inlineStr">
        <is>
          <t>JÄMTLANDS LÄN</t>
        </is>
      </c>
      <c r="E39" t="inlineStr">
        <is>
          <t>BRÄCKE</t>
        </is>
      </c>
      <c r="G39" t="n">
        <v>8.5</v>
      </c>
      <c r="H39" t="n">
        <v>0</v>
      </c>
      <c r="I39" t="n">
        <v>5</v>
      </c>
      <c r="J39" t="n">
        <v>5</v>
      </c>
      <c r="K39" t="n">
        <v>1</v>
      </c>
      <c r="L39" t="n">
        <v>0</v>
      </c>
      <c r="M39" t="n">
        <v>0</v>
      </c>
      <c r="N39" t="n">
        <v>0</v>
      </c>
      <c r="O39" t="n">
        <v>6</v>
      </c>
      <c r="P39" t="n">
        <v>1</v>
      </c>
      <c r="Q39" t="n">
        <v>11</v>
      </c>
      <c r="R39" s="2" t="inlineStr">
        <is>
          <t>Gränsticka
Gullpudra
Lunglav
Rynkskinn
Ullticka
Vitgrynig nållav
Skogshakmossa
Strutbräken
Svavelriska
Tibast
Vedticka</t>
        </is>
      </c>
      <c r="S39">
        <f>HYPERLINK("https://klasma.github.io/Logging_2305/artfynd/A 11002-2022 artfynd.xlsx", "A 11002-2022")</f>
        <v/>
      </c>
      <c r="T39">
        <f>HYPERLINK("https://klasma.github.io/Logging_2305/kartor/A 11002-2022 karta.png", "A 11002-2022")</f>
        <v/>
      </c>
      <c r="V39">
        <f>HYPERLINK("https://klasma.github.io/Logging_2305/klagomål/A 11002-2022 FSC-klagomål.docx", "A 11002-2022")</f>
        <v/>
      </c>
      <c r="W39">
        <f>HYPERLINK("https://klasma.github.io/Logging_2305/klagomålsmail/A 11002-2022 FSC-klagomål mail.docx", "A 11002-2022")</f>
        <v/>
      </c>
      <c r="X39">
        <f>HYPERLINK("https://klasma.github.io/Logging_2305/tillsyn/A 11002-2022 tillsynsbegäran.docx", "A 11002-2022")</f>
        <v/>
      </c>
      <c r="Y39">
        <f>HYPERLINK("https://klasma.github.io/Logging_2305/tillsynsmail/A 11002-2022 tillsynsbegäran mail.docx", "A 11002-2022")</f>
        <v/>
      </c>
    </row>
    <row r="40" ht="15" customHeight="1">
      <c r="A40" t="inlineStr">
        <is>
          <t>A 11982-2024</t>
        </is>
      </c>
      <c r="B40" s="1" t="n">
        <v>45376</v>
      </c>
      <c r="C40" s="1" t="n">
        <v>46200</v>
      </c>
      <c r="D40" t="inlineStr">
        <is>
          <t>JÄMTLANDS LÄN</t>
        </is>
      </c>
      <c r="E40" t="inlineStr">
        <is>
          <t>BRÄCKE</t>
        </is>
      </c>
      <c r="F40" t="inlineStr">
        <is>
          <t>SCA</t>
        </is>
      </c>
      <c r="G40" t="n">
        <v>2.6</v>
      </c>
      <c r="H40" t="n">
        <v>1</v>
      </c>
      <c r="I40" t="n">
        <v>4</v>
      </c>
      <c r="J40" t="n">
        <v>4</v>
      </c>
      <c r="K40" t="n">
        <v>2</v>
      </c>
      <c r="L40" t="n">
        <v>0</v>
      </c>
      <c r="M40" t="n">
        <v>0</v>
      </c>
      <c r="N40" t="n">
        <v>0</v>
      </c>
      <c r="O40" t="n">
        <v>6</v>
      </c>
      <c r="P40" t="n">
        <v>2</v>
      </c>
      <c r="Q40" t="n">
        <v>11</v>
      </c>
      <c r="R40" s="2" t="inlineStr">
        <is>
          <t>Garnlav
Gränsticka
Lunglav
Rynkskinn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51819-2023</t>
        </is>
      </c>
      <c r="B41" s="1" t="n">
        <v>45222</v>
      </c>
      <c r="C41" s="1" t="n">
        <v>46200</v>
      </c>
      <c r="D41" t="inlineStr">
        <is>
          <t>JÄMTLANDS LÄN</t>
        </is>
      </c>
      <c r="E41" t="inlineStr">
        <is>
          <t>BRÄCKE</t>
        </is>
      </c>
      <c r="F41" t="inlineStr">
        <is>
          <t>SCA</t>
        </is>
      </c>
      <c r="G41" t="n">
        <v>3.9</v>
      </c>
      <c r="H41" t="n">
        <v>0</v>
      </c>
      <c r="I41" t="n">
        <v>7</v>
      </c>
      <c r="J41" t="n">
        <v>3</v>
      </c>
      <c r="K41" t="n">
        <v>1</v>
      </c>
      <c r="L41" t="n">
        <v>0</v>
      </c>
      <c r="M41" t="n">
        <v>0</v>
      </c>
      <c r="N41" t="n">
        <v>0</v>
      </c>
      <c r="O41" t="n">
        <v>4</v>
      </c>
      <c r="P41" t="n">
        <v>1</v>
      </c>
      <c r="Q41" t="n">
        <v>11</v>
      </c>
      <c r="R41" s="2" t="inlineStr">
        <is>
          <t>Smalskaftslav
Lunglav
Skrovellav
Ullticka
Bårdlav
Granriska
Gytterlav
Korallblylav
Luddlav
Stuplav
Svavelriska</t>
        </is>
      </c>
      <c r="S41">
        <f>HYPERLINK("https://klasma.github.io/Logging_2305/artfynd/A 51819-2023 artfynd.xlsx", "A 51819-2023")</f>
        <v/>
      </c>
      <c r="T41">
        <f>HYPERLINK("https://klasma.github.io/Logging_2305/kartor/A 51819-2023 karta.png", "A 51819-2023")</f>
        <v/>
      </c>
      <c r="V41">
        <f>HYPERLINK("https://klasma.github.io/Logging_2305/klagomål/A 51819-2023 FSC-klagomål.docx", "A 51819-2023")</f>
        <v/>
      </c>
      <c r="W41">
        <f>HYPERLINK("https://klasma.github.io/Logging_2305/klagomålsmail/A 51819-2023 FSC-klagomål mail.docx", "A 51819-2023")</f>
        <v/>
      </c>
      <c r="X41">
        <f>HYPERLINK("https://klasma.github.io/Logging_2305/tillsyn/A 51819-2023 tillsynsbegäran.docx", "A 51819-2023")</f>
        <v/>
      </c>
      <c r="Y41">
        <f>HYPERLINK("https://klasma.github.io/Logging_2305/tillsynsmail/A 51819-2023 tillsynsbegäran mail.docx", "A 51819-2023")</f>
        <v/>
      </c>
    </row>
    <row r="42" ht="15" customHeight="1">
      <c r="A42" t="inlineStr">
        <is>
          <t>A 60620-2025</t>
        </is>
      </c>
      <c r="B42" s="1" t="n">
        <v>45996</v>
      </c>
      <c r="C42" s="1" t="n">
        <v>46200</v>
      </c>
      <c r="D42" t="inlineStr">
        <is>
          <t>JÄMTLANDS LÄN</t>
        </is>
      </c>
      <c r="E42" t="inlineStr">
        <is>
          <t>BRÄCKE</t>
        </is>
      </c>
      <c r="F42" t="inlineStr">
        <is>
          <t>SCA</t>
        </is>
      </c>
      <c r="G42" t="n">
        <v>3.5</v>
      </c>
      <c r="H42" t="n">
        <v>3</v>
      </c>
      <c r="I42" t="n">
        <v>3</v>
      </c>
      <c r="J42" t="n">
        <v>6</v>
      </c>
      <c r="K42" t="n">
        <v>1</v>
      </c>
      <c r="L42" t="n">
        <v>0</v>
      </c>
      <c r="M42" t="n">
        <v>0</v>
      </c>
      <c r="N42" t="n">
        <v>0</v>
      </c>
      <c r="O42" t="n">
        <v>7</v>
      </c>
      <c r="P42" t="n">
        <v>1</v>
      </c>
      <c r="Q42" t="n">
        <v>11</v>
      </c>
      <c r="R42" s="2" t="inlineStr">
        <is>
          <t>Garnlav
Gammelgransskål
Lavskrika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46200</v>
      </c>
      <c r="D43" t="inlineStr">
        <is>
          <t>JÄMTLANDS LÄN</t>
        </is>
      </c>
      <c r="E43" t="inlineStr">
        <is>
          <t>BRÄCKE</t>
        </is>
      </c>
      <c r="F43" t="inlineStr">
        <is>
          <t>SCA</t>
        </is>
      </c>
      <c r="G43" t="n">
        <v>33.6</v>
      </c>
      <c r="H43" t="n">
        <v>3</v>
      </c>
      <c r="I43" t="n">
        <v>2</v>
      </c>
      <c r="J43" t="n">
        <v>7</v>
      </c>
      <c r="K43" t="n">
        <v>2</v>
      </c>
      <c r="L43" t="n">
        <v>0</v>
      </c>
      <c r="M43" t="n">
        <v>0</v>
      </c>
      <c r="N43" t="n">
        <v>0</v>
      </c>
      <c r="O43" t="n">
        <v>9</v>
      </c>
      <c r="P43" t="n">
        <v>2</v>
      </c>
      <c r="Q43" t="n">
        <v>11</v>
      </c>
      <c r="R43" s="2" t="inlineStr">
        <is>
          <t>Borsttagging
Knärot
Kolflarnlav
Lunglav
Rosenticka
Rynkskinn
Talltita
Tretåig hackspett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61483-2024</t>
        </is>
      </c>
      <c r="B44" s="1" t="n">
        <v>45646</v>
      </c>
      <c r="C44" s="1" t="n">
        <v>46200</v>
      </c>
      <c r="D44" t="inlineStr">
        <is>
          <t>JÄMTLANDS LÄN</t>
        </is>
      </c>
      <c r="E44" t="inlineStr">
        <is>
          <t>BRÄCKE</t>
        </is>
      </c>
      <c r="F44" t="inlineStr">
        <is>
          <t>Övriga Aktiebolag</t>
        </is>
      </c>
      <c r="G44" t="n">
        <v>13.8</v>
      </c>
      <c r="H44" t="n">
        <v>4</v>
      </c>
      <c r="I44" t="n">
        <v>0</v>
      </c>
      <c r="J44" t="n">
        <v>8</v>
      </c>
      <c r="K44" t="n">
        <v>2</v>
      </c>
      <c r="L44" t="n">
        <v>0</v>
      </c>
      <c r="M44" t="n">
        <v>0</v>
      </c>
      <c r="N44" t="n">
        <v>0</v>
      </c>
      <c r="O44" t="n">
        <v>10</v>
      </c>
      <c r="P44" t="n">
        <v>2</v>
      </c>
      <c r="Q44" t="n">
        <v>11</v>
      </c>
      <c r="R44" s="2" t="inlineStr">
        <is>
          <t>Garnlav
Knärot
Gammelgransskål
Kolflarnlav
Lunglav
Skogshare
Talltita
Tretåig hackspett
Ullticka
Vitgrynig nållav
Spillkråka</t>
        </is>
      </c>
      <c r="S44">
        <f>HYPERLINK("https://klasma.github.io/Logging_2305/artfynd/A 61483-2024 artfynd.xlsx", "A 61483-2024")</f>
        <v/>
      </c>
      <c r="T44">
        <f>HYPERLINK("https://klasma.github.io/Logging_2305/kartor/A 61483-2024 karta.png", "A 61483-2024")</f>
        <v/>
      </c>
      <c r="U44">
        <f>HYPERLINK("https://klasma.github.io/Logging_2305/knärot/A 61483-2024 karta knärot.png", "A 61483-2024")</f>
        <v/>
      </c>
      <c r="V44">
        <f>HYPERLINK("https://klasma.github.io/Logging_2305/klagomål/A 61483-2024 FSC-klagomål.docx", "A 61483-2024")</f>
        <v/>
      </c>
      <c r="W44">
        <f>HYPERLINK("https://klasma.github.io/Logging_2305/klagomålsmail/A 61483-2024 FSC-klagomål mail.docx", "A 61483-2024")</f>
        <v/>
      </c>
      <c r="X44">
        <f>HYPERLINK("https://klasma.github.io/Logging_2305/tillsyn/A 61483-2024 tillsynsbegäran.docx", "A 61483-2024")</f>
        <v/>
      </c>
      <c r="Y44">
        <f>HYPERLINK("https://klasma.github.io/Logging_2305/tillsynsmail/A 61483-2024 tillsynsbegäran mail.docx", "A 61483-2024")</f>
        <v/>
      </c>
      <c r="Z44">
        <f>HYPERLINK("https://klasma.github.io/Logging_2305/fåglar/A 61483-2024 prioriterade fågelarter.docx", "A 61483-2024")</f>
        <v/>
      </c>
    </row>
    <row r="45" ht="15" customHeight="1">
      <c r="A45" t="inlineStr">
        <is>
          <t>A 26702-2026</t>
        </is>
      </c>
      <c r="B45" s="1" t="n">
        <v>46184</v>
      </c>
      <c r="C45" s="1" t="n">
        <v>46200</v>
      </c>
      <c r="D45" t="inlineStr">
        <is>
          <t>JÄMTLANDS LÄN</t>
        </is>
      </c>
      <c r="E45" t="inlineStr">
        <is>
          <t>BRÄCKE</t>
        </is>
      </c>
      <c r="F45" t="inlineStr">
        <is>
          <t>SCA</t>
        </is>
      </c>
      <c r="G45" t="n">
        <v>3.1</v>
      </c>
      <c r="H45" t="n">
        <v>1</v>
      </c>
      <c r="I45" t="n">
        <v>0</v>
      </c>
      <c r="J45" t="n">
        <v>9</v>
      </c>
      <c r="K45" t="n">
        <v>2</v>
      </c>
      <c r="L45" t="n">
        <v>0</v>
      </c>
      <c r="M45" t="n">
        <v>0</v>
      </c>
      <c r="N45" t="n">
        <v>0</v>
      </c>
      <c r="O45" t="n">
        <v>11</v>
      </c>
      <c r="P45" t="n">
        <v>2</v>
      </c>
      <c r="Q45" t="n">
        <v>11</v>
      </c>
      <c r="R45" s="2" t="inlineStr">
        <is>
          <t>Garnlav
Gräddporing
Blågrå svartspik
Dropptaggsvamp
Dvärgbägarlav
Kolflarnlav
Kortskaftad ärgspik
Mörk kolflarnlav
Varglav
Vedflamlav
Vedskivlav</t>
        </is>
      </c>
      <c r="S45">
        <f>HYPERLINK("https://klasma.github.io/Logging_2305/artfynd/A 26702-2026 artfynd.xlsx", "A 26702-2026")</f>
        <v/>
      </c>
      <c r="T45">
        <f>HYPERLINK("https://klasma.github.io/Logging_2305/kartor/A 26702-2026 karta.png", "A 26702-2026")</f>
        <v/>
      </c>
      <c r="V45">
        <f>HYPERLINK("https://klasma.github.io/Logging_2305/klagomål/A 26702-2026 FSC-klagomål.docx", "A 26702-2026")</f>
        <v/>
      </c>
      <c r="W45">
        <f>HYPERLINK("https://klasma.github.io/Logging_2305/klagomålsmail/A 26702-2026 FSC-klagomål mail.docx", "A 26702-2026")</f>
        <v/>
      </c>
      <c r="X45">
        <f>HYPERLINK("https://klasma.github.io/Logging_2305/tillsyn/A 26702-2026 tillsynsbegäran.docx", "A 26702-2026")</f>
        <v/>
      </c>
      <c r="Y45">
        <f>HYPERLINK("https://klasma.github.io/Logging_2305/tillsynsmail/A 26702-2026 tillsynsbegäran mail.docx", "A 26702-2026")</f>
        <v/>
      </c>
    </row>
    <row r="46" ht="15" customHeight="1">
      <c r="A46" t="inlineStr">
        <is>
          <t>A 23809-2026</t>
        </is>
      </c>
      <c r="B46" s="1" t="n">
        <v>46164</v>
      </c>
      <c r="C46" s="1" t="n">
        <v>46200</v>
      </c>
      <c r="D46" t="inlineStr">
        <is>
          <t>JÄMTLANDS LÄN</t>
        </is>
      </c>
      <c r="E46" t="inlineStr">
        <is>
          <t>BRÄCKE</t>
        </is>
      </c>
      <c r="G46" t="n">
        <v>1.4</v>
      </c>
      <c r="H46" t="n">
        <v>2</v>
      </c>
      <c r="I46" t="n">
        <v>1</v>
      </c>
      <c r="J46" t="n">
        <v>3</v>
      </c>
      <c r="K46" t="n">
        <v>0</v>
      </c>
      <c r="L46" t="n">
        <v>1</v>
      </c>
      <c r="M46" t="n">
        <v>0</v>
      </c>
      <c r="N46" t="n">
        <v>0</v>
      </c>
      <c r="O46" t="n">
        <v>4</v>
      </c>
      <c r="P46" t="n">
        <v>1</v>
      </c>
      <c r="Q46" t="n">
        <v>11</v>
      </c>
      <c r="R46" s="2" t="inlineStr">
        <is>
          <t>Trolldruvemätare
Björktrast
Rosenticka
Rynkskinn
Svart trolldruva
Blåsippa
Hultbräken
Kransmossa
Kärrviol
Nordisk stormhatt
Ormbär</t>
        </is>
      </c>
      <c r="S46">
        <f>HYPERLINK("https://klasma.github.io/Logging_2305/artfynd/A 23809-2026 artfynd.xlsx", "A 23809-2026")</f>
        <v/>
      </c>
      <c r="T46">
        <f>HYPERLINK("https://klasma.github.io/Logging_2305/kartor/A 23809-2026 karta.png", "A 23809-2026")</f>
        <v/>
      </c>
      <c r="V46">
        <f>HYPERLINK("https://klasma.github.io/Logging_2305/klagomål/A 23809-2026 FSC-klagomål.docx", "A 23809-2026")</f>
        <v/>
      </c>
      <c r="W46">
        <f>HYPERLINK("https://klasma.github.io/Logging_2305/klagomålsmail/A 23809-2026 FSC-klagomål mail.docx", "A 23809-2026")</f>
        <v/>
      </c>
      <c r="X46">
        <f>HYPERLINK("https://klasma.github.io/Logging_2305/tillsyn/A 23809-2026 tillsynsbegäran.docx", "A 23809-2026")</f>
        <v/>
      </c>
      <c r="Y46">
        <f>HYPERLINK("https://klasma.github.io/Logging_2305/tillsynsmail/A 23809-2026 tillsynsbegäran mail.docx", "A 23809-2026")</f>
        <v/>
      </c>
      <c r="Z46">
        <f>HYPERLINK("https://klasma.github.io/Logging_2305/fåglar/A 23809-2026 prioriterade fågelarter.docx", "A 23809-2026")</f>
        <v/>
      </c>
    </row>
    <row r="47" ht="15" customHeight="1">
      <c r="A47" t="inlineStr">
        <is>
          <t>A 7435-2022</t>
        </is>
      </c>
      <c r="B47" s="1" t="n">
        <v>44606</v>
      </c>
      <c r="C47" s="1" t="n">
        <v>46200</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46200</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40376-2024</t>
        </is>
      </c>
      <c r="B49" s="1" t="n">
        <v>45555</v>
      </c>
      <c r="C49" s="1" t="n">
        <v>46200</v>
      </c>
      <c r="D49" t="inlineStr">
        <is>
          <t>JÄMTLANDS LÄN</t>
        </is>
      </c>
      <c r="E49" t="inlineStr">
        <is>
          <t>BRÄCKE</t>
        </is>
      </c>
      <c r="F49" t="inlineStr">
        <is>
          <t>Naturvårdsverket</t>
        </is>
      </c>
      <c r="G49" t="n">
        <v>2.9</v>
      </c>
      <c r="H49" t="n">
        <v>1</v>
      </c>
      <c r="I49" t="n">
        <v>1</v>
      </c>
      <c r="J49" t="n">
        <v>8</v>
      </c>
      <c r="K49" t="n">
        <v>1</v>
      </c>
      <c r="L49" t="n">
        <v>0</v>
      </c>
      <c r="M49" t="n">
        <v>0</v>
      </c>
      <c r="N49" t="n">
        <v>0</v>
      </c>
      <c r="O49" t="n">
        <v>9</v>
      </c>
      <c r="P49" t="n">
        <v>1</v>
      </c>
      <c r="Q49" t="n">
        <v>10</v>
      </c>
      <c r="R49" s="2" t="inlineStr">
        <is>
          <t>Knärot
Dropptaggsvamp
Dvärgbägarlav
Gammelgransskål
Kolflarnlav
Lunglav
Mörk kolflarnlav
Vedflamlav
Vedskivlav
Bollvitmossa</t>
        </is>
      </c>
      <c r="S49">
        <f>HYPERLINK("https://klasma.github.io/Logging_2305/artfynd/A 40376-2024 artfynd.xlsx", "A 40376-2024")</f>
        <v/>
      </c>
      <c r="T49">
        <f>HYPERLINK("https://klasma.github.io/Logging_2305/kartor/A 40376-2024 karta.png", "A 40376-2024")</f>
        <v/>
      </c>
      <c r="U49">
        <f>HYPERLINK("https://klasma.github.io/Logging_2305/knärot/A 40376-2024 karta knärot.png", "A 40376-2024")</f>
        <v/>
      </c>
      <c r="V49">
        <f>HYPERLINK("https://klasma.github.io/Logging_2305/klagomål/A 40376-2024 FSC-klagomål.docx", "A 40376-2024")</f>
        <v/>
      </c>
      <c r="W49">
        <f>HYPERLINK("https://klasma.github.io/Logging_2305/klagomålsmail/A 40376-2024 FSC-klagomål mail.docx", "A 40376-2024")</f>
        <v/>
      </c>
      <c r="X49">
        <f>HYPERLINK("https://klasma.github.io/Logging_2305/tillsyn/A 40376-2024 tillsynsbegäran.docx", "A 40376-2024")</f>
        <v/>
      </c>
      <c r="Y49">
        <f>HYPERLINK("https://klasma.github.io/Logging_2305/tillsynsmail/A 40376-2024 tillsynsbegäran mail.docx", "A 40376-2024")</f>
        <v/>
      </c>
    </row>
    <row r="50" ht="15" customHeight="1">
      <c r="A50" t="inlineStr">
        <is>
          <t>A 49372-2024</t>
        </is>
      </c>
      <c r="B50" s="1" t="n">
        <v>45595</v>
      </c>
      <c r="C50" s="1" t="n">
        <v>46200</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58080-2023</t>
        </is>
      </c>
      <c r="B51" s="1" t="n">
        <v>45247</v>
      </c>
      <c r="C51" s="1" t="n">
        <v>46200</v>
      </c>
      <c r="D51" t="inlineStr">
        <is>
          <t>JÄMTLANDS LÄN</t>
        </is>
      </c>
      <c r="E51" t="inlineStr">
        <is>
          <t>BRÄCKE</t>
        </is>
      </c>
      <c r="F51" t="inlineStr">
        <is>
          <t>SCA</t>
        </is>
      </c>
      <c r="G51" t="n">
        <v>19.5</v>
      </c>
      <c r="H51" t="n">
        <v>2</v>
      </c>
      <c r="I51" t="n">
        <v>4</v>
      </c>
      <c r="J51" t="n">
        <v>3</v>
      </c>
      <c r="K51" t="n">
        <v>3</v>
      </c>
      <c r="L51" t="n">
        <v>0</v>
      </c>
      <c r="M51" t="n">
        <v>0</v>
      </c>
      <c r="N51" t="n">
        <v>0</v>
      </c>
      <c r="O51" t="n">
        <v>6</v>
      </c>
      <c r="P51" t="n">
        <v>3</v>
      </c>
      <c r="Q51" t="n">
        <v>10</v>
      </c>
      <c r="R51" s="2" t="inlineStr">
        <is>
          <t>Blackticka
Doftticka
Knärot
Lunglav
Skrovellav
Vedtrappmossa
Bårdlav
Luddlav
Skinnlav
Stuplav</t>
        </is>
      </c>
      <c r="S51">
        <f>HYPERLINK("https://klasma.github.io/Logging_2305/artfynd/A 58080-2023 artfynd.xlsx", "A 58080-2023")</f>
        <v/>
      </c>
      <c r="T51">
        <f>HYPERLINK("https://klasma.github.io/Logging_2305/kartor/A 58080-2023 karta.png", "A 58080-2023")</f>
        <v/>
      </c>
      <c r="U51">
        <f>HYPERLINK("https://klasma.github.io/Logging_2305/knärot/A 58080-2023 karta knärot.png", "A 58080-2023")</f>
        <v/>
      </c>
      <c r="V51">
        <f>HYPERLINK("https://klasma.github.io/Logging_2305/klagomål/A 58080-2023 FSC-klagomål.docx", "A 58080-2023")</f>
        <v/>
      </c>
      <c r="W51">
        <f>HYPERLINK("https://klasma.github.io/Logging_2305/klagomålsmail/A 58080-2023 FSC-klagomål mail.docx", "A 58080-2023")</f>
        <v/>
      </c>
      <c r="X51">
        <f>HYPERLINK("https://klasma.github.io/Logging_2305/tillsyn/A 58080-2023 tillsynsbegäran.docx", "A 58080-2023")</f>
        <v/>
      </c>
      <c r="Y51">
        <f>HYPERLINK("https://klasma.github.io/Logging_2305/tillsynsmail/A 58080-2023 tillsynsbegäran mail.docx", "A 58080-2023")</f>
        <v/>
      </c>
    </row>
    <row r="52" ht="15" customHeight="1">
      <c r="A52" t="inlineStr">
        <is>
          <t>A 31469-2024</t>
        </is>
      </c>
      <c r="B52" s="1" t="n">
        <v>45505</v>
      </c>
      <c r="C52" s="1" t="n">
        <v>46200</v>
      </c>
      <c r="D52" t="inlineStr">
        <is>
          <t>JÄMTLANDS LÄN</t>
        </is>
      </c>
      <c r="E52" t="inlineStr">
        <is>
          <t>BRÄCKE</t>
        </is>
      </c>
      <c r="F52" t="inlineStr">
        <is>
          <t>SCA</t>
        </is>
      </c>
      <c r="G52" t="n">
        <v>11.5</v>
      </c>
      <c r="H52" t="n">
        <v>3</v>
      </c>
      <c r="I52" t="n">
        <v>0</v>
      </c>
      <c r="J52" t="n">
        <v>8</v>
      </c>
      <c r="K52" t="n">
        <v>2</v>
      </c>
      <c r="L52" t="n">
        <v>0</v>
      </c>
      <c r="M52" t="n">
        <v>0</v>
      </c>
      <c r="N52" t="n">
        <v>0</v>
      </c>
      <c r="O52" t="n">
        <v>10</v>
      </c>
      <c r="P52" t="n">
        <v>2</v>
      </c>
      <c r="Q52" t="n">
        <v>10</v>
      </c>
      <c r="R52" s="2" t="inlineStr">
        <is>
          <t>Garnlav
Knärot
Gammelgransskål
Lunglav
Skrovellav
Talltita
Tretåig hackspett
Ullticka
Vitgrynig nållav
Äggvaxskivling</t>
        </is>
      </c>
      <c r="S52">
        <f>HYPERLINK("https://klasma.github.io/Logging_2305/artfynd/A 31469-2024 artfynd.xlsx", "A 31469-2024")</f>
        <v/>
      </c>
      <c r="T52">
        <f>HYPERLINK("https://klasma.github.io/Logging_2305/kartor/A 31469-2024 karta.png", "A 31469-2024")</f>
        <v/>
      </c>
      <c r="U52">
        <f>HYPERLINK("https://klasma.github.io/Logging_2305/knärot/A 31469-2024 karta knärot.png", "A 31469-2024")</f>
        <v/>
      </c>
      <c r="V52">
        <f>HYPERLINK("https://klasma.github.io/Logging_2305/klagomål/A 31469-2024 FSC-klagomål.docx", "A 31469-2024")</f>
        <v/>
      </c>
      <c r="W52">
        <f>HYPERLINK("https://klasma.github.io/Logging_2305/klagomålsmail/A 31469-2024 FSC-klagomål mail.docx", "A 31469-2024")</f>
        <v/>
      </c>
      <c r="X52">
        <f>HYPERLINK("https://klasma.github.io/Logging_2305/tillsyn/A 31469-2024 tillsynsbegäran.docx", "A 31469-2024")</f>
        <v/>
      </c>
      <c r="Y52">
        <f>HYPERLINK("https://klasma.github.io/Logging_2305/tillsynsmail/A 31469-2024 tillsynsbegäran mail.docx", "A 31469-2024")</f>
        <v/>
      </c>
      <c r="Z52">
        <f>HYPERLINK("https://klasma.github.io/Logging_2305/fåglar/A 31469-2024 prioriterade fågelarter.docx", "A 31469-2024")</f>
        <v/>
      </c>
    </row>
    <row r="53" ht="15" customHeight="1">
      <c r="A53" t="inlineStr">
        <is>
          <t>A 38525-2025</t>
        </is>
      </c>
      <c r="B53" s="1" t="n">
        <v>45884</v>
      </c>
      <c r="C53" s="1" t="n">
        <v>46200</v>
      </c>
      <c r="D53" t="inlineStr">
        <is>
          <t>JÄMTLANDS LÄN</t>
        </is>
      </c>
      <c r="E53" t="inlineStr">
        <is>
          <t>BRÄCKE</t>
        </is>
      </c>
      <c r="F53" t="inlineStr">
        <is>
          <t>SCA</t>
        </is>
      </c>
      <c r="G53" t="n">
        <v>3.9</v>
      </c>
      <c r="H53" t="n">
        <v>2</v>
      </c>
      <c r="I53" t="n">
        <v>3</v>
      </c>
      <c r="J53" t="n">
        <v>4</v>
      </c>
      <c r="K53" t="n">
        <v>3</v>
      </c>
      <c r="L53" t="n">
        <v>0</v>
      </c>
      <c r="M53" t="n">
        <v>0</v>
      </c>
      <c r="N53" t="n">
        <v>0</v>
      </c>
      <c r="O53" t="n">
        <v>7</v>
      </c>
      <c r="P53" t="n">
        <v>3</v>
      </c>
      <c r="Q53" t="n">
        <v>10</v>
      </c>
      <c r="R53" s="2" t="inlineStr">
        <is>
          <t>Garnlav
Knärot
Vitskaftad svartspik
Blanksvart spiklav
Lunglav
Tretåig hackspett
Vitgrynig nållav
Barkkornlav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v>
      </c>
      <c r="C54" s="1" t="n">
        <v>46200</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26956-2024</t>
        </is>
      </c>
      <c r="B55" s="1" t="n">
        <v>45470</v>
      </c>
      <c r="C55" s="1" t="n">
        <v>46200</v>
      </c>
      <c r="D55" t="inlineStr">
        <is>
          <t>JÄMTLANDS LÄN</t>
        </is>
      </c>
      <c r="E55" t="inlineStr">
        <is>
          <t>BRÄCKE</t>
        </is>
      </c>
      <c r="F55" t="inlineStr">
        <is>
          <t>SCA</t>
        </is>
      </c>
      <c r="G55" t="n">
        <v>5.7</v>
      </c>
      <c r="H55" t="n">
        <v>8</v>
      </c>
      <c r="I55" t="n">
        <v>0</v>
      </c>
      <c r="J55" t="n">
        <v>4</v>
      </c>
      <c r="K55" t="n">
        <v>1</v>
      </c>
      <c r="L55" t="n">
        <v>0</v>
      </c>
      <c r="M55" t="n">
        <v>0</v>
      </c>
      <c r="N55" t="n">
        <v>0</v>
      </c>
      <c r="O55" t="n">
        <v>5</v>
      </c>
      <c r="P55" t="n">
        <v>1</v>
      </c>
      <c r="Q55" t="n">
        <v>9</v>
      </c>
      <c r="R55" s="2" t="inlineStr">
        <is>
          <t>Knärot
Kungsörn
Lunglav
Mindre hackspett
Talltita
Spillkråka
Tallbit
Grönsiska
Orre</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51037-2023</t>
        </is>
      </c>
      <c r="B56" s="1" t="n">
        <v>45218</v>
      </c>
      <c r="C56" s="1" t="n">
        <v>46200</v>
      </c>
      <c r="D56" t="inlineStr">
        <is>
          <t>JÄMTLANDS LÄN</t>
        </is>
      </c>
      <c r="E56" t="inlineStr">
        <is>
          <t>BRÄCKE</t>
        </is>
      </c>
      <c r="G56" t="n">
        <v>6.8</v>
      </c>
      <c r="H56" t="n">
        <v>1</v>
      </c>
      <c r="I56" t="n">
        <v>5</v>
      </c>
      <c r="J56" t="n">
        <v>3</v>
      </c>
      <c r="K56" t="n">
        <v>1</v>
      </c>
      <c r="L56" t="n">
        <v>0</v>
      </c>
      <c r="M56" t="n">
        <v>0</v>
      </c>
      <c r="N56" t="n">
        <v>0</v>
      </c>
      <c r="O56" t="n">
        <v>4</v>
      </c>
      <c r="P56" t="n">
        <v>1</v>
      </c>
      <c r="Q56" t="n">
        <v>9</v>
      </c>
      <c r="R56" s="2" t="inlineStr">
        <is>
          <t>Doftticka
Kolflarnlav
Lunglav
Skrovellav
Bårdlav
Gytterlav
Luddlav
Rödgul trumpetsvamp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8707-2025</t>
        </is>
      </c>
      <c r="B57" s="1" t="n">
        <v>45712</v>
      </c>
      <c r="C57" s="1" t="n">
        <v>46200</v>
      </c>
      <c r="D57" t="inlineStr">
        <is>
          <t>JÄMTLANDS LÄN</t>
        </is>
      </c>
      <c r="E57" t="inlineStr">
        <is>
          <t>BRÄCKE</t>
        </is>
      </c>
      <c r="F57" t="inlineStr">
        <is>
          <t>SCA</t>
        </is>
      </c>
      <c r="G57" t="n">
        <v>1.7</v>
      </c>
      <c r="H57" t="n">
        <v>2</v>
      </c>
      <c r="I57" t="n">
        <v>1</v>
      </c>
      <c r="J57" t="n">
        <v>5</v>
      </c>
      <c r="K57" t="n">
        <v>3</v>
      </c>
      <c r="L57" t="n">
        <v>0</v>
      </c>
      <c r="M57" t="n">
        <v>0</v>
      </c>
      <c r="N57" t="n">
        <v>0</v>
      </c>
      <c r="O57" t="n">
        <v>8</v>
      </c>
      <c r="P57" t="n">
        <v>3</v>
      </c>
      <c r="Q57" t="n">
        <v>9</v>
      </c>
      <c r="R57" s="2" t="inlineStr">
        <is>
          <t>Garnlav
Knärot
Laxgröppa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30112-2025</t>
        </is>
      </c>
      <c r="B58" s="1" t="n">
        <v>45826</v>
      </c>
      <c r="C58" s="1" t="n">
        <v>46200</v>
      </c>
      <c r="D58" t="inlineStr">
        <is>
          <t>JÄMTLANDS LÄN</t>
        </is>
      </c>
      <c r="E58" t="inlineStr">
        <is>
          <t>BRÄCKE</t>
        </is>
      </c>
      <c r="F58" t="inlineStr">
        <is>
          <t>SCA</t>
        </is>
      </c>
      <c r="G58" t="n">
        <v>8.9</v>
      </c>
      <c r="H58" t="n">
        <v>4</v>
      </c>
      <c r="I58" t="n">
        <v>1</v>
      </c>
      <c r="J58" t="n">
        <v>4</v>
      </c>
      <c r="K58" t="n">
        <v>1</v>
      </c>
      <c r="L58" t="n">
        <v>0</v>
      </c>
      <c r="M58" t="n">
        <v>0</v>
      </c>
      <c r="N58" t="n">
        <v>0</v>
      </c>
      <c r="O58" t="n">
        <v>5</v>
      </c>
      <c r="P58" t="n">
        <v>1</v>
      </c>
      <c r="Q58" t="n">
        <v>9</v>
      </c>
      <c r="R58" s="2" t="inlineStr">
        <is>
          <t>Knärot
Rosenticka
Skuggblåslav
Ullticka
Vitgrynig nållav
Kransrams
Spillkråka
Tjäder
Revlummer</t>
        </is>
      </c>
      <c r="S58">
        <f>HYPERLINK("https://klasma.github.io/Logging_2305/artfynd/A 30112-2025 artfynd.xlsx", "A 30112-2025")</f>
        <v/>
      </c>
      <c r="T58">
        <f>HYPERLINK("https://klasma.github.io/Logging_2305/kartor/A 30112-2025 karta.png", "A 30112-2025")</f>
        <v/>
      </c>
      <c r="U58">
        <f>HYPERLINK("https://klasma.github.io/Logging_2305/knärot/A 30112-2025 karta knärot.png", "A 30112-2025")</f>
        <v/>
      </c>
      <c r="V58">
        <f>HYPERLINK("https://klasma.github.io/Logging_2305/klagomål/A 30112-2025 FSC-klagomål.docx", "A 30112-2025")</f>
        <v/>
      </c>
      <c r="W58">
        <f>HYPERLINK("https://klasma.github.io/Logging_2305/klagomålsmail/A 30112-2025 FSC-klagomål mail.docx", "A 30112-2025")</f>
        <v/>
      </c>
      <c r="X58">
        <f>HYPERLINK("https://klasma.github.io/Logging_2305/tillsyn/A 30112-2025 tillsynsbegäran.docx", "A 30112-2025")</f>
        <v/>
      </c>
      <c r="Y58">
        <f>HYPERLINK("https://klasma.github.io/Logging_2305/tillsynsmail/A 30112-2025 tillsynsbegäran mail.docx", "A 30112-2025")</f>
        <v/>
      </c>
      <c r="Z58">
        <f>HYPERLINK("https://klasma.github.io/Logging_2305/fåglar/A 30112-2025 prioriterade fågelarter.docx", "A 30112-2025")</f>
        <v/>
      </c>
    </row>
    <row r="59" ht="15" customHeight="1">
      <c r="A59" t="inlineStr">
        <is>
          <t>A 33388-2025</t>
        </is>
      </c>
      <c r="B59" s="1" t="n">
        <v>45841</v>
      </c>
      <c r="C59" s="1" t="n">
        <v>46200</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33678-2025</t>
        </is>
      </c>
      <c r="B60" s="1" t="n">
        <v>45841</v>
      </c>
      <c r="C60" s="1" t="n">
        <v>46200</v>
      </c>
      <c r="D60" t="inlineStr">
        <is>
          <t>JÄMTLANDS LÄN</t>
        </is>
      </c>
      <c r="E60" t="inlineStr">
        <is>
          <t>BRÄCKE</t>
        </is>
      </c>
      <c r="F60" t="inlineStr">
        <is>
          <t>SCA</t>
        </is>
      </c>
      <c r="G60" t="n">
        <v>6.1</v>
      </c>
      <c r="H60" t="n">
        <v>1</v>
      </c>
      <c r="I60" t="n">
        <v>2</v>
      </c>
      <c r="J60" t="n">
        <v>7</v>
      </c>
      <c r="K60" t="n">
        <v>0</v>
      </c>
      <c r="L60" t="n">
        <v>0</v>
      </c>
      <c r="M60" t="n">
        <v>0</v>
      </c>
      <c r="N60" t="n">
        <v>0</v>
      </c>
      <c r="O60" t="n">
        <v>7</v>
      </c>
      <c r="P60" t="n">
        <v>0</v>
      </c>
      <c r="Q60" t="n">
        <v>9</v>
      </c>
      <c r="R60" s="2" t="inlineStr">
        <is>
          <t>Dropptaggsvamp
Kolflarnlav
Lunglav
Skarp dropptaggsvamp
Svartvit taggsvamp
Tretåig hackspett
Ullticka
Trådticka
Vedticka</t>
        </is>
      </c>
      <c r="S60">
        <f>HYPERLINK("https://klasma.github.io/Logging_2305/artfynd/A 33678-2025 artfynd.xlsx", "A 33678-2025")</f>
        <v/>
      </c>
      <c r="T60">
        <f>HYPERLINK("https://klasma.github.io/Logging_2305/kartor/A 33678-2025 karta.png", "A 33678-2025")</f>
        <v/>
      </c>
      <c r="V60">
        <f>HYPERLINK("https://klasma.github.io/Logging_2305/klagomål/A 33678-2025 FSC-klagomål.docx", "A 33678-2025")</f>
        <v/>
      </c>
      <c r="W60">
        <f>HYPERLINK("https://klasma.github.io/Logging_2305/klagomålsmail/A 33678-2025 FSC-klagomål mail.docx", "A 33678-2025")</f>
        <v/>
      </c>
      <c r="X60">
        <f>HYPERLINK("https://klasma.github.io/Logging_2305/tillsyn/A 33678-2025 tillsynsbegäran.docx", "A 33678-2025")</f>
        <v/>
      </c>
      <c r="Y60">
        <f>HYPERLINK("https://klasma.github.io/Logging_2305/tillsynsmail/A 33678-2025 tillsynsbegäran mail.docx", "A 33678-2025")</f>
        <v/>
      </c>
      <c r="Z60">
        <f>HYPERLINK("https://klasma.github.io/Logging_2305/fåglar/A 33678-2025 prioriterade fågelarter.docx", "A 33678-2025")</f>
        <v/>
      </c>
    </row>
    <row r="61" ht="15" customHeight="1">
      <c r="A61" t="inlineStr">
        <is>
          <t>A 62925-2025</t>
        </is>
      </c>
      <c r="B61" s="1" t="n">
        <v>46009</v>
      </c>
      <c r="C61" s="1" t="n">
        <v>46200</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46200</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46200</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57458-2025</t>
        </is>
      </c>
      <c r="B64" s="1" t="n">
        <v>45980</v>
      </c>
      <c r="C64" s="1" t="n">
        <v>46200</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28289-2025</t>
        </is>
      </c>
      <c r="B65" s="1" t="n">
        <v>45818</v>
      </c>
      <c r="C65" s="1" t="n">
        <v>46200</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20496-2025</t>
        </is>
      </c>
      <c r="B66" s="1" t="n">
        <v>45775</v>
      </c>
      <c r="C66" s="1" t="n">
        <v>46200</v>
      </c>
      <c r="D66" t="inlineStr">
        <is>
          <t>JÄMTLANDS LÄN</t>
        </is>
      </c>
      <c r="E66" t="inlineStr">
        <is>
          <t>BRÄCKE</t>
        </is>
      </c>
      <c r="F66" t="inlineStr">
        <is>
          <t>SCA</t>
        </is>
      </c>
      <c r="G66" t="n">
        <v>2.2</v>
      </c>
      <c r="H66" t="n">
        <v>3</v>
      </c>
      <c r="I66" t="n">
        <v>1</v>
      </c>
      <c r="J66" t="n">
        <v>6</v>
      </c>
      <c r="K66" t="n">
        <v>1</v>
      </c>
      <c r="L66" t="n">
        <v>0</v>
      </c>
      <c r="M66" t="n">
        <v>0</v>
      </c>
      <c r="N66" t="n">
        <v>0</v>
      </c>
      <c r="O66" t="n">
        <v>7</v>
      </c>
      <c r="P66" t="n">
        <v>1</v>
      </c>
      <c r="Q66" t="n">
        <v>8</v>
      </c>
      <c r="R66" s="2" t="inlineStr">
        <is>
          <t>Gräddporing
Dvärgbägarlav
Kolflarnlav
Lavskrika
Lunglav
Talltita
Tretåig hackspett
Korallblylav</t>
        </is>
      </c>
      <c r="S66">
        <f>HYPERLINK("https://klasma.github.io/Logging_2305/artfynd/A 20496-2025 artfynd.xlsx", "A 20496-2025")</f>
        <v/>
      </c>
      <c r="T66">
        <f>HYPERLINK("https://klasma.github.io/Logging_2305/kartor/A 20496-2025 karta.png", "A 20496-2025")</f>
        <v/>
      </c>
      <c r="V66">
        <f>HYPERLINK("https://klasma.github.io/Logging_2305/klagomål/A 20496-2025 FSC-klagomål.docx", "A 20496-2025")</f>
        <v/>
      </c>
      <c r="W66">
        <f>HYPERLINK("https://klasma.github.io/Logging_2305/klagomålsmail/A 20496-2025 FSC-klagomål mail.docx", "A 20496-2025")</f>
        <v/>
      </c>
      <c r="X66">
        <f>HYPERLINK("https://klasma.github.io/Logging_2305/tillsyn/A 20496-2025 tillsynsbegäran.docx", "A 20496-2025")</f>
        <v/>
      </c>
      <c r="Y66">
        <f>HYPERLINK("https://klasma.github.io/Logging_2305/tillsynsmail/A 20496-2025 tillsynsbegäran mail.docx", "A 20496-2025")</f>
        <v/>
      </c>
      <c r="Z66">
        <f>HYPERLINK("https://klasma.github.io/Logging_2305/fåglar/A 20496-2025 prioriterade fågelarter.docx", "A 20496-2025")</f>
        <v/>
      </c>
    </row>
    <row r="67" ht="15" customHeight="1">
      <c r="A67" t="inlineStr">
        <is>
          <t>A 29141-2025</t>
        </is>
      </c>
      <c r="B67" s="1" t="n">
        <v>45821</v>
      </c>
      <c r="C67" s="1" t="n">
        <v>46200</v>
      </c>
      <c r="D67" t="inlineStr">
        <is>
          <t>JÄMTLANDS LÄN</t>
        </is>
      </c>
      <c r="E67" t="inlineStr">
        <is>
          <t>BRÄCKE</t>
        </is>
      </c>
      <c r="G67" t="n">
        <v>6.1</v>
      </c>
      <c r="H67" t="n">
        <v>0</v>
      </c>
      <c r="I67" t="n">
        <v>0</v>
      </c>
      <c r="J67" t="n">
        <v>7</v>
      </c>
      <c r="K67" t="n">
        <v>1</v>
      </c>
      <c r="L67" t="n">
        <v>0</v>
      </c>
      <c r="M67" t="n">
        <v>0</v>
      </c>
      <c r="N67" t="n">
        <v>0</v>
      </c>
      <c r="O67" t="n">
        <v>8</v>
      </c>
      <c r="P67" t="n">
        <v>1</v>
      </c>
      <c r="Q67" t="n">
        <v>8</v>
      </c>
      <c r="R67" s="2" t="inlineStr">
        <is>
          <t>Tajgataggsvamp
Blå taggsvamp
Dvärgbägarlav
Mörk kolflarnlav
Nordtagging
Vaddporing
Vedflamlav
Vedskivlav</t>
        </is>
      </c>
      <c r="S67">
        <f>HYPERLINK("https://klasma.github.io/Logging_2305/artfynd/A 29141-2025 artfynd.xlsx", "A 29141-2025")</f>
        <v/>
      </c>
      <c r="T67">
        <f>HYPERLINK("https://klasma.github.io/Logging_2305/kartor/A 29141-2025 karta.png", "A 29141-2025")</f>
        <v/>
      </c>
      <c r="V67">
        <f>HYPERLINK("https://klasma.github.io/Logging_2305/klagomål/A 29141-2025 FSC-klagomål.docx", "A 29141-2025")</f>
        <v/>
      </c>
      <c r="W67">
        <f>HYPERLINK("https://klasma.github.io/Logging_2305/klagomålsmail/A 29141-2025 FSC-klagomål mail.docx", "A 29141-2025")</f>
        <v/>
      </c>
      <c r="X67">
        <f>HYPERLINK("https://klasma.github.io/Logging_2305/tillsyn/A 29141-2025 tillsynsbegäran.docx", "A 29141-2025")</f>
        <v/>
      </c>
      <c r="Y67">
        <f>HYPERLINK("https://klasma.github.io/Logging_2305/tillsynsmail/A 29141-2025 tillsynsbegäran mail.docx", "A 29141-2025")</f>
        <v/>
      </c>
    </row>
    <row r="68" ht="15" customHeight="1">
      <c r="A68" t="inlineStr">
        <is>
          <t>A 23729-2024</t>
        </is>
      </c>
      <c r="B68" s="1" t="n">
        <v>45454</v>
      </c>
      <c r="C68" s="1" t="n">
        <v>46200</v>
      </c>
      <c r="D68" t="inlineStr">
        <is>
          <t>JÄMTLANDS LÄN</t>
        </is>
      </c>
      <c r="E68" t="inlineStr">
        <is>
          <t>BRÄCKE</t>
        </is>
      </c>
      <c r="F68" t="inlineStr">
        <is>
          <t>SCA</t>
        </is>
      </c>
      <c r="G68" t="n">
        <v>7.6</v>
      </c>
      <c r="H68" t="n">
        <v>2</v>
      </c>
      <c r="I68" t="n">
        <v>3</v>
      </c>
      <c r="J68" t="n">
        <v>4</v>
      </c>
      <c r="K68" t="n">
        <v>1</v>
      </c>
      <c r="L68" t="n">
        <v>0</v>
      </c>
      <c r="M68" t="n">
        <v>0</v>
      </c>
      <c r="N68" t="n">
        <v>0</v>
      </c>
      <c r="O68" t="n">
        <v>5</v>
      </c>
      <c r="P68" t="n">
        <v>1</v>
      </c>
      <c r="Q68" t="n">
        <v>8</v>
      </c>
      <c r="R68" s="2" t="inlineStr">
        <is>
          <t>Doftticka
Blanksvart spiklav
Grantaggsvamp
Kolflarnlav
Tretåig hackspett
Bårdlav
Kransrams
Stuplav</t>
        </is>
      </c>
      <c r="S68">
        <f>HYPERLINK("https://klasma.github.io/Logging_2305/artfynd/A 23729-2024 artfynd.xlsx", "A 23729-2024")</f>
        <v/>
      </c>
      <c r="T68">
        <f>HYPERLINK("https://klasma.github.io/Logging_2305/kartor/A 23729-2024 karta.png", "A 23729-2024")</f>
        <v/>
      </c>
      <c r="V68">
        <f>HYPERLINK("https://klasma.github.io/Logging_2305/klagomål/A 23729-2024 FSC-klagomål.docx", "A 23729-2024")</f>
        <v/>
      </c>
      <c r="W68">
        <f>HYPERLINK("https://klasma.github.io/Logging_2305/klagomålsmail/A 23729-2024 FSC-klagomål mail.docx", "A 23729-2024")</f>
        <v/>
      </c>
      <c r="X68">
        <f>HYPERLINK("https://klasma.github.io/Logging_2305/tillsyn/A 23729-2024 tillsynsbegäran.docx", "A 23729-2024")</f>
        <v/>
      </c>
      <c r="Y68">
        <f>HYPERLINK("https://klasma.github.io/Logging_2305/tillsynsmail/A 23729-2024 tillsynsbegäran mail.docx", "A 23729-2024")</f>
        <v/>
      </c>
      <c r="Z68">
        <f>HYPERLINK("https://klasma.github.io/Logging_2305/fåglar/A 23729-2024 prioriterade fågelarter.docx", "A 23729-2024")</f>
        <v/>
      </c>
    </row>
    <row r="69" ht="15" customHeight="1">
      <c r="A69" t="inlineStr">
        <is>
          <t>A 34300-2025</t>
        </is>
      </c>
      <c r="B69" s="1" t="n">
        <v>45846</v>
      </c>
      <c r="C69" s="1" t="n">
        <v>46200</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49336-2023</t>
        </is>
      </c>
      <c r="B70" s="1" t="n">
        <v>45210</v>
      </c>
      <c r="C70" s="1" t="n">
        <v>46200</v>
      </c>
      <c r="D70" t="inlineStr">
        <is>
          <t>JÄMTLANDS LÄN</t>
        </is>
      </c>
      <c r="E70" t="inlineStr">
        <is>
          <t>BRÄCKE</t>
        </is>
      </c>
      <c r="F70" t="inlineStr">
        <is>
          <t>SCA</t>
        </is>
      </c>
      <c r="G70" t="n">
        <v>3.5</v>
      </c>
      <c r="H70" t="n">
        <v>5</v>
      </c>
      <c r="I70" t="n">
        <v>3</v>
      </c>
      <c r="J70" t="n">
        <v>2</v>
      </c>
      <c r="K70" t="n">
        <v>1</v>
      </c>
      <c r="L70" t="n">
        <v>0</v>
      </c>
      <c r="M70" t="n">
        <v>0</v>
      </c>
      <c r="N70" t="n">
        <v>0</v>
      </c>
      <c r="O70" t="n">
        <v>3</v>
      </c>
      <c r="P70" t="n">
        <v>1</v>
      </c>
      <c r="Q70" t="n">
        <v>8</v>
      </c>
      <c r="R70" s="2" t="inlineStr">
        <is>
          <t>Knärot
Lunglav
Ullticka
Grönkulla
Kransrams
Spindelblomster
Spillkråka
Revlummer</t>
        </is>
      </c>
      <c r="S70">
        <f>HYPERLINK("https://klasma.github.io/Logging_2305/artfynd/A 49336-2023 artfynd.xlsx", "A 49336-2023")</f>
        <v/>
      </c>
      <c r="T70">
        <f>HYPERLINK("https://klasma.github.io/Logging_2305/kartor/A 49336-2023 karta.png", "A 49336-2023")</f>
        <v/>
      </c>
      <c r="U70">
        <f>HYPERLINK("https://klasma.github.io/Logging_2305/knärot/A 49336-2023 karta knärot.png", "A 49336-2023")</f>
        <v/>
      </c>
      <c r="V70">
        <f>HYPERLINK("https://klasma.github.io/Logging_2305/klagomål/A 49336-2023 FSC-klagomål.docx", "A 49336-2023")</f>
        <v/>
      </c>
      <c r="W70">
        <f>HYPERLINK("https://klasma.github.io/Logging_2305/klagomålsmail/A 49336-2023 FSC-klagomål mail.docx", "A 49336-2023")</f>
        <v/>
      </c>
      <c r="X70">
        <f>HYPERLINK("https://klasma.github.io/Logging_2305/tillsyn/A 49336-2023 tillsynsbegäran.docx", "A 49336-2023")</f>
        <v/>
      </c>
      <c r="Y70">
        <f>HYPERLINK("https://klasma.github.io/Logging_2305/tillsynsmail/A 49336-2023 tillsynsbegäran mail.docx", "A 49336-2023")</f>
        <v/>
      </c>
      <c r="Z70">
        <f>HYPERLINK("https://klasma.github.io/Logging_2305/fåglar/A 49336-2023 prioriterade fågelarter.docx", "A 49336-2023")</f>
        <v/>
      </c>
    </row>
    <row r="71" ht="15" customHeight="1">
      <c r="A71" t="inlineStr">
        <is>
          <t>A 24635-2025</t>
        </is>
      </c>
      <c r="B71" s="1" t="n">
        <v>45798</v>
      </c>
      <c r="C71" s="1" t="n">
        <v>46200</v>
      </c>
      <c r="D71" t="inlineStr">
        <is>
          <t>JÄMTLANDS LÄN</t>
        </is>
      </c>
      <c r="E71" t="inlineStr">
        <is>
          <t>BRÄCKE</t>
        </is>
      </c>
      <c r="G71" t="n">
        <v>3.2</v>
      </c>
      <c r="H71" t="n">
        <v>3</v>
      </c>
      <c r="I71" t="n">
        <v>2</v>
      </c>
      <c r="J71" t="n">
        <v>5</v>
      </c>
      <c r="K71" t="n">
        <v>0</v>
      </c>
      <c r="L71" t="n">
        <v>0</v>
      </c>
      <c r="M71" t="n">
        <v>0</v>
      </c>
      <c r="N71" t="n">
        <v>0</v>
      </c>
      <c r="O71" t="n">
        <v>5</v>
      </c>
      <c r="P71" t="n">
        <v>0</v>
      </c>
      <c r="Q71" t="n">
        <v>8</v>
      </c>
      <c r="R71" s="2" t="inlineStr">
        <is>
          <t>Lavskrika
Lunglav
Tretåig hackspett
Ullticka
Vårärt
Svart trolldruva
Underviol
Blåsippa</t>
        </is>
      </c>
      <c r="S71">
        <f>HYPERLINK("https://klasma.github.io/Logging_2305/artfynd/A 24635-2025 artfynd.xlsx", "A 24635-2025")</f>
        <v/>
      </c>
      <c r="T71">
        <f>HYPERLINK("https://klasma.github.io/Logging_2305/kartor/A 24635-2025 karta.png", "A 24635-2025")</f>
        <v/>
      </c>
      <c r="V71">
        <f>HYPERLINK("https://klasma.github.io/Logging_2305/klagomål/A 24635-2025 FSC-klagomål.docx", "A 24635-2025")</f>
        <v/>
      </c>
      <c r="W71">
        <f>HYPERLINK("https://klasma.github.io/Logging_2305/klagomålsmail/A 24635-2025 FSC-klagomål mail.docx", "A 24635-2025")</f>
        <v/>
      </c>
      <c r="X71">
        <f>HYPERLINK("https://klasma.github.io/Logging_2305/tillsyn/A 24635-2025 tillsynsbegäran.docx", "A 24635-2025")</f>
        <v/>
      </c>
      <c r="Y71">
        <f>HYPERLINK("https://klasma.github.io/Logging_2305/tillsynsmail/A 24635-2025 tillsynsbegäran mail.docx", "A 24635-2025")</f>
        <v/>
      </c>
      <c r="Z71">
        <f>HYPERLINK("https://klasma.github.io/Logging_2305/fåglar/A 24635-2025 prioriterade fågelarter.docx", "A 24635-2025")</f>
        <v/>
      </c>
    </row>
    <row r="72" ht="15" customHeight="1">
      <c r="A72" t="inlineStr">
        <is>
          <t>A 14672-2026</t>
        </is>
      </c>
      <c r="B72" s="1" t="n">
        <v>46101</v>
      </c>
      <c r="C72" s="1" t="n">
        <v>46200</v>
      </c>
      <c r="D72" t="inlineStr">
        <is>
          <t>JÄMTLANDS LÄN</t>
        </is>
      </c>
      <c r="E72" t="inlineStr">
        <is>
          <t>BRÄCKE</t>
        </is>
      </c>
      <c r="G72" t="n">
        <v>1.8</v>
      </c>
      <c r="H72" t="n">
        <v>3</v>
      </c>
      <c r="I72" t="n">
        <v>1</v>
      </c>
      <c r="J72" t="n">
        <v>2</v>
      </c>
      <c r="K72" t="n">
        <v>2</v>
      </c>
      <c r="L72" t="n">
        <v>0</v>
      </c>
      <c r="M72" t="n">
        <v>0</v>
      </c>
      <c r="N72" t="n">
        <v>0</v>
      </c>
      <c r="O72" t="n">
        <v>4</v>
      </c>
      <c r="P72" t="n">
        <v>2</v>
      </c>
      <c r="Q72" t="n">
        <v>8</v>
      </c>
      <c r="R72" s="2" t="inlineStr">
        <is>
          <t>Garnlav
Knärot
Lunglav
Tretåig hackspett
Norrlandslav
Fönsterlav
Linnea
Revlummer</t>
        </is>
      </c>
      <c r="S72">
        <f>HYPERLINK("https://klasma.github.io/Logging_2305/artfynd/A 14672-2026 artfynd.xlsx", "A 14672-2026")</f>
        <v/>
      </c>
      <c r="T72">
        <f>HYPERLINK("https://klasma.github.io/Logging_2305/kartor/A 14672-2026 karta.png", "A 14672-2026")</f>
        <v/>
      </c>
      <c r="U72">
        <f>HYPERLINK("https://klasma.github.io/Logging_2305/knärot/A 14672-2026 karta knärot.png", "A 14672-2026")</f>
        <v/>
      </c>
      <c r="V72">
        <f>HYPERLINK("https://klasma.github.io/Logging_2305/klagomål/A 14672-2026 FSC-klagomål.docx", "A 14672-2026")</f>
        <v/>
      </c>
      <c r="W72">
        <f>HYPERLINK("https://klasma.github.io/Logging_2305/klagomålsmail/A 14672-2026 FSC-klagomål mail.docx", "A 14672-2026")</f>
        <v/>
      </c>
      <c r="X72">
        <f>HYPERLINK("https://klasma.github.io/Logging_2305/tillsyn/A 14672-2026 tillsynsbegäran.docx", "A 14672-2026")</f>
        <v/>
      </c>
      <c r="Y72">
        <f>HYPERLINK("https://klasma.github.io/Logging_2305/tillsynsmail/A 14672-2026 tillsynsbegäran mail.docx", "A 14672-2026")</f>
        <v/>
      </c>
      <c r="Z72">
        <f>HYPERLINK("https://klasma.github.io/Logging_2305/fåglar/A 14672-2026 prioriterade fågelarter.docx", "A 14672-2026")</f>
        <v/>
      </c>
    </row>
    <row r="73" ht="15" customHeight="1">
      <c r="A73" t="inlineStr">
        <is>
          <t>A 61173-2025</t>
        </is>
      </c>
      <c r="B73" s="1" t="n">
        <v>46000</v>
      </c>
      <c r="C73" s="1" t="n">
        <v>46200</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37958-2021</t>
        </is>
      </c>
      <c r="B74" s="1" t="n">
        <v>44403</v>
      </c>
      <c r="C74" s="1" t="n">
        <v>46200</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44514-2024</t>
        </is>
      </c>
      <c r="B75" s="1" t="n">
        <v>45574</v>
      </c>
      <c r="C75" s="1" t="n">
        <v>46200</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40818-2024</t>
        </is>
      </c>
      <c r="B76" s="1" t="n">
        <v>45558</v>
      </c>
      <c r="C76" s="1" t="n">
        <v>46200</v>
      </c>
      <c r="D76" t="inlineStr">
        <is>
          <t>JÄMTLANDS LÄN</t>
        </is>
      </c>
      <c r="E76" t="inlineStr">
        <is>
          <t>BRÄCKE</t>
        </is>
      </c>
      <c r="G76" t="n">
        <v>2.7</v>
      </c>
      <c r="H76" t="n">
        <v>0</v>
      </c>
      <c r="I76" t="n">
        <v>0</v>
      </c>
      <c r="J76" t="n">
        <v>5</v>
      </c>
      <c r="K76" t="n">
        <v>2</v>
      </c>
      <c r="L76" t="n">
        <v>0</v>
      </c>
      <c r="M76" t="n">
        <v>0</v>
      </c>
      <c r="N76" t="n">
        <v>0</v>
      </c>
      <c r="O76" t="n">
        <v>7</v>
      </c>
      <c r="P76" t="n">
        <v>2</v>
      </c>
      <c r="Q76" t="n">
        <v>7</v>
      </c>
      <c r="R76" s="2" t="inlineStr">
        <is>
          <t>Lammticka
Skrovlig taggsvamp
Blå taggsvamp
Dropptaggsvamp
Orange taggsvamp
Tallfingersvamp
Vaxspindling</t>
        </is>
      </c>
      <c r="S76">
        <f>HYPERLINK("https://klasma.github.io/Logging_2305/artfynd/A 40818-2024 artfynd.xlsx", "A 40818-2024")</f>
        <v/>
      </c>
      <c r="T76">
        <f>HYPERLINK("https://klasma.github.io/Logging_2305/kartor/A 40818-2024 karta.png", "A 40818-2024")</f>
        <v/>
      </c>
      <c r="V76">
        <f>HYPERLINK("https://klasma.github.io/Logging_2305/klagomål/A 40818-2024 FSC-klagomål.docx", "A 40818-2024")</f>
        <v/>
      </c>
      <c r="W76">
        <f>HYPERLINK("https://klasma.github.io/Logging_2305/klagomålsmail/A 40818-2024 FSC-klagomål mail.docx", "A 40818-2024")</f>
        <v/>
      </c>
      <c r="X76">
        <f>HYPERLINK("https://klasma.github.io/Logging_2305/tillsyn/A 40818-2024 tillsynsbegäran.docx", "A 40818-2024")</f>
        <v/>
      </c>
      <c r="Y76">
        <f>HYPERLINK("https://klasma.github.io/Logging_2305/tillsynsmail/A 40818-2024 tillsynsbegäran mail.docx", "A 40818-2024")</f>
        <v/>
      </c>
    </row>
    <row r="77" ht="15" customHeight="1">
      <c r="A77" t="inlineStr">
        <is>
          <t>A 62113-2023</t>
        </is>
      </c>
      <c r="B77" s="1" t="n">
        <v>45266</v>
      </c>
      <c r="C77" s="1" t="n">
        <v>46200</v>
      </c>
      <c r="D77" t="inlineStr">
        <is>
          <t>JÄMTLANDS LÄN</t>
        </is>
      </c>
      <c r="E77" t="inlineStr">
        <is>
          <t>BRÄCKE</t>
        </is>
      </c>
      <c r="F77" t="inlineStr">
        <is>
          <t>Naturvårdsverket</t>
        </is>
      </c>
      <c r="G77" t="n">
        <v>4.5</v>
      </c>
      <c r="H77" t="n">
        <v>0</v>
      </c>
      <c r="I77" t="n">
        <v>0</v>
      </c>
      <c r="J77" t="n">
        <v>5</v>
      </c>
      <c r="K77" t="n">
        <v>2</v>
      </c>
      <c r="L77" t="n">
        <v>0</v>
      </c>
      <c r="M77" t="n">
        <v>0</v>
      </c>
      <c r="N77" t="n">
        <v>0</v>
      </c>
      <c r="O77" t="n">
        <v>7</v>
      </c>
      <c r="P77" t="n">
        <v>2</v>
      </c>
      <c r="Q77" t="n">
        <v>7</v>
      </c>
      <c r="R77" s="2" t="inlineStr">
        <is>
          <t>Skrovlig taggsvamp
Smalfotad taggsvamp
Blanksvart spiklav
Blå taggsvamp
Dropptaggsvamp
Orange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13548-2024</t>
        </is>
      </c>
      <c r="B78" s="1" t="n">
        <v>45387</v>
      </c>
      <c r="C78" s="1" t="n">
        <v>46200</v>
      </c>
      <c r="D78" t="inlineStr">
        <is>
          <t>JÄMTLANDS LÄN</t>
        </is>
      </c>
      <c r="E78" t="inlineStr">
        <is>
          <t>BRÄCKE</t>
        </is>
      </c>
      <c r="F78" t="inlineStr">
        <is>
          <t>SCA</t>
        </is>
      </c>
      <c r="G78" t="n">
        <v>1.3</v>
      </c>
      <c r="H78" t="n">
        <v>0</v>
      </c>
      <c r="I78" t="n">
        <v>2</v>
      </c>
      <c r="J78" t="n">
        <v>4</v>
      </c>
      <c r="K78" t="n">
        <v>0</v>
      </c>
      <c r="L78" t="n">
        <v>1</v>
      </c>
      <c r="M78" t="n">
        <v>0</v>
      </c>
      <c r="N78" t="n">
        <v>0</v>
      </c>
      <c r="O78" t="n">
        <v>5</v>
      </c>
      <c r="P78" t="n">
        <v>1</v>
      </c>
      <c r="Q78" t="n">
        <v>7</v>
      </c>
      <c r="R78" s="2" t="inlineStr">
        <is>
          <t>Bitter taggsvamp
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18634-2025</t>
        </is>
      </c>
      <c r="B79" s="1" t="n">
        <v>45763</v>
      </c>
      <c r="C79" s="1" t="n">
        <v>46200</v>
      </c>
      <c r="D79" t="inlineStr">
        <is>
          <t>JÄMTLANDS LÄN</t>
        </is>
      </c>
      <c r="E79" t="inlineStr">
        <is>
          <t>BRÄCKE</t>
        </is>
      </c>
      <c r="F79" t="inlineStr">
        <is>
          <t>SCA</t>
        </is>
      </c>
      <c r="G79" t="n">
        <v>8.300000000000001</v>
      </c>
      <c r="H79" t="n">
        <v>3</v>
      </c>
      <c r="I79" t="n">
        <v>2</v>
      </c>
      <c r="J79" t="n">
        <v>3</v>
      </c>
      <c r="K79" t="n">
        <v>2</v>
      </c>
      <c r="L79" t="n">
        <v>0</v>
      </c>
      <c r="M79" t="n">
        <v>0</v>
      </c>
      <c r="N79" t="n">
        <v>0</v>
      </c>
      <c r="O79" t="n">
        <v>5</v>
      </c>
      <c r="P79" t="n">
        <v>2</v>
      </c>
      <c r="Q79" t="n">
        <v>7</v>
      </c>
      <c r="R79" s="2" t="inlineStr">
        <is>
          <t>Garnlav
Knärot
Lunglav
Tretåig hackspett
Ullticka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c r="Z79">
        <f>HYPERLINK("https://klasma.github.io/Logging_2305/fåglar/A 18634-2025 prioriterade fågelarter.docx", "A 18634-2025")</f>
        <v/>
      </c>
    </row>
    <row r="80" ht="15" customHeight="1">
      <c r="A80" t="inlineStr">
        <is>
          <t>A 48780-2023</t>
        </is>
      </c>
      <c r="B80" s="1" t="n">
        <v>45208</v>
      </c>
      <c r="C80" s="1" t="n">
        <v>46200</v>
      </c>
      <c r="D80" t="inlineStr">
        <is>
          <t>JÄMTLANDS LÄN</t>
        </is>
      </c>
      <c r="E80" t="inlineStr">
        <is>
          <t>BRÄCKE</t>
        </is>
      </c>
      <c r="F80" t="inlineStr">
        <is>
          <t>Naturvårdsverket</t>
        </is>
      </c>
      <c r="G80" t="n">
        <v>11.2</v>
      </c>
      <c r="H80" t="n">
        <v>0</v>
      </c>
      <c r="I80" t="n">
        <v>0</v>
      </c>
      <c r="J80" t="n">
        <v>7</v>
      </c>
      <c r="K80" t="n">
        <v>0</v>
      </c>
      <c r="L80" t="n">
        <v>0</v>
      </c>
      <c r="M80" t="n">
        <v>0</v>
      </c>
      <c r="N80" t="n">
        <v>0</v>
      </c>
      <c r="O80" t="n">
        <v>7</v>
      </c>
      <c r="P80" t="n">
        <v>0</v>
      </c>
      <c r="Q80" t="n">
        <v>7</v>
      </c>
      <c r="R80" s="2" t="inlineStr">
        <is>
          <t>Blå taggsvamp
Dofttaggsvamp
Dropptaggsvamp
Lunglav
Reliktbock
Skarp dropptaggsvamp
Tallticka</t>
        </is>
      </c>
      <c r="S80">
        <f>HYPERLINK("https://klasma.github.io/Logging_2305/artfynd/A 48780-2023 artfynd.xlsx", "A 48780-2023")</f>
        <v/>
      </c>
      <c r="T80">
        <f>HYPERLINK("https://klasma.github.io/Logging_2305/kartor/A 48780-2023 karta.png", "A 48780-2023")</f>
        <v/>
      </c>
      <c r="V80">
        <f>HYPERLINK("https://klasma.github.io/Logging_2305/klagomål/A 48780-2023 FSC-klagomål.docx", "A 48780-2023")</f>
        <v/>
      </c>
      <c r="W80">
        <f>HYPERLINK("https://klasma.github.io/Logging_2305/klagomålsmail/A 48780-2023 FSC-klagomål mail.docx", "A 48780-2023")</f>
        <v/>
      </c>
      <c r="X80">
        <f>HYPERLINK("https://klasma.github.io/Logging_2305/tillsyn/A 48780-2023 tillsynsbegäran.docx", "A 48780-2023")</f>
        <v/>
      </c>
      <c r="Y80">
        <f>HYPERLINK("https://klasma.github.io/Logging_2305/tillsynsmail/A 48780-2023 tillsynsbegäran mail.docx", "A 48780-2023")</f>
        <v/>
      </c>
    </row>
    <row r="81" ht="15" customHeight="1">
      <c r="A81" t="inlineStr">
        <is>
          <t>A 18898-2025</t>
        </is>
      </c>
      <c r="B81" s="1" t="n">
        <v>45764</v>
      </c>
      <c r="C81" s="1" t="n">
        <v>46200</v>
      </c>
      <c r="D81" t="inlineStr">
        <is>
          <t>JÄMTLANDS LÄN</t>
        </is>
      </c>
      <c r="E81" t="inlineStr">
        <is>
          <t>BRÄCKE</t>
        </is>
      </c>
      <c r="F81" t="inlineStr">
        <is>
          <t>SCA</t>
        </is>
      </c>
      <c r="G81" t="n">
        <v>3.6</v>
      </c>
      <c r="H81" t="n">
        <v>4</v>
      </c>
      <c r="I81" t="n">
        <v>3</v>
      </c>
      <c r="J81" t="n">
        <v>2</v>
      </c>
      <c r="K81" t="n">
        <v>1</v>
      </c>
      <c r="L81" t="n">
        <v>0</v>
      </c>
      <c r="M81" t="n">
        <v>0</v>
      </c>
      <c r="N81" t="n">
        <v>0</v>
      </c>
      <c r="O81" t="n">
        <v>3</v>
      </c>
      <c r="P81" t="n">
        <v>1</v>
      </c>
      <c r="Q81" t="n">
        <v>7</v>
      </c>
      <c r="R81" s="2" t="inlineStr">
        <is>
          <t>Knärot
Lunglav
Talltita
Korallblylav
Plattlummer
Skinnlav
Kungsfågel</t>
        </is>
      </c>
      <c r="S81">
        <f>HYPERLINK("https://klasma.github.io/Logging_2305/artfynd/A 18898-2025 artfynd.xlsx", "A 18898-2025")</f>
        <v/>
      </c>
      <c r="T81">
        <f>HYPERLINK("https://klasma.github.io/Logging_2305/kartor/A 18898-2025 karta.png", "A 18898-2025")</f>
        <v/>
      </c>
      <c r="U81">
        <f>HYPERLINK("https://klasma.github.io/Logging_2305/knärot/A 18898-2025 karta knärot.png", "A 18898-2025")</f>
        <v/>
      </c>
      <c r="V81">
        <f>HYPERLINK("https://klasma.github.io/Logging_2305/klagomål/A 18898-2025 FSC-klagomål.docx", "A 18898-2025")</f>
        <v/>
      </c>
      <c r="W81">
        <f>HYPERLINK("https://klasma.github.io/Logging_2305/klagomålsmail/A 18898-2025 FSC-klagomål mail.docx", "A 18898-2025")</f>
        <v/>
      </c>
      <c r="X81">
        <f>HYPERLINK("https://klasma.github.io/Logging_2305/tillsyn/A 18898-2025 tillsynsbegäran.docx", "A 18898-2025")</f>
        <v/>
      </c>
      <c r="Y81">
        <f>HYPERLINK("https://klasma.github.io/Logging_2305/tillsynsmail/A 18898-2025 tillsynsbegäran mail.docx", "A 18898-2025")</f>
        <v/>
      </c>
      <c r="Z81">
        <f>HYPERLINK("https://klasma.github.io/Logging_2305/fåglar/A 18898-2025 prioriterade fågelarter.docx", "A 18898-2025")</f>
        <v/>
      </c>
    </row>
    <row r="82" ht="15" customHeight="1">
      <c r="A82" t="inlineStr">
        <is>
          <t>A 43982-2023</t>
        </is>
      </c>
      <c r="B82" s="1" t="n">
        <v>45187</v>
      </c>
      <c r="C82" s="1" t="n">
        <v>46200</v>
      </c>
      <c r="D82" t="inlineStr">
        <is>
          <t>JÄMTLANDS LÄN</t>
        </is>
      </c>
      <c r="E82" t="inlineStr">
        <is>
          <t>BRÄCKE</t>
        </is>
      </c>
      <c r="F82" t="inlineStr">
        <is>
          <t>SCA</t>
        </is>
      </c>
      <c r="G82" t="n">
        <v>25.6</v>
      </c>
      <c r="H82" t="n">
        <v>5</v>
      </c>
      <c r="I82" t="n">
        <v>3</v>
      </c>
      <c r="J82" t="n">
        <v>3</v>
      </c>
      <c r="K82" t="n">
        <v>1</v>
      </c>
      <c r="L82" t="n">
        <v>0</v>
      </c>
      <c r="M82" t="n">
        <v>0</v>
      </c>
      <c r="N82" t="n">
        <v>0</v>
      </c>
      <c r="O82" t="n">
        <v>4</v>
      </c>
      <c r="P82" t="n">
        <v>1</v>
      </c>
      <c r="Q82" t="n">
        <v>7</v>
      </c>
      <c r="R82" s="2" t="inlineStr">
        <is>
          <t>Knärot
Kolflarnlav
Lunglav
Tretåig hackspett
Korallrot
Plattlummer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51820-2023</t>
        </is>
      </c>
      <c r="B83" s="1" t="n">
        <v>45222</v>
      </c>
      <c r="C83" s="1" t="n">
        <v>46200</v>
      </c>
      <c r="D83" t="inlineStr">
        <is>
          <t>JÄMTLANDS LÄN</t>
        </is>
      </c>
      <c r="E83" t="inlineStr">
        <is>
          <t>BRÄCKE</t>
        </is>
      </c>
      <c r="F83" t="inlineStr">
        <is>
          <t>SCA</t>
        </is>
      </c>
      <c r="G83" t="n">
        <v>3.4</v>
      </c>
      <c r="H83" t="n">
        <v>1</v>
      </c>
      <c r="I83" t="n">
        <v>2</v>
      </c>
      <c r="J83" t="n">
        <v>5</v>
      </c>
      <c r="K83" t="n">
        <v>0</v>
      </c>
      <c r="L83" t="n">
        <v>0</v>
      </c>
      <c r="M83" t="n">
        <v>0</v>
      </c>
      <c r="N83" t="n">
        <v>0</v>
      </c>
      <c r="O83" t="n">
        <v>5</v>
      </c>
      <c r="P83" t="n">
        <v>0</v>
      </c>
      <c r="Q83" t="n">
        <v>7</v>
      </c>
      <c r="R83" s="2" t="inlineStr">
        <is>
          <t>Rosenticka
Tretåig hackspett
Ullticka
Vedtrappmossa
Vitgrynig nållav
Gulnål
Vedticka</t>
        </is>
      </c>
      <c r="S83">
        <f>HYPERLINK("https://klasma.github.io/Logging_2305/artfynd/A 51820-2023 artfynd.xlsx", "A 51820-2023")</f>
        <v/>
      </c>
      <c r="T83">
        <f>HYPERLINK("https://klasma.github.io/Logging_2305/kartor/A 51820-2023 karta.png", "A 51820-2023")</f>
        <v/>
      </c>
      <c r="V83">
        <f>HYPERLINK("https://klasma.github.io/Logging_2305/klagomål/A 51820-2023 FSC-klagomål.docx", "A 51820-2023")</f>
        <v/>
      </c>
      <c r="W83">
        <f>HYPERLINK("https://klasma.github.io/Logging_2305/klagomålsmail/A 51820-2023 FSC-klagomål mail.docx", "A 51820-2023")</f>
        <v/>
      </c>
      <c r="X83">
        <f>HYPERLINK("https://klasma.github.io/Logging_2305/tillsyn/A 51820-2023 tillsynsbegäran.docx", "A 51820-2023")</f>
        <v/>
      </c>
      <c r="Y83">
        <f>HYPERLINK("https://klasma.github.io/Logging_2305/tillsynsmail/A 51820-2023 tillsynsbegäran mail.docx", "A 51820-2023")</f>
        <v/>
      </c>
      <c r="Z83">
        <f>HYPERLINK("https://klasma.github.io/Logging_2305/fåglar/A 51820-2023 prioriterade fågelarter.docx", "A 51820-2023")</f>
        <v/>
      </c>
    </row>
    <row r="84" ht="15" customHeight="1">
      <c r="A84" t="inlineStr">
        <is>
          <t>A 23592-2025</t>
        </is>
      </c>
      <c r="B84" s="1" t="n">
        <v>45792</v>
      </c>
      <c r="C84" s="1" t="n">
        <v>46200</v>
      </c>
      <c r="D84" t="inlineStr">
        <is>
          <t>JÄMTLANDS LÄN</t>
        </is>
      </c>
      <c r="E84" t="inlineStr">
        <is>
          <t>BRÄCKE</t>
        </is>
      </c>
      <c r="F84" t="inlineStr">
        <is>
          <t>SCA</t>
        </is>
      </c>
      <c r="G84" t="n">
        <v>3.6</v>
      </c>
      <c r="H84" t="n">
        <v>2</v>
      </c>
      <c r="I84" t="n">
        <v>1</v>
      </c>
      <c r="J84" t="n">
        <v>3</v>
      </c>
      <c r="K84" t="n">
        <v>2</v>
      </c>
      <c r="L84" t="n">
        <v>0</v>
      </c>
      <c r="M84" t="n">
        <v>0</v>
      </c>
      <c r="N84" t="n">
        <v>0</v>
      </c>
      <c r="O84" t="n">
        <v>5</v>
      </c>
      <c r="P84" t="n">
        <v>2</v>
      </c>
      <c r="Q84" t="n">
        <v>7</v>
      </c>
      <c r="R84" s="2" t="inlineStr">
        <is>
          <t>Garnlav
Knärot
Lunglav
Rosenticka
Vitgrynig nållav
Skinnlav
Revlummer</t>
        </is>
      </c>
      <c r="S84">
        <f>HYPERLINK("https://klasma.github.io/Logging_2305/artfynd/A 23592-2025 artfynd.xlsx", "A 23592-2025")</f>
        <v/>
      </c>
      <c r="T84">
        <f>HYPERLINK("https://klasma.github.io/Logging_2305/kartor/A 23592-2025 karta.png", "A 23592-2025")</f>
        <v/>
      </c>
      <c r="U84">
        <f>HYPERLINK("https://klasma.github.io/Logging_2305/knärot/A 23592-2025 karta knärot.png", "A 23592-2025")</f>
        <v/>
      </c>
      <c r="V84">
        <f>HYPERLINK("https://klasma.github.io/Logging_2305/klagomål/A 23592-2025 FSC-klagomål.docx", "A 23592-2025")</f>
        <v/>
      </c>
      <c r="W84">
        <f>HYPERLINK("https://klasma.github.io/Logging_2305/klagomålsmail/A 23592-2025 FSC-klagomål mail.docx", "A 23592-2025")</f>
        <v/>
      </c>
      <c r="X84">
        <f>HYPERLINK("https://klasma.github.io/Logging_2305/tillsyn/A 23592-2025 tillsynsbegäran.docx", "A 23592-2025")</f>
        <v/>
      </c>
      <c r="Y84">
        <f>HYPERLINK("https://klasma.github.io/Logging_2305/tillsynsmail/A 23592-2025 tillsynsbegäran mail.docx", "A 23592-2025")</f>
        <v/>
      </c>
    </row>
    <row r="85" ht="15" customHeight="1">
      <c r="A85" t="inlineStr">
        <is>
          <t>A 29272-2024</t>
        </is>
      </c>
      <c r="B85" s="1" t="n">
        <v>45482</v>
      </c>
      <c r="C85" s="1" t="n">
        <v>46200</v>
      </c>
      <c r="D85" t="inlineStr">
        <is>
          <t>JÄMTLANDS LÄN</t>
        </is>
      </c>
      <c r="E85" t="inlineStr">
        <is>
          <t>BRÄCKE</t>
        </is>
      </c>
      <c r="F85" t="inlineStr">
        <is>
          <t>SCA</t>
        </is>
      </c>
      <c r="G85" t="n">
        <v>1.6</v>
      </c>
      <c r="H85" t="n">
        <v>4</v>
      </c>
      <c r="I85" t="n">
        <v>0</v>
      </c>
      <c r="J85" t="n">
        <v>3</v>
      </c>
      <c r="K85" t="n">
        <v>1</v>
      </c>
      <c r="L85" t="n">
        <v>0</v>
      </c>
      <c r="M85" t="n">
        <v>0</v>
      </c>
      <c r="N85" t="n">
        <v>0</v>
      </c>
      <c r="O85" t="n">
        <v>4</v>
      </c>
      <c r="P85" t="n">
        <v>1</v>
      </c>
      <c r="Q85" t="n">
        <v>7</v>
      </c>
      <c r="R85" s="2" t="inlineStr">
        <is>
          <t>Garnlav
Lunglav
Skogshare
Tretåig hackspett
Spillkråka
Tjäder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25852-2026</t>
        </is>
      </c>
      <c r="B86" s="1" t="n">
        <v>46178</v>
      </c>
      <c r="C86" s="1" t="n">
        <v>46200</v>
      </c>
      <c r="D86" t="inlineStr">
        <is>
          <t>JÄMTLANDS LÄN</t>
        </is>
      </c>
      <c r="E86" t="inlineStr">
        <is>
          <t>BRÄCKE</t>
        </is>
      </c>
      <c r="F86" t="inlineStr">
        <is>
          <t>SCA</t>
        </is>
      </c>
      <c r="G86" t="n">
        <v>3.7</v>
      </c>
      <c r="H86" t="n">
        <v>0</v>
      </c>
      <c r="I86" t="n">
        <v>1</v>
      </c>
      <c r="J86" t="n">
        <v>5</v>
      </c>
      <c r="K86" t="n">
        <v>1</v>
      </c>
      <c r="L86" t="n">
        <v>0</v>
      </c>
      <c r="M86" t="n">
        <v>0</v>
      </c>
      <c r="N86" t="n">
        <v>0</v>
      </c>
      <c r="O86" t="n">
        <v>6</v>
      </c>
      <c r="P86" t="n">
        <v>1</v>
      </c>
      <c r="Q86" t="n">
        <v>7</v>
      </c>
      <c r="R86" s="2" t="inlineStr">
        <is>
          <t>Garnlav
Dvärgbägarlav
Kolflarnlav
Lunglav
Rynkskinn
Vedtrappmossa
Vedticka</t>
        </is>
      </c>
      <c r="S86">
        <f>HYPERLINK("https://klasma.github.io/Logging_2305/artfynd/A 25852-2026 artfynd.xlsx", "A 25852-2026")</f>
        <v/>
      </c>
      <c r="T86">
        <f>HYPERLINK("https://klasma.github.io/Logging_2305/kartor/A 25852-2026 karta.png", "A 25852-2026")</f>
        <v/>
      </c>
      <c r="V86">
        <f>HYPERLINK("https://klasma.github.io/Logging_2305/klagomål/A 25852-2026 FSC-klagomål.docx", "A 25852-2026")</f>
        <v/>
      </c>
      <c r="W86">
        <f>HYPERLINK("https://klasma.github.io/Logging_2305/klagomålsmail/A 25852-2026 FSC-klagomål mail.docx", "A 25852-2026")</f>
        <v/>
      </c>
      <c r="X86">
        <f>HYPERLINK("https://klasma.github.io/Logging_2305/tillsyn/A 25852-2026 tillsynsbegäran.docx", "A 25852-2026")</f>
        <v/>
      </c>
      <c r="Y86">
        <f>HYPERLINK("https://klasma.github.io/Logging_2305/tillsynsmail/A 25852-2026 tillsynsbegäran mail.docx", "A 25852-2026")</f>
        <v/>
      </c>
    </row>
    <row r="87" ht="15" customHeight="1">
      <c r="A87" t="inlineStr">
        <is>
          <t>A 32580-2025</t>
        </is>
      </c>
      <c r="B87" s="1" t="n">
        <v>45838</v>
      </c>
      <c r="C87" s="1" t="n">
        <v>46200</v>
      </c>
      <c r="D87" t="inlineStr">
        <is>
          <t>JÄMTLANDS LÄN</t>
        </is>
      </c>
      <c r="E87" t="inlineStr">
        <is>
          <t>BRÄCKE</t>
        </is>
      </c>
      <c r="G87" t="n">
        <v>20.9</v>
      </c>
      <c r="H87" t="n">
        <v>4</v>
      </c>
      <c r="I87" t="n">
        <v>1</v>
      </c>
      <c r="J87" t="n">
        <v>4</v>
      </c>
      <c r="K87" t="n">
        <v>2</v>
      </c>
      <c r="L87" t="n">
        <v>0</v>
      </c>
      <c r="M87" t="n">
        <v>0</v>
      </c>
      <c r="N87" t="n">
        <v>0</v>
      </c>
      <c r="O87" t="n">
        <v>6</v>
      </c>
      <c r="P87" t="n">
        <v>2</v>
      </c>
      <c r="Q87" t="n">
        <v>7</v>
      </c>
      <c r="R87" s="2" t="inlineStr">
        <is>
          <t>Garnlav
Knärot
Dropptaggsvamp
Talltita
Tretåig hackspett
Vedtrappmossa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34540-2025</t>
        </is>
      </c>
      <c r="B88" s="1" t="n">
        <v>45847</v>
      </c>
      <c r="C88" s="1" t="n">
        <v>46200</v>
      </c>
      <c r="D88" t="inlineStr">
        <is>
          <t>JÄMTLANDS LÄN</t>
        </is>
      </c>
      <c r="E88" t="inlineStr">
        <is>
          <t>BRÄCKE</t>
        </is>
      </c>
      <c r="F88" t="inlineStr">
        <is>
          <t>SCA</t>
        </is>
      </c>
      <c r="G88" t="n">
        <v>1.5</v>
      </c>
      <c r="H88" t="n">
        <v>2</v>
      </c>
      <c r="I88" t="n">
        <v>0</v>
      </c>
      <c r="J88" t="n">
        <v>4</v>
      </c>
      <c r="K88" t="n">
        <v>3</v>
      </c>
      <c r="L88" t="n">
        <v>0</v>
      </c>
      <c r="M88" t="n">
        <v>0</v>
      </c>
      <c r="N88" t="n">
        <v>0</v>
      </c>
      <c r="O88" t="n">
        <v>7</v>
      </c>
      <c r="P88" t="n">
        <v>3</v>
      </c>
      <c r="Q88" t="n">
        <v>7</v>
      </c>
      <c r="R88" s="2" t="inlineStr">
        <is>
          <t>Knärot
Skrovlig taggsvamp
Tallgråticka
Skarp dropptaggsvamp
Tallfingersvamp
Tallriska
Talltita</t>
        </is>
      </c>
      <c r="S88">
        <f>HYPERLINK("https://klasma.github.io/Logging_2305/artfynd/A 34540-2025 artfynd.xlsx", "A 34540-2025")</f>
        <v/>
      </c>
      <c r="T88">
        <f>HYPERLINK("https://klasma.github.io/Logging_2305/kartor/A 34540-2025 karta.png", "A 34540-2025")</f>
        <v/>
      </c>
      <c r="U88">
        <f>HYPERLINK("https://klasma.github.io/Logging_2305/knärot/A 34540-2025 karta knärot.png", "A 34540-2025")</f>
        <v/>
      </c>
      <c r="V88">
        <f>HYPERLINK("https://klasma.github.io/Logging_2305/klagomål/A 34540-2025 FSC-klagomål.docx", "A 34540-2025")</f>
        <v/>
      </c>
      <c r="W88">
        <f>HYPERLINK("https://klasma.github.io/Logging_2305/klagomålsmail/A 34540-2025 FSC-klagomål mail.docx", "A 34540-2025")</f>
        <v/>
      </c>
      <c r="X88">
        <f>HYPERLINK("https://klasma.github.io/Logging_2305/tillsyn/A 34540-2025 tillsynsbegäran.docx", "A 34540-2025")</f>
        <v/>
      </c>
      <c r="Y88">
        <f>HYPERLINK("https://klasma.github.io/Logging_2305/tillsynsmail/A 34540-2025 tillsynsbegäran mail.docx", "A 34540-2025")</f>
        <v/>
      </c>
      <c r="Z88">
        <f>HYPERLINK("https://klasma.github.io/Logging_2305/fåglar/A 34540-2025 prioriterade fågelarter.docx", "A 34540-2025")</f>
        <v/>
      </c>
    </row>
    <row r="89" ht="15" customHeight="1">
      <c r="A89" t="inlineStr">
        <is>
          <t>A 53280-2022</t>
        </is>
      </c>
      <c r="B89" s="1" t="n">
        <v>44876</v>
      </c>
      <c r="C89" s="1" t="n">
        <v>46200</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6</v>
      </c>
      <c r="R89" s="2" t="inlineStr">
        <is>
          <t>Kolflarnlav
Lunglav
Skinnlav
Spindelblomster
Stuplav
Järpe</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36456-2021</t>
        </is>
      </c>
      <c r="B90" s="1" t="n">
        <v>44390</v>
      </c>
      <c r="C90" s="1" t="n">
        <v>46200</v>
      </c>
      <c r="D90" t="inlineStr">
        <is>
          <t>JÄMTLANDS LÄN</t>
        </is>
      </c>
      <c r="E90" t="inlineStr">
        <is>
          <t>BRÄCKE</t>
        </is>
      </c>
      <c r="F90" t="inlineStr">
        <is>
          <t>SCA</t>
        </is>
      </c>
      <c r="G90" t="n">
        <v>2.7</v>
      </c>
      <c r="H90" t="n">
        <v>0</v>
      </c>
      <c r="I90" t="n">
        <v>1</v>
      </c>
      <c r="J90" t="n">
        <v>4</v>
      </c>
      <c r="K90" t="n">
        <v>1</v>
      </c>
      <c r="L90" t="n">
        <v>0</v>
      </c>
      <c r="M90" t="n">
        <v>0</v>
      </c>
      <c r="N90" t="n">
        <v>0</v>
      </c>
      <c r="O90" t="n">
        <v>5</v>
      </c>
      <c r="P90" t="n">
        <v>1</v>
      </c>
      <c r="Q90" t="n">
        <v>6</v>
      </c>
      <c r="R90" s="2" t="inlineStr">
        <is>
          <t>Garnlav
Kolflarnlav
Lunglav
Reliktbock
Skrovellav
Stuplav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15146-2024</t>
        </is>
      </c>
      <c r="B91" s="1" t="n">
        <v>45399</v>
      </c>
      <c r="C91" s="1" t="n">
        <v>46200</v>
      </c>
      <c r="D91" t="inlineStr">
        <is>
          <t>JÄMTLANDS LÄN</t>
        </is>
      </c>
      <c r="E91" t="inlineStr">
        <is>
          <t>BRÄCKE</t>
        </is>
      </c>
      <c r="F91" t="inlineStr">
        <is>
          <t>Naturvårdsverket</t>
        </is>
      </c>
      <c r="G91" t="n">
        <v>2.2</v>
      </c>
      <c r="H91" t="n">
        <v>0</v>
      </c>
      <c r="I91" t="n">
        <v>3</v>
      </c>
      <c r="J91" t="n">
        <v>2</v>
      </c>
      <c r="K91" t="n">
        <v>1</v>
      </c>
      <c r="L91" t="n">
        <v>0</v>
      </c>
      <c r="M91" t="n">
        <v>0</v>
      </c>
      <c r="N91" t="n">
        <v>0</v>
      </c>
      <c r="O91" t="n">
        <v>3</v>
      </c>
      <c r="P91" t="n">
        <v>1</v>
      </c>
      <c r="Q91" t="n">
        <v>6</v>
      </c>
      <c r="R91" s="2" t="inlineStr">
        <is>
          <t>Garnlav
Lunglav
Ullticka
Bårdlav
Korallblylav
Stuplav</t>
        </is>
      </c>
      <c r="S91">
        <f>HYPERLINK("https://klasma.github.io/Logging_2305/artfynd/A 15146-2024 artfynd.xlsx", "A 15146-2024")</f>
        <v/>
      </c>
      <c r="T91">
        <f>HYPERLINK("https://klasma.github.io/Logging_2305/kartor/A 15146-2024 karta.png", "A 15146-2024")</f>
        <v/>
      </c>
      <c r="V91">
        <f>HYPERLINK("https://klasma.github.io/Logging_2305/klagomål/A 15146-2024 FSC-klagomål.docx", "A 15146-2024")</f>
        <v/>
      </c>
      <c r="W91">
        <f>HYPERLINK("https://klasma.github.io/Logging_2305/klagomålsmail/A 15146-2024 FSC-klagomål mail.docx", "A 15146-2024")</f>
        <v/>
      </c>
      <c r="X91">
        <f>HYPERLINK("https://klasma.github.io/Logging_2305/tillsyn/A 15146-2024 tillsynsbegäran.docx", "A 15146-2024")</f>
        <v/>
      </c>
      <c r="Y91">
        <f>HYPERLINK("https://klasma.github.io/Logging_2305/tillsynsmail/A 15146-2024 tillsynsbegäran mail.docx", "A 15146-2024")</f>
        <v/>
      </c>
    </row>
    <row r="92" ht="15" customHeight="1">
      <c r="A92" t="inlineStr">
        <is>
          <t>A 14576-2024</t>
        </is>
      </c>
      <c r="B92" s="1" t="n">
        <v>45394</v>
      </c>
      <c r="C92" s="1" t="n">
        <v>46200</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47499-2023</t>
        </is>
      </c>
      <c r="B93" s="1" t="n">
        <v>45202</v>
      </c>
      <c r="C93" s="1" t="n">
        <v>46200</v>
      </c>
      <c r="D93" t="inlineStr">
        <is>
          <t>JÄMTLANDS LÄN</t>
        </is>
      </c>
      <c r="E93" t="inlineStr">
        <is>
          <t>BRÄCKE</t>
        </is>
      </c>
      <c r="F93" t="inlineStr">
        <is>
          <t>SCA</t>
        </is>
      </c>
      <c r="G93" t="n">
        <v>8.1</v>
      </c>
      <c r="H93" t="n">
        <v>2</v>
      </c>
      <c r="I93" t="n">
        <v>2</v>
      </c>
      <c r="J93" t="n">
        <v>3</v>
      </c>
      <c r="K93" t="n">
        <v>1</v>
      </c>
      <c r="L93" t="n">
        <v>0</v>
      </c>
      <c r="M93" t="n">
        <v>0</v>
      </c>
      <c r="N93" t="n">
        <v>0</v>
      </c>
      <c r="O93" t="n">
        <v>4</v>
      </c>
      <c r="P93" t="n">
        <v>1</v>
      </c>
      <c r="Q93" t="n">
        <v>6</v>
      </c>
      <c r="R93" s="2" t="inlineStr">
        <is>
          <t>Garnlav
Lunglav
Rosenticka
Ullticka
Korallrot
Lappranunkel</t>
        </is>
      </c>
      <c r="S93">
        <f>HYPERLINK("https://klasma.github.io/Logging_2305/artfynd/A 47499-2023 artfynd.xlsx", "A 47499-2023")</f>
        <v/>
      </c>
      <c r="T93">
        <f>HYPERLINK("https://klasma.github.io/Logging_2305/kartor/A 47499-2023 karta.png", "A 47499-2023")</f>
        <v/>
      </c>
      <c r="V93">
        <f>HYPERLINK("https://klasma.github.io/Logging_2305/klagomål/A 47499-2023 FSC-klagomål.docx", "A 47499-2023")</f>
        <v/>
      </c>
      <c r="W93">
        <f>HYPERLINK("https://klasma.github.io/Logging_2305/klagomålsmail/A 47499-2023 FSC-klagomål mail.docx", "A 47499-2023")</f>
        <v/>
      </c>
      <c r="X93">
        <f>HYPERLINK("https://klasma.github.io/Logging_2305/tillsyn/A 47499-2023 tillsynsbegäran.docx", "A 47499-2023")</f>
        <v/>
      </c>
      <c r="Y93">
        <f>HYPERLINK("https://klasma.github.io/Logging_2305/tillsynsmail/A 47499-2023 tillsynsbegäran mail.docx", "A 47499-2023")</f>
        <v/>
      </c>
    </row>
    <row r="94" ht="15" customHeight="1">
      <c r="A94" t="inlineStr">
        <is>
          <t>A 19437-2023</t>
        </is>
      </c>
      <c r="B94" s="1" t="n">
        <v>45049</v>
      </c>
      <c r="C94" s="1" t="n">
        <v>46200</v>
      </c>
      <c r="D94" t="inlineStr">
        <is>
          <t>JÄMTLANDS LÄN</t>
        </is>
      </c>
      <c r="E94" t="inlineStr">
        <is>
          <t>BRÄCKE</t>
        </is>
      </c>
      <c r="G94" t="n">
        <v>1.5</v>
      </c>
      <c r="H94" t="n">
        <v>0</v>
      </c>
      <c r="I94" t="n">
        <v>4</v>
      </c>
      <c r="J94" t="n">
        <v>2</v>
      </c>
      <c r="K94" t="n">
        <v>0</v>
      </c>
      <c r="L94" t="n">
        <v>0</v>
      </c>
      <c r="M94" t="n">
        <v>0</v>
      </c>
      <c r="N94" t="n">
        <v>0</v>
      </c>
      <c r="O94" t="n">
        <v>2</v>
      </c>
      <c r="P94" t="n">
        <v>0</v>
      </c>
      <c r="Q94" t="n">
        <v>6</v>
      </c>
      <c r="R94" s="2" t="inlineStr">
        <is>
          <t>Lunglav
Ullticka
Bårdlav
Gytterlav
Stuplav
Svart trolldruva</t>
        </is>
      </c>
      <c r="S94">
        <f>HYPERLINK("https://klasma.github.io/Logging_2305/artfynd/A 19437-2023 artfynd.xlsx", "A 19437-2023")</f>
        <v/>
      </c>
      <c r="T94">
        <f>HYPERLINK("https://klasma.github.io/Logging_2305/kartor/A 19437-2023 karta.png", "A 19437-2023")</f>
        <v/>
      </c>
      <c r="U94">
        <f>HYPERLINK("https://klasma.github.io/Logging_2305/knärot/A 19437-2023 karta knärot.png", "A 19437-2023")</f>
        <v/>
      </c>
      <c r="V94">
        <f>HYPERLINK("https://klasma.github.io/Logging_2305/klagomål/A 19437-2023 FSC-klagomål.docx", "A 19437-2023")</f>
        <v/>
      </c>
      <c r="W94">
        <f>HYPERLINK("https://klasma.github.io/Logging_2305/klagomålsmail/A 19437-2023 FSC-klagomål mail.docx", "A 19437-2023")</f>
        <v/>
      </c>
      <c r="X94">
        <f>HYPERLINK("https://klasma.github.io/Logging_2305/tillsyn/A 19437-2023 tillsynsbegäran.docx", "A 19437-2023")</f>
        <v/>
      </c>
      <c r="Y94">
        <f>HYPERLINK("https://klasma.github.io/Logging_2305/tillsynsmail/A 19437-2023 tillsynsbegäran mail.docx", "A 19437-2023")</f>
        <v/>
      </c>
    </row>
    <row r="95" ht="15" customHeight="1">
      <c r="A95" t="inlineStr">
        <is>
          <t>A 43989-2023</t>
        </is>
      </c>
      <c r="B95" s="1" t="n">
        <v>45187</v>
      </c>
      <c r="C95" s="1" t="n">
        <v>46200</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35419-2024</t>
        </is>
      </c>
      <c r="B96" s="1" t="n">
        <v>45531</v>
      </c>
      <c r="C96" s="1" t="n">
        <v>46200</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44934-2025</t>
        </is>
      </c>
      <c r="B97" s="1" t="n">
        <v>45918</v>
      </c>
      <c r="C97" s="1" t="n">
        <v>46200</v>
      </c>
      <c r="D97" t="inlineStr">
        <is>
          <t>JÄMTLANDS LÄN</t>
        </is>
      </c>
      <c r="E97" t="inlineStr">
        <is>
          <t>BRÄCKE</t>
        </is>
      </c>
      <c r="G97" t="n">
        <v>0.5</v>
      </c>
      <c r="H97" t="n">
        <v>0</v>
      </c>
      <c r="I97" t="n">
        <v>2</v>
      </c>
      <c r="J97" t="n">
        <v>3</v>
      </c>
      <c r="K97" t="n">
        <v>1</v>
      </c>
      <c r="L97" t="n">
        <v>0</v>
      </c>
      <c r="M97" t="n">
        <v>0</v>
      </c>
      <c r="N97" t="n">
        <v>0</v>
      </c>
      <c r="O97" t="n">
        <v>4</v>
      </c>
      <c r="P97" t="n">
        <v>1</v>
      </c>
      <c r="Q97" t="n">
        <v>6</v>
      </c>
      <c r="R97" s="2" t="inlineStr">
        <is>
          <t>Garnlav
Lunglav
Skrovellav
Vitgrynig nållav
Bollvitmossa
Trådfräken</t>
        </is>
      </c>
      <c r="S97">
        <f>HYPERLINK("https://klasma.github.io/Logging_2305/artfynd/A 44934-2025 artfynd.xlsx", "A 44934-2025")</f>
        <v/>
      </c>
      <c r="T97">
        <f>HYPERLINK("https://klasma.github.io/Logging_2305/kartor/A 44934-2025 karta.png", "A 44934-2025")</f>
        <v/>
      </c>
      <c r="V97">
        <f>HYPERLINK("https://klasma.github.io/Logging_2305/klagomål/A 44934-2025 FSC-klagomål.docx", "A 44934-2025")</f>
        <v/>
      </c>
      <c r="W97">
        <f>HYPERLINK("https://klasma.github.io/Logging_2305/klagomålsmail/A 44934-2025 FSC-klagomål mail.docx", "A 44934-2025")</f>
        <v/>
      </c>
      <c r="X97">
        <f>HYPERLINK("https://klasma.github.io/Logging_2305/tillsyn/A 44934-2025 tillsynsbegäran.docx", "A 44934-2025")</f>
        <v/>
      </c>
      <c r="Y97">
        <f>HYPERLINK("https://klasma.github.io/Logging_2305/tillsynsmail/A 44934-2025 tillsynsbegäran mail.docx", "A 44934-2025")</f>
        <v/>
      </c>
    </row>
    <row r="98" ht="15" customHeight="1">
      <c r="A98" t="inlineStr">
        <is>
          <t>A 56737-2025</t>
        </is>
      </c>
      <c r="B98" s="1" t="n">
        <v>45978</v>
      </c>
      <c r="C98" s="1" t="n">
        <v>46200</v>
      </c>
      <c r="D98" t="inlineStr">
        <is>
          <t>JÄMTLANDS LÄN</t>
        </is>
      </c>
      <c r="E98" t="inlineStr">
        <is>
          <t>BRÄCKE</t>
        </is>
      </c>
      <c r="F98" t="inlineStr">
        <is>
          <t>SCA</t>
        </is>
      </c>
      <c r="G98" t="n">
        <v>3.5</v>
      </c>
      <c r="H98" t="n">
        <v>0</v>
      </c>
      <c r="I98" t="n">
        <v>1</v>
      </c>
      <c r="J98" t="n">
        <v>4</v>
      </c>
      <c r="K98" t="n">
        <v>1</v>
      </c>
      <c r="L98" t="n">
        <v>0</v>
      </c>
      <c r="M98" t="n">
        <v>0</v>
      </c>
      <c r="N98" t="n">
        <v>0</v>
      </c>
      <c r="O98" t="n">
        <v>5</v>
      </c>
      <c r="P98" t="n">
        <v>1</v>
      </c>
      <c r="Q98" t="n">
        <v>6</v>
      </c>
      <c r="R98" s="2" t="inlineStr">
        <is>
          <t>Smultronkantarell
Blå taggsvamp
Dropptaggsvamp
Dvärgbägarlav
Reliktbock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20803-2026</t>
        </is>
      </c>
      <c r="B99" s="1" t="n">
        <v>46141</v>
      </c>
      <c r="C99" s="1" t="n">
        <v>46200</v>
      </c>
      <c r="D99" t="inlineStr">
        <is>
          <t>JÄMTLANDS LÄN</t>
        </is>
      </c>
      <c r="E99" t="inlineStr">
        <is>
          <t>BRÄCKE</t>
        </is>
      </c>
      <c r="F99" t="inlineStr">
        <is>
          <t>SCA</t>
        </is>
      </c>
      <c r="G99" t="n">
        <v>7.2</v>
      </c>
      <c r="H99" t="n">
        <v>0</v>
      </c>
      <c r="I99" t="n">
        <v>2</v>
      </c>
      <c r="J99" t="n">
        <v>4</v>
      </c>
      <c r="K99" t="n">
        <v>0</v>
      </c>
      <c r="L99" t="n">
        <v>0</v>
      </c>
      <c r="M99" t="n">
        <v>0</v>
      </c>
      <c r="N99" t="n">
        <v>0</v>
      </c>
      <c r="O99" t="n">
        <v>4</v>
      </c>
      <c r="P99" t="n">
        <v>0</v>
      </c>
      <c r="Q99" t="n">
        <v>6</v>
      </c>
      <c r="R99" s="2" t="inlineStr">
        <is>
          <t>Kolflarnlav
Lunglav
Skrovellav
Ullticka
Stuplav
Vedticka</t>
        </is>
      </c>
      <c r="S99">
        <f>HYPERLINK("https://klasma.github.io/Logging_2305/artfynd/A 20803-2026 artfynd.xlsx", "A 20803-2026")</f>
        <v/>
      </c>
      <c r="T99">
        <f>HYPERLINK("https://klasma.github.io/Logging_2305/kartor/A 20803-2026 karta.png", "A 20803-2026")</f>
        <v/>
      </c>
      <c r="V99">
        <f>HYPERLINK("https://klasma.github.io/Logging_2305/klagomål/A 20803-2026 FSC-klagomål.docx", "A 20803-2026")</f>
        <v/>
      </c>
      <c r="W99">
        <f>HYPERLINK("https://klasma.github.io/Logging_2305/klagomålsmail/A 20803-2026 FSC-klagomål mail.docx", "A 20803-2026")</f>
        <v/>
      </c>
      <c r="X99">
        <f>HYPERLINK("https://klasma.github.io/Logging_2305/tillsyn/A 20803-2026 tillsynsbegäran.docx", "A 20803-2026")</f>
        <v/>
      </c>
      <c r="Y99">
        <f>HYPERLINK("https://klasma.github.io/Logging_2305/tillsynsmail/A 20803-2026 tillsynsbegäran mail.docx", "A 20803-2026")</f>
        <v/>
      </c>
    </row>
    <row r="100" ht="15" customHeight="1">
      <c r="A100" t="inlineStr">
        <is>
          <t>A 22307-2026</t>
        </is>
      </c>
      <c r="B100" s="1" t="n">
        <v>46154</v>
      </c>
      <c r="C100" s="1" t="n">
        <v>46200</v>
      </c>
      <c r="D100" t="inlineStr">
        <is>
          <t>JÄMTLANDS LÄN</t>
        </is>
      </c>
      <c r="E100" t="inlineStr">
        <is>
          <t>BRÄCKE</t>
        </is>
      </c>
      <c r="F100" t="inlineStr">
        <is>
          <t>SCA</t>
        </is>
      </c>
      <c r="G100" t="n">
        <v>4.6</v>
      </c>
      <c r="H100" t="n">
        <v>0</v>
      </c>
      <c r="I100" t="n">
        <v>1</v>
      </c>
      <c r="J100" t="n">
        <v>4</v>
      </c>
      <c r="K100" t="n">
        <v>1</v>
      </c>
      <c r="L100" t="n">
        <v>0</v>
      </c>
      <c r="M100" t="n">
        <v>0</v>
      </c>
      <c r="N100" t="n">
        <v>0</v>
      </c>
      <c r="O100" t="n">
        <v>5</v>
      </c>
      <c r="P100" t="n">
        <v>1</v>
      </c>
      <c r="Q100" t="n">
        <v>6</v>
      </c>
      <c r="R100" s="2" t="inlineStr">
        <is>
          <t>Garnlav
Kolflarnlav
Lunglav
Reliktbock
Skrovellav
Stuplav</t>
        </is>
      </c>
      <c r="S100">
        <f>HYPERLINK("https://klasma.github.io/Logging_2305/artfynd/A 22307-2026 artfynd.xlsx", "A 22307-2026")</f>
        <v/>
      </c>
      <c r="T100">
        <f>HYPERLINK("https://klasma.github.io/Logging_2305/kartor/A 22307-2026 karta.png", "A 22307-2026")</f>
        <v/>
      </c>
      <c r="V100">
        <f>HYPERLINK("https://klasma.github.io/Logging_2305/klagomål/A 22307-2026 FSC-klagomål.docx", "A 22307-2026")</f>
        <v/>
      </c>
      <c r="W100">
        <f>HYPERLINK("https://klasma.github.io/Logging_2305/klagomålsmail/A 22307-2026 FSC-klagomål mail.docx", "A 22307-2026")</f>
        <v/>
      </c>
      <c r="X100">
        <f>HYPERLINK("https://klasma.github.io/Logging_2305/tillsyn/A 22307-2026 tillsynsbegäran.docx", "A 22307-2026")</f>
        <v/>
      </c>
      <c r="Y100">
        <f>HYPERLINK("https://klasma.github.io/Logging_2305/tillsynsmail/A 22307-2026 tillsynsbegäran mail.docx", "A 22307-2026")</f>
        <v/>
      </c>
    </row>
    <row r="101" ht="15" customHeight="1">
      <c r="A101" t="inlineStr">
        <is>
          <t>A 57076-2024</t>
        </is>
      </c>
      <c r="B101" s="1" t="n">
        <v>45629</v>
      </c>
      <c r="C101" s="1" t="n">
        <v>46200</v>
      </c>
      <c r="D101" t="inlineStr">
        <is>
          <t>JÄMTLANDS LÄN</t>
        </is>
      </c>
      <c r="E101" t="inlineStr">
        <is>
          <t>BRÄCKE</t>
        </is>
      </c>
      <c r="F101" t="inlineStr">
        <is>
          <t>SCA</t>
        </is>
      </c>
      <c r="G101" t="n">
        <v>1.3</v>
      </c>
      <c r="H101" t="n">
        <v>2</v>
      </c>
      <c r="I101" t="n">
        <v>2</v>
      </c>
      <c r="J101" t="n">
        <v>2</v>
      </c>
      <c r="K101" t="n">
        <v>1</v>
      </c>
      <c r="L101" t="n">
        <v>0</v>
      </c>
      <c r="M101" t="n">
        <v>0</v>
      </c>
      <c r="N101" t="n">
        <v>0</v>
      </c>
      <c r="O101" t="n">
        <v>3</v>
      </c>
      <c r="P101" t="n">
        <v>1</v>
      </c>
      <c r="Q101" t="n">
        <v>5</v>
      </c>
      <c r="R101" s="2" t="inlineStr">
        <is>
          <t>Knärot
Lunglav
Tretåig hackspett
Luddlav
Vedticka</t>
        </is>
      </c>
      <c r="S101">
        <f>HYPERLINK("https://klasma.github.io/Logging_2305/artfynd/A 57076-2024 artfynd.xlsx", "A 57076-2024")</f>
        <v/>
      </c>
      <c r="T101">
        <f>HYPERLINK("https://klasma.github.io/Logging_2305/kartor/A 57076-2024 karta.png", "A 57076-2024")</f>
        <v/>
      </c>
      <c r="U101">
        <f>HYPERLINK("https://klasma.github.io/Logging_2305/knärot/A 57076-2024 karta knärot.png", "A 57076-2024")</f>
        <v/>
      </c>
      <c r="V101">
        <f>HYPERLINK("https://klasma.github.io/Logging_2305/klagomål/A 57076-2024 FSC-klagomål.docx", "A 57076-2024")</f>
        <v/>
      </c>
      <c r="W101">
        <f>HYPERLINK("https://klasma.github.io/Logging_2305/klagomålsmail/A 57076-2024 FSC-klagomål mail.docx", "A 57076-2024")</f>
        <v/>
      </c>
      <c r="X101">
        <f>HYPERLINK("https://klasma.github.io/Logging_2305/tillsyn/A 57076-2024 tillsynsbegäran.docx", "A 57076-2024")</f>
        <v/>
      </c>
      <c r="Y101">
        <f>HYPERLINK("https://klasma.github.io/Logging_2305/tillsynsmail/A 57076-2024 tillsynsbegäran mail.docx", "A 57076-2024")</f>
        <v/>
      </c>
      <c r="Z101">
        <f>HYPERLINK("https://klasma.github.io/Logging_2305/fåglar/A 57076-2024 prioriterade fågelarter.docx", "A 57076-2024")</f>
        <v/>
      </c>
    </row>
    <row r="102" ht="15" customHeight="1">
      <c r="A102" t="inlineStr">
        <is>
          <t>A 45420-2022</t>
        </is>
      </c>
      <c r="B102" s="1" t="n">
        <v>44844</v>
      </c>
      <c r="C102" s="1" t="n">
        <v>46200</v>
      </c>
      <c r="D102" t="inlineStr">
        <is>
          <t>JÄMTLANDS LÄN</t>
        </is>
      </c>
      <c r="E102" t="inlineStr">
        <is>
          <t>BRÄCKE</t>
        </is>
      </c>
      <c r="F102" t="inlineStr">
        <is>
          <t>SCA</t>
        </is>
      </c>
      <c r="G102" t="n">
        <v>1.6</v>
      </c>
      <c r="H102" t="n">
        <v>1</v>
      </c>
      <c r="I102" t="n">
        <v>2</v>
      </c>
      <c r="J102" t="n">
        <v>3</v>
      </c>
      <c r="K102" t="n">
        <v>0</v>
      </c>
      <c r="L102" t="n">
        <v>0</v>
      </c>
      <c r="M102" t="n">
        <v>0</v>
      </c>
      <c r="N102" t="n">
        <v>0</v>
      </c>
      <c r="O102" t="n">
        <v>3</v>
      </c>
      <c r="P102" t="n">
        <v>0</v>
      </c>
      <c r="Q102" t="n">
        <v>5</v>
      </c>
      <c r="R102" s="2" t="inlineStr">
        <is>
          <t>Dropptaggsvamp
Talltita
Vitgrynig nållav
Rödgul trumpetsvamp
Svavelriska</t>
        </is>
      </c>
      <c r="S102">
        <f>HYPERLINK("https://klasma.github.io/Logging_2305/artfynd/A 45420-2022 artfynd.xlsx", "A 45420-2022")</f>
        <v/>
      </c>
      <c r="T102">
        <f>HYPERLINK("https://klasma.github.io/Logging_2305/kartor/A 45420-2022 karta.png", "A 45420-2022")</f>
        <v/>
      </c>
      <c r="V102">
        <f>HYPERLINK("https://klasma.github.io/Logging_2305/klagomål/A 45420-2022 FSC-klagomål.docx", "A 45420-2022")</f>
        <v/>
      </c>
      <c r="W102">
        <f>HYPERLINK("https://klasma.github.io/Logging_2305/klagomålsmail/A 45420-2022 FSC-klagomål mail.docx", "A 45420-2022")</f>
        <v/>
      </c>
      <c r="X102">
        <f>HYPERLINK("https://klasma.github.io/Logging_2305/tillsyn/A 45420-2022 tillsynsbegäran.docx", "A 45420-2022")</f>
        <v/>
      </c>
      <c r="Y102">
        <f>HYPERLINK("https://klasma.github.io/Logging_2305/tillsynsmail/A 45420-2022 tillsynsbegäran mail.docx", "A 45420-2022")</f>
        <v/>
      </c>
      <c r="Z102">
        <f>HYPERLINK("https://klasma.github.io/Logging_2305/fåglar/A 45420-2022 prioriterade fågelarter.docx", "A 45420-2022")</f>
        <v/>
      </c>
    </row>
    <row r="103" ht="15" customHeight="1">
      <c r="A103" t="inlineStr">
        <is>
          <t>A 26009-2024</t>
        </is>
      </c>
      <c r="B103" s="1" t="n">
        <v>45467</v>
      </c>
      <c r="C103" s="1" t="n">
        <v>46200</v>
      </c>
      <c r="D103" t="inlineStr">
        <is>
          <t>JÄMTLANDS LÄN</t>
        </is>
      </c>
      <c r="E103" t="inlineStr">
        <is>
          <t>BRÄCKE</t>
        </is>
      </c>
      <c r="F103" t="inlineStr">
        <is>
          <t>SCA</t>
        </is>
      </c>
      <c r="G103" t="n">
        <v>8.5</v>
      </c>
      <c r="H103" t="n">
        <v>3</v>
      </c>
      <c r="I103" t="n">
        <v>4</v>
      </c>
      <c r="J103" t="n">
        <v>0</v>
      </c>
      <c r="K103" t="n">
        <v>0</v>
      </c>
      <c r="L103" t="n">
        <v>0</v>
      </c>
      <c r="M103" t="n">
        <v>0</v>
      </c>
      <c r="N103" t="n">
        <v>0</v>
      </c>
      <c r="O103" t="n">
        <v>0</v>
      </c>
      <c r="P103" t="n">
        <v>0</v>
      </c>
      <c r="Q103" t="n">
        <v>5</v>
      </c>
      <c r="R103" s="2" t="inlineStr">
        <is>
          <t>Finbräken
Guckusko
Rödgul trumpetsvamp
Tvåblad
Fjällvråk</t>
        </is>
      </c>
      <c r="S103">
        <f>HYPERLINK("https://klasma.github.io/Logging_2305/artfynd/A 26009-2024 artfynd.xlsx", "A 26009-2024")</f>
        <v/>
      </c>
      <c r="T103">
        <f>HYPERLINK("https://klasma.github.io/Logging_2305/kartor/A 26009-2024 karta.png", "A 26009-2024")</f>
        <v/>
      </c>
      <c r="V103">
        <f>HYPERLINK("https://klasma.github.io/Logging_2305/klagomål/A 26009-2024 FSC-klagomål.docx", "A 26009-2024")</f>
        <v/>
      </c>
      <c r="W103">
        <f>HYPERLINK("https://klasma.github.io/Logging_2305/klagomålsmail/A 26009-2024 FSC-klagomål mail.docx", "A 26009-2024")</f>
        <v/>
      </c>
      <c r="X103">
        <f>HYPERLINK("https://klasma.github.io/Logging_2305/tillsyn/A 26009-2024 tillsynsbegäran.docx", "A 26009-2024")</f>
        <v/>
      </c>
      <c r="Y103">
        <f>HYPERLINK("https://klasma.github.io/Logging_2305/tillsynsmail/A 26009-2024 tillsynsbegäran mail.docx", "A 26009-2024")</f>
        <v/>
      </c>
      <c r="Z103">
        <f>HYPERLINK("https://klasma.github.io/Logging_2305/fåglar/A 26009-2024 prioriterade fågelarter.docx", "A 26009-2024")</f>
        <v/>
      </c>
    </row>
    <row r="104" ht="15" customHeight="1">
      <c r="A104" t="inlineStr">
        <is>
          <t>A 12863-2024</t>
        </is>
      </c>
      <c r="B104" s="1" t="n">
        <v>45384</v>
      </c>
      <c r="C104" s="1" t="n">
        <v>46200</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33928-2022</t>
        </is>
      </c>
      <c r="B105" s="1" t="n">
        <v>44790</v>
      </c>
      <c r="C105" s="1" t="n">
        <v>46200</v>
      </c>
      <c r="D105" t="inlineStr">
        <is>
          <t>JÄMTLANDS LÄN</t>
        </is>
      </c>
      <c r="E105" t="inlineStr">
        <is>
          <t>BRÄCKE</t>
        </is>
      </c>
      <c r="G105" t="n">
        <v>5.3</v>
      </c>
      <c r="H105" t="n">
        <v>4</v>
      </c>
      <c r="I105" t="n">
        <v>3</v>
      </c>
      <c r="J105" t="n">
        <v>0</v>
      </c>
      <c r="K105" t="n">
        <v>0</v>
      </c>
      <c r="L105" t="n">
        <v>0</v>
      </c>
      <c r="M105" t="n">
        <v>0</v>
      </c>
      <c r="N105" t="n">
        <v>0</v>
      </c>
      <c r="O105" t="n">
        <v>0</v>
      </c>
      <c r="P105" t="n">
        <v>0</v>
      </c>
      <c r="Q105" t="n">
        <v>5</v>
      </c>
      <c r="R105" s="2" t="inlineStr">
        <is>
          <t>Gräsull
Korallrot
Tvåblad
Vanliga ängsnycklar
Revlummer</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42105-2024</t>
        </is>
      </c>
      <c r="B106" s="1" t="n">
        <v>45562</v>
      </c>
      <c r="C106" s="1" t="n">
        <v>46200</v>
      </c>
      <c r="D106" t="inlineStr">
        <is>
          <t>JÄMTLANDS LÄN</t>
        </is>
      </c>
      <c r="E106" t="inlineStr">
        <is>
          <t>BRÄCKE</t>
        </is>
      </c>
      <c r="F106" t="inlineStr">
        <is>
          <t>SCA</t>
        </is>
      </c>
      <c r="G106" t="n">
        <v>2.2</v>
      </c>
      <c r="H106" t="n">
        <v>0</v>
      </c>
      <c r="I106" t="n">
        <v>0</v>
      </c>
      <c r="J106" t="n">
        <v>4</v>
      </c>
      <c r="K106" t="n">
        <v>1</v>
      </c>
      <c r="L106" t="n">
        <v>0</v>
      </c>
      <c r="M106" t="n">
        <v>0</v>
      </c>
      <c r="N106" t="n">
        <v>0</v>
      </c>
      <c r="O106" t="n">
        <v>5</v>
      </c>
      <c r="P106" t="n">
        <v>1</v>
      </c>
      <c r="Q106" t="n">
        <v>5</v>
      </c>
      <c r="R106" s="2" t="inlineStr">
        <is>
          <t>Gränsticka
Mörk kolflarnlav
Ullticka
Vedflamlav
Violettgrå tagellav</t>
        </is>
      </c>
      <c r="S106">
        <f>HYPERLINK("https://klasma.github.io/Logging_2305/artfynd/A 42105-2024 artfynd.xlsx", "A 42105-2024")</f>
        <v/>
      </c>
      <c r="T106">
        <f>HYPERLINK("https://klasma.github.io/Logging_2305/kartor/A 42105-2024 karta.png", "A 42105-2024")</f>
        <v/>
      </c>
      <c r="V106">
        <f>HYPERLINK("https://klasma.github.io/Logging_2305/klagomål/A 42105-2024 FSC-klagomål.docx", "A 42105-2024")</f>
        <v/>
      </c>
      <c r="W106">
        <f>HYPERLINK("https://klasma.github.io/Logging_2305/klagomålsmail/A 42105-2024 FSC-klagomål mail.docx", "A 42105-2024")</f>
        <v/>
      </c>
      <c r="X106">
        <f>HYPERLINK("https://klasma.github.io/Logging_2305/tillsyn/A 42105-2024 tillsynsbegäran.docx", "A 42105-2024")</f>
        <v/>
      </c>
      <c r="Y106">
        <f>HYPERLINK("https://klasma.github.io/Logging_2305/tillsynsmail/A 42105-2024 tillsynsbegäran mail.docx", "A 42105-2024")</f>
        <v/>
      </c>
    </row>
    <row r="107" ht="15" customHeight="1">
      <c r="A107" t="inlineStr">
        <is>
          <t>A 59719-2024</t>
        </is>
      </c>
      <c r="B107" s="1" t="n">
        <v>45639</v>
      </c>
      <c r="C107" s="1" t="n">
        <v>46200</v>
      </c>
      <c r="D107" t="inlineStr">
        <is>
          <t>JÄMTLANDS LÄN</t>
        </is>
      </c>
      <c r="E107" t="inlineStr">
        <is>
          <t>BRÄCKE</t>
        </is>
      </c>
      <c r="F107" t="inlineStr">
        <is>
          <t>SCA</t>
        </is>
      </c>
      <c r="G107" t="n">
        <v>1.8</v>
      </c>
      <c r="H107" t="n">
        <v>1</v>
      </c>
      <c r="I107" t="n">
        <v>2</v>
      </c>
      <c r="J107" t="n">
        <v>3</v>
      </c>
      <c r="K107" t="n">
        <v>0</v>
      </c>
      <c r="L107" t="n">
        <v>0</v>
      </c>
      <c r="M107" t="n">
        <v>0</v>
      </c>
      <c r="N107" t="n">
        <v>0</v>
      </c>
      <c r="O107" t="n">
        <v>3</v>
      </c>
      <c r="P107" t="n">
        <v>0</v>
      </c>
      <c r="Q107" t="n">
        <v>5</v>
      </c>
      <c r="R107" s="2" t="inlineStr">
        <is>
          <t>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29464-2024</t>
        </is>
      </c>
      <c r="B108" s="1" t="n">
        <v>45483</v>
      </c>
      <c r="C108" s="1" t="n">
        <v>46200</v>
      </c>
      <c r="D108" t="inlineStr">
        <is>
          <t>JÄMTLANDS LÄN</t>
        </is>
      </c>
      <c r="E108" t="inlineStr">
        <is>
          <t>BRÄCKE</t>
        </is>
      </c>
      <c r="F108" t="inlineStr">
        <is>
          <t>SCA</t>
        </is>
      </c>
      <c r="G108" t="n">
        <v>4</v>
      </c>
      <c r="H108" t="n">
        <v>0</v>
      </c>
      <c r="I108" t="n">
        <v>1</v>
      </c>
      <c r="J108" t="n">
        <v>3</v>
      </c>
      <c r="K108" t="n">
        <v>1</v>
      </c>
      <c r="L108" t="n">
        <v>0</v>
      </c>
      <c r="M108" t="n">
        <v>0</v>
      </c>
      <c r="N108" t="n">
        <v>0</v>
      </c>
      <c r="O108" t="n">
        <v>4</v>
      </c>
      <c r="P108" t="n">
        <v>1</v>
      </c>
      <c r="Q108" t="n">
        <v>5</v>
      </c>
      <c r="R108" s="2" t="inlineStr">
        <is>
          <t>Garnlav
Gammelgransskål
Kolflarnlav
Lunglav
Stuplav</t>
        </is>
      </c>
      <c r="S108">
        <f>HYPERLINK("https://klasma.github.io/Logging_2305/artfynd/A 29464-2024 artfynd.xlsx", "A 29464-2024")</f>
        <v/>
      </c>
      <c r="T108">
        <f>HYPERLINK("https://klasma.github.io/Logging_2305/kartor/A 29464-2024 karta.png", "A 29464-2024")</f>
        <v/>
      </c>
      <c r="V108">
        <f>HYPERLINK("https://klasma.github.io/Logging_2305/klagomål/A 29464-2024 FSC-klagomål.docx", "A 29464-2024")</f>
        <v/>
      </c>
      <c r="W108">
        <f>HYPERLINK("https://klasma.github.io/Logging_2305/klagomålsmail/A 29464-2024 FSC-klagomål mail.docx", "A 29464-2024")</f>
        <v/>
      </c>
      <c r="X108">
        <f>HYPERLINK("https://klasma.github.io/Logging_2305/tillsyn/A 29464-2024 tillsynsbegäran.docx", "A 29464-2024")</f>
        <v/>
      </c>
      <c r="Y108">
        <f>HYPERLINK("https://klasma.github.io/Logging_2305/tillsynsmail/A 29464-2024 tillsynsbegäran mail.docx", "A 29464-2024")</f>
        <v/>
      </c>
    </row>
    <row r="109" ht="15" customHeight="1">
      <c r="A109" t="inlineStr">
        <is>
          <t>A 31592-2025</t>
        </is>
      </c>
      <c r="B109" s="1" t="n">
        <v>45833</v>
      </c>
      <c r="C109" s="1" t="n">
        <v>46200</v>
      </c>
      <c r="D109" t="inlineStr">
        <is>
          <t>JÄMTLANDS LÄN</t>
        </is>
      </c>
      <c r="E109" t="inlineStr">
        <is>
          <t>BRÄCKE</t>
        </is>
      </c>
      <c r="F109" t="inlineStr">
        <is>
          <t>SCA</t>
        </is>
      </c>
      <c r="G109" t="n">
        <v>4.2</v>
      </c>
      <c r="H109" t="n">
        <v>0</v>
      </c>
      <c r="I109" t="n">
        <v>0</v>
      </c>
      <c r="J109" t="n">
        <v>5</v>
      </c>
      <c r="K109" t="n">
        <v>0</v>
      </c>
      <c r="L109" t="n">
        <v>0</v>
      </c>
      <c r="M109" t="n">
        <v>0</v>
      </c>
      <c r="N109" t="n">
        <v>0</v>
      </c>
      <c r="O109" t="n">
        <v>5</v>
      </c>
      <c r="P109" t="n">
        <v>0</v>
      </c>
      <c r="Q109" t="n">
        <v>5</v>
      </c>
      <c r="R109" s="2" t="inlineStr">
        <is>
          <t>Grantaggsvamp
Kryddspindling
Lunglav
Rosenticka
Ullticka</t>
        </is>
      </c>
      <c r="S109">
        <f>HYPERLINK("https://klasma.github.io/Logging_2305/artfynd/A 31592-2025 artfynd.xlsx", "A 31592-2025")</f>
        <v/>
      </c>
      <c r="T109">
        <f>HYPERLINK("https://klasma.github.io/Logging_2305/kartor/A 31592-2025 karta.png", "A 31592-2025")</f>
        <v/>
      </c>
      <c r="V109">
        <f>HYPERLINK("https://klasma.github.io/Logging_2305/klagomål/A 31592-2025 FSC-klagomål.docx", "A 31592-2025")</f>
        <v/>
      </c>
      <c r="W109">
        <f>HYPERLINK("https://klasma.github.io/Logging_2305/klagomålsmail/A 31592-2025 FSC-klagomål mail.docx", "A 31592-2025")</f>
        <v/>
      </c>
      <c r="X109">
        <f>HYPERLINK("https://klasma.github.io/Logging_2305/tillsyn/A 31592-2025 tillsynsbegäran.docx", "A 31592-2025")</f>
        <v/>
      </c>
      <c r="Y109">
        <f>HYPERLINK("https://klasma.github.io/Logging_2305/tillsynsmail/A 31592-2025 tillsynsbegäran mail.docx", "A 31592-2025")</f>
        <v/>
      </c>
    </row>
    <row r="110" ht="15" customHeight="1">
      <c r="A110" t="inlineStr">
        <is>
          <t>A 48779-2023</t>
        </is>
      </c>
      <c r="B110" s="1" t="n">
        <v>45208</v>
      </c>
      <c r="C110" s="1" t="n">
        <v>46200</v>
      </c>
      <c r="D110" t="inlineStr">
        <is>
          <t>JÄMTLANDS LÄN</t>
        </is>
      </c>
      <c r="E110" t="inlineStr">
        <is>
          <t>BRÄCKE</t>
        </is>
      </c>
      <c r="F110" t="inlineStr">
        <is>
          <t>Naturvårdsverket</t>
        </is>
      </c>
      <c r="G110" t="n">
        <v>5.4</v>
      </c>
      <c r="H110" t="n">
        <v>1</v>
      </c>
      <c r="I110" t="n">
        <v>0</v>
      </c>
      <c r="J110" t="n">
        <v>4</v>
      </c>
      <c r="K110" t="n">
        <v>1</v>
      </c>
      <c r="L110" t="n">
        <v>0</v>
      </c>
      <c r="M110" t="n">
        <v>0</v>
      </c>
      <c r="N110" t="n">
        <v>0</v>
      </c>
      <c r="O110" t="n">
        <v>5</v>
      </c>
      <c r="P110" t="n">
        <v>1</v>
      </c>
      <c r="Q110" t="n">
        <v>5</v>
      </c>
      <c r="R110" s="2" t="inlineStr">
        <is>
          <t>Knärot
Blå taggsvamp
Grantaggsvamp
Orange taggsvamp
Stjärntagging</t>
        </is>
      </c>
      <c r="S110">
        <f>HYPERLINK("https://klasma.github.io/Logging_2305/artfynd/A 48779-2023 artfynd.xlsx", "A 48779-2023")</f>
        <v/>
      </c>
      <c r="T110">
        <f>HYPERLINK("https://klasma.github.io/Logging_2305/kartor/A 48779-2023 karta.png", "A 48779-2023")</f>
        <v/>
      </c>
      <c r="U110">
        <f>HYPERLINK("https://klasma.github.io/Logging_2305/knärot/A 48779-2023 karta knärot.png", "A 48779-2023")</f>
        <v/>
      </c>
      <c r="V110">
        <f>HYPERLINK("https://klasma.github.io/Logging_2305/klagomål/A 48779-2023 FSC-klagomål.docx", "A 48779-2023")</f>
        <v/>
      </c>
      <c r="W110">
        <f>HYPERLINK("https://klasma.github.io/Logging_2305/klagomålsmail/A 48779-2023 FSC-klagomål mail.docx", "A 48779-2023")</f>
        <v/>
      </c>
      <c r="X110">
        <f>HYPERLINK("https://klasma.github.io/Logging_2305/tillsyn/A 48779-2023 tillsynsbegäran.docx", "A 48779-2023")</f>
        <v/>
      </c>
      <c r="Y110">
        <f>HYPERLINK("https://klasma.github.io/Logging_2305/tillsynsmail/A 48779-2023 tillsynsbegäran mail.docx", "A 48779-2023")</f>
        <v/>
      </c>
    </row>
    <row r="111" ht="15" customHeight="1">
      <c r="A111" t="inlineStr">
        <is>
          <t>A 34748-2025</t>
        </is>
      </c>
      <c r="B111" s="1" t="n">
        <v>45848</v>
      </c>
      <c r="C111" s="1" t="n">
        <v>46200</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37707-2025</t>
        </is>
      </c>
      <c r="B112" s="1" t="n">
        <v>45880</v>
      </c>
      <c r="C112" s="1" t="n">
        <v>46200</v>
      </c>
      <c r="D112" t="inlineStr">
        <is>
          <t>JÄMTLANDS LÄN</t>
        </is>
      </c>
      <c r="E112" t="inlineStr">
        <is>
          <t>BRÄCKE</t>
        </is>
      </c>
      <c r="G112" t="n">
        <v>6.6</v>
      </c>
      <c r="H112" t="n">
        <v>0</v>
      </c>
      <c r="I112" t="n">
        <v>0</v>
      </c>
      <c r="J112" t="n">
        <v>5</v>
      </c>
      <c r="K112" t="n">
        <v>0</v>
      </c>
      <c r="L112" t="n">
        <v>0</v>
      </c>
      <c r="M112" t="n">
        <v>0</v>
      </c>
      <c r="N112" t="n">
        <v>0</v>
      </c>
      <c r="O112" t="n">
        <v>5</v>
      </c>
      <c r="P112" t="n">
        <v>0</v>
      </c>
      <c r="Q112" t="n">
        <v>5</v>
      </c>
      <c r="R112" s="2" t="inlineStr">
        <is>
          <t>Dvärgbägarlav
Mörk kolflarnlav
Reliktbock
Vaddporing
Vedflamlav</t>
        </is>
      </c>
      <c r="S112">
        <f>HYPERLINK("https://klasma.github.io/Logging_2305/artfynd/A 37707-2025 artfynd.xlsx", "A 37707-2025")</f>
        <v/>
      </c>
      <c r="T112">
        <f>HYPERLINK("https://klasma.github.io/Logging_2305/kartor/A 37707-2025 karta.png", "A 37707-2025")</f>
        <v/>
      </c>
      <c r="V112">
        <f>HYPERLINK("https://klasma.github.io/Logging_2305/klagomål/A 37707-2025 FSC-klagomål.docx", "A 37707-2025")</f>
        <v/>
      </c>
      <c r="W112">
        <f>HYPERLINK("https://klasma.github.io/Logging_2305/klagomålsmail/A 37707-2025 FSC-klagomål mail.docx", "A 37707-2025")</f>
        <v/>
      </c>
      <c r="X112">
        <f>HYPERLINK("https://klasma.github.io/Logging_2305/tillsyn/A 37707-2025 tillsynsbegäran.docx", "A 37707-2025")</f>
        <v/>
      </c>
      <c r="Y112">
        <f>HYPERLINK("https://klasma.github.io/Logging_2305/tillsynsmail/A 37707-2025 tillsynsbegäran mail.docx", "A 37707-2025")</f>
        <v/>
      </c>
    </row>
    <row r="113" ht="15" customHeight="1">
      <c r="A113" t="inlineStr">
        <is>
          <t>A 23246-2025</t>
        </is>
      </c>
      <c r="B113" s="1" t="n">
        <v>45791</v>
      </c>
      <c r="C113" s="1" t="n">
        <v>46200</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23854-2025</t>
        </is>
      </c>
      <c r="B114" s="1" t="n">
        <v>45793</v>
      </c>
      <c r="C114" s="1" t="n">
        <v>46200</v>
      </c>
      <c r="D114" t="inlineStr">
        <is>
          <t>JÄMTLANDS LÄN</t>
        </is>
      </c>
      <c r="E114" t="inlineStr">
        <is>
          <t>BRÄCKE</t>
        </is>
      </c>
      <c r="F114" t="inlineStr">
        <is>
          <t>SCA</t>
        </is>
      </c>
      <c r="G114" t="n">
        <v>4.5</v>
      </c>
      <c r="H114" t="n">
        <v>2</v>
      </c>
      <c r="I114" t="n">
        <v>1</v>
      </c>
      <c r="J114" t="n">
        <v>1</v>
      </c>
      <c r="K114" t="n">
        <v>1</v>
      </c>
      <c r="L114" t="n">
        <v>0</v>
      </c>
      <c r="M114" t="n">
        <v>0</v>
      </c>
      <c r="N114" t="n">
        <v>0</v>
      </c>
      <c r="O114" t="n">
        <v>2</v>
      </c>
      <c r="P114" t="n">
        <v>1</v>
      </c>
      <c r="Q114" t="n">
        <v>5</v>
      </c>
      <c r="R114" s="2" t="inlineStr">
        <is>
          <t>Garnlav
Skuggblåslav
Kransrams
Järpe
Tjäder</t>
        </is>
      </c>
      <c r="S114">
        <f>HYPERLINK("https://klasma.github.io/Logging_2305/artfynd/A 23854-2025 artfynd.xlsx", "A 23854-2025")</f>
        <v/>
      </c>
      <c r="T114">
        <f>HYPERLINK("https://klasma.github.io/Logging_2305/kartor/A 23854-2025 karta.png", "A 23854-2025")</f>
        <v/>
      </c>
      <c r="V114">
        <f>HYPERLINK("https://klasma.github.io/Logging_2305/klagomål/A 23854-2025 FSC-klagomål.docx", "A 23854-2025")</f>
        <v/>
      </c>
      <c r="W114">
        <f>HYPERLINK("https://klasma.github.io/Logging_2305/klagomålsmail/A 23854-2025 FSC-klagomål mail.docx", "A 23854-2025")</f>
        <v/>
      </c>
      <c r="X114">
        <f>HYPERLINK("https://klasma.github.io/Logging_2305/tillsyn/A 23854-2025 tillsynsbegäran.docx", "A 23854-2025")</f>
        <v/>
      </c>
      <c r="Y114">
        <f>HYPERLINK("https://klasma.github.io/Logging_2305/tillsynsmail/A 23854-2025 tillsynsbegäran mail.docx", "A 23854-2025")</f>
        <v/>
      </c>
      <c r="Z114">
        <f>HYPERLINK("https://klasma.github.io/Logging_2305/fåglar/A 23854-2025 prioriterade fågelarter.docx", "A 23854-2025")</f>
        <v/>
      </c>
    </row>
    <row r="115" ht="15" customHeight="1">
      <c r="A115" t="inlineStr">
        <is>
          <t>A 9406-2026</t>
        </is>
      </c>
      <c r="B115" s="1" t="n">
        <v>46071</v>
      </c>
      <c r="C115" s="1" t="n">
        <v>46200</v>
      </c>
      <c r="D115" t="inlineStr">
        <is>
          <t>JÄMTLANDS LÄN</t>
        </is>
      </c>
      <c r="E115" t="inlineStr">
        <is>
          <t>BRÄCKE</t>
        </is>
      </c>
      <c r="F115" t="inlineStr">
        <is>
          <t>SCA</t>
        </is>
      </c>
      <c r="G115" t="n">
        <v>1.5</v>
      </c>
      <c r="H115" t="n">
        <v>3</v>
      </c>
      <c r="I115" t="n">
        <v>0</v>
      </c>
      <c r="J115" t="n">
        <v>2</v>
      </c>
      <c r="K115" t="n">
        <v>2</v>
      </c>
      <c r="L115" t="n">
        <v>0</v>
      </c>
      <c r="M115" t="n">
        <v>0</v>
      </c>
      <c r="N115" t="n">
        <v>0</v>
      </c>
      <c r="O115" t="n">
        <v>4</v>
      </c>
      <c r="P115" t="n">
        <v>2</v>
      </c>
      <c r="Q115" t="n">
        <v>5</v>
      </c>
      <c r="R115" s="2" t="inlineStr">
        <is>
          <t>Garnlav
Knärot
Tretåig hackspett
Ullticka
Blåsippa</t>
        </is>
      </c>
      <c r="S115">
        <f>HYPERLINK("https://klasma.github.io/Logging_2305/artfynd/A 9406-2026 artfynd.xlsx", "A 9406-2026")</f>
        <v/>
      </c>
      <c r="T115">
        <f>HYPERLINK("https://klasma.github.io/Logging_2305/kartor/A 9406-2026 karta.png", "A 9406-2026")</f>
        <v/>
      </c>
      <c r="U115">
        <f>HYPERLINK("https://klasma.github.io/Logging_2305/knärot/A 9406-2026 karta knärot.png", "A 9406-2026")</f>
        <v/>
      </c>
      <c r="V115">
        <f>HYPERLINK("https://klasma.github.io/Logging_2305/klagomål/A 9406-2026 FSC-klagomål.docx", "A 9406-2026")</f>
        <v/>
      </c>
      <c r="W115">
        <f>HYPERLINK("https://klasma.github.io/Logging_2305/klagomålsmail/A 9406-2026 FSC-klagomål mail.docx", "A 9406-2026")</f>
        <v/>
      </c>
      <c r="X115">
        <f>HYPERLINK("https://klasma.github.io/Logging_2305/tillsyn/A 9406-2026 tillsynsbegäran.docx", "A 9406-2026")</f>
        <v/>
      </c>
      <c r="Y115">
        <f>HYPERLINK("https://klasma.github.io/Logging_2305/tillsynsmail/A 9406-2026 tillsynsbegäran mail.docx", "A 9406-2026")</f>
        <v/>
      </c>
      <c r="Z115">
        <f>HYPERLINK("https://klasma.github.io/Logging_2305/fåglar/A 9406-2026 prioriterade fågelarter.docx", "A 9406-2026")</f>
        <v/>
      </c>
    </row>
    <row r="116" ht="15" customHeight="1">
      <c r="A116" t="inlineStr">
        <is>
          <t>A 30607-2022</t>
        </is>
      </c>
      <c r="B116" s="1" t="n">
        <v>44762</v>
      </c>
      <c r="C116" s="1" t="n">
        <v>46200</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46200</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46200</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58584-2021</t>
        </is>
      </c>
      <c r="B119" s="1" t="n">
        <v>44488</v>
      </c>
      <c r="C119" s="1" t="n">
        <v>46200</v>
      </c>
      <c r="D119" t="inlineStr">
        <is>
          <t>JÄMTLANDS LÄN</t>
        </is>
      </c>
      <c r="E119" t="inlineStr">
        <is>
          <t>BRÄCKE</t>
        </is>
      </c>
      <c r="G119" t="n">
        <v>32</v>
      </c>
      <c r="H119" t="n">
        <v>1</v>
      </c>
      <c r="I119" t="n">
        <v>1</v>
      </c>
      <c r="J119" t="n">
        <v>1</v>
      </c>
      <c r="K119" t="n">
        <v>1</v>
      </c>
      <c r="L119" t="n">
        <v>0</v>
      </c>
      <c r="M119" t="n">
        <v>0</v>
      </c>
      <c r="N119" t="n">
        <v>0</v>
      </c>
      <c r="O119" t="n">
        <v>2</v>
      </c>
      <c r="P119" t="n">
        <v>1</v>
      </c>
      <c r="Q119" t="n">
        <v>4</v>
      </c>
      <c r="R119" s="2" t="inlineStr">
        <is>
          <t>Garnlav
Lunglav
Bårdlav
Fläcknycklar</t>
        </is>
      </c>
      <c r="S119">
        <f>HYPERLINK("https://klasma.github.io/Logging_2305/artfynd/A 58584-2021 artfynd.xlsx", "A 58584-2021")</f>
        <v/>
      </c>
      <c r="T119">
        <f>HYPERLINK("https://klasma.github.io/Logging_2305/kartor/A 58584-2021 karta.png", "A 58584-2021")</f>
        <v/>
      </c>
      <c r="U119">
        <f>HYPERLINK("https://klasma.github.io/Logging_2305/knärot/A 58584-2021 karta knärot.png", "A 58584-2021")</f>
        <v/>
      </c>
      <c r="V119">
        <f>HYPERLINK("https://klasma.github.io/Logging_2305/klagomål/A 58584-2021 FSC-klagomål.docx", "A 58584-2021")</f>
        <v/>
      </c>
      <c r="W119">
        <f>HYPERLINK("https://klasma.github.io/Logging_2305/klagomålsmail/A 58584-2021 FSC-klagomål mail.docx", "A 58584-2021")</f>
        <v/>
      </c>
      <c r="X119">
        <f>HYPERLINK("https://klasma.github.io/Logging_2305/tillsyn/A 58584-2021 tillsynsbegäran.docx", "A 58584-2021")</f>
        <v/>
      </c>
      <c r="Y119">
        <f>HYPERLINK("https://klasma.github.io/Logging_2305/tillsynsmail/A 58584-2021 tillsynsbegäran mail.docx", "A 58584-2021")</f>
        <v/>
      </c>
    </row>
    <row r="120" ht="15" customHeight="1">
      <c r="A120" t="inlineStr">
        <is>
          <t>A 56156-2024</t>
        </is>
      </c>
      <c r="B120" s="1" t="n">
        <v>45624</v>
      </c>
      <c r="C120" s="1" t="n">
        <v>46200</v>
      </c>
      <c r="D120" t="inlineStr">
        <is>
          <t>JÄMTLANDS LÄN</t>
        </is>
      </c>
      <c r="E120" t="inlineStr">
        <is>
          <t>BRÄCKE</t>
        </is>
      </c>
      <c r="F120" t="inlineStr">
        <is>
          <t>SCA</t>
        </is>
      </c>
      <c r="G120" t="n">
        <v>4.4</v>
      </c>
      <c r="H120" t="n">
        <v>0</v>
      </c>
      <c r="I120" t="n">
        <v>1</v>
      </c>
      <c r="J120" t="n">
        <v>3</v>
      </c>
      <c r="K120" t="n">
        <v>0</v>
      </c>
      <c r="L120" t="n">
        <v>0</v>
      </c>
      <c r="M120" t="n">
        <v>0</v>
      </c>
      <c r="N120" t="n">
        <v>0</v>
      </c>
      <c r="O120" t="n">
        <v>3</v>
      </c>
      <c r="P120" t="n">
        <v>0</v>
      </c>
      <c r="Q120" t="n">
        <v>4</v>
      </c>
      <c r="R120" s="2" t="inlineStr">
        <is>
          <t>Dropptaggsvamp
Flattoppad klubbsvamp
Reliktbock
Strimspindling</t>
        </is>
      </c>
      <c r="S120">
        <f>HYPERLINK("https://klasma.github.io/Logging_2305/artfynd/A 56156-2024 artfynd.xlsx", "A 56156-2024")</f>
        <v/>
      </c>
      <c r="T120">
        <f>HYPERLINK("https://klasma.github.io/Logging_2305/kartor/A 56156-2024 karta.png", "A 56156-2024")</f>
        <v/>
      </c>
      <c r="V120">
        <f>HYPERLINK("https://klasma.github.io/Logging_2305/klagomål/A 56156-2024 FSC-klagomål.docx", "A 56156-2024")</f>
        <v/>
      </c>
      <c r="W120">
        <f>HYPERLINK("https://klasma.github.io/Logging_2305/klagomålsmail/A 56156-2024 FSC-klagomål mail.docx", "A 56156-2024")</f>
        <v/>
      </c>
      <c r="X120">
        <f>HYPERLINK("https://klasma.github.io/Logging_2305/tillsyn/A 56156-2024 tillsynsbegäran.docx", "A 56156-2024")</f>
        <v/>
      </c>
      <c r="Y120">
        <f>HYPERLINK("https://klasma.github.io/Logging_2305/tillsynsmail/A 56156-2024 tillsynsbegäran mail.docx", "A 56156-2024")</f>
        <v/>
      </c>
    </row>
    <row r="121" ht="15" customHeight="1">
      <c r="A121" t="inlineStr">
        <is>
          <t>A 15263-2025</t>
        </is>
      </c>
      <c r="B121" s="1" t="n">
        <v>45744</v>
      </c>
      <c r="C121" s="1" t="n">
        <v>46200</v>
      </c>
      <c r="D121" t="inlineStr">
        <is>
          <t>JÄMTLANDS LÄN</t>
        </is>
      </c>
      <c r="E121" t="inlineStr">
        <is>
          <t>BRÄCKE</t>
        </is>
      </c>
      <c r="F121" t="inlineStr">
        <is>
          <t>SCA</t>
        </is>
      </c>
      <c r="G121" t="n">
        <v>2</v>
      </c>
      <c r="H121" t="n">
        <v>0</v>
      </c>
      <c r="I121" t="n">
        <v>1</v>
      </c>
      <c r="J121" t="n">
        <v>2</v>
      </c>
      <c r="K121" t="n">
        <v>1</v>
      </c>
      <c r="L121" t="n">
        <v>0</v>
      </c>
      <c r="M121" t="n">
        <v>0</v>
      </c>
      <c r="N121" t="n">
        <v>0</v>
      </c>
      <c r="O121" t="n">
        <v>3</v>
      </c>
      <c r="P121" t="n">
        <v>1</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32260-2024</t>
        </is>
      </c>
      <c r="B122" s="1" t="n">
        <v>45511</v>
      </c>
      <c r="C122" s="1" t="n">
        <v>46200</v>
      </c>
      <c r="D122" t="inlineStr">
        <is>
          <t>JÄMTLANDS LÄN</t>
        </is>
      </c>
      <c r="E122" t="inlineStr">
        <is>
          <t>BRÄCKE</t>
        </is>
      </c>
      <c r="F122" t="inlineStr">
        <is>
          <t>SCA</t>
        </is>
      </c>
      <c r="G122" t="n">
        <v>3.7</v>
      </c>
      <c r="H122" t="n">
        <v>0</v>
      </c>
      <c r="I122" t="n">
        <v>1</v>
      </c>
      <c r="J122" t="n">
        <v>2</v>
      </c>
      <c r="K122" t="n">
        <v>1</v>
      </c>
      <c r="L122" t="n">
        <v>0</v>
      </c>
      <c r="M122" t="n">
        <v>0</v>
      </c>
      <c r="N122" t="n">
        <v>0</v>
      </c>
      <c r="O122" t="n">
        <v>3</v>
      </c>
      <c r="P122" t="n">
        <v>1</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25717-2024</t>
        </is>
      </c>
      <c r="B123" s="1" t="n">
        <v>45463</v>
      </c>
      <c r="C123" s="1" t="n">
        <v>46200</v>
      </c>
      <c r="D123" t="inlineStr">
        <is>
          <t>JÄMTLANDS LÄN</t>
        </is>
      </c>
      <c r="E123" t="inlineStr">
        <is>
          <t>BRÄCKE</t>
        </is>
      </c>
      <c r="G123" t="n">
        <v>2.9</v>
      </c>
      <c r="H123" t="n">
        <v>1</v>
      </c>
      <c r="I123" t="n">
        <v>1</v>
      </c>
      <c r="J123" t="n">
        <v>2</v>
      </c>
      <c r="K123" t="n">
        <v>1</v>
      </c>
      <c r="L123" t="n">
        <v>0</v>
      </c>
      <c r="M123" t="n">
        <v>0</v>
      </c>
      <c r="N123" t="n">
        <v>0</v>
      </c>
      <c r="O123" t="n">
        <v>3</v>
      </c>
      <c r="P123" t="n">
        <v>1</v>
      </c>
      <c r="Q123" t="n">
        <v>4</v>
      </c>
      <c r="R123" s="2" t="inlineStr">
        <is>
          <t>Knärot
Dropptaggsvamp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47295-2023</t>
        </is>
      </c>
      <c r="B124" s="1" t="n">
        <v>45196</v>
      </c>
      <c r="C124" s="1" t="n">
        <v>46200</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2298-2025</t>
        </is>
      </c>
      <c r="B125" s="1" t="n">
        <v>45673</v>
      </c>
      <c r="C125" s="1" t="n">
        <v>46200</v>
      </c>
      <c r="D125" t="inlineStr">
        <is>
          <t>JÄMTLANDS LÄN</t>
        </is>
      </c>
      <c r="E125" t="inlineStr">
        <is>
          <t>BRÄCKE</t>
        </is>
      </c>
      <c r="F125" t="inlineStr">
        <is>
          <t>SCA</t>
        </is>
      </c>
      <c r="G125" t="n">
        <v>8.300000000000001</v>
      </c>
      <c r="H125" t="n">
        <v>0</v>
      </c>
      <c r="I125" t="n">
        <v>0</v>
      </c>
      <c r="J125" t="n">
        <v>4</v>
      </c>
      <c r="K125" t="n">
        <v>0</v>
      </c>
      <c r="L125" t="n">
        <v>0</v>
      </c>
      <c r="M125" t="n">
        <v>0</v>
      </c>
      <c r="N125" t="n">
        <v>0</v>
      </c>
      <c r="O125" t="n">
        <v>4</v>
      </c>
      <c r="P125" t="n">
        <v>0</v>
      </c>
      <c r="Q125" t="n">
        <v>4</v>
      </c>
      <c r="R125" s="2" t="inlineStr">
        <is>
          <t>Gammelgransskål
Rynkskinn
Ullticka
Vaddporing</t>
        </is>
      </c>
      <c r="S125">
        <f>HYPERLINK("https://klasma.github.io/Logging_2305/artfynd/A 2298-2025 artfynd.xlsx", "A 2298-2025")</f>
        <v/>
      </c>
      <c r="T125">
        <f>HYPERLINK("https://klasma.github.io/Logging_2305/kartor/A 2298-2025 karta.png", "A 2298-2025")</f>
        <v/>
      </c>
      <c r="V125">
        <f>HYPERLINK("https://klasma.github.io/Logging_2305/klagomål/A 2298-2025 FSC-klagomål.docx", "A 2298-2025")</f>
        <v/>
      </c>
      <c r="W125">
        <f>HYPERLINK("https://klasma.github.io/Logging_2305/klagomålsmail/A 2298-2025 FSC-klagomål mail.docx", "A 2298-2025")</f>
        <v/>
      </c>
      <c r="X125">
        <f>HYPERLINK("https://klasma.github.io/Logging_2305/tillsyn/A 2298-2025 tillsynsbegäran.docx", "A 2298-2025")</f>
        <v/>
      </c>
      <c r="Y125">
        <f>HYPERLINK("https://klasma.github.io/Logging_2305/tillsynsmail/A 2298-2025 tillsynsbegäran mail.docx", "A 2298-2025")</f>
        <v/>
      </c>
    </row>
    <row r="126" ht="15" customHeight="1">
      <c r="A126" t="inlineStr">
        <is>
          <t>A 47172-2023</t>
        </is>
      </c>
      <c r="B126" s="1" t="n">
        <v>45201</v>
      </c>
      <c r="C126" s="1" t="n">
        <v>46200</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46200</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57079-2023</t>
        </is>
      </c>
      <c r="B128" s="1" t="n">
        <v>45244</v>
      </c>
      <c r="C128" s="1" t="n">
        <v>46200</v>
      </c>
      <c r="D128" t="inlineStr">
        <is>
          <t>JÄMTLANDS LÄN</t>
        </is>
      </c>
      <c r="E128" t="inlineStr">
        <is>
          <t>BRÄCKE</t>
        </is>
      </c>
      <c r="F128" t="inlineStr">
        <is>
          <t>SCA</t>
        </is>
      </c>
      <c r="G128" t="n">
        <v>9.9</v>
      </c>
      <c r="H128" t="n">
        <v>0</v>
      </c>
      <c r="I128" t="n">
        <v>2</v>
      </c>
      <c r="J128" t="n">
        <v>1</v>
      </c>
      <c r="K128" t="n">
        <v>1</v>
      </c>
      <c r="L128" t="n">
        <v>0</v>
      </c>
      <c r="M128" t="n">
        <v>0</v>
      </c>
      <c r="N128" t="n">
        <v>0</v>
      </c>
      <c r="O128" t="n">
        <v>2</v>
      </c>
      <c r="P128" t="n">
        <v>1</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30991-2024</t>
        </is>
      </c>
      <c r="B129" s="1" t="n">
        <v>45499</v>
      </c>
      <c r="C129" s="1" t="n">
        <v>46200</v>
      </c>
      <c r="D129" t="inlineStr">
        <is>
          <t>JÄMTLANDS LÄN</t>
        </is>
      </c>
      <c r="E129" t="inlineStr">
        <is>
          <t>BRÄCKE</t>
        </is>
      </c>
      <c r="F129" t="inlineStr">
        <is>
          <t>Sveaskog</t>
        </is>
      </c>
      <c r="G129" t="n">
        <v>4.7</v>
      </c>
      <c r="H129" t="n">
        <v>3</v>
      </c>
      <c r="I129" t="n">
        <v>0</v>
      </c>
      <c r="J129" t="n">
        <v>2</v>
      </c>
      <c r="K129" t="n">
        <v>1</v>
      </c>
      <c r="L129" t="n">
        <v>0</v>
      </c>
      <c r="M129" t="n">
        <v>0</v>
      </c>
      <c r="N129" t="n">
        <v>0</v>
      </c>
      <c r="O129" t="n">
        <v>3</v>
      </c>
      <c r="P129" t="n">
        <v>1</v>
      </c>
      <c r="Q129" t="n">
        <v>4</v>
      </c>
      <c r="R129" s="2" t="inlineStr">
        <is>
          <t>Knärot
Lunglav
Tretåig hackspett
Fläcknycklar</t>
        </is>
      </c>
      <c r="S129">
        <f>HYPERLINK("https://klasma.github.io/Logging_2305/artfynd/A 30991-2024 artfynd.xlsx", "A 30991-2024")</f>
        <v/>
      </c>
      <c r="T129">
        <f>HYPERLINK("https://klasma.github.io/Logging_2305/kartor/A 30991-2024 karta.png", "A 30991-2024")</f>
        <v/>
      </c>
      <c r="U129">
        <f>HYPERLINK("https://klasma.github.io/Logging_2305/knärot/A 30991-2024 karta knärot.png", "A 30991-2024")</f>
        <v/>
      </c>
      <c r="V129">
        <f>HYPERLINK("https://klasma.github.io/Logging_2305/klagomål/A 30991-2024 FSC-klagomål.docx", "A 30991-2024")</f>
        <v/>
      </c>
      <c r="W129">
        <f>HYPERLINK("https://klasma.github.io/Logging_2305/klagomålsmail/A 30991-2024 FSC-klagomål mail.docx", "A 30991-2024")</f>
        <v/>
      </c>
      <c r="X129">
        <f>HYPERLINK("https://klasma.github.io/Logging_2305/tillsyn/A 30991-2024 tillsynsbegäran.docx", "A 30991-2024")</f>
        <v/>
      </c>
      <c r="Y129">
        <f>HYPERLINK("https://klasma.github.io/Logging_2305/tillsynsmail/A 30991-2024 tillsynsbegäran mail.docx", "A 30991-2024")</f>
        <v/>
      </c>
      <c r="Z129">
        <f>HYPERLINK("https://klasma.github.io/Logging_2305/fåglar/A 30991-2024 prioriterade fågelarter.docx", "A 30991-2024")</f>
        <v/>
      </c>
    </row>
    <row r="130" ht="15" customHeight="1">
      <c r="A130" t="inlineStr">
        <is>
          <t>A 31378-2025</t>
        </is>
      </c>
      <c r="B130" s="1" t="n">
        <v>45833</v>
      </c>
      <c r="C130" s="1" t="n">
        <v>46200</v>
      </c>
      <c r="D130" t="inlineStr">
        <is>
          <t>JÄMTLANDS LÄN</t>
        </is>
      </c>
      <c r="E130" t="inlineStr">
        <is>
          <t>BRÄCKE</t>
        </is>
      </c>
      <c r="F130" t="inlineStr">
        <is>
          <t>SCA</t>
        </is>
      </c>
      <c r="G130" t="n">
        <v>1.6</v>
      </c>
      <c r="H130" t="n">
        <v>1</v>
      </c>
      <c r="I130" t="n">
        <v>1</v>
      </c>
      <c r="J130" t="n">
        <v>1</v>
      </c>
      <c r="K130" t="n">
        <v>2</v>
      </c>
      <c r="L130" t="n">
        <v>0</v>
      </c>
      <c r="M130" t="n">
        <v>0</v>
      </c>
      <c r="N130" t="n">
        <v>0</v>
      </c>
      <c r="O130" t="n">
        <v>3</v>
      </c>
      <c r="P130" t="n">
        <v>2</v>
      </c>
      <c r="Q130" t="n">
        <v>4</v>
      </c>
      <c r="R130" s="2" t="inlineStr">
        <is>
          <t>Gränsticka
Knärot
Lunglav
Stuplav</t>
        </is>
      </c>
      <c r="S130">
        <f>HYPERLINK("https://klasma.github.io/Logging_2305/artfynd/A 31378-2025 artfynd.xlsx", "A 31378-2025")</f>
        <v/>
      </c>
      <c r="T130">
        <f>HYPERLINK("https://klasma.github.io/Logging_2305/kartor/A 31378-2025 karta.png", "A 31378-2025")</f>
        <v/>
      </c>
      <c r="U130">
        <f>HYPERLINK("https://klasma.github.io/Logging_2305/knärot/A 31378-2025 karta knärot.png", "A 31378-2025")</f>
        <v/>
      </c>
      <c r="V130">
        <f>HYPERLINK("https://klasma.github.io/Logging_2305/klagomål/A 31378-2025 FSC-klagomål.docx", "A 31378-2025")</f>
        <v/>
      </c>
      <c r="W130">
        <f>HYPERLINK("https://klasma.github.io/Logging_2305/klagomålsmail/A 31378-2025 FSC-klagomål mail.docx", "A 31378-2025")</f>
        <v/>
      </c>
      <c r="X130">
        <f>HYPERLINK("https://klasma.github.io/Logging_2305/tillsyn/A 31378-2025 tillsynsbegäran.docx", "A 31378-2025")</f>
        <v/>
      </c>
      <c r="Y130">
        <f>HYPERLINK("https://klasma.github.io/Logging_2305/tillsynsmail/A 31378-2025 tillsynsbegäran mail.docx", "A 31378-2025")</f>
        <v/>
      </c>
    </row>
    <row r="131" ht="15" customHeight="1">
      <c r="A131" t="inlineStr">
        <is>
          <t>A 47183-2023</t>
        </is>
      </c>
      <c r="B131" s="1" t="n">
        <v>45201</v>
      </c>
      <c r="C131" s="1" t="n">
        <v>46200</v>
      </c>
      <c r="D131" t="inlineStr">
        <is>
          <t>JÄMTLANDS LÄN</t>
        </is>
      </c>
      <c r="E131" t="inlineStr">
        <is>
          <t>BRÄCKE</t>
        </is>
      </c>
      <c r="F131" t="inlineStr">
        <is>
          <t>SCA</t>
        </is>
      </c>
      <c r="G131" t="n">
        <v>1.2</v>
      </c>
      <c r="H131" t="n">
        <v>3</v>
      </c>
      <c r="I131" t="n">
        <v>1</v>
      </c>
      <c r="J131" t="n">
        <v>1</v>
      </c>
      <c r="K131" t="n">
        <v>1</v>
      </c>
      <c r="L131" t="n">
        <v>0</v>
      </c>
      <c r="M131" t="n">
        <v>0</v>
      </c>
      <c r="N131" t="n">
        <v>0</v>
      </c>
      <c r="O131" t="n">
        <v>2</v>
      </c>
      <c r="P131" t="n">
        <v>1</v>
      </c>
      <c r="Q131" t="n">
        <v>4</v>
      </c>
      <c r="R131" s="2" t="inlineStr">
        <is>
          <t>Knärot
Lunglav
Spindelblomster
Fläcknycklar</t>
        </is>
      </c>
      <c r="S131">
        <f>HYPERLINK("https://klasma.github.io/Logging_2305/artfynd/A 47183-2023 artfynd.xlsx", "A 47183-2023")</f>
        <v/>
      </c>
      <c r="T131">
        <f>HYPERLINK("https://klasma.github.io/Logging_2305/kartor/A 47183-2023 karta.png", "A 47183-2023")</f>
        <v/>
      </c>
      <c r="U131">
        <f>HYPERLINK("https://klasma.github.io/Logging_2305/knärot/A 47183-2023 karta knärot.png", "A 47183-2023")</f>
        <v/>
      </c>
      <c r="V131">
        <f>HYPERLINK("https://klasma.github.io/Logging_2305/klagomål/A 47183-2023 FSC-klagomål.docx", "A 47183-2023")</f>
        <v/>
      </c>
      <c r="W131">
        <f>HYPERLINK("https://klasma.github.io/Logging_2305/klagomålsmail/A 47183-2023 FSC-klagomål mail.docx", "A 47183-2023")</f>
        <v/>
      </c>
      <c r="X131">
        <f>HYPERLINK("https://klasma.github.io/Logging_2305/tillsyn/A 47183-2023 tillsynsbegäran.docx", "A 47183-2023")</f>
        <v/>
      </c>
      <c r="Y131">
        <f>HYPERLINK("https://klasma.github.io/Logging_2305/tillsynsmail/A 47183-2023 tillsynsbegäran mail.docx", "A 47183-2023")</f>
        <v/>
      </c>
    </row>
    <row r="132" ht="15" customHeight="1">
      <c r="A132" t="inlineStr">
        <is>
          <t>A 19336-2024</t>
        </is>
      </c>
      <c r="B132" s="1" t="n">
        <v>45428</v>
      </c>
      <c r="C132" s="1" t="n">
        <v>46200</v>
      </c>
      <c r="D132" t="inlineStr">
        <is>
          <t>JÄMTLANDS LÄN</t>
        </is>
      </c>
      <c r="E132" t="inlineStr">
        <is>
          <t>BRÄCKE</t>
        </is>
      </c>
      <c r="F132" t="inlineStr">
        <is>
          <t>SCA</t>
        </is>
      </c>
      <c r="G132" t="n">
        <v>5.8</v>
      </c>
      <c r="H132" t="n">
        <v>1</v>
      </c>
      <c r="I132" t="n">
        <v>1</v>
      </c>
      <c r="J132" t="n">
        <v>2</v>
      </c>
      <c r="K132" t="n">
        <v>0</v>
      </c>
      <c r="L132" t="n">
        <v>0</v>
      </c>
      <c r="M132" t="n">
        <v>0</v>
      </c>
      <c r="N132" t="n">
        <v>0</v>
      </c>
      <c r="O132" t="n">
        <v>2</v>
      </c>
      <c r="P132" t="n">
        <v>0</v>
      </c>
      <c r="Q132" t="n">
        <v>4</v>
      </c>
      <c r="R132" s="2" t="inlineStr">
        <is>
          <t>Lunglav
Violmussling
Korallblylav
Spillkråka</t>
        </is>
      </c>
      <c r="S132">
        <f>HYPERLINK("https://klasma.github.io/Logging_2305/artfynd/A 19336-2024 artfynd.xlsx", "A 19336-2024")</f>
        <v/>
      </c>
      <c r="T132">
        <f>HYPERLINK("https://klasma.github.io/Logging_2305/kartor/A 19336-2024 karta.png", "A 19336-2024")</f>
        <v/>
      </c>
      <c r="V132">
        <f>HYPERLINK("https://klasma.github.io/Logging_2305/klagomål/A 19336-2024 FSC-klagomål.docx", "A 19336-2024")</f>
        <v/>
      </c>
      <c r="W132">
        <f>HYPERLINK("https://klasma.github.io/Logging_2305/klagomålsmail/A 19336-2024 FSC-klagomål mail.docx", "A 19336-2024")</f>
        <v/>
      </c>
      <c r="X132">
        <f>HYPERLINK("https://klasma.github.io/Logging_2305/tillsyn/A 19336-2024 tillsynsbegäran.docx", "A 19336-2024")</f>
        <v/>
      </c>
      <c r="Y132">
        <f>HYPERLINK("https://klasma.github.io/Logging_2305/tillsynsmail/A 19336-2024 tillsynsbegäran mail.docx", "A 19336-2024")</f>
        <v/>
      </c>
      <c r="Z132">
        <f>HYPERLINK("https://klasma.github.io/Logging_2305/fåglar/A 19336-2024 prioriterade fågelarter.docx", "A 19336-2024")</f>
        <v/>
      </c>
    </row>
    <row r="133" ht="15" customHeight="1">
      <c r="A133" t="inlineStr">
        <is>
          <t>A 57473-2024</t>
        </is>
      </c>
      <c r="B133" s="1" t="n">
        <v>45630</v>
      </c>
      <c r="C133" s="1" t="n">
        <v>46200</v>
      </c>
      <c r="D133" t="inlineStr">
        <is>
          <t>JÄMTLANDS LÄN</t>
        </is>
      </c>
      <c r="E133" t="inlineStr">
        <is>
          <t>BRÄCKE</t>
        </is>
      </c>
      <c r="F133" t="inlineStr">
        <is>
          <t>SCA</t>
        </is>
      </c>
      <c r="G133" t="n">
        <v>0.8</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HYPERLINK("https://klasma.github.io/Logging_2305/artfynd/A 57473-2024 artfynd.xlsx", "A 57473-2024")</f>
        <v/>
      </c>
      <c r="T133">
        <f>HYPERLINK("https://klasma.github.io/Logging_2305/kartor/A 57473-2024 karta.png", "A 57473-2024")</f>
        <v/>
      </c>
      <c r="U133">
        <f>HYPERLINK("https://klasma.github.io/Logging_2305/knärot/A 57473-2024 karta knärot.png", "A 57473-2024")</f>
        <v/>
      </c>
      <c r="V133">
        <f>HYPERLINK("https://klasma.github.io/Logging_2305/klagomål/A 57473-2024 FSC-klagomål.docx", "A 57473-2024")</f>
        <v/>
      </c>
      <c r="W133">
        <f>HYPERLINK("https://klasma.github.io/Logging_2305/klagomålsmail/A 57473-2024 FSC-klagomål mail.docx", "A 57473-2024")</f>
        <v/>
      </c>
      <c r="X133">
        <f>HYPERLINK("https://klasma.github.io/Logging_2305/tillsyn/A 57473-2024 tillsynsbegäran.docx", "A 57473-2024")</f>
        <v/>
      </c>
      <c r="Y133">
        <f>HYPERLINK("https://klasma.github.io/Logging_2305/tillsynsmail/A 57473-2024 tillsynsbegäran mail.docx", "A 57473-2024")</f>
        <v/>
      </c>
      <c r="Z133">
        <f>HYPERLINK("https://klasma.github.io/Logging_2305/fåglar/A 57473-2024 prioriterade fågelarter.docx", "A 57473-2024")</f>
        <v/>
      </c>
    </row>
    <row r="134" ht="15" customHeight="1">
      <c r="A134" t="inlineStr">
        <is>
          <t>A 21449-2025</t>
        </is>
      </c>
      <c r="B134" s="1" t="n">
        <v>45782</v>
      </c>
      <c r="C134" s="1" t="n">
        <v>46200</v>
      </c>
      <c r="D134" t="inlineStr">
        <is>
          <t>JÄMTLANDS LÄN</t>
        </is>
      </c>
      <c r="E134" t="inlineStr">
        <is>
          <t>BRÄCKE</t>
        </is>
      </c>
      <c r="F134" t="inlineStr">
        <is>
          <t>SCA</t>
        </is>
      </c>
      <c r="G134" t="n">
        <v>0.3</v>
      </c>
      <c r="H134" t="n">
        <v>2</v>
      </c>
      <c r="I134" t="n">
        <v>1</v>
      </c>
      <c r="J134" t="n">
        <v>1</v>
      </c>
      <c r="K134" t="n">
        <v>1</v>
      </c>
      <c r="L134" t="n">
        <v>0</v>
      </c>
      <c r="M134" t="n">
        <v>0</v>
      </c>
      <c r="N134" t="n">
        <v>0</v>
      </c>
      <c r="O134" t="n">
        <v>2</v>
      </c>
      <c r="P134" t="n">
        <v>1</v>
      </c>
      <c r="Q134" t="n">
        <v>4</v>
      </c>
      <c r="R134" s="2" t="inlineStr">
        <is>
          <t>Bredbrämad bastardsvärmare
Turkos blåvinge
Tvåblad
Brudsporre</t>
        </is>
      </c>
      <c r="S134">
        <f>HYPERLINK("https://klasma.github.io/Logging_2305/artfynd/A 21449-2025 artfynd.xlsx", "A 21449-2025")</f>
        <v/>
      </c>
      <c r="T134">
        <f>HYPERLINK("https://klasma.github.io/Logging_2305/kartor/A 21449-2025 karta.png", "A 21449-2025")</f>
        <v/>
      </c>
      <c r="V134">
        <f>HYPERLINK("https://klasma.github.io/Logging_2305/klagomål/A 21449-2025 FSC-klagomål.docx", "A 21449-2025")</f>
        <v/>
      </c>
      <c r="W134">
        <f>HYPERLINK("https://klasma.github.io/Logging_2305/klagomålsmail/A 21449-2025 FSC-klagomål mail.docx", "A 21449-2025")</f>
        <v/>
      </c>
      <c r="X134">
        <f>HYPERLINK("https://klasma.github.io/Logging_2305/tillsyn/A 21449-2025 tillsynsbegäran.docx", "A 21449-2025")</f>
        <v/>
      </c>
      <c r="Y134">
        <f>HYPERLINK("https://klasma.github.io/Logging_2305/tillsynsmail/A 21449-2025 tillsynsbegäran mail.docx", "A 21449-2025")</f>
        <v/>
      </c>
    </row>
    <row r="135" ht="15" customHeight="1">
      <c r="A135" t="inlineStr">
        <is>
          <t>A 21441-2025</t>
        </is>
      </c>
      <c r="B135" s="1" t="n">
        <v>45782</v>
      </c>
      <c r="C135" s="1" t="n">
        <v>46200</v>
      </c>
      <c r="D135" t="inlineStr">
        <is>
          <t>JÄMTLANDS LÄN</t>
        </is>
      </c>
      <c r="E135" t="inlineStr">
        <is>
          <t>BRÄCKE</t>
        </is>
      </c>
      <c r="F135" t="inlineStr">
        <is>
          <t>SCA</t>
        </is>
      </c>
      <c r="G135" t="n">
        <v>5.5</v>
      </c>
      <c r="H135" t="n">
        <v>2</v>
      </c>
      <c r="I135" t="n">
        <v>1</v>
      </c>
      <c r="J135" t="n">
        <v>2</v>
      </c>
      <c r="K135" t="n">
        <v>1</v>
      </c>
      <c r="L135" t="n">
        <v>0</v>
      </c>
      <c r="M135" t="n">
        <v>0</v>
      </c>
      <c r="N135" t="n">
        <v>0</v>
      </c>
      <c r="O135" t="n">
        <v>3</v>
      </c>
      <c r="P135" t="n">
        <v>1</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10543-2022</t>
        </is>
      </c>
      <c r="B136" s="1" t="n">
        <v>44623</v>
      </c>
      <c r="C136" s="1" t="n">
        <v>46200</v>
      </c>
      <c r="D136" t="inlineStr">
        <is>
          <t>JÄMTLANDS LÄN</t>
        </is>
      </c>
      <c r="E136" t="inlineStr">
        <is>
          <t>BRÄCKE</t>
        </is>
      </c>
      <c r="G136" t="n">
        <v>9.199999999999999</v>
      </c>
      <c r="H136" t="n">
        <v>4</v>
      </c>
      <c r="I136" t="n">
        <v>0</v>
      </c>
      <c r="J136" t="n">
        <v>1</v>
      </c>
      <c r="K136" t="n">
        <v>1</v>
      </c>
      <c r="L136" t="n">
        <v>0</v>
      </c>
      <c r="M136" t="n">
        <v>0</v>
      </c>
      <c r="N136" t="n">
        <v>0</v>
      </c>
      <c r="O136" t="n">
        <v>2</v>
      </c>
      <c r="P136" t="n">
        <v>1</v>
      </c>
      <c r="Q136" t="n">
        <v>4</v>
      </c>
      <c r="R136" s="2" t="inlineStr">
        <is>
          <t>Knärot
Tretåig hackspett
Järpe
Nattviol</t>
        </is>
      </c>
      <c r="S136">
        <f>HYPERLINK("https://klasma.github.io/Logging_2305/artfynd/A 10543-2022 artfynd.xlsx", "A 10543-2022")</f>
        <v/>
      </c>
      <c r="T136">
        <f>HYPERLINK("https://klasma.github.io/Logging_2305/kartor/A 10543-2022 karta.png", "A 10543-2022")</f>
        <v/>
      </c>
      <c r="U136">
        <f>HYPERLINK("https://klasma.github.io/Logging_2305/knärot/A 10543-2022 karta knärot.png", "A 10543-2022")</f>
        <v/>
      </c>
      <c r="V136">
        <f>HYPERLINK("https://klasma.github.io/Logging_2305/klagomål/A 10543-2022 FSC-klagomål.docx", "A 10543-2022")</f>
        <v/>
      </c>
      <c r="W136">
        <f>HYPERLINK("https://klasma.github.io/Logging_2305/klagomålsmail/A 10543-2022 FSC-klagomål mail.docx", "A 10543-2022")</f>
        <v/>
      </c>
      <c r="X136">
        <f>HYPERLINK("https://klasma.github.io/Logging_2305/tillsyn/A 10543-2022 tillsynsbegäran.docx", "A 10543-2022")</f>
        <v/>
      </c>
      <c r="Y136">
        <f>HYPERLINK("https://klasma.github.io/Logging_2305/tillsynsmail/A 10543-2022 tillsynsbegäran mail.docx", "A 10543-2022")</f>
        <v/>
      </c>
      <c r="Z136">
        <f>HYPERLINK("https://klasma.github.io/Logging_2305/fåglar/A 10543-2022 prioriterade fågelarter.docx", "A 10543-2022")</f>
        <v/>
      </c>
    </row>
    <row r="137" ht="15" customHeight="1">
      <c r="A137" t="inlineStr">
        <is>
          <t>A 42590-2025</t>
        </is>
      </c>
      <c r="B137" s="1" t="n">
        <v>45905</v>
      </c>
      <c r="C137" s="1" t="n">
        <v>46200</v>
      </c>
      <c r="D137" t="inlineStr">
        <is>
          <t>JÄMTLANDS LÄN</t>
        </is>
      </c>
      <c r="E137" t="inlineStr">
        <is>
          <t>BRÄCKE</t>
        </is>
      </c>
      <c r="F137" t="inlineStr">
        <is>
          <t>SCA</t>
        </is>
      </c>
      <c r="G137" t="n">
        <v>24.2</v>
      </c>
      <c r="H137" t="n">
        <v>0</v>
      </c>
      <c r="I137" t="n">
        <v>0</v>
      </c>
      <c r="J137" t="n">
        <v>4</v>
      </c>
      <c r="K137" t="n">
        <v>0</v>
      </c>
      <c r="L137" t="n">
        <v>0</v>
      </c>
      <c r="M137" t="n">
        <v>0</v>
      </c>
      <c r="N137" t="n">
        <v>0</v>
      </c>
      <c r="O137" t="n">
        <v>4</v>
      </c>
      <c r="P137" t="n">
        <v>0</v>
      </c>
      <c r="Q137" t="n">
        <v>4</v>
      </c>
      <c r="R137" s="2" t="inlineStr">
        <is>
          <t>Blå taggsvamp
Rosenticka
Skarp dropptaggsvamp
Ullticka</t>
        </is>
      </c>
      <c r="S137">
        <f>HYPERLINK("https://klasma.github.io/Logging_2305/artfynd/A 42590-2025 artfynd.xlsx", "A 42590-2025")</f>
        <v/>
      </c>
      <c r="T137">
        <f>HYPERLINK("https://klasma.github.io/Logging_2305/kartor/A 42590-2025 karta.png", "A 42590-2025")</f>
        <v/>
      </c>
      <c r="V137">
        <f>HYPERLINK("https://klasma.github.io/Logging_2305/klagomål/A 42590-2025 FSC-klagomål.docx", "A 42590-2025")</f>
        <v/>
      </c>
      <c r="W137">
        <f>HYPERLINK("https://klasma.github.io/Logging_2305/klagomålsmail/A 42590-2025 FSC-klagomål mail.docx", "A 42590-2025")</f>
        <v/>
      </c>
      <c r="X137">
        <f>HYPERLINK("https://klasma.github.io/Logging_2305/tillsyn/A 42590-2025 tillsynsbegäran.docx", "A 42590-2025")</f>
        <v/>
      </c>
      <c r="Y137">
        <f>HYPERLINK("https://klasma.github.io/Logging_2305/tillsynsmail/A 42590-2025 tillsynsbegäran mail.docx", "A 42590-2025")</f>
        <v/>
      </c>
    </row>
    <row r="138" ht="15" customHeight="1">
      <c r="A138" t="inlineStr">
        <is>
          <t>A 15144-2024</t>
        </is>
      </c>
      <c r="B138" s="1" t="n">
        <v>45399</v>
      </c>
      <c r="C138" s="1" t="n">
        <v>46200</v>
      </c>
      <c r="D138" t="inlineStr">
        <is>
          <t>JÄMTLANDS LÄN</t>
        </is>
      </c>
      <c r="E138" t="inlineStr">
        <is>
          <t>BRÄCKE</t>
        </is>
      </c>
      <c r="F138" t="inlineStr">
        <is>
          <t>SCA</t>
        </is>
      </c>
      <c r="G138" t="n">
        <v>1.5</v>
      </c>
      <c r="H138" t="n">
        <v>0</v>
      </c>
      <c r="I138" t="n">
        <v>1</v>
      </c>
      <c r="J138" t="n">
        <v>2</v>
      </c>
      <c r="K138" t="n">
        <v>1</v>
      </c>
      <c r="L138" t="n">
        <v>0</v>
      </c>
      <c r="M138" t="n">
        <v>0</v>
      </c>
      <c r="N138" t="n">
        <v>0</v>
      </c>
      <c r="O138" t="n">
        <v>3</v>
      </c>
      <c r="P138" t="n">
        <v>1</v>
      </c>
      <c r="Q138" t="n">
        <v>4</v>
      </c>
      <c r="R138" s="2" t="inlineStr">
        <is>
          <t>Gräddporing
Grantaggsvamp
Ullticka
Kransrams</t>
        </is>
      </c>
      <c r="S138">
        <f>HYPERLINK("https://klasma.github.io/Logging_2305/artfynd/A 15144-2024 artfynd.xlsx", "A 15144-2024")</f>
        <v/>
      </c>
      <c r="T138">
        <f>HYPERLINK("https://klasma.github.io/Logging_2305/kartor/A 15144-2024 karta.png", "A 15144-2024")</f>
        <v/>
      </c>
      <c r="V138">
        <f>HYPERLINK("https://klasma.github.io/Logging_2305/klagomål/A 15144-2024 FSC-klagomål.docx", "A 15144-2024")</f>
        <v/>
      </c>
      <c r="W138">
        <f>HYPERLINK("https://klasma.github.io/Logging_2305/klagomålsmail/A 15144-2024 FSC-klagomål mail.docx", "A 15144-2024")</f>
        <v/>
      </c>
      <c r="X138">
        <f>HYPERLINK("https://klasma.github.io/Logging_2305/tillsyn/A 15144-2024 tillsynsbegäran.docx", "A 15144-2024")</f>
        <v/>
      </c>
      <c r="Y138">
        <f>HYPERLINK("https://klasma.github.io/Logging_2305/tillsynsmail/A 15144-2024 tillsynsbegäran mail.docx", "A 15144-2024")</f>
        <v/>
      </c>
    </row>
    <row r="139" ht="15" customHeight="1">
      <c r="A139" t="inlineStr">
        <is>
          <t>A 28553-2024</t>
        </is>
      </c>
      <c r="B139" s="1" t="n">
        <v>45478</v>
      </c>
      <c r="C139" s="1" t="n">
        <v>46200</v>
      </c>
      <c r="D139" t="inlineStr">
        <is>
          <t>JÄMTLANDS LÄN</t>
        </is>
      </c>
      <c r="E139" t="inlineStr">
        <is>
          <t>BRÄCKE</t>
        </is>
      </c>
      <c r="G139" t="n">
        <v>14.5</v>
      </c>
      <c r="H139" t="n">
        <v>2</v>
      </c>
      <c r="I139" t="n">
        <v>0</v>
      </c>
      <c r="J139" t="n">
        <v>2</v>
      </c>
      <c r="K139" t="n">
        <v>1</v>
      </c>
      <c r="L139" t="n">
        <v>0</v>
      </c>
      <c r="M139" t="n">
        <v>0</v>
      </c>
      <c r="N139" t="n">
        <v>0</v>
      </c>
      <c r="O139" t="n">
        <v>3</v>
      </c>
      <c r="P139" t="n">
        <v>1</v>
      </c>
      <c r="Q139" t="n">
        <v>4</v>
      </c>
      <c r="R139" s="2" t="inlineStr">
        <is>
          <t>Knärot
Lunglav
Tretåig hackspett
Sälg</t>
        </is>
      </c>
      <c r="S139">
        <f>HYPERLINK("https://klasma.github.io/Logging_2305/artfynd/A 28553-2024 artfynd.xlsx", "A 28553-2024")</f>
        <v/>
      </c>
      <c r="T139">
        <f>HYPERLINK("https://klasma.github.io/Logging_2305/kartor/A 28553-2024 karta.png", "A 28553-2024")</f>
        <v/>
      </c>
      <c r="U139">
        <f>HYPERLINK("https://klasma.github.io/Logging_2305/knärot/A 28553-2024 karta knärot.png", "A 28553-2024")</f>
        <v/>
      </c>
      <c r="V139">
        <f>HYPERLINK("https://klasma.github.io/Logging_2305/klagomål/A 28553-2024 FSC-klagomål.docx", "A 28553-2024")</f>
        <v/>
      </c>
      <c r="W139">
        <f>HYPERLINK("https://klasma.github.io/Logging_2305/klagomålsmail/A 28553-2024 FSC-klagomål mail.docx", "A 28553-2024")</f>
        <v/>
      </c>
      <c r="X139">
        <f>HYPERLINK("https://klasma.github.io/Logging_2305/tillsyn/A 28553-2024 tillsynsbegäran.docx", "A 28553-2024")</f>
        <v/>
      </c>
      <c r="Y139">
        <f>HYPERLINK("https://klasma.github.io/Logging_2305/tillsynsmail/A 28553-2024 tillsynsbegäran mail.docx", "A 28553-2024")</f>
        <v/>
      </c>
      <c r="Z139">
        <f>HYPERLINK("https://klasma.github.io/Logging_2305/fåglar/A 28553-2024 prioriterade fågelarter.docx", "A 28553-2024")</f>
        <v/>
      </c>
    </row>
    <row r="140" ht="15" customHeight="1">
      <c r="A140" t="inlineStr">
        <is>
          <t>A 47560-2024</t>
        </is>
      </c>
      <c r="B140" s="1" t="n">
        <v>45587</v>
      </c>
      <c r="C140" s="1" t="n">
        <v>46200</v>
      </c>
      <c r="D140" t="inlineStr">
        <is>
          <t>JÄMTLANDS LÄN</t>
        </is>
      </c>
      <c r="E140" t="inlineStr">
        <is>
          <t>BRÄCKE</t>
        </is>
      </c>
      <c r="G140" t="n">
        <v>4.3</v>
      </c>
      <c r="H140" t="n">
        <v>1</v>
      </c>
      <c r="I140" t="n">
        <v>0</v>
      </c>
      <c r="J140" t="n">
        <v>2</v>
      </c>
      <c r="K140" t="n">
        <v>2</v>
      </c>
      <c r="L140" t="n">
        <v>0</v>
      </c>
      <c r="M140" t="n">
        <v>0</v>
      </c>
      <c r="N140" t="n">
        <v>0</v>
      </c>
      <c r="O140" t="n">
        <v>4</v>
      </c>
      <c r="P140" t="n">
        <v>2</v>
      </c>
      <c r="Q140" t="n">
        <v>4</v>
      </c>
      <c r="R140" s="2" t="inlineStr">
        <is>
          <t>Garnlav
Knärot
Lunglav
Ullticka</t>
        </is>
      </c>
      <c r="S140">
        <f>HYPERLINK("https://klasma.github.io/Logging_2305/artfynd/A 47560-2024 artfynd.xlsx", "A 47560-2024")</f>
        <v/>
      </c>
      <c r="T140">
        <f>HYPERLINK("https://klasma.github.io/Logging_2305/kartor/A 47560-2024 karta.png", "A 47560-2024")</f>
        <v/>
      </c>
      <c r="U140">
        <f>HYPERLINK("https://klasma.github.io/Logging_2305/knärot/A 47560-2024 karta knärot.png", "A 47560-2024")</f>
        <v/>
      </c>
      <c r="V140">
        <f>HYPERLINK("https://klasma.github.io/Logging_2305/klagomål/A 47560-2024 FSC-klagomål.docx", "A 47560-2024")</f>
        <v/>
      </c>
      <c r="W140">
        <f>HYPERLINK("https://klasma.github.io/Logging_2305/klagomålsmail/A 47560-2024 FSC-klagomål mail.docx", "A 47560-2024")</f>
        <v/>
      </c>
      <c r="X140">
        <f>HYPERLINK("https://klasma.github.io/Logging_2305/tillsyn/A 47560-2024 tillsynsbegäran.docx", "A 47560-2024")</f>
        <v/>
      </c>
      <c r="Y140">
        <f>HYPERLINK("https://klasma.github.io/Logging_2305/tillsynsmail/A 47560-2024 tillsynsbegäran mail.docx", "A 47560-2024")</f>
        <v/>
      </c>
    </row>
    <row r="141" ht="15" customHeight="1">
      <c r="A141" t="inlineStr">
        <is>
          <t>A 15910-2026</t>
        </is>
      </c>
      <c r="B141" s="1" t="n">
        <v>46107</v>
      </c>
      <c r="C141" s="1" t="n">
        <v>46200</v>
      </c>
      <c r="D141" t="inlineStr">
        <is>
          <t>JÄMTLANDS LÄN</t>
        </is>
      </c>
      <c r="E141" t="inlineStr">
        <is>
          <t>BRÄCKE</t>
        </is>
      </c>
      <c r="G141" t="n">
        <v>9.800000000000001</v>
      </c>
      <c r="H141" t="n">
        <v>0</v>
      </c>
      <c r="I141" t="n">
        <v>1</v>
      </c>
      <c r="J141" t="n">
        <v>3</v>
      </c>
      <c r="K141" t="n">
        <v>0</v>
      </c>
      <c r="L141" t="n">
        <v>0</v>
      </c>
      <c r="M141" t="n">
        <v>0</v>
      </c>
      <c r="N141" t="n">
        <v>0</v>
      </c>
      <c r="O141" t="n">
        <v>3</v>
      </c>
      <c r="P141" t="n">
        <v>0</v>
      </c>
      <c r="Q141" t="n">
        <v>4</v>
      </c>
      <c r="R141" s="2" t="inlineStr">
        <is>
          <t>Lunglav
Skrovellav
Vårärt
Svart trolldruva</t>
        </is>
      </c>
      <c r="S141">
        <f>HYPERLINK("https://klasma.github.io/Logging_2305/artfynd/A 15910-2026 artfynd.xlsx", "A 15910-2026")</f>
        <v/>
      </c>
      <c r="T141">
        <f>HYPERLINK("https://klasma.github.io/Logging_2305/kartor/A 15910-2026 karta.png", "A 15910-2026")</f>
        <v/>
      </c>
      <c r="V141">
        <f>HYPERLINK("https://klasma.github.io/Logging_2305/klagomål/A 15910-2026 FSC-klagomål.docx", "A 15910-2026")</f>
        <v/>
      </c>
      <c r="W141">
        <f>HYPERLINK("https://klasma.github.io/Logging_2305/klagomålsmail/A 15910-2026 FSC-klagomål mail.docx", "A 15910-2026")</f>
        <v/>
      </c>
      <c r="X141">
        <f>HYPERLINK("https://klasma.github.io/Logging_2305/tillsyn/A 15910-2026 tillsynsbegäran.docx", "A 15910-2026")</f>
        <v/>
      </c>
      <c r="Y141">
        <f>HYPERLINK("https://klasma.github.io/Logging_2305/tillsynsmail/A 15910-2026 tillsynsbegäran mail.docx", "A 15910-2026")</f>
        <v/>
      </c>
    </row>
    <row r="142" ht="15" customHeight="1">
      <c r="A142" t="inlineStr">
        <is>
          <t>A 25482-2026</t>
        </is>
      </c>
      <c r="B142" s="1" t="n">
        <v>46177</v>
      </c>
      <c r="C142" s="1" t="n">
        <v>46200</v>
      </c>
      <c r="D142" t="inlineStr">
        <is>
          <t>JÄMTLANDS LÄN</t>
        </is>
      </c>
      <c r="E142" t="inlineStr">
        <is>
          <t>BRÄCKE</t>
        </is>
      </c>
      <c r="G142" t="n">
        <v>8.199999999999999</v>
      </c>
      <c r="H142" t="n">
        <v>0</v>
      </c>
      <c r="I142" t="n">
        <v>0</v>
      </c>
      <c r="J142" t="n">
        <v>3</v>
      </c>
      <c r="K142" t="n">
        <v>1</v>
      </c>
      <c r="L142" t="n">
        <v>0</v>
      </c>
      <c r="M142" t="n">
        <v>0</v>
      </c>
      <c r="N142" t="n">
        <v>0</v>
      </c>
      <c r="O142" t="n">
        <v>4</v>
      </c>
      <c r="P142" t="n">
        <v>1</v>
      </c>
      <c r="Q142" t="n">
        <v>4</v>
      </c>
      <c r="R142" s="2" t="inlineStr">
        <is>
          <t>Garnlav
Lunglav
Vedflamlav
Vedskivlav</t>
        </is>
      </c>
      <c r="S142">
        <f>HYPERLINK("https://klasma.github.io/Logging_2305/artfynd/A 25482-2026 artfynd.xlsx", "A 25482-2026")</f>
        <v/>
      </c>
      <c r="T142">
        <f>HYPERLINK("https://klasma.github.io/Logging_2305/kartor/A 25482-2026 karta.png", "A 25482-2026")</f>
        <v/>
      </c>
      <c r="V142">
        <f>HYPERLINK("https://klasma.github.io/Logging_2305/klagomål/A 25482-2026 FSC-klagomål.docx", "A 25482-2026")</f>
        <v/>
      </c>
      <c r="W142">
        <f>HYPERLINK("https://klasma.github.io/Logging_2305/klagomålsmail/A 25482-2026 FSC-klagomål mail.docx", "A 25482-2026")</f>
        <v/>
      </c>
      <c r="X142">
        <f>HYPERLINK("https://klasma.github.io/Logging_2305/tillsyn/A 25482-2026 tillsynsbegäran.docx", "A 25482-2026")</f>
        <v/>
      </c>
      <c r="Y142">
        <f>HYPERLINK("https://klasma.github.io/Logging_2305/tillsynsmail/A 25482-2026 tillsynsbegäran mail.docx", "A 25482-2026")</f>
        <v/>
      </c>
    </row>
    <row r="143" ht="15" customHeight="1">
      <c r="A143" t="inlineStr">
        <is>
          <t>A 48479-2023</t>
        </is>
      </c>
      <c r="B143" s="1" t="n">
        <v>45206</v>
      </c>
      <c r="C143" s="1" t="n">
        <v>46200</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48479-2023 artfynd.xlsx", "A 48479-2023")</f>
        <v/>
      </c>
      <c r="T143">
        <f>HYPERLINK("https://klasma.github.io/Logging_2305/kartor/A 48479-2023 karta.png", "A 48479-2023")</f>
        <v/>
      </c>
      <c r="V143">
        <f>HYPERLINK("https://klasma.github.io/Logging_2305/klagomål/A 48479-2023 FSC-klagomål.docx", "A 48479-2023")</f>
        <v/>
      </c>
      <c r="W143">
        <f>HYPERLINK("https://klasma.github.io/Logging_2305/klagomålsmail/A 48479-2023 FSC-klagomål mail.docx", "A 48479-2023")</f>
        <v/>
      </c>
      <c r="X143">
        <f>HYPERLINK("https://klasma.github.io/Logging_2305/tillsyn/A 48479-2023 tillsynsbegäran.docx", "A 48479-2023")</f>
        <v/>
      </c>
      <c r="Y143">
        <f>HYPERLINK("https://klasma.github.io/Logging_2305/tillsynsmail/A 48479-2023 tillsynsbegäran mail.docx", "A 48479-2023")</f>
        <v/>
      </c>
    </row>
    <row r="144" ht="15" customHeight="1">
      <c r="A144" t="inlineStr">
        <is>
          <t>A 30881-2025</t>
        </is>
      </c>
      <c r="B144" s="1" t="n">
        <v>45832</v>
      </c>
      <c r="C144" s="1" t="n">
        <v>46200</v>
      </c>
      <c r="D144" t="inlineStr">
        <is>
          <t>JÄMTLANDS LÄN</t>
        </is>
      </c>
      <c r="E144" t="inlineStr">
        <is>
          <t>BRÄCKE</t>
        </is>
      </c>
      <c r="F144" t="inlineStr">
        <is>
          <t>SCA</t>
        </is>
      </c>
      <c r="G144" t="n">
        <v>3.3</v>
      </c>
      <c r="H144" t="n">
        <v>2</v>
      </c>
      <c r="I144" t="n">
        <v>0</v>
      </c>
      <c r="J144" t="n">
        <v>2</v>
      </c>
      <c r="K144" t="n">
        <v>2</v>
      </c>
      <c r="L144" t="n">
        <v>0</v>
      </c>
      <c r="M144" t="n">
        <v>0</v>
      </c>
      <c r="N144" t="n">
        <v>0</v>
      </c>
      <c r="O144" t="n">
        <v>4</v>
      </c>
      <c r="P144" t="n">
        <v>2</v>
      </c>
      <c r="Q144" t="n">
        <v>4</v>
      </c>
      <c r="R144" s="2" t="inlineStr">
        <is>
          <t>Knärot
Lappticka
Rosenticka
Talltita</t>
        </is>
      </c>
      <c r="S144">
        <f>HYPERLINK("https://klasma.github.io/Logging_2305/artfynd/A 30881-2025 artfynd.xlsx", "A 30881-2025")</f>
        <v/>
      </c>
      <c r="T144">
        <f>HYPERLINK("https://klasma.github.io/Logging_2305/kartor/A 30881-2025 karta.png", "A 30881-2025")</f>
        <v/>
      </c>
      <c r="U144">
        <f>HYPERLINK("https://klasma.github.io/Logging_2305/knärot/A 30881-2025 karta knärot.png", "A 30881-2025")</f>
        <v/>
      </c>
      <c r="V144">
        <f>HYPERLINK("https://klasma.github.io/Logging_2305/klagomål/A 30881-2025 FSC-klagomål.docx", "A 30881-2025")</f>
        <v/>
      </c>
      <c r="W144">
        <f>HYPERLINK("https://klasma.github.io/Logging_2305/klagomålsmail/A 30881-2025 FSC-klagomål mail.docx", "A 30881-2025")</f>
        <v/>
      </c>
      <c r="X144">
        <f>HYPERLINK("https://klasma.github.io/Logging_2305/tillsyn/A 30881-2025 tillsynsbegäran.docx", "A 30881-2025")</f>
        <v/>
      </c>
      <c r="Y144">
        <f>HYPERLINK("https://klasma.github.io/Logging_2305/tillsynsmail/A 30881-2025 tillsynsbegäran mail.docx", "A 30881-2025")</f>
        <v/>
      </c>
      <c r="Z144">
        <f>HYPERLINK("https://klasma.github.io/Logging_2305/fåglar/A 30881-2025 prioriterade fågelarter.docx", "A 30881-2025")</f>
        <v/>
      </c>
    </row>
    <row r="145" ht="15" customHeight="1">
      <c r="A145" t="inlineStr">
        <is>
          <t>A 20070-2022</t>
        </is>
      </c>
      <c r="B145" s="1" t="n">
        <v>44697</v>
      </c>
      <c r="C145" s="1" t="n">
        <v>46200</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46200</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4180-2022</t>
        </is>
      </c>
      <c r="B147" s="1" t="n">
        <v>44588</v>
      </c>
      <c r="C147" s="1" t="n">
        <v>46200</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49375-2024</t>
        </is>
      </c>
      <c r="B148" s="1" t="n">
        <v>45595</v>
      </c>
      <c r="C148" s="1" t="n">
        <v>46200</v>
      </c>
      <c r="D148" t="inlineStr">
        <is>
          <t>JÄMTLANDS LÄN</t>
        </is>
      </c>
      <c r="E148" t="inlineStr">
        <is>
          <t>BRÄCKE</t>
        </is>
      </c>
      <c r="F148" t="inlineStr">
        <is>
          <t>SCA</t>
        </is>
      </c>
      <c r="G148" t="n">
        <v>8.5</v>
      </c>
      <c r="H148" t="n">
        <v>0</v>
      </c>
      <c r="I148" t="n">
        <v>0</v>
      </c>
      <c r="J148" t="n">
        <v>3</v>
      </c>
      <c r="K148" t="n">
        <v>0</v>
      </c>
      <c r="L148" t="n">
        <v>0</v>
      </c>
      <c r="M148" t="n">
        <v>0</v>
      </c>
      <c r="N148" t="n">
        <v>0</v>
      </c>
      <c r="O148" t="n">
        <v>3</v>
      </c>
      <c r="P148" t="n">
        <v>0</v>
      </c>
      <c r="Q148" t="n">
        <v>3</v>
      </c>
      <c r="R148" s="2" t="inlineStr">
        <is>
          <t>Doftskinn
Lunglav
Skrovellav</t>
        </is>
      </c>
      <c r="S148">
        <f>HYPERLINK("https://klasma.github.io/Logging_2305/artfynd/A 49375-2024 artfynd.xlsx", "A 49375-2024")</f>
        <v/>
      </c>
      <c r="T148">
        <f>HYPERLINK("https://klasma.github.io/Logging_2305/kartor/A 49375-2024 karta.png", "A 49375-2024")</f>
        <v/>
      </c>
      <c r="V148">
        <f>HYPERLINK("https://klasma.github.io/Logging_2305/klagomål/A 49375-2024 FSC-klagomål.docx", "A 49375-2024")</f>
        <v/>
      </c>
      <c r="W148">
        <f>HYPERLINK("https://klasma.github.io/Logging_2305/klagomålsmail/A 49375-2024 FSC-klagomål mail.docx", "A 49375-2024")</f>
        <v/>
      </c>
      <c r="X148">
        <f>HYPERLINK("https://klasma.github.io/Logging_2305/tillsyn/A 49375-2024 tillsynsbegäran.docx", "A 49375-2024")</f>
        <v/>
      </c>
      <c r="Y148">
        <f>HYPERLINK("https://klasma.github.io/Logging_2305/tillsynsmail/A 49375-2024 tillsynsbegäran mail.docx", "A 49375-2024")</f>
        <v/>
      </c>
    </row>
    <row r="149" ht="15" customHeight="1">
      <c r="A149" t="inlineStr">
        <is>
          <t>A 37048-2021</t>
        </is>
      </c>
      <c r="B149" s="1" t="n">
        <v>44393</v>
      </c>
      <c r="C149" s="1" t="n">
        <v>46200</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Bårdlav
Stuplav</t>
        </is>
      </c>
      <c r="S149">
        <f>HYPERLINK("https://klasma.github.io/Logging_2305/artfynd/A 37048-2021 artfynd.xlsx", "A 37048-2021")</f>
        <v/>
      </c>
      <c r="T149">
        <f>HYPERLINK("https://klasma.github.io/Logging_2305/kartor/A 37048-2021 karta.png", "A 37048-2021")</f>
        <v/>
      </c>
      <c r="V149">
        <f>HYPERLINK("https://klasma.github.io/Logging_2305/klagomål/A 37048-2021 FSC-klagomål.docx", "A 37048-2021")</f>
        <v/>
      </c>
      <c r="W149">
        <f>HYPERLINK("https://klasma.github.io/Logging_2305/klagomålsmail/A 37048-2021 FSC-klagomål mail.docx", "A 37048-2021")</f>
        <v/>
      </c>
      <c r="X149">
        <f>HYPERLINK("https://klasma.github.io/Logging_2305/tillsyn/A 37048-2021 tillsynsbegäran.docx", "A 37048-2021")</f>
        <v/>
      </c>
      <c r="Y149">
        <f>HYPERLINK("https://klasma.github.io/Logging_2305/tillsynsmail/A 37048-2021 tillsynsbegäran mail.docx", "A 37048-2021")</f>
        <v/>
      </c>
    </row>
    <row r="150" ht="15" customHeight="1">
      <c r="A150" t="inlineStr">
        <is>
          <t>A 38280-2021</t>
        </is>
      </c>
      <c r="B150" s="1" t="n">
        <v>44405</v>
      </c>
      <c r="C150" s="1" t="n">
        <v>46200</v>
      </c>
      <c r="D150" t="inlineStr">
        <is>
          <t>JÄMTLANDS LÄN</t>
        </is>
      </c>
      <c r="E150" t="inlineStr">
        <is>
          <t>BRÄCKE</t>
        </is>
      </c>
      <c r="F150" t="inlineStr">
        <is>
          <t>SCA</t>
        </is>
      </c>
      <c r="G150" t="n">
        <v>0.5</v>
      </c>
      <c r="H150" t="n">
        <v>0</v>
      </c>
      <c r="I150" t="n">
        <v>0</v>
      </c>
      <c r="J150" t="n">
        <v>2</v>
      </c>
      <c r="K150" t="n">
        <v>1</v>
      </c>
      <c r="L150" t="n">
        <v>0</v>
      </c>
      <c r="M150" t="n">
        <v>0</v>
      </c>
      <c r="N150" t="n">
        <v>0</v>
      </c>
      <c r="O150" t="n">
        <v>3</v>
      </c>
      <c r="P150" t="n">
        <v>1</v>
      </c>
      <c r="Q150" t="n">
        <v>3</v>
      </c>
      <c r="R150" s="2" t="inlineStr">
        <is>
          <t>Gräddporing
Dropptaggsvamp
Vaddporing</t>
        </is>
      </c>
      <c r="S150">
        <f>HYPERLINK("https://klasma.github.io/Logging_2305/artfynd/A 38280-2021 artfynd.xlsx", "A 38280-2021")</f>
        <v/>
      </c>
      <c r="T150">
        <f>HYPERLINK("https://klasma.github.io/Logging_2305/kartor/A 38280-2021 karta.png", "A 38280-2021")</f>
        <v/>
      </c>
      <c r="V150">
        <f>HYPERLINK("https://klasma.github.io/Logging_2305/klagomål/A 38280-2021 FSC-klagomål.docx", "A 38280-2021")</f>
        <v/>
      </c>
      <c r="W150">
        <f>HYPERLINK("https://klasma.github.io/Logging_2305/klagomålsmail/A 38280-2021 FSC-klagomål mail.docx", "A 38280-2021")</f>
        <v/>
      </c>
      <c r="X150">
        <f>HYPERLINK("https://klasma.github.io/Logging_2305/tillsyn/A 38280-2021 tillsynsbegäran.docx", "A 38280-2021")</f>
        <v/>
      </c>
      <c r="Y150">
        <f>HYPERLINK("https://klasma.github.io/Logging_2305/tillsynsmail/A 38280-2021 tillsynsbegäran mail.docx", "A 38280-2021")</f>
        <v/>
      </c>
    </row>
    <row r="151" ht="15" customHeight="1">
      <c r="A151" t="inlineStr">
        <is>
          <t>A 29672-2024</t>
        </is>
      </c>
      <c r="B151" s="1" t="n">
        <v>45484</v>
      </c>
      <c r="C151" s="1" t="n">
        <v>46200</v>
      </c>
      <c r="D151" t="inlineStr">
        <is>
          <t>JÄMTLANDS LÄN</t>
        </is>
      </c>
      <c r="E151" t="inlineStr">
        <is>
          <t>BRÄCKE</t>
        </is>
      </c>
      <c r="F151" t="inlineStr">
        <is>
          <t>SCA</t>
        </is>
      </c>
      <c r="G151" t="n">
        <v>1.2</v>
      </c>
      <c r="H151" t="n">
        <v>0</v>
      </c>
      <c r="I151" t="n">
        <v>0</v>
      </c>
      <c r="J151" t="n">
        <v>3</v>
      </c>
      <c r="K151" t="n">
        <v>0</v>
      </c>
      <c r="L151" t="n">
        <v>0</v>
      </c>
      <c r="M151" t="n">
        <v>0</v>
      </c>
      <c r="N151" t="n">
        <v>0</v>
      </c>
      <c r="O151" t="n">
        <v>3</v>
      </c>
      <c r="P151" t="n">
        <v>0</v>
      </c>
      <c r="Q151" t="n">
        <v>3</v>
      </c>
      <c r="R151" s="2" t="inlineStr">
        <is>
          <t>Stiftgelélav
Vedflikmossa
Vedtrappmossa</t>
        </is>
      </c>
      <c r="S151">
        <f>HYPERLINK("https://klasma.github.io/Logging_2305/artfynd/A 29672-2024 artfynd.xlsx", "A 29672-2024")</f>
        <v/>
      </c>
      <c r="T151">
        <f>HYPERLINK("https://klasma.github.io/Logging_2305/kartor/A 29672-2024 karta.png", "A 29672-2024")</f>
        <v/>
      </c>
      <c r="V151">
        <f>HYPERLINK("https://klasma.github.io/Logging_2305/klagomål/A 29672-2024 FSC-klagomål.docx", "A 29672-2024")</f>
        <v/>
      </c>
      <c r="W151">
        <f>HYPERLINK("https://klasma.github.io/Logging_2305/klagomålsmail/A 29672-2024 FSC-klagomål mail.docx", "A 29672-2024")</f>
        <v/>
      </c>
      <c r="X151">
        <f>HYPERLINK("https://klasma.github.io/Logging_2305/tillsyn/A 29672-2024 tillsynsbegäran.docx", "A 29672-2024")</f>
        <v/>
      </c>
      <c r="Y151">
        <f>HYPERLINK("https://klasma.github.io/Logging_2305/tillsynsmail/A 29672-2024 tillsynsbegäran mail.docx", "A 29672-2024")</f>
        <v/>
      </c>
    </row>
    <row r="152" ht="15" customHeight="1">
      <c r="A152" t="inlineStr">
        <is>
          <t>A 29455-2024</t>
        </is>
      </c>
      <c r="B152" s="1" t="n">
        <v>45483</v>
      </c>
      <c r="C152" s="1" t="n">
        <v>46200</v>
      </c>
      <c r="D152" t="inlineStr">
        <is>
          <t>JÄMTLANDS LÄN</t>
        </is>
      </c>
      <c r="E152" t="inlineStr">
        <is>
          <t>BRÄCKE</t>
        </is>
      </c>
      <c r="F152" t="inlineStr">
        <is>
          <t>SCA</t>
        </is>
      </c>
      <c r="G152" t="n">
        <v>6</v>
      </c>
      <c r="H152" t="n">
        <v>0</v>
      </c>
      <c r="I152" t="n">
        <v>0</v>
      </c>
      <c r="J152" t="n">
        <v>2</v>
      </c>
      <c r="K152" t="n">
        <v>1</v>
      </c>
      <c r="L152" t="n">
        <v>0</v>
      </c>
      <c r="M152" t="n">
        <v>0</v>
      </c>
      <c r="N152" t="n">
        <v>0</v>
      </c>
      <c r="O152" t="n">
        <v>3</v>
      </c>
      <c r="P152" t="n">
        <v>1</v>
      </c>
      <c r="Q152" t="n">
        <v>3</v>
      </c>
      <c r="R152" s="2" t="inlineStr">
        <is>
          <t>Garnlav
Lunglav
Ullticka</t>
        </is>
      </c>
      <c r="S152">
        <f>HYPERLINK("https://klasma.github.io/Logging_2305/artfynd/A 29455-2024 artfynd.xlsx", "A 29455-2024")</f>
        <v/>
      </c>
      <c r="T152">
        <f>HYPERLINK("https://klasma.github.io/Logging_2305/kartor/A 29455-2024 karta.png", "A 29455-2024")</f>
        <v/>
      </c>
      <c r="V152">
        <f>HYPERLINK("https://klasma.github.io/Logging_2305/klagomål/A 29455-2024 FSC-klagomål.docx", "A 29455-2024")</f>
        <v/>
      </c>
      <c r="W152">
        <f>HYPERLINK("https://klasma.github.io/Logging_2305/klagomålsmail/A 29455-2024 FSC-klagomål mail.docx", "A 29455-2024")</f>
        <v/>
      </c>
      <c r="X152">
        <f>HYPERLINK("https://klasma.github.io/Logging_2305/tillsyn/A 29455-2024 tillsynsbegäran.docx", "A 29455-2024")</f>
        <v/>
      </c>
      <c r="Y152">
        <f>HYPERLINK("https://klasma.github.io/Logging_2305/tillsynsmail/A 29455-2024 tillsynsbegäran mail.docx", "A 29455-2024")</f>
        <v/>
      </c>
    </row>
    <row r="153" ht="15" customHeight="1">
      <c r="A153" t="inlineStr">
        <is>
          <t>A 52269-2023</t>
        </is>
      </c>
      <c r="B153" s="1" t="n">
        <v>45217</v>
      </c>
      <c r="C153" s="1" t="n">
        <v>46200</v>
      </c>
      <c r="D153" t="inlineStr">
        <is>
          <t>JÄMTLANDS LÄN</t>
        </is>
      </c>
      <c r="E153" t="inlineStr">
        <is>
          <t>BRÄCKE</t>
        </is>
      </c>
      <c r="F153" t="inlineStr">
        <is>
          <t>SCA</t>
        </is>
      </c>
      <c r="G153" t="n">
        <v>2.4</v>
      </c>
      <c r="H153" t="n">
        <v>0</v>
      </c>
      <c r="I153" t="n">
        <v>0</v>
      </c>
      <c r="J153" t="n">
        <v>2</v>
      </c>
      <c r="K153" t="n">
        <v>1</v>
      </c>
      <c r="L153" t="n">
        <v>0</v>
      </c>
      <c r="M153" t="n">
        <v>0</v>
      </c>
      <c r="N153" t="n">
        <v>0</v>
      </c>
      <c r="O153" t="n">
        <v>3</v>
      </c>
      <c r="P153" t="n">
        <v>1</v>
      </c>
      <c r="Q153" t="n">
        <v>3</v>
      </c>
      <c r="R153" s="2" t="inlineStr">
        <is>
          <t>Garnlav
Dropptaggsvamp
Vedflamlav</t>
        </is>
      </c>
      <c r="S153">
        <f>HYPERLINK("https://klasma.github.io/Logging_2305/artfynd/A 52269-2023 artfynd.xlsx", "A 52269-2023")</f>
        <v/>
      </c>
      <c r="T153">
        <f>HYPERLINK("https://klasma.github.io/Logging_2305/kartor/A 52269-2023 karta.png", "A 52269-2023")</f>
        <v/>
      </c>
      <c r="V153">
        <f>HYPERLINK("https://klasma.github.io/Logging_2305/klagomål/A 52269-2023 FSC-klagomål.docx", "A 52269-2023")</f>
        <v/>
      </c>
      <c r="W153">
        <f>HYPERLINK("https://klasma.github.io/Logging_2305/klagomålsmail/A 52269-2023 FSC-klagomål mail.docx", "A 52269-2023")</f>
        <v/>
      </c>
      <c r="X153">
        <f>HYPERLINK("https://klasma.github.io/Logging_2305/tillsyn/A 52269-2023 tillsynsbegäran.docx", "A 52269-2023")</f>
        <v/>
      </c>
      <c r="Y153">
        <f>HYPERLINK("https://klasma.github.io/Logging_2305/tillsynsmail/A 52269-2023 tillsynsbegäran mail.docx", "A 52269-2023")</f>
        <v/>
      </c>
    </row>
    <row r="154" ht="15" customHeight="1">
      <c r="A154" t="inlineStr">
        <is>
          <t>A 12588-2024</t>
        </is>
      </c>
      <c r="B154" s="1" t="n">
        <v>45379</v>
      </c>
      <c r="C154" s="1" t="n">
        <v>46200</v>
      </c>
      <c r="D154" t="inlineStr">
        <is>
          <t>JÄMTLANDS LÄN</t>
        </is>
      </c>
      <c r="E154" t="inlineStr">
        <is>
          <t>BRÄCKE</t>
        </is>
      </c>
      <c r="F154" t="inlineStr">
        <is>
          <t>SCA</t>
        </is>
      </c>
      <c r="G154" t="n">
        <v>5.1</v>
      </c>
      <c r="H154" t="n">
        <v>0</v>
      </c>
      <c r="I154" t="n">
        <v>0</v>
      </c>
      <c r="J154" t="n">
        <v>3</v>
      </c>
      <c r="K154" t="n">
        <v>0</v>
      </c>
      <c r="L154" t="n">
        <v>0</v>
      </c>
      <c r="M154" t="n">
        <v>0</v>
      </c>
      <c r="N154" t="n">
        <v>0</v>
      </c>
      <c r="O154" t="n">
        <v>3</v>
      </c>
      <c r="P154" t="n">
        <v>0</v>
      </c>
      <c r="Q154" t="n">
        <v>3</v>
      </c>
      <c r="R154" s="2" t="inlineStr">
        <is>
          <t>Blå taggsvamp
Lunglav
Ullticka</t>
        </is>
      </c>
      <c r="S154">
        <f>HYPERLINK("https://klasma.github.io/Logging_2305/artfynd/A 12588-2024 artfynd.xlsx", "A 12588-2024")</f>
        <v/>
      </c>
      <c r="T154">
        <f>HYPERLINK("https://klasma.github.io/Logging_2305/kartor/A 12588-2024 karta.png", "A 12588-2024")</f>
        <v/>
      </c>
      <c r="V154">
        <f>HYPERLINK("https://klasma.github.io/Logging_2305/klagomål/A 12588-2024 FSC-klagomål.docx", "A 12588-2024")</f>
        <v/>
      </c>
      <c r="W154">
        <f>HYPERLINK("https://klasma.github.io/Logging_2305/klagomålsmail/A 12588-2024 FSC-klagomål mail.docx", "A 12588-2024")</f>
        <v/>
      </c>
      <c r="X154">
        <f>HYPERLINK("https://klasma.github.io/Logging_2305/tillsyn/A 12588-2024 tillsynsbegäran.docx", "A 12588-2024")</f>
        <v/>
      </c>
      <c r="Y154">
        <f>HYPERLINK("https://klasma.github.io/Logging_2305/tillsynsmail/A 12588-2024 tillsynsbegäran mail.docx", "A 12588-2024")</f>
        <v/>
      </c>
    </row>
    <row r="155" ht="15" customHeight="1">
      <c r="A155" t="inlineStr">
        <is>
          <t>A 48067-2023</t>
        </is>
      </c>
      <c r="B155" s="1" t="n">
        <v>45204</v>
      </c>
      <c r="C155" s="1" t="n">
        <v>46200</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6768-2023</t>
        </is>
      </c>
      <c r="B156" s="1" t="n">
        <v>44966</v>
      </c>
      <c r="C156" s="1" t="n">
        <v>46200</v>
      </c>
      <c r="D156" t="inlineStr">
        <is>
          <t>JÄMTLANDS LÄN</t>
        </is>
      </c>
      <c r="E156" t="inlineStr">
        <is>
          <t>BRÄCKE</t>
        </is>
      </c>
      <c r="G156" t="n">
        <v>3.4</v>
      </c>
      <c r="H156" t="n">
        <v>2</v>
      </c>
      <c r="I156" t="n">
        <v>1</v>
      </c>
      <c r="J156" t="n">
        <v>1</v>
      </c>
      <c r="K156" t="n">
        <v>1</v>
      </c>
      <c r="L156" t="n">
        <v>0</v>
      </c>
      <c r="M156" t="n">
        <v>0</v>
      </c>
      <c r="N156" t="n">
        <v>0</v>
      </c>
      <c r="O156" t="n">
        <v>2</v>
      </c>
      <c r="P156" t="n">
        <v>1</v>
      </c>
      <c r="Q156" t="n">
        <v>3</v>
      </c>
      <c r="R156" s="2" t="inlineStr">
        <is>
          <t>Knärot
Gammelgransskål
Spindelblomster</t>
        </is>
      </c>
      <c r="S156">
        <f>HYPERLINK("https://klasma.github.io/Logging_2305/artfynd/A 6768-2023 artfynd.xlsx", "A 6768-2023")</f>
        <v/>
      </c>
      <c r="T156">
        <f>HYPERLINK("https://klasma.github.io/Logging_2305/kartor/A 6768-2023 karta.png", "A 6768-2023")</f>
        <v/>
      </c>
      <c r="U156">
        <f>HYPERLINK("https://klasma.github.io/Logging_2305/knärot/A 6768-2023 karta knärot.png", "A 6768-2023")</f>
        <v/>
      </c>
      <c r="V156">
        <f>HYPERLINK("https://klasma.github.io/Logging_2305/klagomål/A 6768-2023 FSC-klagomål.docx", "A 6768-2023")</f>
        <v/>
      </c>
      <c r="W156">
        <f>HYPERLINK("https://klasma.github.io/Logging_2305/klagomålsmail/A 6768-2023 FSC-klagomål mail.docx", "A 6768-2023")</f>
        <v/>
      </c>
      <c r="X156">
        <f>HYPERLINK("https://klasma.github.io/Logging_2305/tillsyn/A 6768-2023 tillsynsbegäran.docx", "A 6768-2023")</f>
        <v/>
      </c>
      <c r="Y156">
        <f>HYPERLINK("https://klasma.github.io/Logging_2305/tillsynsmail/A 6768-2023 tillsynsbegäran mail.docx", "A 6768-2023")</f>
        <v/>
      </c>
    </row>
    <row r="157" ht="15" customHeight="1">
      <c r="A157" t="inlineStr">
        <is>
          <t>A 16959-2025</t>
        </is>
      </c>
      <c r="B157" s="1" t="n">
        <v>45755</v>
      </c>
      <c r="C157" s="1" t="n">
        <v>46200</v>
      </c>
      <c r="D157" t="inlineStr">
        <is>
          <t>JÄMTLANDS LÄN</t>
        </is>
      </c>
      <c r="E157" t="inlineStr">
        <is>
          <t>BRÄCKE</t>
        </is>
      </c>
      <c r="F157" t="inlineStr">
        <is>
          <t>SCA</t>
        </is>
      </c>
      <c r="G157" t="n">
        <v>4.6</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HYPERLINK("https://klasma.github.io/Logging_2305/artfynd/A 16959-2025 artfynd.xlsx", "A 16959-2025")</f>
        <v/>
      </c>
      <c r="T157">
        <f>HYPERLINK("https://klasma.github.io/Logging_2305/kartor/A 16959-2025 karta.png", "A 16959-2025")</f>
        <v/>
      </c>
      <c r="U157">
        <f>HYPERLINK("https://klasma.github.io/Logging_2305/knärot/A 16959-2025 karta knärot.png", "A 16959-2025")</f>
        <v/>
      </c>
      <c r="V157">
        <f>HYPERLINK("https://klasma.github.io/Logging_2305/klagomål/A 16959-2025 FSC-klagomål.docx", "A 16959-2025")</f>
        <v/>
      </c>
      <c r="W157">
        <f>HYPERLINK("https://klasma.github.io/Logging_2305/klagomålsmail/A 16959-2025 FSC-klagomål mail.docx", "A 16959-2025")</f>
        <v/>
      </c>
      <c r="X157">
        <f>HYPERLINK("https://klasma.github.io/Logging_2305/tillsyn/A 16959-2025 tillsynsbegäran.docx", "A 16959-2025")</f>
        <v/>
      </c>
      <c r="Y157">
        <f>HYPERLINK("https://klasma.github.io/Logging_2305/tillsynsmail/A 16959-2025 tillsynsbegäran mail.docx", "A 16959-2025")</f>
        <v/>
      </c>
      <c r="Z157">
        <f>HYPERLINK("https://klasma.github.io/Logging_2305/fåglar/A 16959-2025 prioriterade fågelarter.docx", "A 16959-2025")</f>
        <v/>
      </c>
    </row>
    <row r="158" ht="15" customHeight="1">
      <c r="A158" t="inlineStr">
        <is>
          <t>A 57105-2024</t>
        </is>
      </c>
      <c r="B158" s="1" t="n">
        <v>45629</v>
      </c>
      <c r="C158" s="1" t="n">
        <v>46200</v>
      </c>
      <c r="D158" t="inlineStr">
        <is>
          <t>JÄMTLANDS LÄN</t>
        </is>
      </c>
      <c r="E158" t="inlineStr">
        <is>
          <t>BRÄCKE</t>
        </is>
      </c>
      <c r="G158" t="n">
        <v>1.7</v>
      </c>
      <c r="H158" t="n">
        <v>0</v>
      </c>
      <c r="I158" t="n">
        <v>0</v>
      </c>
      <c r="J158" t="n">
        <v>2</v>
      </c>
      <c r="K158" t="n">
        <v>1</v>
      </c>
      <c r="L158" t="n">
        <v>0</v>
      </c>
      <c r="M158" t="n">
        <v>0</v>
      </c>
      <c r="N158" t="n">
        <v>0</v>
      </c>
      <c r="O158" t="n">
        <v>3</v>
      </c>
      <c r="P158" t="n">
        <v>1</v>
      </c>
      <c r="Q158" t="n">
        <v>3</v>
      </c>
      <c r="R158" s="2" t="inlineStr">
        <is>
          <t>Garnlav
Lunglav
Ullticka</t>
        </is>
      </c>
      <c r="S158">
        <f>HYPERLINK("https://klasma.github.io/Logging_2305/artfynd/A 57105-2024 artfynd.xlsx", "A 57105-2024")</f>
        <v/>
      </c>
      <c r="T158">
        <f>HYPERLINK("https://klasma.github.io/Logging_2305/kartor/A 57105-2024 karta.png", "A 57105-2024")</f>
        <v/>
      </c>
      <c r="V158">
        <f>HYPERLINK("https://klasma.github.io/Logging_2305/klagomål/A 57105-2024 FSC-klagomål.docx", "A 57105-2024")</f>
        <v/>
      </c>
      <c r="W158">
        <f>HYPERLINK("https://klasma.github.io/Logging_2305/klagomålsmail/A 57105-2024 FSC-klagomål mail.docx", "A 57105-2024")</f>
        <v/>
      </c>
      <c r="X158">
        <f>HYPERLINK("https://klasma.github.io/Logging_2305/tillsyn/A 57105-2024 tillsynsbegäran.docx", "A 57105-2024")</f>
        <v/>
      </c>
      <c r="Y158">
        <f>HYPERLINK("https://klasma.github.io/Logging_2305/tillsynsmail/A 57105-2024 tillsynsbegäran mail.docx", "A 57105-2024")</f>
        <v/>
      </c>
    </row>
    <row r="159" ht="15" customHeight="1">
      <c r="A159" t="inlineStr">
        <is>
          <t>A 60610-2024</t>
        </is>
      </c>
      <c r="B159" s="1" t="n">
        <v>45644</v>
      </c>
      <c r="C159" s="1" t="n">
        <v>46200</v>
      </c>
      <c r="D159" t="inlineStr">
        <is>
          <t>JÄMTLANDS LÄN</t>
        </is>
      </c>
      <c r="E159" t="inlineStr">
        <is>
          <t>BRÄCKE</t>
        </is>
      </c>
      <c r="F159" t="inlineStr">
        <is>
          <t>SCA</t>
        </is>
      </c>
      <c r="G159" t="n">
        <v>1.1</v>
      </c>
      <c r="H159" t="n">
        <v>0</v>
      </c>
      <c r="I159" t="n">
        <v>0</v>
      </c>
      <c r="J159" t="n">
        <v>2</v>
      </c>
      <c r="K159" t="n">
        <v>1</v>
      </c>
      <c r="L159" t="n">
        <v>0</v>
      </c>
      <c r="M159" t="n">
        <v>0</v>
      </c>
      <c r="N159" t="n">
        <v>0</v>
      </c>
      <c r="O159" t="n">
        <v>3</v>
      </c>
      <c r="P159" t="n">
        <v>1</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17996-2025</t>
        </is>
      </c>
      <c r="B160" s="1" t="n">
        <v>45761</v>
      </c>
      <c r="C160" s="1" t="n">
        <v>46200</v>
      </c>
      <c r="D160" t="inlineStr">
        <is>
          <t>JÄMTLANDS LÄN</t>
        </is>
      </c>
      <c r="E160" t="inlineStr">
        <is>
          <t>BRÄCKE</t>
        </is>
      </c>
      <c r="F160" t="inlineStr">
        <is>
          <t>SCA</t>
        </is>
      </c>
      <c r="G160" t="n">
        <v>1.3</v>
      </c>
      <c r="H160" t="n">
        <v>0</v>
      </c>
      <c r="I160" t="n">
        <v>1</v>
      </c>
      <c r="J160" t="n">
        <v>2</v>
      </c>
      <c r="K160" t="n">
        <v>0</v>
      </c>
      <c r="L160" t="n">
        <v>0</v>
      </c>
      <c r="M160" t="n">
        <v>0</v>
      </c>
      <c r="N160" t="n">
        <v>0</v>
      </c>
      <c r="O160" t="n">
        <v>2</v>
      </c>
      <c r="P160" t="n">
        <v>0</v>
      </c>
      <c r="Q160" t="n">
        <v>3</v>
      </c>
      <c r="R160" s="2" t="inlineStr">
        <is>
          <t>Lunglav
Skrovellav
Rödgul trumpetsvamp</t>
        </is>
      </c>
      <c r="S160">
        <f>HYPERLINK("https://klasma.github.io/Logging_2305/artfynd/A 17996-2025 artfynd.xlsx", "A 17996-2025")</f>
        <v/>
      </c>
      <c r="T160">
        <f>HYPERLINK("https://klasma.github.io/Logging_2305/kartor/A 17996-2025 karta.png", "A 17996-2025")</f>
        <v/>
      </c>
      <c r="V160">
        <f>HYPERLINK("https://klasma.github.io/Logging_2305/klagomål/A 17996-2025 FSC-klagomål.docx", "A 17996-2025")</f>
        <v/>
      </c>
      <c r="W160">
        <f>HYPERLINK("https://klasma.github.io/Logging_2305/klagomålsmail/A 17996-2025 FSC-klagomål mail.docx", "A 17996-2025")</f>
        <v/>
      </c>
      <c r="X160">
        <f>HYPERLINK("https://klasma.github.io/Logging_2305/tillsyn/A 17996-2025 tillsynsbegäran.docx", "A 17996-2025")</f>
        <v/>
      </c>
      <c r="Y160">
        <f>HYPERLINK("https://klasma.github.io/Logging_2305/tillsynsmail/A 17996-2025 tillsynsbegäran mail.docx", "A 17996-2025")</f>
        <v/>
      </c>
    </row>
    <row r="161" ht="15" customHeight="1">
      <c r="A161" t="inlineStr">
        <is>
          <t>A 3020-2023</t>
        </is>
      </c>
      <c r="B161" s="1" t="n">
        <v>44945</v>
      </c>
      <c r="C161" s="1" t="n">
        <v>46200</v>
      </c>
      <c r="D161" t="inlineStr">
        <is>
          <t>JÄMTLANDS LÄN</t>
        </is>
      </c>
      <c r="E161" t="inlineStr">
        <is>
          <t>BRÄCKE</t>
        </is>
      </c>
      <c r="F161" t="inlineStr">
        <is>
          <t>SCA</t>
        </is>
      </c>
      <c r="G161" t="n">
        <v>2.3</v>
      </c>
      <c r="H161" t="n">
        <v>0</v>
      </c>
      <c r="I161" t="n">
        <v>2</v>
      </c>
      <c r="J161" t="n">
        <v>1</v>
      </c>
      <c r="K161" t="n">
        <v>0</v>
      </c>
      <c r="L161" t="n">
        <v>0</v>
      </c>
      <c r="M161" t="n">
        <v>0</v>
      </c>
      <c r="N161" t="n">
        <v>0</v>
      </c>
      <c r="O161" t="n">
        <v>1</v>
      </c>
      <c r="P161" t="n">
        <v>0</v>
      </c>
      <c r="Q161" t="n">
        <v>3</v>
      </c>
      <c r="R161" s="2" t="inlineStr">
        <is>
          <t>Lunglav
Dvärgtufs
Skinnlav</t>
        </is>
      </c>
      <c r="S161">
        <f>HYPERLINK("https://klasma.github.io/Logging_2305/artfynd/A 3020-2023 artfynd.xlsx", "A 3020-2023")</f>
        <v/>
      </c>
      <c r="T161">
        <f>HYPERLINK("https://klasma.github.io/Logging_2305/kartor/A 3020-2023 karta.png", "A 3020-2023")</f>
        <v/>
      </c>
      <c r="V161">
        <f>HYPERLINK("https://klasma.github.io/Logging_2305/klagomål/A 3020-2023 FSC-klagomål.docx", "A 3020-2023")</f>
        <v/>
      </c>
      <c r="W161">
        <f>HYPERLINK("https://klasma.github.io/Logging_2305/klagomålsmail/A 3020-2023 FSC-klagomål mail.docx", "A 3020-2023")</f>
        <v/>
      </c>
      <c r="X161">
        <f>HYPERLINK("https://klasma.github.io/Logging_2305/tillsyn/A 3020-2023 tillsynsbegäran.docx", "A 3020-2023")</f>
        <v/>
      </c>
      <c r="Y161">
        <f>HYPERLINK("https://klasma.github.io/Logging_2305/tillsynsmail/A 3020-2023 tillsynsbegäran mail.docx", "A 3020-2023")</f>
        <v/>
      </c>
    </row>
    <row r="162" ht="15" customHeight="1">
      <c r="A162" t="inlineStr">
        <is>
          <t>A 3029-2023</t>
        </is>
      </c>
      <c r="B162" s="1" t="n">
        <v>44945</v>
      </c>
      <c r="C162" s="1" t="n">
        <v>46200</v>
      </c>
      <c r="D162" t="inlineStr">
        <is>
          <t>JÄMTLANDS LÄN</t>
        </is>
      </c>
      <c r="E162" t="inlineStr">
        <is>
          <t>BRÄCKE</t>
        </is>
      </c>
      <c r="F162" t="inlineStr">
        <is>
          <t>SCA</t>
        </is>
      </c>
      <c r="G162" t="n">
        <v>2.3</v>
      </c>
      <c r="H162" t="n">
        <v>0</v>
      </c>
      <c r="I162" t="n">
        <v>0</v>
      </c>
      <c r="J162" t="n">
        <v>2</v>
      </c>
      <c r="K162" t="n">
        <v>1</v>
      </c>
      <c r="L162" t="n">
        <v>0</v>
      </c>
      <c r="M162" t="n">
        <v>0</v>
      </c>
      <c r="N162" t="n">
        <v>0</v>
      </c>
      <c r="O162" t="n">
        <v>3</v>
      </c>
      <c r="P162" t="n">
        <v>1</v>
      </c>
      <c r="Q162" t="n">
        <v>3</v>
      </c>
      <c r="R162" s="2" t="inlineStr">
        <is>
          <t>Garnlav
Dropptaggsvamp
Lunglav</t>
        </is>
      </c>
      <c r="S162">
        <f>HYPERLINK("https://klasma.github.io/Logging_2305/artfynd/A 3029-2023 artfynd.xlsx", "A 3029-2023")</f>
        <v/>
      </c>
      <c r="T162">
        <f>HYPERLINK("https://klasma.github.io/Logging_2305/kartor/A 3029-2023 karta.png", "A 3029-2023")</f>
        <v/>
      </c>
      <c r="V162">
        <f>HYPERLINK("https://klasma.github.io/Logging_2305/klagomål/A 3029-2023 FSC-klagomål.docx", "A 3029-2023")</f>
        <v/>
      </c>
      <c r="W162">
        <f>HYPERLINK("https://klasma.github.io/Logging_2305/klagomålsmail/A 3029-2023 FSC-klagomål mail.docx", "A 3029-2023")</f>
        <v/>
      </c>
      <c r="X162">
        <f>HYPERLINK("https://klasma.github.io/Logging_2305/tillsyn/A 3029-2023 tillsynsbegäran.docx", "A 3029-2023")</f>
        <v/>
      </c>
      <c r="Y162">
        <f>HYPERLINK("https://klasma.github.io/Logging_2305/tillsynsmail/A 3029-2023 tillsynsbegäran mail.docx", "A 3029-2023")</f>
        <v/>
      </c>
    </row>
    <row r="163" ht="15" customHeight="1">
      <c r="A163" t="inlineStr">
        <is>
          <t>A 58728-2022</t>
        </is>
      </c>
      <c r="B163" s="1" t="n">
        <v>44902</v>
      </c>
      <c r="C163" s="1" t="n">
        <v>46200</v>
      </c>
      <c r="D163" t="inlineStr">
        <is>
          <t>JÄMTLANDS LÄN</t>
        </is>
      </c>
      <c r="E163" t="inlineStr">
        <is>
          <t>BRÄCKE</t>
        </is>
      </c>
      <c r="G163" t="n">
        <v>21.5</v>
      </c>
      <c r="H163" t="n">
        <v>1</v>
      </c>
      <c r="I163" t="n">
        <v>0</v>
      </c>
      <c r="J163" t="n">
        <v>2</v>
      </c>
      <c r="K163" t="n">
        <v>1</v>
      </c>
      <c r="L163" t="n">
        <v>0</v>
      </c>
      <c r="M163" t="n">
        <v>0</v>
      </c>
      <c r="N163" t="n">
        <v>0</v>
      </c>
      <c r="O163" t="n">
        <v>3</v>
      </c>
      <c r="P163" t="n">
        <v>1</v>
      </c>
      <c r="Q163" t="n">
        <v>3</v>
      </c>
      <c r="R163" s="2" t="inlineStr">
        <is>
          <t>Knärot
Lunglav
Rosa skärelav</t>
        </is>
      </c>
      <c r="S163">
        <f>HYPERLINK("https://klasma.github.io/Logging_2305/artfynd/A 58728-2022 artfynd.xlsx", "A 58728-2022")</f>
        <v/>
      </c>
      <c r="T163">
        <f>HYPERLINK("https://klasma.github.io/Logging_2305/kartor/A 58728-2022 karta.png", "A 58728-2022")</f>
        <v/>
      </c>
      <c r="U163">
        <f>HYPERLINK("https://klasma.github.io/Logging_2305/knärot/A 58728-2022 karta knärot.png", "A 58728-2022")</f>
        <v/>
      </c>
      <c r="V163">
        <f>HYPERLINK("https://klasma.github.io/Logging_2305/klagomål/A 58728-2022 FSC-klagomål.docx", "A 58728-2022")</f>
        <v/>
      </c>
      <c r="W163">
        <f>HYPERLINK("https://klasma.github.io/Logging_2305/klagomålsmail/A 58728-2022 FSC-klagomål mail.docx", "A 58728-2022")</f>
        <v/>
      </c>
      <c r="X163">
        <f>HYPERLINK("https://klasma.github.io/Logging_2305/tillsyn/A 58728-2022 tillsynsbegäran.docx", "A 58728-2022")</f>
        <v/>
      </c>
      <c r="Y163">
        <f>HYPERLINK("https://klasma.github.io/Logging_2305/tillsynsmail/A 58728-2022 tillsynsbegäran mail.docx", "A 58728-2022")</f>
        <v/>
      </c>
    </row>
    <row r="164" ht="15" customHeight="1">
      <c r="A164" t="inlineStr">
        <is>
          <t>A 41648-2023</t>
        </is>
      </c>
      <c r="B164" s="1" t="n">
        <v>45175</v>
      </c>
      <c r="C164" s="1" t="n">
        <v>46200</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29119-2025</t>
        </is>
      </c>
      <c r="B165" s="1" t="n">
        <v>45821</v>
      </c>
      <c r="C165" s="1" t="n">
        <v>46200</v>
      </c>
      <c r="D165" t="inlineStr">
        <is>
          <t>JÄMTLANDS LÄN</t>
        </is>
      </c>
      <c r="E165" t="inlineStr">
        <is>
          <t>BRÄCKE</t>
        </is>
      </c>
      <c r="F165" t="inlineStr">
        <is>
          <t>SCA</t>
        </is>
      </c>
      <c r="G165" t="n">
        <v>2.4</v>
      </c>
      <c r="H165" t="n">
        <v>0</v>
      </c>
      <c r="I165" t="n">
        <v>0</v>
      </c>
      <c r="J165" t="n">
        <v>2</v>
      </c>
      <c r="K165" t="n">
        <v>1</v>
      </c>
      <c r="L165" t="n">
        <v>0</v>
      </c>
      <c r="M165" t="n">
        <v>0</v>
      </c>
      <c r="N165" t="n">
        <v>0</v>
      </c>
      <c r="O165" t="n">
        <v>3</v>
      </c>
      <c r="P165" t="n">
        <v>1</v>
      </c>
      <c r="Q165" t="n">
        <v>3</v>
      </c>
      <c r="R165" s="2" t="inlineStr">
        <is>
          <t>Garnlav
Dropptaggsvamp
Lunglav</t>
        </is>
      </c>
      <c r="S165">
        <f>HYPERLINK("https://klasma.github.io/Logging_2305/artfynd/A 29119-2025 artfynd.xlsx", "A 29119-2025")</f>
        <v/>
      </c>
      <c r="T165">
        <f>HYPERLINK("https://klasma.github.io/Logging_2305/kartor/A 29119-2025 karta.png", "A 29119-2025")</f>
        <v/>
      </c>
      <c r="V165">
        <f>HYPERLINK("https://klasma.github.io/Logging_2305/klagomål/A 29119-2025 FSC-klagomål.docx", "A 29119-2025")</f>
        <v/>
      </c>
      <c r="W165">
        <f>HYPERLINK("https://klasma.github.io/Logging_2305/klagomålsmail/A 29119-2025 FSC-klagomål mail.docx", "A 29119-2025")</f>
        <v/>
      </c>
      <c r="X165">
        <f>HYPERLINK("https://klasma.github.io/Logging_2305/tillsyn/A 29119-2025 tillsynsbegäran.docx", "A 29119-2025")</f>
        <v/>
      </c>
      <c r="Y165">
        <f>HYPERLINK("https://klasma.github.io/Logging_2305/tillsynsmail/A 29119-2025 tillsynsbegäran mail.docx", "A 29119-2025")</f>
        <v/>
      </c>
    </row>
    <row r="166" ht="15" customHeight="1">
      <c r="A166" t="inlineStr">
        <is>
          <t>A 32654-2024</t>
        </is>
      </c>
      <c r="B166" s="1" t="n">
        <v>45513</v>
      </c>
      <c r="C166" s="1" t="n">
        <v>46200</v>
      </c>
      <c r="D166" t="inlineStr">
        <is>
          <t>JÄMTLANDS LÄN</t>
        </is>
      </c>
      <c r="E166" t="inlineStr">
        <is>
          <t>BRÄCKE</t>
        </is>
      </c>
      <c r="F166" t="inlineStr">
        <is>
          <t>SCA</t>
        </is>
      </c>
      <c r="G166" t="n">
        <v>4.2</v>
      </c>
      <c r="H166" t="n">
        <v>0</v>
      </c>
      <c r="I166" t="n">
        <v>1</v>
      </c>
      <c r="J166" t="n">
        <v>1</v>
      </c>
      <c r="K166" t="n">
        <v>1</v>
      </c>
      <c r="L166" t="n">
        <v>0</v>
      </c>
      <c r="M166" t="n">
        <v>0</v>
      </c>
      <c r="N166" t="n">
        <v>0</v>
      </c>
      <c r="O166" t="n">
        <v>2</v>
      </c>
      <c r="P166" t="n">
        <v>1</v>
      </c>
      <c r="Q166" t="n">
        <v>3</v>
      </c>
      <c r="R166" s="2" t="inlineStr">
        <is>
          <t>Garnlav
Lunglav
Stuplav</t>
        </is>
      </c>
      <c r="S166">
        <f>HYPERLINK("https://klasma.github.io/Logging_2305/artfynd/A 32654-2024 artfynd.xlsx", "A 32654-2024")</f>
        <v/>
      </c>
      <c r="T166">
        <f>HYPERLINK("https://klasma.github.io/Logging_2305/kartor/A 32654-2024 karta.png", "A 32654-2024")</f>
        <v/>
      </c>
      <c r="V166">
        <f>HYPERLINK("https://klasma.github.io/Logging_2305/klagomål/A 32654-2024 FSC-klagomål.docx", "A 32654-2024")</f>
        <v/>
      </c>
      <c r="W166">
        <f>HYPERLINK("https://klasma.github.io/Logging_2305/klagomålsmail/A 32654-2024 FSC-klagomål mail.docx", "A 32654-2024")</f>
        <v/>
      </c>
      <c r="X166">
        <f>HYPERLINK("https://klasma.github.io/Logging_2305/tillsyn/A 32654-2024 tillsynsbegäran.docx", "A 32654-2024")</f>
        <v/>
      </c>
      <c r="Y166">
        <f>HYPERLINK("https://klasma.github.io/Logging_2305/tillsynsmail/A 32654-2024 tillsynsbegäran mail.docx", "A 32654-2024")</f>
        <v/>
      </c>
    </row>
    <row r="167" ht="15" customHeight="1">
      <c r="A167" t="inlineStr">
        <is>
          <t>A 30989-2024</t>
        </is>
      </c>
      <c r="B167" s="1" t="n">
        <v>45499</v>
      </c>
      <c r="C167" s="1" t="n">
        <v>46200</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50516-2023</t>
        </is>
      </c>
      <c r="B168" s="1" t="n">
        <v>45216</v>
      </c>
      <c r="C168" s="1" t="n">
        <v>46200</v>
      </c>
      <c r="D168" t="inlineStr">
        <is>
          <t>JÄMTLANDS LÄN</t>
        </is>
      </c>
      <c r="E168" t="inlineStr">
        <is>
          <t>BRÄCKE</t>
        </is>
      </c>
      <c r="F168" t="inlineStr">
        <is>
          <t>SCA</t>
        </is>
      </c>
      <c r="G168" t="n">
        <v>3.1</v>
      </c>
      <c r="H168" t="n">
        <v>3</v>
      </c>
      <c r="I168" t="n">
        <v>0</v>
      </c>
      <c r="J168" t="n">
        <v>1</v>
      </c>
      <c r="K168" t="n">
        <v>0</v>
      </c>
      <c r="L168" t="n">
        <v>0</v>
      </c>
      <c r="M168" t="n">
        <v>0</v>
      </c>
      <c r="N168" t="n">
        <v>0</v>
      </c>
      <c r="O168" t="n">
        <v>1</v>
      </c>
      <c r="P168" t="n">
        <v>0</v>
      </c>
      <c r="Q168" t="n">
        <v>3</v>
      </c>
      <c r="R168" s="2" t="inlineStr">
        <is>
          <t>Talltita
Spillkråka
Grönsiska</t>
        </is>
      </c>
      <c r="S168">
        <f>HYPERLINK("https://klasma.github.io/Logging_2305/artfynd/A 50516-2023 artfynd.xlsx", "A 50516-2023")</f>
        <v/>
      </c>
      <c r="T168">
        <f>HYPERLINK("https://klasma.github.io/Logging_2305/kartor/A 50516-2023 karta.png", "A 50516-2023")</f>
        <v/>
      </c>
      <c r="V168">
        <f>HYPERLINK("https://klasma.github.io/Logging_2305/klagomål/A 50516-2023 FSC-klagomål.docx", "A 50516-2023")</f>
        <v/>
      </c>
      <c r="W168">
        <f>HYPERLINK("https://klasma.github.io/Logging_2305/klagomålsmail/A 50516-2023 FSC-klagomål mail.docx", "A 50516-2023")</f>
        <v/>
      </c>
      <c r="X168">
        <f>HYPERLINK("https://klasma.github.io/Logging_2305/tillsyn/A 50516-2023 tillsynsbegäran.docx", "A 50516-2023")</f>
        <v/>
      </c>
      <c r="Y168">
        <f>HYPERLINK("https://klasma.github.io/Logging_2305/tillsynsmail/A 50516-2023 tillsynsbegäran mail.docx", "A 50516-2023")</f>
        <v/>
      </c>
      <c r="Z168">
        <f>HYPERLINK("https://klasma.github.io/Logging_2305/fåglar/A 50516-2023 prioriterade fågelarter.docx", "A 50516-2023")</f>
        <v/>
      </c>
    </row>
    <row r="169" ht="15" customHeight="1">
      <c r="A169" t="inlineStr">
        <is>
          <t>A 41486-2024</t>
        </is>
      </c>
      <c r="B169" s="1" t="n">
        <v>45560</v>
      </c>
      <c r="C169" s="1" t="n">
        <v>46200</v>
      </c>
      <c r="D169" t="inlineStr">
        <is>
          <t>JÄMTLANDS LÄN</t>
        </is>
      </c>
      <c r="E169" t="inlineStr">
        <is>
          <t>BRÄCKE</t>
        </is>
      </c>
      <c r="F169" t="inlineStr">
        <is>
          <t>SCA</t>
        </is>
      </c>
      <c r="G169" t="n">
        <v>5.3</v>
      </c>
      <c r="H169" t="n">
        <v>0</v>
      </c>
      <c r="I169" t="n">
        <v>0</v>
      </c>
      <c r="J169" t="n">
        <v>2</v>
      </c>
      <c r="K169" t="n">
        <v>1</v>
      </c>
      <c r="L169" t="n">
        <v>0</v>
      </c>
      <c r="M169" t="n">
        <v>0</v>
      </c>
      <c r="N169" t="n">
        <v>0</v>
      </c>
      <c r="O169" t="n">
        <v>3</v>
      </c>
      <c r="P169" t="n">
        <v>1</v>
      </c>
      <c r="Q169" t="n">
        <v>3</v>
      </c>
      <c r="R169" s="2" t="inlineStr">
        <is>
          <t>Gränsticka
Lunglav
Ullticka</t>
        </is>
      </c>
      <c r="S169">
        <f>HYPERLINK("https://klasma.github.io/Logging_2305/artfynd/A 41486-2024 artfynd.xlsx", "A 41486-2024")</f>
        <v/>
      </c>
      <c r="T169">
        <f>HYPERLINK("https://klasma.github.io/Logging_2305/kartor/A 41486-2024 karta.png", "A 41486-2024")</f>
        <v/>
      </c>
      <c r="V169">
        <f>HYPERLINK("https://klasma.github.io/Logging_2305/klagomål/A 41486-2024 FSC-klagomål.docx", "A 41486-2024")</f>
        <v/>
      </c>
      <c r="W169">
        <f>HYPERLINK("https://klasma.github.io/Logging_2305/klagomålsmail/A 41486-2024 FSC-klagomål mail.docx", "A 41486-2024")</f>
        <v/>
      </c>
      <c r="X169">
        <f>HYPERLINK("https://klasma.github.io/Logging_2305/tillsyn/A 41486-2024 tillsynsbegäran.docx", "A 41486-2024")</f>
        <v/>
      </c>
      <c r="Y169">
        <f>HYPERLINK("https://klasma.github.io/Logging_2305/tillsynsmail/A 41486-2024 tillsynsbegäran mail.docx", "A 41486-2024")</f>
        <v/>
      </c>
    </row>
    <row r="170" ht="15" customHeight="1">
      <c r="A170" t="inlineStr">
        <is>
          <t>A 48772-2024</t>
        </is>
      </c>
      <c r="B170" s="1" t="n">
        <v>45593</v>
      </c>
      <c r="C170" s="1" t="n">
        <v>46200</v>
      </c>
      <c r="D170" t="inlineStr">
        <is>
          <t>JÄMTLANDS LÄN</t>
        </is>
      </c>
      <c r="E170" t="inlineStr">
        <is>
          <t>BRÄCKE</t>
        </is>
      </c>
      <c r="F170" t="inlineStr">
        <is>
          <t>SCA</t>
        </is>
      </c>
      <c r="G170" t="n">
        <v>2.7</v>
      </c>
      <c r="H170" t="n">
        <v>0</v>
      </c>
      <c r="I170" t="n">
        <v>0</v>
      </c>
      <c r="J170" t="n">
        <v>3</v>
      </c>
      <c r="K170" t="n">
        <v>0</v>
      </c>
      <c r="L170" t="n">
        <v>0</v>
      </c>
      <c r="M170" t="n">
        <v>0</v>
      </c>
      <c r="N170" t="n">
        <v>0</v>
      </c>
      <c r="O170" t="n">
        <v>3</v>
      </c>
      <c r="P170" t="n">
        <v>0</v>
      </c>
      <c r="Q170" t="n">
        <v>3</v>
      </c>
      <c r="R170" s="2" t="inlineStr">
        <is>
          <t>Blå taggsvamp
Lunglav
Skrovellav</t>
        </is>
      </c>
      <c r="S170">
        <f>HYPERLINK("https://klasma.github.io/Logging_2305/artfynd/A 48772-2024 artfynd.xlsx", "A 48772-2024")</f>
        <v/>
      </c>
      <c r="T170">
        <f>HYPERLINK("https://klasma.github.io/Logging_2305/kartor/A 48772-2024 karta.png", "A 48772-2024")</f>
        <v/>
      </c>
      <c r="V170">
        <f>HYPERLINK("https://klasma.github.io/Logging_2305/klagomål/A 48772-2024 FSC-klagomål.docx", "A 48772-2024")</f>
        <v/>
      </c>
      <c r="W170">
        <f>HYPERLINK("https://klasma.github.io/Logging_2305/klagomålsmail/A 48772-2024 FSC-klagomål mail.docx", "A 48772-2024")</f>
        <v/>
      </c>
      <c r="X170">
        <f>HYPERLINK("https://klasma.github.io/Logging_2305/tillsyn/A 48772-2024 tillsynsbegäran.docx", "A 48772-2024")</f>
        <v/>
      </c>
      <c r="Y170">
        <f>HYPERLINK("https://klasma.github.io/Logging_2305/tillsynsmail/A 48772-2024 tillsynsbegäran mail.docx", "A 48772-2024")</f>
        <v/>
      </c>
    </row>
    <row r="171" ht="15" customHeight="1">
      <c r="A171" t="inlineStr">
        <is>
          <t>A 3913-2022</t>
        </is>
      </c>
      <c r="B171" s="1" t="n">
        <v>44587</v>
      </c>
      <c r="C171" s="1" t="n">
        <v>46200</v>
      </c>
      <c r="D171" t="inlineStr">
        <is>
          <t>JÄMTLANDS LÄN</t>
        </is>
      </c>
      <c r="E171" t="inlineStr">
        <is>
          <t>BRÄCKE</t>
        </is>
      </c>
      <c r="G171" t="n">
        <v>0.9</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3913-2022 artfynd.xlsx", "A 3913-2022")</f>
        <v/>
      </c>
      <c r="T171">
        <f>HYPERLINK("https://klasma.github.io/Logging_2305/kartor/A 3913-2022 karta.png", "A 3913-2022")</f>
        <v/>
      </c>
      <c r="U171">
        <f>HYPERLINK("https://klasma.github.io/Logging_2305/knärot/A 3913-2022 karta knärot.png", "A 3913-2022")</f>
        <v/>
      </c>
      <c r="V171">
        <f>HYPERLINK("https://klasma.github.io/Logging_2305/klagomål/A 3913-2022 FSC-klagomål.docx", "A 3913-2022")</f>
        <v/>
      </c>
      <c r="W171">
        <f>HYPERLINK("https://klasma.github.io/Logging_2305/klagomålsmail/A 3913-2022 FSC-klagomål mail.docx", "A 3913-2022")</f>
        <v/>
      </c>
      <c r="X171">
        <f>HYPERLINK("https://klasma.github.io/Logging_2305/tillsyn/A 3913-2022 tillsynsbegäran.docx", "A 3913-2022")</f>
        <v/>
      </c>
      <c r="Y171">
        <f>HYPERLINK("https://klasma.github.io/Logging_2305/tillsynsmail/A 3913-2022 tillsynsbegäran mail.docx", "A 3913-2022")</f>
        <v/>
      </c>
    </row>
    <row r="172" ht="15" customHeight="1">
      <c r="A172" t="inlineStr">
        <is>
          <t>A 2882-2025</t>
        </is>
      </c>
      <c r="B172" s="1" t="n">
        <v>45677</v>
      </c>
      <c r="C172" s="1" t="n">
        <v>46200</v>
      </c>
      <c r="D172" t="inlineStr">
        <is>
          <t>JÄMTLANDS LÄN</t>
        </is>
      </c>
      <c r="E172" t="inlineStr">
        <is>
          <t>BRÄCKE</t>
        </is>
      </c>
      <c r="F172" t="inlineStr">
        <is>
          <t>SCA</t>
        </is>
      </c>
      <c r="G172" t="n">
        <v>2.7</v>
      </c>
      <c r="H172" t="n">
        <v>0</v>
      </c>
      <c r="I172" t="n">
        <v>1</v>
      </c>
      <c r="J172" t="n">
        <v>1</v>
      </c>
      <c r="K172" t="n">
        <v>1</v>
      </c>
      <c r="L172" t="n">
        <v>0</v>
      </c>
      <c r="M172" t="n">
        <v>0</v>
      </c>
      <c r="N172" t="n">
        <v>0</v>
      </c>
      <c r="O172" t="n">
        <v>2</v>
      </c>
      <c r="P172" t="n">
        <v>1</v>
      </c>
      <c r="Q172" t="n">
        <v>3</v>
      </c>
      <c r="R172" s="2" t="inlineStr">
        <is>
          <t>Gräddporing
Dvärgbägarlav
Skinnlav</t>
        </is>
      </c>
      <c r="S172">
        <f>HYPERLINK("https://klasma.github.io/Logging_2305/artfynd/A 2882-2025 artfynd.xlsx", "A 2882-2025")</f>
        <v/>
      </c>
      <c r="T172">
        <f>HYPERLINK("https://klasma.github.io/Logging_2305/kartor/A 2882-2025 karta.png", "A 2882-2025")</f>
        <v/>
      </c>
      <c r="V172">
        <f>HYPERLINK("https://klasma.github.io/Logging_2305/klagomål/A 2882-2025 FSC-klagomål.docx", "A 2882-2025")</f>
        <v/>
      </c>
      <c r="W172">
        <f>HYPERLINK("https://klasma.github.io/Logging_2305/klagomålsmail/A 2882-2025 FSC-klagomål mail.docx", "A 2882-2025")</f>
        <v/>
      </c>
      <c r="X172">
        <f>HYPERLINK("https://klasma.github.io/Logging_2305/tillsyn/A 2882-2025 tillsynsbegäran.docx", "A 2882-2025")</f>
        <v/>
      </c>
      <c r="Y172">
        <f>HYPERLINK("https://klasma.github.io/Logging_2305/tillsynsmail/A 2882-2025 tillsynsbegäran mail.docx", "A 2882-2025")</f>
        <v/>
      </c>
    </row>
    <row r="173" ht="15" customHeight="1">
      <c r="A173" t="inlineStr">
        <is>
          <t>A 35117-2025</t>
        </is>
      </c>
      <c r="B173" s="1" t="n">
        <v>45852</v>
      </c>
      <c r="C173" s="1" t="n">
        <v>46200</v>
      </c>
      <c r="D173" t="inlineStr">
        <is>
          <t>JÄMTLANDS LÄN</t>
        </is>
      </c>
      <c r="E173" t="inlineStr">
        <is>
          <t>BRÄCKE</t>
        </is>
      </c>
      <c r="F173" t="inlineStr">
        <is>
          <t>SCA</t>
        </is>
      </c>
      <c r="G173" t="n">
        <v>11.1</v>
      </c>
      <c r="H173" t="n">
        <v>0</v>
      </c>
      <c r="I173" t="n">
        <v>0</v>
      </c>
      <c r="J173" t="n">
        <v>3</v>
      </c>
      <c r="K173" t="n">
        <v>0</v>
      </c>
      <c r="L173" t="n">
        <v>0</v>
      </c>
      <c r="M173" t="n">
        <v>0</v>
      </c>
      <c r="N173" t="n">
        <v>0</v>
      </c>
      <c r="O173" t="n">
        <v>3</v>
      </c>
      <c r="P173" t="n">
        <v>0</v>
      </c>
      <c r="Q173" t="n">
        <v>3</v>
      </c>
      <c r="R173" s="2" t="inlineStr">
        <is>
          <t>Dvärgbägarlav
Harticka
Nordtagging</t>
        </is>
      </c>
      <c r="S173">
        <f>HYPERLINK("https://klasma.github.io/Logging_2305/artfynd/A 35117-2025 artfynd.xlsx", "A 35117-2025")</f>
        <v/>
      </c>
      <c r="T173">
        <f>HYPERLINK("https://klasma.github.io/Logging_2305/kartor/A 35117-2025 karta.png", "A 35117-2025")</f>
        <v/>
      </c>
      <c r="V173">
        <f>HYPERLINK("https://klasma.github.io/Logging_2305/klagomål/A 35117-2025 FSC-klagomål.docx", "A 35117-2025")</f>
        <v/>
      </c>
      <c r="W173">
        <f>HYPERLINK("https://klasma.github.io/Logging_2305/klagomålsmail/A 35117-2025 FSC-klagomål mail.docx", "A 35117-2025")</f>
        <v/>
      </c>
      <c r="X173">
        <f>HYPERLINK("https://klasma.github.io/Logging_2305/tillsyn/A 35117-2025 tillsynsbegäran.docx", "A 35117-2025")</f>
        <v/>
      </c>
      <c r="Y173">
        <f>HYPERLINK("https://klasma.github.io/Logging_2305/tillsynsmail/A 35117-2025 tillsynsbegäran mail.docx", "A 35117-2025")</f>
        <v/>
      </c>
    </row>
    <row r="174" ht="15" customHeight="1">
      <c r="A174" t="inlineStr">
        <is>
          <t>A 55529-2022</t>
        </is>
      </c>
      <c r="B174" s="1" t="n">
        <v>44887</v>
      </c>
      <c r="C174" s="1" t="n">
        <v>46200</v>
      </c>
      <c r="D174" t="inlineStr">
        <is>
          <t>JÄMTLANDS LÄN</t>
        </is>
      </c>
      <c r="E174" t="inlineStr">
        <is>
          <t>BRÄCKE</t>
        </is>
      </c>
      <c r="F174" t="inlineStr">
        <is>
          <t>SCA</t>
        </is>
      </c>
      <c r="G174" t="n">
        <v>6.4</v>
      </c>
      <c r="H174" t="n">
        <v>3</v>
      </c>
      <c r="I174" t="n">
        <v>0</v>
      </c>
      <c r="J174" t="n">
        <v>1</v>
      </c>
      <c r="K174" t="n">
        <v>1</v>
      </c>
      <c r="L174" t="n">
        <v>0</v>
      </c>
      <c r="M174" t="n">
        <v>0</v>
      </c>
      <c r="N174" t="n">
        <v>0</v>
      </c>
      <c r="O174" t="n">
        <v>2</v>
      </c>
      <c r="P174" t="n">
        <v>1</v>
      </c>
      <c r="Q174" t="n">
        <v>3</v>
      </c>
      <c r="R174" s="2" t="inlineStr">
        <is>
          <t>Doftticka
Lavskrika
Tjäder</t>
        </is>
      </c>
      <c r="S174">
        <f>HYPERLINK("https://klasma.github.io/Logging_2305/artfynd/A 55529-2022 artfynd.xlsx", "A 55529-2022")</f>
        <v/>
      </c>
      <c r="T174">
        <f>HYPERLINK("https://klasma.github.io/Logging_2305/kartor/A 55529-2022 karta.png", "A 55529-2022")</f>
        <v/>
      </c>
      <c r="V174">
        <f>HYPERLINK("https://klasma.github.io/Logging_2305/klagomål/A 55529-2022 FSC-klagomål.docx", "A 55529-2022")</f>
        <v/>
      </c>
      <c r="W174">
        <f>HYPERLINK("https://klasma.github.io/Logging_2305/klagomålsmail/A 55529-2022 FSC-klagomål mail.docx", "A 55529-2022")</f>
        <v/>
      </c>
      <c r="X174">
        <f>HYPERLINK("https://klasma.github.io/Logging_2305/tillsyn/A 55529-2022 tillsynsbegäran.docx", "A 55529-2022")</f>
        <v/>
      </c>
      <c r="Y174">
        <f>HYPERLINK("https://klasma.github.io/Logging_2305/tillsynsmail/A 55529-2022 tillsynsbegäran mail.docx", "A 55529-2022")</f>
        <v/>
      </c>
      <c r="Z174">
        <f>HYPERLINK("https://klasma.github.io/Logging_2305/fåglar/A 55529-2022 prioriterade fågelarter.docx", "A 55529-2022")</f>
        <v/>
      </c>
    </row>
    <row r="175" ht="15" customHeight="1">
      <c r="A175" t="inlineStr">
        <is>
          <t>A 50497-2023</t>
        </is>
      </c>
      <c r="B175" s="1" t="n">
        <v>45216</v>
      </c>
      <c r="C175" s="1" t="n">
        <v>46200</v>
      </c>
      <c r="D175" t="inlineStr">
        <is>
          <t>JÄMTLANDS LÄN</t>
        </is>
      </c>
      <c r="E175" t="inlineStr">
        <is>
          <t>BRÄCKE</t>
        </is>
      </c>
      <c r="F175" t="inlineStr">
        <is>
          <t>SCA</t>
        </is>
      </c>
      <c r="G175" t="n">
        <v>2.5</v>
      </c>
      <c r="H175" t="n">
        <v>1</v>
      </c>
      <c r="I175" t="n">
        <v>0</v>
      </c>
      <c r="J175" t="n">
        <v>2</v>
      </c>
      <c r="K175" t="n">
        <v>1</v>
      </c>
      <c r="L175" t="n">
        <v>0</v>
      </c>
      <c r="M175" t="n">
        <v>0</v>
      </c>
      <c r="N175" t="n">
        <v>0</v>
      </c>
      <c r="O175" t="n">
        <v>3</v>
      </c>
      <c r="P175" t="n">
        <v>1</v>
      </c>
      <c r="Q175" t="n">
        <v>3</v>
      </c>
      <c r="R175" s="2" t="inlineStr">
        <is>
          <t>Knärot
Skuggblåslav
Ullticka</t>
        </is>
      </c>
      <c r="S175">
        <f>HYPERLINK("https://klasma.github.io/Logging_2305/artfynd/A 50497-2023 artfynd.xlsx", "A 50497-2023")</f>
        <v/>
      </c>
      <c r="T175">
        <f>HYPERLINK("https://klasma.github.io/Logging_2305/kartor/A 50497-2023 karta.png", "A 50497-2023")</f>
        <v/>
      </c>
      <c r="U175">
        <f>HYPERLINK("https://klasma.github.io/Logging_2305/knärot/A 50497-2023 karta knärot.png", "A 50497-2023")</f>
        <v/>
      </c>
      <c r="V175">
        <f>HYPERLINK("https://klasma.github.io/Logging_2305/klagomål/A 50497-2023 FSC-klagomål.docx", "A 50497-2023")</f>
        <v/>
      </c>
      <c r="W175">
        <f>HYPERLINK("https://klasma.github.io/Logging_2305/klagomålsmail/A 50497-2023 FSC-klagomål mail.docx", "A 50497-2023")</f>
        <v/>
      </c>
      <c r="X175">
        <f>HYPERLINK("https://klasma.github.io/Logging_2305/tillsyn/A 50497-2023 tillsynsbegäran.docx", "A 50497-2023")</f>
        <v/>
      </c>
      <c r="Y175">
        <f>HYPERLINK("https://klasma.github.io/Logging_2305/tillsynsmail/A 50497-2023 tillsynsbegäran mail.docx", "A 50497-2023")</f>
        <v/>
      </c>
    </row>
    <row r="176" ht="15" customHeight="1">
      <c r="A176" t="inlineStr">
        <is>
          <t>A 35907-2025</t>
        </is>
      </c>
      <c r="B176" s="1" t="n">
        <v>45862</v>
      </c>
      <c r="C176" s="1" t="n">
        <v>46200</v>
      </c>
      <c r="D176" t="inlineStr">
        <is>
          <t>JÄMTLANDS LÄN</t>
        </is>
      </c>
      <c r="E176" t="inlineStr">
        <is>
          <t>BRÄCKE</t>
        </is>
      </c>
      <c r="F176" t="inlineStr">
        <is>
          <t>SCA</t>
        </is>
      </c>
      <c r="G176" t="n">
        <v>2.8</v>
      </c>
      <c r="H176" t="n">
        <v>0</v>
      </c>
      <c r="I176" t="n">
        <v>0</v>
      </c>
      <c r="J176" t="n">
        <v>2</v>
      </c>
      <c r="K176" t="n">
        <v>1</v>
      </c>
      <c r="L176" t="n">
        <v>0</v>
      </c>
      <c r="M176" t="n">
        <v>0</v>
      </c>
      <c r="N176" t="n">
        <v>0</v>
      </c>
      <c r="O176" t="n">
        <v>3</v>
      </c>
      <c r="P176" t="n">
        <v>1</v>
      </c>
      <c r="Q176" t="n">
        <v>3</v>
      </c>
      <c r="R176" s="2" t="inlineStr">
        <is>
          <t>Garnlav
Dropptaggsvamp
Ullticka</t>
        </is>
      </c>
      <c r="S176">
        <f>HYPERLINK("https://klasma.github.io/Logging_2305/artfynd/A 35907-2025 artfynd.xlsx", "A 35907-2025")</f>
        <v/>
      </c>
      <c r="T176">
        <f>HYPERLINK("https://klasma.github.io/Logging_2305/kartor/A 35907-2025 karta.png", "A 35907-2025")</f>
        <v/>
      </c>
      <c r="V176">
        <f>HYPERLINK("https://klasma.github.io/Logging_2305/klagomål/A 35907-2025 FSC-klagomål.docx", "A 35907-2025")</f>
        <v/>
      </c>
      <c r="W176">
        <f>HYPERLINK("https://klasma.github.io/Logging_2305/klagomålsmail/A 35907-2025 FSC-klagomål mail.docx", "A 35907-2025")</f>
        <v/>
      </c>
      <c r="X176">
        <f>HYPERLINK("https://klasma.github.io/Logging_2305/tillsyn/A 35907-2025 tillsynsbegäran.docx", "A 35907-2025")</f>
        <v/>
      </c>
      <c r="Y176">
        <f>HYPERLINK("https://klasma.github.io/Logging_2305/tillsynsmail/A 35907-2025 tillsynsbegäran mail.docx", "A 35907-2025")</f>
        <v/>
      </c>
    </row>
    <row r="177" ht="15" customHeight="1">
      <c r="A177" t="inlineStr">
        <is>
          <t>A 698-2025</t>
        </is>
      </c>
      <c r="B177" s="1" t="n">
        <v>45665</v>
      </c>
      <c r="C177" s="1" t="n">
        <v>46200</v>
      </c>
      <c r="D177" t="inlineStr">
        <is>
          <t>JÄMTLANDS LÄN</t>
        </is>
      </c>
      <c r="E177" t="inlineStr">
        <is>
          <t>BRÄCKE</t>
        </is>
      </c>
      <c r="F177" t="inlineStr">
        <is>
          <t>SCA</t>
        </is>
      </c>
      <c r="G177" t="n">
        <v>4.6</v>
      </c>
      <c r="H177" t="n">
        <v>0</v>
      </c>
      <c r="I177" t="n">
        <v>0</v>
      </c>
      <c r="J177" t="n">
        <v>2</v>
      </c>
      <c r="K177" t="n">
        <v>1</v>
      </c>
      <c r="L177" t="n">
        <v>0</v>
      </c>
      <c r="M177" t="n">
        <v>0</v>
      </c>
      <c r="N177" t="n">
        <v>0</v>
      </c>
      <c r="O177" t="n">
        <v>3</v>
      </c>
      <c r="P177" t="n">
        <v>1</v>
      </c>
      <c r="Q177" t="n">
        <v>3</v>
      </c>
      <c r="R177" s="2" t="inlineStr">
        <is>
          <t>Garnlav
Lunglav
Ullticka</t>
        </is>
      </c>
      <c r="S177">
        <f>HYPERLINK("https://klasma.github.io/Logging_2305/artfynd/A 698-2025 artfynd.xlsx", "A 698-2025")</f>
        <v/>
      </c>
      <c r="T177">
        <f>HYPERLINK("https://klasma.github.io/Logging_2305/kartor/A 698-2025 karta.png", "A 698-2025")</f>
        <v/>
      </c>
      <c r="V177">
        <f>HYPERLINK("https://klasma.github.io/Logging_2305/klagomål/A 698-2025 FSC-klagomål.docx", "A 698-2025")</f>
        <v/>
      </c>
      <c r="W177">
        <f>HYPERLINK("https://klasma.github.io/Logging_2305/klagomålsmail/A 698-2025 FSC-klagomål mail.docx", "A 698-2025")</f>
        <v/>
      </c>
      <c r="X177">
        <f>HYPERLINK("https://klasma.github.io/Logging_2305/tillsyn/A 698-2025 tillsynsbegäran.docx", "A 698-2025")</f>
        <v/>
      </c>
      <c r="Y177">
        <f>HYPERLINK("https://klasma.github.io/Logging_2305/tillsynsmail/A 698-2025 tillsynsbegäran mail.docx", "A 698-2025")</f>
        <v/>
      </c>
    </row>
    <row r="178" ht="15" customHeight="1">
      <c r="A178" t="inlineStr">
        <is>
          <t>A 49624-2025</t>
        </is>
      </c>
      <c r="B178" s="1" t="n">
        <v>45939</v>
      </c>
      <c r="C178" s="1" t="n">
        <v>46200</v>
      </c>
      <c r="D178" t="inlineStr">
        <is>
          <t>JÄMTLANDS LÄN</t>
        </is>
      </c>
      <c r="E178" t="inlineStr">
        <is>
          <t>BRÄCKE</t>
        </is>
      </c>
      <c r="F178" t="inlineStr">
        <is>
          <t>SCA</t>
        </is>
      </c>
      <c r="G178" t="n">
        <v>5.1</v>
      </c>
      <c r="H178" t="n">
        <v>0</v>
      </c>
      <c r="I178" t="n">
        <v>1</v>
      </c>
      <c r="J178" t="n">
        <v>1</v>
      </c>
      <c r="K178" t="n">
        <v>1</v>
      </c>
      <c r="L178" t="n">
        <v>0</v>
      </c>
      <c r="M178" t="n">
        <v>0</v>
      </c>
      <c r="N178" t="n">
        <v>0</v>
      </c>
      <c r="O178" t="n">
        <v>2</v>
      </c>
      <c r="P178" t="n">
        <v>1</v>
      </c>
      <c r="Q178" t="n">
        <v>3</v>
      </c>
      <c r="R178" s="2" t="inlineStr">
        <is>
          <t>Gräddporing
Skarp dropptaggsvamp
Skinnlav</t>
        </is>
      </c>
      <c r="S178">
        <f>HYPERLINK("https://klasma.github.io/Logging_2305/artfynd/A 49624-2025 artfynd.xlsx", "A 49624-2025")</f>
        <v/>
      </c>
      <c r="T178">
        <f>HYPERLINK("https://klasma.github.io/Logging_2305/kartor/A 49624-2025 karta.png", "A 49624-2025")</f>
        <v/>
      </c>
      <c r="V178">
        <f>HYPERLINK("https://klasma.github.io/Logging_2305/klagomål/A 49624-2025 FSC-klagomål.docx", "A 49624-2025")</f>
        <v/>
      </c>
      <c r="W178">
        <f>HYPERLINK("https://klasma.github.io/Logging_2305/klagomålsmail/A 49624-2025 FSC-klagomål mail.docx", "A 49624-2025")</f>
        <v/>
      </c>
      <c r="X178">
        <f>HYPERLINK("https://klasma.github.io/Logging_2305/tillsyn/A 49624-2025 tillsynsbegäran.docx", "A 49624-2025")</f>
        <v/>
      </c>
      <c r="Y178">
        <f>HYPERLINK("https://klasma.github.io/Logging_2305/tillsynsmail/A 49624-2025 tillsynsbegäran mail.docx", "A 49624-2025")</f>
        <v/>
      </c>
    </row>
    <row r="179" ht="15" customHeight="1">
      <c r="A179" t="inlineStr">
        <is>
          <t>A 12601-2022</t>
        </is>
      </c>
      <c r="B179" s="1" t="n">
        <v>44638</v>
      </c>
      <c r="C179" s="1" t="n">
        <v>46200</v>
      </c>
      <c r="D179" t="inlineStr">
        <is>
          <t>JÄMTLANDS LÄN</t>
        </is>
      </c>
      <c r="E179" t="inlineStr">
        <is>
          <t>BRÄCKE</t>
        </is>
      </c>
      <c r="G179" t="n">
        <v>3.1</v>
      </c>
      <c r="H179" t="n">
        <v>2</v>
      </c>
      <c r="I179" t="n">
        <v>2</v>
      </c>
      <c r="J179" t="n">
        <v>0</v>
      </c>
      <c r="K179" t="n">
        <v>0</v>
      </c>
      <c r="L179" t="n">
        <v>0</v>
      </c>
      <c r="M179" t="n">
        <v>0</v>
      </c>
      <c r="N179" t="n">
        <v>0</v>
      </c>
      <c r="O179" t="n">
        <v>0</v>
      </c>
      <c r="P179" t="n">
        <v>0</v>
      </c>
      <c r="Q179" t="n">
        <v>3</v>
      </c>
      <c r="R179" s="2" t="inlineStr">
        <is>
          <t>Finbräken
Tvåblad
Blåsippa</t>
        </is>
      </c>
      <c r="S179">
        <f>HYPERLINK("https://klasma.github.io/Logging_2305/artfynd/A 12601-2022 artfynd.xlsx", "A 12601-2022")</f>
        <v/>
      </c>
      <c r="T179">
        <f>HYPERLINK("https://klasma.github.io/Logging_2305/kartor/A 12601-2022 karta.png", "A 12601-2022")</f>
        <v/>
      </c>
      <c r="V179">
        <f>HYPERLINK("https://klasma.github.io/Logging_2305/klagomål/A 12601-2022 FSC-klagomål.docx", "A 12601-2022")</f>
        <v/>
      </c>
      <c r="W179">
        <f>HYPERLINK("https://klasma.github.io/Logging_2305/klagomålsmail/A 12601-2022 FSC-klagomål mail.docx", "A 12601-2022")</f>
        <v/>
      </c>
      <c r="X179">
        <f>HYPERLINK("https://klasma.github.io/Logging_2305/tillsyn/A 12601-2022 tillsynsbegäran.docx", "A 12601-2022")</f>
        <v/>
      </c>
      <c r="Y179">
        <f>HYPERLINK("https://klasma.github.io/Logging_2305/tillsynsmail/A 12601-2022 tillsynsbegäran mail.docx", "A 12601-2022")</f>
        <v/>
      </c>
    </row>
    <row r="180" ht="15" customHeight="1">
      <c r="A180" t="inlineStr">
        <is>
          <t>A 53261-2025</t>
        </is>
      </c>
      <c r="B180" s="1" t="n">
        <v>45958</v>
      </c>
      <c r="C180" s="1" t="n">
        <v>46200</v>
      </c>
      <c r="D180" t="inlineStr">
        <is>
          <t>JÄMTLANDS LÄN</t>
        </is>
      </c>
      <c r="E180" t="inlineStr">
        <is>
          <t>BRÄCKE</t>
        </is>
      </c>
      <c r="F180" t="inlineStr">
        <is>
          <t>SCA</t>
        </is>
      </c>
      <c r="G180" t="n">
        <v>4.3</v>
      </c>
      <c r="H180" t="n">
        <v>0</v>
      </c>
      <c r="I180" t="n">
        <v>1</v>
      </c>
      <c r="J180" t="n">
        <v>2</v>
      </c>
      <c r="K180" t="n">
        <v>0</v>
      </c>
      <c r="L180" t="n">
        <v>0</v>
      </c>
      <c r="M180" t="n">
        <v>0</v>
      </c>
      <c r="N180" t="n">
        <v>0</v>
      </c>
      <c r="O180" t="n">
        <v>2</v>
      </c>
      <c r="P180" t="n">
        <v>0</v>
      </c>
      <c r="Q180" t="n">
        <v>3</v>
      </c>
      <c r="R180" s="2" t="inlineStr">
        <is>
          <t>Kolflarnlav
Lunglav
Skinnlav</t>
        </is>
      </c>
      <c r="S180">
        <f>HYPERLINK("https://klasma.github.io/Logging_2305/artfynd/A 53261-2025 artfynd.xlsx", "A 53261-2025")</f>
        <v/>
      </c>
      <c r="T180">
        <f>HYPERLINK("https://klasma.github.io/Logging_2305/kartor/A 53261-2025 karta.png", "A 53261-2025")</f>
        <v/>
      </c>
      <c r="V180">
        <f>HYPERLINK("https://klasma.github.io/Logging_2305/klagomål/A 53261-2025 FSC-klagomål.docx", "A 53261-2025")</f>
        <v/>
      </c>
      <c r="W180">
        <f>HYPERLINK("https://klasma.github.io/Logging_2305/klagomålsmail/A 53261-2025 FSC-klagomål mail.docx", "A 53261-2025")</f>
        <v/>
      </c>
      <c r="X180">
        <f>HYPERLINK("https://klasma.github.io/Logging_2305/tillsyn/A 53261-2025 tillsynsbegäran.docx", "A 53261-2025")</f>
        <v/>
      </c>
      <c r="Y180">
        <f>HYPERLINK("https://klasma.github.io/Logging_2305/tillsynsmail/A 53261-2025 tillsynsbegäran mail.docx", "A 53261-2025")</f>
        <v/>
      </c>
    </row>
    <row r="181" ht="15" customHeight="1">
      <c r="A181" t="inlineStr">
        <is>
          <t>A 23687-2025</t>
        </is>
      </c>
      <c r="B181" s="1" t="n">
        <v>45793</v>
      </c>
      <c r="C181" s="1" t="n">
        <v>46200</v>
      </c>
      <c r="D181" t="inlineStr">
        <is>
          <t>JÄMTLANDS LÄN</t>
        </is>
      </c>
      <c r="E181" t="inlineStr">
        <is>
          <t>BRÄCKE</t>
        </is>
      </c>
      <c r="F181" t="inlineStr">
        <is>
          <t>SCA</t>
        </is>
      </c>
      <c r="G181" t="n">
        <v>5.5</v>
      </c>
      <c r="H181" t="n">
        <v>0</v>
      </c>
      <c r="I181" t="n">
        <v>2</v>
      </c>
      <c r="J181" t="n">
        <v>1</v>
      </c>
      <c r="K181" t="n">
        <v>0</v>
      </c>
      <c r="L181" t="n">
        <v>0</v>
      </c>
      <c r="M181" t="n">
        <v>0</v>
      </c>
      <c r="N181" t="n">
        <v>0</v>
      </c>
      <c r="O181" t="n">
        <v>1</v>
      </c>
      <c r="P181" t="n">
        <v>0</v>
      </c>
      <c r="Q181" t="n">
        <v>3</v>
      </c>
      <c r="R181" s="2" t="inlineStr">
        <is>
          <t>Lunglav
Skinnlav
Stuplav</t>
        </is>
      </c>
      <c r="S181">
        <f>HYPERLINK("https://klasma.github.io/Logging_2305/artfynd/A 23687-2025 artfynd.xlsx", "A 23687-2025")</f>
        <v/>
      </c>
      <c r="T181">
        <f>HYPERLINK("https://klasma.github.io/Logging_2305/kartor/A 23687-2025 karta.png", "A 23687-2025")</f>
        <v/>
      </c>
      <c r="V181">
        <f>HYPERLINK("https://klasma.github.io/Logging_2305/klagomål/A 23687-2025 FSC-klagomål.docx", "A 23687-2025")</f>
        <v/>
      </c>
      <c r="W181">
        <f>HYPERLINK("https://klasma.github.io/Logging_2305/klagomålsmail/A 23687-2025 FSC-klagomål mail.docx", "A 23687-2025")</f>
        <v/>
      </c>
      <c r="X181">
        <f>HYPERLINK("https://klasma.github.io/Logging_2305/tillsyn/A 23687-2025 tillsynsbegäran.docx", "A 23687-2025")</f>
        <v/>
      </c>
      <c r="Y181">
        <f>HYPERLINK("https://klasma.github.io/Logging_2305/tillsynsmail/A 23687-2025 tillsynsbegäran mail.docx", "A 23687-2025")</f>
        <v/>
      </c>
    </row>
    <row r="182" ht="15" customHeight="1">
      <c r="A182" t="inlineStr">
        <is>
          <t>A 47038-2025</t>
        </is>
      </c>
      <c r="B182" s="1" t="n">
        <v>45929</v>
      </c>
      <c r="C182" s="1" t="n">
        <v>46200</v>
      </c>
      <c r="D182" t="inlineStr">
        <is>
          <t>JÄMTLANDS LÄN</t>
        </is>
      </c>
      <c r="E182" t="inlineStr">
        <is>
          <t>BRÄCKE</t>
        </is>
      </c>
      <c r="F182" t="inlineStr">
        <is>
          <t>SCA</t>
        </is>
      </c>
      <c r="G182" t="n">
        <v>1.2</v>
      </c>
      <c r="H182" t="n">
        <v>0</v>
      </c>
      <c r="I182" t="n">
        <v>1</v>
      </c>
      <c r="J182" t="n">
        <v>1</v>
      </c>
      <c r="K182" t="n">
        <v>1</v>
      </c>
      <c r="L182" t="n">
        <v>0</v>
      </c>
      <c r="M182" t="n">
        <v>0</v>
      </c>
      <c r="N182" t="n">
        <v>0</v>
      </c>
      <c r="O182" t="n">
        <v>2</v>
      </c>
      <c r="P182" t="n">
        <v>1</v>
      </c>
      <c r="Q182" t="n">
        <v>3</v>
      </c>
      <c r="R182" s="2" t="inlineStr">
        <is>
          <t>Garnlav
Skarp dropptaggsvamp
Skinnlav</t>
        </is>
      </c>
      <c r="S182">
        <f>HYPERLINK("https://klasma.github.io/Logging_2305/artfynd/A 47038-2025 artfynd.xlsx", "A 47038-2025")</f>
        <v/>
      </c>
      <c r="T182">
        <f>HYPERLINK("https://klasma.github.io/Logging_2305/kartor/A 47038-2025 karta.png", "A 47038-2025")</f>
        <v/>
      </c>
      <c r="V182">
        <f>HYPERLINK("https://klasma.github.io/Logging_2305/klagomål/A 47038-2025 FSC-klagomål.docx", "A 47038-2025")</f>
        <v/>
      </c>
      <c r="W182">
        <f>HYPERLINK("https://klasma.github.io/Logging_2305/klagomålsmail/A 47038-2025 FSC-klagomål mail.docx", "A 47038-2025")</f>
        <v/>
      </c>
      <c r="X182">
        <f>HYPERLINK("https://klasma.github.io/Logging_2305/tillsyn/A 47038-2025 tillsynsbegäran.docx", "A 47038-2025")</f>
        <v/>
      </c>
      <c r="Y182">
        <f>HYPERLINK("https://klasma.github.io/Logging_2305/tillsynsmail/A 47038-2025 tillsynsbegäran mail.docx", "A 47038-2025")</f>
        <v/>
      </c>
    </row>
    <row r="183" ht="15" customHeight="1">
      <c r="A183" t="inlineStr">
        <is>
          <t>A 47073-2025</t>
        </is>
      </c>
      <c r="B183" s="1" t="n">
        <v>45929</v>
      </c>
      <c r="C183" s="1" t="n">
        <v>46200</v>
      </c>
      <c r="D183" t="inlineStr">
        <is>
          <t>JÄMTLANDS LÄN</t>
        </is>
      </c>
      <c r="E183" t="inlineStr">
        <is>
          <t>BRÄCKE</t>
        </is>
      </c>
      <c r="F183" t="inlineStr">
        <is>
          <t>SCA</t>
        </is>
      </c>
      <c r="G183" t="n">
        <v>4</v>
      </c>
      <c r="H183" t="n">
        <v>0</v>
      </c>
      <c r="I183" t="n">
        <v>0</v>
      </c>
      <c r="J183" t="n">
        <v>3</v>
      </c>
      <c r="K183" t="n">
        <v>0</v>
      </c>
      <c r="L183" t="n">
        <v>0</v>
      </c>
      <c r="M183" t="n">
        <v>0</v>
      </c>
      <c r="N183" t="n">
        <v>0</v>
      </c>
      <c r="O183" t="n">
        <v>3</v>
      </c>
      <c r="P183" t="n">
        <v>0</v>
      </c>
      <c r="Q183" t="n">
        <v>3</v>
      </c>
      <c r="R183" s="2" t="inlineStr">
        <is>
          <t>Dvärgbägarlav
Mörk kolflarnlav
Reliktbock</t>
        </is>
      </c>
      <c r="S183">
        <f>HYPERLINK("https://klasma.github.io/Logging_2305/artfynd/A 47073-2025 artfynd.xlsx", "A 47073-2025")</f>
        <v/>
      </c>
      <c r="T183">
        <f>HYPERLINK("https://klasma.github.io/Logging_2305/kartor/A 47073-2025 karta.png", "A 47073-2025")</f>
        <v/>
      </c>
      <c r="V183">
        <f>HYPERLINK("https://klasma.github.io/Logging_2305/klagomål/A 47073-2025 FSC-klagomål.docx", "A 47073-2025")</f>
        <v/>
      </c>
      <c r="W183">
        <f>HYPERLINK("https://klasma.github.io/Logging_2305/klagomålsmail/A 47073-2025 FSC-klagomål mail.docx", "A 47073-2025")</f>
        <v/>
      </c>
      <c r="X183">
        <f>HYPERLINK("https://klasma.github.io/Logging_2305/tillsyn/A 47073-2025 tillsynsbegäran.docx", "A 47073-2025")</f>
        <v/>
      </c>
      <c r="Y183">
        <f>HYPERLINK("https://klasma.github.io/Logging_2305/tillsynsmail/A 47073-2025 tillsynsbegäran mail.docx", "A 47073-2025")</f>
        <v/>
      </c>
    </row>
    <row r="184" ht="15" customHeight="1">
      <c r="A184" t="inlineStr">
        <is>
          <t>A 57617-2025</t>
        </is>
      </c>
      <c r="B184" s="1" t="n">
        <v>45981</v>
      </c>
      <c r="C184" s="1" t="n">
        <v>46200</v>
      </c>
      <c r="D184" t="inlineStr">
        <is>
          <t>JÄMTLANDS LÄN</t>
        </is>
      </c>
      <c r="E184" t="inlineStr">
        <is>
          <t>BRÄCKE</t>
        </is>
      </c>
      <c r="F184" t="inlineStr">
        <is>
          <t>SCA</t>
        </is>
      </c>
      <c r="G184" t="n">
        <v>7.9</v>
      </c>
      <c r="H184" t="n">
        <v>1</v>
      </c>
      <c r="I184" t="n">
        <v>2</v>
      </c>
      <c r="J184" t="n">
        <v>0</v>
      </c>
      <c r="K184" t="n">
        <v>1</v>
      </c>
      <c r="L184" t="n">
        <v>0</v>
      </c>
      <c r="M184" t="n">
        <v>0</v>
      </c>
      <c r="N184" t="n">
        <v>0</v>
      </c>
      <c r="O184" t="n">
        <v>1</v>
      </c>
      <c r="P184" t="n">
        <v>1</v>
      </c>
      <c r="Q184" t="n">
        <v>3</v>
      </c>
      <c r="R184" s="2" t="inlineStr">
        <is>
          <t>Knärot
Svavelriska
Trådticka</t>
        </is>
      </c>
      <c r="S184">
        <f>HYPERLINK("https://klasma.github.io/Logging_2305/artfynd/A 57617-2025 artfynd.xlsx", "A 57617-2025")</f>
        <v/>
      </c>
      <c r="T184">
        <f>HYPERLINK("https://klasma.github.io/Logging_2305/kartor/A 57617-2025 karta.png", "A 57617-2025")</f>
        <v/>
      </c>
      <c r="U184">
        <f>HYPERLINK("https://klasma.github.io/Logging_2305/knärot/A 57617-2025 karta knärot.png", "A 57617-2025")</f>
        <v/>
      </c>
      <c r="V184">
        <f>HYPERLINK("https://klasma.github.io/Logging_2305/klagomål/A 57617-2025 FSC-klagomål.docx", "A 57617-2025")</f>
        <v/>
      </c>
      <c r="W184">
        <f>HYPERLINK("https://klasma.github.io/Logging_2305/klagomålsmail/A 57617-2025 FSC-klagomål mail.docx", "A 57617-2025")</f>
        <v/>
      </c>
      <c r="X184">
        <f>HYPERLINK("https://klasma.github.io/Logging_2305/tillsyn/A 57617-2025 tillsynsbegäran.docx", "A 57617-2025")</f>
        <v/>
      </c>
      <c r="Y184">
        <f>HYPERLINK("https://klasma.github.io/Logging_2305/tillsynsmail/A 57617-2025 tillsynsbegäran mail.docx", "A 57617-2025")</f>
        <v/>
      </c>
    </row>
    <row r="185" ht="15" customHeight="1">
      <c r="A185" t="inlineStr">
        <is>
          <t>A 61903-2025</t>
        </is>
      </c>
      <c r="B185" s="1" t="n">
        <v>46003</v>
      </c>
      <c r="C185" s="1" t="n">
        <v>46200</v>
      </c>
      <c r="D185" t="inlineStr">
        <is>
          <t>JÄMTLANDS LÄN</t>
        </is>
      </c>
      <c r="E185" t="inlineStr">
        <is>
          <t>BRÄCKE</t>
        </is>
      </c>
      <c r="F185" t="inlineStr">
        <is>
          <t>SCA</t>
        </is>
      </c>
      <c r="G185" t="n">
        <v>1.9</v>
      </c>
      <c r="H185" t="n">
        <v>0</v>
      </c>
      <c r="I185" t="n">
        <v>0</v>
      </c>
      <c r="J185" t="n">
        <v>2</v>
      </c>
      <c r="K185" t="n">
        <v>1</v>
      </c>
      <c r="L185" t="n">
        <v>0</v>
      </c>
      <c r="M185" t="n">
        <v>0</v>
      </c>
      <c r="N185" t="n">
        <v>0</v>
      </c>
      <c r="O185" t="n">
        <v>3</v>
      </c>
      <c r="P185" t="n">
        <v>1</v>
      </c>
      <c r="Q185" t="n">
        <v>3</v>
      </c>
      <c r="R185" s="2" t="inlineStr">
        <is>
          <t>Skrovlig taggsvamp
Dropptaggsvamp
Skarp dropptaggsvamp</t>
        </is>
      </c>
      <c r="S185">
        <f>HYPERLINK("https://klasma.github.io/Logging_2305/artfynd/A 61903-2025 artfynd.xlsx", "A 61903-2025")</f>
        <v/>
      </c>
      <c r="T185">
        <f>HYPERLINK("https://klasma.github.io/Logging_2305/kartor/A 61903-2025 karta.png", "A 61903-2025")</f>
        <v/>
      </c>
      <c r="V185">
        <f>HYPERLINK("https://klasma.github.io/Logging_2305/klagomål/A 61903-2025 FSC-klagomål.docx", "A 61903-2025")</f>
        <v/>
      </c>
      <c r="W185">
        <f>HYPERLINK("https://klasma.github.io/Logging_2305/klagomålsmail/A 61903-2025 FSC-klagomål mail.docx", "A 61903-2025")</f>
        <v/>
      </c>
      <c r="X185">
        <f>HYPERLINK("https://klasma.github.io/Logging_2305/tillsyn/A 61903-2025 tillsynsbegäran.docx", "A 61903-2025")</f>
        <v/>
      </c>
      <c r="Y185">
        <f>HYPERLINK("https://klasma.github.io/Logging_2305/tillsynsmail/A 61903-2025 tillsynsbegäran mail.docx", "A 61903-2025")</f>
        <v/>
      </c>
    </row>
    <row r="186" ht="15" customHeight="1">
      <c r="A186" t="inlineStr">
        <is>
          <t>A 30486-2024</t>
        </is>
      </c>
      <c r="B186" s="1" t="n">
        <v>45491</v>
      </c>
      <c r="C186" s="1" t="n">
        <v>46200</v>
      </c>
      <c r="D186" t="inlineStr">
        <is>
          <t>JÄMTLANDS LÄN</t>
        </is>
      </c>
      <c r="E186" t="inlineStr">
        <is>
          <t>BRÄCKE</t>
        </is>
      </c>
      <c r="F186" t="inlineStr">
        <is>
          <t>SCA</t>
        </is>
      </c>
      <c r="G186" t="n">
        <v>3.8</v>
      </c>
      <c r="H186" t="n">
        <v>2</v>
      </c>
      <c r="I186" t="n">
        <v>2</v>
      </c>
      <c r="J186" t="n">
        <v>0</v>
      </c>
      <c r="K186" t="n">
        <v>0</v>
      </c>
      <c r="L186" t="n">
        <v>0</v>
      </c>
      <c r="M186" t="n">
        <v>0</v>
      </c>
      <c r="N186" t="n">
        <v>0</v>
      </c>
      <c r="O186" t="n">
        <v>0</v>
      </c>
      <c r="P186" t="n">
        <v>0</v>
      </c>
      <c r="Q186" t="n">
        <v>3</v>
      </c>
      <c r="R186" s="2" t="inlineStr">
        <is>
          <t>Rödgul trumpetsvamp
Tvåblad
Fjällvråk</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2838-2026</t>
        </is>
      </c>
      <c r="B187" s="1" t="n">
        <v>46038</v>
      </c>
      <c r="C187" s="1" t="n">
        <v>46200</v>
      </c>
      <c r="D187" t="inlineStr">
        <is>
          <t>JÄMTLANDS LÄN</t>
        </is>
      </c>
      <c r="E187" t="inlineStr">
        <is>
          <t>BRÄCKE</t>
        </is>
      </c>
      <c r="G187" t="n">
        <v>0.6</v>
      </c>
      <c r="H187" t="n">
        <v>1</v>
      </c>
      <c r="I187" t="n">
        <v>0</v>
      </c>
      <c r="J187" t="n">
        <v>1</v>
      </c>
      <c r="K187" t="n">
        <v>2</v>
      </c>
      <c r="L187" t="n">
        <v>0</v>
      </c>
      <c r="M187" t="n">
        <v>0</v>
      </c>
      <c r="N187" t="n">
        <v>0</v>
      </c>
      <c r="O187" t="n">
        <v>3</v>
      </c>
      <c r="P187" t="n">
        <v>2</v>
      </c>
      <c r="Q187" t="n">
        <v>3</v>
      </c>
      <c r="R187" s="2" t="inlineStr">
        <is>
          <t>Garnlav
Knärot
Lunglav</t>
        </is>
      </c>
      <c r="S187">
        <f>HYPERLINK("https://klasma.github.io/Logging_2305/artfynd/A 2838-2026 artfynd.xlsx", "A 2838-2026")</f>
        <v/>
      </c>
      <c r="T187">
        <f>HYPERLINK("https://klasma.github.io/Logging_2305/kartor/A 2838-2026 karta.png", "A 2838-2026")</f>
        <v/>
      </c>
      <c r="U187">
        <f>HYPERLINK("https://klasma.github.io/Logging_2305/knärot/A 2838-2026 karta knärot.png", "A 2838-2026")</f>
        <v/>
      </c>
      <c r="V187">
        <f>HYPERLINK("https://klasma.github.io/Logging_2305/klagomål/A 2838-2026 FSC-klagomål.docx", "A 2838-2026")</f>
        <v/>
      </c>
      <c r="W187">
        <f>HYPERLINK("https://klasma.github.io/Logging_2305/klagomålsmail/A 2838-2026 FSC-klagomål mail.docx", "A 2838-2026")</f>
        <v/>
      </c>
      <c r="X187">
        <f>HYPERLINK("https://klasma.github.io/Logging_2305/tillsyn/A 2838-2026 tillsynsbegäran.docx", "A 2838-2026")</f>
        <v/>
      </c>
      <c r="Y187">
        <f>HYPERLINK("https://klasma.github.io/Logging_2305/tillsynsmail/A 2838-2026 tillsynsbegäran mail.docx", "A 2838-2026")</f>
        <v/>
      </c>
    </row>
    <row r="188" ht="15" customHeight="1">
      <c r="A188" t="inlineStr">
        <is>
          <t>A 22811-2026</t>
        </is>
      </c>
      <c r="B188" s="1" t="n">
        <v>46160</v>
      </c>
      <c r="C188" s="1" t="n">
        <v>46200</v>
      </c>
      <c r="D188" t="inlineStr">
        <is>
          <t>JÄMTLANDS LÄN</t>
        </is>
      </c>
      <c r="E188" t="inlineStr">
        <is>
          <t>BRÄCKE</t>
        </is>
      </c>
      <c r="G188" t="n">
        <v>2.6</v>
      </c>
      <c r="H188" t="n">
        <v>0</v>
      </c>
      <c r="I188" t="n">
        <v>0</v>
      </c>
      <c r="J188" t="n">
        <v>1</v>
      </c>
      <c r="K188" t="n">
        <v>2</v>
      </c>
      <c r="L188" t="n">
        <v>0</v>
      </c>
      <c r="M188" t="n">
        <v>0</v>
      </c>
      <c r="N188" t="n">
        <v>0</v>
      </c>
      <c r="O188" t="n">
        <v>3</v>
      </c>
      <c r="P188" t="n">
        <v>2</v>
      </c>
      <c r="Q188" t="n">
        <v>3</v>
      </c>
      <c r="R188" s="2" t="inlineStr">
        <is>
          <t>Gränsticka
Lappticka
Ullticka</t>
        </is>
      </c>
      <c r="S188">
        <f>HYPERLINK("https://klasma.github.io/Logging_2305/artfynd/A 22811-2026 artfynd.xlsx", "A 22811-2026")</f>
        <v/>
      </c>
      <c r="T188">
        <f>HYPERLINK("https://klasma.github.io/Logging_2305/kartor/A 22811-2026 karta.png", "A 22811-2026")</f>
        <v/>
      </c>
      <c r="V188">
        <f>HYPERLINK("https://klasma.github.io/Logging_2305/klagomål/A 22811-2026 FSC-klagomål.docx", "A 22811-2026")</f>
        <v/>
      </c>
      <c r="W188">
        <f>HYPERLINK("https://klasma.github.io/Logging_2305/klagomålsmail/A 22811-2026 FSC-klagomål mail.docx", "A 22811-2026")</f>
        <v/>
      </c>
      <c r="X188">
        <f>HYPERLINK("https://klasma.github.io/Logging_2305/tillsyn/A 22811-2026 tillsynsbegäran.docx", "A 22811-2026")</f>
        <v/>
      </c>
      <c r="Y188">
        <f>HYPERLINK("https://klasma.github.io/Logging_2305/tillsynsmail/A 22811-2026 tillsynsbegäran mail.docx", "A 22811-2026")</f>
        <v/>
      </c>
    </row>
    <row r="189" ht="15" customHeight="1">
      <c r="A189" t="inlineStr">
        <is>
          <t>A 24469-2026</t>
        </is>
      </c>
      <c r="B189" s="1" t="n">
        <v>46170</v>
      </c>
      <c r="C189" s="1" t="n">
        <v>46200</v>
      </c>
      <c r="D189" t="inlineStr">
        <is>
          <t>JÄMTLANDS LÄN</t>
        </is>
      </c>
      <c r="E189" t="inlineStr">
        <is>
          <t>BRÄCKE</t>
        </is>
      </c>
      <c r="G189" t="n">
        <v>1.7</v>
      </c>
      <c r="H189" t="n">
        <v>0</v>
      </c>
      <c r="I189" t="n">
        <v>0</v>
      </c>
      <c r="J189" t="n">
        <v>2</v>
      </c>
      <c r="K189" t="n">
        <v>1</v>
      </c>
      <c r="L189" t="n">
        <v>0</v>
      </c>
      <c r="M189" t="n">
        <v>0</v>
      </c>
      <c r="N189" t="n">
        <v>0</v>
      </c>
      <c r="O189" t="n">
        <v>3</v>
      </c>
      <c r="P189" t="n">
        <v>1</v>
      </c>
      <c r="Q189" t="n">
        <v>3</v>
      </c>
      <c r="R189" s="2" t="inlineStr">
        <is>
          <t>Garnlav
Dropptaggsvamp
Vedskivlav</t>
        </is>
      </c>
      <c r="S189">
        <f>HYPERLINK("https://klasma.github.io/Logging_2305/artfynd/A 24469-2026 artfynd.xlsx", "A 24469-2026")</f>
        <v/>
      </c>
      <c r="T189">
        <f>HYPERLINK("https://klasma.github.io/Logging_2305/kartor/A 24469-2026 karta.png", "A 24469-2026")</f>
        <v/>
      </c>
      <c r="V189">
        <f>HYPERLINK("https://klasma.github.io/Logging_2305/klagomål/A 24469-2026 FSC-klagomål.docx", "A 24469-2026")</f>
        <v/>
      </c>
      <c r="W189">
        <f>HYPERLINK("https://klasma.github.io/Logging_2305/klagomålsmail/A 24469-2026 FSC-klagomål mail.docx", "A 24469-2026")</f>
        <v/>
      </c>
      <c r="X189">
        <f>HYPERLINK("https://klasma.github.io/Logging_2305/tillsyn/A 24469-2026 tillsynsbegäran.docx", "A 24469-2026")</f>
        <v/>
      </c>
      <c r="Y189">
        <f>HYPERLINK("https://klasma.github.io/Logging_2305/tillsynsmail/A 24469-2026 tillsynsbegäran mail.docx", "A 24469-2026")</f>
        <v/>
      </c>
    </row>
    <row r="190" ht="15" customHeight="1">
      <c r="A190" t="inlineStr">
        <is>
          <t>A 17912-2025</t>
        </is>
      </c>
      <c r="B190" s="1" t="n">
        <v>45758</v>
      </c>
      <c r="C190" s="1" t="n">
        <v>46200</v>
      </c>
      <c r="D190" t="inlineStr">
        <is>
          <t>JÄMTLANDS LÄN</t>
        </is>
      </c>
      <c r="E190" t="inlineStr">
        <is>
          <t>BRÄCKE</t>
        </is>
      </c>
      <c r="G190" t="n">
        <v>2</v>
      </c>
      <c r="H190" t="n">
        <v>0</v>
      </c>
      <c r="I190" t="n">
        <v>1</v>
      </c>
      <c r="J190" t="n">
        <v>2</v>
      </c>
      <c r="K190" t="n">
        <v>0</v>
      </c>
      <c r="L190" t="n">
        <v>0</v>
      </c>
      <c r="M190" t="n">
        <v>0</v>
      </c>
      <c r="N190" t="n">
        <v>0</v>
      </c>
      <c r="O190" t="n">
        <v>2</v>
      </c>
      <c r="P190" t="n">
        <v>0</v>
      </c>
      <c r="Q190" t="n">
        <v>3</v>
      </c>
      <c r="R190" s="2" t="inlineStr">
        <is>
          <t>Kolflarnlav
Lunglav
Grönpyrola</t>
        </is>
      </c>
      <c r="S190">
        <f>HYPERLINK("https://klasma.github.io/Logging_2305/artfynd/A 17912-2025 artfynd.xlsx", "A 17912-2025")</f>
        <v/>
      </c>
      <c r="T190">
        <f>HYPERLINK("https://klasma.github.io/Logging_2305/kartor/A 17912-2025 karta.png", "A 17912-2025")</f>
        <v/>
      </c>
      <c r="V190">
        <f>HYPERLINK("https://klasma.github.io/Logging_2305/klagomål/A 17912-2025 FSC-klagomål.docx", "A 17912-2025")</f>
        <v/>
      </c>
      <c r="W190">
        <f>HYPERLINK("https://klasma.github.io/Logging_2305/klagomålsmail/A 17912-2025 FSC-klagomål mail.docx", "A 17912-2025")</f>
        <v/>
      </c>
      <c r="X190">
        <f>HYPERLINK("https://klasma.github.io/Logging_2305/tillsyn/A 17912-2025 tillsynsbegäran.docx", "A 17912-2025")</f>
        <v/>
      </c>
      <c r="Y190">
        <f>HYPERLINK("https://klasma.github.io/Logging_2305/tillsynsmail/A 17912-2025 tillsynsbegäran mail.docx", "A 17912-2025")</f>
        <v/>
      </c>
    </row>
    <row r="191" ht="15" customHeight="1">
      <c r="A191" t="inlineStr">
        <is>
          <t>A 11787-2025</t>
        </is>
      </c>
      <c r="B191" s="1" t="n">
        <v>45727</v>
      </c>
      <c r="C191" s="1" t="n">
        <v>46200</v>
      </c>
      <c r="D191" t="inlineStr">
        <is>
          <t>JÄMTLANDS LÄN</t>
        </is>
      </c>
      <c r="E191" t="inlineStr">
        <is>
          <t>BRÄCKE</t>
        </is>
      </c>
      <c r="F191" t="inlineStr">
        <is>
          <t>SCA</t>
        </is>
      </c>
      <c r="G191" t="n">
        <v>1.9</v>
      </c>
      <c r="H191" t="n">
        <v>1</v>
      </c>
      <c r="I191" t="n">
        <v>0</v>
      </c>
      <c r="J191" t="n">
        <v>2</v>
      </c>
      <c r="K191" t="n">
        <v>0</v>
      </c>
      <c r="L191" t="n">
        <v>0</v>
      </c>
      <c r="M191" t="n">
        <v>0</v>
      </c>
      <c r="N191" t="n">
        <v>0</v>
      </c>
      <c r="O191" t="n">
        <v>2</v>
      </c>
      <c r="P191" t="n">
        <v>0</v>
      </c>
      <c r="Q191" t="n">
        <v>3</v>
      </c>
      <c r="R191" s="2" t="inlineStr">
        <is>
          <t>Stiftgelélav
Ullticka
Nattviol</t>
        </is>
      </c>
      <c r="S191">
        <f>HYPERLINK("https://klasma.github.io/Logging_2305/artfynd/A 11787-2025 artfynd.xlsx", "A 11787-2025")</f>
        <v/>
      </c>
      <c r="T191">
        <f>HYPERLINK("https://klasma.github.io/Logging_2305/kartor/A 11787-2025 karta.png", "A 11787-2025")</f>
        <v/>
      </c>
      <c r="V191">
        <f>HYPERLINK("https://klasma.github.io/Logging_2305/klagomål/A 11787-2025 FSC-klagomål.docx", "A 11787-2025")</f>
        <v/>
      </c>
      <c r="W191">
        <f>HYPERLINK("https://klasma.github.io/Logging_2305/klagomålsmail/A 11787-2025 FSC-klagomål mail.docx", "A 11787-2025")</f>
        <v/>
      </c>
      <c r="X191">
        <f>HYPERLINK("https://klasma.github.io/Logging_2305/tillsyn/A 11787-2025 tillsynsbegäran.docx", "A 11787-2025")</f>
        <v/>
      </c>
      <c r="Y191">
        <f>HYPERLINK("https://klasma.github.io/Logging_2305/tillsynsmail/A 11787-2025 tillsynsbegäran mail.docx", "A 11787-2025")</f>
        <v/>
      </c>
    </row>
    <row r="192" ht="15" customHeight="1">
      <c r="A192" t="inlineStr">
        <is>
          <t>A 41178-2025</t>
        </is>
      </c>
      <c r="B192" s="1" t="n">
        <v>45898</v>
      </c>
      <c r="C192" s="1" t="n">
        <v>46200</v>
      </c>
      <c r="D192" t="inlineStr">
        <is>
          <t>JÄMTLANDS LÄN</t>
        </is>
      </c>
      <c r="E192" t="inlineStr">
        <is>
          <t>BRÄCKE</t>
        </is>
      </c>
      <c r="F192" t="inlineStr">
        <is>
          <t>SCA</t>
        </is>
      </c>
      <c r="G192" t="n">
        <v>3.3</v>
      </c>
      <c r="H192" t="n">
        <v>0</v>
      </c>
      <c r="I192" t="n">
        <v>0</v>
      </c>
      <c r="J192" t="n">
        <v>3</v>
      </c>
      <c r="K192" t="n">
        <v>0</v>
      </c>
      <c r="L192" t="n">
        <v>0</v>
      </c>
      <c r="M192" t="n">
        <v>0</v>
      </c>
      <c r="N192" t="n">
        <v>0</v>
      </c>
      <c r="O192" t="n">
        <v>3</v>
      </c>
      <c r="P192" t="n">
        <v>0</v>
      </c>
      <c r="Q192" t="n">
        <v>3</v>
      </c>
      <c r="R192" s="2" t="inlineStr">
        <is>
          <t>Lunglav
Skrovellav
Tallticka</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23460-2025</t>
        </is>
      </c>
      <c r="B193" s="1" t="n">
        <v>45792</v>
      </c>
      <c r="C193" s="1" t="n">
        <v>46200</v>
      </c>
      <c r="D193" t="inlineStr">
        <is>
          <t>JÄMTLANDS LÄN</t>
        </is>
      </c>
      <c r="E193" t="inlineStr">
        <is>
          <t>BRÄCKE</t>
        </is>
      </c>
      <c r="F193" t="inlineStr">
        <is>
          <t>SCA</t>
        </is>
      </c>
      <c r="G193" t="n">
        <v>2.3</v>
      </c>
      <c r="H193" t="n">
        <v>1</v>
      </c>
      <c r="I193" t="n">
        <v>1</v>
      </c>
      <c r="J193" t="n">
        <v>1</v>
      </c>
      <c r="K193" t="n">
        <v>0</v>
      </c>
      <c r="L193" t="n">
        <v>0</v>
      </c>
      <c r="M193" t="n">
        <v>0</v>
      </c>
      <c r="N193" t="n">
        <v>0</v>
      </c>
      <c r="O193" t="n">
        <v>1</v>
      </c>
      <c r="P193" t="n">
        <v>0</v>
      </c>
      <c r="Q193" t="n">
        <v>3</v>
      </c>
      <c r="R193" s="2" t="inlineStr">
        <is>
          <t>Brunklöver
Underviol
Fläcknycklar</t>
        </is>
      </c>
      <c r="S193">
        <f>HYPERLINK("https://klasma.github.io/Logging_2305/artfynd/A 23460-2025 artfynd.xlsx", "A 23460-2025")</f>
        <v/>
      </c>
      <c r="T193">
        <f>HYPERLINK("https://klasma.github.io/Logging_2305/kartor/A 23460-2025 karta.png", "A 23460-2025")</f>
        <v/>
      </c>
      <c r="V193">
        <f>HYPERLINK("https://klasma.github.io/Logging_2305/klagomål/A 23460-2025 FSC-klagomål.docx", "A 23460-2025")</f>
        <v/>
      </c>
      <c r="W193">
        <f>HYPERLINK("https://klasma.github.io/Logging_2305/klagomålsmail/A 23460-2025 FSC-klagomål mail.docx", "A 23460-2025")</f>
        <v/>
      </c>
      <c r="X193">
        <f>HYPERLINK("https://klasma.github.io/Logging_2305/tillsyn/A 23460-2025 tillsynsbegäran.docx", "A 23460-2025")</f>
        <v/>
      </c>
      <c r="Y193">
        <f>HYPERLINK("https://klasma.github.io/Logging_2305/tillsynsmail/A 23460-2025 tillsynsbegäran mail.docx", "A 23460-2025")</f>
        <v/>
      </c>
    </row>
    <row r="194" ht="15" customHeight="1">
      <c r="A194" t="inlineStr">
        <is>
          <t>A 21219-2026</t>
        </is>
      </c>
      <c r="B194" s="1" t="n">
        <v>46146</v>
      </c>
      <c r="C194" s="1" t="n">
        <v>46200</v>
      </c>
      <c r="D194" t="inlineStr">
        <is>
          <t>JÄMTLANDS LÄN</t>
        </is>
      </c>
      <c r="E194" t="inlineStr">
        <is>
          <t>BRÄCKE</t>
        </is>
      </c>
      <c r="F194" t="inlineStr">
        <is>
          <t>SCA</t>
        </is>
      </c>
      <c r="G194" t="n">
        <v>4.5</v>
      </c>
      <c r="H194" t="n">
        <v>0</v>
      </c>
      <c r="I194" t="n">
        <v>0</v>
      </c>
      <c r="J194" t="n">
        <v>2</v>
      </c>
      <c r="K194" t="n">
        <v>1</v>
      </c>
      <c r="L194" t="n">
        <v>0</v>
      </c>
      <c r="M194" t="n">
        <v>0</v>
      </c>
      <c r="N194" t="n">
        <v>0</v>
      </c>
      <c r="O194" t="n">
        <v>3</v>
      </c>
      <c r="P194" t="n">
        <v>1</v>
      </c>
      <c r="Q194" t="n">
        <v>3</v>
      </c>
      <c r="R194" s="2" t="inlineStr">
        <is>
          <t>Garnlav
Lunglav
Mörk kolflarnlav</t>
        </is>
      </c>
      <c r="S194">
        <f>HYPERLINK("https://klasma.github.io/Logging_2305/artfynd/A 21219-2026 artfynd.xlsx", "A 21219-2026")</f>
        <v/>
      </c>
      <c r="T194">
        <f>HYPERLINK("https://klasma.github.io/Logging_2305/kartor/A 21219-2026 karta.png", "A 21219-2026")</f>
        <v/>
      </c>
      <c r="V194">
        <f>HYPERLINK("https://klasma.github.io/Logging_2305/klagomål/A 21219-2026 FSC-klagomål.docx", "A 21219-2026")</f>
        <v/>
      </c>
      <c r="W194">
        <f>HYPERLINK("https://klasma.github.io/Logging_2305/klagomålsmail/A 21219-2026 FSC-klagomål mail.docx", "A 21219-2026")</f>
        <v/>
      </c>
      <c r="X194">
        <f>HYPERLINK("https://klasma.github.io/Logging_2305/tillsyn/A 21219-2026 tillsynsbegäran.docx", "A 21219-2026")</f>
        <v/>
      </c>
      <c r="Y194">
        <f>HYPERLINK("https://klasma.github.io/Logging_2305/tillsynsmail/A 21219-2026 tillsynsbegäran mail.docx", "A 21219-2026")</f>
        <v/>
      </c>
    </row>
    <row r="195" ht="15" customHeight="1">
      <c r="A195" t="inlineStr">
        <is>
          <t>A 21742-2026</t>
        </is>
      </c>
      <c r="B195" s="1" t="n">
        <v>46149</v>
      </c>
      <c r="C195" s="1" t="n">
        <v>46200</v>
      </c>
      <c r="D195" t="inlineStr">
        <is>
          <t>JÄMTLANDS LÄN</t>
        </is>
      </c>
      <c r="E195" t="inlineStr">
        <is>
          <t>BRÄCKE</t>
        </is>
      </c>
      <c r="F195" t="inlineStr">
        <is>
          <t>SCA</t>
        </is>
      </c>
      <c r="G195" t="n">
        <v>0.8</v>
      </c>
      <c r="H195" t="n">
        <v>0</v>
      </c>
      <c r="I195" t="n">
        <v>1</v>
      </c>
      <c r="J195" t="n">
        <v>2</v>
      </c>
      <c r="K195" t="n">
        <v>0</v>
      </c>
      <c r="L195" t="n">
        <v>0</v>
      </c>
      <c r="M195" t="n">
        <v>0</v>
      </c>
      <c r="N195" t="n">
        <v>0</v>
      </c>
      <c r="O195" t="n">
        <v>2</v>
      </c>
      <c r="P195" t="n">
        <v>0</v>
      </c>
      <c r="Q195" t="n">
        <v>3</v>
      </c>
      <c r="R195" s="2" t="inlineStr">
        <is>
          <t>Lunglav
Vedtrappmossa
Korallblylav</t>
        </is>
      </c>
      <c r="S195">
        <f>HYPERLINK("https://klasma.github.io/Logging_2305/artfynd/A 21742-2026 artfynd.xlsx", "A 21742-2026")</f>
        <v/>
      </c>
      <c r="T195">
        <f>HYPERLINK("https://klasma.github.io/Logging_2305/kartor/A 21742-2026 karta.png", "A 21742-2026")</f>
        <v/>
      </c>
      <c r="V195">
        <f>HYPERLINK("https://klasma.github.io/Logging_2305/klagomål/A 21742-2026 FSC-klagomål.docx", "A 21742-2026")</f>
        <v/>
      </c>
      <c r="W195">
        <f>HYPERLINK("https://klasma.github.io/Logging_2305/klagomålsmail/A 21742-2026 FSC-klagomål mail.docx", "A 21742-2026")</f>
        <v/>
      </c>
      <c r="X195">
        <f>HYPERLINK("https://klasma.github.io/Logging_2305/tillsyn/A 21742-2026 tillsynsbegäran.docx", "A 21742-2026")</f>
        <v/>
      </c>
      <c r="Y195">
        <f>HYPERLINK("https://klasma.github.io/Logging_2305/tillsynsmail/A 21742-2026 tillsynsbegäran mail.docx", "A 21742-2026")</f>
        <v/>
      </c>
    </row>
    <row r="196" ht="15" customHeight="1">
      <c r="A196" t="inlineStr">
        <is>
          <t>A 56222-2021</t>
        </is>
      </c>
      <c r="B196" s="1" t="n">
        <v>44477</v>
      </c>
      <c r="C196" s="1" t="n">
        <v>46200</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46200</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46200</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46200</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46200</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2464-2025</t>
        </is>
      </c>
      <c r="B201" s="1" t="n">
        <v>45674</v>
      </c>
      <c r="C201" s="1" t="n">
        <v>46200</v>
      </c>
      <c r="D201" t="inlineStr">
        <is>
          <t>JÄMTLANDS LÄN</t>
        </is>
      </c>
      <c r="E201" t="inlineStr">
        <is>
          <t>BRÄCKE</t>
        </is>
      </c>
      <c r="F201" t="inlineStr">
        <is>
          <t>SCA</t>
        </is>
      </c>
      <c r="G201" t="n">
        <v>4.4</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2464-2025 artfynd.xlsx", "A 2464-2025")</f>
        <v/>
      </c>
      <c r="T201">
        <f>HYPERLINK("https://klasma.github.io/Logging_2305/kartor/A 2464-2025 karta.png", "A 2464-2025")</f>
        <v/>
      </c>
      <c r="V201">
        <f>HYPERLINK("https://klasma.github.io/Logging_2305/klagomål/A 2464-2025 FSC-klagomål.docx", "A 2464-2025")</f>
        <v/>
      </c>
      <c r="W201">
        <f>HYPERLINK("https://klasma.github.io/Logging_2305/klagomålsmail/A 2464-2025 FSC-klagomål mail.docx", "A 2464-2025")</f>
        <v/>
      </c>
      <c r="X201">
        <f>HYPERLINK("https://klasma.github.io/Logging_2305/tillsyn/A 2464-2025 tillsynsbegäran.docx", "A 2464-2025")</f>
        <v/>
      </c>
      <c r="Y201">
        <f>HYPERLINK("https://klasma.github.io/Logging_2305/tillsynsmail/A 2464-2025 tillsynsbegäran mail.docx", "A 2464-2025")</f>
        <v/>
      </c>
      <c r="Z201">
        <f>HYPERLINK("https://klasma.github.io/Logging_2305/fåglar/A 2464-2025 prioriterade fågelarter.docx", "A 2464-2025")</f>
        <v/>
      </c>
    </row>
    <row r="202" ht="15" customHeight="1">
      <c r="A202" t="inlineStr">
        <is>
          <t>A 59324-2021</t>
        </is>
      </c>
      <c r="B202" s="1" t="n">
        <v>44490</v>
      </c>
      <c r="C202" s="1" t="n">
        <v>46200</v>
      </c>
      <c r="D202" t="inlineStr">
        <is>
          <t>JÄMTLANDS LÄN</t>
        </is>
      </c>
      <c r="E202" t="inlineStr">
        <is>
          <t>BRÄCKE</t>
        </is>
      </c>
      <c r="F202" t="inlineStr">
        <is>
          <t>SCA</t>
        </is>
      </c>
      <c r="G202" t="n">
        <v>8.6</v>
      </c>
      <c r="H202" t="n">
        <v>0</v>
      </c>
      <c r="I202" t="n">
        <v>0</v>
      </c>
      <c r="J202" t="n">
        <v>2</v>
      </c>
      <c r="K202" t="n">
        <v>0</v>
      </c>
      <c r="L202" t="n">
        <v>0</v>
      </c>
      <c r="M202" t="n">
        <v>0</v>
      </c>
      <c r="N202" t="n">
        <v>0</v>
      </c>
      <c r="O202" t="n">
        <v>2</v>
      </c>
      <c r="P202" t="n">
        <v>0</v>
      </c>
      <c r="Q202" t="n">
        <v>2</v>
      </c>
      <c r="R202" s="2" t="inlineStr">
        <is>
          <t>Ullticka
Veckticka</t>
        </is>
      </c>
      <c r="S202">
        <f>HYPERLINK("https://klasma.github.io/Logging_2305/artfynd/A 59324-2021 artfynd.xlsx", "A 59324-2021")</f>
        <v/>
      </c>
      <c r="T202">
        <f>HYPERLINK("https://klasma.github.io/Logging_2305/kartor/A 59324-2021 karta.png", "A 59324-2021")</f>
        <v/>
      </c>
      <c r="V202">
        <f>HYPERLINK("https://klasma.github.io/Logging_2305/klagomål/A 59324-2021 FSC-klagomål.docx", "A 59324-2021")</f>
        <v/>
      </c>
      <c r="W202">
        <f>HYPERLINK("https://klasma.github.io/Logging_2305/klagomålsmail/A 59324-2021 FSC-klagomål mail.docx", "A 59324-2021")</f>
        <v/>
      </c>
      <c r="X202">
        <f>HYPERLINK("https://klasma.github.io/Logging_2305/tillsyn/A 59324-2021 tillsynsbegäran.docx", "A 59324-2021")</f>
        <v/>
      </c>
      <c r="Y202">
        <f>HYPERLINK("https://klasma.github.io/Logging_2305/tillsynsmail/A 59324-2021 tillsynsbegäran mail.docx", "A 59324-2021")</f>
        <v/>
      </c>
    </row>
    <row r="203" ht="15" customHeight="1">
      <c r="A203" t="inlineStr">
        <is>
          <t>A 29215-2024</t>
        </is>
      </c>
      <c r="B203" s="1" t="n">
        <v>45482</v>
      </c>
      <c r="C203" s="1" t="n">
        <v>46200</v>
      </c>
      <c r="D203" t="inlineStr">
        <is>
          <t>JÄMTLANDS LÄN</t>
        </is>
      </c>
      <c r="E203" t="inlineStr">
        <is>
          <t>BRÄCKE</t>
        </is>
      </c>
      <c r="F203" t="inlineStr">
        <is>
          <t>Övriga Aktiebolag</t>
        </is>
      </c>
      <c r="G203" t="n">
        <v>7.3</v>
      </c>
      <c r="H203" t="n">
        <v>1</v>
      </c>
      <c r="I203" t="n">
        <v>1</v>
      </c>
      <c r="J203" t="n">
        <v>1</v>
      </c>
      <c r="K203" t="n">
        <v>0</v>
      </c>
      <c r="L203" t="n">
        <v>0</v>
      </c>
      <c r="M203" t="n">
        <v>0</v>
      </c>
      <c r="N203" t="n">
        <v>0</v>
      </c>
      <c r="O203" t="n">
        <v>1</v>
      </c>
      <c r="P203" t="n">
        <v>0</v>
      </c>
      <c r="Q203" t="n">
        <v>2</v>
      </c>
      <c r="R203" s="2" t="inlineStr">
        <is>
          <t>Sparvuggla
Svart trolldruva</t>
        </is>
      </c>
      <c r="S203">
        <f>HYPERLINK("https://klasma.github.io/Logging_2305/artfynd/A 29215-2024 artfynd.xlsx", "A 29215-2024")</f>
        <v/>
      </c>
      <c r="T203">
        <f>HYPERLINK("https://klasma.github.io/Logging_2305/kartor/A 29215-2024 karta.png", "A 29215-2024")</f>
        <v/>
      </c>
      <c r="V203">
        <f>HYPERLINK("https://klasma.github.io/Logging_2305/klagomål/A 29215-2024 FSC-klagomål.docx", "A 29215-2024")</f>
        <v/>
      </c>
      <c r="W203">
        <f>HYPERLINK("https://klasma.github.io/Logging_2305/klagomålsmail/A 29215-2024 FSC-klagomål mail.docx", "A 29215-2024")</f>
        <v/>
      </c>
      <c r="X203">
        <f>HYPERLINK("https://klasma.github.io/Logging_2305/tillsyn/A 29215-2024 tillsynsbegäran.docx", "A 29215-2024")</f>
        <v/>
      </c>
      <c r="Y203">
        <f>HYPERLINK("https://klasma.github.io/Logging_2305/tillsynsmail/A 29215-2024 tillsynsbegäran mail.docx", "A 29215-2024")</f>
        <v/>
      </c>
      <c r="Z203">
        <f>HYPERLINK("https://klasma.github.io/Logging_2305/fåglar/A 29215-2024 prioriterade fågelarter.docx", "A 29215-2024")</f>
        <v/>
      </c>
    </row>
    <row r="204" ht="15" customHeight="1">
      <c r="A204" t="inlineStr">
        <is>
          <t>A 53047-2023</t>
        </is>
      </c>
      <c r="B204" s="1" t="n">
        <v>45226</v>
      </c>
      <c r="C204" s="1" t="n">
        <v>46200</v>
      </c>
      <c r="D204" t="inlineStr">
        <is>
          <t>JÄMTLANDS LÄN</t>
        </is>
      </c>
      <c r="E204" t="inlineStr">
        <is>
          <t>BRÄCKE</t>
        </is>
      </c>
      <c r="F204" t="inlineStr">
        <is>
          <t>SCA</t>
        </is>
      </c>
      <c r="G204" t="n">
        <v>1.5</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53047-2023 artfynd.xlsx", "A 53047-2023")</f>
        <v/>
      </c>
      <c r="T204">
        <f>HYPERLINK("https://klasma.github.io/Logging_2305/kartor/A 53047-2023 karta.png", "A 53047-2023")</f>
        <v/>
      </c>
      <c r="V204">
        <f>HYPERLINK("https://klasma.github.io/Logging_2305/klagomål/A 53047-2023 FSC-klagomål.docx", "A 53047-2023")</f>
        <v/>
      </c>
      <c r="W204">
        <f>HYPERLINK("https://klasma.github.io/Logging_2305/klagomålsmail/A 53047-2023 FSC-klagomål mail.docx", "A 53047-2023")</f>
        <v/>
      </c>
      <c r="X204">
        <f>HYPERLINK("https://klasma.github.io/Logging_2305/tillsyn/A 53047-2023 tillsynsbegäran.docx", "A 53047-2023")</f>
        <v/>
      </c>
      <c r="Y204">
        <f>HYPERLINK("https://klasma.github.io/Logging_2305/tillsynsmail/A 53047-2023 tillsynsbegäran mail.docx", "A 53047-2023")</f>
        <v/>
      </c>
    </row>
    <row r="205" ht="15" customHeight="1">
      <c r="A205" t="inlineStr">
        <is>
          <t>A 789-2025</t>
        </is>
      </c>
      <c r="B205" s="1" t="n">
        <v>45665</v>
      </c>
      <c r="C205" s="1" t="n">
        <v>46200</v>
      </c>
      <c r="D205" t="inlineStr">
        <is>
          <t>JÄMTLANDS LÄN</t>
        </is>
      </c>
      <c r="E205" t="inlineStr">
        <is>
          <t>BRÄCKE</t>
        </is>
      </c>
      <c r="F205" t="inlineStr">
        <is>
          <t>SCA</t>
        </is>
      </c>
      <c r="G205" t="n">
        <v>2.6</v>
      </c>
      <c r="H205" t="n">
        <v>0</v>
      </c>
      <c r="I205" t="n">
        <v>1</v>
      </c>
      <c r="J205" t="n">
        <v>1</v>
      </c>
      <c r="K205" t="n">
        <v>0</v>
      </c>
      <c r="L205" t="n">
        <v>0</v>
      </c>
      <c r="M205" t="n">
        <v>0</v>
      </c>
      <c r="N205" t="n">
        <v>0</v>
      </c>
      <c r="O205" t="n">
        <v>1</v>
      </c>
      <c r="P205" t="n">
        <v>0</v>
      </c>
      <c r="Q205" t="n">
        <v>2</v>
      </c>
      <c r="R205" s="2" t="inlineStr">
        <is>
          <t>Lunglav
Vedticka</t>
        </is>
      </c>
      <c r="S205">
        <f>HYPERLINK("https://klasma.github.io/Logging_2305/artfynd/A 789-2025 artfynd.xlsx", "A 789-2025")</f>
        <v/>
      </c>
      <c r="T205">
        <f>HYPERLINK("https://klasma.github.io/Logging_2305/kartor/A 789-2025 karta.png", "A 789-2025")</f>
        <v/>
      </c>
      <c r="V205">
        <f>HYPERLINK("https://klasma.github.io/Logging_2305/klagomål/A 789-2025 FSC-klagomål.docx", "A 789-2025")</f>
        <v/>
      </c>
      <c r="W205">
        <f>HYPERLINK("https://klasma.github.io/Logging_2305/klagomålsmail/A 789-2025 FSC-klagomål mail.docx", "A 789-2025")</f>
        <v/>
      </c>
      <c r="X205">
        <f>HYPERLINK("https://klasma.github.io/Logging_2305/tillsyn/A 789-2025 tillsynsbegäran.docx", "A 789-2025")</f>
        <v/>
      </c>
      <c r="Y205">
        <f>HYPERLINK("https://klasma.github.io/Logging_2305/tillsynsmail/A 789-2025 tillsynsbegäran mail.docx", "A 789-2025")</f>
        <v/>
      </c>
    </row>
    <row r="206" ht="15" customHeight="1">
      <c r="A206" t="inlineStr">
        <is>
          <t>A 1347-2025</t>
        </is>
      </c>
      <c r="B206" s="1" t="n">
        <v>45667</v>
      </c>
      <c r="C206" s="1" t="n">
        <v>46200</v>
      </c>
      <c r="D206" t="inlineStr">
        <is>
          <t>JÄMTLANDS LÄN</t>
        </is>
      </c>
      <c r="E206" t="inlineStr">
        <is>
          <t>BRÄCKE</t>
        </is>
      </c>
      <c r="F206" t="inlineStr">
        <is>
          <t>SCA</t>
        </is>
      </c>
      <c r="G206" t="n">
        <v>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HYPERLINK("https://klasma.github.io/Logging_2305/artfynd/A 1347-2025 artfynd.xlsx", "A 1347-2025")</f>
        <v/>
      </c>
      <c r="T206">
        <f>HYPERLINK("https://klasma.github.io/Logging_2305/kartor/A 1347-2025 karta.png", "A 1347-2025")</f>
        <v/>
      </c>
      <c r="V206">
        <f>HYPERLINK("https://klasma.github.io/Logging_2305/klagomål/A 1347-2025 FSC-klagomål.docx", "A 1347-2025")</f>
        <v/>
      </c>
      <c r="W206">
        <f>HYPERLINK("https://klasma.github.io/Logging_2305/klagomålsmail/A 1347-2025 FSC-klagomål mail.docx", "A 1347-2025")</f>
        <v/>
      </c>
      <c r="X206">
        <f>HYPERLINK("https://klasma.github.io/Logging_2305/tillsyn/A 1347-2025 tillsynsbegäran.docx", "A 1347-2025")</f>
        <v/>
      </c>
      <c r="Y206">
        <f>HYPERLINK("https://klasma.github.io/Logging_2305/tillsynsmail/A 1347-2025 tillsynsbegäran mail.docx", "A 1347-2025")</f>
        <v/>
      </c>
      <c r="Z206">
        <f>HYPERLINK("https://klasma.github.io/Logging_2305/fåglar/A 1347-2025 prioriterade fågelarter.docx", "A 1347-2025")</f>
        <v/>
      </c>
    </row>
    <row r="207" ht="15" customHeight="1">
      <c r="A207" t="inlineStr">
        <is>
          <t>A 12864-2024</t>
        </is>
      </c>
      <c r="B207" s="1" t="n">
        <v>45384</v>
      </c>
      <c r="C207" s="1" t="n">
        <v>46200</v>
      </c>
      <c r="D207" t="inlineStr">
        <is>
          <t>JÄMTLANDS LÄN</t>
        </is>
      </c>
      <c r="E207" t="inlineStr">
        <is>
          <t>BRÄCKE</t>
        </is>
      </c>
      <c r="F207" t="inlineStr">
        <is>
          <t>SCA</t>
        </is>
      </c>
      <c r="G207" t="n">
        <v>7.6</v>
      </c>
      <c r="H207" t="n">
        <v>0</v>
      </c>
      <c r="I207" t="n">
        <v>0</v>
      </c>
      <c r="J207" t="n">
        <v>1</v>
      </c>
      <c r="K207" t="n">
        <v>1</v>
      </c>
      <c r="L207" t="n">
        <v>0</v>
      </c>
      <c r="M207" t="n">
        <v>0</v>
      </c>
      <c r="N207" t="n">
        <v>0</v>
      </c>
      <c r="O207" t="n">
        <v>2</v>
      </c>
      <c r="P207" t="n">
        <v>1</v>
      </c>
      <c r="Q207" t="n">
        <v>2</v>
      </c>
      <c r="R207" s="2" t="inlineStr">
        <is>
          <t>Fläckporing
Dvärgbägarlav</t>
        </is>
      </c>
      <c r="S207">
        <f>HYPERLINK("https://klasma.github.io/Logging_2305/artfynd/A 12864-2024 artfynd.xlsx", "A 12864-2024")</f>
        <v/>
      </c>
      <c r="T207">
        <f>HYPERLINK("https://klasma.github.io/Logging_2305/kartor/A 12864-2024 karta.png", "A 12864-2024")</f>
        <v/>
      </c>
      <c r="V207">
        <f>HYPERLINK("https://klasma.github.io/Logging_2305/klagomål/A 12864-2024 FSC-klagomål.docx", "A 12864-2024")</f>
        <v/>
      </c>
      <c r="W207">
        <f>HYPERLINK("https://klasma.github.io/Logging_2305/klagomålsmail/A 12864-2024 FSC-klagomål mail.docx", "A 12864-2024")</f>
        <v/>
      </c>
      <c r="X207">
        <f>HYPERLINK("https://klasma.github.io/Logging_2305/tillsyn/A 12864-2024 tillsynsbegäran.docx", "A 12864-2024")</f>
        <v/>
      </c>
      <c r="Y207">
        <f>HYPERLINK("https://klasma.github.io/Logging_2305/tillsynsmail/A 12864-2024 tillsynsbegäran mail.docx", "A 12864-2024")</f>
        <v/>
      </c>
    </row>
    <row r="208" ht="15" customHeight="1">
      <c r="A208" t="inlineStr">
        <is>
          <t>A 41647-2023</t>
        </is>
      </c>
      <c r="B208" s="1" t="n">
        <v>45175</v>
      </c>
      <c r="C208" s="1" t="n">
        <v>46200</v>
      </c>
      <c r="D208" t="inlineStr">
        <is>
          <t>JÄMTLANDS LÄN</t>
        </is>
      </c>
      <c r="E208" t="inlineStr">
        <is>
          <t>BRÄCKE</t>
        </is>
      </c>
      <c r="F208" t="inlineStr">
        <is>
          <t>SCA</t>
        </is>
      </c>
      <c r="G208" t="n">
        <v>0.7</v>
      </c>
      <c r="H208" t="n">
        <v>2</v>
      </c>
      <c r="I208" t="n">
        <v>1</v>
      </c>
      <c r="J208" t="n">
        <v>0</v>
      </c>
      <c r="K208" t="n">
        <v>1</v>
      </c>
      <c r="L208" t="n">
        <v>0</v>
      </c>
      <c r="M208" t="n">
        <v>0</v>
      </c>
      <c r="N208" t="n">
        <v>0</v>
      </c>
      <c r="O208" t="n">
        <v>1</v>
      </c>
      <c r="P208" t="n">
        <v>1</v>
      </c>
      <c r="Q208" t="n">
        <v>2</v>
      </c>
      <c r="R208" s="2" t="inlineStr">
        <is>
          <t>Knärot
Spindelblomster</t>
        </is>
      </c>
      <c r="S208">
        <f>HYPERLINK("https://klasma.github.io/Logging_2305/artfynd/A 41647-2023 artfynd.xlsx", "A 41647-2023")</f>
        <v/>
      </c>
      <c r="T208">
        <f>HYPERLINK("https://klasma.github.io/Logging_2305/kartor/A 41647-2023 karta.png", "A 41647-2023")</f>
        <v/>
      </c>
      <c r="U208">
        <f>HYPERLINK("https://klasma.github.io/Logging_2305/knärot/A 41647-2023 karta knärot.png", "A 41647-2023")</f>
        <v/>
      </c>
      <c r="V208">
        <f>HYPERLINK("https://klasma.github.io/Logging_2305/klagomål/A 41647-2023 FSC-klagomål.docx", "A 41647-2023")</f>
        <v/>
      </c>
      <c r="W208">
        <f>HYPERLINK("https://klasma.github.io/Logging_2305/klagomålsmail/A 41647-2023 FSC-klagomål mail.docx", "A 41647-2023")</f>
        <v/>
      </c>
      <c r="X208">
        <f>HYPERLINK("https://klasma.github.io/Logging_2305/tillsyn/A 41647-2023 tillsynsbegäran.docx", "A 41647-2023")</f>
        <v/>
      </c>
      <c r="Y208">
        <f>HYPERLINK("https://klasma.github.io/Logging_2305/tillsynsmail/A 41647-2023 tillsynsbegäran mail.docx", "A 41647-2023")</f>
        <v/>
      </c>
    </row>
    <row r="209" ht="15" customHeight="1">
      <c r="A209" t="inlineStr">
        <is>
          <t>A 45012-2023</t>
        </is>
      </c>
      <c r="B209" s="1" t="n">
        <v>45190</v>
      </c>
      <c r="C209" s="1" t="n">
        <v>46200</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30990-2024</t>
        </is>
      </c>
      <c r="B210" s="1" t="n">
        <v>45499</v>
      </c>
      <c r="C210" s="1" t="n">
        <v>46200</v>
      </c>
      <c r="D210" t="inlineStr">
        <is>
          <t>JÄMTLANDS LÄN</t>
        </is>
      </c>
      <c r="E210" t="inlineStr">
        <is>
          <t>BRÄCKE</t>
        </is>
      </c>
      <c r="F210" t="inlineStr">
        <is>
          <t>Sveaskog</t>
        </is>
      </c>
      <c r="G210" t="n">
        <v>4.9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30990-2024 artfynd.xlsx", "A 30990-2024")</f>
        <v/>
      </c>
      <c r="T210">
        <f>HYPERLINK("https://klasma.github.io/Logging_2305/kartor/A 30990-2024 karta.png", "A 30990-2024")</f>
        <v/>
      </c>
      <c r="U210">
        <f>HYPERLINK("https://klasma.github.io/Logging_2305/knärot/A 30990-2024 karta knärot.png", "A 30990-2024")</f>
        <v/>
      </c>
      <c r="V210">
        <f>HYPERLINK("https://klasma.github.io/Logging_2305/klagomål/A 30990-2024 FSC-klagomål.docx", "A 30990-2024")</f>
        <v/>
      </c>
      <c r="W210">
        <f>HYPERLINK("https://klasma.github.io/Logging_2305/klagomålsmail/A 30990-2024 FSC-klagomål mail.docx", "A 30990-2024")</f>
        <v/>
      </c>
      <c r="X210">
        <f>HYPERLINK("https://klasma.github.io/Logging_2305/tillsyn/A 30990-2024 tillsynsbegäran.docx", "A 30990-2024")</f>
        <v/>
      </c>
      <c r="Y210">
        <f>HYPERLINK("https://klasma.github.io/Logging_2305/tillsynsmail/A 30990-2024 tillsynsbegäran mail.docx", "A 30990-2024")</f>
        <v/>
      </c>
    </row>
    <row r="211" ht="15" customHeight="1">
      <c r="A211" t="inlineStr">
        <is>
          <t>A 50837-2023</t>
        </is>
      </c>
      <c r="B211" s="1" t="n">
        <v>45217</v>
      </c>
      <c r="C211" s="1" t="n">
        <v>46200</v>
      </c>
      <c r="D211" t="inlineStr">
        <is>
          <t>JÄMTLANDS LÄN</t>
        </is>
      </c>
      <c r="E211" t="inlineStr">
        <is>
          <t>BRÄCKE</t>
        </is>
      </c>
      <c r="F211" t="inlineStr">
        <is>
          <t>SCA</t>
        </is>
      </c>
      <c r="G211" t="n">
        <v>1.4</v>
      </c>
      <c r="H211" t="n">
        <v>2</v>
      </c>
      <c r="I211" t="n">
        <v>0</v>
      </c>
      <c r="J211" t="n">
        <v>1</v>
      </c>
      <c r="K211" t="n">
        <v>0</v>
      </c>
      <c r="L211" t="n">
        <v>0</v>
      </c>
      <c r="M211" t="n">
        <v>0</v>
      </c>
      <c r="N211" t="n">
        <v>0</v>
      </c>
      <c r="O211" t="n">
        <v>1</v>
      </c>
      <c r="P211" t="n">
        <v>0</v>
      </c>
      <c r="Q211" t="n">
        <v>2</v>
      </c>
      <c r="R211" s="2" t="inlineStr">
        <is>
          <t>Talltita
Grönsiska</t>
        </is>
      </c>
      <c r="S211">
        <f>HYPERLINK("https://klasma.github.io/Logging_2305/artfynd/A 50837-2023 artfynd.xlsx", "A 50837-2023")</f>
        <v/>
      </c>
      <c r="T211">
        <f>HYPERLINK("https://klasma.github.io/Logging_2305/kartor/A 50837-2023 karta.png", "A 50837-2023")</f>
        <v/>
      </c>
      <c r="V211">
        <f>HYPERLINK("https://klasma.github.io/Logging_2305/klagomål/A 50837-2023 FSC-klagomål.docx", "A 50837-2023")</f>
        <v/>
      </c>
      <c r="W211">
        <f>HYPERLINK("https://klasma.github.io/Logging_2305/klagomålsmail/A 50837-2023 FSC-klagomål mail.docx", "A 50837-2023")</f>
        <v/>
      </c>
      <c r="X211">
        <f>HYPERLINK("https://klasma.github.io/Logging_2305/tillsyn/A 50837-2023 tillsynsbegäran.docx", "A 50837-2023")</f>
        <v/>
      </c>
      <c r="Y211">
        <f>HYPERLINK("https://klasma.github.io/Logging_2305/tillsynsmail/A 50837-2023 tillsynsbegäran mail.docx", "A 50837-2023")</f>
        <v/>
      </c>
      <c r="Z211">
        <f>HYPERLINK("https://klasma.github.io/Logging_2305/fåglar/A 50837-2023 prioriterade fågelarter.docx", "A 50837-2023")</f>
        <v/>
      </c>
    </row>
    <row r="212" ht="15" customHeight="1">
      <c r="A212" t="inlineStr">
        <is>
          <t>A 2463-2025</t>
        </is>
      </c>
      <c r="B212" s="1" t="n">
        <v>45674</v>
      </c>
      <c r="C212" s="1" t="n">
        <v>46200</v>
      </c>
      <c r="D212" t="inlineStr">
        <is>
          <t>JÄMTLANDS LÄN</t>
        </is>
      </c>
      <c r="E212" t="inlineStr">
        <is>
          <t>BRÄCKE</t>
        </is>
      </c>
      <c r="F212" t="inlineStr">
        <is>
          <t>SCA</t>
        </is>
      </c>
      <c r="G212" t="n">
        <v>3.9</v>
      </c>
      <c r="H212" t="n">
        <v>0</v>
      </c>
      <c r="I212" t="n">
        <v>1</v>
      </c>
      <c r="J212" t="n">
        <v>1</v>
      </c>
      <c r="K212" t="n">
        <v>0</v>
      </c>
      <c r="L212" t="n">
        <v>0</v>
      </c>
      <c r="M212" t="n">
        <v>0</v>
      </c>
      <c r="N212" t="n">
        <v>0</v>
      </c>
      <c r="O212" t="n">
        <v>1</v>
      </c>
      <c r="P212" t="n">
        <v>0</v>
      </c>
      <c r="Q212" t="n">
        <v>2</v>
      </c>
      <c r="R212" s="2" t="inlineStr">
        <is>
          <t>Lunglav
Vedticka</t>
        </is>
      </c>
      <c r="S212">
        <f>HYPERLINK("https://klasma.github.io/Logging_2305/artfynd/A 2463-2025 artfynd.xlsx", "A 2463-2025")</f>
        <v/>
      </c>
      <c r="T212">
        <f>HYPERLINK("https://klasma.github.io/Logging_2305/kartor/A 2463-2025 karta.png", "A 2463-2025")</f>
        <v/>
      </c>
      <c r="V212">
        <f>HYPERLINK("https://klasma.github.io/Logging_2305/klagomål/A 2463-2025 FSC-klagomål.docx", "A 2463-2025")</f>
        <v/>
      </c>
      <c r="W212">
        <f>HYPERLINK("https://klasma.github.io/Logging_2305/klagomålsmail/A 2463-2025 FSC-klagomål mail.docx", "A 2463-2025")</f>
        <v/>
      </c>
      <c r="X212">
        <f>HYPERLINK("https://klasma.github.io/Logging_2305/tillsyn/A 2463-2025 tillsynsbegäran.docx", "A 2463-2025")</f>
        <v/>
      </c>
      <c r="Y212">
        <f>HYPERLINK("https://klasma.github.io/Logging_2305/tillsynsmail/A 2463-2025 tillsynsbegäran mail.docx", "A 2463-2025")</f>
        <v/>
      </c>
    </row>
    <row r="213" ht="15" customHeight="1">
      <c r="A213" t="inlineStr">
        <is>
          <t>A 51822-2023</t>
        </is>
      </c>
      <c r="B213" s="1" t="n">
        <v>45222</v>
      </c>
      <c r="C213" s="1" t="n">
        <v>46200</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6903-2024</t>
        </is>
      </c>
      <c r="B214" s="1" t="n">
        <v>45342</v>
      </c>
      <c r="C214" s="1" t="n">
        <v>46200</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46200</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46200</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44841-2024</t>
        </is>
      </c>
      <c r="B217" s="1" t="n">
        <v>45574</v>
      </c>
      <c r="C217" s="1" t="n">
        <v>46200</v>
      </c>
      <c r="D217" t="inlineStr">
        <is>
          <t>JÄMTLANDS LÄN</t>
        </is>
      </c>
      <c r="E217" t="inlineStr">
        <is>
          <t>BRÄCKE</t>
        </is>
      </c>
      <c r="F217" t="inlineStr">
        <is>
          <t>SCA</t>
        </is>
      </c>
      <c r="G217" t="n">
        <v>4.6</v>
      </c>
      <c r="H217" t="n">
        <v>1</v>
      </c>
      <c r="I217" t="n">
        <v>2</v>
      </c>
      <c r="J217" t="n">
        <v>0</v>
      </c>
      <c r="K217" t="n">
        <v>0</v>
      </c>
      <c r="L217" t="n">
        <v>0</v>
      </c>
      <c r="M217" t="n">
        <v>0</v>
      </c>
      <c r="N217" t="n">
        <v>0</v>
      </c>
      <c r="O217" t="n">
        <v>0</v>
      </c>
      <c r="P217" t="n">
        <v>0</v>
      </c>
      <c r="Q217" t="n">
        <v>2</v>
      </c>
      <c r="R217" s="2" t="inlineStr">
        <is>
          <t>Finbräken
Guckusko</t>
        </is>
      </c>
      <c r="S217">
        <f>HYPERLINK("https://klasma.github.io/Logging_2305/artfynd/A 44841-2024 artfynd.xlsx", "A 44841-2024")</f>
        <v/>
      </c>
      <c r="T217">
        <f>HYPERLINK("https://klasma.github.io/Logging_2305/kartor/A 44841-2024 karta.png", "A 44841-2024")</f>
        <v/>
      </c>
      <c r="V217">
        <f>HYPERLINK("https://klasma.github.io/Logging_2305/klagomål/A 44841-2024 FSC-klagomål.docx", "A 44841-2024")</f>
        <v/>
      </c>
      <c r="W217">
        <f>HYPERLINK("https://klasma.github.io/Logging_2305/klagomålsmail/A 44841-2024 FSC-klagomål mail.docx", "A 44841-2024")</f>
        <v/>
      </c>
      <c r="X217">
        <f>HYPERLINK("https://klasma.github.io/Logging_2305/tillsyn/A 44841-2024 tillsynsbegäran.docx", "A 44841-2024")</f>
        <v/>
      </c>
      <c r="Y217">
        <f>HYPERLINK("https://klasma.github.io/Logging_2305/tillsynsmail/A 44841-2024 tillsynsbegäran mail.docx", "A 44841-2024")</f>
        <v/>
      </c>
    </row>
    <row r="218" ht="15" customHeight="1">
      <c r="A218" t="inlineStr">
        <is>
          <t>A 12296-2025</t>
        </is>
      </c>
      <c r="B218" s="1" t="n">
        <v>45729</v>
      </c>
      <c r="C218" s="1" t="n">
        <v>46200</v>
      </c>
      <c r="D218" t="inlineStr">
        <is>
          <t>JÄMTLANDS LÄN</t>
        </is>
      </c>
      <c r="E218" t="inlineStr">
        <is>
          <t>BRÄCKE</t>
        </is>
      </c>
      <c r="F218" t="inlineStr">
        <is>
          <t>SCA</t>
        </is>
      </c>
      <c r="G218" t="n">
        <v>2.2</v>
      </c>
      <c r="H218" t="n">
        <v>0</v>
      </c>
      <c r="I218" t="n">
        <v>0</v>
      </c>
      <c r="J218" t="n">
        <v>2</v>
      </c>
      <c r="K218" t="n">
        <v>0</v>
      </c>
      <c r="L218" t="n">
        <v>0</v>
      </c>
      <c r="M218" t="n">
        <v>0</v>
      </c>
      <c r="N218" t="n">
        <v>0</v>
      </c>
      <c r="O218" t="n">
        <v>2</v>
      </c>
      <c r="P218" t="n">
        <v>0</v>
      </c>
      <c r="Q218" t="n">
        <v>2</v>
      </c>
      <c r="R218" s="2" t="inlineStr">
        <is>
          <t>Dropptaggsvamp
Lunglav</t>
        </is>
      </c>
      <c r="S218">
        <f>HYPERLINK("https://klasma.github.io/Logging_2305/artfynd/A 12296-2025 artfynd.xlsx", "A 12296-2025")</f>
        <v/>
      </c>
      <c r="T218">
        <f>HYPERLINK("https://klasma.github.io/Logging_2305/kartor/A 12296-2025 karta.png", "A 12296-2025")</f>
        <v/>
      </c>
      <c r="V218">
        <f>HYPERLINK("https://klasma.github.io/Logging_2305/klagomål/A 12296-2025 FSC-klagomål.docx", "A 12296-2025")</f>
        <v/>
      </c>
      <c r="W218">
        <f>HYPERLINK("https://klasma.github.io/Logging_2305/klagomålsmail/A 12296-2025 FSC-klagomål mail.docx", "A 12296-2025")</f>
        <v/>
      </c>
      <c r="X218">
        <f>HYPERLINK("https://klasma.github.io/Logging_2305/tillsyn/A 12296-2025 tillsynsbegäran.docx", "A 12296-2025")</f>
        <v/>
      </c>
      <c r="Y218">
        <f>HYPERLINK("https://klasma.github.io/Logging_2305/tillsynsmail/A 12296-2025 tillsynsbegäran mail.docx", "A 12296-2025")</f>
        <v/>
      </c>
    </row>
    <row r="219" ht="15" customHeight="1">
      <c r="A219" t="inlineStr">
        <is>
          <t>A 54051-2023</t>
        </is>
      </c>
      <c r="B219" s="1" t="n">
        <v>45231</v>
      </c>
      <c r="C219" s="1" t="n">
        <v>46200</v>
      </c>
      <c r="D219" t="inlineStr">
        <is>
          <t>JÄMTLANDS LÄN</t>
        </is>
      </c>
      <c r="E219" t="inlineStr">
        <is>
          <t>BRÄCKE</t>
        </is>
      </c>
      <c r="F219" t="inlineStr">
        <is>
          <t>SCA</t>
        </is>
      </c>
      <c r="G219" t="n">
        <v>2.4</v>
      </c>
      <c r="H219" t="n">
        <v>0</v>
      </c>
      <c r="I219" t="n">
        <v>0</v>
      </c>
      <c r="J219" t="n">
        <v>1</v>
      </c>
      <c r="K219" t="n">
        <v>1</v>
      </c>
      <c r="L219" t="n">
        <v>0</v>
      </c>
      <c r="M219" t="n">
        <v>0</v>
      </c>
      <c r="N219" t="n">
        <v>0</v>
      </c>
      <c r="O219" t="n">
        <v>2</v>
      </c>
      <c r="P219" t="n">
        <v>1</v>
      </c>
      <c r="Q219" t="n">
        <v>2</v>
      </c>
      <c r="R219" s="2" t="inlineStr">
        <is>
          <t>Skrovlig taggsvamp
Blå taggsvamp</t>
        </is>
      </c>
      <c r="S219">
        <f>HYPERLINK("https://klasma.github.io/Logging_2305/artfynd/A 54051-2023 artfynd.xlsx", "A 54051-2023")</f>
        <v/>
      </c>
      <c r="T219">
        <f>HYPERLINK("https://klasma.github.io/Logging_2305/kartor/A 54051-2023 karta.png", "A 54051-2023")</f>
        <v/>
      </c>
      <c r="V219">
        <f>HYPERLINK("https://klasma.github.io/Logging_2305/klagomål/A 54051-2023 FSC-klagomål.docx", "A 54051-2023")</f>
        <v/>
      </c>
      <c r="W219">
        <f>HYPERLINK("https://klasma.github.io/Logging_2305/klagomålsmail/A 54051-2023 FSC-klagomål mail.docx", "A 54051-2023")</f>
        <v/>
      </c>
      <c r="X219">
        <f>HYPERLINK("https://klasma.github.io/Logging_2305/tillsyn/A 54051-2023 tillsynsbegäran.docx", "A 54051-2023")</f>
        <v/>
      </c>
      <c r="Y219">
        <f>HYPERLINK("https://klasma.github.io/Logging_2305/tillsynsmail/A 54051-2023 tillsynsbegäran mail.docx", "A 54051-2023")</f>
        <v/>
      </c>
    </row>
    <row r="220" ht="15" customHeight="1">
      <c r="A220" t="inlineStr">
        <is>
          <t>A 15366-2022</t>
        </is>
      </c>
      <c r="B220" s="1" t="n">
        <v>44659</v>
      </c>
      <c r="C220" s="1" t="n">
        <v>46200</v>
      </c>
      <c r="D220" t="inlineStr">
        <is>
          <t>JÄMTLANDS LÄN</t>
        </is>
      </c>
      <c r="E220" t="inlineStr">
        <is>
          <t>BRÄCKE</t>
        </is>
      </c>
      <c r="G220" t="n">
        <v>3.3</v>
      </c>
      <c r="H220" t="n">
        <v>2</v>
      </c>
      <c r="I220" t="n">
        <v>1</v>
      </c>
      <c r="J220" t="n">
        <v>0</v>
      </c>
      <c r="K220" t="n">
        <v>0</v>
      </c>
      <c r="L220" t="n">
        <v>0</v>
      </c>
      <c r="M220" t="n">
        <v>0</v>
      </c>
      <c r="N220" t="n">
        <v>0</v>
      </c>
      <c r="O220" t="n">
        <v>0</v>
      </c>
      <c r="P220" t="n">
        <v>0</v>
      </c>
      <c r="Q220" t="n">
        <v>2</v>
      </c>
      <c r="R220" s="2" t="inlineStr">
        <is>
          <t>Tvåblad
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30988-2024</t>
        </is>
      </c>
      <c r="B221" s="1" t="n">
        <v>45499</v>
      </c>
      <c r="C221" s="1" t="n">
        <v>46200</v>
      </c>
      <c r="D221" t="inlineStr">
        <is>
          <t>JÄMTLANDS LÄN</t>
        </is>
      </c>
      <c r="E221" t="inlineStr">
        <is>
          <t>BRÄCKE</t>
        </is>
      </c>
      <c r="F221" t="inlineStr">
        <is>
          <t>Sveaskog</t>
        </is>
      </c>
      <c r="G221" t="n">
        <v>4.8</v>
      </c>
      <c r="H221" t="n">
        <v>1</v>
      </c>
      <c r="I221" t="n">
        <v>1</v>
      </c>
      <c r="J221" t="n">
        <v>1</v>
      </c>
      <c r="K221" t="n">
        <v>0</v>
      </c>
      <c r="L221" t="n">
        <v>0</v>
      </c>
      <c r="M221" t="n">
        <v>0</v>
      </c>
      <c r="N221" t="n">
        <v>0</v>
      </c>
      <c r="O221" t="n">
        <v>1</v>
      </c>
      <c r="P221" t="n">
        <v>0</v>
      </c>
      <c r="Q221" t="n">
        <v>2</v>
      </c>
      <c r="R221" s="2" t="inlineStr">
        <is>
          <t>Lunglav
Tvåblad</t>
        </is>
      </c>
      <c r="S221">
        <f>HYPERLINK("https://klasma.github.io/Logging_2305/artfynd/A 30988-2024 artfynd.xlsx", "A 30988-2024")</f>
        <v/>
      </c>
      <c r="T221">
        <f>HYPERLINK("https://klasma.github.io/Logging_2305/kartor/A 30988-2024 karta.png", "A 30988-2024")</f>
        <v/>
      </c>
      <c r="V221">
        <f>HYPERLINK("https://klasma.github.io/Logging_2305/klagomål/A 30988-2024 FSC-klagomål.docx", "A 30988-2024")</f>
        <v/>
      </c>
      <c r="W221">
        <f>HYPERLINK("https://klasma.github.io/Logging_2305/klagomålsmail/A 30988-2024 FSC-klagomål mail.docx", "A 30988-2024")</f>
        <v/>
      </c>
      <c r="X221">
        <f>HYPERLINK("https://klasma.github.io/Logging_2305/tillsyn/A 30988-2024 tillsynsbegäran.docx", "A 30988-2024")</f>
        <v/>
      </c>
      <c r="Y221">
        <f>HYPERLINK("https://klasma.github.io/Logging_2305/tillsynsmail/A 30988-2024 tillsynsbegäran mail.docx", "A 30988-2024")</f>
        <v/>
      </c>
    </row>
    <row r="222" ht="15" customHeight="1">
      <c r="A222" t="inlineStr">
        <is>
          <t>A 29689-2024</t>
        </is>
      </c>
      <c r="B222" s="1" t="n">
        <v>45484</v>
      </c>
      <c r="C222" s="1" t="n">
        <v>46200</v>
      </c>
      <c r="D222" t="inlineStr">
        <is>
          <t>JÄMTLANDS LÄN</t>
        </is>
      </c>
      <c r="E222" t="inlineStr">
        <is>
          <t>BRÄCKE</t>
        </is>
      </c>
      <c r="F222" t="inlineStr">
        <is>
          <t>SCA</t>
        </is>
      </c>
      <c r="G222" t="n">
        <v>6.3</v>
      </c>
      <c r="H222" t="n">
        <v>0</v>
      </c>
      <c r="I222" t="n">
        <v>1</v>
      </c>
      <c r="J222" t="n">
        <v>0</v>
      </c>
      <c r="K222" t="n">
        <v>1</v>
      </c>
      <c r="L222" t="n">
        <v>0</v>
      </c>
      <c r="M222" t="n">
        <v>0</v>
      </c>
      <c r="N222" t="n">
        <v>0</v>
      </c>
      <c r="O222" t="n">
        <v>1</v>
      </c>
      <c r="P222" t="n">
        <v>1</v>
      </c>
      <c r="Q222" t="n">
        <v>2</v>
      </c>
      <c r="R222" s="2" t="inlineStr">
        <is>
          <t>Garnlav
Vedticka</t>
        </is>
      </c>
      <c r="S222">
        <f>HYPERLINK("https://klasma.github.io/Logging_2305/artfynd/A 29689-2024 artfynd.xlsx", "A 29689-2024")</f>
        <v/>
      </c>
      <c r="T222">
        <f>HYPERLINK("https://klasma.github.io/Logging_2305/kartor/A 29689-2024 karta.png", "A 29689-2024")</f>
        <v/>
      </c>
      <c r="V222">
        <f>HYPERLINK("https://klasma.github.io/Logging_2305/klagomål/A 29689-2024 FSC-klagomål.docx", "A 29689-2024")</f>
        <v/>
      </c>
      <c r="W222">
        <f>HYPERLINK("https://klasma.github.io/Logging_2305/klagomålsmail/A 29689-2024 FSC-klagomål mail.docx", "A 29689-2024")</f>
        <v/>
      </c>
      <c r="X222">
        <f>HYPERLINK("https://klasma.github.io/Logging_2305/tillsyn/A 29689-2024 tillsynsbegäran.docx", "A 29689-2024")</f>
        <v/>
      </c>
      <c r="Y222">
        <f>HYPERLINK("https://klasma.github.io/Logging_2305/tillsynsmail/A 29689-2024 tillsynsbegäran mail.docx", "A 29689-2024")</f>
        <v/>
      </c>
    </row>
    <row r="223" ht="15" customHeight="1">
      <c r="A223" t="inlineStr">
        <is>
          <t>A 12525-2025</t>
        </is>
      </c>
      <c r="B223" s="1" t="n">
        <v>45730</v>
      </c>
      <c r="C223" s="1" t="n">
        <v>46200</v>
      </c>
      <c r="D223" t="inlineStr">
        <is>
          <t>JÄMTLANDS LÄN</t>
        </is>
      </c>
      <c r="E223" t="inlineStr">
        <is>
          <t>BRÄCKE</t>
        </is>
      </c>
      <c r="F223" t="inlineStr">
        <is>
          <t>SCA</t>
        </is>
      </c>
      <c r="G223" t="n">
        <v>3.5</v>
      </c>
      <c r="H223" t="n">
        <v>1</v>
      </c>
      <c r="I223" t="n">
        <v>0</v>
      </c>
      <c r="J223" t="n">
        <v>1</v>
      </c>
      <c r="K223" t="n">
        <v>0</v>
      </c>
      <c r="L223" t="n">
        <v>0</v>
      </c>
      <c r="M223" t="n">
        <v>0</v>
      </c>
      <c r="N223" t="n">
        <v>0</v>
      </c>
      <c r="O223" t="n">
        <v>1</v>
      </c>
      <c r="P223" t="n">
        <v>0</v>
      </c>
      <c r="Q223" t="n">
        <v>2</v>
      </c>
      <c r="R223" s="2" t="inlineStr">
        <is>
          <t>Månlåsbräken
Fläcknycklar</t>
        </is>
      </c>
      <c r="S223">
        <f>HYPERLINK("https://klasma.github.io/Logging_2305/artfynd/A 12525-2025 artfynd.xlsx", "A 12525-2025")</f>
        <v/>
      </c>
      <c r="T223">
        <f>HYPERLINK("https://klasma.github.io/Logging_2305/kartor/A 12525-2025 karta.png", "A 12525-2025")</f>
        <v/>
      </c>
      <c r="V223">
        <f>HYPERLINK("https://klasma.github.io/Logging_2305/klagomål/A 12525-2025 FSC-klagomål.docx", "A 12525-2025")</f>
        <v/>
      </c>
      <c r="W223">
        <f>HYPERLINK("https://klasma.github.io/Logging_2305/klagomålsmail/A 12525-2025 FSC-klagomål mail.docx", "A 12525-2025")</f>
        <v/>
      </c>
      <c r="X223">
        <f>HYPERLINK("https://klasma.github.io/Logging_2305/tillsyn/A 12525-2025 tillsynsbegäran.docx", "A 12525-2025")</f>
        <v/>
      </c>
      <c r="Y223">
        <f>HYPERLINK("https://klasma.github.io/Logging_2305/tillsynsmail/A 12525-2025 tillsynsbegäran mail.docx", "A 12525-2025")</f>
        <v/>
      </c>
    </row>
    <row r="224" ht="15" customHeight="1">
      <c r="A224" t="inlineStr">
        <is>
          <t>A 8248-2024</t>
        </is>
      </c>
      <c r="B224" s="1" t="n">
        <v>45351</v>
      </c>
      <c r="C224" s="1" t="n">
        <v>46200</v>
      </c>
      <c r="D224" t="inlineStr">
        <is>
          <t>JÄMTLANDS LÄN</t>
        </is>
      </c>
      <c r="E224" t="inlineStr">
        <is>
          <t>BRÄCKE</t>
        </is>
      </c>
      <c r="F224" t="inlineStr">
        <is>
          <t>SCA</t>
        </is>
      </c>
      <c r="G224" t="n">
        <v>1.8</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8248-2024 artfynd.xlsx", "A 8248-2024")</f>
        <v/>
      </c>
      <c r="T224">
        <f>HYPERLINK("https://klasma.github.io/Logging_2305/kartor/A 8248-2024 karta.png", "A 8248-2024")</f>
        <v/>
      </c>
      <c r="V224">
        <f>HYPERLINK("https://klasma.github.io/Logging_2305/klagomål/A 8248-2024 FSC-klagomål.docx", "A 8248-2024")</f>
        <v/>
      </c>
      <c r="W224">
        <f>HYPERLINK("https://klasma.github.io/Logging_2305/klagomålsmail/A 8248-2024 FSC-klagomål mail.docx", "A 8248-2024")</f>
        <v/>
      </c>
      <c r="X224">
        <f>HYPERLINK("https://klasma.github.io/Logging_2305/tillsyn/A 8248-2024 tillsynsbegäran.docx", "A 8248-2024")</f>
        <v/>
      </c>
      <c r="Y224">
        <f>HYPERLINK("https://klasma.github.io/Logging_2305/tillsynsmail/A 8248-2024 tillsynsbegäran mail.docx", "A 8248-2024")</f>
        <v/>
      </c>
    </row>
    <row r="225" ht="15" customHeight="1">
      <c r="A225" t="inlineStr">
        <is>
          <t>A 50328-2022</t>
        </is>
      </c>
      <c r="B225" s="1" t="n">
        <v>44865</v>
      </c>
      <c r="C225" s="1" t="n">
        <v>46200</v>
      </c>
      <c r="D225" t="inlineStr">
        <is>
          <t>JÄMTLANDS LÄN</t>
        </is>
      </c>
      <c r="E225" t="inlineStr">
        <is>
          <t>BRÄCKE</t>
        </is>
      </c>
      <c r="F225" t="inlineStr">
        <is>
          <t>SCA</t>
        </is>
      </c>
      <c r="G225" t="n">
        <v>1.6</v>
      </c>
      <c r="H225" t="n">
        <v>0</v>
      </c>
      <c r="I225" t="n">
        <v>0</v>
      </c>
      <c r="J225" t="n">
        <v>2</v>
      </c>
      <c r="K225" t="n">
        <v>0</v>
      </c>
      <c r="L225" t="n">
        <v>0</v>
      </c>
      <c r="M225" t="n">
        <v>0</v>
      </c>
      <c r="N225" t="n">
        <v>0</v>
      </c>
      <c r="O225" t="n">
        <v>2</v>
      </c>
      <c r="P225" t="n">
        <v>0</v>
      </c>
      <c r="Q225" t="n">
        <v>2</v>
      </c>
      <c r="R225" s="2" t="inlineStr">
        <is>
          <t>Ullticka
Vitgrynig nållav</t>
        </is>
      </c>
      <c r="S225">
        <f>HYPERLINK("https://klasma.github.io/Logging_2305/artfynd/A 50328-2022 artfynd.xlsx", "A 50328-2022")</f>
        <v/>
      </c>
      <c r="T225">
        <f>HYPERLINK("https://klasma.github.io/Logging_2305/kartor/A 50328-2022 karta.png", "A 50328-2022")</f>
        <v/>
      </c>
      <c r="V225">
        <f>HYPERLINK("https://klasma.github.io/Logging_2305/klagomål/A 50328-2022 FSC-klagomål.docx", "A 50328-2022")</f>
        <v/>
      </c>
      <c r="W225">
        <f>HYPERLINK("https://klasma.github.io/Logging_2305/klagomålsmail/A 50328-2022 FSC-klagomål mail.docx", "A 50328-2022")</f>
        <v/>
      </c>
      <c r="X225">
        <f>HYPERLINK("https://klasma.github.io/Logging_2305/tillsyn/A 50328-2022 tillsynsbegäran.docx", "A 50328-2022")</f>
        <v/>
      </c>
      <c r="Y225">
        <f>HYPERLINK("https://klasma.github.io/Logging_2305/tillsynsmail/A 50328-2022 tillsynsbegäran mail.docx", "A 50328-2022")</f>
        <v/>
      </c>
    </row>
    <row r="226" ht="15" customHeight="1">
      <c r="A226" t="inlineStr">
        <is>
          <t>A 3247-2025</t>
        </is>
      </c>
      <c r="B226" s="1" t="n">
        <v>45679</v>
      </c>
      <c r="C226" s="1" t="n">
        <v>46200</v>
      </c>
      <c r="D226" t="inlineStr">
        <is>
          <t>JÄMTLANDS LÄN</t>
        </is>
      </c>
      <c r="E226" t="inlineStr">
        <is>
          <t>BRÄCKE</t>
        </is>
      </c>
      <c r="F226" t="inlineStr">
        <is>
          <t>SCA</t>
        </is>
      </c>
      <c r="G226" t="n">
        <v>3.1</v>
      </c>
      <c r="H226" t="n">
        <v>2</v>
      </c>
      <c r="I226" t="n">
        <v>0</v>
      </c>
      <c r="J226" t="n">
        <v>0</v>
      </c>
      <c r="K226" t="n">
        <v>0</v>
      </c>
      <c r="L226" t="n">
        <v>1</v>
      </c>
      <c r="M226" t="n">
        <v>0</v>
      </c>
      <c r="N226" t="n">
        <v>0</v>
      </c>
      <c r="O226" t="n">
        <v>1</v>
      </c>
      <c r="P226" t="n">
        <v>1</v>
      </c>
      <c r="Q226" t="n">
        <v>2</v>
      </c>
      <c r="R226" s="2" t="inlineStr">
        <is>
          <t>Pärluggla
Utter</t>
        </is>
      </c>
      <c r="S226">
        <f>HYPERLINK("https://klasma.github.io/Logging_2305/artfynd/A 3247-2025 artfynd.xlsx", "A 3247-2025")</f>
        <v/>
      </c>
      <c r="T226">
        <f>HYPERLINK("https://klasma.github.io/Logging_2305/kartor/A 3247-2025 karta.png", "A 3247-2025")</f>
        <v/>
      </c>
      <c r="V226">
        <f>HYPERLINK("https://klasma.github.io/Logging_2305/klagomål/A 3247-2025 FSC-klagomål.docx", "A 3247-2025")</f>
        <v/>
      </c>
      <c r="W226">
        <f>HYPERLINK("https://klasma.github.io/Logging_2305/klagomålsmail/A 3247-2025 FSC-klagomål mail.docx", "A 3247-2025")</f>
        <v/>
      </c>
      <c r="X226">
        <f>HYPERLINK("https://klasma.github.io/Logging_2305/tillsyn/A 3247-2025 tillsynsbegäran.docx", "A 3247-2025")</f>
        <v/>
      </c>
      <c r="Y226">
        <f>HYPERLINK("https://klasma.github.io/Logging_2305/tillsynsmail/A 3247-2025 tillsynsbegäran mail.docx", "A 3247-2025")</f>
        <v/>
      </c>
      <c r="Z226">
        <f>HYPERLINK("https://klasma.github.io/Logging_2305/fåglar/A 3247-2025 prioriterade fågelarter.docx", "A 3247-2025")</f>
        <v/>
      </c>
    </row>
    <row r="227" ht="15" customHeight="1">
      <c r="A227" t="inlineStr">
        <is>
          <t>A 54035-2021</t>
        </is>
      </c>
      <c r="B227" s="1" t="n">
        <v>44470</v>
      </c>
      <c r="C227" s="1" t="n">
        <v>46200</v>
      </c>
      <c r="D227" t="inlineStr">
        <is>
          <t>JÄMTLANDS LÄN</t>
        </is>
      </c>
      <c r="E227" t="inlineStr">
        <is>
          <t>BRÄCKE</t>
        </is>
      </c>
      <c r="G227" t="n">
        <v>1.3</v>
      </c>
      <c r="H227" t="n">
        <v>1</v>
      </c>
      <c r="I227" t="n">
        <v>0</v>
      </c>
      <c r="J227" t="n">
        <v>1</v>
      </c>
      <c r="K227" t="n">
        <v>0</v>
      </c>
      <c r="L227" t="n">
        <v>0</v>
      </c>
      <c r="M227" t="n">
        <v>0</v>
      </c>
      <c r="N227" t="n">
        <v>0</v>
      </c>
      <c r="O227" t="n">
        <v>1</v>
      </c>
      <c r="P227" t="n">
        <v>0</v>
      </c>
      <c r="Q227" t="n">
        <v>2</v>
      </c>
      <c r="R227" s="2" t="inlineStr">
        <is>
          <t>Skrovellav
Revlummer</t>
        </is>
      </c>
      <c r="S227">
        <f>HYPERLINK("https://klasma.github.io/Logging_2305/artfynd/A 54035-2021 artfynd.xlsx", "A 54035-2021")</f>
        <v/>
      </c>
      <c r="T227">
        <f>HYPERLINK("https://klasma.github.io/Logging_2305/kartor/A 54035-2021 karta.png", "A 54035-2021")</f>
        <v/>
      </c>
      <c r="V227">
        <f>HYPERLINK("https://klasma.github.io/Logging_2305/klagomål/A 54035-2021 FSC-klagomål.docx", "A 54035-2021")</f>
        <v/>
      </c>
      <c r="W227">
        <f>HYPERLINK("https://klasma.github.io/Logging_2305/klagomålsmail/A 54035-2021 FSC-klagomål mail.docx", "A 54035-2021")</f>
        <v/>
      </c>
      <c r="X227">
        <f>HYPERLINK("https://klasma.github.io/Logging_2305/tillsyn/A 54035-2021 tillsynsbegäran.docx", "A 54035-2021")</f>
        <v/>
      </c>
      <c r="Y227">
        <f>HYPERLINK("https://klasma.github.io/Logging_2305/tillsynsmail/A 54035-2021 tillsynsbegäran mail.docx", "A 54035-2021")</f>
        <v/>
      </c>
    </row>
    <row r="228" ht="15" customHeight="1">
      <c r="A228" t="inlineStr">
        <is>
          <t>A 27279-2025</t>
        </is>
      </c>
      <c r="B228" s="1" t="n">
        <v>45812</v>
      </c>
      <c r="C228" s="1" t="n">
        <v>46200</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58449-2024</t>
        </is>
      </c>
      <c r="B229" s="1" t="n">
        <v>45635</v>
      </c>
      <c r="C229" s="1" t="n">
        <v>46200</v>
      </c>
      <c r="D229" t="inlineStr">
        <is>
          <t>JÄMTLANDS LÄN</t>
        </is>
      </c>
      <c r="E229" t="inlineStr">
        <is>
          <t>BRÄCKE</t>
        </is>
      </c>
      <c r="F229" t="inlineStr">
        <is>
          <t>SCA</t>
        </is>
      </c>
      <c r="G229" t="n">
        <v>4.4</v>
      </c>
      <c r="H229" t="n">
        <v>0</v>
      </c>
      <c r="I229" t="n">
        <v>2</v>
      </c>
      <c r="J229" t="n">
        <v>0</v>
      </c>
      <c r="K229" t="n">
        <v>0</v>
      </c>
      <c r="L229" t="n">
        <v>0</v>
      </c>
      <c r="M229" t="n">
        <v>0</v>
      </c>
      <c r="N229" t="n">
        <v>0</v>
      </c>
      <c r="O229" t="n">
        <v>0</v>
      </c>
      <c r="P229" t="n">
        <v>0</v>
      </c>
      <c r="Q229" t="n">
        <v>2</v>
      </c>
      <c r="R229" s="2" t="inlineStr">
        <is>
          <t>Korallblylav
Stor aspticka</t>
        </is>
      </c>
      <c r="S229">
        <f>HYPERLINK("https://klasma.github.io/Logging_2305/artfynd/A 58449-2024 artfynd.xlsx", "A 58449-2024")</f>
        <v/>
      </c>
      <c r="T229">
        <f>HYPERLINK("https://klasma.github.io/Logging_2305/kartor/A 58449-2024 karta.png", "A 58449-2024")</f>
        <v/>
      </c>
      <c r="V229">
        <f>HYPERLINK("https://klasma.github.io/Logging_2305/klagomål/A 58449-2024 FSC-klagomål.docx", "A 58449-2024")</f>
        <v/>
      </c>
      <c r="W229">
        <f>HYPERLINK("https://klasma.github.io/Logging_2305/klagomålsmail/A 58449-2024 FSC-klagomål mail.docx", "A 58449-2024")</f>
        <v/>
      </c>
      <c r="X229">
        <f>HYPERLINK("https://klasma.github.io/Logging_2305/tillsyn/A 58449-2024 tillsynsbegäran.docx", "A 58449-2024")</f>
        <v/>
      </c>
      <c r="Y229">
        <f>HYPERLINK("https://klasma.github.io/Logging_2305/tillsynsmail/A 58449-2024 tillsynsbegäran mail.docx", "A 58449-2024")</f>
        <v/>
      </c>
    </row>
    <row r="230" ht="15" customHeight="1">
      <c r="A230" t="inlineStr">
        <is>
          <t>A 14838-2025</t>
        </is>
      </c>
      <c r="B230" s="1" t="n">
        <v>45743</v>
      </c>
      <c r="C230" s="1" t="n">
        <v>46200</v>
      </c>
      <c r="D230" t="inlineStr">
        <is>
          <t>JÄMTLANDS LÄN</t>
        </is>
      </c>
      <c r="E230" t="inlineStr">
        <is>
          <t>BRÄCKE</t>
        </is>
      </c>
      <c r="G230" t="n">
        <v>1.3</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14838-2025 artfynd.xlsx", "A 14838-2025")</f>
        <v/>
      </c>
      <c r="T230">
        <f>HYPERLINK("https://klasma.github.io/Logging_2305/kartor/A 14838-2025 karta.png", "A 14838-2025")</f>
        <v/>
      </c>
      <c r="V230">
        <f>HYPERLINK("https://klasma.github.io/Logging_2305/klagomål/A 14838-2025 FSC-klagomål.docx", "A 14838-2025")</f>
        <v/>
      </c>
      <c r="W230">
        <f>HYPERLINK("https://klasma.github.io/Logging_2305/klagomålsmail/A 14838-2025 FSC-klagomål mail.docx", "A 14838-2025")</f>
        <v/>
      </c>
      <c r="X230">
        <f>HYPERLINK("https://klasma.github.io/Logging_2305/tillsyn/A 14838-2025 tillsynsbegäran.docx", "A 14838-2025")</f>
        <v/>
      </c>
      <c r="Y230">
        <f>HYPERLINK("https://klasma.github.io/Logging_2305/tillsynsmail/A 14838-2025 tillsynsbegäran mail.docx", "A 14838-2025")</f>
        <v/>
      </c>
    </row>
    <row r="231" ht="15" customHeight="1">
      <c r="A231" t="inlineStr">
        <is>
          <t>A 49328-2023</t>
        </is>
      </c>
      <c r="B231" s="1" t="n">
        <v>45210</v>
      </c>
      <c r="C231" s="1" t="n">
        <v>46200</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49330-2023</t>
        </is>
      </c>
      <c r="B232" s="1" t="n">
        <v>45210</v>
      </c>
      <c r="C232" s="1" t="n">
        <v>46200</v>
      </c>
      <c r="D232" t="inlineStr">
        <is>
          <t>JÄMTLANDS LÄN</t>
        </is>
      </c>
      <c r="E232" t="inlineStr">
        <is>
          <t>BRÄCKE</t>
        </is>
      </c>
      <c r="F232" t="inlineStr">
        <is>
          <t>SCA</t>
        </is>
      </c>
      <c r="G232" t="n">
        <v>3.8</v>
      </c>
      <c r="H232" t="n">
        <v>0</v>
      </c>
      <c r="I232" t="n">
        <v>0</v>
      </c>
      <c r="J232" t="n">
        <v>1</v>
      </c>
      <c r="K232" t="n">
        <v>1</v>
      </c>
      <c r="L232" t="n">
        <v>0</v>
      </c>
      <c r="M232" t="n">
        <v>0</v>
      </c>
      <c r="N232" t="n">
        <v>0</v>
      </c>
      <c r="O232" t="n">
        <v>2</v>
      </c>
      <c r="P232" t="n">
        <v>1</v>
      </c>
      <c r="Q232" t="n">
        <v>2</v>
      </c>
      <c r="R232" s="2" t="inlineStr">
        <is>
          <t>Garnlav
Dvärgbägarlav</t>
        </is>
      </c>
      <c r="S232">
        <f>HYPERLINK("https://klasma.github.io/Logging_2305/artfynd/A 49330-2023 artfynd.xlsx", "A 49330-2023")</f>
        <v/>
      </c>
      <c r="T232">
        <f>HYPERLINK("https://klasma.github.io/Logging_2305/kartor/A 49330-2023 karta.png", "A 49330-2023")</f>
        <v/>
      </c>
      <c r="V232">
        <f>HYPERLINK("https://klasma.github.io/Logging_2305/klagomål/A 49330-2023 FSC-klagomål.docx", "A 49330-2023")</f>
        <v/>
      </c>
      <c r="W232">
        <f>HYPERLINK("https://klasma.github.io/Logging_2305/klagomålsmail/A 49330-2023 FSC-klagomål mail.docx", "A 49330-2023")</f>
        <v/>
      </c>
      <c r="X232">
        <f>HYPERLINK("https://klasma.github.io/Logging_2305/tillsyn/A 49330-2023 tillsynsbegäran.docx", "A 49330-2023")</f>
        <v/>
      </c>
      <c r="Y232">
        <f>HYPERLINK("https://klasma.github.io/Logging_2305/tillsynsmail/A 49330-2023 tillsynsbegäran mail.docx", "A 49330-2023")</f>
        <v/>
      </c>
    </row>
    <row r="233" ht="15" customHeight="1">
      <c r="A233" t="inlineStr">
        <is>
          <t>A 29690-2024</t>
        </is>
      </c>
      <c r="B233" s="1" t="n">
        <v>45484</v>
      </c>
      <c r="C233" s="1" t="n">
        <v>46200</v>
      </c>
      <c r="D233" t="inlineStr">
        <is>
          <t>JÄMTLANDS LÄN</t>
        </is>
      </c>
      <c r="E233" t="inlineStr">
        <is>
          <t>BRÄCKE</t>
        </is>
      </c>
      <c r="F233" t="inlineStr">
        <is>
          <t>SCA</t>
        </is>
      </c>
      <c r="G233" t="n">
        <v>12.7</v>
      </c>
      <c r="H233" t="n">
        <v>0</v>
      </c>
      <c r="I233" t="n">
        <v>1</v>
      </c>
      <c r="J233" t="n">
        <v>0</v>
      </c>
      <c r="K233" t="n">
        <v>1</v>
      </c>
      <c r="L233" t="n">
        <v>0</v>
      </c>
      <c r="M233" t="n">
        <v>0</v>
      </c>
      <c r="N233" t="n">
        <v>0</v>
      </c>
      <c r="O233" t="n">
        <v>1</v>
      </c>
      <c r="P233" t="n">
        <v>1</v>
      </c>
      <c r="Q233" t="n">
        <v>2</v>
      </c>
      <c r="R233" s="2" t="inlineStr">
        <is>
          <t>Garnlav
Vedticka</t>
        </is>
      </c>
      <c r="S233">
        <f>HYPERLINK("https://klasma.github.io/Logging_2305/artfynd/A 29690-2024 artfynd.xlsx", "A 29690-2024")</f>
        <v/>
      </c>
      <c r="T233">
        <f>HYPERLINK("https://klasma.github.io/Logging_2305/kartor/A 29690-2024 karta.png", "A 29690-2024")</f>
        <v/>
      </c>
      <c r="V233">
        <f>HYPERLINK("https://klasma.github.io/Logging_2305/klagomål/A 29690-2024 FSC-klagomål.docx", "A 29690-2024")</f>
        <v/>
      </c>
      <c r="W233">
        <f>HYPERLINK("https://klasma.github.io/Logging_2305/klagomålsmail/A 29690-2024 FSC-klagomål mail.docx", "A 29690-2024")</f>
        <v/>
      </c>
      <c r="X233">
        <f>HYPERLINK("https://klasma.github.io/Logging_2305/tillsyn/A 29690-2024 tillsynsbegäran.docx", "A 29690-2024")</f>
        <v/>
      </c>
      <c r="Y233">
        <f>HYPERLINK("https://klasma.github.io/Logging_2305/tillsynsmail/A 29690-2024 tillsynsbegäran mail.docx", "A 29690-2024")</f>
        <v/>
      </c>
    </row>
    <row r="234" ht="15" customHeight="1">
      <c r="A234" t="inlineStr">
        <is>
          <t>A 55343-2023</t>
        </is>
      </c>
      <c r="B234" s="1" t="n">
        <v>45237</v>
      </c>
      <c r="C234" s="1" t="n">
        <v>46200</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v>
      </c>
      <c r="C235" s="1" t="n">
        <v>46200</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17992-2025</t>
        </is>
      </c>
      <c r="B236" s="1" t="n">
        <v>45761</v>
      </c>
      <c r="C236" s="1" t="n">
        <v>46200</v>
      </c>
      <c r="D236" t="inlineStr">
        <is>
          <t>JÄMTLANDS LÄN</t>
        </is>
      </c>
      <c r="E236" t="inlineStr">
        <is>
          <t>BRÄCKE</t>
        </is>
      </c>
      <c r="F236" t="inlineStr">
        <is>
          <t>SCA</t>
        </is>
      </c>
      <c r="G236" t="n">
        <v>1.4</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17992-2025 artfynd.xlsx", "A 17992-2025")</f>
        <v/>
      </c>
      <c r="T236">
        <f>HYPERLINK("https://klasma.github.io/Logging_2305/kartor/A 17992-2025 karta.png", "A 17992-2025")</f>
        <v/>
      </c>
      <c r="V236">
        <f>HYPERLINK("https://klasma.github.io/Logging_2305/klagomål/A 17992-2025 FSC-klagomål.docx", "A 17992-2025")</f>
        <v/>
      </c>
      <c r="W236">
        <f>HYPERLINK("https://klasma.github.io/Logging_2305/klagomålsmail/A 17992-2025 FSC-klagomål mail.docx", "A 17992-2025")</f>
        <v/>
      </c>
      <c r="X236">
        <f>HYPERLINK("https://klasma.github.io/Logging_2305/tillsyn/A 17992-2025 tillsynsbegäran.docx", "A 17992-2025")</f>
        <v/>
      </c>
      <c r="Y236">
        <f>HYPERLINK("https://klasma.github.io/Logging_2305/tillsynsmail/A 17992-2025 tillsynsbegäran mail.docx", "A 17992-2025")</f>
        <v/>
      </c>
    </row>
    <row r="237" ht="15" customHeight="1">
      <c r="A237" t="inlineStr">
        <is>
          <t>A 32566-2025</t>
        </is>
      </c>
      <c r="B237" s="1" t="n">
        <v>45838</v>
      </c>
      <c r="C237" s="1" t="n">
        <v>46200</v>
      </c>
      <c r="D237" t="inlineStr">
        <is>
          <t>JÄMTLANDS LÄN</t>
        </is>
      </c>
      <c r="E237" t="inlineStr">
        <is>
          <t>BRÄCKE</t>
        </is>
      </c>
      <c r="F237" t="inlineStr">
        <is>
          <t>SCA</t>
        </is>
      </c>
      <c r="G237" t="n">
        <v>1.6</v>
      </c>
      <c r="H237" t="n">
        <v>0</v>
      </c>
      <c r="I237" t="n">
        <v>2</v>
      </c>
      <c r="J237" t="n">
        <v>0</v>
      </c>
      <c r="K237" t="n">
        <v>0</v>
      </c>
      <c r="L237" t="n">
        <v>0</v>
      </c>
      <c r="M237" t="n">
        <v>0</v>
      </c>
      <c r="N237" t="n">
        <v>0</v>
      </c>
      <c r="O237" t="n">
        <v>0</v>
      </c>
      <c r="P237" t="n">
        <v>0</v>
      </c>
      <c r="Q237" t="n">
        <v>2</v>
      </c>
      <c r="R237" s="2" t="inlineStr">
        <is>
          <t>Skinnlav
Vedticka</t>
        </is>
      </c>
      <c r="S237">
        <f>HYPERLINK("https://klasma.github.io/Logging_2305/artfynd/A 32566-2025 artfynd.xlsx", "A 32566-2025")</f>
        <v/>
      </c>
      <c r="T237">
        <f>HYPERLINK("https://klasma.github.io/Logging_2305/kartor/A 32566-2025 karta.png", "A 32566-2025")</f>
        <v/>
      </c>
      <c r="V237">
        <f>HYPERLINK("https://klasma.github.io/Logging_2305/klagomål/A 32566-2025 FSC-klagomål.docx", "A 32566-2025")</f>
        <v/>
      </c>
      <c r="W237">
        <f>HYPERLINK("https://klasma.github.io/Logging_2305/klagomålsmail/A 32566-2025 FSC-klagomål mail.docx", "A 32566-2025")</f>
        <v/>
      </c>
      <c r="X237">
        <f>HYPERLINK("https://klasma.github.io/Logging_2305/tillsyn/A 32566-2025 tillsynsbegäran.docx", "A 32566-2025")</f>
        <v/>
      </c>
      <c r="Y237">
        <f>HYPERLINK("https://klasma.github.io/Logging_2305/tillsynsmail/A 32566-2025 tillsynsbegäran mail.docx", "A 32566-2025")</f>
        <v/>
      </c>
    </row>
    <row r="238" ht="15" customHeight="1">
      <c r="A238" t="inlineStr">
        <is>
          <t>A 47498-2023</t>
        </is>
      </c>
      <c r="B238" s="1" t="n">
        <v>45202</v>
      </c>
      <c r="C238" s="1" t="n">
        <v>46200</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40401-2023</t>
        </is>
      </c>
      <c r="B239" s="1" t="n">
        <v>45169</v>
      </c>
      <c r="C239" s="1" t="n">
        <v>46200</v>
      </c>
      <c r="D239" t="inlineStr">
        <is>
          <t>JÄMTLANDS LÄN</t>
        </is>
      </c>
      <c r="E239" t="inlineStr">
        <is>
          <t>BRÄCKE</t>
        </is>
      </c>
      <c r="F239" t="inlineStr">
        <is>
          <t>SCA</t>
        </is>
      </c>
      <c r="G239" t="n">
        <v>2</v>
      </c>
      <c r="H239" t="n">
        <v>0</v>
      </c>
      <c r="I239" t="n">
        <v>0</v>
      </c>
      <c r="J239" t="n">
        <v>2</v>
      </c>
      <c r="K239" t="n">
        <v>0</v>
      </c>
      <c r="L239" t="n">
        <v>0</v>
      </c>
      <c r="M239" t="n">
        <v>0</v>
      </c>
      <c r="N239" t="n">
        <v>0</v>
      </c>
      <c r="O239" t="n">
        <v>2</v>
      </c>
      <c r="P239" t="n">
        <v>0</v>
      </c>
      <c r="Q239" t="n">
        <v>2</v>
      </c>
      <c r="R239" s="2" t="inlineStr">
        <is>
          <t>Dropptaggsvamp
Ullticka</t>
        </is>
      </c>
      <c r="S239">
        <f>HYPERLINK("https://klasma.github.io/Logging_2305/artfynd/A 40401-2023 artfynd.xlsx", "A 40401-2023")</f>
        <v/>
      </c>
      <c r="T239">
        <f>HYPERLINK("https://klasma.github.io/Logging_2305/kartor/A 40401-2023 karta.png", "A 40401-2023")</f>
        <v/>
      </c>
      <c r="V239">
        <f>HYPERLINK("https://klasma.github.io/Logging_2305/klagomål/A 40401-2023 FSC-klagomål.docx", "A 40401-2023")</f>
        <v/>
      </c>
      <c r="W239">
        <f>HYPERLINK("https://klasma.github.io/Logging_2305/klagomålsmail/A 40401-2023 FSC-klagomål mail.docx", "A 40401-2023")</f>
        <v/>
      </c>
      <c r="X239">
        <f>HYPERLINK("https://klasma.github.io/Logging_2305/tillsyn/A 40401-2023 tillsynsbegäran.docx", "A 40401-2023")</f>
        <v/>
      </c>
      <c r="Y239">
        <f>HYPERLINK("https://klasma.github.io/Logging_2305/tillsynsmail/A 40401-2023 tillsynsbegäran mail.docx", "A 40401-2023")</f>
        <v/>
      </c>
    </row>
    <row r="240" ht="15" customHeight="1">
      <c r="A240" t="inlineStr">
        <is>
          <t>A 33854-2025</t>
        </is>
      </c>
      <c r="B240" s="1" t="n">
        <v>45842</v>
      </c>
      <c r="C240" s="1" t="n">
        <v>46200</v>
      </c>
      <c r="D240" t="inlineStr">
        <is>
          <t>JÄMTLANDS LÄN</t>
        </is>
      </c>
      <c r="E240" t="inlineStr">
        <is>
          <t>BRÄCKE</t>
        </is>
      </c>
      <c r="F240" t="inlineStr">
        <is>
          <t>SCA</t>
        </is>
      </c>
      <c r="G240" t="n">
        <v>1.7</v>
      </c>
      <c r="H240" t="n">
        <v>0</v>
      </c>
      <c r="I240" t="n">
        <v>0</v>
      </c>
      <c r="J240" t="n">
        <v>1</v>
      </c>
      <c r="K240" t="n">
        <v>1</v>
      </c>
      <c r="L240" t="n">
        <v>0</v>
      </c>
      <c r="M240" t="n">
        <v>0</v>
      </c>
      <c r="N240" t="n">
        <v>0</v>
      </c>
      <c r="O240" t="n">
        <v>2</v>
      </c>
      <c r="P240" t="n">
        <v>1</v>
      </c>
      <c r="Q240" t="n">
        <v>2</v>
      </c>
      <c r="R240" s="2" t="inlineStr">
        <is>
          <t>Kopparspindling
Blekspindling agg.</t>
        </is>
      </c>
      <c r="S240">
        <f>HYPERLINK("https://klasma.github.io/Logging_2305/artfynd/A 33854-2025 artfynd.xlsx", "A 33854-2025")</f>
        <v/>
      </c>
      <c r="T240">
        <f>HYPERLINK("https://klasma.github.io/Logging_2305/kartor/A 33854-2025 karta.png", "A 33854-2025")</f>
        <v/>
      </c>
      <c r="V240">
        <f>HYPERLINK("https://klasma.github.io/Logging_2305/klagomål/A 33854-2025 FSC-klagomål.docx", "A 33854-2025")</f>
        <v/>
      </c>
      <c r="W240">
        <f>HYPERLINK("https://klasma.github.io/Logging_2305/klagomålsmail/A 33854-2025 FSC-klagomål mail.docx", "A 33854-2025")</f>
        <v/>
      </c>
      <c r="X240">
        <f>HYPERLINK("https://klasma.github.io/Logging_2305/tillsyn/A 33854-2025 tillsynsbegäran.docx", "A 33854-2025")</f>
        <v/>
      </c>
      <c r="Y240">
        <f>HYPERLINK("https://klasma.github.io/Logging_2305/tillsynsmail/A 33854-2025 tillsynsbegäran mail.docx", "A 33854-2025")</f>
        <v/>
      </c>
    </row>
    <row r="241" ht="15" customHeight="1">
      <c r="A241" t="inlineStr">
        <is>
          <t>A 725-2023</t>
        </is>
      </c>
      <c r="B241" s="1" t="n">
        <v>44930</v>
      </c>
      <c r="C241" s="1" t="n">
        <v>46200</v>
      </c>
      <c r="D241" t="inlineStr">
        <is>
          <t>JÄMTLANDS LÄN</t>
        </is>
      </c>
      <c r="E241" t="inlineStr">
        <is>
          <t>BRÄCKE</t>
        </is>
      </c>
      <c r="F241" t="inlineStr">
        <is>
          <t>SCA</t>
        </is>
      </c>
      <c r="G241" t="n">
        <v>0.9</v>
      </c>
      <c r="H241" t="n">
        <v>0</v>
      </c>
      <c r="I241" t="n">
        <v>0</v>
      </c>
      <c r="J241" t="n">
        <v>1</v>
      </c>
      <c r="K241" t="n">
        <v>1</v>
      </c>
      <c r="L241" t="n">
        <v>0</v>
      </c>
      <c r="M241" t="n">
        <v>0</v>
      </c>
      <c r="N241" t="n">
        <v>0</v>
      </c>
      <c r="O241" t="n">
        <v>2</v>
      </c>
      <c r="P241" t="n">
        <v>1</v>
      </c>
      <c r="Q241" t="n">
        <v>2</v>
      </c>
      <c r="R241" s="2" t="inlineStr">
        <is>
          <t>Gräddporing
Kolflarnlav</t>
        </is>
      </c>
      <c r="S241">
        <f>HYPERLINK("https://klasma.github.io/Logging_2305/artfynd/A 725-2023 artfynd.xlsx", "A 725-2023")</f>
        <v/>
      </c>
      <c r="T241">
        <f>HYPERLINK("https://klasma.github.io/Logging_2305/kartor/A 725-2023 karta.png", "A 725-2023")</f>
        <v/>
      </c>
      <c r="V241">
        <f>HYPERLINK("https://klasma.github.io/Logging_2305/klagomål/A 725-2023 FSC-klagomål.docx", "A 725-2023")</f>
        <v/>
      </c>
      <c r="W241">
        <f>HYPERLINK("https://klasma.github.io/Logging_2305/klagomålsmail/A 725-2023 FSC-klagomål mail.docx", "A 725-2023")</f>
        <v/>
      </c>
      <c r="X241">
        <f>HYPERLINK("https://klasma.github.io/Logging_2305/tillsyn/A 725-2023 tillsynsbegäran.docx", "A 725-2023")</f>
        <v/>
      </c>
      <c r="Y241">
        <f>HYPERLINK("https://klasma.github.io/Logging_2305/tillsynsmail/A 725-2023 tillsynsbegäran mail.docx", "A 725-2023")</f>
        <v/>
      </c>
    </row>
    <row r="242" ht="15" customHeight="1">
      <c r="A242" t="inlineStr">
        <is>
          <t>A 34460-2025</t>
        </is>
      </c>
      <c r="B242" s="1" t="n">
        <v>45847</v>
      </c>
      <c r="C242" s="1" t="n">
        <v>46200</v>
      </c>
      <c r="D242" t="inlineStr">
        <is>
          <t>JÄMTLANDS LÄN</t>
        </is>
      </c>
      <c r="E242" t="inlineStr">
        <is>
          <t>BRÄCKE</t>
        </is>
      </c>
      <c r="F242" t="inlineStr">
        <is>
          <t>SCA</t>
        </is>
      </c>
      <c r="G242" t="n">
        <v>0.8</v>
      </c>
      <c r="H242" t="n">
        <v>0</v>
      </c>
      <c r="I242" t="n">
        <v>1</v>
      </c>
      <c r="J242" t="n">
        <v>1</v>
      </c>
      <c r="K242" t="n">
        <v>0</v>
      </c>
      <c r="L242" t="n">
        <v>0</v>
      </c>
      <c r="M242" t="n">
        <v>0</v>
      </c>
      <c r="N242" t="n">
        <v>0</v>
      </c>
      <c r="O242" t="n">
        <v>1</v>
      </c>
      <c r="P242" t="n">
        <v>0</v>
      </c>
      <c r="Q242" t="n">
        <v>2</v>
      </c>
      <c r="R242" s="2" t="inlineStr">
        <is>
          <t>Reliktbock
Norrlandslav</t>
        </is>
      </c>
      <c r="S242">
        <f>HYPERLINK("https://klasma.github.io/Logging_2305/artfynd/A 34460-2025 artfynd.xlsx", "A 34460-2025")</f>
        <v/>
      </c>
      <c r="T242">
        <f>HYPERLINK("https://klasma.github.io/Logging_2305/kartor/A 34460-2025 karta.png", "A 34460-2025")</f>
        <v/>
      </c>
      <c r="V242">
        <f>HYPERLINK("https://klasma.github.io/Logging_2305/klagomål/A 34460-2025 FSC-klagomål.docx", "A 34460-2025")</f>
        <v/>
      </c>
      <c r="W242">
        <f>HYPERLINK("https://klasma.github.io/Logging_2305/klagomålsmail/A 34460-2025 FSC-klagomål mail.docx", "A 34460-2025")</f>
        <v/>
      </c>
      <c r="X242">
        <f>HYPERLINK("https://klasma.github.io/Logging_2305/tillsyn/A 34460-2025 tillsynsbegäran.docx", "A 34460-2025")</f>
        <v/>
      </c>
      <c r="Y242">
        <f>HYPERLINK("https://klasma.github.io/Logging_2305/tillsynsmail/A 34460-2025 tillsynsbegäran mail.docx", "A 34460-2025")</f>
        <v/>
      </c>
    </row>
    <row r="243" ht="15" customHeight="1">
      <c r="A243" t="inlineStr">
        <is>
          <t>A 35209-2025</t>
        </is>
      </c>
      <c r="B243" s="1" t="n">
        <v>45853</v>
      </c>
      <c r="C243" s="1" t="n">
        <v>46200</v>
      </c>
      <c r="D243" t="inlineStr">
        <is>
          <t>JÄMTLANDS LÄN</t>
        </is>
      </c>
      <c r="E243" t="inlineStr">
        <is>
          <t>BRÄCKE</t>
        </is>
      </c>
      <c r="F243" t="inlineStr">
        <is>
          <t>SCA</t>
        </is>
      </c>
      <c r="G243" t="n">
        <v>4</v>
      </c>
      <c r="H243" t="n">
        <v>0</v>
      </c>
      <c r="I243" t="n">
        <v>0</v>
      </c>
      <c r="J243" t="n">
        <v>1</v>
      </c>
      <c r="K243" t="n">
        <v>1</v>
      </c>
      <c r="L243" t="n">
        <v>0</v>
      </c>
      <c r="M243" t="n">
        <v>0</v>
      </c>
      <c r="N243" t="n">
        <v>0</v>
      </c>
      <c r="O243" t="n">
        <v>2</v>
      </c>
      <c r="P243" t="n">
        <v>1</v>
      </c>
      <c r="Q243" t="n">
        <v>2</v>
      </c>
      <c r="R243" s="2" t="inlineStr">
        <is>
          <t>Garnlav
Lunglav</t>
        </is>
      </c>
      <c r="S243">
        <f>HYPERLINK("https://klasma.github.io/Logging_2305/artfynd/A 35209-2025 artfynd.xlsx", "A 35209-2025")</f>
        <v/>
      </c>
      <c r="T243">
        <f>HYPERLINK("https://klasma.github.io/Logging_2305/kartor/A 35209-2025 karta.png", "A 35209-2025")</f>
        <v/>
      </c>
      <c r="V243">
        <f>HYPERLINK("https://klasma.github.io/Logging_2305/klagomål/A 35209-2025 FSC-klagomål.docx", "A 35209-2025")</f>
        <v/>
      </c>
      <c r="W243">
        <f>HYPERLINK("https://klasma.github.io/Logging_2305/klagomålsmail/A 35209-2025 FSC-klagomål mail.docx", "A 35209-2025")</f>
        <v/>
      </c>
      <c r="X243">
        <f>HYPERLINK("https://klasma.github.io/Logging_2305/tillsyn/A 35209-2025 tillsynsbegäran.docx", "A 35209-2025")</f>
        <v/>
      </c>
      <c r="Y243">
        <f>HYPERLINK("https://klasma.github.io/Logging_2305/tillsynsmail/A 35209-2025 tillsynsbegäran mail.docx", "A 35209-2025")</f>
        <v/>
      </c>
    </row>
    <row r="244" ht="15" customHeight="1">
      <c r="A244" t="inlineStr">
        <is>
          <t>A 10105-2025</t>
        </is>
      </c>
      <c r="B244" s="1" t="n">
        <v>45719</v>
      </c>
      <c r="C244" s="1" t="n">
        <v>46200</v>
      </c>
      <c r="D244" t="inlineStr">
        <is>
          <t>JÄMTLANDS LÄN</t>
        </is>
      </c>
      <c r="E244" t="inlineStr">
        <is>
          <t>BRÄCKE</t>
        </is>
      </c>
      <c r="G244" t="n">
        <v>0.6</v>
      </c>
      <c r="H244" t="n">
        <v>0</v>
      </c>
      <c r="I244" t="n">
        <v>0</v>
      </c>
      <c r="J244" t="n">
        <v>1</v>
      </c>
      <c r="K244" t="n">
        <v>1</v>
      </c>
      <c r="L244" t="n">
        <v>0</v>
      </c>
      <c r="M244" t="n">
        <v>0</v>
      </c>
      <c r="N244" t="n">
        <v>0</v>
      </c>
      <c r="O244" t="n">
        <v>2</v>
      </c>
      <c r="P244" t="n">
        <v>1</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35579-2025</t>
        </is>
      </c>
      <c r="B245" s="1" t="n">
        <v>45856</v>
      </c>
      <c r="C245" s="1" t="n">
        <v>46200</v>
      </c>
      <c r="D245" t="inlineStr">
        <is>
          <t>JÄMTLANDS LÄN</t>
        </is>
      </c>
      <c r="E245" t="inlineStr">
        <is>
          <t>BRÄCKE</t>
        </is>
      </c>
      <c r="F245" t="inlineStr">
        <is>
          <t>SCA</t>
        </is>
      </c>
      <c r="G245" t="n">
        <v>5.2</v>
      </c>
      <c r="H245" t="n">
        <v>0</v>
      </c>
      <c r="I245" t="n">
        <v>0</v>
      </c>
      <c r="J245" t="n">
        <v>2</v>
      </c>
      <c r="K245" t="n">
        <v>0</v>
      </c>
      <c r="L245" t="n">
        <v>0</v>
      </c>
      <c r="M245" t="n">
        <v>0</v>
      </c>
      <c r="N245" t="n">
        <v>0</v>
      </c>
      <c r="O245" t="n">
        <v>2</v>
      </c>
      <c r="P245" t="n">
        <v>0</v>
      </c>
      <c r="Q245" t="n">
        <v>2</v>
      </c>
      <c r="R245" s="2" t="inlineStr">
        <is>
          <t>Lunglav
Tallticka</t>
        </is>
      </c>
      <c r="S245">
        <f>HYPERLINK("https://klasma.github.io/Logging_2305/artfynd/A 35579-2025 artfynd.xlsx", "A 35579-2025")</f>
        <v/>
      </c>
      <c r="T245">
        <f>HYPERLINK("https://klasma.github.io/Logging_2305/kartor/A 35579-2025 karta.png", "A 35579-2025")</f>
        <v/>
      </c>
      <c r="V245">
        <f>HYPERLINK("https://klasma.github.io/Logging_2305/klagomål/A 35579-2025 FSC-klagomål.docx", "A 35579-2025")</f>
        <v/>
      </c>
      <c r="W245">
        <f>HYPERLINK("https://klasma.github.io/Logging_2305/klagomålsmail/A 35579-2025 FSC-klagomål mail.docx", "A 35579-2025")</f>
        <v/>
      </c>
      <c r="X245">
        <f>HYPERLINK("https://klasma.github.io/Logging_2305/tillsyn/A 35579-2025 tillsynsbegäran.docx", "A 35579-2025")</f>
        <v/>
      </c>
      <c r="Y245">
        <f>HYPERLINK("https://klasma.github.io/Logging_2305/tillsynsmail/A 35579-2025 tillsynsbegäran mail.docx", "A 35579-2025")</f>
        <v/>
      </c>
    </row>
    <row r="246" ht="15" customHeight="1">
      <c r="A246" t="inlineStr">
        <is>
          <t>A 37248-2025</t>
        </is>
      </c>
      <c r="B246" s="1" t="n">
        <v>45876</v>
      </c>
      <c r="C246" s="1" t="n">
        <v>46200</v>
      </c>
      <c r="D246" t="inlineStr">
        <is>
          <t>JÄMTLANDS LÄN</t>
        </is>
      </c>
      <c r="E246" t="inlineStr">
        <is>
          <t>BRÄCKE</t>
        </is>
      </c>
      <c r="F246" t="inlineStr">
        <is>
          <t>SCA</t>
        </is>
      </c>
      <c r="G246" t="n">
        <v>5</v>
      </c>
      <c r="H246" t="n">
        <v>0</v>
      </c>
      <c r="I246" t="n">
        <v>1</v>
      </c>
      <c r="J246" t="n">
        <v>1</v>
      </c>
      <c r="K246" t="n">
        <v>0</v>
      </c>
      <c r="L246" t="n">
        <v>0</v>
      </c>
      <c r="M246" t="n">
        <v>0</v>
      </c>
      <c r="N246" t="n">
        <v>0</v>
      </c>
      <c r="O246" t="n">
        <v>1</v>
      </c>
      <c r="P246" t="n">
        <v>0</v>
      </c>
      <c r="Q246" t="n">
        <v>2</v>
      </c>
      <c r="R246" s="2" t="inlineStr">
        <is>
          <t>Dropptaggsvamp
Vedticka</t>
        </is>
      </c>
      <c r="S246">
        <f>HYPERLINK("https://klasma.github.io/Logging_2305/artfynd/A 37248-2025 artfynd.xlsx", "A 37248-2025")</f>
        <v/>
      </c>
      <c r="T246">
        <f>HYPERLINK("https://klasma.github.io/Logging_2305/kartor/A 37248-2025 karta.png", "A 37248-2025")</f>
        <v/>
      </c>
      <c r="V246">
        <f>HYPERLINK("https://klasma.github.io/Logging_2305/klagomål/A 37248-2025 FSC-klagomål.docx", "A 37248-2025")</f>
        <v/>
      </c>
      <c r="W246">
        <f>HYPERLINK("https://klasma.github.io/Logging_2305/klagomålsmail/A 37248-2025 FSC-klagomål mail.docx", "A 37248-2025")</f>
        <v/>
      </c>
      <c r="X246">
        <f>HYPERLINK("https://klasma.github.io/Logging_2305/tillsyn/A 37248-2025 tillsynsbegäran.docx", "A 37248-2025")</f>
        <v/>
      </c>
      <c r="Y246">
        <f>HYPERLINK("https://klasma.github.io/Logging_2305/tillsynsmail/A 37248-2025 tillsynsbegäran mail.docx", "A 37248-2025")</f>
        <v/>
      </c>
    </row>
    <row r="247" ht="15" customHeight="1">
      <c r="A247" t="inlineStr">
        <is>
          <t>A 20909-2025</t>
        </is>
      </c>
      <c r="B247" s="1" t="n">
        <v>45777</v>
      </c>
      <c r="C247" s="1" t="n">
        <v>46200</v>
      </c>
      <c r="D247" t="inlineStr">
        <is>
          <t>JÄMTLANDS LÄN</t>
        </is>
      </c>
      <c r="E247" t="inlineStr">
        <is>
          <t>BRÄCKE</t>
        </is>
      </c>
      <c r="F247" t="inlineStr">
        <is>
          <t>SCA</t>
        </is>
      </c>
      <c r="G247" t="n">
        <v>1.5</v>
      </c>
      <c r="H247" t="n">
        <v>0</v>
      </c>
      <c r="I247" t="n">
        <v>0</v>
      </c>
      <c r="J247" t="n">
        <v>1</v>
      </c>
      <c r="K247" t="n">
        <v>1</v>
      </c>
      <c r="L247" t="n">
        <v>0</v>
      </c>
      <c r="M247" t="n">
        <v>0</v>
      </c>
      <c r="N247" t="n">
        <v>0</v>
      </c>
      <c r="O247" t="n">
        <v>2</v>
      </c>
      <c r="P247" t="n">
        <v>1</v>
      </c>
      <c r="Q247" t="n">
        <v>2</v>
      </c>
      <c r="R247" s="2" t="inlineStr">
        <is>
          <t>Gräddporing
Vedflamlav</t>
        </is>
      </c>
      <c r="S247">
        <f>HYPERLINK("https://klasma.github.io/Logging_2305/artfynd/A 20909-2025 artfynd.xlsx", "A 20909-2025")</f>
        <v/>
      </c>
      <c r="T247">
        <f>HYPERLINK("https://klasma.github.io/Logging_2305/kartor/A 20909-2025 karta.png", "A 20909-2025")</f>
        <v/>
      </c>
      <c r="V247">
        <f>HYPERLINK("https://klasma.github.io/Logging_2305/klagomål/A 20909-2025 FSC-klagomål.docx", "A 20909-2025")</f>
        <v/>
      </c>
      <c r="W247">
        <f>HYPERLINK("https://klasma.github.io/Logging_2305/klagomålsmail/A 20909-2025 FSC-klagomål mail.docx", "A 20909-2025")</f>
        <v/>
      </c>
      <c r="X247">
        <f>HYPERLINK("https://klasma.github.io/Logging_2305/tillsyn/A 20909-2025 tillsynsbegäran.docx", "A 20909-2025")</f>
        <v/>
      </c>
      <c r="Y247">
        <f>HYPERLINK("https://klasma.github.io/Logging_2305/tillsynsmail/A 20909-2025 tillsynsbegäran mail.docx", "A 20909-2025")</f>
        <v/>
      </c>
    </row>
    <row r="248" ht="15" customHeight="1">
      <c r="A248" t="inlineStr">
        <is>
          <t>A 38030-2025</t>
        </is>
      </c>
      <c r="B248" s="1" t="n">
        <v>45882</v>
      </c>
      <c r="C248" s="1" t="n">
        <v>46200</v>
      </c>
      <c r="D248" t="inlineStr">
        <is>
          <t>JÄMTLANDS LÄN</t>
        </is>
      </c>
      <c r="E248" t="inlineStr">
        <is>
          <t>BRÄCKE</t>
        </is>
      </c>
      <c r="F248" t="inlineStr">
        <is>
          <t>SCA</t>
        </is>
      </c>
      <c r="G248" t="n">
        <v>11.6</v>
      </c>
      <c r="H248" t="n">
        <v>0</v>
      </c>
      <c r="I248" t="n">
        <v>0</v>
      </c>
      <c r="J248" t="n">
        <v>2</v>
      </c>
      <c r="K248" t="n">
        <v>0</v>
      </c>
      <c r="L248" t="n">
        <v>0</v>
      </c>
      <c r="M248" t="n">
        <v>0</v>
      </c>
      <c r="N248" t="n">
        <v>0</v>
      </c>
      <c r="O248" t="n">
        <v>2</v>
      </c>
      <c r="P248" t="n">
        <v>0</v>
      </c>
      <c r="Q248" t="n">
        <v>2</v>
      </c>
      <c r="R248" s="2" t="inlineStr">
        <is>
          <t>Lunglav
Violettgrå tagellav</t>
        </is>
      </c>
      <c r="S248">
        <f>HYPERLINK("https://klasma.github.io/Logging_2305/artfynd/A 38030-2025 artfynd.xlsx", "A 38030-2025")</f>
        <v/>
      </c>
      <c r="T248">
        <f>HYPERLINK("https://klasma.github.io/Logging_2305/kartor/A 38030-2025 karta.png", "A 38030-2025")</f>
        <v/>
      </c>
      <c r="V248">
        <f>HYPERLINK("https://klasma.github.io/Logging_2305/klagomål/A 38030-2025 FSC-klagomål.docx", "A 38030-2025")</f>
        <v/>
      </c>
      <c r="W248">
        <f>HYPERLINK("https://klasma.github.io/Logging_2305/klagomålsmail/A 38030-2025 FSC-klagomål mail.docx", "A 38030-2025")</f>
        <v/>
      </c>
      <c r="X248">
        <f>HYPERLINK("https://klasma.github.io/Logging_2305/tillsyn/A 38030-2025 tillsynsbegäran.docx", "A 38030-2025")</f>
        <v/>
      </c>
      <c r="Y248">
        <f>HYPERLINK("https://klasma.github.io/Logging_2305/tillsynsmail/A 38030-2025 tillsynsbegäran mail.docx", "A 38030-2025")</f>
        <v/>
      </c>
    </row>
    <row r="249" ht="15" customHeight="1">
      <c r="A249" t="inlineStr">
        <is>
          <t>A 38304-2025</t>
        </is>
      </c>
      <c r="B249" s="1" t="n">
        <v>45883</v>
      </c>
      <c r="C249" s="1" t="n">
        <v>46200</v>
      </c>
      <c r="D249" t="inlineStr">
        <is>
          <t>JÄMTLANDS LÄN</t>
        </is>
      </c>
      <c r="E249" t="inlineStr">
        <is>
          <t>BRÄCKE</t>
        </is>
      </c>
      <c r="G249" t="n">
        <v>10</v>
      </c>
      <c r="H249" t="n">
        <v>1</v>
      </c>
      <c r="I249" t="n">
        <v>0</v>
      </c>
      <c r="J249" t="n">
        <v>1</v>
      </c>
      <c r="K249" t="n">
        <v>0</v>
      </c>
      <c r="L249" t="n">
        <v>0</v>
      </c>
      <c r="M249" t="n">
        <v>0</v>
      </c>
      <c r="N249" t="n">
        <v>0</v>
      </c>
      <c r="O249" t="n">
        <v>1</v>
      </c>
      <c r="P249" t="n">
        <v>0</v>
      </c>
      <c r="Q249" t="n">
        <v>2</v>
      </c>
      <c r="R249" s="2" t="inlineStr">
        <is>
          <t>Skogshare
Orre</t>
        </is>
      </c>
      <c r="S249">
        <f>HYPERLINK("https://klasma.github.io/Logging_2305/artfynd/A 38304-2025 artfynd.xlsx", "A 38304-2025")</f>
        <v/>
      </c>
      <c r="T249">
        <f>HYPERLINK("https://klasma.github.io/Logging_2305/kartor/A 38304-2025 karta.png", "A 38304-2025")</f>
        <v/>
      </c>
      <c r="V249">
        <f>HYPERLINK("https://klasma.github.io/Logging_2305/klagomål/A 38304-2025 FSC-klagomål.docx", "A 38304-2025")</f>
        <v/>
      </c>
      <c r="W249">
        <f>HYPERLINK("https://klasma.github.io/Logging_2305/klagomålsmail/A 38304-2025 FSC-klagomål mail.docx", "A 38304-2025")</f>
        <v/>
      </c>
      <c r="X249">
        <f>HYPERLINK("https://klasma.github.io/Logging_2305/tillsyn/A 38304-2025 tillsynsbegäran.docx", "A 38304-2025")</f>
        <v/>
      </c>
      <c r="Y249">
        <f>HYPERLINK("https://klasma.github.io/Logging_2305/tillsynsmail/A 38304-2025 tillsynsbegäran mail.docx", "A 38304-2025")</f>
        <v/>
      </c>
      <c r="Z249">
        <f>HYPERLINK("https://klasma.github.io/Logging_2305/fåglar/A 38304-2025 prioriterade fågelarter.docx", "A 38304-2025")</f>
        <v/>
      </c>
    </row>
    <row r="250" ht="15" customHeight="1">
      <c r="A250" t="inlineStr">
        <is>
          <t>A 38158-2025</t>
        </is>
      </c>
      <c r="B250" s="1" t="n">
        <v>45882</v>
      </c>
      <c r="C250" s="1" t="n">
        <v>46200</v>
      </c>
      <c r="D250" t="inlineStr">
        <is>
          <t>JÄMTLANDS LÄN</t>
        </is>
      </c>
      <c r="E250" t="inlineStr">
        <is>
          <t>BRÄCKE</t>
        </is>
      </c>
      <c r="F250" t="inlineStr">
        <is>
          <t>SCA</t>
        </is>
      </c>
      <c r="G250" t="n">
        <v>19.9</v>
      </c>
      <c r="H250" t="n">
        <v>0</v>
      </c>
      <c r="I250" t="n">
        <v>0</v>
      </c>
      <c r="J250" t="n">
        <v>1</v>
      </c>
      <c r="K250" t="n">
        <v>1</v>
      </c>
      <c r="L250" t="n">
        <v>0</v>
      </c>
      <c r="M250" t="n">
        <v>0</v>
      </c>
      <c r="N250" t="n">
        <v>0</v>
      </c>
      <c r="O250" t="n">
        <v>2</v>
      </c>
      <c r="P250" t="n">
        <v>1</v>
      </c>
      <c r="Q250" t="n">
        <v>2</v>
      </c>
      <c r="R250" s="2" t="inlineStr">
        <is>
          <t>Timmerskapania
Rödbrun klubbdyna</t>
        </is>
      </c>
      <c r="S250">
        <f>HYPERLINK("https://klasma.github.io/Logging_2305/artfynd/A 38158-2025 artfynd.xlsx", "A 38158-2025")</f>
        <v/>
      </c>
      <c r="T250">
        <f>HYPERLINK("https://klasma.github.io/Logging_2305/kartor/A 38158-2025 karta.png", "A 38158-2025")</f>
        <v/>
      </c>
      <c r="V250">
        <f>HYPERLINK("https://klasma.github.io/Logging_2305/klagomål/A 38158-2025 FSC-klagomål.docx", "A 38158-2025")</f>
        <v/>
      </c>
      <c r="W250">
        <f>HYPERLINK("https://klasma.github.io/Logging_2305/klagomålsmail/A 38158-2025 FSC-klagomål mail.docx", "A 38158-2025")</f>
        <v/>
      </c>
      <c r="X250">
        <f>HYPERLINK("https://klasma.github.io/Logging_2305/tillsyn/A 38158-2025 tillsynsbegäran.docx", "A 38158-2025")</f>
        <v/>
      </c>
      <c r="Y250">
        <f>HYPERLINK("https://klasma.github.io/Logging_2305/tillsynsmail/A 38158-2025 tillsynsbegäran mail.docx", "A 38158-2025")</f>
        <v/>
      </c>
    </row>
    <row r="251" ht="15" customHeight="1">
      <c r="A251" t="inlineStr">
        <is>
          <t>A 48289-2025</t>
        </is>
      </c>
      <c r="B251" s="1" t="n">
        <v>45933</v>
      </c>
      <c r="C251" s="1" t="n">
        <v>46200</v>
      </c>
      <c r="D251" t="inlineStr">
        <is>
          <t>JÄMTLANDS LÄN</t>
        </is>
      </c>
      <c r="E251" t="inlineStr">
        <is>
          <t>BRÄCKE</t>
        </is>
      </c>
      <c r="F251" t="inlineStr">
        <is>
          <t>SCA</t>
        </is>
      </c>
      <c r="G251" t="n">
        <v>10.9</v>
      </c>
      <c r="H251" t="n">
        <v>1</v>
      </c>
      <c r="I251" t="n">
        <v>0</v>
      </c>
      <c r="J251" t="n">
        <v>1</v>
      </c>
      <c r="K251" t="n">
        <v>1</v>
      </c>
      <c r="L251" t="n">
        <v>0</v>
      </c>
      <c r="M251" t="n">
        <v>0</v>
      </c>
      <c r="N251" t="n">
        <v>0</v>
      </c>
      <c r="O251" t="n">
        <v>2</v>
      </c>
      <c r="P251" t="n">
        <v>1</v>
      </c>
      <c r="Q251" t="n">
        <v>2</v>
      </c>
      <c r="R251" s="2" t="inlineStr">
        <is>
          <t>Doftticka
Gelatinfingersvamp</t>
        </is>
      </c>
      <c r="S251">
        <f>HYPERLINK("https://klasma.github.io/Logging_2305/artfynd/A 48289-2025 artfynd.xlsx", "A 48289-2025")</f>
        <v/>
      </c>
      <c r="T251">
        <f>HYPERLINK("https://klasma.github.io/Logging_2305/kartor/A 48289-2025 karta.png", "A 48289-2025")</f>
        <v/>
      </c>
      <c r="V251">
        <f>HYPERLINK("https://klasma.github.io/Logging_2305/klagomål/A 48289-2025 FSC-klagomål.docx", "A 48289-2025")</f>
        <v/>
      </c>
      <c r="W251">
        <f>HYPERLINK("https://klasma.github.io/Logging_2305/klagomålsmail/A 48289-2025 FSC-klagomål mail.docx", "A 48289-2025")</f>
        <v/>
      </c>
      <c r="X251">
        <f>HYPERLINK("https://klasma.github.io/Logging_2305/tillsyn/A 48289-2025 tillsynsbegäran.docx", "A 48289-2025")</f>
        <v/>
      </c>
      <c r="Y251">
        <f>HYPERLINK("https://klasma.github.io/Logging_2305/tillsynsmail/A 48289-2025 tillsynsbegäran mail.docx", "A 48289-2025")</f>
        <v/>
      </c>
    </row>
    <row r="252" ht="15" customHeight="1">
      <c r="A252" t="inlineStr">
        <is>
          <t>A 5858-2025</t>
        </is>
      </c>
      <c r="B252" s="1" t="n">
        <v>45695</v>
      </c>
      <c r="C252" s="1" t="n">
        <v>46200</v>
      </c>
      <c r="D252" t="inlineStr">
        <is>
          <t>JÄMTLANDS LÄN</t>
        </is>
      </c>
      <c r="E252" t="inlineStr">
        <is>
          <t>BRÄCKE</t>
        </is>
      </c>
      <c r="G252" t="n">
        <v>2.7</v>
      </c>
      <c r="H252" t="n">
        <v>1</v>
      </c>
      <c r="I252" t="n">
        <v>0</v>
      </c>
      <c r="J252" t="n">
        <v>0</v>
      </c>
      <c r="K252" t="n">
        <v>2</v>
      </c>
      <c r="L252" t="n">
        <v>0</v>
      </c>
      <c r="M252" t="n">
        <v>0</v>
      </c>
      <c r="N252" t="n">
        <v>0</v>
      </c>
      <c r="O252" t="n">
        <v>2</v>
      </c>
      <c r="P252" t="n">
        <v>2</v>
      </c>
      <c r="Q252" t="n">
        <v>2</v>
      </c>
      <c r="R252" s="2" t="inlineStr">
        <is>
          <t>Bredgentiana
Fältgentiana</t>
        </is>
      </c>
      <c r="S252">
        <f>HYPERLINK("https://klasma.github.io/Logging_2305/artfynd/A 5858-2025 artfynd.xlsx", "A 5858-2025")</f>
        <v/>
      </c>
      <c r="T252">
        <f>HYPERLINK("https://klasma.github.io/Logging_2305/kartor/A 5858-2025 karta.png", "A 5858-2025")</f>
        <v/>
      </c>
      <c r="V252">
        <f>HYPERLINK("https://klasma.github.io/Logging_2305/klagomål/A 5858-2025 FSC-klagomål.docx", "A 5858-2025")</f>
        <v/>
      </c>
      <c r="W252">
        <f>HYPERLINK("https://klasma.github.io/Logging_2305/klagomålsmail/A 5858-2025 FSC-klagomål mail.docx", "A 5858-2025")</f>
        <v/>
      </c>
      <c r="X252">
        <f>HYPERLINK("https://klasma.github.io/Logging_2305/tillsyn/A 5858-2025 tillsynsbegäran.docx", "A 5858-2025")</f>
        <v/>
      </c>
      <c r="Y252">
        <f>HYPERLINK("https://klasma.github.io/Logging_2305/tillsynsmail/A 5858-2025 tillsynsbegäran mail.docx", "A 5858-2025")</f>
        <v/>
      </c>
    </row>
    <row r="253" ht="15" customHeight="1">
      <c r="A253" t="inlineStr">
        <is>
          <t>A 50485-2025</t>
        </is>
      </c>
      <c r="B253" s="1" t="n">
        <v>45945</v>
      </c>
      <c r="C253" s="1" t="n">
        <v>46200</v>
      </c>
      <c r="D253" t="inlineStr">
        <is>
          <t>JÄMTLANDS LÄN</t>
        </is>
      </c>
      <c r="E253" t="inlineStr">
        <is>
          <t>BRÄCKE</t>
        </is>
      </c>
      <c r="F253" t="inlineStr">
        <is>
          <t>SCA</t>
        </is>
      </c>
      <c r="G253" t="n">
        <v>2.1</v>
      </c>
      <c r="H253" t="n">
        <v>0</v>
      </c>
      <c r="I253" t="n">
        <v>0</v>
      </c>
      <c r="J253" t="n">
        <v>1</v>
      </c>
      <c r="K253" t="n">
        <v>1</v>
      </c>
      <c r="L253" t="n">
        <v>0</v>
      </c>
      <c r="M253" t="n">
        <v>0</v>
      </c>
      <c r="N253" t="n">
        <v>0</v>
      </c>
      <c r="O253" t="n">
        <v>2</v>
      </c>
      <c r="P253" t="n">
        <v>1</v>
      </c>
      <c r="Q253" t="n">
        <v>2</v>
      </c>
      <c r="R253" s="2" t="inlineStr">
        <is>
          <t>Gränsticka
Ullticka</t>
        </is>
      </c>
      <c r="S253">
        <f>HYPERLINK("https://klasma.github.io/Logging_2305/artfynd/A 50485-2025 artfynd.xlsx", "A 50485-2025")</f>
        <v/>
      </c>
      <c r="T253">
        <f>HYPERLINK("https://klasma.github.io/Logging_2305/kartor/A 50485-2025 karta.png", "A 50485-2025")</f>
        <v/>
      </c>
      <c r="V253">
        <f>HYPERLINK("https://klasma.github.io/Logging_2305/klagomål/A 50485-2025 FSC-klagomål.docx", "A 50485-2025")</f>
        <v/>
      </c>
      <c r="W253">
        <f>HYPERLINK("https://klasma.github.io/Logging_2305/klagomålsmail/A 50485-2025 FSC-klagomål mail.docx", "A 50485-2025")</f>
        <v/>
      </c>
      <c r="X253">
        <f>HYPERLINK("https://klasma.github.io/Logging_2305/tillsyn/A 50485-2025 tillsynsbegäran.docx", "A 50485-2025")</f>
        <v/>
      </c>
      <c r="Y253">
        <f>HYPERLINK("https://klasma.github.io/Logging_2305/tillsynsmail/A 50485-2025 tillsynsbegäran mail.docx", "A 50485-2025")</f>
        <v/>
      </c>
    </row>
    <row r="254" ht="15" customHeight="1">
      <c r="A254" t="inlineStr">
        <is>
          <t>A 50722-2025</t>
        </is>
      </c>
      <c r="B254" s="1" t="n">
        <v>45946</v>
      </c>
      <c r="C254" s="1" t="n">
        <v>46200</v>
      </c>
      <c r="D254" t="inlineStr">
        <is>
          <t>JÄMTLANDS LÄN</t>
        </is>
      </c>
      <c r="E254" t="inlineStr">
        <is>
          <t>BRÄCKE</t>
        </is>
      </c>
      <c r="F254" t="inlineStr">
        <is>
          <t>SCA</t>
        </is>
      </c>
      <c r="G254" t="n">
        <v>22.7</v>
      </c>
      <c r="H254" t="n">
        <v>1</v>
      </c>
      <c r="I254" t="n">
        <v>0</v>
      </c>
      <c r="J254" t="n">
        <v>2</v>
      </c>
      <c r="K254" t="n">
        <v>0</v>
      </c>
      <c r="L254" t="n">
        <v>0</v>
      </c>
      <c r="M254" t="n">
        <v>0</v>
      </c>
      <c r="N254" t="n">
        <v>0</v>
      </c>
      <c r="O254" t="n">
        <v>2</v>
      </c>
      <c r="P254" t="n">
        <v>0</v>
      </c>
      <c r="Q254" t="n">
        <v>2</v>
      </c>
      <c r="R254" s="2" t="inlineStr">
        <is>
          <t>Lunglav
Tretåig hackspett</t>
        </is>
      </c>
      <c r="S254">
        <f>HYPERLINK("https://klasma.github.io/Logging_2305/artfynd/A 50722-2025 artfynd.xlsx", "A 50722-2025")</f>
        <v/>
      </c>
      <c r="T254">
        <f>HYPERLINK("https://klasma.github.io/Logging_2305/kartor/A 50722-2025 karta.png", "A 50722-2025")</f>
        <v/>
      </c>
      <c r="V254">
        <f>HYPERLINK("https://klasma.github.io/Logging_2305/klagomål/A 50722-2025 FSC-klagomål.docx", "A 50722-2025")</f>
        <v/>
      </c>
      <c r="W254">
        <f>HYPERLINK("https://klasma.github.io/Logging_2305/klagomålsmail/A 50722-2025 FSC-klagomål mail.docx", "A 50722-2025")</f>
        <v/>
      </c>
      <c r="X254">
        <f>HYPERLINK("https://klasma.github.io/Logging_2305/tillsyn/A 50722-2025 tillsynsbegäran.docx", "A 50722-2025")</f>
        <v/>
      </c>
      <c r="Y254">
        <f>HYPERLINK("https://klasma.github.io/Logging_2305/tillsynsmail/A 50722-2025 tillsynsbegäran mail.docx", "A 50722-2025")</f>
        <v/>
      </c>
      <c r="Z254">
        <f>HYPERLINK("https://klasma.github.io/Logging_2305/fåglar/A 50722-2025 prioriterade fågelarter.docx", "A 50722-2025")</f>
        <v/>
      </c>
    </row>
    <row r="255" ht="15" customHeight="1">
      <c r="A255" t="inlineStr">
        <is>
          <t>A 52226-2025</t>
        </is>
      </c>
      <c r="B255" s="1" t="n">
        <v>45953</v>
      </c>
      <c r="C255" s="1" t="n">
        <v>46200</v>
      </c>
      <c r="D255" t="inlineStr">
        <is>
          <t>JÄMTLANDS LÄN</t>
        </is>
      </c>
      <c r="E255" t="inlineStr">
        <is>
          <t>BRÄCKE</t>
        </is>
      </c>
      <c r="F255" t="inlineStr">
        <is>
          <t>SCA</t>
        </is>
      </c>
      <c r="G255" t="n">
        <v>15.7</v>
      </c>
      <c r="H255" t="n">
        <v>0</v>
      </c>
      <c r="I255" t="n">
        <v>0</v>
      </c>
      <c r="J255" t="n">
        <v>2</v>
      </c>
      <c r="K255" t="n">
        <v>0</v>
      </c>
      <c r="L255" t="n">
        <v>0</v>
      </c>
      <c r="M255" t="n">
        <v>0</v>
      </c>
      <c r="N255" t="n">
        <v>0</v>
      </c>
      <c r="O255" t="n">
        <v>2</v>
      </c>
      <c r="P255" t="n">
        <v>0</v>
      </c>
      <c r="Q255" t="n">
        <v>2</v>
      </c>
      <c r="R255" s="2" t="inlineStr">
        <is>
          <t>Brunpudrad nållav
Violettgrå tagellav</t>
        </is>
      </c>
      <c r="S255">
        <f>HYPERLINK("https://klasma.github.io/Logging_2305/artfynd/A 52226-2025 artfynd.xlsx", "A 52226-2025")</f>
        <v/>
      </c>
      <c r="T255">
        <f>HYPERLINK("https://klasma.github.io/Logging_2305/kartor/A 52226-2025 karta.png", "A 52226-2025")</f>
        <v/>
      </c>
      <c r="V255">
        <f>HYPERLINK("https://klasma.github.io/Logging_2305/klagomål/A 52226-2025 FSC-klagomål.docx", "A 52226-2025")</f>
        <v/>
      </c>
      <c r="W255">
        <f>HYPERLINK("https://klasma.github.io/Logging_2305/klagomålsmail/A 52226-2025 FSC-klagomål mail.docx", "A 52226-2025")</f>
        <v/>
      </c>
      <c r="X255">
        <f>HYPERLINK("https://klasma.github.io/Logging_2305/tillsyn/A 52226-2025 tillsynsbegäran.docx", "A 52226-2025")</f>
        <v/>
      </c>
      <c r="Y255">
        <f>HYPERLINK("https://klasma.github.io/Logging_2305/tillsynsmail/A 52226-2025 tillsynsbegäran mail.docx", "A 52226-2025")</f>
        <v/>
      </c>
    </row>
    <row r="256" ht="15" customHeight="1">
      <c r="A256" t="inlineStr">
        <is>
          <t>A 22957-2025</t>
        </is>
      </c>
      <c r="B256" s="1" t="n">
        <v>45790</v>
      </c>
      <c r="C256" s="1" t="n">
        <v>46200</v>
      </c>
      <c r="D256" t="inlineStr">
        <is>
          <t>JÄMTLANDS LÄN</t>
        </is>
      </c>
      <c r="E256" t="inlineStr">
        <is>
          <t>BRÄCKE</t>
        </is>
      </c>
      <c r="F256" t="inlineStr">
        <is>
          <t>SCA</t>
        </is>
      </c>
      <c r="G256" t="n">
        <v>2</v>
      </c>
      <c r="H256" t="n">
        <v>0</v>
      </c>
      <c r="I256" t="n">
        <v>0</v>
      </c>
      <c r="J256" t="n">
        <v>1</v>
      </c>
      <c r="K256" t="n">
        <v>1</v>
      </c>
      <c r="L256" t="n">
        <v>0</v>
      </c>
      <c r="M256" t="n">
        <v>0</v>
      </c>
      <c r="N256" t="n">
        <v>0</v>
      </c>
      <c r="O256" t="n">
        <v>2</v>
      </c>
      <c r="P256" t="n">
        <v>1</v>
      </c>
      <c r="Q256" t="n">
        <v>2</v>
      </c>
      <c r="R256" s="2" t="inlineStr">
        <is>
          <t>Skrovlig taggsvamp
Dropptaggsvamp</t>
        </is>
      </c>
      <c r="S256">
        <f>HYPERLINK("https://klasma.github.io/Logging_2305/artfynd/A 22957-2025 artfynd.xlsx", "A 22957-2025")</f>
        <v/>
      </c>
      <c r="T256">
        <f>HYPERLINK("https://klasma.github.io/Logging_2305/kartor/A 22957-2025 karta.png", "A 22957-2025")</f>
        <v/>
      </c>
      <c r="V256">
        <f>HYPERLINK("https://klasma.github.io/Logging_2305/klagomål/A 22957-2025 FSC-klagomål.docx", "A 22957-2025")</f>
        <v/>
      </c>
      <c r="W256">
        <f>HYPERLINK("https://klasma.github.io/Logging_2305/klagomålsmail/A 22957-2025 FSC-klagomål mail.docx", "A 22957-2025")</f>
        <v/>
      </c>
      <c r="X256">
        <f>HYPERLINK("https://klasma.github.io/Logging_2305/tillsyn/A 22957-2025 tillsynsbegäran.docx", "A 22957-2025")</f>
        <v/>
      </c>
      <c r="Y256">
        <f>HYPERLINK("https://klasma.github.io/Logging_2305/tillsynsmail/A 22957-2025 tillsynsbegäran mail.docx", "A 22957-2025")</f>
        <v/>
      </c>
    </row>
    <row r="257" ht="15" customHeight="1">
      <c r="A257" t="inlineStr">
        <is>
          <t>A 43178-2025</t>
        </is>
      </c>
      <c r="B257" s="1" t="n">
        <v>45910</v>
      </c>
      <c r="C257" s="1" t="n">
        <v>46200</v>
      </c>
      <c r="D257" t="inlineStr">
        <is>
          <t>JÄMTLANDS LÄN</t>
        </is>
      </c>
      <c r="E257" t="inlineStr">
        <is>
          <t>BRÄCKE</t>
        </is>
      </c>
      <c r="F257" t="inlineStr">
        <is>
          <t>SCA</t>
        </is>
      </c>
      <c r="G257" t="n">
        <v>4.6</v>
      </c>
      <c r="H257" t="n">
        <v>0</v>
      </c>
      <c r="I257" t="n">
        <v>1</v>
      </c>
      <c r="J257" t="n">
        <v>1</v>
      </c>
      <c r="K257" t="n">
        <v>0</v>
      </c>
      <c r="L257" t="n">
        <v>0</v>
      </c>
      <c r="M257" t="n">
        <v>0</v>
      </c>
      <c r="N257" t="n">
        <v>0</v>
      </c>
      <c r="O257" t="n">
        <v>1</v>
      </c>
      <c r="P257" t="n">
        <v>0</v>
      </c>
      <c r="Q257" t="n">
        <v>2</v>
      </c>
      <c r="R257" s="2" t="inlineStr">
        <is>
          <t>Lunglav
Stuplav</t>
        </is>
      </c>
      <c r="S257">
        <f>HYPERLINK("https://klasma.github.io/Logging_2305/artfynd/A 43178-2025 artfynd.xlsx", "A 43178-2025")</f>
        <v/>
      </c>
      <c r="T257">
        <f>HYPERLINK("https://klasma.github.io/Logging_2305/kartor/A 43178-2025 karta.png", "A 43178-2025")</f>
        <v/>
      </c>
      <c r="V257">
        <f>HYPERLINK("https://klasma.github.io/Logging_2305/klagomål/A 43178-2025 FSC-klagomål.docx", "A 43178-2025")</f>
        <v/>
      </c>
      <c r="W257">
        <f>HYPERLINK("https://klasma.github.io/Logging_2305/klagomålsmail/A 43178-2025 FSC-klagomål mail.docx", "A 43178-2025")</f>
        <v/>
      </c>
      <c r="X257">
        <f>HYPERLINK("https://klasma.github.io/Logging_2305/tillsyn/A 43178-2025 tillsynsbegäran.docx", "A 43178-2025")</f>
        <v/>
      </c>
      <c r="Y257">
        <f>HYPERLINK("https://klasma.github.io/Logging_2305/tillsynsmail/A 43178-2025 tillsynsbegäran mail.docx", "A 43178-2025")</f>
        <v/>
      </c>
    </row>
    <row r="258" ht="15" customHeight="1">
      <c r="A258" t="inlineStr">
        <is>
          <t>A 43141-2022</t>
        </is>
      </c>
      <c r="B258" s="1" t="n">
        <v>44833</v>
      </c>
      <c r="C258" s="1" t="n">
        <v>46200</v>
      </c>
      <c r="D258" t="inlineStr">
        <is>
          <t>JÄMTLANDS LÄN</t>
        </is>
      </c>
      <c r="E258" t="inlineStr">
        <is>
          <t>BRÄCKE</t>
        </is>
      </c>
      <c r="F258" t="inlineStr">
        <is>
          <t>SCA</t>
        </is>
      </c>
      <c r="G258" t="n">
        <v>2</v>
      </c>
      <c r="H258" t="n">
        <v>1</v>
      </c>
      <c r="I258" t="n">
        <v>0</v>
      </c>
      <c r="J258" t="n">
        <v>0</v>
      </c>
      <c r="K258" t="n">
        <v>2</v>
      </c>
      <c r="L258" t="n">
        <v>0</v>
      </c>
      <c r="M258" t="n">
        <v>0</v>
      </c>
      <c r="N258" t="n">
        <v>0</v>
      </c>
      <c r="O258" t="n">
        <v>2</v>
      </c>
      <c r="P258" t="n">
        <v>2</v>
      </c>
      <c r="Q258" t="n">
        <v>2</v>
      </c>
      <c r="R258" s="2" t="inlineStr">
        <is>
          <t>Frösöstarr
Knärot</t>
        </is>
      </c>
      <c r="S258">
        <f>HYPERLINK("https://klasma.github.io/Logging_2305/artfynd/A 43141-2022 artfynd.xlsx", "A 43141-2022")</f>
        <v/>
      </c>
      <c r="T258">
        <f>HYPERLINK("https://klasma.github.io/Logging_2305/kartor/A 43141-2022 karta.png", "A 43141-2022")</f>
        <v/>
      </c>
      <c r="U258">
        <f>HYPERLINK("https://klasma.github.io/Logging_2305/knärot/A 43141-2022 karta knärot.png", "A 43141-2022")</f>
        <v/>
      </c>
      <c r="V258">
        <f>HYPERLINK("https://klasma.github.io/Logging_2305/klagomål/A 43141-2022 FSC-klagomål.docx", "A 43141-2022")</f>
        <v/>
      </c>
      <c r="W258">
        <f>HYPERLINK("https://klasma.github.io/Logging_2305/klagomålsmail/A 43141-2022 FSC-klagomål mail.docx", "A 43141-2022")</f>
        <v/>
      </c>
      <c r="X258">
        <f>HYPERLINK("https://klasma.github.io/Logging_2305/tillsyn/A 43141-2022 tillsynsbegäran.docx", "A 43141-2022")</f>
        <v/>
      </c>
      <c r="Y258">
        <f>HYPERLINK("https://klasma.github.io/Logging_2305/tillsynsmail/A 43141-2022 tillsynsbegäran mail.docx", "A 43141-2022")</f>
        <v/>
      </c>
    </row>
    <row r="259" ht="15" customHeight="1">
      <c r="A259" t="inlineStr">
        <is>
          <t>A 44214-2025</t>
        </is>
      </c>
      <c r="B259" s="1" t="n">
        <v>45915</v>
      </c>
      <c r="C259" s="1" t="n">
        <v>46200</v>
      </c>
      <c r="D259" t="inlineStr">
        <is>
          <t>JÄMTLANDS LÄN</t>
        </is>
      </c>
      <c r="E259" t="inlineStr">
        <is>
          <t>BRÄCKE</t>
        </is>
      </c>
      <c r="F259" t="inlineStr">
        <is>
          <t>SCA</t>
        </is>
      </c>
      <c r="G259" t="n">
        <v>4.9</v>
      </c>
      <c r="H259" t="n">
        <v>1</v>
      </c>
      <c r="I259" t="n">
        <v>0</v>
      </c>
      <c r="J259" t="n">
        <v>1</v>
      </c>
      <c r="K259" t="n">
        <v>0</v>
      </c>
      <c r="L259" t="n">
        <v>0</v>
      </c>
      <c r="M259" t="n">
        <v>0</v>
      </c>
      <c r="N259" t="n">
        <v>0</v>
      </c>
      <c r="O259" t="n">
        <v>1</v>
      </c>
      <c r="P259" t="n">
        <v>0</v>
      </c>
      <c r="Q259" t="n">
        <v>2</v>
      </c>
      <c r="R259" s="2" t="inlineStr">
        <is>
          <t>Gelatinfingersvamp
Fjällvråk</t>
        </is>
      </c>
      <c r="S259">
        <f>HYPERLINK("https://klasma.github.io/Logging_2305/artfynd/A 44214-2025 artfynd.xlsx", "A 44214-2025")</f>
        <v/>
      </c>
      <c r="T259">
        <f>HYPERLINK("https://klasma.github.io/Logging_2305/kartor/A 44214-2025 karta.png", "A 44214-2025")</f>
        <v/>
      </c>
      <c r="V259">
        <f>HYPERLINK("https://klasma.github.io/Logging_2305/klagomål/A 44214-2025 FSC-klagomål.docx", "A 44214-2025")</f>
        <v/>
      </c>
      <c r="W259">
        <f>HYPERLINK("https://klasma.github.io/Logging_2305/klagomålsmail/A 44214-2025 FSC-klagomål mail.docx", "A 44214-2025")</f>
        <v/>
      </c>
      <c r="X259">
        <f>HYPERLINK("https://klasma.github.io/Logging_2305/tillsyn/A 44214-2025 tillsynsbegäran.docx", "A 44214-2025")</f>
        <v/>
      </c>
      <c r="Y259">
        <f>HYPERLINK("https://klasma.github.io/Logging_2305/tillsynsmail/A 44214-2025 tillsynsbegäran mail.docx", "A 44214-2025")</f>
        <v/>
      </c>
      <c r="Z259">
        <f>HYPERLINK("https://klasma.github.io/Logging_2305/fåglar/A 44214-2025 prioriterade fågelarter.docx", "A 44214-2025")</f>
        <v/>
      </c>
    </row>
    <row r="260" ht="15" customHeight="1">
      <c r="A260" t="inlineStr">
        <is>
          <t>A 35216-2025</t>
        </is>
      </c>
      <c r="B260" s="1" t="n">
        <v>45853</v>
      </c>
      <c r="C260" s="1" t="n">
        <v>46200</v>
      </c>
      <c r="D260" t="inlineStr">
        <is>
          <t>JÄMTLANDS LÄN</t>
        </is>
      </c>
      <c r="E260" t="inlineStr">
        <is>
          <t>BRÄCKE</t>
        </is>
      </c>
      <c r="F260" t="inlineStr">
        <is>
          <t>SCA</t>
        </is>
      </c>
      <c r="G260" t="n">
        <v>1.5</v>
      </c>
      <c r="H260" t="n">
        <v>2</v>
      </c>
      <c r="I260" t="n">
        <v>0</v>
      </c>
      <c r="J260" t="n">
        <v>1</v>
      </c>
      <c r="K260" t="n">
        <v>1</v>
      </c>
      <c r="L260" t="n">
        <v>0</v>
      </c>
      <c r="M260" t="n">
        <v>0</v>
      </c>
      <c r="N260" t="n">
        <v>0</v>
      </c>
      <c r="O260" t="n">
        <v>2</v>
      </c>
      <c r="P260" t="n">
        <v>1</v>
      </c>
      <c r="Q260" t="n">
        <v>2</v>
      </c>
      <c r="R260" s="2" t="inlineStr">
        <is>
          <t>Knärot
Talltita</t>
        </is>
      </c>
      <c r="S260">
        <f>HYPERLINK("https://klasma.github.io/Logging_2305/artfynd/A 35216-2025 artfynd.xlsx", "A 35216-2025")</f>
        <v/>
      </c>
      <c r="T260">
        <f>HYPERLINK("https://klasma.github.io/Logging_2305/kartor/A 35216-2025 karta.png", "A 35216-2025")</f>
        <v/>
      </c>
      <c r="U260">
        <f>HYPERLINK("https://klasma.github.io/Logging_2305/knärot/A 35216-2025 karta knärot.png", "A 35216-2025")</f>
        <v/>
      </c>
      <c r="V260">
        <f>HYPERLINK("https://klasma.github.io/Logging_2305/klagomål/A 35216-2025 FSC-klagomål.docx", "A 35216-2025")</f>
        <v/>
      </c>
      <c r="W260">
        <f>HYPERLINK("https://klasma.github.io/Logging_2305/klagomålsmail/A 35216-2025 FSC-klagomål mail.docx", "A 35216-2025")</f>
        <v/>
      </c>
      <c r="X260">
        <f>HYPERLINK("https://klasma.github.io/Logging_2305/tillsyn/A 35216-2025 tillsynsbegäran.docx", "A 35216-2025")</f>
        <v/>
      </c>
      <c r="Y260">
        <f>HYPERLINK("https://klasma.github.io/Logging_2305/tillsynsmail/A 35216-2025 tillsynsbegäran mail.docx", "A 35216-2025")</f>
        <v/>
      </c>
      <c r="Z260">
        <f>HYPERLINK("https://klasma.github.io/Logging_2305/fåglar/A 35216-2025 prioriterade fågelarter.docx", "A 35216-2025")</f>
        <v/>
      </c>
    </row>
    <row r="261" ht="15" customHeight="1">
      <c r="A261" t="inlineStr">
        <is>
          <t>A 45795-2025</t>
        </is>
      </c>
      <c r="B261" s="1" t="n">
        <v>45923</v>
      </c>
      <c r="C261" s="1" t="n">
        <v>46200</v>
      </c>
      <c r="D261" t="inlineStr">
        <is>
          <t>JÄMTLANDS LÄN</t>
        </is>
      </c>
      <c r="E261" t="inlineStr">
        <is>
          <t>BRÄCKE</t>
        </is>
      </c>
      <c r="F261" t="inlineStr">
        <is>
          <t>SCA</t>
        </is>
      </c>
      <c r="G261" t="n">
        <v>10.9</v>
      </c>
      <c r="H261" t="n">
        <v>0</v>
      </c>
      <c r="I261" t="n">
        <v>1</v>
      </c>
      <c r="J261" t="n">
        <v>1</v>
      </c>
      <c r="K261" t="n">
        <v>0</v>
      </c>
      <c r="L261" t="n">
        <v>0</v>
      </c>
      <c r="M261" t="n">
        <v>0</v>
      </c>
      <c r="N261" t="n">
        <v>0</v>
      </c>
      <c r="O261" t="n">
        <v>1</v>
      </c>
      <c r="P261" t="n">
        <v>0</v>
      </c>
      <c r="Q261" t="n">
        <v>2</v>
      </c>
      <c r="R261" s="2" t="inlineStr">
        <is>
          <t>Lunglav
Skinnlav</t>
        </is>
      </c>
      <c r="S261">
        <f>HYPERLINK("https://klasma.github.io/Logging_2305/artfynd/A 45795-2025 artfynd.xlsx", "A 45795-2025")</f>
        <v/>
      </c>
      <c r="T261">
        <f>HYPERLINK("https://klasma.github.io/Logging_2305/kartor/A 45795-2025 karta.png", "A 45795-2025")</f>
        <v/>
      </c>
      <c r="V261">
        <f>HYPERLINK("https://klasma.github.io/Logging_2305/klagomål/A 45795-2025 FSC-klagomål.docx", "A 45795-2025")</f>
        <v/>
      </c>
      <c r="W261">
        <f>HYPERLINK("https://klasma.github.io/Logging_2305/klagomålsmail/A 45795-2025 FSC-klagomål mail.docx", "A 45795-2025")</f>
        <v/>
      </c>
      <c r="X261">
        <f>HYPERLINK("https://klasma.github.io/Logging_2305/tillsyn/A 45795-2025 tillsynsbegäran.docx", "A 45795-2025")</f>
        <v/>
      </c>
      <c r="Y261">
        <f>HYPERLINK("https://klasma.github.io/Logging_2305/tillsynsmail/A 45795-2025 tillsynsbegäran mail.docx", "A 45795-2025")</f>
        <v/>
      </c>
    </row>
    <row r="262" ht="15" customHeight="1">
      <c r="A262" t="inlineStr">
        <is>
          <t>A 24747-2025</t>
        </is>
      </c>
      <c r="B262" s="1" t="n">
        <v>45799</v>
      </c>
      <c r="C262" s="1" t="n">
        <v>46200</v>
      </c>
      <c r="D262" t="inlineStr">
        <is>
          <t>JÄMTLANDS LÄN</t>
        </is>
      </c>
      <c r="E262" t="inlineStr">
        <is>
          <t>BRÄCKE</t>
        </is>
      </c>
      <c r="F262" t="inlineStr">
        <is>
          <t>SCA</t>
        </is>
      </c>
      <c r="G262" t="n">
        <v>6.9</v>
      </c>
      <c r="H262" t="n">
        <v>0</v>
      </c>
      <c r="I262" t="n">
        <v>0</v>
      </c>
      <c r="J262" t="n">
        <v>1</v>
      </c>
      <c r="K262" t="n">
        <v>1</v>
      </c>
      <c r="L262" t="n">
        <v>0</v>
      </c>
      <c r="M262" t="n">
        <v>0</v>
      </c>
      <c r="N262" t="n">
        <v>0</v>
      </c>
      <c r="O262" t="n">
        <v>2</v>
      </c>
      <c r="P262" t="n">
        <v>1</v>
      </c>
      <c r="Q262" t="n">
        <v>2</v>
      </c>
      <c r="R262" s="2" t="inlineStr">
        <is>
          <t>Garnlav
Lunglav</t>
        </is>
      </c>
      <c r="S262">
        <f>HYPERLINK("https://klasma.github.io/Logging_2305/artfynd/A 24747-2025 artfynd.xlsx", "A 24747-2025")</f>
        <v/>
      </c>
      <c r="T262">
        <f>HYPERLINK("https://klasma.github.io/Logging_2305/kartor/A 24747-2025 karta.png", "A 24747-2025")</f>
        <v/>
      </c>
      <c r="V262">
        <f>HYPERLINK("https://klasma.github.io/Logging_2305/klagomål/A 24747-2025 FSC-klagomål.docx", "A 24747-2025")</f>
        <v/>
      </c>
      <c r="W262">
        <f>HYPERLINK("https://klasma.github.io/Logging_2305/klagomålsmail/A 24747-2025 FSC-klagomål mail.docx", "A 24747-2025")</f>
        <v/>
      </c>
      <c r="X262">
        <f>HYPERLINK("https://klasma.github.io/Logging_2305/tillsyn/A 24747-2025 tillsynsbegäran.docx", "A 24747-2025")</f>
        <v/>
      </c>
      <c r="Y262">
        <f>HYPERLINK("https://klasma.github.io/Logging_2305/tillsynsmail/A 24747-2025 tillsynsbegäran mail.docx", "A 24747-2025")</f>
        <v/>
      </c>
    </row>
    <row r="263" ht="15" customHeight="1">
      <c r="A263" t="inlineStr">
        <is>
          <t>A 60320-2025</t>
        </is>
      </c>
      <c r="B263" s="1" t="n">
        <v>45994</v>
      </c>
      <c r="C263" s="1" t="n">
        <v>46200</v>
      </c>
      <c r="D263" t="inlineStr">
        <is>
          <t>JÄMTLANDS LÄN</t>
        </is>
      </c>
      <c r="E263" t="inlineStr">
        <is>
          <t>BRÄCKE</t>
        </is>
      </c>
      <c r="F263" t="inlineStr">
        <is>
          <t>SCA</t>
        </is>
      </c>
      <c r="G263" t="n">
        <v>3.2</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60320-2025 artfynd.xlsx", "A 60320-2025")</f>
        <v/>
      </c>
      <c r="T263">
        <f>HYPERLINK("https://klasma.github.io/Logging_2305/kartor/A 60320-2025 karta.png", "A 60320-2025")</f>
        <v/>
      </c>
      <c r="V263">
        <f>HYPERLINK("https://klasma.github.io/Logging_2305/klagomål/A 60320-2025 FSC-klagomål.docx", "A 60320-2025")</f>
        <v/>
      </c>
      <c r="W263">
        <f>HYPERLINK("https://klasma.github.io/Logging_2305/klagomålsmail/A 60320-2025 FSC-klagomål mail.docx", "A 60320-2025")</f>
        <v/>
      </c>
      <c r="X263">
        <f>HYPERLINK("https://klasma.github.io/Logging_2305/tillsyn/A 60320-2025 tillsynsbegäran.docx", "A 60320-2025")</f>
        <v/>
      </c>
      <c r="Y263">
        <f>HYPERLINK("https://klasma.github.io/Logging_2305/tillsynsmail/A 60320-2025 tillsynsbegäran mail.docx", "A 60320-2025")</f>
        <v/>
      </c>
    </row>
    <row r="264" ht="15" customHeight="1">
      <c r="A264" t="inlineStr">
        <is>
          <t>A 30336-2024</t>
        </is>
      </c>
      <c r="B264" s="1" t="n">
        <v>45490</v>
      </c>
      <c r="C264" s="1" t="n">
        <v>46200</v>
      </c>
      <c r="D264" t="inlineStr">
        <is>
          <t>JÄMTLANDS LÄN</t>
        </is>
      </c>
      <c r="E264" t="inlineStr">
        <is>
          <t>BRÄCKE</t>
        </is>
      </c>
      <c r="F264" t="inlineStr">
        <is>
          <t>SCA</t>
        </is>
      </c>
      <c r="G264" t="n">
        <v>2.8</v>
      </c>
      <c r="H264" t="n">
        <v>0</v>
      </c>
      <c r="I264" t="n">
        <v>1</v>
      </c>
      <c r="J264" t="n">
        <v>1</v>
      </c>
      <c r="K264" t="n">
        <v>0</v>
      </c>
      <c r="L264" t="n">
        <v>0</v>
      </c>
      <c r="M264" t="n">
        <v>0</v>
      </c>
      <c r="N264" t="n">
        <v>0</v>
      </c>
      <c r="O264" t="n">
        <v>1</v>
      </c>
      <c r="P264" t="n">
        <v>0</v>
      </c>
      <c r="Q264" t="n">
        <v>2</v>
      </c>
      <c r="R264" s="2" t="inlineStr">
        <is>
          <t>Dropptaggsvamp
Skinnlav</t>
        </is>
      </c>
      <c r="S264">
        <f>HYPERLINK("https://klasma.github.io/Logging_2305/artfynd/A 30336-2024 artfynd.xlsx", "A 30336-2024")</f>
        <v/>
      </c>
      <c r="T264">
        <f>HYPERLINK("https://klasma.github.io/Logging_2305/kartor/A 30336-2024 karta.png", "A 30336-2024")</f>
        <v/>
      </c>
      <c r="V264">
        <f>HYPERLINK("https://klasma.github.io/Logging_2305/klagomål/A 30336-2024 FSC-klagomål.docx", "A 30336-2024")</f>
        <v/>
      </c>
      <c r="W264">
        <f>HYPERLINK("https://klasma.github.io/Logging_2305/klagomålsmail/A 30336-2024 FSC-klagomål mail.docx", "A 30336-2024")</f>
        <v/>
      </c>
      <c r="X264">
        <f>HYPERLINK("https://klasma.github.io/Logging_2305/tillsyn/A 30336-2024 tillsynsbegäran.docx", "A 30336-2024")</f>
        <v/>
      </c>
      <c r="Y264">
        <f>HYPERLINK("https://klasma.github.io/Logging_2305/tillsynsmail/A 30336-2024 tillsynsbegäran mail.docx", "A 30336-2024")</f>
        <v/>
      </c>
    </row>
    <row r="265" ht="15" customHeight="1">
      <c r="A265" t="inlineStr">
        <is>
          <t>A 57329-2025</t>
        </is>
      </c>
      <c r="B265" s="1" t="n">
        <v>45980</v>
      </c>
      <c r="C265" s="1" t="n">
        <v>46200</v>
      </c>
      <c r="D265" t="inlineStr">
        <is>
          <t>JÄMTLANDS LÄN</t>
        </is>
      </c>
      <c r="E265" t="inlineStr">
        <is>
          <t>BRÄCKE</t>
        </is>
      </c>
      <c r="F265" t="inlineStr">
        <is>
          <t>SCA</t>
        </is>
      </c>
      <c r="G265" t="n">
        <v>1.2</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HYPERLINK("https://klasma.github.io/Logging_2305/artfynd/A 57329-2025 artfynd.xlsx", "A 57329-2025")</f>
        <v/>
      </c>
      <c r="T265">
        <f>HYPERLINK("https://klasma.github.io/Logging_2305/kartor/A 57329-2025 karta.png", "A 57329-2025")</f>
        <v/>
      </c>
      <c r="V265">
        <f>HYPERLINK("https://klasma.github.io/Logging_2305/klagomål/A 57329-2025 FSC-klagomål.docx", "A 57329-2025")</f>
        <v/>
      </c>
      <c r="W265">
        <f>HYPERLINK("https://klasma.github.io/Logging_2305/klagomålsmail/A 57329-2025 FSC-klagomål mail.docx", "A 57329-2025")</f>
        <v/>
      </c>
      <c r="X265">
        <f>HYPERLINK("https://klasma.github.io/Logging_2305/tillsyn/A 57329-2025 tillsynsbegäran.docx", "A 57329-2025")</f>
        <v/>
      </c>
      <c r="Y265">
        <f>HYPERLINK("https://klasma.github.io/Logging_2305/tillsynsmail/A 57329-2025 tillsynsbegäran mail.docx", "A 57329-2025")</f>
        <v/>
      </c>
      <c r="Z265">
        <f>HYPERLINK("https://klasma.github.io/Logging_2305/fåglar/A 57329-2025 prioriterade fågelarter.docx", "A 57329-2025")</f>
        <v/>
      </c>
    </row>
    <row r="266" ht="15" customHeight="1">
      <c r="A266" t="inlineStr">
        <is>
          <t>A 11174-2026</t>
        </is>
      </c>
      <c r="B266" s="1" t="n">
        <v>46080</v>
      </c>
      <c r="C266" s="1" t="n">
        <v>46200</v>
      </c>
      <c r="D266" t="inlineStr">
        <is>
          <t>JÄMTLANDS LÄN</t>
        </is>
      </c>
      <c r="E266" t="inlineStr">
        <is>
          <t>BRÄCKE</t>
        </is>
      </c>
      <c r="F266" t="inlineStr">
        <is>
          <t>SCA</t>
        </is>
      </c>
      <c r="G266" t="n">
        <v>3.1</v>
      </c>
      <c r="H266" t="n">
        <v>0</v>
      </c>
      <c r="I266" t="n">
        <v>0</v>
      </c>
      <c r="J266" t="n">
        <v>1</v>
      </c>
      <c r="K266" t="n">
        <v>1</v>
      </c>
      <c r="L266" t="n">
        <v>0</v>
      </c>
      <c r="M266" t="n">
        <v>0</v>
      </c>
      <c r="N266" t="n">
        <v>0</v>
      </c>
      <c r="O266" t="n">
        <v>2</v>
      </c>
      <c r="P266" t="n">
        <v>1</v>
      </c>
      <c r="Q266" t="n">
        <v>2</v>
      </c>
      <c r="R266" s="2" t="inlineStr">
        <is>
          <t>Gräddporing
Vedflamlav</t>
        </is>
      </c>
      <c r="S266">
        <f>HYPERLINK("https://klasma.github.io/Logging_2305/artfynd/A 11174-2026 artfynd.xlsx", "A 11174-2026")</f>
        <v/>
      </c>
      <c r="T266">
        <f>HYPERLINK("https://klasma.github.io/Logging_2305/kartor/A 11174-2026 karta.png", "A 11174-2026")</f>
        <v/>
      </c>
      <c r="V266">
        <f>HYPERLINK("https://klasma.github.io/Logging_2305/klagomål/A 11174-2026 FSC-klagomål.docx", "A 11174-2026")</f>
        <v/>
      </c>
      <c r="W266">
        <f>HYPERLINK("https://klasma.github.io/Logging_2305/klagomålsmail/A 11174-2026 FSC-klagomål mail.docx", "A 11174-2026")</f>
        <v/>
      </c>
      <c r="X266">
        <f>HYPERLINK("https://klasma.github.io/Logging_2305/tillsyn/A 11174-2026 tillsynsbegäran.docx", "A 11174-2026")</f>
        <v/>
      </c>
      <c r="Y266">
        <f>HYPERLINK("https://klasma.github.io/Logging_2305/tillsynsmail/A 11174-2026 tillsynsbegäran mail.docx", "A 11174-2026")</f>
        <v/>
      </c>
    </row>
    <row r="267" ht="15" customHeight="1">
      <c r="A267" t="inlineStr">
        <is>
          <t>A 23817-2026</t>
        </is>
      </c>
      <c r="B267" s="1" t="n">
        <v>46165</v>
      </c>
      <c r="C267" s="1" t="n">
        <v>46200</v>
      </c>
      <c r="D267" t="inlineStr">
        <is>
          <t>JÄMTLANDS LÄN</t>
        </is>
      </c>
      <c r="E267" t="inlineStr">
        <is>
          <t>BRÄCKE</t>
        </is>
      </c>
      <c r="F267" t="inlineStr">
        <is>
          <t>SCA</t>
        </is>
      </c>
      <c r="G267" t="n">
        <v>1.9</v>
      </c>
      <c r="H267" t="n">
        <v>0</v>
      </c>
      <c r="I267" t="n">
        <v>1</v>
      </c>
      <c r="J267" t="n">
        <v>1</v>
      </c>
      <c r="K267" t="n">
        <v>0</v>
      </c>
      <c r="L267" t="n">
        <v>0</v>
      </c>
      <c r="M267" t="n">
        <v>0</v>
      </c>
      <c r="N267" t="n">
        <v>0</v>
      </c>
      <c r="O267" t="n">
        <v>1</v>
      </c>
      <c r="P267" t="n">
        <v>0</v>
      </c>
      <c r="Q267" t="n">
        <v>2</v>
      </c>
      <c r="R267" s="2" t="inlineStr">
        <is>
          <t>Skuggblåslav
Norrlandslav</t>
        </is>
      </c>
      <c r="S267">
        <f>HYPERLINK("https://klasma.github.io/Logging_2305/artfynd/A 23817-2026 artfynd.xlsx", "A 23817-2026")</f>
        <v/>
      </c>
      <c r="T267">
        <f>HYPERLINK("https://klasma.github.io/Logging_2305/kartor/A 23817-2026 karta.png", "A 23817-2026")</f>
        <v/>
      </c>
      <c r="V267">
        <f>HYPERLINK("https://klasma.github.io/Logging_2305/klagomål/A 23817-2026 FSC-klagomål.docx", "A 23817-2026")</f>
        <v/>
      </c>
      <c r="W267">
        <f>HYPERLINK("https://klasma.github.io/Logging_2305/klagomålsmail/A 23817-2026 FSC-klagomål mail.docx", "A 23817-2026")</f>
        <v/>
      </c>
      <c r="X267">
        <f>HYPERLINK("https://klasma.github.io/Logging_2305/tillsyn/A 23817-2026 tillsynsbegäran.docx", "A 23817-2026")</f>
        <v/>
      </c>
      <c r="Y267">
        <f>HYPERLINK("https://klasma.github.io/Logging_2305/tillsynsmail/A 23817-2026 tillsynsbegäran mail.docx", "A 23817-2026")</f>
        <v/>
      </c>
    </row>
    <row r="268" ht="15" customHeight="1">
      <c r="A268" t="inlineStr">
        <is>
          <t>A 25515-2026</t>
        </is>
      </c>
      <c r="B268" s="1" t="n">
        <v>46177</v>
      </c>
      <c r="C268" s="1" t="n">
        <v>46200</v>
      </c>
      <c r="D268" t="inlineStr">
        <is>
          <t>JÄMTLANDS LÄN</t>
        </is>
      </c>
      <c r="E268" t="inlineStr">
        <is>
          <t>BRÄCKE</t>
        </is>
      </c>
      <c r="G268" t="n">
        <v>7.9</v>
      </c>
      <c r="H268" t="n">
        <v>0</v>
      </c>
      <c r="I268" t="n">
        <v>0</v>
      </c>
      <c r="J268" t="n">
        <v>2</v>
      </c>
      <c r="K268" t="n">
        <v>0</v>
      </c>
      <c r="L268" t="n">
        <v>0</v>
      </c>
      <c r="M268" t="n">
        <v>0</v>
      </c>
      <c r="N268" t="n">
        <v>0</v>
      </c>
      <c r="O268" t="n">
        <v>2</v>
      </c>
      <c r="P268" t="n">
        <v>0</v>
      </c>
      <c r="Q268" t="n">
        <v>2</v>
      </c>
      <c r="R268" s="2" t="inlineStr">
        <is>
          <t>Lunglav
Skrovellav</t>
        </is>
      </c>
      <c r="S268">
        <f>HYPERLINK("https://klasma.github.io/Logging_2305/artfynd/A 25515-2026 artfynd.xlsx", "A 25515-2026")</f>
        <v/>
      </c>
      <c r="T268">
        <f>HYPERLINK("https://klasma.github.io/Logging_2305/kartor/A 25515-2026 karta.png", "A 25515-2026")</f>
        <v/>
      </c>
      <c r="V268">
        <f>HYPERLINK("https://klasma.github.io/Logging_2305/klagomål/A 25515-2026 FSC-klagomål.docx", "A 25515-2026")</f>
        <v/>
      </c>
      <c r="W268">
        <f>HYPERLINK("https://klasma.github.io/Logging_2305/klagomålsmail/A 25515-2026 FSC-klagomål mail.docx", "A 25515-2026")</f>
        <v/>
      </c>
      <c r="X268">
        <f>HYPERLINK("https://klasma.github.io/Logging_2305/tillsyn/A 25515-2026 tillsynsbegäran.docx", "A 25515-2026")</f>
        <v/>
      </c>
      <c r="Y268">
        <f>HYPERLINK("https://klasma.github.io/Logging_2305/tillsynsmail/A 25515-2026 tillsynsbegäran mail.docx", "A 25515-2026")</f>
        <v/>
      </c>
    </row>
    <row r="269" ht="15" customHeight="1">
      <c r="A269" t="inlineStr">
        <is>
          <t>A 31450-2025</t>
        </is>
      </c>
      <c r="B269" s="1" t="n">
        <v>45833</v>
      </c>
      <c r="C269" s="1" t="n">
        <v>46200</v>
      </c>
      <c r="D269" t="inlineStr">
        <is>
          <t>JÄMTLANDS LÄN</t>
        </is>
      </c>
      <c r="E269" t="inlineStr">
        <is>
          <t>BRÄCKE</t>
        </is>
      </c>
      <c r="F269" t="inlineStr">
        <is>
          <t>SCA</t>
        </is>
      </c>
      <c r="G269" t="n">
        <v>1.6</v>
      </c>
      <c r="H269" t="n">
        <v>2</v>
      </c>
      <c r="I269" t="n">
        <v>1</v>
      </c>
      <c r="J269" t="n">
        <v>0</v>
      </c>
      <c r="K269" t="n">
        <v>0</v>
      </c>
      <c r="L269" t="n">
        <v>0</v>
      </c>
      <c r="M269" t="n">
        <v>0</v>
      </c>
      <c r="N269" t="n">
        <v>0</v>
      </c>
      <c r="O269" t="n">
        <v>0</v>
      </c>
      <c r="P269" t="n">
        <v>0</v>
      </c>
      <c r="Q269" t="n">
        <v>2</v>
      </c>
      <c r="R269" s="2" t="inlineStr">
        <is>
          <t>Plattlummer
Tjäder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c r="Z269">
        <f>HYPERLINK("https://klasma.github.io/Logging_2305/fåglar/A 31450-2025 prioriterade fågelarter.docx", "A 31450-2025")</f>
        <v/>
      </c>
    </row>
    <row r="270" ht="15" customHeight="1">
      <c r="A270" t="inlineStr">
        <is>
          <t>A 44872-2025</t>
        </is>
      </c>
      <c r="B270" s="1" t="n">
        <v>45918</v>
      </c>
      <c r="C270" s="1" t="n">
        <v>46200</v>
      </c>
      <c r="D270" t="inlineStr">
        <is>
          <t>JÄMTLANDS LÄN</t>
        </is>
      </c>
      <c r="E270" t="inlineStr">
        <is>
          <t>BRÄCKE</t>
        </is>
      </c>
      <c r="G270" t="n">
        <v>0.9</v>
      </c>
      <c r="H270" t="n">
        <v>0</v>
      </c>
      <c r="I270" t="n">
        <v>1</v>
      </c>
      <c r="J270" t="n">
        <v>1</v>
      </c>
      <c r="K270" t="n">
        <v>0</v>
      </c>
      <c r="L270" t="n">
        <v>0</v>
      </c>
      <c r="M270" t="n">
        <v>0</v>
      </c>
      <c r="N270" t="n">
        <v>0</v>
      </c>
      <c r="O270" t="n">
        <v>1</v>
      </c>
      <c r="P270" t="n">
        <v>0</v>
      </c>
      <c r="Q270" t="n">
        <v>2</v>
      </c>
      <c r="R270" s="2" t="inlineStr">
        <is>
          <t>Rosenticka
Underviol</t>
        </is>
      </c>
      <c r="S270">
        <f>HYPERLINK("https://klasma.github.io/Logging_2305/artfynd/A 44872-2025 artfynd.xlsx", "A 44872-2025")</f>
        <v/>
      </c>
      <c r="T270">
        <f>HYPERLINK("https://klasma.github.io/Logging_2305/kartor/A 44872-2025 karta.png", "A 44872-2025")</f>
        <v/>
      </c>
      <c r="V270">
        <f>HYPERLINK("https://klasma.github.io/Logging_2305/klagomål/A 44872-2025 FSC-klagomål.docx", "A 44872-2025")</f>
        <v/>
      </c>
      <c r="W270">
        <f>HYPERLINK("https://klasma.github.io/Logging_2305/klagomålsmail/A 44872-2025 FSC-klagomål mail.docx", "A 44872-2025")</f>
        <v/>
      </c>
      <c r="X270">
        <f>HYPERLINK("https://klasma.github.io/Logging_2305/tillsyn/A 44872-2025 tillsynsbegäran.docx", "A 44872-2025")</f>
        <v/>
      </c>
      <c r="Y270">
        <f>HYPERLINK("https://klasma.github.io/Logging_2305/tillsynsmail/A 44872-2025 tillsynsbegäran mail.docx", "A 44872-2025")</f>
        <v/>
      </c>
    </row>
    <row r="271" ht="15" customHeight="1">
      <c r="A271" t="inlineStr">
        <is>
          <t>A 954-2026</t>
        </is>
      </c>
      <c r="B271" s="1" t="n">
        <v>46030</v>
      </c>
      <c r="C271" s="1" t="n">
        <v>46200</v>
      </c>
      <c r="D271" t="inlineStr">
        <is>
          <t>JÄMTLANDS LÄN</t>
        </is>
      </c>
      <c r="E271" t="inlineStr">
        <is>
          <t>BRÄCKE</t>
        </is>
      </c>
      <c r="G271" t="n">
        <v>11.1</v>
      </c>
      <c r="H271" t="n">
        <v>0</v>
      </c>
      <c r="I271" t="n">
        <v>1</v>
      </c>
      <c r="J271" t="n">
        <v>1</v>
      </c>
      <c r="K271" t="n">
        <v>0</v>
      </c>
      <c r="L271" t="n">
        <v>0</v>
      </c>
      <c r="M271" t="n">
        <v>0</v>
      </c>
      <c r="N271" t="n">
        <v>0</v>
      </c>
      <c r="O271" t="n">
        <v>1</v>
      </c>
      <c r="P271" t="n">
        <v>0</v>
      </c>
      <c r="Q271" t="n">
        <v>2</v>
      </c>
      <c r="R271" s="2" t="inlineStr">
        <is>
          <t>Kolflarnlav
Rödgul trumpetsvamp</t>
        </is>
      </c>
      <c r="S271">
        <f>HYPERLINK("https://klasma.github.io/Logging_2305/artfynd/A 954-2026 artfynd.xlsx", "A 954-2026")</f>
        <v/>
      </c>
      <c r="T271">
        <f>HYPERLINK("https://klasma.github.io/Logging_2305/kartor/A 954-2026 karta.png", "A 954-2026")</f>
        <v/>
      </c>
      <c r="V271">
        <f>HYPERLINK("https://klasma.github.io/Logging_2305/klagomål/A 954-2026 FSC-klagomål.docx", "A 954-2026")</f>
        <v/>
      </c>
      <c r="W271">
        <f>HYPERLINK("https://klasma.github.io/Logging_2305/klagomålsmail/A 954-2026 FSC-klagomål mail.docx", "A 954-2026")</f>
        <v/>
      </c>
      <c r="X271">
        <f>HYPERLINK("https://klasma.github.io/Logging_2305/tillsyn/A 954-2026 tillsynsbegäran.docx", "A 954-2026")</f>
        <v/>
      </c>
      <c r="Y271">
        <f>HYPERLINK("https://klasma.github.io/Logging_2305/tillsynsmail/A 954-2026 tillsynsbegäran mail.docx", "A 954-2026")</f>
        <v/>
      </c>
    </row>
    <row r="272" ht="15" customHeight="1">
      <c r="A272" t="inlineStr">
        <is>
          <t>A 20802-2026</t>
        </is>
      </c>
      <c r="B272" s="1" t="n">
        <v>46141</v>
      </c>
      <c r="C272" s="1" t="n">
        <v>46200</v>
      </c>
      <c r="D272" t="inlineStr">
        <is>
          <t>JÄMTLANDS LÄN</t>
        </is>
      </c>
      <c r="E272" t="inlineStr">
        <is>
          <t>BRÄCKE</t>
        </is>
      </c>
      <c r="F272" t="inlineStr">
        <is>
          <t>SCA</t>
        </is>
      </c>
      <c r="G272" t="n">
        <v>0.9</v>
      </c>
      <c r="H272" t="n">
        <v>1</v>
      </c>
      <c r="I272" t="n">
        <v>0</v>
      </c>
      <c r="J272" t="n">
        <v>0</v>
      </c>
      <c r="K272" t="n">
        <v>2</v>
      </c>
      <c r="L272" t="n">
        <v>0</v>
      </c>
      <c r="M272" t="n">
        <v>0</v>
      </c>
      <c r="N272" t="n">
        <v>0</v>
      </c>
      <c r="O272" t="n">
        <v>2</v>
      </c>
      <c r="P272" t="n">
        <v>2</v>
      </c>
      <c r="Q272" t="n">
        <v>2</v>
      </c>
      <c r="R272" s="2" t="inlineStr">
        <is>
          <t>Garnlav
Knärot</t>
        </is>
      </c>
      <c r="S272">
        <f>HYPERLINK("https://klasma.github.io/Logging_2305/artfynd/A 20802-2026 artfynd.xlsx", "A 20802-2026")</f>
        <v/>
      </c>
      <c r="T272">
        <f>HYPERLINK("https://klasma.github.io/Logging_2305/kartor/A 20802-2026 karta.png", "A 20802-2026")</f>
        <v/>
      </c>
      <c r="U272">
        <f>HYPERLINK("https://klasma.github.io/Logging_2305/knärot/A 20802-2026 karta knärot.png", "A 20802-2026")</f>
        <v/>
      </c>
      <c r="V272">
        <f>HYPERLINK("https://klasma.github.io/Logging_2305/klagomål/A 20802-2026 FSC-klagomål.docx", "A 20802-2026")</f>
        <v/>
      </c>
      <c r="W272">
        <f>HYPERLINK("https://klasma.github.io/Logging_2305/klagomålsmail/A 20802-2026 FSC-klagomål mail.docx", "A 20802-2026")</f>
        <v/>
      </c>
      <c r="X272">
        <f>HYPERLINK("https://klasma.github.io/Logging_2305/tillsyn/A 20802-2026 tillsynsbegäran.docx", "A 20802-2026")</f>
        <v/>
      </c>
      <c r="Y272">
        <f>HYPERLINK("https://klasma.github.io/Logging_2305/tillsynsmail/A 20802-2026 tillsynsbegäran mail.docx", "A 20802-2026")</f>
        <v/>
      </c>
    </row>
    <row r="273" ht="15" customHeight="1">
      <c r="A273" t="inlineStr">
        <is>
          <t>A 21371-2026</t>
        </is>
      </c>
      <c r="B273" s="1" t="n">
        <v>46147</v>
      </c>
      <c r="C273" s="1" t="n">
        <v>46200</v>
      </c>
      <c r="D273" t="inlineStr">
        <is>
          <t>JÄMTLANDS LÄN</t>
        </is>
      </c>
      <c r="E273" t="inlineStr">
        <is>
          <t>BRÄCKE</t>
        </is>
      </c>
      <c r="F273" t="inlineStr">
        <is>
          <t>SCA</t>
        </is>
      </c>
      <c r="G273" t="n">
        <v>1</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21371-2026 artfynd.xlsx", "A 21371-2026")</f>
        <v/>
      </c>
      <c r="T273">
        <f>HYPERLINK("https://klasma.github.io/Logging_2305/kartor/A 21371-2026 karta.png", "A 21371-2026")</f>
        <v/>
      </c>
      <c r="U273">
        <f>HYPERLINK("https://klasma.github.io/Logging_2305/knärot/A 21371-2026 karta knärot.png", "A 21371-2026")</f>
        <v/>
      </c>
      <c r="V273">
        <f>HYPERLINK("https://klasma.github.io/Logging_2305/klagomål/A 21371-2026 FSC-klagomål.docx", "A 21371-2026")</f>
        <v/>
      </c>
      <c r="W273">
        <f>HYPERLINK("https://klasma.github.io/Logging_2305/klagomålsmail/A 21371-2026 FSC-klagomål mail.docx", "A 21371-2026")</f>
        <v/>
      </c>
      <c r="X273">
        <f>HYPERLINK("https://klasma.github.io/Logging_2305/tillsyn/A 21371-2026 tillsynsbegäran.docx", "A 21371-2026")</f>
        <v/>
      </c>
      <c r="Y273">
        <f>HYPERLINK("https://klasma.github.io/Logging_2305/tillsynsmail/A 21371-2026 tillsynsbegäran mail.docx", "A 21371-2026")</f>
        <v/>
      </c>
    </row>
    <row r="274" ht="15" customHeight="1">
      <c r="A274" t="inlineStr">
        <is>
          <t>A 5380-2022</t>
        </is>
      </c>
      <c r="B274" s="1" t="n">
        <v>44594</v>
      </c>
      <c r="C274" s="1" t="n">
        <v>46200</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46200</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46200</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47257-2022</t>
        </is>
      </c>
      <c r="B277" s="1" t="n">
        <v>44852</v>
      </c>
      <c r="C277" s="1" t="n">
        <v>46200</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Brunklöver</t>
        </is>
      </c>
      <c r="S277">
        <f>HYPERLINK("https://klasma.github.io/Logging_2305/artfynd/A 47257-2022 artfynd.xlsx", "A 47257-2022")</f>
        <v/>
      </c>
      <c r="T277">
        <f>HYPERLINK("https://klasma.github.io/Logging_2305/kartor/A 47257-2022 karta.png", "A 47257-2022")</f>
        <v/>
      </c>
      <c r="V277">
        <f>HYPERLINK("https://klasma.github.io/Logging_2305/klagomål/A 47257-2022 FSC-klagomål.docx", "A 47257-2022")</f>
        <v/>
      </c>
      <c r="W277">
        <f>HYPERLINK("https://klasma.github.io/Logging_2305/klagomålsmail/A 47257-2022 FSC-klagomål mail.docx", "A 47257-2022")</f>
        <v/>
      </c>
      <c r="X277">
        <f>HYPERLINK("https://klasma.github.io/Logging_2305/tillsyn/A 47257-2022 tillsynsbegäran.docx", "A 47257-2022")</f>
        <v/>
      </c>
      <c r="Y277">
        <f>HYPERLINK("https://klasma.github.io/Logging_2305/tillsynsmail/A 47257-2022 tillsynsbegäran mail.docx", "A 47257-2022")</f>
        <v/>
      </c>
    </row>
    <row r="278" ht="15" customHeight="1">
      <c r="A278" t="inlineStr">
        <is>
          <t>A 45701-2022</t>
        </is>
      </c>
      <c r="B278" s="1" t="n">
        <v>44845</v>
      </c>
      <c r="C278" s="1" t="n">
        <v>46200</v>
      </c>
      <c r="D278" t="inlineStr">
        <is>
          <t>JÄMTLANDS LÄN</t>
        </is>
      </c>
      <c r="E278" t="inlineStr">
        <is>
          <t>BRÄCKE</t>
        </is>
      </c>
      <c r="F278" t="inlineStr">
        <is>
          <t>SCA</t>
        </is>
      </c>
      <c r="G278" t="n">
        <v>2.9</v>
      </c>
      <c r="H278" t="n">
        <v>1</v>
      </c>
      <c r="I278" t="n">
        <v>0</v>
      </c>
      <c r="J278" t="n">
        <v>1</v>
      </c>
      <c r="K278" t="n">
        <v>0</v>
      </c>
      <c r="L278" t="n">
        <v>0</v>
      </c>
      <c r="M278" t="n">
        <v>0</v>
      </c>
      <c r="N278" t="n">
        <v>0</v>
      </c>
      <c r="O278" t="n">
        <v>1</v>
      </c>
      <c r="P278" t="n">
        <v>0</v>
      </c>
      <c r="Q278" t="n">
        <v>1</v>
      </c>
      <c r="R278" s="2" t="inlineStr">
        <is>
          <t>Lavskrika</t>
        </is>
      </c>
      <c r="S278">
        <f>HYPERLINK("https://klasma.github.io/Logging_2305/artfynd/A 45701-2022 artfynd.xlsx", "A 45701-2022")</f>
        <v/>
      </c>
      <c r="T278">
        <f>HYPERLINK("https://klasma.github.io/Logging_2305/kartor/A 45701-2022 karta.png", "A 45701-2022")</f>
        <v/>
      </c>
      <c r="V278">
        <f>HYPERLINK("https://klasma.github.io/Logging_2305/klagomål/A 45701-2022 FSC-klagomål.docx", "A 45701-2022")</f>
        <v/>
      </c>
      <c r="W278">
        <f>HYPERLINK("https://klasma.github.io/Logging_2305/klagomålsmail/A 45701-2022 FSC-klagomål mail.docx", "A 45701-2022")</f>
        <v/>
      </c>
      <c r="X278">
        <f>HYPERLINK("https://klasma.github.io/Logging_2305/tillsyn/A 45701-2022 tillsynsbegäran.docx", "A 45701-2022")</f>
        <v/>
      </c>
      <c r="Y278">
        <f>HYPERLINK("https://klasma.github.io/Logging_2305/tillsynsmail/A 45701-2022 tillsynsbegäran mail.docx", "A 45701-2022")</f>
        <v/>
      </c>
      <c r="Z278">
        <f>HYPERLINK("https://klasma.github.io/Logging_2305/fåglar/A 45701-2022 prioriterade fågelarter.docx", "A 45701-2022")</f>
        <v/>
      </c>
    </row>
    <row r="279" ht="15" customHeight="1">
      <c r="A279" t="inlineStr">
        <is>
          <t>A 40278-2022</t>
        </is>
      </c>
      <c r="B279" s="1" t="n">
        <v>44820</v>
      </c>
      <c r="C279" s="1" t="n">
        <v>46200</v>
      </c>
      <c r="D279" t="inlineStr">
        <is>
          <t>JÄMTLANDS LÄN</t>
        </is>
      </c>
      <c r="E279" t="inlineStr">
        <is>
          <t>BRÄCKE</t>
        </is>
      </c>
      <c r="F279" t="inlineStr">
        <is>
          <t>SCA</t>
        </is>
      </c>
      <c r="G279" t="n">
        <v>1.1</v>
      </c>
      <c r="H279" t="n">
        <v>1</v>
      </c>
      <c r="I279" t="n">
        <v>0</v>
      </c>
      <c r="J279" t="n">
        <v>0</v>
      </c>
      <c r="K279" t="n">
        <v>1</v>
      </c>
      <c r="L279" t="n">
        <v>0</v>
      </c>
      <c r="M279" t="n">
        <v>0</v>
      </c>
      <c r="N279" t="n">
        <v>0</v>
      </c>
      <c r="O279" t="n">
        <v>1</v>
      </c>
      <c r="P279" t="n">
        <v>1</v>
      </c>
      <c r="Q279" t="n">
        <v>1</v>
      </c>
      <c r="R279" s="2" t="inlineStr">
        <is>
          <t>Lappuggla</t>
        </is>
      </c>
      <c r="S279">
        <f>HYPERLINK("https://klasma.github.io/Logging_2305/artfynd/A 40278-2022 artfynd.xlsx", "A 40278-2022")</f>
        <v/>
      </c>
      <c r="T279">
        <f>HYPERLINK("https://klasma.github.io/Logging_2305/kartor/A 40278-2022 karta.png", "A 40278-2022")</f>
        <v/>
      </c>
      <c r="V279">
        <f>HYPERLINK("https://klasma.github.io/Logging_2305/klagomål/A 40278-2022 FSC-klagomål.docx", "A 40278-2022")</f>
        <v/>
      </c>
      <c r="W279">
        <f>HYPERLINK("https://klasma.github.io/Logging_2305/klagomålsmail/A 40278-2022 FSC-klagomål mail.docx", "A 40278-2022")</f>
        <v/>
      </c>
      <c r="X279">
        <f>HYPERLINK("https://klasma.github.io/Logging_2305/tillsyn/A 40278-2022 tillsynsbegäran.docx", "A 40278-2022")</f>
        <v/>
      </c>
      <c r="Y279">
        <f>HYPERLINK("https://klasma.github.io/Logging_2305/tillsynsmail/A 40278-2022 tillsynsbegäran mail.docx", "A 40278-2022")</f>
        <v/>
      </c>
      <c r="Z279">
        <f>HYPERLINK("https://klasma.github.io/Logging_2305/fåglar/A 40278-2022 prioriterade fågelarter.docx", "A 40278-2022")</f>
        <v/>
      </c>
    </row>
    <row r="280" ht="15" customHeight="1">
      <c r="A280" t="inlineStr">
        <is>
          <t>A 43832-2021</t>
        </is>
      </c>
      <c r="B280" s="1" t="n">
        <v>44433</v>
      </c>
      <c r="C280" s="1" t="n">
        <v>46200</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18645-2024</t>
        </is>
      </c>
      <c r="B281" s="1" t="n">
        <v>45425</v>
      </c>
      <c r="C281" s="1" t="n">
        <v>46200</v>
      </c>
      <c r="D281" t="inlineStr">
        <is>
          <t>JÄMTLANDS LÄN</t>
        </is>
      </c>
      <c r="E281" t="inlineStr">
        <is>
          <t>BRÄCKE</t>
        </is>
      </c>
      <c r="F281" t="inlineStr">
        <is>
          <t>SCA</t>
        </is>
      </c>
      <c r="G281" t="n">
        <v>1.9</v>
      </c>
      <c r="H281" t="n">
        <v>1</v>
      </c>
      <c r="I281" t="n">
        <v>0</v>
      </c>
      <c r="J281" t="n">
        <v>1</v>
      </c>
      <c r="K281" t="n">
        <v>0</v>
      </c>
      <c r="L281" t="n">
        <v>0</v>
      </c>
      <c r="M281" t="n">
        <v>0</v>
      </c>
      <c r="N281" t="n">
        <v>0</v>
      </c>
      <c r="O281" t="n">
        <v>1</v>
      </c>
      <c r="P281" t="n">
        <v>0</v>
      </c>
      <c r="Q281" t="n">
        <v>1</v>
      </c>
      <c r="R281" s="2" t="inlineStr">
        <is>
          <t>Tretåig hackspett</t>
        </is>
      </c>
      <c r="S281">
        <f>HYPERLINK("https://klasma.github.io/Logging_2305/artfynd/A 18645-2024 artfynd.xlsx", "A 18645-2024")</f>
        <v/>
      </c>
      <c r="T281">
        <f>HYPERLINK("https://klasma.github.io/Logging_2305/kartor/A 18645-2024 karta.png", "A 18645-2024")</f>
        <v/>
      </c>
      <c r="U281">
        <f>HYPERLINK("https://klasma.github.io/Logging_2305/knärot/A 18645-2024 karta knärot.png", "A 18645-2024")</f>
        <v/>
      </c>
      <c r="V281">
        <f>HYPERLINK("https://klasma.github.io/Logging_2305/klagomål/A 18645-2024 FSC-klagomål.docx", "A 18645-2024")</f>
        <v/>
      </c>
      <c r="W281">
        <f>HYPERLINK("https://klasma.github.io/Logging_2305/klagomålsmail/A 18645-2024 FSC-klagomål mail.docx", "A 18645-2024")</f>
        <v/>
      </c>
      <c r="X281">
        <f>HYPERLINK("https://klasma.github.io/Logging_2305/tillsyn/A 18645-2024 tillsynsbegäran.docx", "A 18645-2024")</f>
        <v/>
      </c>
      <c r="Y281">
        <f>HYPERLINK("https://klasma.github.io/Logging_2305/tillsynsmail/A 18645-2024 tillsynsbegäran mail.docx", "A 18645-2024")</f>
        <v/>
      </c>
      <c r="Z281">
        <f>HYPERLINK("https://klasma.github.io/Logging_2305/fåglar/A 18645-2024 prioriterade fågelarter.docx", "A 18645-2024")</f>
        <v/>
      </c>
    </row>
    <row r="282" ht="15" customHeight="1">
      <c r="A282" t="inlineStr">
        <is>
          <t>A 49032-2024</t>
        </is>
      </c>
      <c r="B282" s="1" t="n">
        <v>45594</v>
      </c>
      <c r="C282" s="1" t="n">
        <v>46200</v>
      </c>
      <c r="D282" t="inlineStr">
        <is>
          <t>JÄMTLANDS LÄN</t>
        </is>
      </c>
      <c r="E282" t="inlineStr">
        <is>
          <t>BRÄCKE</t>
        </is>
      </c>
      <c r="F282" t="inlineStr">
        <is>
          <t>SCA</t>
        </is>
      </c>
      <c r="G282" t="n">
        <v>1</v>
      </c>
      <c r="H282" t="n">
        <v>1</v>
      </c>
      <c r="I282" t="n">
        <v>0</v>
      </c>
      <c r="J282" t="n">
        <v>1</v>
      </c>
      <c r="K282" t="n">
        <v>0</v>
      </c>
      <c r="L282" t="n">
        <v>0</v>
      </c>
      <c r="M282" t="n">
        <v>0</v>
      </c>
      <c r="N282" t="n">
        <v>0</v>
      </c>
      <c r="O282" t="n">
        <v>1</v>
      </c>
      <c r="P282" t="n">
        <v>0</v>
      </c>
      <c r="Q282" t="n">
        <v>1</v>
      </c>
      <c r="R282" s="2" t="inlineStr">
        <is>
          <t>Lavskrika</t>
        </is>
      </c>
      <c r="S282">
        <f>HYPERLINK("https://klasma.github.io/Logging_2305/artfynd/A 49032-2024 artfynd.xlsx", "A 49032-2024")</f>
        <v/>
      </c>
      <c r="T282">
        <f>HYPERLINK("https://klasma.github.io/Logging_2305/kartor/A 49032-2024 karta.png", "A 49032-2024")</f>
        <v/>
      </c>
      <c r="V282">
        <f>HYPERLINK("https://klasma.github.io/Logging_2305/klagomål/A 49032-2024 FSC-klagomål.docx", "A 49032-2024")</f>
        <v/>
      </c>
      <c r="W282">
        <f>HYPERLINK("https://klasma.github.io/Logging_2305/klagomålsmail/A 49032-2024 FSC-klagomål mail.docx", "A 49032-2024")</f>
        <v/>
      </c>
      <c r="X282">
        <f>HYPERLINK("https://klasma.github.io/Logging_2305/tillsyn/A 49032-2024 tillsynsbegäran.docx", "A 49032-2024")</f>
        <v/>
      </c>
      <c r="Y282">
        <f>HYPERLINK("https://klasma.github.io/Logging_2305/tillsynsmail/A 49032-2024 tillsynsbegäran mail.docx", "A 49032-2024")</f>
        <v/>
      </c>
      <c r="Z282">
        <f>HYPERLINK("https://klasma.github.io/Logging_2305/fåglar/A 49032-2024 prioriterade fågelarter.docx", "A 49032-2024")</f>
        <v/>
      </c>
    </row>
    <row r="283" ht="15" customHeight="1">
      <c r="A283" t="inlineStr">
        <is>
          <t>A 49727-2023</t>
        </is>
      </c>
      <c r="B283" s="1" t="n">
        <v>45208</v>
      </c>
      <c r="C283" s="1" t="n">
        <v>46200</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HYPERLINK("https://klasma.github.io/Logging_2305/artfynd/A 49727-2023 artfynd.xlsx", "A 49727-2023")</f>
        <v/>
      </c>
      <c r="T283">
        <f>HYPERLINK("https://klasma.github.io/Logging_2305/kartor/A 49727-2023 karta.png", "A 49727-2023")</f>
        <v/>
      </c>
      <c r="V283">
        <f>HYPERLINK("https://klasma.github.io/Logging_2305/klagomål/A 49727-2023 FSC-klagomål.docx", "A 49727-2023")</f>
        <v/>
      </c>
      <c r="W283">
        <f>HYPERLINK("https://klasma.github.io/Logging_2305/klagomålsmail/A 49727-2023 FSC-klagomål mail.docx", "A 49727-2023")</f>
        <v/>
      </c>
      <c r="X283">
        <f>HYPERLINK("https://klasma.github.io/Logging_2305/tillsyn/A 49727-2023 tillsynsbegäran.docx", "A 49727-2023")</f>
        <v/>
      </c>
      <c r="Y283">
        <f>HYPERLINK("https://klasma.github.io/Logging_2305/tillsynsmail/A 49727-2023 tillsynsbegäran mail.docx", "A 49727-2023")</f>
        <v/>
      </c>
    </row>
    <row r="284" ht="15" customHeight="1">
      <c r="A284" t="inlineStr">
        <is>
          <t>A 40711-2022</t>
        </is>
      </c>
      <c r="B284" s="1" t="n">
        <v>44820</v>
      </c>
      <c r="C284" s="1" t="n">
        <v>46200</v>
      </c>
      <c r="D284" t="inlineStr">
        <is>
          <t>JÄMTLANDS LÄN</t>
        </is>
      </c>
      <c r="E284" t="inlineStr">
        <is>
          <t>BRÄCKE</t>
        </is>
      </c>
      <c r="G284" t="n">
        <v>5.4</v>
      </c>
      <c r="H284" t="n">
        <v>1</v>
      </c>
      <c r="I284" t="n">
        <v>0</v>
      </c>
      <c r="J284" t="n">
        <v>0</v>
      </c>
      <c r="K284" t="n">
        <v>0</v>
      </c>
      <c r="L284" t="n">
        <v>0</v>
      </c>
      <c r="M284" t="n">
        <v>0</v>
      </c>
      <c r="N284" t="n">
        <v>0</v>
      </c>
      <c r="O284" t="n">
        <v>0</v>
      </c>
      <c r="P284" t="n">
        <v>0</v>
      </c>
      <c r="Q284" t="n">
        <v>1</v>
      </c>
      <c r="R284" s="2" t="inlineStr">
        <is>
          <t>Blåsippa</t>
        </is>
      </c>
      <c r="S284">
        <f>HYPERLINK("https://klasma.github.io/Logging_2305/artfynd/A 40711-2022 artfynd.xlsx", "A 40711-2022")</f>
        <v/>
      </c>
      <c r="T284">
        <f>HYPERLINK("https://klasma.github.io/Logging_2305/kartor/A 40711-2022 karta.png", "A 40711-2022")</f>
        <v/>
      </c>
      <c r="V284">
        <f>HYPERLINK("https://klasma.github.io/Logging_2305/klagomål/A 40711-2022 FSC-klagomål.docx", "A 40711-2022")</f>
        <v/>
      </c>
      <c r="W284">
        <f>HYPERLINK("https://klasma.github.io/Logging_2305/klagomålsmail/A 40711-2022 FSC-klagomål mail.docx", "A 40711-2022")</f>
        <v/>
      </c>
      <c r="X284">
        <f>HYPERLINK("https://klasma.github.io/Logging_2305/tillsyn/A 40711-2022 tillsynsbegäran.docx", "A 40711-2022")</f>
        <v/>
      </c>
      <c r="Y284">
        <f>HYPERLINK("https://klasma.github.io/Logging_2305/tillsynsmail/A 40711-2022 tillsynsbegäran mail.docx", "A 40711-2022")</f>
        <v/>
      </c>
    </row>
    <row r="285" ht="15" customHeight="1">
      <c r="A285" t="inlineStr">
        <is>
          <t>A 31479-2024</t>
        </is>
      </c>
      <c r="B285" s="1" t="n">
        <v>45505</v>
      </c>
      <c r="C285" s="1" t="n">
        <v>46200</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58777-2023</t>
        </is>
      </c>
      <c r="B286" s="1" t="n">
        <v>45251</v>
      </c>
      <c r="C286" s="1" t="n">
        <v>46200</v>
      </c>
      <c r="D286" t="inlineStr">
        <is>
          <t>JÄMTLANDS LÄN</t>
        </is>
      </c>
      <c r="E286" t="inlineStr">
        <is>
          <t>BRÄCKE</t>
        </is>
      </c>
      <c r="F286" t="inlineStr">
        <is>
          <t>SCA</t>
        </is>
      </c>
      <c r="G286" t="n">
        <v>1.1</v>
      </c>
      <c r="H286" t="n">
        <v>0</v>
      </c>
      <c r="I286" t="n">
        <v>0</v>
      </c>
      <c r="J286" t="n">
        <v>0</v>
      </c>
      <c r="K286" t="n">
        <v>1</v>
      </c>
      <c r="L286" t="n">
        <v>0</v>
      </c>
      <c r="M286" t="n">
        <v>0</v>
      </c>
      <c r="N286" t="n">
        <v>0</v>
      </c>
      <c r="O286" t="n">
        <v>1</v>
      </c>
      <c r="P286" t="n">
        <v>1</v>
      </c>
      <c r="Q286" t="n">
        <v>1</v>
      </c>
      <c r="R286" s="2" t="inlineStr">
        <is>
          <t>Igelkott</t>
        </is>
      </c>
      <c r="S286">
        <f>HYPERLINK("https://klasma.github.io/Logging_2305/artfynd/A 58777-2023 artfynd.xlsx", "A 58777-2023")</f>
        <v/>
      </c>
      <c r="T286">
        <f>HYPERLINK("https://klasma.github.io/Logging_2305/kartor/A 58777-2023 karta.png", "A 58777-2023")</f>
        <v/>
      </c>
      <c r="V286">
        <f>HYPERLINK("https://klasma.github.io/Logging_2305/klagomål/A 58777-2023 FSC-klagomål.docx", "A 58777-2023")</f>
        <v/>
      </c>
      <c r="W286">
        <f>HYPERLINK("https://klasma.github.io/Logging_2305/klagomålsmail/A 58777-2023 FSC-klagomål mail.docx", "A 58777-2023")</f>
        <v/>
      </c>
      <c r="X286">
        <f>HYPERLINK("https://klasma.github.io/Logging_2305/tillsyn/A 58777-2023 tillsynsbegäran.docx", "A 58777-2023")</f>
        <v/>
      </c>
      <c r="Y286">
        <f>HYPERLINK("https://klasma.github.io/Logging_2305/tillsynsmail/A 58777-2023 tillsynsbegäran mail.docx", "A 58777-2023")</f>
        <v/>
      </c>
    </row>
    <row r="287" ht="15" customHeight="1">
      <c r="A287" t="inlineStr">
        <is>
          <t>A 9204-2025</t>
        </is>
      </c>
      <c r="B287" s="1" t="n">
        <v>45714</v>
      </c>
      <c r="C287" s="1" t="n">
        <v>46200</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22101-2024</t>
        </is>
      </c>
      <c r="B288" s="1" t="n">
        <v>45443</v>
      </c>
      <c r="C288" s="1" t="n">
        <v>46200</v>
      </c>
      <c r="D288" t="inlineStr">
        <is>
          <t>JÄMTLANDS LÄN</t>
        </is>
      </c>
      <c r="E288" t="inlineStr">
        <is>
          <t>BRÄCKE</t>
        </is>
      </c>
      <c r="F288" t="inlineStr">
        <is>
          <t>SCA</t>
        </is>
      </c>
      <c r="G288" t="n">
        <v>3.5</v>
      </c>
      <c r="H288" t="n">
        <v>0</v>
      </c>
      <c r="I288" t="n">
        <v>0</v>
      </c>
      <c r="J288" t="n">
        <v>0</v>
      </c>
      <c r="K288" t="n">
        <v>1</v>
      </c>
      <c r="L288" t="n">
        <v>0</v>
      </c>
      <c r="M288" t="n">
        <v>0</v>
      </c>
      <c r="N288" t="n">
        <v>0</v>
      </c>
      <c r="O288" t="n">
        <v>1</v>
      </c>
      <c r="P288" t="n">
        <v>1</v>
      </c>
      <c r="Q288" t="n">
        <v>1</v>
      </c>
      <c r="R288" s="2" t="inlineStr">
        <is>
          <t>Garnlav</t>
        </is>
      </c>
      <c r="S288">
        <f>HYPERLINK("https://klasma.github.io/Logging_2305/artfynd/A 22101-2024 artfynd.xlsx", "A 22101-2024")</f>
        <v/>
      </c>
      <c r="T288">
        <f>HYPERLINK("https://klasma.github.io/Logging_2305/kartor/A 22101-2024 karta.png", "A 22101-2024")</f>
        <v/>
      </c>
      <c r="V288">
        <f>HYPERLINK("https://klasma.github.io/Logging_2305/klagomål/A 22101-2024 FSC-klagomål.docx", "A 22101-2024")</f>
        <v/>
      </c>
      <c r="W288">
        <f>HYPERLINK("https://klasma.github.io/Logging_2305/klagomålsmail/A 22101-2024 FSC-klagomål mail.docx", "A 22101-2024")</f>
        <v/>
      </c>
      <c r="X288">
        <f>HYPERLINK("https://klasma.github.io/Logging_2305/tillsyn/A 22101-2024 tillsynsbegäran.docx", "A 22101-2024")</f>
        <v/>
      </c>
      <c r="Y288">
        <f>HYPERLINK("https://klasma.github.io/Logging_2305/tillsynsmail/A 22101-2024 tillsynsbegäran mail.docx", "A 22101-2024")</f>
        <v/>
      </c>
    </row>
    <row r="289" ht="15" customHeight="1">
      <c r="A289" t="inlineStr">
        <is>
          <t>A 27587-2022</t>
        </is>
      </c>
      <c r="B289" s="1" t="n">
        <v>44742</v>
      </c>
      <c r="C289" s="1" t="n">
        <v>46200</v>
      </c>
      <c r="D289" t="inlineStr">
        <is>
          <t>JÄMTLANDS LÄN</t>
        </is>
      </c>
      <c r="E289" t="inlineStr">
        <is>
          <t>BRÄCKE</t>
        </is>
      </c>
      <c r="F289" t="inlineStr">
        <is>
          <t>SCA</t>
        </is>
      </c>
      <c r="G289" t="n">
        <v>4.1</v>
      </c>
      <c r="H289" t="n">
        <v>0</v>
      </c>
      <c r="I289" t="n">
        <v>0</v>
      </c>
      <c r="J289" t="n">
        <v>1</v>
      </c>
      <c r="K289" t="n">
        <v>0</v>
      </c>
      <c r="L289" t="n">
        <v>0</v>
      </c>
      <c r="M289" t="n">
        <v>0</v>
      </c>
      <c r="N289" t="n">
        <v>0</v>
      </c>
      <c r="O289" t="n">
        <v>1</v>
      </c>
      <c r="P289" t="n">
        <v>0</v>
      </c>
      <c r="Q289" t="n">
        <v>1</v>
      </c>
      <c r="R289" s="2" t="inlineStr">
        <is>
          <t>Lunglav</t>
        </is>
      </c>
      <c r="S289">
        <f>HYPERLINK("https://klasma.github.io/Logging_2305/artfynd/A 27587-2022 artfynd.xlsx", "A 27587-2022")</f>
        <v/>
      </c>
      <c r="T289">
        <f>HYPERLINK("https://klasma.github.io/Logging_2305/kartor/A 27587-2022 karta.png", "A 27587-2022")</f>
        <v/>
      </c>
      <c r="V289">
        <f>HYPERLINK("https://klasma.github.io/Logging_2305/klagomål/A 27587-2022 FSC-klagomål.docx", "A 27587-2022")</f>
        <v/>
      </c>
      <c r="W289">
        <f>HYPERLINK("https://klasma.github.io/Logging_2305/klagomålsmail/A 27587-2022 FSC-klagomål mail.docx", "A 27587-2022")</f>
        <v/>
      </c>
      <c r="X289">
        <f>HYPERLINK("https://klasma.github.io/Logging_2305/tillsyn/A 27587-2022 tillsynsbegäran.docx", "A 27587-2022")</f>
        <v/>
      </c>
      <c r="Y289">
        <f>HYPERLINK("https://klasma.github.io/Logging_2305/tillsynsmail/A 27587-2022 tillsynsbegäran mail.docx", "A 27587-2022")</f>
        <v/>
      </c>
    </row>
    <row r="290" ht="15" customHeight="1">
      <c r="A290" t="inlineStr">
        <is>
          <t>A 62079-2022</t>
        </is>
      </c>
      <c r="B290" s="1" t="n">
        <v>44918</v>
      </c>
      <c r="C290" s="1" t="n">
        <v>46200</v>
      </c>
      <c r="D290" t="inlineStr">
        <is>
          <t>JÄMTLANDS LÄN</t>
        </is>
      </c>
      <c r="E290" t="inlineStr">
        <is>
          <t>BRÄCKE</t>
        </is>
      </c>
      <c r="F290" t="inlineStr">
        <is>
          <t>SCA</t>
        </is>
      </c>
      <c r="G290" t="n">
        <v>3</v>
      </c>
      <c r="H290" t="n">
        <v>0</v>
      </c>
      <c r="I290" t="n">
        <v>0</v>
      </c>
      <c r="J290" t="n">
        <v>0</v>
      </c>
      <c r="K290" t="n">
        <v>1</v>
      </c>
      <c r="L290" t="n">
        <v>0</v>
      </c>
      <c r="M290" t="n">
        <v>0</v>
      </c>
      <c r="N290" t="n">
        <v>0</v>
      </c>
      <c r="O290" t="n">
        <v>1</v>
      </c>
      <c r="P290" t="n">
        <v>1</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35023-2022</t>
        </is>
      </c>
      <c r="B291" s="1" t="n">
        <v>44796</v>
      </c>
      <c r="C291" s="1" t="n">
        <v>46200</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10110-2025</t>
        </is>
      </c>
      <c r="B292" s="1" t="n">
        <v>45719</v>
      </c>
      <c r="C292" s="1" t="n">
        <v>46200</v>
      </c>
      <c r="D292" t="inlineStr">
        <is>
          <t>JÄMTLANDS LÄN</t>
        </is>
      </c>
      <c r="E292" t="inlineStr">
        <is>
          <t>BRÄCKE</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HYPERLINK("https://klasma.github.io/Logging_2305/artfynd/A 10110-2025 artfynd.xlsx", "A 10110-2025")</f>
        <v/>
      </c>
      <c r="T292">
        <f>HYPERLINK("https://klasma.github.io/Logging_2305/kartor/A 10110-2025 karta.png", "A 10110-2025")</f>
        <v/>
      </c>
      <c r="V292">
        <f>HYPERLINK("https://klasma.github.io/Logging_2305/klagomål/A 10110-2025 FSC-klagomål.docx", "A 10110-2025")</f>
        <v/>
      </c>
      <c r="W292">
        <f>HYPERLINK("https://klasma.github.io/Logging_2305/klagomålsmail/A 10110-2025 FSC-klagomål mail.docx", "A 10110-2025")</f>
        <v/>
      </c>
      <c r="X292">
        <f>HYPERLINK("https://klasma.github.io/Logging_2305/tillsyn/A 10110-2025 tillsynsbegäran.docx", "A 10110-2025")</f>
        <v/>
      </c>
      <c r="Y292">
        <f>HYPERLINK("https://klasma.github.io/Logging_2305/tillsynsmail/A 10110-2025 tillsynsbegäran mail.docx", "A 10110-2025")</f>
        <v/>
      </c>
    </row>
    <row r="293" ht="15" customHeight="1">
      <c r="A293" t="inlineStr">
        <is>
          <t>A 29546-2024</t>
        </is>
      </c>
      <c r="B293" s="1" t="n">
        <v>45484</v>
      </c>
      <c r="C293" s="1" t="n">
        <v>46200</v>
      </c>
      <c r="D293" t="inlineStr">
        <is>
          <t>JÄMTLANDS LÄN</t>
        </is>
      </c>
      <c r="E293" t="inlineStr">
        <is>
          <t>BRÄCKE</t>
        </is>
      </c>
      <c r="F293" t="inlineStr">
        <is>
          <t>Övriga Aktiebolag</t>
        </is>
      </c>
      <c r="G293" t="n">
        <v>3.1</v>
      </c>
      <c r="H293" t="n">
        <v>1</v>
      </c>
      <c r="I293" t="n">
        <v>0</v>
      </c>
      <c r="J293" t="n">
        <v>0</v>
      </c>
      <c r="K293" t="n">
        <v>0</v>
      </c>
      <c r="L293" t="n">
        <v>0</v>
      </c>
      <c r="M293" t="n">
        <v>0</v>
      </c>
      <c r="N293" t="n">
        <v>0</v>
      </c>
      <c r="O293" t="n">
        <v>0</v>
      </c>
      <c r="P293" t="n">
        <v>0</v>
      </c>
      <c r="Q293" t="n">
        <v>1</v>
      </c>
      <c r="R293" s="2" t="inlineStr">
        <is>
          <t>Spillkråka</t>
        </is>
      </c>
      <c r="S293">
        <f>HYPERLINK("https://klasma.github.io/Logging_2305/artfynd/A 29546-2024 artfynd.xlsx", "A 29546-2024")</f>
        <v/>
      </c>
      <c r="T293">
        <f>HYPERLINK("https://klasma.github.io/Logging_2305/kartor/A 29546-2024 karta.png", "A 29546-2024")</f>
        <v/>
      </c>
      <c r="V293">
        <f>HYPERLINK("https://klasma.github.io/Logging_2305/klagomål/A 29546-2024 FSC-klagomål.docx", "A 29546-2024")</f>
        <v/>
      </c>
      <c r="W293">
        <f>HYPERLINK("https://klasma.github.io/Logging_2305/klagomålsmail/A 29546-2024 FSC-klagomål mail.docx", "A 29546-2024")</f>
        <v/>
      </c>
      <c r="X293">
        <f>HYPERLINK("https://klasma.github.io/Logging_2305/tillsyn/A 29546-2024 tillsynsbegäran.docx", "A 29546-2024")</f>
        <v/>
      </c>
      <c r="Y293">
        <f>HYPERLINK("https://klasma.github.io/Logging_2305/tillsynsmail/A 29546-2024 tillsynsbegäran mail.docx", "A 29546-2024")</f>
        <v/>
      </c>
      <c r="Z293">
        <f>HYPERLINK("https://klasma.github.io/Logging_2305/fåglar/A 29546-2024 prioriterade fågelarter.docx", "A 29546-2024")</f>
        <v/>
      </c>
    </row>
    <row r="294" ht="15" customHeight="1">
      <c r="A294" t="inlineStr">
        <is>
          <t>A 31888-2024</t>
        </is>
      </c>
      <c r="B294" s="1" t="n">
        <v>45509</v>
      </c>
      <c r="C294" s="1" t="n">
        <v>46200</v>
      </c>
      <c r="D294" t="inlineStr">
        <is>
          <t>JÄMTLANDS LÄN</t>
        </is>
      </c>
      <c r="E294" t="inlineStr">
        <is>
          <t>BRÄCKE</t>
        </is>
      </c>
      <c r="F294" t="inlineStr">
        <is>
          <t>SCA</t>
        </is>
      </c>
      <c r="G294" t="n">
        <v>0.7</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31888-2024 artfynd.xlsx", "A 31888-2024")</f>
        <v/>
      </c>
      <c r="T294">
        <f>HYPERLINK("https://klasma.github.io/Logging_2305/kartor/A 31888-2024 karta.png", "A 31888-2024")</f>
        <v/>
      </c>
      <c r="V294">
        <f>HYPERLINK("https://klasma.github.io/Logging_2305/klagomål/A 31888-2024 FSC-klagomål.docx", "A 31888-2024")</f>
        <v/>
      </c>
      <c r="W294">
        <f>HYPERLINK("https://klasma.github.io/Logging_2305/klagomålsmail/A 31888-2024 FSC-klagomål mail.docx", "A 31888-2024")</f>
        <v/>
      </c>
      <c r="X294">
        <f>HYPERLINK("https://klasma.github.io/Logging_2305/tillsyn/A 31888-2024 tillsynsbegäran.docx", "A 31888-2024")</f>
        <v/>
      </c>
      <c r="Y294">
        <f>HYPERLINK("https://klasma.github.io/Logging_2305/tillsynsmail/A 31888-2024 tillsynsbegäran mail.docx", "A 31888-2024")</f>
        <v/>
      </c>
      <c r="Z294">
        <f>HYPERLINK("https://klasma.github.io/Logging_2305/fåglar/A 31888-2024 prioriterade fågelarter.docx", "A 31888-2024")</f>
        <v/>
      </c>
    </row>
    <row r="295" ht="15" customHeight="1">
      <c r="A295" t="inlineStr">
        <is>
          <t>A 52227-2024</t>
        </is>
      </c>
      <c r="B295" s="1" t="n">
        <v>45608</v>
      </c>
      <c r="C295" s="1" t="n">
        <v>46200</v>
      </c>
      <c r="D295" t="inlineStr">
        <is>
          <t>JÄMTLANDS LÄN</t>
        </is>
      </c>
      <c r="E295" t="inlineStr">
        <is>
          <t>BRÄCKE</t>
        </is>
      </c>
      <c r="F295" t="inlineStr">
        <is>
          <t>SCA</t>
        </is>
      </c>
      <c r="G295" t="n">
        <v>1.4</v>
      </c>
      <c r="H295" t="n">
        <v>1</v>
      </c>
      <c r="I295" t="n">
        <v>0</v>
      </c>
      <c r="J295" t="n">
        <v>0</v>
      </c>
      <c r="K295" t="n">
        <v>0</v>
      </c>
      <c r="L295" t="n">
        <v>0</v>
      </c>
      <c r="M295" t="n">
        <v>0</v>
      </c>
      <c r="N295" t="n">
        <v>0</v>
      </c>
      <c r="O295" t="n">
        <v>0</v>
      </c>
      <c r="P295" t="n">
        <v>0</v>
      </c>
      <c r="Q295" t="n">
        <v>1</v>
      </c>
      <c r="R295" s="2" t="inlineStr">
        <is>
          <t>Tjäder</t>
        </is>
      </c>
      <c r="S295">
        <f>HYPERLINK("https://klasma.github.io/Logging_2305/artfynd/A 52227-2024 artfynd.xlsx", "A 52227-2024")</f>
        <v/>
      </c>
      <c r="T295">
        <f>HYPERLINK("https://klasma.github.io/Logging_2305/kartor/A 52227-2024 karta.png", "A 52227-2024")</f>
        <v/>
      </c>
      <c r="V295">
        <f>HYPERLINK("https://klasma.github.io/Logging_2305/klagomål/A 52227-2024 FSC-klagomål.docx", "A 52227-2024")</f>
        <v/>
      </c>
      <c r="W295">
        <f>HYPERLINK("https://klasma.github.io/Logging_2305/klagomålsmail/A 52227-2024 FSC-klagomål mail.docx", "A 52227-2024")</f>
        <v/>
      </c>
      <c r="X295">
        <f>HYPERLINK("https://klasma.github.io/Logging_2305/tillsyn/A 52227-2024 tillsynsbegäran.docx", "A 52227-2024")</f>
        <v/>
      </c>
      <c r="Y295">
        <f>HYPERLINK("https://klasma.github.io/Logging_2305/tillsynsmail/A 52227-2024 tillsynsbegäran mail.docx", "A 52227-2024")</f>
        <v/>
      </c>
      <c r="Z295">
        <f>HYPERLINK("https://klasma.github.io/Logging_2305/fåglar/A 52227-2024 prioriterade fågelarter.docx", "A 52227-2024")</f>
        <v/>
      </c>
    </row>
    <row r="296" ht="15" customHeight="1">
      <c r="A296" t="inlineStr">
        <is>
          <t>A 2063-2024</t>
        </is>
      </c>
      <c r="B296" s="1" t="n">
        <v>45308</v>
      </c>
      <c r="C296" s="1" t="n">
        <v>46200</v>
      </c>
      <c r="D296" t="inlineStr">
        <is>
          <t>JÄMTLANDS LÄN</t>
        </is>
      </c>
      <c r="E296" t="inlineStr">
        <is>
          <t>BRÄCKE</t>
        </is>
      </c>
      <c r="F296" t="inlineStr">
        <is>
          <t>SCA</t>
        </is>
      </c>
      <c r="G296" t="n">
        <v>5.7</v>
      </c>
      <c r="H296" t="n">
        <v>0</v>
      </c>
      <c r="I296" t="n">
        <v>0</v>
      </c>
      <c r="J296" t="n">
        <v>0</v>
      </c>
      <c r="K296" t="n">
        <v>1</v>
      </c>
      <c r="L296" t="n">
        <v>0</v>
      </c>
      <c r="M296" t="n">
        <v>0</v>
      </c>
      <c r="N296" t="n">
        <v>0</v>
      </c>
      <c r="O296" t="n">
        <v>1</v>
      </c>
      <c r="P296" t="n">
        <v>1</v>
      </c>
      <c r="Q296" t="n">
        <v>1</v>
      </c>
      <c r="R296" s="2" t="inlineStr">
        <is>
          <t>Gräddporing</t>
        </is>
      </c>
      <c r="S296">
        <f>HYPERLINK("https://klasma.github.io/Logging_2305/artfynd/A 2063-2024 artfynd.xlsx", "A 2063-2024")</f>
        <v/>
      </c>
      <c r="T296">
        <f>HYPERLINK("https://klasma.github.io/Logging_2305/kartor/A 2063-2024 karta.png", "A 2063-2024")</f>
        <v/>
      </c>
      <c r="V296">
        <f>HYPERLINK("https://klasma.github.io/Logging_2305/klagomål/A 2063-2024 FSC-klagomål.docx", "A 2063-2024")</f>
        <v/>
      </c>
      <c r="W296">
        <f>HYPERLINK("https://klasma.github.io/Logging_2305/klagomålsmail/A 2063-2024 FSC-klagomål mail.docx", "A 2063-2024")</f>
        <v/>
      </c>
      <c r="X296">
        <f>HYPERLINK("https://klasma.github.io/Logging_2305/tillsyn/A 2063-2024 tillsynsbegäran.docx", "A 2063-2024")</f>
        <v/>
      </c>
      <c r="Y296">
        <f>HYPERLINK("https://klasma.github.io/Logging_2305/tillsynsmail/A 2063-2024 tillsynsbegäran mail.docx", "A 2063-2024")</f>
        <v/>
      </c>
    </row>
    <row r="297" ht="15" customHeight="1">
      <c r="A297" t="inlineStr">
        <is>
          <t>A 28766-2024</t>
        </is>
      </c>
      <c r="B297" s="1" t="n">
        <v>45478</v>
      </c>
      <c r="C297" s="1" t="n">
        <v>46200</v>
      </c>
      <c r="D297" t="inlineStr">
        <is>
          <t>JÄMTLANDS LÄN</t>
        </is>
      </c>
      <c r="E297" t="inlineStr">
        <is>
          <t>BRÄCKE</t>
        </is>
      </c>
      <c r="F297" t="inlineStr">
        <is>
          <t>Sveaskog</t>
        </is>
      </c>
      <c r="G297" t="n">
        <v>2.1</v>
      </c>
      <c r="H297" t="n">
        <v>0</v>
      </c>
      <c r="I297" t="n">
        <v>0</v>
      </c>
      <c r="J297" t="n">
        <v>1</v>
      </c>
      <c r="K297" t="n">
        <v>0</v>
      </c>
      <c r="L297" t="n">
        <v>0</v>
      </c>
      <c r="M297" t="n">
        <v>0</v>
      </c>
      <c r="N297" t="n">
        <v>0</v>
      </c>
      <c r="O297" t="n">
        <v>1</v>
      </c>
      <c r="P297" t="n">
        <v>0</v>
      </c>
      <c r="Q297" t="n">
        <v>1</v>
      </c>
      <c r="R297" s="2" t="inlineStr">
        <is>
          <t>Kolflarnlav</t>
        </is>
      </c>
      <c r="S297">
        <f>HYPERLINK("https://klasma.github.io/Logging_2305/artfynd/A 28766-2024 artfynd.xlsx", "A 28766-2024")</f>
        <v/>
      </c>
      <c r="T297">
        <f>HYPERLINK("https://klasma.github.io/Logging_2305/kartor/A 28766-2024 karta.png", "A 28766-2024")</f>
        <v/>
      </c>
      <c r="V297">
        <f>HYPERLINK("https://klasma.github.io/Logging_2305/klagomål/A 28766-2024 FSC-klagomål.docx", "A 28766-2024")</f>
        <v/>
      </c>
      <c r="W297">
        <f>HYPERLINK("https://klasma.github.io/Logging_2305/klagomålsmail/A 28766-2024 FSC-klagomål mail.docx", "A 28766-2024")</f>
        <v/>
      </c>
      <c r="X297">
        <f>HYPERLINK("https://klasma.github.io/Logging_2305/tillsyn/A 28766-2024 tillsynsbegäran.docx", "A 28766-2024")</f>
        <v/>
      </c>
      <c r="Y297">
        <f>HYPERLINK("https://klasma.github.io/Logging_2305/tillsynsmail/A 28766-2024 tillsynsbegäran mail.docx", "A 28766-2024")</f>
        <v/>
      </c>
    </row>
    <row r="298" ht="15" customHeight="1">
      <c r="A298" t="inlineStr">
        <is>
          <t>A 427-2025</t>
        </is>
      </c>
      <c r="B298" s="1" t="n">
        <v>45664</v>
      </c>
      <c r="C298" s="1" t="n">
        <v>46200</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29323-2023</t>
        </is>
      </c>
      <c r="B299" s="1" t="n">
        <v>45105</v>
      </c>
      <c r="C299" s="1" t="n">
        <v>46200</v>
      </c>
      <c r="D299" t="inlineStr">
        <is>
          <t>JÄMTLANDS LÄN</t>
        </is>
      </c>
      <c r="E299" t="inlineStr">
        <is>
          <t>BRÄCKE</t>
        </is>
      </c>
      <c r="F299" t="inlineStr">
        <is>
          <t>SCA</t>
        </is>
      </c>
      <c r="G299" t="n">
        <v>3.4</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29323-2023 artfynd.xlsx", "A 29323-2023")</f>
        <v/>
      </c>
      <c r="T299">
        <f>HYPERLINK("https://klasma.github.io/Logging_2305/kartor/A 29323-2023 karta.png", "A 29323-2023")</f>
        <v/>
      </c>
      <c r="V299">
        <f>HYPERLINK("https://klasma.github.io/Logging_2305/klagomål/A 29323-2023 FSC-klagomål.docx", "A 29323-2023")</f>
        <v/>
      </c>
      <c r="W299">
        <f>HYPERLINK("https://klasma.github.io/Logging_2305/klagomålsmail/A 29323-2023 FSC-klagomål mail.docx", "A 29323-2023")</f>
        <v/>
      </c>
      <c r="X299">
        <f>HYPERLINK("https://klasma.github.io/Logging_2305/tillsyn/A 29323-2023 tillsynsbegäran.docx", "A 29323-2023")</f>
        <v/>
      </c>
      <c r="Y299">
        <f>HYPERLINK("https://klasma.github.io/Logging_2305/tillsynsmail/A 29323-2023 tillsynsbegäran mail.docx", "A 29323-2023")</f>
        <v/>
      </c>
    </row>
    <row r="300" ht="15" customHeight="1">
      <c r="A300" t="inlineStr">
        <is>
          <t>A 39662-2024</t>
        </is>
      </c>
      <c r="B300" s="1" t="n">
        <v>45552</v>
      </c>
      <c r="C300" s="1" t="n">
        <v>46200</v>
      </c>
      <c r="D300" t="inlineStr">
        <is>
          <t>JÄMTLANDS LÄN</t>
        </is>
      </c>
      <c r="E300" t="inlineStr">
        <is>
          <t>BRÄCKE</t>
        </is>
      </c>
      <c r="F300" t="inlineStr">
        <is>
          <t>SCA</t>
        </is>
      </c>
      <c r="G300" t="n">
        <v>11.3</v>
      </c>
      <c r="H300" t="n">
        <v>1</v>
      </c>
      <c r="I300" t="n">
        <v>0</v>
      </c>
      <c r="J300" t="n">
        <v>0</v>
      </c>
      <c r="K300" t="n">
        <v>0</v>
      </c>
      <c r="L300" t="n">
        <v>0</v>
      </c>
      <c r="M300" t="n">
        <v>0</v>
      </c>
      <c r="N300" t="n">
        <v>0</v>
      </c>
      <c r="O300" t="n">
        <v>0</v>
      </c>
      <c r="P300" t="n">
        <v>0</v>
      </c>
      <c r="Q300" t="n">
        <v>1</v>
      </c>
      <c r="R300" s="2" t="inlineStr">
        <is>
          <t>Tjäder</t>
        </is>
      </c>
      <c r="S300">
        <f>HYPERLINK("https://klasma.github.io/Logging_2305/artfynd/A 39662-2024 artfynd.xlsx", "A 39662-2024")</f>
        <v/>
      </c>
      <c r="T300">
        <f>HYPERLINK("https://klasma.github.io/Logging_2305/kartor/A 39662-2024 karta.png", "A 39662-2024")</f>
        <v/>
      </c>
      <c r="V300">
        <f>HYPERLINK("https://klasma.github.io/Logging_2305/klagomål/A 39662-2024 FSC-klagomål.docx", "A 39662-2024")</f>
        <v/>
      </c>
      <c r="W300">
        <f>HYPERLINK("https://klasma.github.io/Logging_2305/klagomålsmail/A 39662-2024 FSC-klagomål mail.docx", "A 39662-2024")</f>
        <v/>
      </c>
      <c r="X300">
        <f>HYPERLINK("https://klasma.github.io/Logging_2305/tillsyn/A 39662-2024 tillsynsbegäran.docx", "A 39662-2024")</f>
        <v/>
      </c>
      <c r="Y300">
        <f>HYPERLINK("https://klasma.github.io/Logging_2305/tillsynsmail/A 39662-2024 tillsynsbegäran mail.docx", "A 39662-2024")</f>
        <v/>
      </c>
      <c r="Z300">
        <f>HYPERLINK("https://klasma.github.io/Logging_2305/fåglar/A 39662-2024 prioriterade fågelarter.docx", "A 39662-2024")</f>
        <v/>
      </c>
    </row>
    <row r="301" ht="15" customHeight="1">
      <c r="A301" t="inlineStr">
        <is>
          <t>A 12062-2023</t>
        </is>
      </c>
      <c r="B301" s="1" t="n">
        <v>44996</v>
      </c>
      <c r="C301" s="1" t="n">
        <v>46200</v>
      </c>
      <c r="D301" t="inlineStr">
        <is>
          <t>JÄMTLANDS LÄN</t>
        </is>
      </c>
      <c r="E301" t="inlineStr">
        <is>
          <t>BRÄCKE</t>
        </is>
      </c>
      <c r="G301" t="n">
        <v>5.4</v>
      </c>
      <c r="H301" t="n">
        <v>0</v>
      </c>
      <c r="I301" t="n">
        <v>0</v>
      </c>
      <c r="J301" t="n">
        <v>1</v>
      </c>
      <c r="K301" t="n">
        <v>0</v>
      </c>
      <c r="L301" t="n">
        <v>0</v>
      </c>
      <c r="M301" t="n">
        <v>0</v>
      </c>
      <c r="N301" t="n">
        <v>0</v>
      </c>
      <c r="O301" t="n">
        <v>1</v>
      </c>
      <c r="P301" t="n">
        <v>0</v>
      </c>
      <c r="Q301" t="n">
        <v>1</v>
      </c>
      <c r="R301" s="2" t="inlineStr">
        <is>
          <t>Lunglav</t>
        </is>
      </c>
      <c r="S301">
        <f>HYPERLINK("https://klasma.github.io/Logging_2305/artfynd/A 12062-2023 artfynd.xlsx", "A 12062-2023")</f>
        <v/>
      </c>
      <c r="T301">
        <f>HYPERLINK("https://klasma.github.io/Logging_2305/kartor/A 12062-2023 karta.png", "A 12062-2023")</f>
        <v/>
      </c>
      <c r="V301">
        <f>HYPERLINK("https://klasma.github.io/Logging_2305/klagomål/A 12062-2023 FSC-klagomål.docx", "A 12062-2023")</f>
        <v/>
      </c>
      <c r="W301">
        <f>HYPERLINK("https://klasma.github.io/Logging_2305/klagomålsmail/A 12062-2023 FSC-klagomål mail.docx", "A 12062-2023")</f>
        <v/>
      </c>
      <c r="X301">
        <f>HYPERLINK("https://klasma.github.io/Logging_2305/tillsyn/A 12062-2023 tillsynsbegäran.docx", "A 12062-2023")</f>
        <v/>
      </c>
      <c r="Y301">
        <f>HYPERLINK("https://klasma.github.io/Logging_2305/tillsynsmail/A 12062-2023 tillsynsbegäran mail.docx", "A 12062-2023")</f>
        <v/>
      </c>
    </row>
    <row r="302" ht="15" customHeight="1">
      <c r="A302" t="inlineStr">
        <is>
          <t>A 13165-2025</t>
        </is>
      </c>
      <c r="B302" s="1" t="n">
        <v>45735</v>
      </c>
      <c r="C302" s="1" t="n">
        <v>46200</v>
      </c>
      <c r="D302" t="inlineStr">
        <is>
          <t>JÄMTLANDS LÄN</t>
        </is>
      </c>
      <c r="E302" t="inlineStr">
        <is>
          <t>BRÄCKE</t>
        </is>
      </c>
      <c r="F302" t="inlineStr">
        <is>
          <t>SCA</t>
        </is>
      </c>
      <c r="G302" t="n">
        <v>9.1</v>
      </c>
      <c r="H302" t="n">
        <v>0</v>
      </c>
      <c r="I302" t="n">
        <v>0</v>
      </c>
      <c r="J302" t="n">
        <v>1</v>
      </c>
      <c r="K302" t="n">
        <v>0</v>
      </c>
      <c r="L302" t="n">
        <v>0</v>
      </c>
      <c r="M302" t="n">
        <v>0</v>
      </c>
      <c r="N302" t="n">
        <v>0</v>
      </c>
      <c r="O302" t="n">
        <v>1</v>
      </c>
      <c r="P302" t="n">
        <v>0</v>
      </c>
      <c r="Q302" t="n">
        <v>1</v>
      </c>
      <c r="R302" s="2" t="inlineStr">
        <is>
          <t>Vedtrappmossa</t>
        </is>
      </c>
      <c r="S302">
        <f>HYPERLINK("https://klasma.github.io/Logging_2305/artfynd/A 13165-2025 artfynd.xlsx", "A 13165-2025")</f>
        <v/>
      </c>
      <c r="T302">
        <f>HYPERLINK("https://klasma.github.io/Logging_2305/kartor/A 13165-2025 karta.png", "A 13165-2025")</f>
        <v/>
      </c>
      <c r="V302">
        <f>HYPERLINK("https://klasma.github.io/Logging_2305/klagomål/A 13165-2025 FSC-klagomål.docx", "A 13165-2025")</f>
        <v/>
      </c>
      <c r="W302">
        <f>HYPERLINK("https://klasma.github.io/Logging_2305/klagomålsmail/A 13165-2025 FSC-klagomål mail.docx", "A 13165-2025")</f>
        <v/>
      </c>
      <c r="X302">
        <f>HYPERLINK("https://klasma.github.io/Logging_2305/tillsyn/A 13165-2025 tillsynsbegäran.docx", "A 13165-2025")</f>
        <v/>
      </c>
      <c r="Y302">
        <f>HYPERLINK("https://klasma.github.io/Logging_2305/tillsynsmail/A 13165-2025 tillsynsbegäran mail.docx", "A 13165-2025")</f>
        <v/>
      </c>
    </row>
    <row r="303" ht="15" customHeight="1">
      <c r="A303" t="inlineStr">
        <is>
          <t>A 49863-2022</t>
        </is>
      </c>
      <c r="B303" s="1" t="n">
        <v>44862</v>
      </c>
      <c r="C303" s="1" t="n">
        <v>46200</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33773-2024</t>
        </is>
      </c>
      <c r="B304" s="1" t="n">
        <v>45520</v>
      </c>
      <c r="C304" s="1" t="n">
        <v>46200</v>
      </c>
      <c r="D304" t="inlineStr">
        <is>
          <t>JÄMTLANDS LÄN</t>
        </is>
      </c>
      <c r="E304" t="inlineStr">
        <is>
          <t>BRÄCKE</t>
        </is>
      </c>
      <c r="F304" t="inlineStr">
        <is>
          <t>SCA</t>
        </is>
      </c>
      <c r="G304" t="n">
        <v>1.5</v>
      </c>
      <c r="H304" t="n">
        <v>0</v>
      </c>
      <c r="I304" t="n">
        <v>0</v>
      </c>
      <c r="J304" t="n">
        <v>0</v>
      </c>
      <c r="K304" t="n">
        <v>1</v>
      </c>
      <c r="L304" t="n">
        <v>0</v>
      </c>
      <c r="M304" t="n">
        <v>0</v>
      </c>
      <c r="N304" t="n">
        <v>0</v>
      </c>
      <c r="O304" t="n">
        <v>1</v>
      </c>
      <c r="P304" t="n">
        <v>1</v>
      </c>
      <c r="Q304" t="n">
        <v>1</v>
      </c>
      <c r="R304" s="2" t="inlineStr">
        <is>
          <t>Smalskaftslav</t>
        </is>
      </c>
      <c r="S304">
        <f>HYPERLINK("https://klasma.github.io/Logging_2305/artfynd/A 33773-2024 artfynd.xlsx", "A 33773-2024")</f>
        <v/>
      </c>
      <c r="T304">
        <f>HYPERLINK("https://klasma.github.io/Logging_2305/kartor/A 33773-2024 karta.png", "A 33773-2024")</f>
        <v/>
      </c>
      <c r="V304">
        <f>HYPERLINK("https://klasma.github.io/Logging_2305/klagomål/A 33773-2024 FSC-klagomål.docx", "A 33773-2024")</f>
        <v/>
      </c>
      <c r="W304">
        <f>HYPERLINK("https://klasma.github.io/Logging_2305/klagomålsmail/A 33773-2024 FSC-klagomål mail.docx", "A 33773-2024")</f>
        <v/>
      </c>
      <c r="X304">
        <f>HYPERLINK("https://klasma.github.io/Logging_2305/tillsyn/A 33773-2024 tillsynsbegäran.docx", "A 33773-2024")</f>
        <v/>
      </c>
      <c r="Y304">
        <f>HYPERLINK("https://klasma.github.io/Logging_2305/tillsynsmail/A 33773-2024 tillsynsbegäran mail.docx", "A 33773-2024")</f>
        <v/>
      </c>
    </row>
    <row r="305" ht="15" customHeight="1">
      <c r="A305" t="inlineStr">
        <is>
          <t>A 51910-2024</t>
        </is>
      </c>
      <c r="B305" s="1" t="n">
        <v>45607</v>
      </c>
      <c r="C305" s="1" t="n">
        <v>46200</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55931-2023</t>
        </is>
      </c>
      <c r="B306" s="1" t="n">
        <v>45239</v>
      </c>
      <c r="C306" s="1" t="n">
        <v>46200</v>
      </c>
      <c r="D306" t="inlineStr">
        <is>
          <t>JÄMTLANDS LÄN</t>
        </is>
      </c>
      <c r="E306" t="inlineStr">
        <is>
          <t>BRÄCKE</t>
        </is>
      </c>
      <c r="F306" t="inlineStr">
        <is>
          <t>Kyrkan</t>
        </is>
      </c>
      <c r="G306" t="n">
        <v>1.2</v>
      </c>
      <c r="H306" t="n">
        <v>0</v>
      </c>
      <c r="I306" t="n">
        <v>0</v>
      </c>
      <c r="J306" t="n">
        <v>1</v>
      </c>
      <c r="K306" t="n">
        <v>0</v>
      </c>
      <c r="L306" t="n">
        <v>0</v>
      </c>
      <c r="M306" t="n">
        <v>0</v>
      </c>
      <c r="N306" t="n">
        <v>0</v>
      </c>
      <c r="O306" t="n">
        <v>1</v>
      </c>
      <c r="P306" t="n">
        <v>0</v>
      </c>
      <c r="Q306" t="n">
        <v>1</v>
      </c>
      <c r="R306" s="2" t="inlineStr">
        <is>
          <t>Harticka</t>
        </is>
      </c>
      <c r="S306">
        <f>HYPERLINK("https://klasma.github.io/Logging_2305/artfynd/A 55931-2023 artfynd.xlsx", "A 55931-2023")</f>
        <v/>
      </c>
      <c r="T306">
        <f>HYPERLINK("https://klasma.github.io/Logging_2305/kartor/A 55931-2023 karta.png", "A 55931-2023")</f>
        <v/>
      </c>
      <c r="V306">
        <f>HYPERLINK("https://klasma.github.io/Logging_2305/klagomål/A 55931-2023 FSC-klagomål.docx", "A 55931-2023")</f>
        <v/>
      </c>
      <c r="W306">
        <f>HYPERLINK("https://klasma.github.io/Logging_2305/klagomålsmail/A 55931-2023 FSC-klagomål mail.docx", "A 55931-2023")</f>
        <v/>
      </c>
      <c r="X306">
        <f>HYPERLINK("https://klasma.github.io/Logging_2305/tillsyn/A 55931-2023 tillsynsbegäran.docx", "A 55931-2023")</f>
        <v/>
      </c>
      <c r="Y306">
        <f>HYPERLINK("https://klasma.github.io/Logging_2305/tillsynsmail/A 55931-2023 tillsynsbegäran mail.docx", "A 55931-2023")</f>
        <v/>
      </c>
    </row>
    <row r="307" ht="15" customHeight="1">
      <c r="A307" t="inlineStr">
        <is>
          <t>A 3234-2025</t>
        </is>
      </c>
      <c r="B307" s="1" t="n">
        <v>45679</v>
      </c>
      <c r="C307" s="1" t="n">
        <v>46200</v>
      </c>
      <c r="D307" t="inlineStr">
        <is>
          <t>JÄMTLANDS LÄN</t>
        </is>
      </c>
      <c r="E307" t="inlineStr">
        <is>
          <t>BRÄCKE</t>
        </is>
      </c>
      <c r="F307" t="inlineStr">
        <is>
          <t>SCA</t>
        </is>
      </c>
      <c r="G307" t="n">
        <v>1.7</v>
      </c>
      <c r="H307" t="n">
        <v>1</v>
      </c>
      <c r="I307" t="n">
        <v>0</v>
      </c>
      <c r="J307" t="n">
        <v>0</v>
      </c>
      <c r="K307" t="n">
        <v>0</v>
      </c>
      <c r="L307" t="n">
        <v>0</v>
      </c>
      <c r="M307" t="n">
        <v>0</v>
      </c>
      <c r="N307" t="n">
        <v>0</v>
      </c>
      <c r="O307" t="n">
        <v>0</v>
      </c>
      <c r="P307" t="n">
        <v>0</v>
      </c>
      <c r="Q307" t="n">
        <v>1</v>
      </c>
      <c r="R307" s="2" t="inlineStr">
        <is>
          <t>Utter</t>
        </is>
      </c>
      <c r="S307">
        <f>HYPERLINK("https://klasma.github.io/Logging_2305/artfynd/A 3234-2025 artfynd.xlsx", "A 3234-2025")</f>
        <v/>
      </c>
      <c r="T307">
        <f>HYPERLINK("https://klasma.github.io/Logging_2305/kartor/A 3234-2025 karta.png", "A 3234-2025")</f>
        <v/>
      </c>
      <c r="V307">
        <f>HYPERLINK("https://klasma.github.io/Logging_2305/klagomål/A 3234-2025 FSC-klagomål.docx", "A 3234-2025")</f>
        <v/>
      </c>
      <c r="W307">
        <f>HYPERLINK("https://klasma.github.io/Logging_2305/klagomålsmail/A 3234-2025 FSC-klagomål mail.docx", "A 3234-2025")</f>
        <v/>
      </c>
      <c r="X307">
        <f>HYPERLINK("https://klasma.github.io/Logging_2305/tillsyn/A 3234-2025 tillsynsbegäran.docx", "A 3234-2025")</f>
        <v/>
      </c>
      <c r="Y307">
        <f>HYPERLINK("https://klasma.github.io/Logging_2305/tillsynsmail/A 3234-2025 tillsynsbegäran mail.docx", "A 3234-2025")</f>
        <v/>
      </c>
    </row>
    <row r="308" ht="15" customHeight="1">
      <c r="A308" t="inlineStr">
        <is>
          <t>A 40430-2023</t>
        </is>
      </c>
      <c r="B308" s="1" t="n">
        <v>45169</v>
      </c>
      <c r="C308" s="1" t="n">
        <v>46200</v>
      </c>
      <c r="D308" t="inlineStr">
        <is>
          <t>JÄMTLANDS LÄN</t>
        </is>
      </c>
      <c r="E308" t="inlineStr">
        <is>
          <t>BRÄCKE</t>
        </is>
      </c>
      <c r="F308" t="inlineStr">
        <is>
          <t>SCA</t>
        </is>
      </c>
      <c r="G308" t="n">
        <v>1.2</v>
      </c>
      <c r="H308" t="n">
        <v>1</v>
      </c>
      <c r="I308" t="n">
        <v>1</v>
      </c>
      <c r="J308" t="n">
        <v>0</v>
      </c>
      <c r="K308" t="n">
        <v>0</v>
      </c>
      <c r="L308" t="n">
        <v>0</v>
      </c>
      <c r="M308" t="n">
        <v>0</v>
      </c>
      <c r="N308" t="n">
        <v>0</v>
      </c>
      <c r="O308" t="n">
        <v>0</v>
      </c>
      <c r="P308" t="n">
        <v>0</v>
      </c>
      <c r="Q308" t="n">
        <v>1</v>
      </c>
      <c r="R308" s="2" t="inlineStr">
        <is>
          <t>Plattlummer</t>
        </is>
      </c>
      <c r="S308">
        <f>HYPERLINK("https://klasma.github.io/Logging_2305/artfynd/A 40430-2023 artfynd.xlsx", "A 40430-2023")</f>
        <v/>
      </c>
      <c r="T308">
        <f>HYPERLINK("https://klasma.github.io/Logging_2305/kartor/A 40430-2023 karta.png", "A 40430-2023")</f>
        <v/>
      </c>
      <c r="V308">
        <f>HYPERLINK("https://klasma.github.io/Logging_2305/klagomål/A 40430-2023 FSC-klagomål.docx", "A 40430-2023")</f>
        <v/>
      </c>
      <c r="W308">
        <f>HYPERLINK("https://klasma.github.io/Logging_2305/klagomålsmail/A 40430-2023 FSC-klagomål mail.docx", "A 40430-2023")</f>
        <v/>
      </c>
      <c r="X308">
        <f>HYPERLINK("https://klasma.github.io/Logging_2305/tillsyn/A 40430-2023 tillsynsbegäran.docx", "A 40430-2023")</f>
        <v/>
      </c>
      <c r="Y308">
        <f>HYPERLINK("https://klasma.github.io/Logging_2305/tillsynsmail/A 40430-2023 tillsynsbegäran mail.docx", "A 40430-2023")</f>
        <v/>
      </c>
    </row>
    <row r="309" ht="15" customHeight="1">
      <c r="A309" t="inlineStr">
        <is>
          <t>A 8958-2023</t>
        </is>
      </c>
      <c r="B309" s="1" t="n">
        <v>44979</v>
      </c>
      <c r="C309" s="1" t="n">
        <v>46200</v>
      </c>
      <c r="D309" t="inlineStr">
        <is>
          <t>JÄMTLANDS LÄN</t>
        </is>
      </c>
      <c r="E309" t="inlineStr">
        <is>
          <t>BRÄCKE</t>
        </is>
      </c>
      <c r="G309" t="n">
        <v>4.9</v>
      </c>
      <c r="H309" t="n">
        <v>1</v>
      </c>
      <c r="I309" t="n">
        <v>0</v>
      </c>
      <c r="J309" t="n">
        <v>1</v>
      </c>
      <c r="K309" t="n">
        <v>0</v>
      </c>
      <c r="L309" t="n">
        <v>0</v>
      </c>
      <c r="M309" t="n">
        <v>0</v>
      </c>
      <c r="N309" t="n">
        <v>0</v>
      </c>
      <c r="O309" t="n">
        <v>1</v>
      </c>
      <c r="P309" t="n">
        <v>0</v>
      </c>
      <c r="Q309" t="n">
        <v>1</v>
      </c>
      <c r="R309" s="2" t="inlineStr">
        <is>
          <t>Sparvuggla</t>
        </is>
      </c>
      <c r="S309">
        <f>HYPERLINK("https://klasma.github.io/Logging_2305/artfynd/A 8958-2023 artfynd.xlsx", "A 8958-2023")</f>
        <v/>
      </c>
      <c r="T309">
        <f>HYPERLINK("https://klasma.github.io/Logging_2305/kartor/A 8958-2023 karta.png", "A 8958-2023")</f>
        <v/>
      </c>
      <c r="V309">
        <f>HYPERLINK("https://klasma.github.io/Logging_2305/klagomål/A 8958-2023 FSC-klagomål.docx", "A 8958-2023")</f>
        <v/>
      </c>
      <c r="W309">
        <f>HYPERLINK("https://klasma.github.io/Logging_2305/klagomålsmail/A 8958-2023 FSC-klagomål mail.docx", "A 8958-2023")</f>
        <v/>
      </c>
      <c r="X309">
        <f>HYPERLINK("https://klasma.github.io/Logging_2305/tillsyn/A 8958-2023 tillsynsbegäran.docx", "A 8958-2023")</f>
        <v/>
      </c>
      <c r="Y309">
        <f>HYPERLINK("https://klasma.github.io/Logging_2305/tillsynsmail/A 8958-2023 tillsynsbegäran mail.docx", "A 8958-2023")</f>
        <v/>
      </c>
      <c r="Z309">
        <f>HYPERLINK("https://klasma.github.io/Logging_2305/fåglar/A 8958-2023 prioriterade fågelarter.docx", "A 8958-2023")</f>
        <v/>
      </c>
    </row>
    <row r="310" ht="15" customHeight="1">
      <c r="A310" t="inlineStr">
        <is>
          <t>A 11614-2024</t>
        </is>
      </c>
      <c r="B310" s="1" t="n">
        <v>45373</v>
      </c>
      <c r="C310" s="1" t="n">
        <v>46200</v>
      </c>
      <c r="D310" t="inlineStr">
        <is>
          <t>JÄMTLANDS LÄN</t>
        </is>
      </c>
      <c r="E310" t="inlineStr">
        <is>
          <t>BRÄCKE</t>
        </is>
      </c>
      <c r="G310" t="n">
        <v>4.3</v>
      </c>
      <c r="H310" t="n">
        <v>0</v>
      </c>
      <c r="I310" t="n">
        <v>0</v>
      </c>
      <c r="J310" t="n">
        <v>1</v>
      </c>
      <c r="K310" t="n">
        <v>0</v>
      </c>
      <c r="L310" t="n">
        <v>0</v>
      </c>
      <c r="M310" t="n">
        <v>0</v>
      </c>
      <c r="N310" t="n">
        <v>0</v>
      </c>
      <c r="O310" t="n">
        <v>1</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9816-2024</t>
        </is>
      </c>
      <c r="B311" s="1" t="n">
        <v>45363</v>
      </c>
      <c r="C311" s="1" t="n">
        <v>46200</v>
      </c>
      <c r="D311" t="inlineStr">
        <is>
          <t>JÄMTLANDS LÄN</t>
        </is>
      </c>
      <c r="E311" t="inlineStr">
        <is>
          <t>BRÄCKE</t>
        </is>
      </c>
      <c r="F311" t="inlineStr">
        <is>
          <t>SCA</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HYPERLINK("https://klasma.github.io/Logging_2305/artfynd/A 9816-2024 artfynd.xlsx", "A 9816-2024")</f>
        <v/>
      </c>
      <c r="T311">
        <f>HYPERLINK("https://klasma.github.io/Logging_2305/kartor/A 9816-2024 karta.png", "A 9816-2024")</f>
        <v/>
      </c>
      <c r="U311">
        <f>HYPERLINK("https://klasma.github.io/Logging_2305/knärot/A 9816-2024 karta knärot.png", "A 9816-2024")</f>
        <v/>
      </c>
      <c r="V311">
        <f>HYPERLINK("https://klasma.github.io/Logging_2305/klagomål/A 9816-2024 FSC-klagomål.docx", "A 9816-2024")</f>
        <v/>
      </c>
      <c r="W311">
        <f>HYPERLINK("https://klasma.github.io/Logging_2305/klagomålsmail/A 9816-2024 FSC-klagomål mail.docx", "A 9816-2024")</f>
        <v/>
      </c>
      <c r="X311">
        <f>HYPERLINK("https://klasma.github.io/Logging_2305/tillsyn/A 9816-2024 tillsynsbegäran.docx", "A 9816-2024")</f>
        <v/>
      </c>
      <c r="Y311">
        <f>HYPERLINK("https://klasma.github.io/Logging_2305/tillsynsmail/A 9816-2024 tillsynsbegäran mail.docx", "A 9816-2024")</f>
        <v/>
      </c>
    </row>
    <row r="312" ht="15" customHeight="1">
      <c r="A312" t="inlineStr">
        <is>
          <t>A 20768-2024</t>
        </is>
      </c>
      <c r="B312" s="1" t="n">
        <v>45436</v>
      </c>
      <c r="C312" s="1" t="n">
        <v>46200</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15076-2022</t>
        </is>
      </c>
      <c r="B313" s="1" t="n">
        <v>44657</v>
      </c>
      <c r="C313" s="1" t="n">
        <v>46200</v>
      </c>
      <c r="D313" t="inlineStr">
        <is>
          <t>JÄMTLANDS LÄN</t>
        </is>
      </c>
      <c r="E313" t="inlineStr">
        <is>
          <t>BRÄCKE</t>
        </is>
      </c>
      <c r="G313" t="n">
        <v>24.7</v>
      </c>
      <c r="H313" t="n">
        <v>0</v>
      </c>
      <c r="I313" t="n">
        <v>0</v>
      </c>
      <c r="J313" t="n">
        <v>1</v>
      </c>
      <c r="K313" t="n">
        <v>0</v>
      </c>
      <c r="L313" t="n">
        <v>0</v>
      </c>
      <c r="M313" t="n">
        <v>0</v>
      </c>
      <c r="N313" t="n">
        <v>0</v>
      </c>
      <c r="O313" t="n">
        <v>1</v>
      </c>
      <c r="P313" t="n">
        <v>0</v>
      </c>
      <c r="Q313" t="n">
        <v>1</v>
      </c>
      <c r="R313" s="2" t="inlineStr">
        <is>
          <t>Skrovellav</t>
        </is>
      </c>
      <c r="S313">
        <f>HYPERLINK("https://klasma.github.io/Logging_2305/artfynd/A 15076-2022 artfynd.xlsx", "A 15076-2022")</f>
        <v/>
      </c>
      <c r="T313">
        <f>HYPERLINK("https://klasma.github.io/Logging_2305/kartor/A 15076-2022 karta.png", "A 15076-2022")</f>
        <v/>
      </c>
      <c r="V313">
        <f>HYPERLINK("https://klasma.github.io/Logging_2305/klagomål/A 15076-2022 FSC-klagomål.docx", "A 15076-2022")</f>
        <v/>
      </c>
      <c r="W313">
        <f>HYPERLINK("https://klasma.github.io/Logging_2305/klagomålsmail/A 15076-2022 FSC-klagomål mail.docx", "A 15076-2022")</f>
        <v/>
      </c>
      <c r="X313">
        <f>HYPERLINK("https://klasma.github.io/Logging_2305/tillsyn/A 15076-2022 tillsynsbegäran.docx", "A 15076-2022")</f>
        <v/>
      </c>
      <c r="Y313">
        <f>HYPERLINK("https://klasma.github.io/Logging_2305/tillsynsmail/A 15076-2022 tillsynsbegäran mail.docx", "A 15076-2022")</f>
        <v/>
      </c>
    </row>
    <row r="314" ht="15" customHeight="1">
      <c r="A314" t="inlineStr">
        <is>
          <t>A 50513-2023</t>
        </is>
      </c>
      <c r="B314" s="1" t="n">
        <v>45216</v>
      </c>
      <c r="C314" s="1" t="n">
        <v>46200</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row>
    <row r="315" ht="15" customHeight="1">
      <c r="A315" t="inlineStr">
        <is>
          <t>A 15262-2025</t>
        </is>
      </c>
      <c r="B315" s="1" t="n">
        <v>45744</v>
      </c>
      <c r="C315" s="1" t="n">
        <v>46200</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15262-2025 artfynd.xlsx", "A 15262-2025")</f>
        <v/>
      </c>
      <c r="T315">
        <f>HYPERLINK("https://klasma.github.io/Logging_2305/kartor/A 15262-2025 karta.png", "A 15262-2025")</f>
        <v/>
      </c>
      <c r="V315">
        <f>HYPERLINK("https://klasma.github.io/Logging_2305/klagomål/A 15262-2025 FSC-klagomål.docx", "A 15262-2025")</f>
        <v/>
      </c>
      <c r="W315">
        <f>HYPERLINK("https://klasma.github.io/Logging_2305/klagomålsmail/A 15262-2025 FSC-klagomål mail.docx", "A 15262-2025")</f>
        <v/>
      </c>
      <c r="X315">
        <f>HYPERLINK("https://klasma.github.io/Logging_2305/tillsyn/A 15262-2025 tillsynsbegäran.docx", "A 15262-2025")</f>
        <v/>
      </c>
      <c r="Y315">
        <f>HYPERLINK("https://klasma.github.io/Logging_2305/tillsynsmail/A 15262-2025 tillsynsbegäran mail.docx", "A 15262-2025")</f>
        <v/>
      </c>
    </row>
    <row r="316" ht="15" customHeight="1">
      <c r="A316" t="inlineStr">
        <is>
          <t>A 7686-2025</t>
        </is>
      </c>
      <c r="B316" s="1" t="n">
        <v>45706</v>
      </c>
      <c r="C316" s="1" t="n">
        <v>46200</v>
      </c>
      <c r="D316" t="inlineStr">
        <is>
          <t>JÄMTLANDS LÄN</t>
        </is>
      </c>
      <c r="E316" t="inlineStr">
        <is>
          <t>BRÄCKE</t>
        </is>
      </c>
      <c r="F316" t="inlineStr">
        <is>
          <t>SCA</t>
        </is>
      </c>
      <c r="G316" t="n">
        <v>1</v>
      </c>
      <c r="H316" t="n">
        <v>1</v>
      </c>
      <c r="I316" t="n">
        <v>0</v>
      </c>
      <c r="J316" t="n">
        <v>0</v>
      </c>
      <c r="K316" t="n">
        <v>1</v>
      </c>
      <c r="L316" t="n">
        <v>0</v>
      </c>
      <c r="M316" t="n">
        <v>0</v>
      </c>
      <c r="N316" t="n">
        <v>0</v>
      </c>
      <c r="O316" t="n">
        <v>1</v>
      </c>
      <c r="P316" t="n">
        <v>1</v>
      </c>
      <c r="Q316" t="n">
        <v>1</v>
      </c>
      <c r="R316" s="2" t="inlineStr">
        <is>
          <t>Knärot</t>
        </is>
      </c>
      <c r="S316">
        <f>HYPERLINK("https://klasma.github.io/Logging_2305/artfynd/A 7686-2025 artfynd.xlsx", "A 7686-2025")</f>
        <v/>
      </c>
      <c r="T316">
        <f>HYPERLINK("https://klasma.github.io/Logging_2305/kartor/A 7686-2025 karta.png", "A 7686-2025")</f>
        <v/>
      </c>
      <c r="U316">
        <f>HYPERLINK("https://klasma.github.io/Logging_2305/knärot/A 7686-2025 karta knärot.png", "A 7686-2025")</f>
        <v/>
      </c>
      <c r="V316">
        <f>HYPERLINK("https://klasma.github.io/Logging_2305/klagomål/A 7686-2025 FSC-klagomål.docx", "A 7686-2025")</f>
        <v/>
      </c>
      <c r="W316">
        <f>HYPERLINK("https://klasma.github.io/Logging_2305/klagomålsmail/A 7686-2025 FSC-klagomål mail.docx", "A 7686-2025")</f>
        <v/>
      </c>
      <c r="X316">
        <f>HYPERLINK("https://klasma.github.io/Logging_2305/tillsyn/A 7686-2025 tillsynsbegäran.docx", "A 7686-2025")</f>
        <v/>
      </c>
      <c r="Y316">
        <f>HYPERLINK("https://klasma.github.io/Logging_2305/tillsynsmail/A 7686-2025 tillsynsbegäran mail.docx", "A 7686-2025")</f>
        <v/>
      </c>
    </row>
    <row r="317" ht="15" customHeight="1">
      <c r="A317" t="inlineStr">
        <is>
          <t>A 49325-2023</t>
        </is>
      </c>
      <c r="B317" s="1" t="n">
        <v>45210</v>
      </c>
      <c r="C317" s="1" t="n">
        <v>46200</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3249-2025</t>
        </is>
      </c>
      <c r="B318" s="1" t="n">
        <v>45679</v>
      </c>
      <c r="C318" s="1" t="n">
        <v>46200</v>
      </c>
      <c r="D318" t="inlineStr">
        <is>
          <t>JÄMTLANDS LÄN</t>
        </is>
      </c>
      <c r="E318" t="inlineStr">
        <is>
          <t>BRÄCKE</t>
        </is>
      </c>
      <c r="F318" t="inlineStr">
        <is>
          <t>SCA</t>
        </is>
      </c>
      <c r="G318" t="n">
        <v>4.6</v>
      </c>
      <c r="H318" t="n">
        <v>1</v>
      </c>
      <c r="I318" t="n">
        <v>0</v>
      </c>
      <c r="J318" t="n">
        <v>0</v>
      </c>
      <c r="K318" t="n">
        <v>0</v>
      </c>
      <c r="L318" t="n">
        <v>1</v>
      </c>
      <c r="M318" t="n">
        <v>0</v>
      </c>
      <c r="N318" t="n">
        <v>0</v>
      </c>
      <c r="O318" t="n">
        <v>1</v>
      </c>
      <c r="P318" t="n">
        <v>1</v>
      </c>
      <c r="Q318" t="n">
        <v>1</v>
      </c>
      <c r="R318" s="2" t="inlineStr">
        <is>
          <t>Pärluggla</t>
        </is>
      </c>
      <c r="S318">
        <f>HYPERLINK("https://klasma.github.io/Logging_2305/artfynd/A 3249-2025 artfynd.xlsx", "A 3249-2025")</f>
        <v/>
      </c>
      <c r="T318">
        <f>HYPERLINK("https://klasma.github.io/Logging_2305/kartor/A 3249-2025 karta.png", "A 3249-2025")</f>
        <v/>
      </c>
      <c r="V318">
        <f>HYPERLINK("https://klasma.github.io/Logging_2305/klagomål/A 3249-2025 FSC-klagomål.docx", "A 3249-2025")</f>
        <v/>
      </c>
      <c r="W318">
        <f>HYPERLINK("https://klasma.github.io/Logging_2305/klagomålsmail/A 3249-2025 FSC-klagomål mail.docx", "A 3249-2025")</f>
        <v/>
      </c>
      <c r="X318">
        <f>HYPERLINK("https://klasma.github.io/Logging_2305/tillsyn/A 3249-2025 tillsynsbegäran.docx", "A 3249-2025")</f>
        <v/>
      </c>
      <c r="Y318">
        <f>HYPERLINK("https://klasma.github.io/Logging_2305/tillsynsmail/A 3249-2025 tillsynsbegäran mail.docx", "A 3249-2025")</f>
        <v/>
      </c>
      <c r="Z318">
        <f>HYPERLINK("https://klasma.github.io/Logging_2305/fåglar/A 3249-2025 prioriterade fågelarter.docx", "A 3249-2025")</f>
        <v/>
      </c>
    </row>
    <row r="319" ht="15" customHeight="1">
      <c r="A319" t="inlineStr">
        <is>
          <t>A 40869-2024</t>
        </is>
      </c>
      <c r="B319" s="1" t="n">
        <v>45558</v>
      </c>
      <c r="C319" s="1" t="n">
        <v>46200</v>
      </c>
      <c r="D319" t="inlineStr">
        <is>
          <t>JÄMTLANDS LÄN</t>
        </is>
      </c>
      <c r="E319" t="inlineStr">
        <is>
          <t>BRÄCKE</t>
        </is>
      </c>
      <c r="F319" t="inlineStr">
        <is>
          <t>Naturvårdsverket</t>
        </is>
      </c>
      <c r="G319" t="n">
        <v>1.8</v>
      </c>
      <c r="H319" t="n">
        <v>0</v>
      </c>
      <c r="I319" t="n">
        <v>0</v>
      </c>
      <c r="J319" t="n">
        <v>1</v>
      </c>
      <c r="K319" t="n">
        <v>0</v>
      </c>
      <c r="L319" t="n">
        <v>0</v>
      </c>
      <c r="M319" t="n">
        <v>0</v>
      </c>
      <c r="N319" t="n">
        <v>0</v>
      </c>
      <c r="O319" t="n">
        <v>1</v>
      </c>
      <c r="P319" t="n">
        <v>0</v>
      </c>
      <c r="Q319" t="n">
        <v>1</v>
      </c>
      <c r="R319" s="2" t="inlineStr">
        <is>
          <t>Lunglav</t>
        </is>
      </c>
      <c r="S319">
        <f>HYPERLINK("https://klasma.github.io/Logging_2305/artfynd/A 40869-2024 artfynd.xlsx", "A 40869-2024")</f>
        <v/>
      </c>
      <c r="T319">
        <f>HYPERLINK("https://klasma.github.io/Logging_2305/kartor/A 40869-2024 karta.png", "A 40869-2024")</f>
        <v/>
      </c>
      <c r="V319">
        <f>HYPERLINK("https://klasma.github.io/Logging_2305/klagomål/A 40869-2024 FSC-klagomål.docx", "A 40869-2024")</f>
        <v/>
      </c>
      <c r="W319">
        <f>HYPERLINK("https://klasma.github.io/Logging_2305/klagomålsmail/A 40869-2024 FSC-klagomål mail.docx", "A 40869-2024")</f>
        <v/>
      </c>
      <c r="X319">
        <f>HYPERLINK("https://klasma.github.io/Logging_2305/tillsyn/A 40869-2024 tillsynsbegäran.docx", "A 40869-2024")</f>
        <v/>
      </c>
      <c r="Y319">
        <f>HYPERLINK("https://klasma.github.io/Logging_2305/tillsynsmail/A 40869-2024 tillsynsbegäran mail.docx", "A 40869-2024")</f>
        <v/>
      </c>
    </row>
    <row r="320" ht="15" customHeight="1">
      <c r="A320" t="inlineStr">
        <is>
          <t>A 20760-2024</t>
        </is>
      </c>
      <c r="B320" s="1" t="n">
        <v>45436</v>
      </c>
      <c r="C320" s="1" t="n">
        <v>46200</v>
      </c>
      <c r="D320" t="inlineStr">
        <is>
          <t>JÄMTLANDS LÄN</t>
        </is>
      </c>
      <c r="E320" t="inlineStr">
        <is>
          <t>BRÄCKE</t>
        </is>
      </c>
      <c r="G320" t="n">
        <v>10.9</v>
      </c>
      <c r="H320" t="n">
        <v>0</v>
      </c>
      <c r="I320" t="n">
        <v>0</v>
      </c>
      <c r="J320" t="n">
        <v>1</v>
      </c>
      <c r="K320" t="n">
        <v>0</v>
      </c>
      <c r="L320" t="n">
        <v>0</v>
      </c>
      <c r="M320" t="n">
        <v>0</v>
      </c>
      <c r="N320" t="n">
        <v>0</v>
      </c>
      <c r="O320" t="n">
        <v>1</v>
      </c>
      <c r="P320" t="n">
        <v>0</v>
      </c>
      <c r="Q320" t="n">
        <v>1</v>
      </c>
      <c r="R320" s="2" t="inlineStr">
        <is>
          <t>Tallticka</t>
        </is>
      </c>
      <c r="S320">
        <f>HYPERLINK("https://klasma.github.io/Logging_2305/artfynd/A 20760-2024 artfynd.xlsx", "A 20760-2024")</f>
        <v/>
      </c>
      <c r="T320">
        <f>HYPERLINK("https://klasma.github.io/Logging_2305/kartor/A 20760-2024 karta.png", "A 20760-2024")</f>
        <v/>
      </c>
      <c r="V320">
        <f>HYPERLINK("https://klasma.github.io/Logging_2305/klagomål/A 20760-2024 FSC-klagomål.docx", "A 20760-2024")</f>
        <v/>
      </c>
      <c r="W320">
        <f>HYPERLINK("https://klasma.github.io/Logging_2305/klagomålsmail/A 20760-2024 FSC-klagomål mail.docx", "A 20760-2024")</f>
        <v/>
      </c>
      <c r="X320">
        <f>HYPERLINK("https://klasma.github.io/Logging_2305/tillsyn/A 20760-2024 tillsynsbegäran.docx", "A 20760-2024")</f>
        <v/>
      </c>
      <c r="Y320">
        <f>HYPERLINK("https://klasma.github.io/Logging_2305/tillsynsmail/A 20760-2024 tillsynsbegäran mail.docx", "A 20760-2024")</f>
        <v/>
      </c>
    </row>
    <row r="321" ht="15" customHeight="1">
      <c r="A321" t="inlineStr">
        <is>
          <t>A 53832-2024</t>
        </is>
      </c>
      <c r="B321" s="1" t="n">
        <v>45615</v>
      </c>
      <c r="C321" s="1" t="n">
        <v>46200</v>
      </c>
      <c r="D321" t="inlineStr">
        <is>
          <t>JÄMTLANDS LÄN</t>
        </is>
      </c>
      <c r="E321" t="inlineStr">
        <is>
          <t>BRÄCKE</t>
        </is>
      </c>
      <c r="F321" t="inlineStr">
        <is>
          <t>SCA</t>
        </is>
      </c>
      <c r="G321" t="n">
        <v>4</v>
      </c>
      <c r="H321" t="n">
        <v>0</v>
      </c>
      <c r="I321" t="n">
        <v>0</v>
      </c>
      <c r="J321" t="n">
        <v>1</v>
      </c>
      <c r="K321" t="n">
        <v>0</v>
      </c>
      <c r="L321" t="n">
        <v>0</v>
      </c>
      <c r="M321" t="n">
        <v>0</v>
      </c>
      <c r="N321" t="n">
        <v>0</v>
      </c>
      <c r="O321" t="n">
        <v>1</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13554-2024</t>
        </is>
      </c>
      <c r="B322" s="1" t="n">
        <v>45387</v>
      </c>
      <c r="C322" s="1" t="n">
        <v>46200</v>
      </c>
      <c r="D322" t="inlineStr">
        <is>
          <t>JÄMTLANDS LÄN</t>
        </is>
      </c>
      <c r="E322" t="inlineStr">
        <is>
          <t>BRÄCKE</t>
        </is>
      </c>
      <c r="F322" t="inlineStr">
        <is>
          <t>SCA</t>
        </is>
      </c>
      <c r="G322" t="n">
        <v>0.6</v>
      </c>
      <c r="H322" t="n">
        <v>0</v>
      </c>
      <c r="I322" t="n">
        <v>0</v>
      </c>
      <c r="J322" t="n">
        <v>1</v>
      </c>
      <c r="K322" t="n">
        <v>0</v>
      </c>
      <c r="L322" t="n">
        <v>0</v>
      </c>
      <c r="M322" t="n">
        <v>0</v>
      </c>
      <c r="N322" t="n">
        <v>0</v>
      </c>
      <c r="O322" t="n">
        <v>1</v>
      </c>
      <c r="P322" t="n">
        <v>0</v>
      </c>
      <c r="Q322" t="n">
        <v>1</v>
      </c>
      <c r="R322" s="2" t="inlineStr">
        <is>
          <t>Skrovellav</t>
        </is>
      </c>
      <c r="S322">
        <f>HYPERLINK("https://klasma.github.io/Logging_2305/artfynd/A 13554-2024 artfynd.xlsx", "A 13554-2024")</f>
        <v/>
      </c>
      <c r="T322">
        <f>HYPERLINK("https://klasma.github.io/Logging_2305/kartor/A 13554-2024 karta.png", "A 13554-2024")</f>
        <v/>
      </c>
      <c r="V322">
        <f>HYPERLINK("https://klasma.github.io/Logging_2305/klagomål/A 13554-2024 FSC-klagomål.docx", "A 13554-2024")</f>
        <v/>
      </c>
      <c r="W322">
        <f>HYPERLINK("https://klasma.github.io/Logging_2305/klagomålsmail/A 13554-2024 FSC-klagomål mail.docx", "A 13554-2024")</f>
        <v/>
      </c>
      <c r="X322">
        <f>HYPERLINK("https://klasma.github.io/Logging_2305/tillsyn/A 13554-2024 tillsynsbegäran.docx", "A 13554-2024")</f>
        <v/>
      </c>
      <c r="Y322">
        <f>HYPERLINK("https://klasma.github.io/Logging_2305/tillsynsmail/A 13554-2024 tillsynsbegäran mail.docx", "A 13554-2024")</f>
        <v/>
      </c>
    </row>
    <row r="323" ht="15" customHeight="1">
      <c r="A323" t="inlineStr">
        <is>
          <t>A 11553-2024</t>
        </is>
      </c>
      <c r="B323" s="1" t="n">
        <v>45372</v>
      </c>
      <c r="C323" s="1" t="n">
        <v>46200</v>
      </c>
      <c r="D323" t="inlineStr">
        <is>
          <t>JÄMTLANDS LÄN</t>
        </is>
      </c>
      <c r="E323" t="inlineStr">
        <is>
          <t>BRÄCKE</t>
        </is>
      </c>
      <c r="F323" t="inlineStr">
        <is>
          <t>Naturvårdsverket</t>
        </is>
      </c>
      <c r="G323" t="n">
        <v>1.9</v>
      </c>
      <c r="H323" t="n">
        <v>0</v>
      </c>
      <c r="I323" t="n">
        <v>0</v>
      </c>
      <c r="J323" t="n">
        <v>1</v>
      </c>
      <c r="K323" t="n">
        <v>0</v>
      </c>
      <c r="L323" t="n">
        <v>0</v>
      </c>
      <c r="M323" t="n">
        <v>0</v>
      </c>
      <c r="N323" t="n">
        <v>0</v>
      </c>
      <c r="O323" t="n">
        <v>1</v>
      </c>
      <c r="P323" t="n">
        <v>0</v>
      </c>
      <c r="Q323" t="n">
        <v>1</v>
      </c>
      <c r="R323" s="2" t="inlineStr">
        <is>
          <t>Dropptaggsvamp</t>
        </is>
      </c>
      <c r="S323">
        <f>HYPERLINK("https://klasma.github.io/Logging_2305/artfynd/A 11553-2024 artfynd.xlsx", "A 11553-2024")</f>
        <v/>
      </c>
      <c r="T323">
        <f>HYPERLINK("https://klasma.github.io/Logging_2305/kartor/A 11553-2024 karta.png", "A 11553-2024")</f>
        <v/>
      </c>
      <c r="V323">
        <f>HYPERLINK("https://klasma.github.io/Logging_2305/klagomål/A 11553-2024 FSC-klagomål.docx", "A 11553-2024")</f>
        <v/>
      </c>
      <c r="W323">
        <f>HYPERLINK("https://klasma.github.io/Logging_2305/klagomålsmail/A 11553-2024 FSC-klagomål mail.docx", "A 11553-2024")</f>
        <v/>
      </c>
      <c r="X323">
        <f>HYPERLINK("https://klasma.github.io/Logging_2305/tillsyn/A 11553-2024 tillsynsbegäran.docx", "A 11553-2024")</f>
        <v/>
      </c>
      <c r="Y323">
        <f>HYPERLINK("https://klasma.github.io/Logging_2305/tillsynsmail/A 11553-2024 tillsynsbegäran mail.docx", "A 11553-2024")</f>
        <v/>
      </c>
    </row>
    <row r="324" ht="15" customHeight="1">
      <c r="A324" t="inlineStr">
        <is>
          <t>A 12640-2025</t>
        </is>
      </c>
      <c r="B324" s="1" t="n">
        <v>45733</v>
      </c>
      <c r="C324" s="1" t="n">
        <v>46200</v>
      </c>
      <c r="D324" t="inlineStr">
        <is>
          <t>JÄMTLANDS LÄN</t>
        </is>
      </c>
      <c r="E324" t="inlineStr">
        <is>
          <t>BRÄCKE</t>
        </is>
      </c>
      <c r="F324" t="inlineStr">
        <is>
          <t>SCA</t>
        </is>
      </c>
      <c r="G324" t="n">
        <v>2.1</v>
      </c>
      <c r="H324" t="n">
        <v>1</v>
      </c>
      <c r="I324" t="n">
        <v>0</v>
      </c>
      <c r="J324" t="n">
        <v>0</v>
      </c>
      <c r="K324" t="n">
        <v>0</v>
      </c>
      <c r="L324" t="n">
        <v>0</v>
      </c>
      <c r="M324" t="n">
        <v>0</v>
      </c>
      <c r="N324" t="n">
        <v>0</v>
      </c>
      <c r="O324" t="n">
        <v>0</v>
      </c>
      <c r="P324" t="n">
        <v>0</v>
      </c>
      <c r="Q324" t="n">
        <v>1</v>
      </c>
      <c r="R324" s="2" t="inlineStr">
        <is>
          <t>Nattviol</t>
        </is>
      </c>
      <c r="S324">
        <f>HYPERLINK("https://klasma.github.io/Logging_2305/artfynd/A 12640-2025 artfynd.xlsx", "A 12640-2025")</f>
        <v/>
      </c>
      <c r="T324">
        <f>HYPERLINK("https://klasma.github.io/Logging_2305/kartor/A 12640-2025 karta.png", "A 12640-2025")</f>
        <v/>
      </c>
      <c r="V324">
        <f>HYPERLINK("https://klasma.github.io/Logging_2305/klagomål/A 12640-2025 FSC-klagomål.docx", "A 12640-2025")</f>
        <v/>
      </c>
      <c r="W324">
        <f>HYPERLINK("https://klasma.github.io/Logging_2305/klagomålsmail/A 12640-2025 FSC-klagomål mail.docx", "A 12640-2025")</f>
        <v/>
      </c>
      <c r="X324">
        <f>HYPERLINK("https://klasma.github.io/Logging_2305/tillsyn/A 12640-2025 tillsynsbegäran.docx", "A 12640-2025")</f>
        <v/>
      </c>
      <c r="Y324">
        <f>HYPERLINK("https://klasma.github.io/Logging_2305/tillsynsmail/A 12640-2025 tillsynsbegäran mail.docx", "A 12640-2025")</f>
        <v/>
      </c>
    </row>
    <row r="325" ht="15" customHeight="1">
      <c r="A325" t="inlineStr">
        <is>
          <t>A 57797-2023</t>
        </is>
      </c>
      <c r="B325" s="1" t="n">
        <v>45246</v>
      </c>
      <c r="C325" s="1" t="n">
        <v>46200</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57417-2023</t>
        </is>
      </c>
      <c r="B326" s="1" t="n">
        <v>45245</v>
      </c>
      <c r="C326" s="1" t="n">
        <v>46200</v>
      </c>
      <c r="D326" t="inlineStr">
        <is>
          <t>JÄMTLANDS LÄN</t>
        </is>
      </c>
      <c r="E326" t="inlineStr">
        <is>
          <t>BRÄCKE</t>
        </is>
      </c>
      <c r="F326" t="inlineStr">
        <is>
          <t>SCA</t>
        </is>
      </c>
      <c r="G326" t="n">
        <v>4.1</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57417-2023 artfynd.xlsx", "A 57417-2023")</f>
        <v/>
      </c>
      <c r="T326">
        <f>HYPERLINK("https://klasma.github.io/Logging_2305/kartor/A 57417-2023 karta.png", "A 57417-2023")</f>
        <v/>
      </c>
      <c r="V326">
        <f>HYPERLINK("https://klasma.github.io/Logging_2305/klagomål/A 57417-2023 FSC-klagomål.docx", "A 57417-2023")</f>
        <v/>
      </c>
      <c r="W326">
        <f>HYPERLINK("https://klasma.github.io/Logging_2305/klagomålsmail/A 57417-2023 FSC-klagomål mail.docx", "A 57417-2023")</f>
        <v/>
      </c>
      <c r="X326">
        <f>HYPERLINK("https://klasma.github.io/Logging_2305/tillsyn/A 57417-2023 tillsynsbegäran.docx", "A 57417-2023")</f>
        <v/>
      </c>
      <c r="Y326">
        <f>HYPERLINK("https://klasma.github.io/Logging_2305/tillsynsmail/A 57417-2023 tillsynsbegäran mail.docx", "A 57417-2023")</f>
        <v/>
      </c>
      <c r="Z326">
        <f>HYPERLINK("https://klasma.github.io/Logging_2305/fåglar/A 57417-2023 prioriterade fågelarter.docx", "A 57417-2023")</f>
        <v/>
      </c>
    </row>
    <row r="327" ht="15" customHeight="1">
      <c r="A327" t="inlineStr">
        <is>
          <t>A 18267-2025</t>
        </is>
      </c>
      <c r="B327" s="1" t="n">
        <v>45762</v>
      </c>
      <c r="C327" s="1" t="n">
        <v>46200</v>
      </c>
      <c r="D327" t="inlineStr">
        <is>
          <t>JÄMTLANDS LÄN</t>
        </is>
      </c>
      <c r="E327" t="inlineStr">
        <is>
          <t>BRÄCKE</t>
        </is>
      </c>
      <c r="G327" t="n">
        <v>0.6</v>
      </c>
      <c r="H327" t="n">
        <v>0</v>
      </c>
      <c r="I327" t="n">
        <v>1</v>
      </c>
      <c r="J327" t="n">
        <v>0</v>
      </c>
      <c r="K327" t="n">
        <v>0</v>
      </c>
      <c r="L327" t="n">
        <v>0</v>
      </c>
      <c r="M327" t="n">
        <v>0</v>
      </c>
      <c r="N327" t="n">
        <v>0</v>
      </c>
      <c r="O327" t="n">
        <v>0</v>
      </c>
      <c r="P327" t="n">
        <v>0</v>
      </c>
      <c r="Q327" t="n">
        <v>1</v>
      </c>
      <c r="R327" s="2" t="inlineStr">
        <is>
          <t>Tibast</t>
        </is>
      </c>
      <c r="S327">
        <f>HYPERLINK("https://klasma.github.io/Logging_2305/artfynd/A 18267-2025 artfynd.xlsx", "A 18267-2025")</f>
        <v/>
      </c>
      <c r="T327">
        <f>HYPERLINK("https://klasma.github.io/Logging_2305/kartor/A 18267-2025 karta.png", "A 18267-2025")</f>
        <v/>
      </c>
      <c r="V327">
        <f>HYPERLINK("https://klasma.github.io/Logging_2305/klagomål/A 18267-2025 FSC-klagomål.docx", "A 18267-2025")</f>
        <v/>
      </c>
      <c r="W327">
        <f>HYPERLINK("https://klasma.github.io/Logging_2305/klagomålsmail/A 18267-2025 FSC-klagomål mail.docx", "A 18267-2025")</f>
        <v/>
      </c>
      <c r="X327">
        <f>HYPERLINK("https://klasma.github.io/Logging_2305/tillsyn/A 18267-2025 tillsynsbegäran.docx", "A 18267-2025")</f>
        <v/>
      </c>
      <c r="Y327">
        <f>HYPERLINK("https://klasma.github.io/Logging_2305/tillsynsmail/A 18267-2025 tillsynsbegäran mail.docx", "A 18267-2025")</f>
        <v/>
      </c>
    </row>
    <row r="328" ht="15" customHeight="1">
      <c r="A328" t="inlineStr">
        <is>
          <t>A 25718-2024</t>
        </is>
      </c>
      <c r="B328" s="1" t="n">
        <v>45463</v>
      </c>
      <c r="C328" s="1" t="n">
        <v>46200</v>
      </c>
      <c r="D328" t="inlineStr">
        <is>
          <t>JÄMTLANDS LÄN</t>
        </is>
      </c>
      <c r="E328" t="inlineStr">
        <is>
          <t>BRÄCKE</t>
        </is>
      </c>
      <c r="F328" t="inlineStr">
        <is>
          <t>SCA</t>
        </is>
      </c>
      <c r="G328" t="n">
        <v>2.2</v>
      </c>
      <c r="H328" t="n">
        <v>0</v>
      </c>
      <c r="I328" t="n">
        <v>0</v>
      </c>
      <c r="J328" t="n">
        <v>0</v>
      </c>
      <c r="K328" t="n">
        <v>1</v>
      </c>
      <c r="L328" t="n">
        <v>0</v>
      </c>
      <c r="M328" t="n">
        <v>0</v>
      </c>
      <c r="N328" t="n">
        <v>0</v>
      </c>
      <c r="O328" t="n">
        <v>1</v>
      </c>
      <c r="P328" t="n">
        <v>1</v>
      </c>
      <c r="Q328" t="n">
        <v>1</v>
      </c>
      <c r="R328" s="2" t="inlineStr">
        <is>
          <t>Gräddporing</t>
        </is>
      </c>
      <c r="S328">
        <f>HYPERLINK("https://klasma.github.io/Logging_2305/artfynd/A 25718-2024 artfynd.xlsx", "A 25718-2024")</f>
        <v/>
      </c>
      <c r="T328">
        <f>HYPERLINK("https://klasma.github.io/Logging_2305/kartor/A 25718-2024 karta.png", "A 25718-2024")</f>
        <v/>
      </c>
      <c r="V328">
        <f>HYPERLINK("https://klasma.github.io/Logging_2305/klagomål/A 25718-2024 FSC-klagomål.docx", "A 25718-2024")</f>
        <v/>
      </c>
      <c r="W328">
        <f>HYPERLINK("https://klasma.github.io/Logging_2305/klagomålsmail/A 25718-2024 FSC-klagomål mail.docx", "A 25718-2024")</f>
        <v/>
      </c>
      <c r="X328">
        <f>HYPERLINK("https://klasma.github.io/Logging_2305/tillsyn/A 25718-2024 tillsynsbegäran.docx", "A 25718-2024")</f>
        <v/>
      </c>
      <c r="Y328">
        <f>HYPERLINK("https://klasma.github.io/Logging_2305/tillsynsmail/A 25718-2024 tillsynsbegäran mail.docx", "A 25718-2024")</f>
        <v/>
      </c>
    </row>
    <row r="329" ht="15" customHeight="1">
      <c r="A329" t="inlineStr">
        <is>
          <t>A 40097-2023</t>
        </is>
      </c>
      <c r="B329" s="1" t="n">
        <v>45168</v>
      </c>
      <c r="C329" s="1" t="n">
        <v>46200</v>
      </c>
      <c r="D329" t="inlineStr">
        <is>
          <t>JÄMTLANDS LÄN</t>
        </is>
      </c>
      <c r="E329" t="inlineStr">
        <is>
          <t>BRÄCKE</t>
        </is>
      </c>
      <c r="F329" t="inlineStr">
        <is>
          <t>SCA</t>
        </is>
      </c>
      <c r="G329" t="n">
        <v>3.8</v>
      </c>
      <c r="H329" t="n">
        <v>1</v>
      </c>
      <c r="I329" t="n">
        <v>0</v>
      </c>
      <c r="J329" t="n">
        <v>0</v>
      </c>
      <c r="K329" t="n">
        <v>1</v>
      </c>
      <c r="L329" t="n">
        <v>0</v>
      </c>
      <c r="M329" t="n">
        <v>0</v>
      </c>
      <c r="N329" t="n">
        <v>0</v>
      </c>
      <c r="O329" t="n">
        <v>1</v>
      </c>
      <c r="P329" t="n">
        <v>1</v>
      </c>
      <c r="Q329" t="n">
        <v>1</v>
      </c>
      <c r="R329" s="2" t="inlineStr">
        <is>
          <t>Knärot</t>
        </is>
      </c>
      <c r="S329">
        <f>HYPERLINK("https://klasma.github.io/Logging_2305/artfynd/A 40097-2023 artfynd.xlsx", "A 40097-2023")</f>
        <v/>
      </c>
      <c r="T329">
        <f>HYPERLINK("https://klasma.github.io/Logging_2305/kartor/A 40097-2023 karta.png", "A 40097-2023")</f>
        <v/>
      </c>
      <c r="U329">
        <f>HYPERLINK("https://klasma.github.io/Logging_2305/knärot/A 40097-2023 karta knärot.png", "A 40097-2023")</f>
        <v/>
      </c>
      <c r="V329">
        <f>HYPERLINK("https://klasma.github.io/Logging_2305/klagomål/A 40097-2023 FSC-klagomål.docx", "A 40097-2023")</f>
        <v/>
      </c>
      <c r="W329">
        <f>HYPERLINK("https://klasma.github.io/Logging_2305/klagomålsmail/A 40097-2023 FSC-klagomål mail.docx", "A 40097-2023")</f>
        <v/>
      </c>
      <c r="X329">
        <f>HYPERLINK("https://klasma.github.io/Logging_2305/tillsyn/A 40097-2023 tillsynsbegäran.docx", "A 40097-2023")</f>
        <v/>
      </c>
      <c r="Y329">
        <f>HYPERLINK("https://klasma.github.io/Logging_2305/tillsynsmail/A 40097-2023 tillsynsbegäran mail.docx", "A 40097-2023")</f>
        <v/>
      </c>
    </row>
    <row r="330" ht="15" customHeight="1">
      <c r="A330" t="inlineStr">
        <is>
          <t>A 48507-2023</t>
        </is>
      </c>
      <c r="B330" s="1" t="n">
        <v>45207</v>
      </c>
      <c r="C330" s="1" t="n">
        <v>46200</v>
      </c>
      <c r="D330" t="inlineStr">
        <is>
          <t>JÄMTLANDS LÄN</t>
        </is>
      </c>
      <c r="E330" t="inlineStr">
        <is>
          <t>BRÄCKE</t>
        </is>
      </c>
      <c r="F330" t="inlineStr">
        <is>
          <t>SCA</t>
        </is>
      </c>
      <c r="G330" t="n">
        <v>1.4</v>
      </c>
      <c r="H330" t="n">
        <v>0</v>
      </c>
      <c r="I330" t="n">
        <v>0</v>
      </c>
      <c r="J330" t="n">
        <v>0</v>
      </c>
      <c r="K330" t="n">
        <v>1</v>
      </c>
      <c r="L330" t="n">
        <v>0</v>
      </c>
      <c r="M330" t="n">
        <v>0</v>
      </c>
      <c r="N330" t="n">
        <v>0</v>
      </c>
      <c r="O330" t="n">
        <v>1</v>
      </c>
      <c r="P330" t="n">
        <v>1</v>
      </c>
      <c r="Q330" t="n">
        <v>1</v>
      </c>
      <c r="R330" s="2" t="inlineStr">
        <is>
          <t>Garnlav</t>
        </is>
      </c>
      <c r="S330">
        <f>HYPERLINK("https://klasma.github.io/Logging_2305/artfynd/A 48507-2023 artfynd.xlsx", "A 48507-2023")</f>
        <v/>
      </c>
      <c r="T330">
        <f>HYPERLINK("https://klasma.github.io/Logging_2305/kartor/A 48507-2023 karta.png", "A 48507-2023")</f>
        <v/>
      </c>
      <c r="V330">
        <f>HYPERLINK("https://klasma.github.io/Logging_2305/klagomål/A 48507-2023 FSC-klagomål.docx", "A 48507-2023")</f>
        <v/>
      </c>
      <c r="W330">
        <f>HYPERLINK("https://klasma.github.io/Logging_2305/klagomålsmail/A 48507-2023 FSC-klagomål mail.docx", "A 48507-2023")</f>
        <v/>
      </c>
      <c r="X330">
        <f>HYPERLINK("https://klasma.github.io/Logging_2305/tillsyn/A 48507-2023 tillsynsbegäran.docx", "A 48507-2023")</f>
        <v/>
      </c>
      <c r="Y330">
        <f>HYPERLINK("https://klasma.github.io/Logging_2305/tillsynsmail/A 48507-2023 tillsynsbegäran mail.docx", "A 48507-2023")</f>
        <v/>
      </c>
    </row>
    <row r="331" ht="15" customHeight="1">
      <c r="A331" t="inlineStr">
        <is>
          <t>A 2466-2025</t>
        </is>
      </c>
      <c r="B331" s="1" t="n">
        <v>45674</v>
      </c>
      <c r="C331" s="1" t="n">
        <v>46200</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44323-2023</t>
        </is>
      </c>
      <c r="B332" s="1" t="n">
        <v>45188</v>
      </c>
      <c r="C332" s="1" t="n">
        <v>46200</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59008-2024</t>
        </is>
      </c>
      <c r="B333" s="1" t="n">
        <v>45636</v>
      </c>
      <c r="C333" s="1" t="n">
        <v>46200</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Gammelgransskål</t>
        </is>
      </c>
      <c r="S333">
        <f>HYPERLINK("https://klasma.github.io/Logging_2305/artfynd/A 59008-2024 artfynd.xlsx", "A 59008-2024")</f>
        <v/>
      </c>
      <c r="T333">
        <f>HYPERLINK("https://klasma.github.io/Logging_2305/kartor/A 59008-2024 karta.png", "A 59008-2024")</f>
        <v/>
      </c>
      <c r="V333">
        <f>HYPERLINK("https://klasma.github.io/Logging_2305/klagomål/A 59008-2024 FSC-klagomål.docx", "A 59008-2024")</f>
        <v/>
      </c>
      <c r="W333">
        <f>HYPERLINK("https://klasma.github.io/Logging_2305/klagomålsmail/A 59008-2024 FSC-klagomål mail.docx", "A 59008-2024")</f>
        <v/>
      </c>
      <c r="X333">
        <f>HYPERLINK("https://klasma.github.io/Logging_2305/tillsyn/A 59008-2024 tillsynsbegäran.docx", "A 59008-2024")</f>
        <v/>
      </c>
      <c r="Y333">
        <f>HYPERLINK("https://klasma.github.io/Logging_2305/tillsynsmail/A 59008-2024 tillsynsbegäran mail.docx", "A 59008-2024")</f>
        <v/>
      </c>
    </row>
    <row r="334" ht="15" customHeight="1">
      <c r="A334" t="inlineStr">
        <is>
          <t>A 40100-2023</t>
        </is>
      </c>
      <c r="B334" s="1" t="n">
        <v>45168</v>
      </c>
      <c r="C334" s="1" t="n">
        <v>46200</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34911-2025</t>
        </is>
      </c>
      <c r="B335" s="1" t="n">
        <v>45849</v>
      </c>
      <c r="C335" s="1" t="n">
        <v>46200</v>
      </c>
      <c r="D335" t="inlineStr">
        <is>
          <t>JÄMTLANDS LÄN</t>
        </is>
      </c>
      <c r="E335" t="inlineStr">
        <is>
          <t>BRÄCKE</t>
        </is>
      </c>
      <c r="F335" t="inlineStr">
        <is>
          <t>Sveaskog</t>
        </is>
      </c>
      <c r="G335" t="n">
        <v>7.2</v>
      </c>
      <c r="H335" t="n">
        <v>1</v>
      </c>
      <c r="I335" t="n">
        <v>1</v>
      </c>
      <c r="J335" t="n">
        <v>0</v>
      </c>
      <c r="K335" t="n">
        <v>0</v>
      </c>
      <c r="L335" t="n">
        <v>0</v>
      </c>
      <c r="M335" t="n">
        <v>0</v>
      </c>
      <c r="N335" t="n">
        <v>0</v>
      </c>
      <c r="O335" t="n">
        <v>0</v>
      </c>
      <c r="P335" t="n">
        <v>0</v>
      </c>
      <c r="Q335" t="n">
        <v>1</v>
      </c>
      <c r="R335" s="2" t="inlineStr">
        <is>
          <t>Guckusko</t>
        </is>
      </c>
      <c r="S335">
        <f>HYPERLINK("https://klasma.github.io/Logging_2305/artfynd/A 34911-2025 artfynd.xlsx", "A 34911-2025")</f>
        <v/>
      </c>
      <c r="T335">
        <f>HYPERLINK("https://klasma.github.io/Logging_2305/kartor/A 34911-2025 karta.png", "A 34911-2025")</f>
        <v/>
      </c>
      <c r="V335">
        <f>HYPERLINK("https://klasma.github.io/Logging_2305/klagomål/A 34911-2025 FSC-klagomål.docx", "A 34911-2025")</f>
        <v/>
      </c>
      <c r="W335">
        <f>HYPERLINK("https://klasma.github.io/Logging_2305/klagomålsmail/A 34911-2025 FSC-klagomål mail.docx", "A 34911-2025")</f>
        <v/>
      </c>
      <c r="X335">
        <f>HYPERLINK("https://klasma.github.io/Logging_2305/tillsyn/A 34911-2025 tillsynsbegäran.docx", "A 34911-2025")</f>
        <v/>
      </c>
      <c r="Y335">
        <f>HYPERLINK("https://klasma.github.io/Logging_2305/tillsynsmail/A 34911-2025 tillsynsbegäran mail.docx", "A 34911-2025")</f>
        <v/>
      </c>
    </row>
    <row r="336" ht="15" customHeight="1">
      <c r="A336" t="inlineStr">
        <is>
          <t>A 235-2022</t>
        </is>
      </c>
      <c r="B336" s="1" t="n">
        <v>44564</v>
      </c>
      <c r="C336" s="1" t="n">
        <v>46200</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28135-2024</t>
        </is>
      </c>
      <c r="B337" s="1" t="n">
        <v>45476</v>
      </c>
      <c r="C337" s="1" t="n">
        <v>46200</v>
      </c>
      <c r="D337" t="inlineStr">
        <is>
          <t>JÄMTLANDS LÄN</t>
        </is>
      </c>
      <c r="E337" t="inlineStr">
        <is>
          <t>BRÄCKE</t>
        </is>
      </c>
      <c r="G337" t="n">
        <v>2</v>
      </c>
      <c r="H337" t="n">
        <v>0</v>
      </c>
      <c r="I337" t="n">
        <v>0</v>
      </c>
      <c r="J337" t="n">
        <v>1</v>
      </c>
      <c r="K337" t="n">
        <v>0</v>
      </c>
      <c r="L337" t="n">
        <v>0</v>
      </c>
      <c r="M337" t="n">
        <v>0</v>
      </c>
      <c r="N337" t="n">
        <v>0</v>
      </c>
      <c r="O337" t="n">
        <v>1</v>
      </c>
      <c r="P337" t="n">
        <v>0</v>
      </c>
      <c r="Q337" t="n">
        <v>1</v>
      </c>
      <c r="R337" s="2" t="inlineStr">
        <is>
          <t>Äggvaxskivling</t>
        </is>
      </c>
      <c r="S337">
        <f>HYPERLINK("https://klasma.github.io/Logging_2305/artfynd/A 28135-2024 artfynd.xlsx", "A 28135-2024")</f>
        <v/>
      </c>
      <c r="T337">
        <f>HYPERLINK("https://klasma.github.io/Logging_2305/kartor/A 28135-2024 karta.png", "A 28135-2024")</f>
        <v/>
      </c>
      <c r="V337">
        <f>HYPERLINK("https://klasma.github.io/Logging_2305/klagomål/A 28135-2024 FSC-klagomål.docx", "A 28135-2024")</f>
        <v/>
      </c>
      <c r="W337">
        <f>HYPERLINK("https://klasma.github.io/Logging_2305/klagomålsmail/A 28135-2024 FSC-klagomål mail.docx", "A 28135-2024")</f>
        <v/>
      </c>
      <c r="X337">
        <f>HYPERLINK("https://klasma.github.io/Logging_2305/tillsyn/A 28135-2024 tillsynsbegäran.docx", "A 28135-2024")</f>
        <v/>
      </c>
      <c r="Y337">
        <f>HYPERLINK("https://klasma.github.io/Logging_2305/tillsynsmail/A 28135-2024 tillsynsbegäran mail.docx", "A 28135-2024")</f>
        <v/>
      </c>
    </row>
    <row r="338" ht="15" customHeight="1">
      <c r="A338" t="inlineStr">
        <is>
          <t>A 35210-2025</t>
        </is>
      </c>
      <c r="B338" s="1" t="n">
        <v>45853</v>
      </c>
      <c r="C338" s="1" t="n">
        <v>46200</v>
      </c>
      <c r="D338" t="inlineStr">
        <is>
          <t>JÄMTLANDS LÄN</t>
        </is>
      </c>
      <c r="E338" t="inlineStr">
        <is>
          <t>BRÄCKE</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HYPERLINK("https://klasma.github.io/Logging_2305/artfynd/A 35210-2025 artfynd.xlsx", "A 35210-2025")</f>
        <v/>
      </c>
      <c r="T338">
        <f>HYPERLINK("https://klasma.github.io/Logging_2305/kartor/A 35210-2025 karta.png", "A 35210-2025")</f>
        <v/>
      </c>
      <c r="V338">
        <f>HYPERLINK("https://klasma.github.io/Logging_2305/klagomål/A 35210-2025 FSC-klagomål.docx", "A 35210-2025")</f>
        <v/>
      </c>
      <c r="W338">
        <f>HYPERLINK("https://klasma.github.io/Logging_2305/klagomålsmail/A 35210-2025 FSC-klagomål mail.docx", "A 35210-2025")</f>
        <v/>
      </c>
      <c r="X338">
        <f>HYPERLINK("https://klasma.github.io/Logging_2305/tillsyn/A 35210-2025 tillsynsbegäran.docx", "A 35210-2025")</f>
        <v/>
      </c>
      <c r="Y338">
        <f>HYPERLINK("https://klasma.github.io/Logging_2305/tillsynsmail/A 35210-2025 tillsynsbegäran mail.docx", "A 35210-2025")</f>
        <v/>
      </c>
    </row>
    <row r="339" ht="15" customHeight="1">
      <c r="A339" t="inlineStr">
        <is>
          <t>A 35229-2025</t>
        </is>
      </c>
      <c r="B339" s="1" t="n">
        <v>45853</v>
      </c>
      <c r="C339" s="1" t="n">
        <v>46200</v>
      </c>
      <c r="D339" t="inlineStr">
        <is>
          <t>JÄMTLANDS LÄN</t>
        </is>
      </c>
      <c r="E339" t="inlineStr">
        <is>
          <t>BRÄCKE</t>
        </is>
      </c>
      <c r="F339" t="inlineStr">
        <is>
          <t>SCA</t>
        </is>
      </c>
      <c r="G339" t="n">
        <v>2.6</v>
      </c>
      <c r="H339" t="n">
        <v>0</v>
      </c>
      <c r="I339" t="n">
        <v>1</v>
      </c>
      <c r="J339" t="n">
        <v>0</v>
      </c>
      <c r="K339" t="n">
        <v>0</v>
      </c>
      <c r="L339" t="n">
        <v>0</v>
      </c>
      <c r="M339" t="n">
        <v>0</v>
      </c>
      <c r="N339" t="n">
        <v>0</v>
      </c>
      <c r="O339" t="n">
        <v>0</v>
      </c>
      <c r="P339" t="n">
        <v>0</v>
      </c>
      <c r="Q339" t="n">
        <v>1</v>
      </c>
      <c r="R339" s="2" t="inlineStr">
        <is>
          <t>Vedticka</t>
        </is>
      </c>
      <c r="S339">
        <f>HYPERLINK("https://klasma.github.io/Logging_2305/artfynd/A 35229-2025 artfynd.xlsx", "A 35229-2025")</f>
        <v/>
      </c>
      <c r="T339">
        <f>HYPERLINK("https://klasma.github.io/Logging_2305/kartor/A 35229-2025 karta.png", "A 35229-2025")</f>
        <v/>
      </c>
      <c r="V339">
        <f>HYPERLINK("https://klasma.github.io/Logging_2305/klagomål/A 35229-2025 FSC-klagomål.docx", "A 35229-2025")</f>
        <v/>
      </c>
      <c r="W339">
        <f>HYPERLINK("https://klasma.github.io/Logging_2305/klagomålsmail/A 35229-2025 FSC-klagomål mail.docx", "A 35229-2025")</f>
        <v/>
      </c>
      <c r="X339">
        <f>HYPERLINK("https://klasma.github.io/Logging_2305/tillsyn/A 35229-2025 tillsynsbegäran.docx", "A 35229-2025")</f>
        <v/>
      </c>
      <c r="Y339">
        <f>HYPERLINK("https://klasma.github.io/Logging_2305/tillsynsmail/A 35229-2025 tillsynsbegäran mail.docx", "A 35229-2025")</f>
        <v/>
      </c>
    </row>
    <row r="340" ht="15" customHeight="1">
      <c r="A340" t="inlineStr">
        <is>
          <t>A 35328-2025</t>
        </is>
      </c>
      <c r="B340" s="1" t="n">
        <v>45854</v>
      </c>
      <c r="C340" s="1" t="n">
        <v>46200</v>
      </c>
      <c r="D340" t="inlineStr">
        <is>
          <t>JÄMTLANDS LÄN</t>
        </is>
      </c>
      <c r="E340" t="inlineStr">
        <is>
          <t>BRÄCKE</t>
        </is>
      </c>
      <c r="F340" t="inlineStr">
        <is>
          <t>Sveaskog</t>
        </is>
      </c>
      <c r="G340" t="n">
        <v>4.8</v>
      </c>
      <c r="H340" t="n">
        <v>0</v>
      </c>
      <c r="I340" t="n">
        <v>0</v>
      </c>
      <c r="J340" t="n">
        <v>1</v>
      </c>
      <c r="K340" t="n">
        <v>0</v>
      </c>
      <c r="L340" t="n">
        <v>0</v>
      </c>
      <c r="M340" t="n">
        <v>0</v>
      </c>
      <c r="N340" t="n">
        <v>0</v>
      </c>
      <c r="O340" t="n">
        <v>1</v>
      </c>
      <c r="P340" t="n">
        <v>0</v>
      </c>
      <c r="Q340" t="n">
        <v>1</v>
      </c>
      <c r="R340" s="2" t="inlineStr">
        <is>
          <t>Lunglav</t>
        </is>
      </c>
      <c r="S340">
        <f>HYPERLINK("https://klasma.github.io/Logging_2305/artfynd/A 35328-2025 artfynd.xlsx", "A 35328-2025")</f>
        <v/>
      </c>
      <c r="T340">
        <f>HYPERLINK("https://klasma.github.io/Logging_2305/kartor/A 35328-2025 karta.png", "A 35328-2025")</f>
        <v/>
      </c>
      <c r="V340">
        <f>HYPERLINK("https://klasma.github.io/Logging_2305/klagomål/A 35328-2025 FSC-klagomål.docx", "A 35328-2025")</f>
        <v/>
      </c>
      <c r="W340">
        <f>HYPERLINK("https://klasma.github.io/Logging_2305/klagomålsmail/A 35328-2025 FSC-klagomål mail.docx", "A 35328-2025")</f>
        <v/>
      </c>
      <c r="X340">
        <f>HYPERLINK("https://klasma.github.io/Logging_2305/tillsyn/A 35328-2025 tillsynsbegäran.docx", "A 35328-2025")</f>
        <v/>
      </c>
      <c r="Y340">
        <f>HYPERLINK("https://klasma.github.io/Logging_2305/tillsynsmail/A 35328-2025 tillsynsbegäran mail.docx", "A 35328-2025")</f>
        <v/>
      </c>
    </row>
    <row r="341" ht="15" customHeight="1">
      <c r="A341" t="inlineStr">
        <is>
          <t>A 724-2023</t>
        </is>
      </c>
      <c r="B341" s="1" t="n">
        <v>44930</v>
      </c>
      <c r="C341" s="1" t="n">
        <v>46200</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724-2023 artfynd.xlsx", "A 724-2023")</f>
        <v/>
      </c>
      <c r="T341">
        <f>HYPERLINK("https://klasma.github.io/Logging_2305/kartor/A 724-2023 karta.png", "A 724-2023")</f>
        <v/>
      </c>
      <c r="V341">
        <f>HYPERLINK("https://klasma.github.io/Logging_2305/klagomål/A 724-2023 FSC-klagomål.docx", "A 724-2023")</f>
        <v/>
      </c>
      <c r="W341">
        <f>HYPERLINK("https://klasma.github.io/Logging_2305/klagomålsmail/A 724-2023 FSC-klagomål mail.docx", "A 724-2023")</f>
        <v/>
      </c>
      <c r="X341">
        <f>HYPERLINK("https://klasma.github.io/Logging_2305/tillsyn/A 724-2023 tillsynsbegäran.docx", "A 724-2023")</f>
        <v/>
      </c>
      <c r="Y341">
        <f>HYPERLINK("https://klasma.github.io/Logging_2305/tillsynsmail/A 724-2023 tillsynsbegäran mail.docx", "A 724-2023")</f>
        <v/>
      </c>
      <c r="Z341">
        <f>HYPERLINK("https://klasma.github.io/Logging_2305/fåglar/A 724-2023 prioriterade fågelarter.docx", "A 724-2023")</f>
        <v/>
      </c>
    </row>
    <row r="342" ht="15" customHeight="1">
      <c r="A342" t="inlineStr">
        <is>
          <t>A 52983-2022</t>
        </is>
      </c>
      <c r="B342" s="1" t="n">
        <v>44875</v>
      </c>
      <c r="C342" s="1" t="n">
        <v>46200</v>
      </c>
      <c r="D342" t="inlineStr">
        <is>
          <t>JÄMTLANDS LÄN</t>
        </is>
      </c>
      <c r="E342" t="inlineStr">
        <is>
          <t>BRÄCKE</t>
        </is>
      </c>
      <c r="G342" t="n">
        <v>7.6</v>
      </c>
      <c r="H342" t="n">
        <v>0</v>
      </c>
      <c r="I342" t="n">
        <v>0</v>
      </c>
      <c r="J342" t="n">
        <v>1</v>
      </c>
      <c r="K342" t="n">
        <v>0</v>
      </c>
      <c r="L342" t="n">
        <v>0</v>
      </c>
      <c r="M342" t="n">
        <v>0</v>
      </c>
      <c r="N342" t="n">
        <v>0</v>
      </c>
      <c r="O342" t="n">
        <v>1</v>
      </c>
      <c r="P342" t="n">
        <v>0</v>
      </c>
      <c r="Q342" t="n">
        <v>1</v>
      </c>
      <c r="R342" s="2" t="inlineStr">
        <is>
          <t>Brunklöver</t>
        </is>
      </c>
      <c r="S342">
        <f>HYPERLINK("https://klasma.github.io/Logging_2305/artfynd/A 52983-2022 artfynd.xlsx", "A 52983-2022")</f>
        <v/>
      </c>
      <c r="T342">
        <f>HYPERLINK("https://klasma.github.io/Logging_2305/kartor/A 52983-2022 karta.png", "A 52983-2022")</f>
        <v/>
      </c>
      <c r="V342">
        <f>HYPERLINK("https://klasma.github.io/Logging_2305/klagomål/A 52983-2022 FSC-klagomål.docx", "A 52983-2022")</f>
        <v/>
      </c>
      <c r="W342">
        <f>HYPERLINK("https://klasma.github.io/Logging_2305/klagomålsmail/A 52983-2022 FSC-klagomål mail.docx", "A 52983-2022")</f>
        <v/>
      </c>
      <c r="X342">
        <f>HYPERLINK("https://klasma.github.io/Logging_2305/tillsyn/A 52983-2022 tillsynsbegäran.docx", "A 52983-2022")</f>
        <v/>
      </c>
      <c r="Y342">
        <f>HYPERLINK("https://klasma.github.io/Logging_2305/tillsynsmail/A 52983-2022 tillsynsbegäran mail.docx", "A 52983-2022")</f>
        <v/>
      </c>
    </row>
    <row r="343" ht="15" customHeight="1">
      <c r="A343" t="inlineStr">
        <is>
          <t>A 14374-2024</t>
        </is>
      </c>
      <c r="B343" s="1" t="n">
        <v>45393</v>
      </c>
      <c r="C343" s="1" t="n">
        <v>46200</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24049-2023</t>
        </is>
      </c>
      <c r="B344" s="1" t="n">
        <v>45078</v>
      </c>
      <c r="C344" s="1" t="n">
        <v>46200</v>
      </c>
      <c r="D344" t="inlineStr">
        <is>
          <t>JÄMTLANDS LÄN</t>
        </is>
      </c>
      <c r="E344" t="inlineStr">
        <is>
          <t>BRÄCKE</t>
        </is>
      </c>
      <c r="G344" t="n">
        <v>15.2</v>
      </c>
      <c r="H344" t="n">
        <v>0</v>
      </c>
      <c r="I344" t="n">
        <v>0</v>
      </c>
      <c r="J344" t="n">
        <v>1</v>
      </c>
      <c r="K344" t="n">
        <v>0</v>
      </c>
      <c r="L344" t="n">
        <v>0</v>
      </c>
      <c r="M344" t="n">
        <v>0</v>
      </c>
      <c r="N344" t="n">
        <v>0</v>
      </c>
      <c r="O344" t="n">
        <v>1</v>
      </c>
      <c r="P344" t="n">
        <v>0</v>
      </c>
      <c r="Q344" t="n">
        <v>1</v>
      </c>
      <c r="R344" s="2" t="inlineStr">
        <is>
          <t>Lunglav</t>
        </is>
      </c>
      <c r="S344">
        <f>HYPERLINK("https://klasma.github.io/Logging_2305/artfynd/A 24049-2023 artfynd.xlsx", "A 24049-2023")</f>
        <v/>
      </c>
      <c r="T344">
        <f>HYPERLINK("https://klasma.github.io/Logging_2305/kartor/A 24049-2023 karta.png", "A 24049-2023")</f>
        <v/>
      </c>
      <c r="V344">
        <f>HYPERLINK("https://klasma.github.io/Logging_2305/klagomål/A 24049-2023 FSC-klagomål.docx", "A 24049-2023")</f>
        <v/>
      </c>
      <c r="W344">
        <f>HYPERLINK("https://klasma.github.io/Logging_2305/klagomålsmail/A 24049-2023 FSC-klagomål mail.docx", "A 24049-2023")</f>
        <v/>
      </c>
      <c r="X344">
        <f>HYPERLINK("https://klasma.github.io/Logging_2305/tillsyn/A 24049-2023 tillsynsbegäran.docx", "A 24049-2023")</f>
        <v/>
      </c>
      <c r="Y344">
        <f>HYPERLINK("https://klasma.github.io/Logging_2305/tillsynsmail/A 24049-2023 tillsynsbegäran mail.docx", "A 24049-2023")</f>
        <v/>
      </c>
    </row>
    <row r="345" ht="15" customHeight="1">
      <c r="A345" t="inlineStr">
        <is>
          <t>A 38456-2025</t>
        </is>
      </c>
      <c r="B345" s="1" t="n">
        <v>45883</v>
      </c>
      <c r="C345" s="1" t="n">
        <v>46200</v>
      </c>
      <c r="D345" t="inlineStr">
        <is>
          <t>JÄMTLANDS LÄN</t>
        </is>
      </c>
      <c r="E345" t="inlineStr">
        <is>
          <t>BRÄCKE</t>
        </is>
      </c>
      <c r="F345" t="inlineStr">
        <is>
          <t>SCA</t>
        </is>
      </c>
      <c r="G345" t="n">
        <v>5.3</v>
      </c>
      <c r="H345" t="n">
        <v>1</v>
      </c>
      <c r="I345" t="n">
        <v>0</v>
      </c>
      <c r="J345" t="n">
        <v>0</v>
      </c>
      <c r="K345" t="n">
        <v>0</v>
      </c>
      <c r="L345" t="n">
        <v>0</v>
      </c>
      <c r="M345" t="n">
        <v>0</v>
      </c>
      <c r="N345" t="n">
        <v>0</v>
      </c>
      <c r="O345" t="n">
        <v>0</v>
      </c>
      <c r="P345" t="n">
        <v>0</v>
      </c>
      <c r="Q345" t="n">
        <v>1</v>
      </c>
      <c r="R345" s="2" t="inlineStr">
        <is>
          <t>Revlummer</t>
        </is>
      </c>
      <c r="S345">
        <f>HYPERLINK("https://klasma.github.io/Logging_2305/artfynd/A 38456-2025 artfynd.xlsx", "A 38456-2025")</f>
        <v/>
      </c>
      <c r="T345">
        <f>HYPERLINK("https://klasma.github.io/Logging_2305/kartor/A 38456-2025 karta.png", "A 38456-2025")</f>
        <v/>
      </c>
      <c r="V345">
        <f>HYPERLINK("https://klasma.github.io/Logging_2305/klagomål/A 38456-2025 FSC-klagomål.docx", "A 38456-2025")</f>
        <v/>
      </c>
      <c r="W345">
        <f>HYPERLINK("https://klasma.github.io/Logging_2305/klagomålsmail/A 38456-2025 FSC-klagomål mail.docx", "A 38456-2025")</f>
        <v/>
      </c>
      <c r="X345">
        <f>HYPERLINK("https://klasma.github.io/Logging_2305/tillsyn/A 38456-2025 tillsynsbegäran.docx", "A 38456-2025")</f>
        <v/>
      </c>
      <c r="Y345">
        <f>HYPERLINK("https://klasma.github.io/Logging_2305/tillsynsmail/A 38456-2025 tillsynsbegäran mail.docx", "A 38456-2025")</f>
        <v/>
      </c>
    </row>
    <row r="346" ht="15" customHeight="1">
      <c r="A346" t="inlineStr">
        <is>
          <t>A 38461-2025</t>
        </is>
      </c>
      <c r="B346" s="1" t="n">
        <v>45883</v>
      </c>
      <c r="C346" s="1" t="n">
        <v>46200</v>
      </c>
      <c r="D346" t="inlineStr">
        <is>
          <t>JÄMTLANDS LÄN</t>
        </is>
      </c>
      <c r="E346" t="inlineStr">
        <is>
          <t>BRÄCKE</t>
        </is>
      </c>
      <c r="F346" t="inlineStr">
        <is>
          <t>SCA</t>
        </is>
      </c>
      <c r="G346" t="n">
        <v>5.3</v>
      </c>
      <c r="H346" t="n">
        <v>1</v>
      </c>
      <c r="I346" t="n">
        <v>0</v>
      </c>
      <c r="J346" t="n">
        <v>0</v>
      </c>
      <c r="K346" t="n">
        <v>0</v>
      </c>
      <c r="L346" t="n">
        <v>0</v>
      </c>
      <c r="M346" t="n">
        <v>0</v>
      </c>
      <c r="N346" t="n">
        <v>0</v>
      </c>
      <c r="O346" t="n">
        <v>0</v>
      </c>
      <c r="P346" t="n">
        <v>0</v>
      </c>
      <c r="Q346" t="n">
        <v>1</v>
      </c>
      <c r="R346" s="2" t="inlineStr">
        <is>
          <t>Revlummer</t>
        </is>
      </c>
      <c r="S346">
        <f>HYPERLINK("https://klasma.github.io/Logging_2305/artfynd/A 38461-2025 artfynd.xlsx", "A 38461-2025")</f>
        <v/>
      </c>
      <c r="T346">
        <f>HYPERLINK("https://klasma.github.io/Logging_2305/kartor/A 38461-2025 karta.png", "A 38461-2025")</f>
        <v/>
      </c>
      <c r="V346">
        <f>HYPERLINK("https://klasma.github.io/Logging_2305/klagomål/A 38461-2025 FSC-klagomål.docx", "A 38461-2025")</f>
        <v/>
      </c>
      <c r="W346">
        <f>HYPERLINK("https://klasma.github.io/Logging_2305/klagomålsmail/A 38461-2025 FSC-klagomål mail.docx", "A 38461-2025")</f>
        <v/>
      </c>
      <c r="X346">
        <f>HYPERLINK("https://klasma.github.io/Logging_2305/tillsyn/A 38461-2025 tillsynsbegäran.docx", "A 38461-2025")</f>
        <v/>
      </c>
      <c r="Y346">
        <f>HYPERLINK("https://klasma.github.io/Logging_2305/tillsynsmail/A 38461-2025 tillsynsbegäran mail.docx", "A 38461-2025")</f>
        <v/>
      </c>
    </row>
    <row r="347" ht="15" customHeight="1">
      <c r="A347" t="inlineStr">
        <is>
          <t>A 44855-2025</t>
        </is>
      </c>
      <c r="B347" s="1" t="n">
        <v>45918</v>
      </c>
      <c r="C347" s="1" t="n">
        <v>46200</v>
      </c>
      <c r="D347" t="inlineStr">
        <is>
          <t>JÄMTLANDS LÄN</t>
        </is>
      </c>
      <c r="E347" t="inlineStr">
        <is>
          <t>BRÄCKE</t>
        </is>
      </c>
      <c r="G347" t="n">
        <v>2</v>
      </c>
      <c r="H347" t="n">
        <v>1</v>
      </c>
      <c r="I347" t="n">
        <v>0</v>
      </c>
      <c r="J347" t="n">
        <v>0</v>
      </c>
      <c r="K347" t="n">
        <v>0</v>
      </c>
      <c r="L347" t="n">
        <v>0</v>
      </c>
      <c r="M347" t="n">
        <v>0</v>
      </c>
      <c r="N347" t="n">
        <v>0</v>
      </c>
      <c r="O347" t="n">
        <v>0</v>
      </c>
      <c r="P347" t="n">
        <v>0</v>
      </c>
      <c r="Q347" t="n">
        <v>1</v>
      </c>
      <c r="R347" s="2" t="inlineStr">
        <is>
          <t>Järpe</t>
        </is>
      </c>
      <c r="S347">
        <f>HYPERLINK("https://klasma.github.io/Logging_2305/artfynd/A 44855-2025 artfynd.xlsx", "A 44855-2025")</f>
        <v/>
      </c>
      <c r="T347">
        <f>HYPERLINK("https://klasma.github.io/Logging_2305/kartor/A 44855-2025 karta.png", "A 44855-2025")</f>
        <v/>
      </c>
      <c r="V347">
        <f>HYPERLINK("https://klasma.github.io/Logging_2305/klagomål/A 44855-2025 FSC-klagomål.docx", "A 44855-2025")</f>
        <v/>
      </c>
      <c r="W347">
        <f>HYPERLINK("https://klasma.github.io/Logging_2305/klagomålsmail/A 44855-2025 FSC-klagomål mail.docx", "A 44855-2025")</f>
        <v/>
      </c>
      <c r="X347">
        <f>HYPERLINK("https://klasma.github.io/Logging_2305/tillsyn/A 44855-2025 tillsynsbegäran.docx", "A 44855-2025")</f>
        <v/>
      </c>
      <c r="Y347">
        <f>HYPERLINK("https://klasma.github.io/Logging_2305/tillsynsmail/A 44855-2025 tillsynsbegäran mail.docx", "A 44855-2025")</f>
        <v/>
      </c>
      <c r="Z347">
        <f>HYPERLINK("https://klasma.github.io/Logging_2305/fåglar/A 44855-2025 prioriterade fågelarter.docx", "A 44855-2025")</f>
        <v/>
      </c>
    </row>
    <row r="348" ht="15" customHeight="1">
      <c r="A348" t="inlineStr">
        <is>
          <t>A 48064-2023</t>
        </is>
      </c>
      <c r="B348" s="1" t="n">
        <v>45204</v>
      </c>
      <c r="C348" s="1" t="n">
        <v>46200</v>
      </c>
      <c r="D348" t="inlineStr">
        <is>
          <t>JÄMTLANDS LÄN</t>
        </is>
      </c>
      <c r="E348" t="inlineStr">
        <is>
          <t>BRÄCKE</t>
        </is>
      </c>
      <c r="G348" t="n">
        <v>2.3</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48064-2023 artfynd.xlsx", "A 48064-2023")</f>
        <v/>
      </c>
      <c r="T348">
        <f>HYPERLINK("https://klasma.github.io/Logging_2305/kartor/A 48064-2023 karta.png", "A 48064-2023")</f>
        <v/>
      </c>
      <c r="V348">
        <f>HYPERLINK("https://klasma.github.io/Logging_2305/klagomål/A 48064-2023 FSC-klagomål.docx", "A 48064-2023")</f>
        <v/>
      </c>
      <c r="W348">
        <f>HYPERLINK("https://klasma.github.io/Logging_2305/klagomålsmail/A 48064-2023 FSC-klagomål mail.docx", "A 48064-2023")</f>
        <v/>
      </c>
      <c r="X348">
        <f>HYPERLINK("https://klasma.github.io/Logging_2305/tillsyn/A 48064-2023 tillsynsbegäran.docx", "A 48064-2023")</f>
        <v/>
      </c>
      <c r="Y348">
        <f>HYPERLINK("https://klasma.github.io/Logging_2305/tillsynsmail/A 48064-2023 tillsynsbegäran mail.docx", "A 48064-2023")</f>
        <v/>
      </c>
      <c r="Z348">
        <f>HYPERLINK("https://klasma.github.io/Logging_2305/fåglar/A 48064-2023 prioriterade fågelarter.docx", "A 48064-2023")</f>
        <v/>
      </c>
    </row>
    <row r="349" ht="15" customHeight="1">
      <c r="A349" t="inlineStr">
        <is>
          <t>A 4851-2025</t>
        </is>
      </c>
      <c r="B349" s="1" t="n">
        <v>45688</v>
      </c>
      <c r="C349" s="1" t="n">
        <v>46200</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4851-2025 artfynd.xlsx", "A 4851-2025")</f>
        <v/>
      </c>
      <c r="T349">
        <f>HYPERLINK("https://klasma.github.io/Logging_2305/kartor/A 4851-2025 karta.png", "A 4851-2025")</f>
        <v/>
      </c>
      <c r="V349">
        <f>HYPERLINK("https://klasma.github.io/Logging_2305/klagomål/A 4851-2025 FSC-klagomål.docx", "A 4851-2025")</f>
        <v/>
      </c>
      <c r="W349">
        <f>HYPERLINK("https://klasma.github.io/Logging_2305/klagomålsmail/A 4851-2025 FSC-klagomål mail.docx", "A 4851-2025")</f>
        <v/>
      </c>
      <c r="X349">
        <f>HYPERLINK("https://klasma.github.io/Logging_2305/tillsyn/A 4851-2025 tillsynsbegäran.docx", "A 4851-2025")</f>
        <v/>
      </c>
      <c r="Y349">
        <f>HYPERLINK("https://klasma.github.io/Logging_2305/tillsynsmail/A 4851-2025 tillsynsbegäran mail.docx", "A 4851-2025")</f>
        <v/>
      </c>
    </row>
    <row r="350" ht="15" customHeight="1">
      <c r="A350" t="inlineStr">
        <is>
          <t>A 16366-2023</t>
        </is>
      </c>
      <c r="B350" s="1" t="n">
        <v>45028</v>
      </c>
      <c r="C350" s="1" t="n">
        <v>46200</v>
      </c>
      <c r="D350" t="inlineStr">
        <is>
          <t>JÄMTLANDS LÄN</t>
        </is>
      </c>
      <c r="E350" t="inlineStr">
        <is>
          <t>BRÄCKE</t>
        </is>
      </c>
      <c r="G350" t="n">
        <v>9.1</v>
      </c>
      <c r="H350" t="n">
        <v>0</v>
      </c>
      <c r="I350" t="n">
        <v>0</v>
      </c>
      <c r="J350" t="n">
        <v>1</v>
      </c>
      <c r="K350" t="n">
        <v>0</v>
      </c>
      <c r="L350" t="n">
        <v>0</v>
      </c>
      <c r="M350" t="n">
        <v>0</v>
      </c>
      <c r="N350" t="n">
        <v>0</v>
      </c>
      <c r="O350" t="n">
        <v>1</v>
      </c>
      <c r="P350" t="n">
        <v>0</v>
      </c>
      <c r="Q350" t="n">
        <v>1</v>
      </c>
      <c r="R350" s="2" t="inlineStr">
        <is>
          <t>Lunglav</t>
        </is>
      </c>
      <c r="S350">
        <f>HYPERLINK("https://klasma.github.io/Logging_2305/artfynd/A 16366-2023 artfynd.xlsx", "A 16366-2023")</f>
        <v/>
      </c>
      <c r="T350">
        <f>HYPERLINK("https://klasma.github.io/Logging_2305/kartor/A 16366-2023 karta.png", "A 16366-2023")</f>
        <v/>
      </c>
      <c r="V350">
        <f>HYPERLINK("https://klasma.github.io/Logging_2305/klagomål/A 16366-2023 FSC-klagomål.docx", "A 16366-2023")</f>
        <v/>
      </c>
      <c r="W350">
        <f>HYPERLINK("https://klasma.github.io/Logging_2305/klagomålsmail/A 16366-2023 FSC-klagomål mail.docx", "A 16366-2023")</f>
        <v/>
      </c>
      <c r="X350">
        <f>HYPERLINK("https://klasma.github.io/Logging_2305/tillsyn/A 16366-2023 tillsynsbegäran.docx", "A 16366-2023")</f>
        <v/>
      </c>
      <c r="Y350">
        <f>HYPERLINK("https://klasma.github.io/Logging_2305/tillsynsmail/A 16366-2023 tillsynsbegäran mail.docx", "A 16366-2023")</f>
        <v/>
      </c>
    </row>
    <row r="351" ht="15" customHeight="1">
      <c r="A351" t="inlineStr">
        <is>
          <t>A 39272-2025</t>
        </is>
      </c>
      <c r="B351" s="1" t="n">
        <v>45889</v>
      </c>
      <c r="C351" s="1" t="n">
        <v>46200</v>
      </c>
      <c r="D351" t="inlineStr">
        <is>
          <t>JÄMTLANDS LÄN</t>
        </is>
      </c>
      <c r="E351" t="inlineStr">
        <is>
          <t>BRÄCKE</t>
        </is>
      </c>
      <c r="F351" t="inlineStr">
        <is>
          <t>SCA</t>
        </is>
      </c>
      <c r="G351" t="n">
        <v>13.1</v>
      </c>
      <c r="H351" t="n">
        <v>0</v>
      </c>
      <c r="I351" t="n">
        <v>1</v>
      </c>
      <c r="J351" t="n">
        <v>0</v>
      </c>
      <c r="K351" t="n">
        <v>0</v>
      </c>
      <c r="L351" t="n">
        <v>0</v>
      </c>
      <c r="M351" t="n">
        <v>0</v>
      </c>
      <c r="N351" t="n">
        <v>0</v>
      </c>
      <c r="O351" t="n">
        <v>0</v>
      </c>
      <c r="P351" t="n">
        <v>0</v>
      </c>
      <c r="Q351" t="n">
        <v>1</v>
      </c>
      <c r="R351" s="2" t="inlineStr">
        <is>
          <t>Skinnlav</t>
        </is>
      </c>
      <c r="S351">
        <f>HYPERLINK("https://klasma.github.io/Logging_2305/artfynd/A 39272-2025 artfynd.xlsx", "A 39272-2025")</f>
        <v/>
      </c>
      <c r="T351">
        <f>HYPERLINK("https://klasma.github.io/Logging_2305/kartor/A 39272-2025 karta.png", "A 39272-2025")</f>
        <v/>
      </c>
      <c r="V351">
        <f>HYPERLINK("https://klasma.github.io/Logging_2305/klagomål/A 39272-2025 FSC-klagomål.docx", "A 39272-2025")</f>
        <v/>
      </c>
      <c r="W351">
        <f>HYPERLINK("https://klasma.github.io/Logging_2305/klagomålsmail/A 39272-2025 FSC-klagomål mail.docx", "A 39272-2025")</f>
        <v/>
      </c>
      <c r="X351">
        <f>HYPERLINK("https://klasma.github.io/Logging_2305/tillsyn/A 39272-2025 tillsynsbegäran.docx", "A 39272-2025")</f>
        <v/>
      </c>
      <c r="Y351">
        <f>HYPERLINK("https://klasma.github.io/Logging_2305/tillsynsmail/A 39272-2025 tillsynsbegäran mail.docx", "A 39272-2025")</f>
        <v/>
      </c>
    </row>
    <row r="352" ht="15" customHeight="1">
      <c r="A352" t="inlineStr">
        <is>
          <t>A 50256-2025</t>
        </is>
      </c>
      <c r="B352" s="1" t="n">
        <v>45944</v>
      </c>
      <c r="C352" s="1" t="n">
        <v>46200</v>
      </c>
      <c r="D352" t="inlineStr">
        <is>
          <t>JÄMTLANDS LÄN</t>
        </is>
      </c>
      <c r="E352" t="inlineStr">
        <is>
          <t>BRÄCKE</t>
        </is>
      </c>
      <c r="F352" t="inlineStr">
        <is>
          <t>SCA</t>
        </is>
      </c>
      <c r="G352" t="n">
        <v>1.8</v>
      </c>
      <c r="H352" t="n">
        <v>0</v>
      </c>
      <c r="I352" t="n">
        <v>0</v>
      </c>
      <c r="J352" t="n">
        <v>1</v>
      </c>
      <c r="K352" t="n">
        <v>0</v>
      </c>
      <c r="L352" t="n">
        <v>0</v>
      </c>
      <c r="M352" t="n">
        <v>0</v>
      </c>
      <c r="N352" t="n">
        <v>0</v>
      </c>
      <c r="O352" t="n">
        <v>1</v>
      </c>
      <c r="P352" t="n">
        <v>0</v>
      </c>
      <c r="Q352" t="n">
        <v>1</v>
      </c>
      <c r="R352" s="2" t="inlineStr">
        <is>
          <t>Berggräsfjäril</t>
        </is>
      </c>
      <c r="S352">
        <f>HYPERLINK("https://klasma.github.io/Logging_2305/artfynd/A 50256-2025 artfynd.xlsx", "A 50256-2025")</f>
        <v/>
      </c>
      <c r="T352">
        <f>HYPERLINK("https://klasma.github.io/Logging_2305/kartor/A 50256-2025 karta.png", "A 50256-2025")</f>
        <v/>
      </c>
      <c r="V352">
        <f>HYPERLINK("https://klasma.github.io/Logging_2305/klagomål/A 50256-2025 FSC-klagomål.docx", "A 50256-2025")</f>
        <v/>
      </c>
      <c r="W352">
        <f>HYPERLINK("https://klasma.github.io/Logging_2305/klagomålsmail/A 50256-2025 FSC-klagomål mail.docx", "A 50256-2025")</f>
        <v/>
      </c>
      <c r="X352">
        <f>HYPERLINK("https://klasma.github.io/Logging_2305/tillsyn/A 50256-2025 tillsynsbegäran.docx", "A 50256-2025")</f>
        <v/>
      </c>
      <c r="Y352">
        <f>HYPERLINK("https://klasma.github.io/Logging_2305/tillsynsmail/A 50256-2025 tillsynsbegäran mail.docx", "A 50256-2025")</f>
        <v/>
      </c>
    </row>
    <row r="353" ht="15" customHeight="1">
      <c r="A353" t="inlineStr">
        <is>
          <t>A 40835-2025</t>
        </is>
      </c>
      <c r="B353" s="1" t="n">
        <v>45897</v>
      </c>
      <c r="C353" s="1" t="n">
        <v>46200</v>
      </c>
      <c r="D353" t="inlineStr">
        <is>
          <t>JÄMTLANDS LÄN</t>
        </is>
      </c>
      <c r="E353" t="inlineStr">
        <is>
          <t>BRÄCKE</t>
        </is>
      </c>
      <c r="F353" t="inlineStr">
        <is>
          <t>SCA</t>
        </is>
      </c>
      <c r="G353" t="n">
        <v>1.3</v>
      </c>
      <c r="H353" t="n">
        <v>0</v>
      </c>
      <c r="I353" t="n">
        <v>0</v>
      </c>
      <c r="J353" t="n">
        <v>1</v>
      </c>
      <c r="K353" t="n">
        <v>0</v>
      </c>
      <c r="L353" t="n">
        <v>0</v>
      </c>
      <c r="M353" t="n">
        <v>0</v>
      </c>
      <c r="N353" t="n">
        <v>0</v>
      </c>
      <c r="O353" t="n">
        <v>1</v>
      </c>
      <c r="P353" t="n">
        <v>0</v>
      </c>
      <c r="Q353" t="n">
        <v>1</v>
      </c>
      <c r="R353" s="2" t="inlineStr">
        <is>
          <t>Kolflarnlav</t>
        </is>
      </c>
      <c r="S353">
        <f>HYPERLINK("https://klasma.github.io/Logging_2305/artfynd/A 40835-2025 artfynd.xlsx", "A 40835-2025")</f>
        <v/>
      </c>
      <c r="T353">
        <f>HYPERLINK("https://klasma.github.io/Logging_2305/kartor/A 40835-2025 karta.png", "A 40835-2025")</f>
        <v/>
      </c>
      <c r="V353">
        <f>HYPERLINK("https://klasma.github.io/Logging_2305/klagomål/A 40835-2025 FSC-klagomål.docx", "A 40835-2025")</f>
        <v/>
      </c>
      <c r="W353">
        <f>HYPERLINK("https://klasma.github.io/Logging_2305/klagomålsmail/A 40835-2025 FSC-klagomål mail.docx", "A 40835-2025")</f>
        <v/>
      </c>
      <c r="X353">
        <f>HYPERLINK("https://klasma.github.io/Logging_2305/tillsyn/A 40835-2025 tillsynsbegäran.docx", "A 40835-2025")</f>
        <v/>
      </c>
      <c r="Y353">
        <f>HYPERLINK("https://klasma.github.io/Logging_2305/tillsynsmail/A 40835-2025 tillsynsbegäran mail.docx", "A 40835-2025")</f>
        <v/>
      </c>
    </row>
    <row r="354" ht="15" customHeight="1">
      <c r="A354" t="inlineStr">
        <is>
          <t>A 40842-2025</t>
        </is>
      </c>
      <c r="B354" s="1" t="n">
        <v>45897</v>
      </c>
      <c r="C354" s="1" t="n">
        <v>46200</v>
      </c>
      <c r="D354" t="inlineStr">
        <is>
          <t>JÄMTLANDS LÄN</t>
        </is>
      </c>
      <c r="E354" t="inlineStr">
        <is>
          <t>BRÄCKE</t>
        </is>
      </c>
      <c r="F354" t="inlineStr">
        <is>
          <t>SCA</t>
        </is>
      </c>
      <c r="G354" t="n">
        <v>0.5</v>
      </c>
      <c r="H354" t="n">
        <v>0</v>
      </c>
      <c r="I354" t="n">
        <v>0</v>
      </c>
      <c r="J354" t="n">
        <v>1</v>
      </c>
      <c r="K354" t="n">
        <v>0</v>
      </c>
      <c r="L354" t="n">
        <v>0</v>
      </c>
      <c r="M354" t="n">
        <v>0</v>
      </c>
      <c r="N354" t="n">
        <v>0</v>
      </c>
      <c r="O354" t="n">
        <v>1</v>
      </c>
      <c r="P354" t="n">
        <v>0</v>
      </c>
      <c r="Q354" t="n">
        <v>1</v>
      </c>
      <c r="R354" s="2" t="inlineStr">
        <is>
          <t>Lunglav</t>
        </is>
      </c>
      <c r="S354">
        <f>HYPERLINK("https://klasma.github.io/Logging_2305/artfynd/A 40842-2025 artfynd.xlsx", "A 40842-2025")</f>
        <v/>
      </c>
      <c r="T354">
        <f>HYPERLINK("https://klasma.github.io/Logging_2305/kartor/A 40842-2025 karta.png", "A 40842-2025")</f>
        <v/>
      </c>
      <c r="V354">
        <f>HYPERLINK("https://klasma.github.io/Logging_2305/klagomål/A 40842-2025 FSC-klagomål.docx", "A 40842-2025")</f>
        <v/>
      </c>
      <c r="W354">
        <f>HYPERLINK("https://klasma.github.io/Logging_2305/klagomålsmail/A 40842-2025 FSC-klagomål mail.docx", "A 40842-2025")</f>
        <v/>
      </c>
      <c r="X354">
        <f>HYPERLINK("https://klasma.github.io/Logging_2305/tillsyn/A 40842-2025 tillsynsbegäran.docx", "A 40842-2025")</f>
        <v/>
      </c>
      <c r="Y354">
        <f>HYPERLINK("https://klasma.github.io/Logging_2305/tillsynsmail/A 40842-2025 tillsynsbegäran mail.docx", "A 40842-2025")</f>
        <v/>
      </c>
    </row>
    <row r="355" ht="15" customHeight="1">
      <c r="A355" t="inlineStr">
        <is>
          <t>A 40792-2025</t>
        </is>
      </c>
      <c r="B355" s="1" t="n">
        <v>45897</v>
      </c>
      <c r="C355" s="1" t="n">
        <v>46200</v>
      </c>
      <c r="D355" t="inlineStr">
        <is>
          <t>JÄMTLANDS LÄN</t>
        </is>
      </c>
      <c r="E355" t="inlineStr">
        <is>
          <t>BRÄCKE</t>
        </is>
      </c>
      <c r="F355" t="inlineStr">
        <is>
          <t>SCA</t>
        </is>
      </c>
      <c r="G355" t="n">
        <v>1.7</v>
      </c>
      <c r="H355" t="n">
        <v>0</v>
      </c>
      <c r="I355" t="n">
        <v>0</v>
      </c>
      <c r="J355" t="n">
        <v>1</v>
      </c>
      <c r="K355" t="n">
        <v>0</v>
      </c>
      <c r="L355" t="n">
        <v>0</v>
      </c>
      <c r="M355" t="n">
        <v>0</v>
      </c>
      <c r="N355" t="n">
        <v>0</v>
      </c>
      <c r="O355" t="n">
        <v>1</v>
      </c>
      <c r="P355" t="n">
        <v>0</v>
      </c>
      <c r="Q355" t="n">
        <v>1</v>
      </c>
      <c r="R355" s="2" t="inlineStr">
        <is>
          <t>Lunglav</t>
        </is>
      </c>
      <c r="S355">
        <f>HYPERLINK("https://klasma.github.io/Logging_2305/artfynd/A 40792-2025 artfynd.xlsx", "A 40792-2025")</f>
        <v/>
      </c>
      <c r="T355">
        <f>HYPERLINK("https://klasma.github.io/Logging_2305/kartor/A 40792-2025 karta.png", "A 40792-2025")</f>
        <v/>
      </c>
      <c r="V355">
        <f>HYPERLINK("https://klasma.github.io/Logging_2305/klagomål/A 40792-2025 FSC-klagomål.docx", "A 40792-2025")</f>
        <v/>
      </c>
      <c r="W355">
        <f>HYPERLINK("https://klasma.github.io/Logging_2305/klagomålsmail/A 40792-2025 FSC-klagomål mail.docx", "A 40792-2025")</f>
        <v/>
      </c>
      <c r="X355">
        <f>HYPERLINK("https://klasma.github.io/Logging_2305/tillsyn/A 40792-2025 tillsynsbegäran.docx", "A 40792-2025")</f>
        <v/>
      </c>
      <c r="Y355">
        <f>HYPERLINK("https://klasma.github.io/Logging_2305/tillsynsmail/A 40792-2025 tillsynsbegäran mail.docx", "A 40792-2025")</f>
        <v/>
      </c>
    </row>
    <row r="356" ht="15" customHeight="1">
      <c r="A356" t="inlineStr">
        <is>
          <t>A 40914-2025</t>
        </is>
      </c>
      <c r="B356" s="1" t="n">
        <v>45897</v>
      </c>
      <c r="C356" s="1" t="n">
        <v>46200</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40914-2025 artfynd.xlsx", "A 40914-2025")</f>
        <v/>
      </c>
      <c r="T356">
        <f>HYPERLINK("https://klasma.github.io/Logging_2305/kartor/A 40914-2025 karta.png", "A 40914-2025")</f>
        <v/>
      </c>
      <c r="V356">
        <f>HYPERLINK("https://klasma.github.io/Logging_2305/klagomål/A 40914-2025 FSC-klagomål.docx", "A 40914-2025")</f>
        <v/>
      </c>
      <c r="W356">
        <f>HYPERLINK("https://klasma.github.io/Logging_2305/klagomålsmail/A 40914-2025 FSC-klagomål mail.docx", "A 40914-2025")</f>
        <v/>
      </c>
      <c r="X356">
        <f>HYPERLINK("https://klasma.github.io/Logging_2305/tillsyn/A 40914-2025 tillsynsbegäran.docx", "A 40914-2025")</f>
        <v/>
      </c>
      <c r="Y356">
        <f>HYPERLINK("https://klasma.github.io/Logging_2305/tillsynsmail/A 40914-2025 tillsynsbegäran mail.docx", "A 40914-2025")</f>
        <v/>
      </c>
    </row>
    <row r="357" ht="15" customHeight="1">
      <c r="A357" t="inlineStr">
        <is>
          <t>A 41187-2025</t>
        </is>
      </c>
      <c r="B357" s="1" t="n">
        <v>45898</v>
      </c>
      <c r="C357" s="1" t="n">
        <v>46200</v>
      </c>
      <c r="D357" t="inlineStr">
        <is>
          <t>JÄMTLANDS LÄN</t>
        </is>
      </c>
      <c r="E357" t="inlineStr">
        <is>
          <t>BRÄCKE</t>
        </is>
      </c>
      <c r="F357" t="inlineStr">
        <is>
          <t>Övriga Aktiebolag</t>
        </is>
      </c>
      <c r="G357" t="n">
        <v>1.9</v>
      </c>
      <c r="H357" t="n">
        <v>0</v>
      </c>
      <c r="I357" t="n">
        <v>0</v>
      </c>
      <c r="J357" t="n">
        <v>1</v>
      </c>
      <c r="K357" t="n">
        <v>0</v>
      </c>
      <c r="L357" t="n">
        <v>0</v>
      </c>
      <c r="M357" t="n">
        <v>0</v>
      </c>
      <c r="N357" t="n">
        <v>0</v>
      </c>
      <c r="O357" t="n">
        <v>1</v>
      </c>
      <c r="P357" t="n">
        <v>0</v>
      </c>
      <c r="Q357" t="n">
        <v>1</v>
      </c>
      <c r="R357" s="2" t="inlineStr">
        <is>
          <t>Lunglav</t>
        </is>
      </c>
      <c r="S357">
        <f>HYPERLINK("https://klasma.github.io/Logging_2305/artfynd/A 41187-2025 artfynd.xlsx", "A 41187-2025")</f>
        <v/>
      </c>
      <c r="T357">
        <f>HYPERLINK("https://klasma.github.io/Logging_2305/kartor/A 41187-2025 karta.png", "A 41187-2025")</f>
        <v/>
      </c>
      <c r="V357">
        <f>HYPERLINK("https://klasma.github.io/Logging_2305/klagomål/A 41187-2025 FSC-klagomål.docx", "A 41187-2025")</f>
        <v/>
      </c>
      <c r="W357">
        <f>HYPERLINK("https://klasma.github.io/Logging_2305/klagomålsmail/A 41187-2025 FSC-klagomål mail.docx", "A 41187-2025")</f>
        <v/>
      </c>
      <c r="X357">
        <f>HYPERLINK("https://klasma.github.io/Logging_2305/tillsyn/A 41187-2025 tillsynsbegäran.docx", "A 41187-2025")</f>
        <v/>
      </c>
      <c r="Y357">
        <f>HYPERLINK("https://klasma.github.io/Logging_2305/tillsynsmail/A 41187-2025 tillsynsbegäran mail.docx", "A 41187-2025")</f>
        <v/>
      </c>
    </row>
    <row r="358" ht="15" customHeight="1">
      <c r="A358" t="inlineStr">
        <is>
          <t>A 41059-2025</t>
        </is>
      </c>
      <c r="B358" s="1" t="n">
        <v>45898</v>
      </c>
      <c r="C358" s="1" t="n">
        <v>46200</v>
      </c>
      <c r="D358" t="inlineStr">
        <is>
          <t>JÄMTLANDS LÄN</t>
        </is>
      </c>
      <c r="E358" t="inlineStr">
        <is>
          <t>BRÄCKE</t>
        </is>
      </c>
      <c r="F358" t="inlineStr">
        <is>
          <t>SCA</t>
        </is>
      </c>
      <c r="G358" t="n">
        <v>8.9</v>
      </c>
      <c r="H358" t="n">
        <v>0</v>
      </c>
      <c r="I358" t="n">
        <v>0</v>
      </c>
      <c r="J358" t="n">
        <v>1</v>
      </c>
      <c r="K358" t="n">
        <v>0</v>
      </c>
      <c r="L358" t="n">
        <v>0</v>
      </c>
      <c r="M358" t="n">
        <v>0</v>
      </c>
      <c r="N358" t="n">
        <v>0</v>
      </c>
      <c r="O358" t="n">
        <v>1</v>
      </c>
      <c r="P358" t="n">
        <v>0</v>
      </c>
      <c r="Q358" t="n">
        <v>1</v>
      </c>
      <c r="R358" s="2" t="inlineStr">
        <is>
          <t>Lunglav</t>
        </is>
      </c>
      <c r="S358">
        <f>HYPERLINK("https://klasma.github.io/Logging_2305/artfynd/A 41059-2025 artfynd.xlsx", "A 41059-2025")</f>
        <v/>
      </c>
      <c r="T358">
        <f>HYPERLINK("https://klasma.github.io/Logging_2305/kartor/A 41059-2025 karta.png", "A 41059-2025")</f>
        <v/>
      </c>
      <c r="V358">
        <f>HYPERLINK("https://klasma.github.io/Logging_2305/klagomål/A 41059-2025 FSC-klagomål.docx", "A 41059-2025")</f>
        <v/>
      </c>
      <c r="W358">
        <f>HYPERLINK("https://klasma.github.io/Logging_2305/klagomålsmail/A 41059-2025 FSC-klagomål mail.docx", "A 41059-2025")</f>
        <v/>
      </c>
      <c r="X358">
        <f>HYPERLINK("https://klasma.github.io/Logging_2305/tillsyn/A 41059-2025 tillsynsbegäran.docx", "A 41059-2025")</f>
        <v/>
      </c>
      <c r="Y358">
        <f>HYPERLINK("https://klasma.github.io/Logging_2305/tillsynsmail/A 41059-2025 tillsynsbegäran mail.docx", "A 41059-2025")</f>
        <v/>
      </c>
    </row>
    <row r="359" ht="15" customHeight="1">
      <c r="A359" t="inlineStr">
        <is>
          <t>A 24552-2022</t>
        </is>
      </c>
      <c r="B359" s="1" t="n">
        <v>44726</v>
      </c>
      <c r="C359" s="1" t="n">
        <v>46200</v>
      </c>
      <c r="D359" t="inlineStr">
        <is>
          <t>JÄMTLANDS LÄN</t>
        </is>
      </c>
      <c r="E359" t="inlineStr">
        <is>
          <t>BRÄCKE</t>
        </is>
      </c>
      <c r="G359" t="n">
        <v>2.6</v>
      </c>
      <c r="H359" t="n">
        <v>0</v>
      </c>
      <c r="I359" t="n">
        <v>0</v>
      </c>
      <c r="J359" t="n">
        <v>0</v>
      </c>
      <c r="K359" t="n">
        <v>1</v>
      </c>
      <c r="L359" t="n">
        <v>0</v>
      </c>
      <c r="M359" t="n">
        <v>0</v>
      </c>
      <c r="N359" t="n">
        <v>0</v>
      </c>
      <c r="O359" t="n">
        <v>1</v>
      </c>
      <c r="P359" t="n">
        <v>1</v>
      </c>
      <c r="Q359" t="n">
        <v>1</v>
      </c>
      <c r="R359" s="2" t="inlineStr">
        <is>
          <t>Bredbrämad bastardsvärmare</t>
        </is>
      </c>
      <c r="S359">
        <f>HYPERLINK("https://klasma.github.io/Logging_2305/artfynd/A 24552-2022 artfynd.xlsx", "A 24552-2022")</f>
        <v/>
      </c>
      <c r="T359">
        <f>HYPERLINK("https://klasma.github.io/Logging_2305/kartor/A 24552-2022 karta.png", "A 24552-2022")</f>
        <v/>
      </c>
      <c r="V359">
        <f>HYPERLINK("https://klasma.github.io/Logging_2305/klagomål/A 24552-2022 FSC-klagomål.docx", "A 24552-2022")</f>
        <v/>
      </c>
      <c r="W359">
        <f>HYPERLINK("https://klasma.github.io/Logging_2305/klagomålsmail/A 24552-2022 FSC-klagomål mail.docx", "A 24552-2022")</f>
        <v/>
      </c>
      <c r="X359">
        <f>HYPERLINK("https://klasma.github.io/Logging_2305/tillsyn/A 24552-2022 tillsynsbegäran.docx", "A 24552-2022")</f>
        <v/>
      </c>
      <c r="Y359">
        <f>HYPERLINK("https://klasma.github.io/Logging_2305/tillsynsmail/A 24552-2022 tillsynsbegäran mail.docx", "A 24552-2022")</f>
        <v/>
      </c>
    </row>
    <row r="360" ht="15" customHeight="1">
      <c r="A360" t="inlineStr">
        <is>
          <t>A 15462-2025</t>
        </is>
      </c>
      <c r="B360" s="1" t="n">
        <v>45747</v>
      </c>
      <c r="C360" s="1" t="n">
        <v>46200</v>
      </c>
      <c r="D360" t="inlineStr">
        <is>
          <t>JÄMTLANDS LÄN</t>
        </is>
      </c>
      <c r="E360" t="inlineStr">
        <is>
          <t>BRÄCKE</t>
        </is>
      </c>
      <c r="F360" t="inlineStr">
        <is>
          <t>SCA</t>
        </is>
      </c>
      <c r="G360" t="n">
        <v>1.6</v>
      </c>
      <c r="H360" t="n">
        <v>0</v>
      </c>
      <c r="I360" t="n">
        <v>0</v>
      </c>
      <c r="J360" t="n">
        <v>0</v>
      </c>
      <c r="K360" t="n">
        <v>1</v>
      </c>
      <c r="L360" t="n">
        <v>0</v>
      </c>
      <c r="M360" t="n">
        <v>0</v>
      </c>
      <c r="N360" t="n">
        <v>0</v>
      </c>
      <c r="O360" t="n">
        <v>1</v>
      </c>
      <c r="P360" t="n">
        <v>1</v>
      </c>
      <c r="Q360" t="n">
        <v>1</v>
      </c>
      <c r="R360" s="2" t="inlineStr">
        <is>
          <t>Smalskaftslav</t>
        </is>
      </c>
      <c r="S360">
        <f>HYPERLINK("https://klasma.github.io/Logging_2305/artfynd/A 15462-2025 artfynd.xlsx", "A 15462-2025")</f>
        <v/>
      </c>
      <c r="T360">
        <f>HYPERLINK("https://klasma.github.io/Logging_2305/kartor/A 15462-2025 karta.png", "A 15462-2025")</f>
        <v/>
      </c>
      <c r="V360">
        <f>HYPERLINK("https://klasma.github.io/Logging_2305/klagomål/A 15462-2025 FSC-klagomål.docx", "A 15462-2025")</f>
        <v/>
      </c>
      <c r="W360">
        <f>HYPERLINK("https://klasma.github.io/Logging_2305/klagomålsmail/A 15462-2025 FSC-klagomål mail.docx", "A 15462-2025")</f>
        <v/>
      </c>
      <c r="X360">
        <f>HYPERLINK("https://klasma.github.io/Logging_2305/tillsyn/A 15462-2025 tillsynsbegäran.docx", "A 15462-2025")</f>
        <v/>
      </c>
      <c r="Y360">
        <f>HYPERLINK("https://klasma.github.io/Logging_2305/tillsynsmail/A 15462-2025 tillsynsbegäran mail.docx", "A 15462-2025")</f>
        <v/>
      </c>
    </row>
    <row r="361" ht="15" customHeight="1">
      <c r="A361" t="inlineStr">
        <is>
          <t>A 27460-2024</t>
        </is>
      </c>
      <c r="B361" s="1" t="n">
        <v>45474</v>
      </c>
      <c r="C361" s="1" t="n">
        <v>46200</v>
      </c>
      <c r="D361" t="inlineStr">
        <is>
          <t>JÄMTLANDS LÄN</t>
        </is>
      </c>
      <c r="E361" t="inlineStr">
        <is>
          <t>BRÄCKE</t>
        </is>
      </c>
      <c r="G361" t="n">
        <v>11.5</v>
      </c>
      <c r="H361" t="n">
        <v>1</v>
      </c>
      <c r="I361" t="n">
        <v>0</v>
      </c>
      <c r="J361" t="n">
        <v>0</v>
      </c>
      <c r="K361" t="n">
        <v>0</v>
      </c>
      <c r="L361" t="n">
        <v>0</v>
      </c>
      <c r="M361" t="n">
        <v>0</v>
      </c>
      <c r="N361" t="n">
        <v>0</v>
      </c>
      <c r="O361" t="n">
        <v>0</v>
      </c>
      <c r="P361" t="n">
        <v>0</v>
      </c>
      <c r="Q361" t="n">
        <v>1</v>
      </c>
      <c r="R361" s="2" t="inlineStr">
        <is>
          <t>Revlummer</t>
        </is>
      </c>
      <c r="S361">
        <f>HYPERLINK("https://klasma.github.io/Logging_2305/artfynd/A 27460-2024 artfynd.xlsx", "A 27460-2024")</f>
        <v/>
      </c>
      <c r="T361">
        <f>HYPERLINK("https://klasma.github.io/Logging_2305/kartor/A 27460-2024 karta.png", "A 27460-2024")</f>
        <v/>
      </c>
      <c r="V361">
        <f>HYPERLINK("https://klasma.github.io/Logging_2305/klagomål/A 27460-2024 FSC-klagomål.docx", "A 27460-2024")</f>
        <v/>
      </c>
      <c r="W361">
        <f>HYPERLINK("https://klasma.github.io/Logging_2305/klagomålsmail/A 27460-2024 FSC-klagomål mail.docx", "A 27460-2024")</f>
        <v/>
      </c>
      <c r="X361">
        <f>HYPERLINK("https://klasma.github.io/Logging_2305/tillsyn/A 27460-2024 tillsynsbegäran.docx", "A 27460-2024")</f>
        <v/>
      </c>
      <c r="Y361">
        <f>HYPERLINK("https://klasma.github.io/Logging_2305/tillsynsmail/A 27460-2024 tillsynsbegäran mail.docx", "A 27460-2024")</f>
        <v/>
      </c>
    </row>
    <row r="362" ht="15" customHeight="1">
      <c r="A362" t="inlineStr">
        <is>
          <t>A 15189-2025</t>
        </is>
      </c>
      <c r="B362" s="1" t="n">
        <v>45744</v>
      </c>
      <c r="C362" s="1" t="n">
        <v>46200</v>
      </c>
      <c r="D362" t="inlineStr">
        <is>
          <t>JÄMTLANDS LÄN</t>
        </is>
      </c>
      <c r="E362" t="inlineStr">
        <is>
          <t>BRÄCKE</t>
        </is>
      </c>
      <c r="F362" t="inlineStr">
        <is>
          <t>SCA</t>
        </is>
      </c>
      <c r="G362" t="n">
        <v>4.6</v>
      </c>
      <c r="H362" t="n">
        <v>1</v>
      </c>
      <c r="I362" t="n">
        <v>0</v>
      </c>
      <c r="J362" t="n">
        <v>1</v>
      </c>
      <c r="K362" t="n">
        <v>0</v>
      </c>
      <c r="L362" t="n">
        <v>0</v>
      </c>
      <c r="M362" t="n">
        <v>0</v>
      </c>
      <c r="N362" t="n">
        <v>0</v>
      </c>
      <c r="O362" t="n">
        <v>1</v>
      </c>
      <c r="P362" t="n">
        <v>0</v>
      </c>
      <c r="Q362" t="n">
        <v>1</v>
      </c>
      <c r="R362" s="2" t="inlineStr">
        <is>
          <t>Tretåig hackspett</t>
        </is>
      </c>
      <c r="S362">
        <f>HYPERLINK("https://klasma.github.io/Logging_2305/artfynd/A 15189-2025 artfynd.xlsx", "A 15189-2025")</f>
        <v/>
      </c>
      <c r="T362">
        <f>HYPERLINK("https://klasma.github.io/Logging_2305/kartor/A 15189-2025 karta.png", "A 15189-2025")</f>
        <v/>
      </c>
      <c r="V362">
        <f>HYPERLINK("https://klasma.github.io/Logging_2305/klagomål/A 15189-2025 FSC-klagomål.docx", "A 15189-2025")</f>
        <v/>
      </c>
      <c r="W362">
        <f>HYPERLINK("https://klasma.github.io/Logging_2305/klagomålsmail/A 15189-2025 FSC-klagomål mail.docx", "A 15189-2025")</f>
        <v/>
      </c>
      <c r="X362">
        <f>HYPERLINK("https://klasma.github.io/Logging_2305/tillsyn/A 15189-2025 tillsynsbegäran.docx", "A 15189-2025")</f>
        <v/>
      </c>
      <c r="Y362">
        <f>HYPERLINK("https://klasma.github.io/Logging_2305/tillsynsmail/A 15189-2025 tillsynsbegäran mail.docx", "A 15189-2025")</f>
        <v/>
      </c>
      <c r="Z362">
        <f>HYPERLINK("https://klasma.github.io/Logging_2305/fåglar/A 15189-2025 prioriterade fågelarter.docx", "A 15189-2025")</f>
        <v/>
      </c>
    </row>
    <row r="363" ht="15" customHeight="1">
      <c r="A363" t="inlineStr">
        <is>
          <t>A 14628-2022</t>
        </is>
      </c>
      <c r="B363" s="1" t="n">
        <v>44655</v>
      </c>
      <c r="C363" s="1" t="n">
        <v>46200</v>
      </c>
      <c r="D363" t="inlineStr">
        <is>
          <t>JÄMTLANDS LÄN</t>
        </is>
      </c>
      <c r="E363" t="inlineStr">
        <is>
          <t>BRÄCKE</t>
        </is>
      </c>
      <c r="G363" t="n">
        <v>4.7</v>
      </c>
      <c r="H363" t="n">
        <v>0</v>
      </c>
      <c r="I363" t="n">
        <v>0</v>
      </c>
      <c r="J363" t="n">
        <v>1</v>
      </c>
      <c r="K363" t="n">
        <v>0</v>
      </c>
      <c r="L363" t="n">
        <v>0</v>
      </c>
      <c r="M363" t="n">
        <v>0</v>
      </c>
      <c r="N363" t="n">
        <v>0</v>
      </c>
      <c r="O363" t="n">
        <v>1</v>
      </c>
      <c r="P363" t="n">
        <v>0</v>
      </c>
      <c r="Q363" t="n">
        <v>1</v>
      </c>
      <c r="R363" s="2" t="inlineStr">
        <is>
          <t>Dropptaggsvamp</t>
        </is>
      </c>
      <c r="S363">
        <f>HYPERLINK("https://klasma.github.io/Logging_2305/artfynd/A 14628-2022 artfynd.xlsx", "A 14628-2022")</f>
        <v/>
      </c>
      <c r="T363">
        <f>HYPERLINK("https://klasma.github.io/Logging_2305/kartor/A 14628-2022 karta.png", "A 14628-2022")</f>
        <v/>
      </c>
      <c r="V363">
        <f>HYPERLINK("https://klasma.github.io/Logging_2305/klagomål/A 14628-2022 FSC-klagomål.docx", "A 14628-2022")</f>
        <v/>
      </c>
      <c r="W363">
        <f>HYPERLINK("https://klasma.github.io/Logging_2305/klagomålsmail/A 14628-2022 FSC-klagomål mail.docx", "A 14628-2022")</f>
        <v/>
      </c>
      <c r="X363">
        <f>HYPERLINK("https://klasma.github.io/Logging_2305/tillsyn/A 14628-2022 tillsynsbegäran.docx", "A 14628-2022")</f>
        <v/>
      </c>
      <c r="Y363">
        <f>HYPERLINK("https://klasma.github.io/Logging_2305/tillsynsmail/A 14628-2022 tillsynsbegäran mail.docx", "A 14628-2022")</f>
        <v/>
      </c>
    </row>
    <row r="364" ht="15" customHeight="1">
      <c r="A364" t="inlineStr">
        <is>
          <t>A 46093-2025</t>
        </is>
      </c>
      <c r="B364" s="1" t="n">
        <v>45924</v>
      </c>
      <c r="C364" s="1" t="n">
        <v>46200</v>
      </c>
      <c r="D364" t="inlineStr">
        <is>
          <t>JÄMTLANDS LÄN</t>
        </is>
      </c>
      <c r="E364" t="inlineStr">
        <is>
          <t>BRÄCKE</t>
        </is>
      </c>
      <c r="F364" t="inlineStr">
        <is>
          <t>SCA</t>
        </is>
      </c>
      <c r="G364" t="n">
        <v>2.4</v>
      </c>
      <c r="H364" t="n">
        <v>0</v>
      </c>
      <c r="I364" t="n">
        <v>1</v>
      </c>
      <c r="J364" t="n">
        <v>0</v>
      </c>
      <c r="K364" t="n">
        <v>0</v>
      </c>
      <c r="L364" t="n">
        <v>0</v>
      </c>
      <c r="M364" t="n">
        <v>0</v>
      </c>
      <c r="N364" t="n">
        <v>0</v>
      </c>
      <c r="O364" t="n">
        <v>0</v>
      </c>
      <c r="P364" t="n">
        <v>0</v>
      </c>
      <c r="Q364" t="n">
        <v>1</v>
      </c>
      <c r="R364" s="2" t="inlineStr">
        <is>
          <t>Kransrams</t>
        </is>
      </c>
      <c r="S364">
        <f>HYPERLINK("https://klasma.github.io/Logging_2305/artfynd/A 46093-2025 artfynd.xlsx", "A 46093-2025")</f>
        <v/>
      </c>
      <c r="T364">
        <f>HYPERLINK("https://klasma.github.io/Logging_2305/kartor/A 46093-2025 karta.png", "A 46093-2025")</f>
        <v/>
      </c>
      <c r="V364">
        <f>HYPERLINK("https://klasma.github.io/Logging_2305/klagomål/A 46093-2025 FSC-klagomål.docx", "A 46093-2025")</f>
        <v/>
      </c>
      <c r="W364">
        <f>HYPERLINK("https://klasma.github.io/Logging_2305/klagomålsmail/A 46093-2025 FSC-klagomål mail.docx", "A 46093-2025")</f>
        <v/>
      </c>
      <c r="X364">
        <f>HYPERLINK("https://klasma.github.io/Logging_2305/tillsyn/A 46093-2025 tillsynsbegäran.docx", "A 46093-2025")</f>
        <v/>
      </c>
      <c r="Y364">
        <f>HYPERLINK("https://klasma.github.io/Logging_2305/tillsynsmail/A 46093-2025 tillsynsbegäran mail.docx", "A 46093-2025")</f>
        <v/>
      </c>
    </row>
    <row r="365" ht="15" customHeight="1">
      <c r="A365" t="inlineStr">
        <is>
          <t>A 46435-2025</t>
        </is>
      </c>
      <c r="B365" s="1" t="n">
        <v>45925</v>
      </c>
      <c r="C365" s="1" t="n">
        <v>46200</v>
      </c>
      <c r="D365" t="inlineStr">
        <is>
          <t>JÄMTLANDS LÄN</t>
        </is>
      </c>
      <c r="E365" t="inlineStr">
        <is>
          <t>BRÄCKE</t>
        </is>
      </c>
      <c r="F365" t="inlineStr">
        <is>
          <t>SCA</t>
        </is>
      </c>
      <c r="G365" t="n">
        <v>4</v>
      </c>
      <c r="H365" t="n">
        <v>0</v>
      </c>
      <c r="I365" t="n">
        <v>0</v>
      </c>
      <c r="J365" t="n">
        <v>1</v>
      </c>
      <c r="K365" t="n">
        <v>0</v>
      </c>
      <c r="L365" t="n">
        <v>0</v>
      </c>
      <c r="M365" t="n">
        <v>0</v>
      </c>
      <c r="N365" t="n">
        <v>0</v>
      </c>
      <c r="O365" t="n">
        <v>1</v>
      </c>
      <c r="P365" t="n">
        <v>0</v>
      </c>
      <c r="Q365" t="n">
        <v>1</v>
      </c>
      <c r="R365" s="2" t="inlineStr">
        <is>
          <t>Motaggsvamp</t>
        </is>
      </c>
      <c r="S365">
        <f>HYPERLINK("https://klasma.github.io/Logging_2305/artfynd/A 46435-2025 artfynd.xlsx", "A 46435-2025")</f>
        <v/>
      </c>
      <c r="T365">
        <f>HYPERLINK("https://klasma.github.io/Logging_2305/kartor/A 46435-2025 karta.png", "A 46435-2025")</f>
        <v/>
      </c>
      <c r="V365">
        <f>HYPERLINK("https://klasma.github.io/Logging_2305/klagomål/A 46435-2025 FSC-klagomål.docx", "A 46435-2025")</f>
        <v/>
      </c>
      <c r="W365">
        <f>HYPERLINK("https://klasma.github.io/Logging_2305/klagomålsmail/A 46435-2025 FSC-klagomål mail.docx", "A 46435-2025")</f>
        <v/>
      </c>
      <c r="X365">
        <f>HYPERLINK("https://klasma.github.io/Logging_2305/tillsyn/A 46435-2025 tillsynsbegäran.docx", "A 46435-2025")</f>
        <v/>
      </c>
      <c r="Y365">
        <f>HYPERLINK("https://klasma.github.io/Logging_2305/tillsynsmail/A 46435-2025 tillsynsbegäran mail.docx", "A 46435-2025")</f>
        <v/>
      </c>
    </row>
    <row r="366" ht="15" customHeight="1">
      <c r="A366" t="inlineStr">
        <is>
          <t>A 46626-2025</t>
        </is>
      </c>
      <c r="B366" s="1" t="n">
        <v>45926</v>
      </c>
      <c r="C366" s="1" t="n">
        <v>46200</v>
      </c>
      <c r="D366" t="inlineStr">
        <is>
          <t>JÄMTLANDS LÄN</t>
        </is>
      </c>
      <c r="E366" t="inlineStr">
        <is>
          <t>BRÄCKE</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HYPERLINK("https://klasma.github.io/Logging_2305/artfynd/A 46626-2025 artfynd.xlsx", "A 46626-2025")</f>
        <v/>
      </c>
      <c r="T366">
        <f>HYPERLINK("https://klasma.github.io/Logging_2305/kartor/A 46626-2025 karta.png", "A 46626-2025")</f>
        <v/>
      </c>
      <c r="V366">
        <f>HYPERLINK("https://klasma.github.io/Logging_2305/klagomål/A 46626-2025 FSC-klagomål.docx", "A 46626-2025")</f>
        <v/>
      </c>
      <c r="W366">
        <f>HYPERLINK("https://klasma.github.io/Logging_2305/klagomålsmail/A 46626-2025 FSC-klagomål mail.docx", "A 46626-2025")</f>
        <v/>
      </c>
      <c r="X366">
        <f>HYPERLINK("https://klasma.github.io/Logging_2305/tillsyn/A 46626-2025 tillsynsbegäran.docx", "A 46626-2025")</f>
        <v/>
      </c>
      <c r="Y366">
        <f>HYPERLINK("https://klasma.github.io/Logging_2305/tillsynsmail/A 46626-2025 tillsynsbegäran mail.docx", "A 46626-2025")</f>
        <v/>
      </c>
    </row>
    <row r="367" ht="15" customHeight="1">
      <c r="A367" t="inlineStr">
        <is>
          <t>A 24094-2025</t>
        </is>
      </c>
      <c r="B367" s="1" t="n">
        <v>45796</v>
      </c>
      <c r="C367" s="1" t="n">
        <v>46200</v>
      </c>
      <c r="D367" t="inlineStr">
        <is>
          <t>JÄMTLANDS LÄN</t>
        </is>
      </c>
      <c r="E367" t="inlineStr">
        <is>
          <t>BRÄCKE</t>
        </is>
      </c>
      <c r="F367" t="inlineStr">
        <is>
          <t>SCA</t>
        </is>
      </c>
      <c r="G367" t="n">
        <v>4.1</v>
      </c>
      <c r="H367" t="n">
        <v>0</v>
      </c>
      <c r="I367" t="n">
        <v>0</v>
      </c>
      <c r="J367" t="n">
        <v>1</v>
      </c>
      <c r="K367" t="n">
        <v>0</v>
      </c>
      <c r="L367" t="n">
        <v>0</v>
      </c>
      <c r="M367" t="n">
        <v>0</v>
      </c>
      <c r="N367" t="n">
        <v>0</v>
      </c>
      <c r="O367" t="n">
        <v>1</v>
      </c>
      <c r="P367" t="n">
        <v>0</v>
      </c>
      <c r="Q367" t="n">
        <v>1</v>
      </c>
      <c r="R367" s="2" t="inlineStr">
        <is>
          <t>Vedskivlav</t>
        </is>
      </c>
      <c r="S367">
        <f>HYPERLINK("https://klasma.github.io/Logging_2305/artfynd/A 24094-2025 artfynd.xlsx", "A 24094-2025")</f>
        <v/>
      </c>
      <c r="T367">
        <f>HYPERLINK("https://klasma.github.io/Logging_2305/kartor/A 24094-2025 karta.png", "A 24094-2025")</f>
        <v/>
      </c>
      <c r="V367">
        <f>HYPERLINK("https://klasma.github.io/Logging_2305/klagomål/A 24094-2025 FSC-klagomål.docx", "A 24094-2025")</f>
        <v/>
      </c>
      <c r="W367">
        <f>HYPERLINK("https://klasma.github.io/Logging_2305/klagomålsmail/A 24094-2025 FSC-klagomål mail.docx", "A 24094-2025")</f>
        <v/>
      </c>
      <c r="X367">
        <f>HYPERLINK("https://klasma.github.io/Logging_2305/tillsyn/A 24094-2025 tillsynsbegäran.docx", "A 24094-2025")</f>
        <v/>
      </c>
      <c r="Y367">
        <f>HYPERLINK("https://klasma.github.io/Logging_2305/tillsynsmail/A 24094-2025 tillsynsbegäran mail.docx", "A 24094-2025")</f>
        <v/>
      </c>
    </row>
    <row r="368" ht="15" customHeight="1">
      <c r="A368" t="inlineStr">
        <is>
          <t>A 57616-2025</t>
        </is>
      </c>
      <c r="B368" s="1" t="n">
        <v>45981</v>
      </c>
      <c r="C368" s="1" t="n">
        <v>46200</v>
      </c>
      <c r="D368" t="inlineStr">
        <is>
          <t>JÄMTLANDS LÄN</t>
        </is>
      </c>
      <c r="E368" t="inlineStr">
        <is>
          <t>BRÄCKE</t>
        </is>
      </c>
      <c r="F368" t="inlineStr">
        <is>
          <t>SCA</t>
        </is>
      </c>
      <c r="G368" t="n">
        <v>2.5</v>
      </c>
      <c r="H368" t="n">
        <v>0</v>
      </c>
      <c r="I368" t="n">
        <v>1</v>
      </c>
      <c r="J368" t="n">
        <v>0</v>
      </c>
      <c r="K368" t="n">
        <v>0</v>
      </c>
      <c r="L368" t="n">
        <v>0</v>
      </c>
      <c r="M368" t="n">
        <v>0</v>
      </c>
      <c r="N368" t="n">
        <v>0</v>
      </c>
      <c r="O368" t="n">
        <v>0</v>
      </c>
      <c r="P368" t="n">
        <v>0</v>
      </c>
      <c r="Q368" t="n">
        <v>1</v>
      </c>
      <c r="R368" s="2" t="inlineStr">
        <is>
          <t>Trådticka</t>
        </is>
      </c>
      <c r="S368">
        <f>HYPERLINK("https://klasma.github.io/Logging_2305/artfynd/A 57616-2025 artfynd.xlsx", "A 57616-2025")</f>
        <v/>
      </c>
      <c r="T368">
        <f>HYPERLINK("https://klasma.github.io/Logging_2305/kartor/A 57616-2025 karta.png", "A 57616-2025")</f>
        <v/>
      </c>
      <c r="V368">
        <f>HYPERLINK("https://klasma.github.io/Logging_2305/klagomål/A 57616-2025 FSC-klagomål.docx", "A 57616-2025")</f>
        <v/>
      </c>
      <c r="W368">
        <f>HYPERLINK("https://klasma.github.io/Logging_2305/klagomålsmail/A 57616-2025 FSC-klagomål mail.docx", "A 57616-2025")</f>
        <v/>
      </c>
      <c r="X368">
        <f>HYPERLINK("https://klasma.github.io/Logging_2305/tillsyn/A 57616-2025 tillsynsbegäran.docx", "A 57616-2025")</f>
        <v/>
      </c>
      <c r="Y368">
        <f>HYPERLINK("https://klasma.github.io/Logging_2305/tillsynsmail/A 57616-2025 tillsynsbegäran mail.docx", "A 57616-2025")</f>
        <v/>
      </c>
    </row>
    <row r="369" ht="15" customHeight="1">
      <c r="A369" t="inlineStr">
        <is>
          <t>A 58091-2025</t>
        </is>
      </c>
      <c r="B369" s="1" t="n">
        <v>45982</v>
      </c>
      <c r="C369" s="1" t="n">
        <v>46200</v>
      </c>
      <c r="D369" t="inlineStr">
        <is>
          <t>JÄMTLANDS LÄN</t>
        </is>
      </c>
      <c r="E369" t="inlineStr">
        <is>
          <t>BRÄCKE</t>
        </is>
      </c>
      <c r="F369" t="inlineStr">
        <is>
          <t>SCA</t>
        </is>
      </c>
      <c r="G369" t="n">
        <v>5</v>
      </c>
      <c r="H369" t="n">
        <v>1</v>
      </c>
      <c r="I369" t="n">
        <v>0</v>
      </c>
      <c r="J369" t="n">
        <v>0</v>
      </c>
      <c r="K369" t="n">
        <v>1</v>
      </c>
      <c r="L369" t="n">
        <v>0</v>
      </c>
      <c r="M369" t="n">
        <v>0</v>
      </c>
      <c r="N369" t="n">
        <v>0</v>
      </c>
      <c r="O369" t="n">
        <v>1</v>
      </c>
      <c r="P369" t="n">
        <v>1</v>
      </c>
      <c r="Q369" t="n">
        <v>1</v>
      </c>
      <c r="R369" s="2" t="inlineStr">
        <is>
          <t>Doftticka</t>
        </is>
      </c>
      <c r="S369">
        <f>HYPERLINK("https://klasma.github.io/Logging_2305/artfynd/A 58091-2025 artfynd.xlsx", "A 58091-2025")</f>
        <v/>
      </c>
      <c r="T369">
        <f>HYPERLINK("https://klasma.github.io/Logging_2305/kartor/A 58091-2025 karta.png", "A 58091-2025")</f>
        <v/>
      </c>
      <c r="V369">
        <f>HYPERLINK("https://klasma.github.io/Logging_2305/klagomål/A 58091-2025 FSC-klagomål.docx", "A 58091-2025")</f>
        <v/>
      </c>
      <c r="W369">
        <f>HYPERLINK("https://klasma.github.io/Logging_2305/klagomålsmail/A 58091-2025 FSC-klagomål mail.docx", "A 58091-2025")</f>
        <v/>
      </c>
      <c r="X369">
        <f>HYPERLINK("https://klasma.github.io/Logging_2305/tillsyn/A 58091-2025 tillsynsbegäran.docx", "A 58091-2025")</f>
        <v/>
      </c>
      <c r="Y369">
        <f>HYPERLINK("https://klasma.github.io/Logging_2305/tillsynsmail/A 58091-2025 tillsynsbegäran mail.docx", "A 58091-2025")</f>
        <v/>
      </c>
    </row>
    <row r="370" ht="15" customHeight="1">
      <c r="A370" t="inlineStr">
        <is>
          <t>A 59542-2025</t>
        </is>
      </c>
      <c r="B370" s="1" t="n">
        <v>45990</v>
      </c>
      <c r="C370" s="1" t="n">
        <v>46200</v>
      </c>
      <c r="D370" t="inlineStr">
        <is>
          <t>JÄMTLANDS LÄN</t>
        </is>
      </c>
      <c r="E370" t="inlineStr">
        <is>
          <t>BRÄCKE</t>
        </is>
      </c>
      <c r="F370" t="inlineStr">
        <is>
          <t>SCA</t>
        </is>
      </c>
      <c r="G370" t="n">
        <v>9.9</v>
      </c>
      <c r="H370" t="n">
        <v>0</v>
      </c>
      <c r="I370" t="n">
        <v>0</v>
      </c>
      <c r="J370" t="n">
        <v>0</v>
      </c>
      <c r="K370" t="n">
        <v>1</v>
      </c>
      <c r="L370" t="n">
        <v>0</v>
      </c>
      <c r="M370" t="n">
        <v>0</v>
      </c>
      <c r="N370" t="n">
        <v>0</v>
      </c>
      <c r="O370" t="n">
        <v>1</v>
      </c>
      <c r="P370" t="n">
        <v>1</v>
      </c>
      <c r="Q370" t="n">
        <v>1</v>
      </c>
      <c r="R370" s="2" t="inlineStr">
        <is>
          <t>Aspgelélav</t>
        </is>
      </c>
      <c r="S370">
        <f>HYPERLINK("https://klasma.github.io/Logging_2305/artfynd/A 59542-2025 artfynd.xlsx", "A 59542-2025")</f>
        <v/>
      </c>
      <c r="T370">
        <f>HYPERLINK("https://klasma.github.io/Logging_2305/kartor/A 59542-2025 karta.png", "A 59542-2025")</f>
        <v/>
      </c>
      <c r="V370">
        <f>HYPERLINK("https://klasma.github.io/Logging_2305/klagomål/A 59542-2025 FSC-klagomål.docx", "A 59542-2025")</f>
        <v/>
      </c>
      <c r="W370">
        <f>HYPERLINK("https://klasma.github.io/Logging_2305/klagomålsmail/A 59542-2025 FSC-klagomål mail.docx", "A 59542-2025")</f>
        <v/>
      </c>
      <c r="X370">
        <f>HYPERLINK("https://klasma.github.io/Logging_2305/tillsyn/A 59542-2025 tillsynsbegäran.docx", "A 59542-2025")</f>
        <v/>
      </c>
      <c r="Y370">
        <f>HYPERLINK("https://klasma.github.io/Logging_2305/tillsynsmail/A 59542-2025 tillsynsbegäran mail.docx", "A 59542-2025")</f>
        <v/>
      </c>
    </row>
    <row r="371" ht="15" customHeight="1">
      <c r="A371" t="inlineStr">
        <is>
          <t>A 59546-2025</t>
        </is>
      </c>
      <c r="B371" s="1" t="n">
        <v>45990</v>
      </c>
      <c r="C371" s="1" t="n">
        <v>46200</v>
      </c>
      <c r="D371" t="inlineStr">
        <is>
          <t>JÄMTLANDS LÄN</t>
        </is>
      </c>
      <c r="E371" t="inlineStr">
        <is>
          <t>BRÄCKE</t>
        </is>
      </c>
      <c r="F371" t="inlineStr">
        <is>
          <t>SCA</t>
        </is>
      </c>
      <c r="G371" t="n">
        <v>1</v>
      </c>
      <c r="H371" t="n">
        <v>0</v>
      </c>
      <c r="I371" t="n">
        <v>0</v>
      </c>
      <c r="J371" t="n">
        <v>1</v>
      </c>
      <c r="K371" t="n">
        <v>0</v>
      </c>
      <c r="L371" t="n">
        <v>0</v>
      </c>
      <c r="M371" t="n">
        <v>0</v>
      </c>
      <c r="N371" t="n">
        <v>0</v>
      </c>
      <c r="O371" t="n">
        <v>1</v>
      </c>
      <c r="P371" t="n">
        <v>0</v>
      </c>
      <c r="Q371" t="n">
        <v>1</v>
      </c>
      <c r="R371" s="2" t="inlineStr">
        <is>
          <t>Vedskivlav</t>
        </is>
      </c>
      <c r="S371">
        <f>HYPERLINK("https://klasma.github.io/Logging_2305/artfynd/A 59546-2025 artfynd.xlsx", "A 59546-2025")</f>
        <v/>
      </c>
      <c r="T371">
        <f>HYPERLINK("https://klasma.github.io/Logging_2305/kartor/A 59546-2025 karta.png", "A 59546-2025")</f>
        <v/>
      </c>
      <c r="V371">
        <f>HYPERLINK("https://klasma.github.io/Logging_2305/klagomål/A 59546-2025 FSC-klagomål.docx", "A 59546-2025")</f>
        <v/>
      </c>
      <c r="W371">
        <f>HYPERLINK("https://klasma.github.io/Logging_2305/klagomålsmail/A 59546-2025 FSC-klagomål mail.docx", "A 59546-2025")</f>
        <v/>
      </c>
      <c r="X371">
        <f>HYPERLINK("https://klasma.github.io/Logging_2305/tillsyn/A 59546-2025 tillsynsbegäran.docx", "A 59546-2025")</f>
        <v/>
      </c>
      <c r="Y371">
        <f>HYPERLINK("https://klasma.github.io/Logging_2305/tillsynsmail/A 59546-2025 tillsynsbegäran mail.docx", "A 59546-2025")</f>
        <v/>
      </c>
    </row>
    <row r="372" ht="15" customHeight="1">
      <c r="A372" t="inlineStr">
        <is>
          <t>A 62261-2025</t>
        </is>
      </c>
      <c r="B372" s="1" t="n">
        <v>46006</v>
      </c>
      <c r="C372" s="1" t="n">
        <v>46200</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63641-2025</t>
        </is>
      </c>
      <c r="B373" s="1" t="n">
        <v>46014</v>
      </c>
      <c r="C373" s="1" t="n">
        <v>46200</v>
      </c>
      <c r="D373" t="inlineStr">
        <is>
          <t>JÄMTLANDS LÄN</t>
        </is>
      </c>
      <c r="E373" t="inlineStr">
        <is>
          <t>BRÄCKE</t>
        </is>
      </c>
      <c r="F373" t="inlineStr">
        <is>
          <t>SCA</t>
        </is>
      </c>
      <c r="G373" t="n">
        <v>17.7</v>
      </c>
      <c r="H373" t="n">
        <v>0</v>
      </c>
      <c r="I373" t="n">
        <v>0</v>
      </c>
      <c r="J373" t="n">
        <v>1</v>
      </c>
      <c r="K373" t="n">
        <v>0</v>
      </c>
      <c r="L373" t="n">
        <v>0</v>
      </c>
      <c r="M373" t="n">
        <v>0</v>
      </c>
      <c r="N373" t="n">
        <v>0</v>
      </c>
      <c r="O373" t="n">
        <v>1</v>
      </c>
      <c r="P373" t="n">
        <v>0</v>
      </c>
      <c r="Q373" t="n">
        <v>1</v>
      </c>
      <c r="R373" s="2" t="inlineStr">
        <is>
          <t>Lundviva</t>
        </is>
      </c>
      <c r="S373">
        <f>HYPERLINK("https://klasma.github.io/Logging_2305/artfynd/A 63641-2025 artfynd.xlsx", "A 63641-2025")</f>
        <v/>
      </c>
      <c r="T373">
        <f>HYPERLINK("https://klasma.github.io/Logging_2305/kartor/A 63641-2025 karta.png", "A 63641-2025")</f>
        <v/>
      </c>
      <c r="V373">
        <f>HYPERLINK("https://klasma.github.io/Logging_2305/klagomål/A 63641-2025 FSC-klagomål.docx", "A 63641-2025")</f>
        <v/>
      </c>
      <c r="W373">
        <f>HYPERLINK("https://klasma.github.io/Logging_2305/klagomålsmail/A 63641-2025 FSC-klagomål mail.docx", "A 63641-2025")</f>
        <v/>
      </c>
      <c r="X373">
        <f>HYPERLINK("https://klasma.github.io/Logging_2305/tillsyn/A 63641-2025 tillsynsbegäran.docx", "A 63641-2025")</f>
        <v/>
      </c>
      <c r="Y373">
        <f>HYPERLINK("https://klasma.github.io/Logging_2305/tillsynsmail/A 63641-2025 tillsynsbegäran mail.docx", "A 63641-2025")</f>
        <v/>
      </c>
    </row>
    <row r="374" ht="15" customHeight="1">
      <c r="A374" t="inlineStr">
        <is>
          <t>A 39085-2025</t>
        </is>
      </c>
      <c r="B374" s="1" t="n">
        <v>45888</v>
      </c>
      <c r="C374" s="1" t="n">
        <v>46200</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9946-2026</t>
        </is>
      </c>
      <c r="B375" s="1" t="n">
        <v>46073</v>
      </c>
      <c r="C375" s="1" t="n">
        <v>46200</v>
      </c>
      <c r="D375" t="inlineStr">
        <is>
          <t>JÄMTLANDS LÄN</t>
        </is>
      </c>
      <c r="E375" t="inlineStr">
        <is>
          <t>BRÄCKE</t>
        </is>
      </c>
      <c r="F375" t="inlineStr">
        <is>
          <t>SCA</t>
        </is>
      </c>
      <c r="G375" t="n">
        <v>1.3</v>
      </c>
      <c r="H375" t="n">
        <v>0</v>
      </c>
      <c r="I375" t="n">
        <v>0</v>
      </c>
      <c r="J375" t="n">
        <v>1</v>
      </c>
      <c r="K375" t="n">
        <v>0</v>
      </c>
      <c r="L375" t="n">
        <v>0</v>
      </c>
      <c r="M375" t="n">
        <v>0</v>
      </c>
      <c r="N375" t="n">
        <v>0</v>
      </c>
      <c r="O375" t="n">
        <v>1</v>
      </c>
      <c r="P375" t="n">
        <v>0</v>
      </c>
      <c r="Q375" t="n">
        <v>1</v>
      </c>
      <c r="R375" s="2" t="inlineStr">
        <is>
          <t>Slåtterfibbla</t>
        </is>
      </c>
      <c r="S375">
        <f>HYPERLINK("https://klasma.github.io/Logging_2305/artfynd/A 9946-2026 artfynd.xlsx", "A 9946-2026")</f>
        <v/>
      </c>
      <c r="T375">
        <f>HYPERLINK("https://klasma.github.io/Logging_2305/kartor/A 9946-2026 karta.png", "A 9946-2026")</f>
        <v/>
      </c>
      <c r="V375">
        <f>HYPERLINK("https://klasma.github.io/Logging_2305/klagomål/A 9946-2026 FSC-klagomål.docx", "A 9946-2026")</f>
        <v/>
      </c>
      <c r="W375">
        <f>HYPERLINK("https://klasma.github.io/Logging_2305/klagomålsmail/A 9946-2026 FSC-klagomål mail.docx", "A 9946-2026")</f>
        <v/>
      </c>
      <c r="X375">
        <f>HYPERLINK("https://klasma.github.io/Logging_2305/tillsyn/A 9946-2026 tillsynsbegäran.docx", "A 9946-2026")</f>
        <v/>
      </c>
      <c r="Y375">
        <f>HYPERLINK("https://klasma.github.io/Logging_2305/tillsynsmail/A 9946-2026 tillsynsbegäran mail.docx", "A 9946-2026")</f>
        <v/>
      </c>
    </row>
    <row r="376" ht="15" customHeight="1">
      <c r="A376" t="inlineStr">
        <is>
          <t>A 11991-2026</t>
        </is>
      </c>
      <c r="B376" s="1" t="n">
        <v>46085</v>
      </c>
      <c r="C376" s="1" t="n">
        <v>46200</v>
      </c>
      <c r="D376" t="inlineStr">
        <is>
          <t>JÄMTLANDS LÄN</t>
        </is>
      </c>
      <c r="E376" t="inlineStr">
        <is>
          <t>BRÄCKE</t>
        </is>
      </c>
      <c r="F376" t="inlineStr">
        <is>
          <t>SCA</t>
        </is>
      </c>
      <c r="G376" t="n">
        <v>12.9</v>
      </c>
      <c r="H376" t="n">
        <v>1</v>
      </c>
      <c r="I376" t="n">
        <v>1</v>
      </c>
      <c r="J376" t="n">
        <v>0</v>
      </c>
      <c r="K376" t="n">
        <v>0</v>
      </c>
      <c r="L376" t="n">
        <v>0</v>
      </c>
      <c r="M376" t="n">
        <v>0</v>
      </c>
      <c r="N376" t="n">
        <v>0</v>
      </c>
      <c r="O376" t="n">
        <v>0</v>
      </c>
      <c r="P376" t="n">
        <v>0</v>
      </c>
      <c r="Q376" t="n">
        <v>1</v>
      </c>
      <c r="R376" s="2" t="inlineStr">
        <is>
          <t>Spindelblomster</t>
        </is>
      </c>
      <c r="S376">
        <f>HYPERLINK("https://klasma.github.io/Logging_2305/artfynd/A 11991-2026 artfynd.xlsx", "A 11991-2026")</f>
        <v/>
      </c>
      <c r="T376">
        <f>HYPERLINK("https://klasma.github.io/Logging_2305/kartor/A 11991-2026 karta.png", "A 11991-2026")</f>
        <v/>
      </c>
      <c r="V376">
        <f>HYPERLINK("https://klasma.github.io/Logging_2305/klagomål/A 11991-2026 FSC-klagomål.docx", "A 11991-2026")</f>
        <v/>
      </c>
      <c r="W376">
        <f>HYPERLINK("https://klasma.github.io/Logging_2305/klagomålsmail/A 11991-2026 FSC-klagomål mail.docx", "A 11991-2026")</f>
        <v/>
      </c>
      <c r="X376">
        <f>HYPERLINK("https://klasma.github.io/Logging_2305/tillsyn/A 11991-2026 tillsynsbegäran.docx", "A 11991-2026")</f>
        <v/>
      </c>
      <c r="Y376">
        <f>HYPERLINK("https://klasma.github.io/Logging_2305/tillsynsmail/A 11991-2026 tillsynsbegäran mail.docx", "A 11991-2026")</f>
        <v/>
      </c>
    </row>
    <row r="377" ht="15" customHeight="1">
      <c r="A377" t="inlineStr">
        <is>
          <t>A 15927-2026</t>
        </is>
      </c>
      <c r="B377" s="1" t="n">
        <v>46107</v>
      </c>
      <c r="C377" s="1" t="n">
        <v>46200</v>
      </c>
      <c r="D377" t="inlineStr">
        <is>
          <t>JÄMTLANDS LÄN</t>
        </is>
      </c>
      <c r="E377" t="inlineStr">
        <is>
          <t>BRÄCKE</t>
        </is>
      </c>
      <c r="G377" t="n">
        <v>12.1</v>
      </c>
      <c r="H377" t="n">
        <v>0</v>
      </c>
      <c r="I377" t="n">
        <v>1</v>
      </c>
      <c r="J377" t="n">
        <v>0</v>
      </c>
      <c r="K377" t="n">
        <v>0</v>
      </c>
      <c r="L377" t="n">
        <v>0</v>
      </c>
      <c r="M377" t="n">
        <v>0</v>
      </c>
      <c r="N377" t="n">
        <v>0</v>
      </c>
      <c r="O377" t="n">
        <v>0</v>
      </c>
      <c r="P377" t="n">
        <v>0</v>
      </c>
      <c r="Q377" t="n">
        <v>1</v>
      </c>
      <c r="R377" s="2" t="inlineStr">
        <is>
          <t>Underviol</t>
        </is>
      </c>
      <c r="S377">
        <f>HYPERLINK("https://klasma.github.io/Logging_2305/artfynd/A 15927-2026 artfynd.xlsx", "A 15927-2026")</f>
        <v/>
      </c>
      <c r="T377">
        <f>HYPERLINK("https://klasma.github.io/Logging_2305/kartor/A 15927-2026 karta.png", "A 15927-2026")</f>
        <v/>
      </c>
      <c r="V377">
        <f>HYPERLINK("https://klasma.github.io/Logging_2305/klagomål/A 15927-2026 FSC-klagomål.docx", "A 15927-2026")</f>
        <v/>
      </c>
      <c r="W377">
        <f>HYPERLINK("https://klasma.github.io/Logging_2305/klagomålsmail/A 15927-2026 FSC-klagomål mail.docx", "A 15927-2026")</f>
        <v/>
      </c>
      <c r="X377">
        <f>HYPERLINK("https://klasma.github.io/Logging_2305/tillsyn/A 15927-2026 tillsynsbegäran.docx", "A 15927-2026")</f>
        <v/>
      </c>
      <c r="Y377">
        <f>HYPERLINK("https://klasma.github.io/Logging_2305/tillsynsmail/A 15927-2026 tillsynsbegäran mail.docx", "A 15927-2026")</f>
        <v/>
      </c>
    </row>
    <row r="378" ht="15" customHeight="1">
      <c r="A378" t="inlineStr">
        <is>
          <t>A 15903-2026</t>
        </is>
      </c>
      <c r="B378" s="1" t="n">
        <v>46107</v>
      </c>
      <c r="C378" s="1" t="n">
        <v>46200</v>
      </c>
      <c r="D378" t="inlineStr">
        <is>
          <t>JÄMTLANDS LÄN</t>
        </is>
      </c>
      <c r="E378" t="inlineStr">
        <is>
          <t>BRÄCKE</t>
        </is>
      </c>
      <c r="F378" t="inlineStr">
        <is>
          <t>SCA</t>
        </is>
      </c>
      <c r="G378" t="n">
        <v>3.5</v>
      </c>
      <c r="H378" t="n">
        <v>0</v>
      </c>
      <c r="I378" t="n">
        <v>0</v>
      </c>
      <c r="J378" t="n">
        <v>0</v>
      </c>
      <c r="K378" t="n">
        <v>1</v>
      </c>
      <c r="L378" t="n">
        <v>0</v>
      </c>
      <c r="M378" t="n">
        <v>0</v>
      </c>
      <c r="N378" t="n">
        <v>0</v>
      </c>
      <c r="O378" t="n">
        <v>1</v>
      </c>
      <c r="P378" t="n">
        <v>1</v>
      </c>
      <c r="Q378" t="n">
        <v>1</v>
      </c>
      <c r="R378" s="2" t="inlineStr">
        <is>
          <t>Garnlav</t>
        </is>
      </c>
      <c r="S378">
        <f>HYPERLINK("https://klasma.github.io/Logging_2305/artfynd/A 15903-2026 artfynd.xlsx", "A 15903-2026")</f>
        <v/>
      </c>
      <c r="T378">
        <f>HYPERLINK("https://klasma.github.io/Logging_2305/kartor/A 15903-2026 karta.png", "A 15903-2026")</f>
        <v/>
      </c>
      <c r="V378">
        <f>HYPERLINK("https://klasma.github.io/Logging_2305/klagomål/A 15903-2026 FSC-klagomål.docx", "A 15903-2026")</f>
        <v/>
      </c>
      <c r="W378">
        <f>HYPERLINK("https://klasma.github.io/Logging_2305/klagomålsmail/A 15903-2026 FSC-klagomål mail.docx", "A 15903-2026")</f>
        <v/>
      </c>
      <c r="X378">
        <f>HYPERLINK("https://klasma.github.io/Logging_2305/tillsyn/A 15903-2026 tillsynsbegäran.docx", "A 15903-2026")</f>
        <v/>
      </c>
      <c r="Y378">
        <f>HYPERLINK("https://klasma.github.io/Logging_2305/tillsynsmail/A 15903-2026 tillsynsbegäran mail.docx", "A 15903-2026")</f>
        <v/>
      </c>
    </row>
    <row r="379" ht="15" customHeight="1">
      <c r="A379" t="inlineStr">
        <is>
          <t>A 23317-2026</t>
        </is>
      </c>
      <c r="B379" s="1" t="n">
        <v>46162</v>
      </c>
      <c r="C379" s="1" t="n">
        <v>46200</v>
      </c>
      <c r="D379" t="inlineStr">
        <is>
          <t>JÄMTLANDS LÄN</t>
        </is>
      </c>
      <c r="E379" t="inlineStr">
        <is>
          <t>BRÄCKE</t>
        </is>
      </c>
      <c r="F379" t="inlineStr">
        <is>
          <t>SCA</t>
        </is>
      </c>
      <c r="G379" t="n">
        <v>4.4</v>
      </c>
      <c r="H379" t="n">
        <v>1</v>
      </c>
      <c r="I379" t="n">
        <v>0</v>
      </c>
      <c r="J379" t="n">
        <v>1</v>
      </c>
      <c r="K379" t="n">
        <v>0</v>
      </c>
      <c r="L379" t="n">
        <v>0</v>
      </c>
      <c r="M379" t="n">
        <v>0</v>
      </c>
      <c r="N379" t="n">
        <v>0</v>
      </c>
      <c r="O379" t="n">
        <v>1</v>
      </c>
      <c r="P379" t="n">
        <v>0</v>
      </c>
      <c r="Q379" t="n">
        <v>1</v>
      </c>
      <c r="R379" s="2" t="inlineStr">
        <is>
          <t>Talltita</t>
        </is>
      </c>
      <c r="S379">
        <f>HYPERLINK("https://klasma.github.io/Logging_2305/artfynd/A 23317-2026 artfynd.xlsx", "A 23317-2026")</f>
        <v/>
      </c>
      <c r="T379">
        <f>HYPERLINK("https://klasma.github.io/Logging_2305/kartor/A 23317-2026 karta.png", "A 23317-2026")</f>
        <v/>
      </c>
      <c r="V379">
        <f>HYPERLINK("https://klasma.github.io/Logging_2305/klagomål/A 23317-2026 FSC-klagomål.docx", "A 23317-2026")</f>
        <v/>
      </c>
      <c r="W379">
        <f>HYPERLINK("https://klasma.github.io/Logging_2305/klagomålsmail/A 23317-2026 FSC-klagomål mail.docx", "A 23317-2026")</f>
        <v/>
      </c>
      <c r="X379">
        <f>HYPERLINK("https://klasma.github.io/Logging_2305/tillsyn/A 23317-2026 tillsynsbegäran.docx", "A 23317-2026")</f>
        <v/>
      </c>
      <c r="Y379">
        <f>HYPERLINK("https://klasma.github.io/Logging_2305/tillsynsmail/A 23317-2026 tillsynsbegäran mail.docx", "A 23317-2026")</f>
        <v/>
      </c>
      <c r="Z379">
        <f>HYPERLINK("https://klasma.github.io/Logging_2305/fåglar/A 23317-2026 prioriterade fågelarter.docx", "A 23317-2026")</f>
        <v/>
      </c>
    </row>
    <row r="380" ht="15" customHeight="1">
      <c r="A380" t="inlineStr">
        <is>
          <t>A 17262-2026</t>
        </is>
      </c>
      <c r="B380" s="1" t="n">
        <v>46119</v>
      </c>
      <c r="C380" s="1" t="n">
        <v>46200</v>
      </c>
      <c r="D380" t="inlineStr">
        <is>
          <t>JÄMTLANDS LÄN</t>
        </is>
      </c>
      <c r="E380" t="inlineStr">
        <is>
          <t>BRÄCKE</t>
        </is>
      </c>
      <c r="F380" t="inlineStr">
        <is>
          <t>SCA</t>
        </is>
      </c>
      <c r="G380" t="n">
        <v>3.2</v>
      </c>
      <c r="H380" t="n">
        <v>1</v>
      </c>
      <c r="I380" t="n">
        <v>0</v>
      </c>
      <c r="J380" t="n">
        <v>1</v>
      </c>
      <c r="K380" t="n">
        <v>0</v>
      </c>
      <c r="L380" t="n">
        <v>0</v>
      </c>
      <c r="M380" t="n">
        <v>0</v>
      </c>
      <c r="N380" t="n">
        <v>0</v>
      </c>
      <c r="O380" t="n">
        <v>1</v>
      </c>
      <c r="P380" t="n">
        <v>0</v>
      </c>
      <c r="Q380" t="n">
        <v>1</v>
      </c>
      <c r="R380" s="2" t="inlineStr">
        <is>
          <t>Lavskrika</t>
        </is>
      </c>
      <c r="S380">
        <f>HYPERLINK("https://klasma.github.io/Logging_2305/artfynd/A 17262-2026 artfynd.xlsx", "A 17262-2026")</f>
        <v/>
      </c>
      <c r="T380">
        <f>HYPERLINK("https://klasma.github.io/Logging_2305/kartor/A 17262-2026 karta.png", "A 17262-2026")</f>
        <v/>
      </c>
      <c r="V380">
        <f>HYPERLINK("https://klasma.github.io/Logging_2305/klagomål/A 17262-2026 FSC-klagomål.docx", "A 17262-2026")</f>
        <v/>
      </c>
      <c r="W380">
        <f>HYPERLINK("https://klasma.github.io/Logging_2305/klagomålsmail/A 17262-2026 FSC-klagomål mail.docx", "A 17262-2026")</f>
        <v/>
      </c>
      <c r="X380">
        <f>HYPERLINK("https://klasma.github.io/Logging_2305/tillsyn/A 17262-2026 tillsynsbegäran.docx", "A 17262-2026")</f>
        <v/>
      </c>
      <c r="Y380">
        <f>HYPERLINK("https://klasma.github.io/Logging_2305/tillsynsmail/A 17262-2026 tillsynsbegäran mail.docx", "A 17262-2026")</f>
        <v/>
      </c>
      <c r="Z380">
        <f>HYPERLINK("https://klasma.github.io/Logging_2305/fåglar/A 17262-2026 prioriterade fågelarter.docx", "A 17262-2026")</f>
        <v/>
      </c>
    </row>
    <row r="381" ht="15" customHeight="1">
      <c r="A381" t="inlineStr">
        <is>
          <t>A 17598-2026</t>
        </is>
      </c>
      <c r="B381" s="1" t="n">
        <v>46121</v>
      </c>
      <c r="C381" s="1" t="n">
        <v>46200</v>
      </c>
      <c r="D381" t="inlineStr">
        <is>
          <t>JÄMTLANDS LÄN</t>
        </is>
      </c>
      <c r="E381" t="inlineStr">
        <is>
          <t>BRÄCKE</t>
        </is>
      </c>
      <c r="F381" t="inlineStr">
        <is>
          <t>SCA</t>
        </is>
      </c>
      <c r="G381" t="n">
        <v>1.8</v>
      </c>
      <c r="H381" t="n">
        <v>1</v>
      </c>
      <c r="I381" t="n">
        <v>0</v>
      </c>
      <c r="J381" t="n">
        <v>0</v>
      </c>
      <c r="K381" t="n">
        <v>0</v>
      </c>
      <c r="L381" t="n">
        <v>0</v>
      </c>
      <c r="M381" t="n">
        <v>0</v>
      </c>
      <c r="N381" t="n">
        <v>0</v>
      </c>
      <c r="O381" t="n">
        <v>0</v>
      </c>
      <c r="P381" t="n">
        <v>0</v>
      </c>
      <c r="Q381" t="n">
        <v>1</v>
      </c>
      <c r="R381" s="2" t="inlineStr">
        <is>
          <t>Tjäder</t>
        </is>
      </c>
      <c r="S381">
        <f>HYPERLINK("https://klasma.github.io/Logging_2305/artfynd/A 17598-2026 artfynd.xlsx", "A 17598-2026")</f>
        <v/>
      </c>
      <c r="T381">
        <f>HYPERLINK("https://klasma.github.io/Logging_2305/kartor/A 17598-2026 karta.png", "A 17598-2026")</f>
        <v/>
      </c>
      <c r="V381">
        <f>HYPERLINK("https://klasma.github.io/Logging_2305/klagomål/A 17598-2026 FSC-klagomål.docx", "A 17598-2026")</f>
        <v/>
      </c>
      <c r="W381">
        <f>HYPERLINK("https://klasma.github.io/Logging_2305/klagomålsmail/A 17598-2026 FSC-klagomål mail.docx", "A 17598-2026")</f>
        <v/>
      </c>
      <c r="X381">
        <f>HYPERLINK("https://klasma.github.io/Logging_2305/tillsyn/A 17598-2026 tillsynsbegäran.docx", "A 17598-2026")</f>
        <v/>
      </c>
      <c r="Y381">
        <f>HYPERLINK("https://klasma.github.io/Logging_2305/tillsynsmail/A 17598-2026 tillsynsbegäran mail.docx", "A 17598-2026")</f>
        <v/>
      </c>
      <c r="Z381">
        <f>HYPERLINK("https://klasma.github.io/Logging_2305/fåglar/A 17598-2026 prioriterade fågelarter.docx", "A 17598-2026")</f>
        <v/>
      </c>
    </row>
    <row r="382" ht="15" customHeight="1">
      <c r="A382" t="inlineStr">
        <is>
          <t>A 23864-2026</t>
        </is>
      </c>
      <c r="B382" s="1" t="n">
        <v>46167</v>
      </c>
      <c r="C382" s="1" t="n">
        <v>46200</v>
      </c>
      <c r="D382" t="inlineStr">
        <is>
          <t>JÄMTLANDS LÄN</t>
        </is>
      </c>
      <c r="E382" t="inlineStr">
        <is>
          <t>BRÄCKE</t>
        </is>
      </c>
      <c r="F382" t="inlineStr">
        <is>
          <t>SCA</t>
        </is>
      </c>
      <c r="G382" t="n">
        <v>6.1</v>
      </c>
      <c r="H382" t="n">
        <v>0</v>
      </c>
      <c r="I382" t="n">
        <v>0</v>
      </c>
      <c r="J382" t="n">
        <v>1</v>
      </c>
      <c r="K382" t="n">
        <v>0</v>
      </c>
      <c r="L382" t="n">
        <v>0</v>
      </c>
      <c r="M382" t="n">
        <v>0</v>
      </c>
      <c r="N382" t="n">
        <v>0</v>
      </c>
      <c r="O382" t="n">
        <v>1</v>
      </c>
      <c r="P382" t="n">
        <v>0</v>
      </c>
      <c r="Q382" t="n">
        <v>1</v>
      </c>
      <c r="R382" s="2" t="inlineStr">
        <is>
          <t>Lunglav</t>
        </is>
      </c>
      <c r="S382">
        <f>HYPERLINK("https://klasma.github.io/Logging_2305/artfynd/A 23864-2026 artfynd.xlsx", "A 23864-2026")</f>
        <v/>
      </c>
      <c r="T382">
        <f>HYPERLINK("https://klasma.github.io/Logging_2305/kartor/A 23864-2026 karta.png", "A 23864-2026")</f>
        <v/>
      </c>
      <c r="V382">
        <f>HYPERLINK("https://klasma.github.io/Logging_2305/klagomål/A 23864-2026 FSC-klagomål.docx", "A 23864-2026")</f>
        <v/>
      </c>
      <c r="W382">
        <f>HYPERLINK("https://klasma.github.io/Logging_2305/klagomålsmail/A 23864-2026 FSC-klagomål mail.docx", "A 23864-2026")</f>
        <v/>
      </c>
      <c r="X382">
        <f>HYPERLINK("https://klasma.github.io/Logging_2305/tillsyn/A 23864-2026 tillsynsbegäran.docx", "A 23864-2026")</f>
        <v/>
      </c>
      <c r="Y382">
        <f>HYPERLINK("https://klasma.github.io/Logging_2305/tillsynsmail/A 23864-2026 tillsynsbegäran mail.docx", "A 23864-2026")</f>
        <v/>
      </c>
    </row>
    <row r="383" ht="15" customHeight="1">
      <c r="A383" t="inlineStr">
        <is>
          <t>A 24399-2026</t>
        </is>
      </c>
      <c r="B383" s="1" t="n">
        <v>46169</v>
      </c>
      <c r="C383" s="1" t="n">
        <v>46200</v>
      </c>
      <c r="D383" t="inlineStr">
        <is>
          <t>JÄMTLANDS LÄN</t>
        </is>
      </c>
      <c r="E383" t="inlineStr">
        <is>
          <t>BRÄCKE</t>
        </is>
      </c>
      <c r="G383" t="n">
        <v>9.1</v>
      </c>
      <c r="H383" t="n">
        <v>1</v>
      </c>
      <c r="I383" t="n">
        <v>0</v>
      </c>
      <c r="J383" t="n">
        <v>0</v>
      </c>
      <c r="K383" t="n">
        <v>0</v>
      </c>
      <c r="L383" t="n">
        <v>0</v>
      </c>
      <c r="M383" t="n">
        <v>0</v>
      </c>
      <c r="N383" t="n">
        <v>0</v>
      </c>
      <c r="O383" t="n">
        <v>0</v>
      </c>
      <c r="P383" t="n">
        <v>0</v>
      </c>
      <c r="Q383" t="n">
        <v>1</v>
      </c>
      <c r="R383" s="2" t="inlineStr">
        <is>
          <t>Utter</t>
        </is>
      </c>
      <c r="S383">
        <f>HYPERLINK("https://klasma.github.io/Logging_2305/artfynd/A 24399-2026 artfynd.xlsx", "A 24399-2026")</f>
        <v/>
      </c>
      <c r="T383">
        <f>HYPERLINK("https://klasma.github.io/Logging_2305/kartor/A 24399-2026 karta.png", "A 24399-2026")</f>
        <v/>
      </c>
      <c r="V383">
        <f>HYPERLINK("https://klasma.github.io/Logging_2305/klagomål/A 24399-2026 FSC-klagomål.docx", "A 24399-2026")</f>
        <v/>
      </c>
      <c r="W383">
        <f>HYPERLINK("https://klasma.github.io/Logging_2305/klagomålsmail/A 24399-2026 FSC-klagomål mail.docx", "A 24399-2026")</f>
        <v/>
      </c>
      <c r="X383">
        <f>HYPERLINK("https://klasma.github.io/Logging_2305/tillsyn/A 24399-2026 tillsynsbegäran.docx", "A 24399-2026")</f>
        <v/>
      </c>
      <c r="Y383">
        <f>HYPERLINK("https://klasma.github.io/Logging_2305/tillsynsmail/A 24399-2026 tillsynsbegäran mail.docx", "A 24399-2026")</f>
        <v/>
      </c>
    </row>
    <row r="384" ht="15" customHeight="1">
      <c r="A384" t="inlineStr">
        <is>
          <t>A 25555-2026</t>
        </is>
      </c>
      <c r="B384" s="1" t="n">
        <v>46177</v>
      </c>
      <c r="C384" s="1" t="n">
        <v>46200</v>
      </c>
      <c r="D384" t="inlineStr">
        <is>
          <t>JÄMTLANDS LÄN</t>
        </is>
      </c>
      <c r="E384" t="inlineStr">
        <is>
          <t>BRÄCKE</t>
        </is>
      </c>
      <c r="F384" t="inlineStr">
        <is>
          <t>SCA</t>
        </is>
      </c>
      <c r="G384" t="n">
        <v>7.1</v>
      </c>
      <c r="H384" t="n">
        <v>1</v>
      </c>
      <c r="I384" t="n">
        <v>0</v>
      </c>
      <c r="J384" t="n">
        <v>0</v>
      </c>
      <c r="K384" t="n">
        <v>1</v>
      </c>
      <c r="L384" t="n">
        <v>0</v>
      </c>
      <c r="M384" t="n">
        <v>0</v>
      </c>
      <c r="N384" t="n">
        <v>0</v>
      </c>
      <c r="O384" t="n">
        <v>1</v>
      </c>
      <c r="P384" t="n">
        <v>1</v>
      </c>
      <c r="Q384" t="n">
        <v>1</v>
      </c>
      <c r="R384" s="2" t="inlineStr">
        <is>
          <t>Doftticka</t>
        </is>
      </c>
      <c r="S384">
        <f>HYPERLINK("https://klasma.github.io/Logging_2305/artfynd/A 25555-2026 artfynd.xlsx", "A 25555-2026")</f>
        <v/>
      </c>
      <c r="T384">
        <f>HYPERLINK("https://klasma.github.io/Logging_2305/kartor/A 25555-2026 karta.png", "A 25555-2026")</f>
        <v/>
      </c>
      <c r="V384">
        <f>HYPERLINK("https://klasma.github.io/Logging_2305/klagomål/A 25555-2026 FSC-klagomål.docx", "A 25555-2026")</f>
        <v/>
      </c>
      <c r="W384">
        <f>HYPERLINK("https://klasma.github.io/Logging_2305/klagomålsmail/A 25555-2026 FSC-klagomål mail.docx", "A 25555-2026")</f>
        <v/>
      </c>
      <c r="X384">
        <f>HYPERLINK("https://klasma.github.io/Logging_2305/tillsyn/A 25555-2026 tillsynsbegäran.docx", "A 25555-2026")</f>
        <v/>
      </c>
      <c r="Y384">
        <f>HYPERLINK("https://klasma.github.io/Logging_2305/tillsynsmail/A 25555-2026 tillsynsbegäran mail.docx", "A 25555-2026")</f>
        <v/>
      </c>
    </row>
    <row r="385" ht="15" customHeight="1">
      <c r="A385" t="inlineStr">
        <is>
          <t>A 20240-2026</t>
        </is>
      </c>
      <c r="B385" s="1" t="n">
        <v>46139</v>
      </c>
      <c r="C385" s="1" t="n">
        <v>46200</v>
      </c>
      <c r="D385" t="inlineStr">
        <is>
          <t>JÄMTLANDS LÄN</t>
        </is>
      </c>
      <c r="E385" t="inlineStr">
        <is>
          <t>BRÄCKE</t>
        </is>
      </c>
      <c r="F385" t="inlineStr">
        <is>
          <t>SCA</t>
        </is>
      </c>
      <c r="G385" t="n">
        <v>6.7</v>
      </c>
      <c r="H385" t="n">
        <v>1</v>
      </c>
      <c r="I385" t="n">
        <v>0</v>
      </c>
      <c r="J385" t="n">
        <v>1</v>
      </c>
      <c r="K385" t="n">
        <v>0</v>
      </c>
      <c r="L385" t="n">
        <v>0</v>
      </c>
      <c r="M385" t="n">
        <v>0</v>
      </c>
      <c r="N385" t="n">
        <v>0</v>
      </c>
      <c r="O385" t="n">
        <v>1</v>
      </c>
      <c r="P385" t="n">
        <v>0</v>
      </c>
      <c r="Q385" t="n">
        <v>1</v>
      </c>
      <c r="R385" s="2" t="inlineStr">
        <is>
          <t>Talltita</t>
        </is>
      </c>
      <c r="S385">
        <f>HYPERLINK("https://klasma.github.io/Logging_2305/artfynd/A 20240-2026 artfynd.xlsx", "A 20240-2026")</f>
        <v/>
      </c>
      <c r="T385">
        <f>HYPERLINK("https://klasma.github.io/Logging_2305/kartor/A 20240-2026 karta.png", "A 20240-2026")</f>
        <v/>
      </c>
      <c r="V385">
        <f>HYPERLINK("https://klasma.github.io/Logging_2305/klagomål/A 20240-2026 FSC-klagomål.docx", "A 20240-2026")</f>
        <v/>
      </c>
      <c r="W385">
        <f>HYPERLINK("https://klasma.github.io/Logging_2305/klagomålsmail/A 20240-2026 FSC-klagomål mail.docx", "A 20240-2026")</f>
        <v/>
      </c>
      <c r="X385">
        <f>HYPERLINK("https://klasma.github.io/Logging_2305/tillsyn/A 20240-2026 tillsynsbegäran.docx", "A 20240-2026")</f>
        <v/>
      </c>
      <c r="Y385">
        <f>HYPERLINK("https://klasma.github.io/Logging_2305/tillsynsmail/A 20240-2026 tillsynsbegäran mail.docx", "A 20240-2026")</f>
        <v/>
      </c>
      <c r="Z385">
        <f>HYPERLINK("https://klasma.github.io/Logging_2305/fåglar/A 20240-2026 prioriterade fågelarter.docx", "A 20240-2026")</f>
        <v/>
      </c>
    </row>
    <row r="386" ht="15" customHeight="1">
      <c r="A386" t="inlineStr">
        <is>
          <t>A 56449-2025</t>
        </is>
      </c>
      <c r="B386" s="1" t="n">
        <v>45975</v>
      </c>
      <c r="C386" s="1" t="n">
        <v>46200</v>
      </c>
      <c r="D386" t="inlineStr">
        <is>
          <t>JÄMTLANDS LÄN</t>
        </is>
      </c>
      <c r="E386" t="inlineStr">
        <is>
          <t>BRÄCKE</t>
        </is>
      </c>
      <c r="G386" t="n">
        <v>8.5</v>
      </c>
      <c r="H386" t="n">
        <v>0</v>
      </c>
      <c r="I386" t="n">
        <v>0</v>
      </c>
      <c r="J386" t="n">
        <v>1</v>
      </c>
      <c r="K386" t="n">
        <v>0</v>
      </c>
      <c r="L386" t="n">
        <v>0</v>
      </c>
      <c r="M386" t="n">
        <v>0</v>
      </c>
      <c r="N386" t="n">
        <v>0</v>
      </c>
      <c r="O386" t="n">
        <v>1</v>
      </c>
      <c r="P386" t="n">
        <v>0</v>
      </c>
      <c r="Q386" t="n">
        <v>1</v>
      </c>
      <c r="R386" s="2" t="inlineStr">
        <is>
          <t>Uddnate</t>
        </is>
      </c>
      <c r="S386">
        <f>HYPERLINK("https://klasma.github.io/Logging_2305/artfynd/A 56449-2025 artfynd.xlsx", "A 56449-2025")</f>
        <v/>
      </c>
      <c r="T386">
        <f>HYPERLINK("https://klasma.github.io/Logging_2305/kartor/A 56449-2025 karta.png", "A 56449-2025")</f>
        <v/>
      </c>
      <c r="V386">
        <f>HYPERLINK("https://klasma.github.io/Logging_2305/klagomål/A 56449-2025 FSC-klagomål.docx", "A 56449-2025")</f>
        <v/>
      </c>
      <c r="W386">
        <f>HYPERLINK("https://klasma.github.io/Logging_2305/klagomålsmail/A 56449-2025 FSC-klagomål mail.docx", "A 56449-2025")</f>
        <v/>
      </c>
      <c r="X386">
        <f>HYPERLINK("https://klasma.github.io/Logging_2305/tillsyn/A 56449-2025 tillsynsbegäran.docx", "A 56449-2025")</f>
        <v/>
      </c>
      <c r="Y386">
        <f>HYPERLINK("https://klasma.github.io/Logging_2305/tillsynsmail/A 56449-2025 tillsynsbegäran mail.docx", "A 56449-2025")</f>
        <v/>
      </c>
    </row>
    <row r="387" ht="15" customHeight="1">
      <c r="A387" t="inlineStr">
        <is>
          <t>A 31138-2025</t>
        </is>
      </c>
      <c r="B387" s="1" t="n">
        <v>45832</v>
      </c>
      <c r="C387" s="1" t="n">
        <v>46200</v>
      </c>
      <c r="D387" t="inlineStr">
        <is>
          <t>JÄMTLANDS LÄN</t>
        </is>
      </c>
      <c r="E387" t="inlineStr">
        <is>
          <t>BRÄCKE</t>
        </is>
      </c>
      <c r="F387" t="inlineStr">
        <is>
          <t>SCA</t>
        </is>
      </c>
      <c r="G387" t="n">
        <v>5.4</v>
      </c>
      <c r="H387" t="n">
        <v>1</v>
      </c>
      <c r="I387" t="n">
        <v>0</v>
      </c>
      <c r="J387" t="n">
        <v>0</v>
      </c>
      <c r="K387" t="n">
        <v>1</v>
      </c>
      <c r="L387" t="n">
        <v>0</v>
      </c>
      <c r="M387" t="n">
        <v>0</v>
      </c>
      <c r="N387" t="n">
        <v>0</v>
      </c>
      <c r="O387" t="n">
        <v>1</v>
      </c>
      <c r="P387" t="n">
        <v>1</v>
      </c>
      <c r="Q387" t="n">
        <v>1</v>
      </c>
      <c r="R387" s="2" t="inlineStr">
        <is>
          <t>Knärot</t>
        </is>
      </c>
      <c r="S387">
        <f>HYPERLINK("https://klasma.github.io/Logging_2305/artfynd/A 31138-2025 artfynd.xlsx", "A 31138-2025")</f>
        <v/>
      </c>
      <c r="T387">
        <f>HYPERLINK("https://klasma.github.io/Logging_2305/kartor/A 31138-2025 karta.png", "A 31138-2025")</f>
        <v/>
      </c>
      <c r="U387">
        <f>HYPERLINK("https://klasma.github.io/Logging_2305/knärot/A 31138-2025 karta knärot.png", "A 31138-2025")</f>
        <v/>
      </c>
      <c r="V387">
        <f>HYPERLINK("https://klasma.github.io/Logging_2305/klagomål/A 31138-2025 FSC-klagomål.docx", "A 31138-2025")</f>
        <v/>
      </c>
      <c r="W387">
        <f>HYPERLINK("https://klasma.github.io/Logging_2305/klagomålsmail/A 31138-2025 FSC-klagomål mail.docx", "A 31138-2025")</f>
        <v/>
      </c>
      <c r="X387">
        <f>HYPERLINK("https://klasma.github.io/Logging_2305/tillsyn/A 31138-2025 tillsynsbegäran.docx", "A 31138-2025")</f>
        <v/>
      </c>
      <c r="Y387">
        <f>HYPERLINK("https://klasma.github.io/Logging_2305/tillsynsmail/A 31138-2025 tillsynsbegäran mail.docx", "A 31138-2025")</f>
        <v/>
      </c>
    </row>
    <row r="388" ht="15" customHeight="1">
      <c r="A388" t="inlineStr">
        <is>
          <t>A 51177-2025</t>
        </is>
      </c>
      <c r="B388" s="1" t="n">
        <v>45947</v>
      </c>
      <c r="C388" s="1" t="n">
        <v>46200</v>
      </c>
      <c r="D388" t="inlineStr">
        <is>
          <t>JÄMTLANDS LÄN</t>
        </is>
      </c>
      <c r="E388" t="inlineStr">
        <is>
          <t>BRÄCKE</t>
        </is>
      </c>
      <c r="G388" t="n">
        <v>9.6</v>
      </c>
      <c r="H388" t="n">
        <v>0</v>
      </c>
      <c r="I388" t="n">
        <v>1</v>
      </c>
      <c r="J388" t="n">
        <v>0</v>
      </c>
      <c r="K388" t="n">
        <v>0</v>
      </c>
      <c r="L388" t="n">
        <v>0</v>
      </c>
      <c r="M388" t="n">
        <v>0</v>
      </c>
      <c r="N388" t="n">
        <v>0</v>
      </c>
      <c r="O388" t="n">
        <v>0</v>
      </c>
      <c r="P388" t="n">
        <v>0</v>
      </c>
      <c r="Q388" t="n">
        <v>1</v>
      </c>
      <c r="R388" s="2" t="inlineStr">
        <is>
          <t>Vedticka</t>
        </is>
      </c>
      <c r="S388">
        <f>HYPERLINK("https://klasma.github.io/Logging_2305/artfynd/A 51177-2025 artfynd.xlsx", "A 51177-2025")</f>
        <v/>
      </c>
      <c r="T388">
        <f>HYPERLINK("https://klasma.github.io/Logging_2305/kartor/A 51177-2025 karta.png", "A 51177-2025")</f>
        <v/>
      </c>
      <c r="V388">
        <f>HYPERLINK("https://klasma.github.io/Logging_2305/klagomål/A 51177-2025 FSC-klagomål.docx", "A 51177-2025")</f>
        <v/>
      </c>
      <c r="W388">
        <f>HYPERLINK("https://klasma.github.io/Logging_2305/klagomålsmail/A 51177-2025 FSC-klagomål mail.docx", "A 51177-2025")</f>
        <v/>
      </c>
      <c r="X388">
        <f>HYPERLINK("https://klasma.github.io/Logging_2305/tillsyn/A 51177-2025 tillsynsbegäran.docx", "A 51177-2025")</f>
        <v/>
      </c>
      <c r="Y388">
        <f>HYPERLINK("https://klasma.github.io/Logging_2305/tillsynsmail/A 51177-2025 tillsynsbegäran mail.docx", "A 51177-2025")</f>
        <v/>
      </c>
    </row>
    <row r="389" ht="15" customHeight="1">
      <c r="A389" t="inlineStr">
        <is>
          <t>A 41313-2024</t>
        </is>
      </c>
      <c r="B389" s="1" t="n">
        <v>45559</v>
      </c>
      <c r="C389" s="1" t="n">
        <v>46200</v>
      </c>
      <c r="D389" t="inlineStr">
        <is>
          <t>JÄMTLANDS LÄN</t>
        </is>
      </c>
      <c r="E389" t="inlineStr">
        <is>
          <t>BRÄCKE</t>
        </is>
      </c>
      <c r="F389" t="inlineStr">
        <is>
          <t>SCA</t>
        </is>
      </c>
      <c r="G389" t="n">
        <v>3.9</v>
      </c>
      <c r="H389" t="n">
        <v>0</v>
      </c>
      <c r="I389" t="n">
        <v>0</v>
      </c>
      <c r="J389" t="n">
        <v>1</v>
      </c>
      <c r="K389" t="n">
        <v>0</v>
      </c>
      <c r="L389" t="n">
        <v>0</v>
      </c>
      <c r="M389" t="n">
        <v>0</v>
      </c>
      <c r="N389" t="n">
        <v>0</v>
      </c>
      <c r="O389" t="n">
        <v>1</v>
      </c>
      <c r="P389" t="n">
        <v>0</v>
      </c>
      <c r="Q389" t="n">
        <v>1</v>
      </c>
      <c r="R389" s="2" t="inlineStr">
        <is>
          <t>Veckticka</t>
        </is>
      </c>
      <c r="S389">
        <f>HYPERLINK("https://klasma.github.io/Logging_2305/artfynd/A 41313-2024 artfynd.xlsx", "A 41313-2024")</f>
        <v/>
      </c>
      <c r="T389">
        <f>HYPERLINK("https://klasma.github.io/Logging_2305/kartor/A 41313-2024 karta.png", "A 41313-2024")</f>
        <v/>
      </c>
      <c r="V389">
        <f>HYPERLINK("https://klasma.github.io/Logging_2305/klagomål/A 41313-2024 FSC-klagomål.docx", "A 41313-2024")</f>
        <v/>
      </c>
      <c r="W389">
        <f>HYPERLINK("https://klasma.github.io/Logging_2305/klagomålsmail/A 41313-2024 FSC-klagomål mail.docx", "A 41313-2024")</f>
        <v/>
      </c>
      <c r="X389">
        <f>HYPERLINK("https://klasma.github.io/Logging_2305/tillsyn/A 41313-2024 tillsynsbegäran.docx", "A 41313-2024")</f>
        <v/>
      </c>
      <c r="Y389">
        <f>HYPERLINK("https://klasma.github.io/Logging_2305/tillsynsmail/A 41313-2024 tillsynsbegäran mail.docx", "A 41313-2024")</f>
        <v/>
      </c>
    </row>
    <row r="390" ht="15" customHeight="1">
      <c r="A390" t="inlineStr">
        <is>
          <t>A 23062-2026</t>
        </is>
      </c>
      <c r="B390" s="1" t="n">
        <v>46161</v>
      </c>
      <c r="C390" s="1" t="n">
        <v>46200</v>
      </c>
      <c r="D390" t="inlineStr">
        <is>
          <t>JÄMTLANDS LÄN</t>
        </is>
      </c>
      <c r="E390" t="inlineStr">
        <is>
          <t>BRÄCKE</t>
        </is>
      </c>
      <c r="G390" t="n">
        <v>30</v>
      </c>
      <c r="H390" t="n">
        <v>0</v>
      </c>
      <c r="I390" t="n">
        <v>0</v>
      </c>
      <c r="J390" t="n">
        <v>1</v>
      </c>
      <c r="K390" t="n">
        <v>0</v>
      </c>
      <c r="L390" t="n">
        <v>0</v>
      </c>
      <c r="M390" t="n">
        <v>0</v>
      </c>
      <c r="N390" t="n">
        <v>0</v>
      </c>
      <c r="O390" t="n">
        <v>1</v>
      </c>
      <c r="P390" t="n">
        <v>0</v>
      </c>
      <c r="Q390" t="n">
        <v>1</v>
      </c>
      <c r="R390" s="2" t="inlineStr">
        <is>
          <t>Lunglav</t>
        </is>
      </c>
      <c r="S390">
        <f>HYPERLINK("https://klasma.github.io/Logging_2305/artfynd/A 23062-2026 artfynd.xlsx", "A 23062-2026")</f>
        <v/>
      </c>
      <c r="T390">
        <f>HYPERLINK("https://klasma.github.io/Logging_2305/kartor/A 23062-2026 karta.png", "A 23062-2026")</f>
        <v/>
      </c>
      <c r="V390">
        <f>HYPERLINK("https://klasma.github.io/Logging_2305/klagomål/A 23062-2026 FSC-klagomål.docx", "A 23062-2026")</f>
        <v/>
      </c>
      <c r="W390">
        <f>HYPERLINK("https://klasma.github.io/Logging_2305/klagomålsmail/A 23062-2026 FSC-klagomål mail.docx", "A 23062-2026")</f>
        <v/>
      </c>
      <c r="X390">
        <f>HYPERLINK("https://klasma.github.io/Logging_2305/tillsyn/A 23062-2026 tillsynsbegäran.docx", "A 23062-2026")</f>
        <v/>
      </c>
      <c r="Y390">
        <f>HYPERLINK("https://klasma.github.io/Logging_2305/tillsynsmail/A 23062-2026 tillsynsbegäran mail.docx", "A 23062-2026")</f>
        <v/>
      </c>
    </row>
    <row r="391" ht="15" customHeight="1">
      <c r="A391" t="inlineStr">
        <is>
          <t>A 21509-2026</t>
        </is>
      </c>
      <c r="B391" s="1" t="n">
        <v>46148</v>
      </c>
      <c r="C391" s="1" t="n">
        <v>46200</v>
      </c>
      <c r="D391" t="inlineStr">
        <is>
          <t>JÄMTLANDS LÄN</t>
        </is>
      </c>
      <c r="E391" t="inlineStr">
        <is>
          <t>BRÄCKE</t>
        </is>
      </c>
      <c r="F391" t="inlineStr">
        <is>
          <t>SCA</t>
        </is>
      </c>
      <c r="G391" t="n">
        <v>3.9</v>
      </c>
      <c r="H391" t="n">
        <v>1</v>
      </c>
      <c r="I391" t="n">
        <v>1</v>
      </c>
      <c r="J391" t="n">
        <v>0</v>
      </c>
      <c r="K391" t="n">
        <v>0</v>
      </c>
      <c r="L391" t="n">
        <v>0</v>
      </c>
      <c r="M391" t="n">
        <v>0</v>
      </c>
      <c r="N391" t="n">
        <v>0</v>
      </c>
      <c r="O391" t="n">
        <v>0</v>
      </c>
      <c r="P391" t="n">
        <v>0</v>
      </c>
      <c r="Q391" t="n">
        <v>1</v>
      </c>
      <c r="R391" s="2" t="inlineStr">
        <is>
          <t>Spindelblomster</t>
        </is>
      </c>
      <c r="S391">
        <f>HYPERLINK("https://klasma.github.io/Logging_2305/artfynd/A 21509-2026 artfynd.xlsx", "A 21509-2026")</f>
        <v/>
      </c>
      <c r="T391">
        <f>HYPERLINK("https://klasma.github.io/Logging_2305/kartor/A 21509-2026 karta.png", "A 21509-2026")</f>
        <v/>
      </c>
      <c r="V391">
        <f>HYPERLINK("https://klasma.github.io/Logging_2305/klagomål/A 21509-2026 FSC-klagomål.docx", "A 21509-2026")</f>
        <v/>
      </c>
      <c r="W391">
        <f>HYPERLINK("https://klasma.github.io/Logging_2305/klagomålsmail/A 21509-2026 FSC-klagomål mail.docx", "A 21509-2026")</f>
        <v/>
      </c>
      <c r="X391">
        <f>HYPERLINK("https://klasma.github.io/Logging_2305/tillsyn/A 21509-2026 tillsynsbegäran.docx", "A 21509-2026")</f>
        <v/>
      </c>
      <c r="Y391">
        <f>HYPERLINK("https://klasma.github.io/Logging_2305/tillsynsmail/A 21509-2026 tillsynsbegäran mail.docx", "A 21509-2026")</f>
        <v/>
      </c>
    </row>
    <row r="392" ht="15" customHeight="1">
      <c r="A392" t="inlineStr">
        <is>
          <t>A 28489-2026</t>
        </is>
      </c>
      <c r="B392" s="1" t="n">
        <v>46197</v>
      </c>
      <c r="C392" s="1" t="n">
        <v>46200</v>
      </c>
      <c r="D392" t="inlineStr">
        <is>
          <t>JÄMTLANDS LÄN</t>
        </is>
      </c>
      <c r="E392" t="inlineStr">
        <is>
          <t>BRÄCKE</t>
        </is>
      </c>
      <c r="F392" t="inlineStr">
        <is>
          <t>SCA</t>
        </is>
      </c>
      <c r="G392" t="n">
        <v>1.5</v>
      </c>
      <c r="H392" t="n">
        <v>0</v>
      </c>
      <c r="I392" t="n">
        <v>0</v>
      </c>
      <c r="J392" t="n">
        <v>1</v>
      </c>
      <c r="K392" t="n">
        <v>0</v>
      </c>
      <c r="L392" t="n">
        <v>0</v>
      </c>
      <c r="M392" t="n">
        <v>0</v>
      </c>
      <c r="N392" t="n">
        <v>0</v>
      </c>
      <c r="O392" t="n">
        <v>1</v>
      </c>
      <c r="P392" t="n">
        <v>0</v>
      </c>
      <c r="Q392" t="n">
        <v>1</v>
      </c>
      <c r="R392" s="2" t="inlineStr">
        <is>
          <t>Vedskivlav</t>
        </is>
      </c>
      <c r="S392">
        <f>HYPERLINK("https://klasma.github.io/Logging_2305/artfynd/A 28489-2026 artfynd.xlsx", "A 28489-2026")</f>
        <v/>
      </c>
      <c r="T392">
        <f>HYPERLINK("https://klasma.github.io/Logging_2305/kartor/A 28489-2026 karta.png", "A 28489-2026")</f>
        <v/>
      </c>
      <c r="V392">
        <f>HYPERLINK("https://klasma.github.io/Logging_2305/klagomål/A 28489-2026 FSC-klagomål.docx", "A 28489-2026")</f>
        <v/>
      </c>
      <c r="W392">
        <f>HYPERLINK("https://klasma.github.io/Logging_2305/klagomålsmail/A 28489-2026 FSC-klagomål mail.docx", "A 28489-2026")</f>
        <v/>
      </c>
      <c r="X392">
        <f>HYPERLINK("https://klasma.github.io/Logging_2305/tillsyn/A 28489-2026 tillsynsbegäran.docx", "A 28489-2026")</f>
        <v/>
      </c>
      <c r="Y392">
        <f>HYPERLINK("https://klasma.github.io/Logging_2305/tillsynsmail/A 28489-2026 tillsynsbegäran mail.docx", "A 28489-2026")</f>
        <v/>
      </c>
    </row>
    <row r="393" ht="15" customHeight="1">
      <c r="A393" t="inlineStr">
        <is>
          <t>A 39701-2022</t>
        </is>
      </c>
      <c r="B393" s="1" t="n">
        <v>44818</v>
      </c>
      <c r="C393" s="1" t="n">
        <v>46200</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46200</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46200</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51022-2022</t>
        </is>
      </c>
      <c r="B396" s="1" t="n">
        <v>44867</v>
      </c>
      <c r="C396" s="1" t="n">
        <v>46200</v>
      </c>
      <c r="D396" t="inlineStr">
        <is>
          <t>JÄMTLANDS LÄN</t>
        </is>
      </c>
      <c r="E396" t="inlineStr">
        <is>
          <t>BRÄCKE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44752-2022</t>
        </is>
      </c>
      <c r="B397" s="1" t="n">
        <v>44840</v>
      </c>
      <c r="C397" s="1" t="n">
        <v>46200</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46200</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46200</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46200</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46200</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46200</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46200</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46200</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39702-2022</t>
        </is>
      </c>
      <c r="B405" s="1" t="n">
        <v>44818</v>
      </c>
      <c r="C405" s="1" t="n">
        <v>46200</v>
      </c>
      <c r="D405" t="inlineStr">
        <is>
          <t>JÄMTLANDS LÄN</t>
        </is>
      </c>
      <c r="E405" t="inlineStr">
        <is>
          <t>BRÄCKE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37232-2022</t>
        </is>
      </c>
      <c r="B406" s="1" t="n">
        <v>44806</v>
      </c>
      <c r="C406" s="1" t="n">
        <v>46200</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46200</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46200</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46200</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46200</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49838-2022</t>
        </is>
      </c>
      <c r="B411" s="1" t="n">
        <v>44862</v>
      </c>
      <c r="C411" s="1" t="n">
        <v>46200</v>
      </c>
      <c r="D411" t="inlineStr">
        <is>
          <t>JÄMTLANDS LÄN</t>
        </is>
      </c>
      <c r="E411" t="inlineStr">
        <is>
          <t>BRÄCKE</t>
        </is>
      </c>
      <c r="G411" t="n">
        <v>1.1</v>
      </c>
      <c r="H411" t="n">
        <v>0</v>
      </c>
      <c r="I411" t="n">
        <v>0</v>
      </c>
      <c r="J411" t="n">
        <v>0</v>
      </c>
      <c r="K411" t="n">
        <v>0</v>
      </c>
      <c r="L411" t="n">
        <v>0</v>
      </c>
      <c r="M411" t="n">
        <v>0</v>
      </c>
      <c r="N411" t="n">
        <v>0</v>
      </c>
      <c r="O411" t="n">
        <v>0</v>
      </c>
      <c r="P411" t="n">
        <v>0</v>
      </c>
      <c r="Q411" t="n">
        <v>0</v>
      </c>
      <c r="R411" s="2" t="inlineStr"/>
    </row>
    <row r="412" ht="15" customHeight="1">
      <c r="A412" t="inlineStr">
        <is>
          <t>A 21722-2022</t>
        </is>
      </c>
      <c r="B412" s="1" t="n">
        <v>44706</v>
      </c>
      <c r="C412" s="1" t="n">
        <v>46200</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49839-2022</t>
        </is>
      </c>
      <c r="B413" s="1" t="n">
        <v>44862</v>
      </c>
      <c r="C413" s="1" t="n">
        <v>46200</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69155-2021</t>
        </is>
      </c>
      <c r="B414" s="1" t="n">
        <v>44530</v>
      </c>
      <c r="C414" s="1" t="n">
        <v>46200</v>
      </c>
      <c r="D414" t="inlineStr">
        <is>
          <t>JÄMTLANDS LÄN</t>
        </is>
      </c>
      <c r="E414" t="inlineStr">
        <is>
          <t>BRÄCKE</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46200</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46200</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v>
      </c>
      <c r="C417" s="1" t="n">
        <v>46200</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41182-2022</t>
        </is>
      </c>
      <c r="B418" s="1" t="n">
        <v>44825</v>
      </c>
      <c r="C418" s="1" t="n">
        <v>46200</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63534-2021</t>
        </is>
      </c>
      <c r="B419" s="1" t="n">
        <v>44508</v>
      </c>
      <c r="C419" s="1" t="n">
        <v>46200</v>
      </c>
      <c r="D419" t="inlineStr">
        <is>
          <t>JÄMTLANDS LÄN</t>
        </is>
      </c>
      <c r="E419" t="inlineStr">
        <is>
          <t>BRÄCKE</t>
        </is>
      </c>
      <c r="G419" t="n">
        <v>6.6</v>
      </c>
      <c r="H419" t="n">
        <v>0</v>
      </c>
      <c r="I419" t="n">
        <v>0</v>
      </c>
      <c r="J419" t="n">
        <v>0</v>
      </c>
      <c r="K419" t="n">
        <v>0</v>
      </c>
      <c r="L419" t="n">
        <v>0</v>
      </c>
      <c r="M419" t="n">
        <v>0</v>
      </c>
      <c r="N419" t="n">
        <v>0</v>
      </c>
      <c r="O419" t="n">
        <v>0</v>
      </c>
      <c r="P419" t="n">
        <v>0</v>
      </c>
      <c r="Q419" t="n">
        <v>0</v>
      </c>
      <c r="R419" s="2" t="inlineStr"/>
    </row>
    <row r="420" ht="15" customHeight="1">
      <c r="A420" t="inlineStr">
        <is>
          <t>A 43142-2022</t>
        </is>
      </c>
      <c r="B420" s="1" t="n">
        <v>44833</v>
      </c>
      <c r="C420" s="1" t="n">
        <v>46200</v>
      </c>
      <c r="D420" t="inlineStr">
        <is>
          <t>JÄMTLANDS LÄN</t>
        </is>
      </c>
      <c r="E420" t="inlineStr">
        <is>
          <t>BRÄCKE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46200</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v>
      </c>
      <c r="C422" s="1" t="n">
        <v>46200</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v>
      </c>
      <c r="C423" s="1" t="n">
        <v>46200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v>
      </c>
      <c r="C424" s="1" t="n">
        <v>46200</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42806-2021</t>
        </is>
      </c>
      <c r="B425" s="1" t="n">
        <v>44428</v>
      </c>
      <c r="C425" s="1" t="n">
        <v>46200</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48555-2022</t>
        </is>
      </c>
      <c r="B426" s="1" t="n">
        <v>44859</v>
      </c>
      <c r="C426" s="1" t="n">
        <v>46200</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51957-2021</t>
        </is>
      </c>
      <c r="B427" s="1" t="n">
        <v>44462</v>
      </c>
      <c r="C427" s="1" t="n">
        <v>46200</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51020-2022</t>
        </is>
      </c>
      <c r="B428" s="1" t="n">
        <v>44867</v>
      </c>
      <c r="C428" s="1" t="n">
        <v>46200</v>
      </c>
      <c r="D428" t="inlineStr">
        <is>
          <t>JÄMTLANDS LÄN</t>
        </is>
      </c>
      <c r="E428" t="inlineStr">
        <is>
          <t>BRÄCKE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37032-2022</t>
        </is>
      </c>
      <c r="B429" s="1" t="n">
        <v>44806</v>
      </c>
      <c r="C429" s="1" t="n">
        <v>46200</v>
      </c>
      <c r="D429" t="inlineStr">
        <is>
          <t>JÄMTLANDS LÄN</t>
        </is>
      </c>
      <c r="E429" t="inlineStr">
        <is>
          <t>BRÄCKE</t>
        </is>
      </c>
      <c r="G429" t="n">
        <v>0.7</v>
      </c>
      <c r="H429" t="n">
        <v>0</v>
      </c>
      <c r="I429" t="n">
        <v>0</v>
      </c>
      <c r="J429" t="n">
        <v>0</v>
      </c>
      <c r="K429" t="n">
        <v>0</v>
      </c>
      <c r="L429" t="n">
        <v>0</v>
      </c>
      <c r="M429" t="n">
        <v>0</v>
      </c>
      <c r="N429" t="n">
        <v>0</v>
      </c>
      <c r="O429" t="n">
        <v>0</v>
      </c>
      <c r="P429" t="n">
        <v>0</v>
      </c>
      <c r="Q429" t="n">
        <v>0</v>
      </c>
      <c r="R429" s="2" t="inlineStr"/>
    </row>
    <row r="430" ht="15" customHeight="1">
      <c r="A430" t="inlineStr">
        <is>
          <t>A 63995-2021</t>
        </is>
      </c>
      <c r="B430" s="1" t="n">
        <v>44509</v>
      </c>
      <c r="C430" s="1" t="n">
        <v>46200</v>
      </c>
      <c r="D430" t="inlineStr">
        <is>
          <t>JÄMTLANDS LÄN</t>
        </is>
      </c>
      <c r="E430" t="inlineStr">
        <is>
          <t>BRÄCKE</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64002-2021</t>
        </is>
      </c>
      <c r="B431" s="1" t="n">
        <v>44509</v>
      </c>
      <c r="C431" s="1" t="n">
        <v>46200</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62954-2021</t>
        </is>
      </c>
      <c r="B432" s="1" t="n">
        <v>44504</v>
      </c>
      <c r="C432" s="1" t="n">
        <v>46200</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47183-2022</t>
        </is>
      </c>
      <c r="B433" s="1" t="n">
        <v>44851</v>
      </c>
      <c r="C433" s="1" t="n">
        <v>46200</v>
      </c>
      <c r="D433" t="inlineStr">
        <is>
          <t>JÄMTLANDS LÄN</t>
        </is>
      </c>
      <c r="E433" t="inlineStr">
        <is>
          <t>BRÄCKE</t>
        </is>
      </c>
      <c r="G433" t="n">
        <v>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46200</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37234-2022</t>
        </is>
      </c>
      <c r="B435" s="1" t="n">
        <v>44806</v>
      </c>
      <c r="C435" s="1" t="n">
        <v>46200</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70812-2021</t>
        </is>
      </c>
      <c r="B436" s="1" t="n">
        <v>44537</v>
      </c>
      <c r="C436" s="1" t="n">
        <v>46200</v>
      </c>
      <c r="D436" t="inlineStr">
        <is>
          <t>JÄMTLANDS LÄN</t>
        </is>
      </c>
      <c r="E436" t="inlineStr">
        <is>
          <t>BRÄCKE</t>
        </is>
      </c>
      <c r="G436" t="n">
        <v>3.4</v>
      </c>
      <c r="H436" t="n">
        <v>0</v>
      </c>
      <c r="I436" t="n">
        <v>0</v>
      </c>
      <c r="J436" t="n">
        <v>0</v>
      </c>
      <c r="K436" t="n">
        <v>0</v>
      </c>
      <c r="L436" t="n">
        <v>0</v>
      </c>
      <c r="M436" t="n">
        <v>0</v>
      </c>
      <c r="N436" t="n">
        <v>0</v>
      </c>
      <c r="O436" t="n">
        <v>0</v>
      </c>
      <c r="P436" t="n">
        <v>0</v>
      </c>
      <c r="Q436" t="n">
        <v>0</v>
      </c>
      <c r="R436" s="2" t="inlineStr"/>
    </row>
    <row r="437" ht="15" customHeight="1">
      <c r="A437" t="inlineStr">
        <is>
          <t>A 70813-2021</t>
        </is>
      </c>
      <c r="B437" s="1" t="n">
        <v>44537</v>
      </c>
      <c r="C437" s="1" t="n">
        <v>46200</v>
      </c>
      <c r="D437" t="inlineStr">
        <is>
          <t>JÄMTLANDS LÄN</t>
        </is>
      </c>
      <c r="E437" t="inlineStr">
        <is>
          <t>BRÄCKE</t>
        </is>
      </c>
      <c r="G437" t="n">
        <v>5.2</v>
      </c>
      <c r="H437" t="n">
        <v>0</v>
      </c>
      <c r="I437" t="n">
        <v>0</v>
      </c>
      <c r="J437" t="n">
        <v>0</v>
      </c>
      <c r="K437" t="n">
        <v>0</v>
      </c>
      <c r="L437" t="n">
        <v>0</v>
      </c>
      <c r="M437" t="n">
        <v>0</v>
      </c>
      <c r="N437" t="n">
        <v>0</v>
      </c>
      <c r="O437" t="n">
        <v>0</v>
      </c>
      <c r="P437" t="n">
        <v>0</v>
      </c>
      <c r="Q437" t="n">
        <v>0</v>
      </c>
      <c r="R437" s="2" t="inlineStr"/>
    </row>
    <row r="438" ht="15" customHeight="1">
      <c r="A438" t="inlineStr">
        <is>
          <t>A 66285-2021</t>
        </is>
      </c>
      <c r="B438" s="1" t="n">
        <v>44518</v>
      </c>
      <c r="C438" s="1" t="n">
        <v>46200</v>
      </c>
      <c r="D438" t="inlineStr">
        <is>
          <t>JÄMTLANDS LÄN</t>
        </is>
      </c>
      <c r="E438" t="inlineStr">
        <is>
          <t>BRÄCKE</t>
        </is>
      </c>
      <c r="G438" t="n">
        <v>11.9</v>
      </c>
      <c r="H438" t="n">
        <v>0</v>
      </c>
      <c r="I438" t="n">
        <v>0</v>
      </c>
      <c r="J438" t="n">
        <v>0</v>
      </c>
      <c r="K438" t="n">
        <v>0</v>
      </c>
      <c r="L438" t="n">
        <v>0</v>
      </c>
      <c r="M438" t="n">
        <v>0</v>
      </c>
      <c r="N438" t="n">
        <v>0</v>
      </c>
      <c r="O438" t="n">
        <v>0</v>
      </c>
      <c r="P438" t="n">
        <v>0</v>
      </c>
      <c r="Q438" t="n">
        <v>0</v>
      </c>
      <c r="R438" s="2" t="inlineStr"/>
    </row>
    <row r="439" ht="15" customHeight="1">
      <c r="A439" t="inlineStr">
        <is>
          <t>A 19810-2022</t>
        </is>
      </c>
      <c r="B439" s="1" t="n">
        <v>44694</v>
      </c>
      <c r="C439" s="1" t="n">
        <v>46200</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56114-2021</t>
        </is>
      </c>
      <c r="B440" s="1" t="n">
        <v>44477</v>
      </c>
      <c r="C440" s="1" t="n">
        <v>46200</v>
      </c>
      <c r="D440" t="inlineStr">
        <is>
          <t>JÄMTLANDS LÄN</t>
        </is>
      </c>
      <c r="E440" t="inlineStr">
        <is>
          <t>BRÄCKE</t>
        </is>
      </c>
      <c r="G440" t="n">
        <v>12.7</v>
      </c>
      <c r="H440" t="n">
        <v>0</v>
      </c>
      <c r="I440" t="n">
        <v>0</v>
      </c>
      <c r="J440" t="n">
        <v>0</v>
      </c>
      <c r="K440" t="n">
        <v>0</v>
      </c>
      <c r="L440" t="n">
        <v>0</v>
      </c>
      <c r="M440" t="n">
        <v>0</v>
      </c>
      <c r="N440" t="n">
        <v>0</v>
      </c>
      <c r="O440" t="n">
        <v>0</v>
      </c>
      <c r="P440" t="n">
        <v>0</v>
      </c>
      <c r="Q440" t="n">
        <v>0</v>
      </c>
      <c r="R440" s="2" t="inlineStr"/>
    </row>
    <row r="441" ht="15" customHeight="1">
      <c r="A441" t="inlineStr">
        <is>
          <t>A 22702-2022</t>
        </is>
      </c>
      <c r="B441" s="1" t="n">
        <v>44714</v>
      </c>
      <c r="C441" s="1" t="n">
        <v>46200</v>
      </c>
      <c r="D441" t="inlineStr">
        <is>
          <t>JÄMTLANDS LÄN</t>
        </is>
      </c>
      <c r="E441" t="inlineStr">
        <is>
          <t>BRÄCKE</t>
        </is>
      </c>
      <c r="G441" t="n">
        <v>4.6</v>
      </c>
      <c r="H441" t="n">
        <v>0</v>
      </c>
      <c r="I441" t="n">
        <v>0</v>
      </c>
      <c r="J441" t="n">
        <v>0</v>
      </c>
      <c r="K441" t="n">
        <v>0</v>
      </c>
      <c r="L441" t="n">
        <v>0</v>
      </c>
      <c r="M441" t="n">
        <v>0</v>
      </c>
      <c r="N441" t="n">
        <v>0</v>
      </c>
      <c r="O441" t="n">
        <v>0</v>
      </c>
      <c r="P441" t="n">
        <v>0</v>
      </c>
      <c r="Q441" t="n">
        <v>0</v>
      </c>
      <c r="R441" s="2" t="inlineStr"/>
    </row>
    <row r="442" ht="15" customHeight="1">
      <c r="A442" t="inlineStr">
        <is>
          <t>A 31980-2022</t>
        </is>
      </c>
      <c r="B442" s="1" t="n">
        <v>44777</v>
      </c>
      <c r="C442" s="1" t="n">
        <v>46200</v>
      </c>
      <c r="D442" t="inlineStr">
        <is>
          <t>JÄMTLANDS LÄN</t>
        </is>
      </c>
      <c r="E442" t="inlineStr">
        <is>
          <t>BRÄCKE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46200</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26139-2022</t>
        </is>
      </c>
      <c r="B444" s="1" t="n">
        <v>44734</v>
      </c>
      <c r="C444" s="1" t="n">
        <v>46200</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40481-2021</t>
        </is>
      </c>
      <c r="B445" s="1" t="n">
        <v>44419</v>
      </c>
      <c r="C445" s="1" t="n">
        <v>46200</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62953-2021</t>
        </is>
      </c>
      <c r="B446" s="1" t="n">
        <v>44504</v>
      </c>
      <c r="C446" s="1" t="n">
        <v>46200</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31978-2022</t>
        </is>
      </c>
      <c r="B447" s="1" t="n">
        <v>44777</v>
      </c>
      <c r="C447" s="1" t="n">
        <v>46200</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68901-2021</t>
        </is>
      </c>
      <c r="B448" s="1" t="n">
        <v>44526</v>
      </c>
      <c r="C448" s="1" t="n">
        <v>46200</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32964-2022</t>
        </is>
      </c>
      <c r="B449" s="1" t="n">
        <v>44784</v>
      </c>
      <c r="C449" s="1" t="n">
        <v>46200</v>
      </c>
      <c r="D449" t="inlineStr">
        <is>
          <t>JÄMTLANDS LÄN</t>
        </is>
      </c>
      <c r="E449" t="inlineStr">
        <is>
          <t>BRÄCKE</t>
        </is>
      </c>
      <c r="G449" t="n">
        <v>2.6</v>
      </c>
      <c r="H449" t="n">
        <v>0</v>
      </c>
      <c r="I449" t="n">
        <v>0</v>
      </c>
      <c r="J449" t="n">
        <v>0</v>
      </c>
      <c r="K449" t="n">
        <v>0</v>
      </c>
      <c r="L449" t="n">
        <v>0</v>
      </c>
      <c r="M449" t="n">
        <v>0</v>
      </c>
      <c r="N449" t="n">
        <v>0</v>
      </c>
      <c r="O449" t="n">
        <v>0</v>
      </c>
      <c r="P449" t="n">
        <v>0</v>
      </c>
      <c r="Q449" t="n">
        <v>0</v>
      </c>
      <c r="R449" s="2" t="inlineStr"/>
    </row>
    <row r="450" ht="15" customHeight="1">
      <c r="A450" t="inlineStr">
        <is>
          <t>A 46602-2022</t>
        </is>
      </c>
      <c r="B450" s="1" t="n">
        <v>44848</v>
      </c>
      <c r="C450" s="1" t="n">
        <v>46200</v>
      </c>
      <c r="D450" t="inlineStr">
        <is>
          <t>JÄMTLANDS LÄN</t>
        </is>
      </c>
      <c r="E450" t="inlineStr">
        <is>
          <t>BRÄCKE</t>
        </is>
      </c>
      <c r="G450" t="n">
        <v>1.6</v>
      </c>
      <c r="H450" t="n">
        <v>0</v>
      </c>
      <c r="I450" t="n">
        <v>0</v>
      </c>
      <c r="J450" t="n">
        <v>0</v>
      </c>
      <c r="K450" t="n">
        <v>0</v>
      </c>
      <c r="L450" t="n">
        <v>0</v>
      </c>
      <c r="M450" t="n">
        <v>0</v>
      </c>
      <c r="N450" t="n">
        <v>0</v>
      </c>
      <c r="O450" t="n">
        <v>0</v>
      </c>
      <c r="P450" t="n">
        <v>0</v>
      </c>
      <c r="Q450" t="n">
        <v>0</v>
      </c>
      <c r="R450" s="2" t="inlineStr"/>
    </row>
    <row r="451" ht="15" customHeight="1">
      <c r="A451" t="inlineStr">
        <is>
          <t>A 38424-2021</t>
        </is>
      </c>
      <c r="B451" s="1" t="n">
        <v>44406</v>
      </c>
      <c r="C451" s="1" t="n">
        <v>46200</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41817-2022</t>
        </is>
      </c>
      <c r="B452" s="1" t="n">
        <v>44827</v>
      </c>
      <c r="C452" s="1" t="n">
        <v>46200</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58269-2021</t>
        </is>
      </c>
      <c r="B453" s="1" t="n">
        <v>44487</v>
      </c>
      <c r="C453" s="1" t="n">
        <v>46200</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58272-2021</t>
        </is>
      </c>
      <c r="B454" s="1" t="n">
        <v>44487</v>
      </c>
      <c r="C454" s="1" t="n">
        <v>46200</v>
      </c>
      <c r="D454" t="inlineStr">
        <is>
          <t>JÄMTLANDS LÄN</t>
        </is>
      </c>
      <c r="E454" t="inlineStr">
        <is>
          <t>BRÄCKE</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2621-2024</t>
        </is>
      </c>
      <c r="B455" s="1" t="n">
        <v>45313</v>
      </c>
      <c r="C455" s="1" t="n">
        <v>46200</v>
      </c>
      <c r="D455" t="inlineStr">
        <is>
          <t>JÄMTLANDS LÄN</t>
        </is>
      </c>
      <c r="E455" t="inlineStr">
        <is>
          <t>BRÄCKE</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70807-2021</t>
        </is>
      </c>
      <c r="B456" s="1" t="n">
        <v>44537</v>
      </c>
      <c r="C456" s="1" t="n">
        <v>46200</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55523-2022</t>
        </is>
      </c>
      <c r="B457" s="1" t="n">
        <v>44887</v>
      </c>
      <c r="C457" s="1" t="n">
        <v>46200</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54567-2022</t>
        </is>
      </c>
      <c r="B458" s="1" t="n">
        <v>44882</v>
      </c>
      <c r="C458" s="1" t="n">
        <v>46200</v>
      </c>
      <c r="D458" t="inlineStr">
        <is>
          <t>JÄMTLANDS LÄN</t>
        </is>
      </c>
      <c r="E458" t="inlineStr">
        <is>
          <t>BRÄCKE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53662-2022</t>
        </is>
      </c>
      <c r="B459" s="1" t="n">
        <v>44879</v>
      </c>
      <c r="C459" s="1" t="n">
        <v>46200</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46200</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46200</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18221-2022</t>
        </is>
      </c>
      <c r="B462" s="1" t="n">
        <v>44685</v>
      </c>
      <c r="C462" s="1" t="n">
        <v>46200</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46200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2035-2022</t>
        </is>
      </c>
      <c r="B464" s="1" t="n">
        <v>44575</v>
      </c>
      <c r="C464" s="1" t="n">
        <v>46200</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36392-2022</t>
        </is>
      </c>
      <c r="B465" s="1" t="n">
        <v>44803</v>
      </c>
      <c r="C465" s="1" t="n">
        <v>46200</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37238-2021</t>
        </is>
      </c>
      <c r="B466" s="1" t="n">
        <v>44396</v>
      </c>
      <c r="C466" s="1" t="n">
        <v>46200</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v>
      </c>
      <c r="C467" s="1" t="n">
        <v>46200</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24010-2024</t>
        </is>
      </c>
      <c r="B468" s="1" t="n">
        <v>45456</v>
      </c>
      <c r="C468" s="1" t="n">
        <v>46200</v>
      </c>
      <c r="D468" t="inlineStr">
        <is>
          <t>JÄMTLANDS LÄN</t>
        </is>
      </c>
      <c r="E468" t="inlineStr">
        <is>
          <t>BRÄCKE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17738-2022</t>
        </is>
      </c>
      <c r="B469" s="1" t="n">
        <v>44680</v>
      </c>
      <c r="C469" s="1" t="n">
        <v>46200</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52021-2022</t>
        </is>
      </c>
      <c r="B470" s="1" t="n">
        <v>44872</v>
      </c>
      <c r="C470" s="1" t="n">
        <v>46200</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29751-2023</t>
        </is>
      </c>
      <c r="B471" s="1" t="n">
        <v>45107</v>
      </c>
      <c r="C471" s="1" t="n">
        <v>46200</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47559-2021</t>
        </is>
      </c>
      <c r="B472" s="1" t="n">
        <v>44447</v>
      </c>
      <c r="C472" s="1" t="n">
        <v>46200</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10536-2022</t>
        </is>
      </c>
      <c r="B473" s="1" t="n">
        <v>44623</v>
      </c>
      <c r="C473" s="1" t="n">
        <v>46200</v>
      </c>
      <c r="D473" t="inlineStr">
        <is>
          <t>JÄMTLANDS LÄN</t>
        </is>
      </c>
      <c r="E473" t="inlineStr">
        <is>
          <t>BRÄCKE</t>
        </is>
      </c>
      <c r="G473" t="n">
        <v>3.1</v>
      </c>
      <c r="H473" t="n">
        <v>0</v>
      </c>
      <c r="I473" t="n">
        <v>0</v>
      </c>
      <c r="J473" t="n">
        <v>0</v>
      </c>
      <c r="K473" t="n">
        <v>0</v>
      </c>
      <c r="L473" t="n">
        <v>0</v>
      </c>
      <c r="M473" t="n">
        <v>0</v>
      </c>
      <c r="N473" t="n">
        <v>0</v>
      </c>
      <c r="O473" t="n">
        <v>0</v>
      </c>
      <c r="P473" t="n">
        <v>0</v>
      </c>
      <c r="Q473" t="n">
        <v>0</v>
      </c>
      <c r="R473" s="2" t="inlineStr"/>
    </row>
    <row r="474" ht="15" customHeight="1">
      <c r="A474" t="inlineStr">
        <is>
          <t>A 53612-2021</t>
        </is>
      </c>
      <c r="B474" s="1" t="n">
        <v>44469</v>
      </c>
      <c r="C474" s="1" t="n">
        <v>46200</v>
      </c>
      <c r="D474" t="inlineStr">
        <is>
          <t>JÄMTLANDS LÄN</t>
        </is>
      </c>
      <c r="E474" t="inlineStr">
        <is>
          <t>BRÄCKE</t>
        </is>
      </c>
      <c r="G474" t="n">
        <v>1.7</v>
      </c>
      <c r="H474" t="n">
        <v>0</v>
      </c>
      <c r="I474" t="n">
        <v>0</v>
      </c>
      <c r="J474" t="n">
        <v>0</v>
      </c>
      <c r="K474" t="n">
        <v>0</v>
      </c>
      <c r="L474" t="n">
        <v>0</v>
      </c>
      <c r="M474" t="n">
        <v>0</v>
      </c>
      <c r="N474" t="n">
        <v>0</v>
      </c>
      <c r="O474" t="n">
        <v>0</v>
      </c>
      <c r="P474" t="n">
        <v>0</v>
      </c>
      <c r="Q474" t="n">
        <v>0</v>
      </c>
      <c r="R474" s="2" t="inlineStr"/>
    </row>
    <row r="475" ht="15" customHeight="1">
      <c r="A475" t="inlineStr">
        <is>
          <t>A 46793-2021</t>
        </is>
      </c>
      <c r="B475" s="1" t="n">
        <v>44445</v>
      </c>
      <c r="C475" s="1" t="n">
        <v>46200</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45950-2023</t>
        </is>
      </c>
      <c r="B476" s="1" t="n">
        <v>45195</v>
      </c>
      <c r="C476" s="1" t="n">
        <v>46200</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56686-2023</t>
        </is>
      </c>
      <c r="B477" s="1" t="n">
        <v>45243</v>
      </c>
      <c r="C477" s="1" t="n">
        <v>46200</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20267-2024</t>
        </is>
      </c>
      <c r="B478" s="1" t="n">
        <v>45434</v>
      </c>
      <c r="C478" s="1" t="n">
        <v>46200</v>
      </c>
      <c r="D478" t="inlineStr">
        <is>
          <t>JÄMTLANDS LÄN</t>
        </is>
      </c>
      <c r="E478" t="inlineStr">
        <is>
          <t>BRÄCKE</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41825-2024</t>
        </is>
      </c>
      <c r="B479" s="1" t="n">
        <v>45561</v>
      </c>
      <c r="C479" s="1" t="n">
        <v>46200</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30874-2024</t>
        </is>
      </c>
      <c r="B480" s="1" t="n">
        <v>45498</v>
      </c>
      <c r="C480" s="1" t="n">
        <v>46200</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9553-2024</t>
        </is>
      </c>
      <c r="B481" s="1" t="n">
        <v>45360</v>
      </c>
      <c r="C481" s="1" t="n">
        <v>46200</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46024-2022</t>
        </is>
      </c>
      <c r="B482" s="1" t="n">
        <v>44846</v>
      </c>
      <c r="C482" s="1" t="n">
        <v>46200</v>
      </c>
      <c r="D482" t="inlineStr">
        <is>
          <t>JÄMTLANDS LÄN</t>
        </is>
      </c>
      <c r="E482" t="inlineStr">
        <is>
          <t>BRÄCKE</t>
        </is>
      </c>
      <c r="G482" t="n">
        <v>3</v>
      </c>
      <c r="H482" t="n">
        <v>0</v>
      </c>
      <c r="I482" t="n">
        <v>0</v>
      </c>
      <c r="J482" t="n">
        <v>0</v>
      </c>
      <c r="K482" t="n">
        <v>0</v>
      </c>
      <c r="L482" t="n">
        <v>0</v>
      </c>
      <c r="M482" t="n">
        <v>0</v>
      </c>
      <c r="N482" t="n">
        <v>0</v>
      </c>
      <c r="O482" t="n">
        <v>0</v>
      </c>
      <c r="P482" t="n">
        <v>0</v>
      </c>
      <c r="Q482" t="n">
        <v>0</v>
      </c>
      <c r="R482" s="2" t="inlineStr"/>
    </row>
    <row r="483" ht="15" customHeight="1">
      <c r="A483" t="inlineStr">
        <is>
          <t>A 72025-2021</t>
        </is>
      </c>
      <c r="B483" s="1" t="n">
        <v>44540</v>
      </c>
      <c r="C483" s="1" t="n">
        <v>46200</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46200</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58503-2022</t>
        </is>
      </c>
      <c r="B485" s="1" t="n">
        <v>44902</v>
      </c>
      <c r="C485" s="1" t="n">
        <v>46200</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37375-2021</t>
        </is>
      </c>
      <c r="B486" s="1" t="n">
        <v>44397</v>
      </c>
      <c r="C486" s="1" t="n">
        <v>46200</v>
      </c>
      <c r="D486" t="inlineStr">
        <is>
          <t>JÄMTLANDS LÄN</t>
        </is>
      </c>
      <c r="E486" t="inlineStr">
        <is>
          <t>BRÄCKE</t>
        </is>
      </c>
      <c r="F486" t="inlineStr">
        <is>
          <t>SCA</t>
        </is>
      </c>
      <c r="G486" t="n">
        <v>7.3</v>
      </c>
      <c r="H486" t="n">
        <v>0</v>
      </c>
      <c r="I486" t="n">
        <v>0</v>
      </c>
      <c r="J486" t="n">
        <v>0</v>
      </c>
      <c r="K486" t="n">
        <v>0</v>
      </c>
      <c r="L486" t="n">
        <v>0</v>
      </c>
      <c r="M486" t="n">
        <v>0</v>
      </c>
      <c r="N486" t="n">
        <v>0</v>
      </c>
      <c r="O486" t="n">
        <v>0</v>
      </c>
      <c r="P486" t="n">
        <v>0</v>
      </c>
      <c r="Q486" t="n">
        <v>0</v>
      </c>
      <c r="R486" s="2" t="inlineStr"/>
    </row>
    <row r="487" ht="15" customHeight="1">
      <c r="A487" t="inlineStr">
        <is>
          <t>A 12063-2023</t>
        </is>
      </c>
      <c r="B487" s="1" t="n">
        <v>44996</v>
      </c>
      <c r="C487" s="1" t="n">
        <v>46200</v>
      </c>
      <c r="D487" t="inlineStr">
        <is>
          <t>JÄMTLANDS LÄN</t>
        </is>
      </c>
      <c r="E487" t="inlineStr">
        <is>
          <t>BRÄCKE</t>
        </is>
      </c>
      <c r="G487" t="n">
        <v>7.1</v>
      </c>
      <c r="H487" t="n">
        <v>0</v>
      </c>
      <c r="I487" t="n">
        <v>0</v>
      </c>
      <c r="J487" t="n">
        <v>0</v>
      </c>
      <c r="K487" t="n">
        <v>0</v>
      </c>
      <c r="L487" t="n">
        <v>0</v>
      </c>
      <c r="M487" t="n">
        <v>0</v>
      </c>
      <c r="N487" t="n">
        <v>0</v>
      </c>
      <c r="O487" t="n">
        <v>0</v>
      </c>
      <c r="P487" t="n">
        <v>0</v>
      </c>
      <c r="Q487" t="n">
        <v>0</v>
      </c>
      <c r="R487" s="2" t="inlineStr"/>
    </row>
    <row r="488" ht="15" customHeight="1">
      <c r="A488" t="inlineStr">
        <is>
          <t>A 22121-2024</t>
        </is>
      </c>
      <c r="B488" s="1" t="n">
        <v>45443</v>
      </c>
      <c r="C488" s="1" t="n">
        <v>46200</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17577-2022</t>
        </is>
      </c>
      <c r="B489" s="1" t="n">
        <v>44679</v>
      </c>
      <c r="C489" s="1" t="n">
        <v>46200</v>
      </c>
      <c r="D489" t="inlineStr">
        <is>
          <t>JÄMTLANDS LÄN</t>
        </is>
      </c>
      <c r="E489" t="inlineStr">
        <is>
          <t>BRÄCKE</t>
        </is>
      </c>
      <c r="G489" t="n">
        <v>2.8</v>
      </c>
      <c r="H489" t="n">
        <v>0</v>
      </c>
      <c r="I489" t="n">
        <v>0</v>
      </c>
      <c r="J489" t="n">
        <v>0</v>
      </c>
      <c r="K489" t="n">
        <v>0</v>
      </c>
      <c r="L489" t="n">
        <v>0</v>
      </c>
      <c r="M489" t="n">
        <v>0</v>
      </c>
      <c r="N489" t="n">
        <v>0</v>
      </c>
      <c r="O489" t="n">
        <v>0</v>
      </c>
      <c r="P489" t="n">
        <v>0</v>
      </c>
      <c r="Q489" t="n">
        <v>0</v>
      </c>
      <c r="R489" s="2" t="inlineStr"/>
    </row>
    <row r="490" ht="15" customHeight="1">
      <c r="A490" t="inlineStr">
        <is>
          <t>A 41922-2023</t>
        </is>
      </c>
      <c r="B490" s="1" t="n">
        <v>45176</v>
      </c>
      <c r="C490" s="1" t="n">
        <v>46200</v>
      </c>
      <c r="D490" t="inlineStr">
        <is>
          <t>JÄMTLANDS LÄN</t>
        </is>
      </c>
      <c r="E490" t="inlineStr">
        <is>
          <t>BRÄCKE</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58086-2024</t>
        </is>
      </c>
      <c r="B491" s="1" t="n">
        <v>45632</v>
      </c>
      <c r="C491" s="1" t="n">
        <v>46200</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55663-2023</t>
        </is>
      </c>
      <c r="B492" s="1" t="n">
        <v>45238</v>
      </c>
      <c r="C492" s="1" t="n">
        <v>46200</v>
      </c>
      <c r="D492" t="inlineStr">
        <is>
          <t>JÄMTLANDS LÄN</t>
        </is>
      </c>
      <c r="E492" t="inlineStr">
        <is>
          <t>BRÄCKE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58758-2023</t>
        </is>
      </c>
      <c r="B493" s="1" t="n">
        <v>45251</v>
      </c>
      <c r="C493" s="1" t="n">
        <v>46200</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3239-2022</t>
        </is>
      </c>
      <c r="B494" s="1" t="n">
        <v>44582</v>
      </c>
      <c r="C494" s="1" t="n">
        <v>46200</v>
      </c>
      <c r="D494" t="inlineStr">
        <is>
          <t>JÄMTLANDS LÄN</t>
        </is>
      </c>
      <c r="E494" t="inlineStr">
        <is>
          <t>BRÄCKE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20667-2022</t>
        </is>
      </c>
      <c r="B495" s="1" t="n">
        <v>44700</v>
      </c>
      <c r="C495" s="1" t="n">
        <v>46200</v>
      </c>
      <c r="D495" t="inlineStr">
        <is>
          <t>JÄMTLANDS LÄN</t>
        </is>
      </c>
      <c r="E495" t="inlineStr">
        <is>
          <t>BRÄCKE</t>
        </is>
      </c>
      <c r="G495" t="n">
        <v>13.8</v>
      </c>
      <c r="H495" t="n">
        <v>0</v>
      </c>
      <c r="I495" t="n">
        <v>0</v>
      </c>
      <c r="J495" t="n">
        <v>0</v>
      </c>
      <c r="K495" t="n">
        <v>0</v>
      </c>
      <c r="L495" t="n">
        <v>0</v>
      </c>
      <c r="M495" t="n">
        <v>0</v>
      </c>
      <c r="N495" t="n">
        <v>0</v>
      </c>
      <c r="O495" t="n">
        <v>0</v>
      </c>
      <c r="P495" t="n">
        <v>0</v>
      </c>
      <c r="Q495" t="n">
        <v>0</v>
      </c>
      <c r="R495" s="2" t="inlineStr"/>
    </row>
    <row r="496" ht="15" customHeight="1">
      <c r="A496" t="inlineStr">
        <is>
          <t>A 20514-2024</t>
        </is>
      </c>
      <c r="B496" s="1" t="n">
        <v>45435</v>
      </c>
      <c r="C496" s="1" t="n">
        <v>46200</v>
      </c>
      <c r="D496" t="inlineStr">
        <is>
          <t>JÄMTLANDS LÄN</t>
        </is>
      </c>
      <c r="E496" t="inlineStr">
        <is>
          <t>BRÄCKE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61149-2023</t>
        </is>
      </c>
      <c r="B497" s="1" t="n">
        <v>45261</v>
      </c>
      <c r="C497" s="1" t="n">
        <v>46200</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13244-2023</t>
        </is>
      </c>
      <c r="B498" s="1" t="n">
        <v>45002</v>
      </c>
      <c r="C498" s="1" t="n">
        <v>46200</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8052-2022</t>
        </is>
      </c>
      <c r="B499" s="1" t="n">
        <v>44609</v>
      </c>
      <c r="C499" s="1" t="n">
        <v>46200</v>
      </c>
      <c r="D499" t="inlineStr">
        <is>
          <t>JÄMTLANDS LÄN</t>
        </is>
      </c>
      <c r="E499" t="inlineStr">
        <is>
          <t>BRÄCKE</t>
        </is>
      </c>
      <c r="G499" t="n">
        <v>0.6</v>
      </c>
      <c r="H499" t="n">
        <v>0</v>
      </c>
      <c r="I499" t="n">
        <v>0</v>
      </c>
      <c r="J499" t="n">
        <v>0</v>
      </c>
      <c r="K499" t="n">
        <v>0</v>
      </c>
      <c r="L499" t="n">
        <v>0</v>
      </c>
      <c r="M499" t="n">
        <v>0</v>
      </c>
      <c r="N499" t="n">
        <v>0</v>
      </c>
      <c r="O499" t="n">
        <v>0</v>
      </c>
      <c r="P499" t="n">
        <v>0</v>
      </c>
      <c r="Q499" t="n">
        <v>0</v>
      </c>
      <c r="R499" s="2" t="inlineStr"/>
    </row>
    <row r="500" ht="15" customHeight="1">
      <c r="A500" t="inlineStr">
        <is>
          <t>A 59914-2022</t>
        </is>
      </c>
      <c r="B500" s="1" t="n">
        <v>44908</v>
      </c>
      <c r="C500" s="1" t="n">
        <v>46200</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51540-2024</t>
        </is>
      </c>
      <c r="B501" s="1" t="n">
        <v>45604</v>
      </c>
      <c r="C501" s="1" t="n">
        <v>46200</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3866-2025</t>
        </is>
      </c>
      <c r="B502" s="1" t="n">
        <v>45684</v>
      </c>
      <c r="C502" s="1" t="n">
        <v>46200</v>
      </c>
      <c r="D502" t="inlineStr">
        <is>
          <t>JÄMTLANDS LÄN</t>
        </is>
      </c>
      <c r="E502" t="inlineStr">
        <is>
          <t>BRÄCKE</t>
        </is>
      </c>
      <c r="G502" t="n">
        <v>0.6</v>
      </c>
      <c r="H502" t="n">
        <v>0</v>
      </c>
      <c r="I502" t="n">
        <v>0</v>
      </c>
      <c r="J502" t="n">
        <v>0</v>
      </c>
      <c r="K502" t="n">
        <v>0</v>
      </c>
      <c r="L502" t="n">
        <v>0</v>
      </c>
      <c r="M502" t="n">
        <v>0</v>
      </c>
      <c r="N502" t="n">
        <v>0</v>
      </c>
      <c r="O502" t="n">
        <v>0</v>
      </c>
      <c r="P502" t="n">
        <v>0</v>
      </c>
      <c r="Q502" t="n">
        <v>0</v>
      </c>
      <c r="R502" s="2" t="inlineStr"/>
    </row>
    <row r="503" ht="15" customHeight="1">
      <c r="A503" t="inlineStr">
        <is>
          <t>A 73106-2021</t>
        </is>
      </c>
      <c r="B503" s="1" t="n">
        <v>44550</v>
      </c>
      <c r="C503" s="1" t="n">
        <v>46200</v>
      </c>
      <c r="D503" t="inlineStr">
        <is>
          <t>JÄMTLANDS LÄN</t>
        </is>
      </c>
      <c r="E503" t="inlineStr">
        <is>
          <t>BRÄCKE</t>
        </is>
      </c>
      <c r="F503" t="inlineStr">
        <is>
          <t>Sveaskog</t>
        </is>
      </c>
      <c r="G503" t="n">
        <v>5.4</v>
      </c>
      <c r="H503" t="n">
        <v>0</v>
      </c>
      <c r="I503" t="n">
        <v>0</v>
      </c>
      <c r="J503" t="n">
        <v>0</v>
      </c>
      <c r="K503" t="n">
        <v>0</v>
      </c>
      <c r="L503" t="n">
        <v>0</v>
      </c>
      <c r="M503" t="n">
        <v>0</v>
      </c>
      <c r="N503" t="n">
        <v>0</v>
      </c>
      <c r="O503" t="n">
        <v>0</v>
      </c>
      <c r="P503" t="n">
        <v>0</v>
      </c>
      <c r="Q503" t="n">
        <v>0</v>
      </c>
      <c r="R503" s="2" t="inlineStr"/>
    </row>
    <row r="504" ht="15" customHeight="1">
      <c r="A504" t="inlineStr">
        <is>
          <t>A 34138-2023</t>
        </is>
      </c>
      <c r="B504" s="1" t="n">
        <v>45135</v>
      </c>
      <c r="C504" s="1" t="n">
        <v>46200</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34315-2022</t>
        </is>
      </c>
      <c r="B505" s="1" t="n">
        <v>44792</v>
      </c>
      <c r="C505" s="1" t="n">
        <v>46200</v>
      </c>
      <c r="D505" t="inlineStr">
        <is>
          <t>JÄMTLANDS LÄN</t>
        </is>
      </c>
      <c r="E505" t="inlineStr">
        <is>
          <t>BRÄCKE</t>
        </is>
      </c>
      <c r="G505" t="n">
        <v>4.9</v>
      </c>
      <c r="H505" t="n">
        <v>0</v>
      </c>
      <c r="I505" t="n">
        <v>0</v>
      </c>
      <c r="J505" t="n">
        <v>0</v>
      </c>
      <c r="K505" t="n">
        <v>0</v>
      </c>
      <c r="L505" t="n">
        <v>0</v>
      </c>
      <c r="M505" t="n">
        <v>0</v>
      </c>
      <c r="N505" t="n">
        <v>0</v>
      </c>
      <c r="O505" t="n">
        <v>0</v>
      </c>
      <c r="P505" t="n">
        <v>0</v>
      </c>
      <c r="Q505" t="n">
        <v>0</v>
      </c>
      <c r="R505" s="2" t="inlineStr"/>
    </row>
    <row r="506" ht="15" customHeight="1">
      <c r="A506" t="inlineStr">
        <is>
          <t>A 50813-2024</t>
        </is>
      </c>
      <c r="B506" s="1" t="n">
        <v>45602</v>
      </c>
      <c r="C506" s="1" t="n">
        <v>46200</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26302-2024</t>
        </is>
      </c>
      <c r="B507" s="1" t="n">
        <v>45468</v>
      </c>
      <c r="C507" s="1" t="n">
        <v>46200</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65433-2021</t>
        </is>
      </c>
      <c r="B508" s="1" t="n">
        <v>44515</v>
      </c>
      <c r="C508" s="1" t="n">
        <v>46200</v>
      </c>
      <c r="D508" t="inlineStr">
        <is>
          <t>JÄMTLANDS LÄN</t>
        </is>
      </c>
      <c r="E508" t="inlineStr">
        <is>
          <t>BRÄCKE</t>
        </is>
      </c>
      <c r="G508" t="n">
        <v>2.2</v>
      </c>
      <c r="H508" t="n">
        <v>0</v>
      </c>
      <c r="I508" t="n">
        <v>0</v>
      </c>
      <c r="J508" t="n">
        <v>0</v>
      </c>
      <c r="K508" t="n">
        <v>0</v>
      </c>
      <c r="L508" t="n">
        <v>0</v>
      </c>
      <c r="M508" t="n">
        <v>0</v>
      </c>
      <c r="N508" t="n">
        <v>0</v>
      </c>
      <c r="O508" t="n">
        <v>0</v>
      </c>
      <c r="P508" t="n">
        <v>0</v>
      </c>
      <c r="Q508" t="n">
        <v>0</v>
      </c>
      <c r="R508" s="2" t="inlineStr"/>
    </row>
    <row r="509" ht="15" customHeight="1">
      <c r="A509" t="inlineStr">
        <is>
          <t>A 56687-2023</t>
        </is>
      </c>
      <c r="B509" s="1" t="n">
        <v>45243</v>
      </c>
      <c r="C509" s="1" t="n">
        <v>46200</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56688-2023</t>
        </is>
      </c>
      <c r="B510" s="1" t="n">
        <v>45243</v>
      </c>
      <c r="C510" s="1" t="n">
        <v>46200</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25056-2023</t>
        </is>
      </c>
      <c r="B511" s="1" t="n">
        <v>45085</v>
      </c>
      <c r="C511" s="1" t="n">
        <v>46200</v>
      </c>
      <c r="D511" t="inlineStr">
        <is>
          <t>JÄMTLANDS LÄN</t>
        </is>
      </c>
      <c r="E511" t="inlineStr">
        <is>
          <t>BRÄCKE</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10763-2023</t>
        </is>
      </c>
      <c r="B512" s="1" t="n">
        <v>44988</v>
      </c>
      <c r="C512" s="1" t="n">
        <v>46200</v>
      </c>
      <c r="D512" t="inlineStr">
        <is>
          <t>JÄMTLANDS LÄN</t>
        </is>
      </c>
      <c r="E512" t="inlineStr">
        <is>
          <t>BRÄCKE</t>
        </is>
      </c>
      <c r="G512" t="n">
        <v>1.8</v>
      </c>
      <c r="H512" t="n">
        <v>0</v>
      </c>
      <c r="I512" t="n">
        <v>0</v>
      </c>
      <c r="J512" t="n">
        <v>0</v>
      </c>
      <c r="K512" t="n">
        <v>0</v>
      </c>
      <c r="L512" t="n">
        <v>0</v>
      </c>
      <c r="M512" t="n">
        <v>0</v>
      </c>
      <c r="N512" t="n">
        <v>0</v>
      </c>
      <c r="O512" t="n">
        <v>0</v>
      </c>
      <c r="P512" t="n">
        <v>0</v>
      </c>
      <c r="Q512" t="n">
        <v>0</v>
      </c>
      <c r="R512" s="2" t="inlineStr"/>
    </row>
    <row r="513" ht="15" customHeight="1">
      <c r="A513" t="inlineStr">
        <is>
          <t>A 3179-2024</t>
        </is>
      </c>
      <c r="B513" s="1" t="n">
        <v>45316</v>
      </c>
      <c r="C513" s="1" t="n">
        <v>46200</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64266-2023</t>
        </is>
      </c>
      <c r="B514" s="1" t="n">
        <v>45279</v>
      </c>
      <c r="C514" s="1" t="n">
        <v>46200</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49043-2023</t>
        </is>
      </c>
      <c r="B515" s="1" t="n">
        <v>45209</v>
      </c>
      <c r="C515" s="1" t="n">
        <v>46200</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43123-2023</t>
        </is>
      </c>
      <c r="B516" s="1" t="n">
        <v>45182</v>
      </c>
      <c r="C516" s="1" t="n">
        <v>46200</v>
      </c>
      <c r="D516" t="inlineStr">
        <is>
          <t>JÄMTLANDS LÄN</t>
        </is>
      </c>
      <c r="E516" t="inlineStr">
        <is>
          <t>BRÄCKE</t>
        </is>
      </c>
      <c r="F516" t="inlineStr">
        <is>
          <t>Naturvårdsverket</t>
        </is>
      </c>
      <c r="G516" t="n">
        <v>9.9</v>
      </c>
      <c r="H516" t="n">
        <v>0</v>
      </c>
      <c r="I516" t="n">
        <v>0</v>
      </c>
      <c r="J516" t="n">
        <v>0</v>
      </c>
      <c r="K516" t="n">
        <v>0</v>
      </c>
      <c r="L516" t="n">
        <v>0</v>
      </c>
      <c r="M516" t="n">
        <v>0</v>
      </c>
      <c r="N516" t="n">
        <v>0</v>
      </c>
      <c r="O516" t="n">
        <v>0</v>
      </c>
      <c r="P516" t="n">
        <v>0</v>
      </c>
      <c r="Q516" t="n">
        <v>0</v>
      </c>
      <c r="R516" s="2" t="inlineStr"/>
    </row>
    <row r="517" ht="15" customHeight="1">
      <c r="A517" t="inlineStr">
        <is>
          <t>A 60015-2021</t>
        </is>
      </c>
      <c r="B517" s="1" t="n">
        <v>44494</v>
      </c>
      <c r="C517" s="1" t="n">
        <v>46200</v>
      </c>
      <c r="D517" t="inlineStr">
        <is>
          <t>JÄMTLANDS LÄN</t>
        </is>
      </c>
      <c r="E517" t="inlineStr">
        <is>
          <t>BRÄCKE</t>
        </is>
      </c>
      <c r="G517" t="n">
        <v>18.7</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v>
      </c>
      <c r="C518" s="1" t="n">
        <v>46200</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57783-2023</t>
        </is>
      </c>
      <c r="B519" s="1" t="n">
        <v>45246</v>
      </c>
      <c r="C519" s="1" t="n">
        <v>46200</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24717-2022</t>
        </is>
      </c>
      <c r="B520" s="1" t="n">
        <v>44727</v>
      </c>
      <c r="C520" s="1" t="n">
        <v>46200</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57586-2024</t>
        </is>
      </c>
      <c r="B521" s="1" t="n">
        <v>45630</v>
      </c>
      <c r="C521" s="1" t="n">
        <v>46200</v>
      </c>
      <c r="D521" t="inlineStr">
        <is>
          <t>JÄMTLANDS LÄN</t>
        </is>
      </c>
      <c r="E521" t="inlineStr">
        <is>
          <t>BRÄCKE</t>
        </is>
      </c>
      <c r="G521" t="n">
        <v>0.1</v>
      </c>
      <c r="H521" t="n">
        <v>0</v>
      </c>
      <c r="I521" t="n">
        <v>0</v>
      </c>
      <c r="J521" t="n">
        <v>0</v>
      </c>
      <c r="K521" t="n">
        <v>0</v>
      </c>
      <c r="L521" t="n">
        <v>0</v>
      </c>
      <c r="M521" t="n">
        <v>0</v>
      </c>
      <c r="N521" t="n">
        <v>0</v>
      </c>
      <c r="O521" t="n">
        <v>0</v>
      </c>
      <c r="P521" t="n">
        <v>0</v>
      </c>
      <c r="Q521" t="n">
        <v>0</v>
      </c>
      <c r="R521" s="2" t="inlineStr"/>
    </row>
    <row r="522" ht="15" customHeight="1">
      <c r="A522" t="inlineStr">
        <is>
          <t>A 57942-2023</t>
        </is>
      </c>
      <c r="B522" s="1" t="n">
        <v>45244</v>
      </c>
      <c r="C522" s="1" t="n">
        <v>46200</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56641-2022</t>
        </is>
      </c>
      <c r="B523" s="1" t="n">
        <v>44893</v>
      </c>
      <c r="C523" s="1" t="n">
        <v>46200</v>
      </c>
      <c r="D523" t="inlineStr">
        <is>
          <t>JÄMTLANDS LÄN</t>
        </is>
      </c>
      <c r="E523" t="inlineStr">
        <is>
          <t>BRÄCKE</t>
        </is>
      </c>
      <c r="G523" t="n">
        <v>6.9</v>
      </c>
      <c r="H523" t="n">
        <v>0</v>
      </c>
      <c r="I523" t="n">
        <v>0</v>
      </c>
      <c r="J523" t="n">
        <v>0</v>
      </c>
      <c r="K523" t="n">
        <v>0</v>
      </c>
      <c r="L523" t="n">
        <v>0</v>
      </c>
      <c r="M523" t="n">
        <v>0</v>
      </c>
      <c r="N523" t="n">
        <v>0</v>
      </c>
      <c r="O523" t="n">
        <v>0</v>
      </c>
      <c r="P523" t="n">
        <v>0</v>
      </c>
      <c r="Q523" t="n">
        <v>0</v>
      </c>
      <c r="R523" s="2" t="inlineStr"/>
    </row>
    <row r="524" ht="15" customHeight="1">
      <c r="A524" t="inlineStr">
        <is>
          <t>A 1672-2025</t>
        </is>
      </c>
      <c r="B524" s="1" t="n">
        <v>45670</v>
      </c>
      <c r="C524" s="1" t="n">
        <v>46200</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33033-2023</t>
        </is>
      </c>
      <c r="B525" s="1" t="n">
        <v>45125</v>
      </c>
      <c r="C525" s="1" t="n">
        <v>46200</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24432-2024</t>
        </is>
      </c>
      <c r="B526" s="1" t="n">
        <v>45457</v>
      </c>
      <c r="C526" s="1" t="n">
        <v>46200</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23771-2023</t>
        </is>
      </c>
      <c r="B527" s="1" t="n">
        <v>45077</v>
      </c>
      <c r="C527" s="1" t="n">
        <v>46200</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50520-2024</t>
        </is>
      </c>
      <c r="B528" s="1" t="n">
        <v>45601</v>
      </c>
      <c r="C528" s="1" t="n">
        <v>46200</v>
      </c>
      <c r="D528" t="inlineStr">
        <is>
          <t>JÄMTLANDS LÄN</t>
        </is>
      </c>
      <c r="E528" t="inlineStr">
        <is>
          <t>BRÄCKE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v>
      </c>
      <c r="C529" s="1" t="n">
        <v>46200</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32429-2024</t>
        </is>
      </c>
      <c r="B530" s="1" t="n">
        <v>45512</v>
      </c>
      <c r="C530" s="1" t="n">
        <v>46200</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13249-2025</t>
        </is>
      </c>
      <c r="B531" s="1" t="n">
        <v>45735</v>
      </c>
      <c r="C531" s="1" t="n">
        <v>46200</v>
      </c>
      <c r="D531" t="inlineStr">
        <is>
          <t>JÄMTLANDS LÄN</t>
        </is>
      </c>
      <c r="E531" t="inlineStr">
        <is>
          <t>BRÄCKE</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48425-2023</t>
        </is>
      </c>
      <c r="B532" s="1" t="n">
        <v>45205</v>
      </c>
      <c r="C532" s="1" t="n">
        <v>46200</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12900-2023</t>
        </is>
      </c>
      <c r="B533" s="1" t="n">
        <v>45001</v>
      </c>
      <c r="C533" s="1" t="n">
        <v>46200</v>
      </c>
      <c r="D533" t="inlineStr">
        <is>
          <t>JÄMTLANDS LÄN</t>
        </is>
      </c>
      <c r="E533" t="inlineStr">
        <is>
          <t>BRÄCKE</t>
        </is>
      </c>
      <c r="G533" t="n">
        <v>1.3</v>
      </c>
      <c r="H533" t="n">
        <v>0</v>
      </c>
      <c r="I533" t="n">
        <v>0</v>
      </c>
      <c r="J533" t="n">
        <v>0</v>
      </c>
      <c r="K533" t="n">
        <v>0</v>
      </c>
      <c r="L533" t="n">
        <v>0</v>
      </c>
      <c r="M533" t="n">
        <v>0</v>
      </c>
      <c r="N533" t="n">
        <v>0</v>
      </c>
      <c r="O533" t="n">
        <v>0</v>
      </c>
      <c r="P533" t="n">
        <v>0</v>
      </c>
      <c r="Q533" t="n">
        <v>0</v>
      </c>
      <c r="R533" s="2" t="inlineStr"/>
    </row>
    <row r="534" ht="15" customHeight="1">
      <c r="A534" t="inlineStr">
        <is>
          <t>A 41831-2024</t>
        </is>
      </c>
      <c r="B534" s="1" t="n">
        <v>45561</v>
      </c>
      <c r="C534" s="1" t="n">
        <v>46200</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47983-2021</t>
        </is>
      </c>
      <c r="B535" s="1" t="n">
        <v>44448</v>
      </c>
      <c r="C535" s="1" t="n">
        <v>46200</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49721-2024</t>
        </is>
      </c>
      <c r="B536" s="1" t="n">
        <v>45596</v>
      </c>
      <c r="C536" s="1" t="n">
        <v>46200</v>
      </c>
      <c r="D536" t="inlineStr">
        <is>
          <t>JÄMTLANDS LÄN</t>
        </is>
      </c>
      <c r="E536" t="inlineStr">
        <is>
          <t>BRÄCKE</t>
        </is>
      </c>
      <c r="G536" t="n">
        <v>1.6</v>
      </c>
      <c r="H536" t="n">
        <v>0</v>
      </c>
      <c r="I536" t="n">
        <v>0</v>
      </c>
      <c r="J536" t="n">
        <v>0</v>
      </c>
      <c r="K536" t="n">
        <v>0</v>
      </c>
      <c r="L536" t="n">
        <v>0</v>
      </c>
      <c r="M536" t="n">
        <v>0</v>
      </c>
      <c r="N536" t="n">
        <v>0</v>
      </c>
      <c r="O536" t="n">
        <v>0</v>
      </c>
      <c r="P536" t="n">
        <v>0</v>
      </c>
      <c r="Q536" t="n">
        <v>0</v>
      </c>
      <c r="R536" s="2" t="inlineStr"/>
    </row>
    <row r="537" ht="15" customHeight="1">
      <c r="A537" t="inlineStr">
        <is>
          <t>A 14601-2025</t>
        </is>
      </c>
      <c r="B537" s="1" t="n">
        <v>45742</v>
      </c>
      <c r="C537" s="1" t="n">
        <v>46200</v>
      </c>
      <c r="D537" t="inlineStr">
        <is>
          <t>JÄMTLANDS LÄN</t>
        </is>
      </c>
      <c r="E537" t="inlineStr">
        <is>
          <t>BRÄCKE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64643-2023</t>
        </is>
      </c>
      <c r="B538" s="1" t="n">
        <v>45281</v>
      </c>
      <c r="C538" s="1" t="n">
        <v>46200</v>
      </c>
      <c r="D538" t="inlineStr">
        <is>
          <t>JÄMTLANDS LÄN</t>
        </is>
      </c>
      <c r="E538" t="inlineStr">
        <is>
          <t>BRÄCKE</t>
        </is>
      </c>
      <c r="G538" t="n">
        <v>0.6</v>
      </c>
      <c r="H538" t="n">
        <v>0</v>
      </c>
      <c r="I538" t="n">
        <v>0</v>
      </c>
      <c r="J538" t="n">
        <v>0</v>
      </c>
      <c r="K538" t="n">
        <v>0</v>
      </c>
      <c r="L538" t="n">
        <v>0</v>
      </c>
      <c r="M538" t="n">
        <v>0</v>
      </c>
      <c r="N538" t="n">
        <v>0</v>
      </c>
      <c r="O538" t="n">
        <v>0</v>
      </c>
      <c r="P538" t="n">
        <v>0</v>
      </c>
      <c r="Q538" t="n">
        <v>0</v>
      </c>
      <c r="R538" s="2" t="inlineStr"/>
    </row>
    <row r="539" ht="15" customHeight="1">
      <c r="A539" t="inlineStr">
        <is>
          <t>A 50223-2023</t>
        </is>
      </c>
      <c r="B539" s="1" t="n">
        <v>45215</v>
      </c>
      <c r="C539" s="1" t="n">
        <v>46200</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48816-2022</t>
        </is>
      </c>
      <c r="B540" s="1" t="n">
        <v>44859</v>
      </c>
      <c r="C540" s="1" t="n">
        <v>46200</v>
      </c>
      <c r="D540" t="inlineStr">
        <is>
          <t>JÄMTLANDS LÄN</t>
        </is>
      </c>
      <c r="E540" t="inlineStr">
        <is>
          <t>BRÄCKE</t>
        </is>
      </c>
      <c r="G540" t="n">
        <v>13.3</v>
      </c>
      <c r="H540" t="n">
        <v>0</v>
      </c>
      <c r="I540" t="n">
        <v>0</v>
      </c>
      <c r="J540" t="n">
        <v>0</v>
      </c>
      <c r="K540" t="n">
        <v>0</v>
      </c>
      <c r="L540" t="n">
        <v>0</v>
      </c>
      <c r="M540" t="n">
        <v>0</v>
      </c>
      <c r="N540" t="n">
        <v>0</v>
      </c>
      <c r="O540" t="n">
        <v>0</v>
      </c>
      <c r="P540" t="n">
        <v>0</v>
      </c>
      <c r="Q540" t="n">
        <v>0</v>
      </c>
      <c r="R540" s="2" t="inlineStr"/>
    </row>
    <row r="541" ht="15" customHeight="1">
      <c r="A541" t="inlineStr">
        <is>
          <t>A 24195-2023</t>
        </is>
      </c>
      <c r="B541" s="1" t="n">
        <v>45079</v>
      </c>
      <c r="C541" s="1" t="n">
        <v>46200</v>
      </c>
      <c r="D541" t="inlineStr">
        <is>
          <t>JÄMTLANDS LÄN</t>
        </is>
      </c>
      <c r="E541" t="inlineStr">
        <is>
          <t>BRÄCKE</t>
        </is>
      </c>
      <c r="G541" t="n">
        <v>1.5</v>
      </c>
      <c r="H541" t="n">
        <v>0</v>
      </c>
      <c r="I541" t="n">
        <v>0</v>
      </c>
      <c r="J541" t="n">
        <v>0</v>
      </c>
      <c r="K541" t="n">
        <v>0</v>
      </c>
      <c r="L541" t="n">
        <v>0</v>
      </c>
      <c r="M541" t="n">
        <v>0</v>
      </c>
      <c r="N541" t="n">
        <v>0</v>
      </c>
      <c r="O541" t="n">
        <v>0</v>
      </c>
      <c r="P541" t="n">
        <v>0</v>
      </c>
      <c r="Q541" t="n">
        <v>0</v>
      </c>
      <c r="R541" s="2" t="inlineStr"/>
    </row>
    <row r="542" ht="15" customHeight="1">
      <c r="A542" t="inlineStr">
        <is>
          <t>A 6291-2025</t>
        </is>
      </c>
      <c r="B542" s="1" t="n">
        <v>45698</v>
      </c>
      <c r="C542" s="1" t="n">
        <v>46200</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3389-2024</t>
        </is>
      </c>
      <c r="B543" s="1" t="n">
        <v>45317</v>
      </c>
      <c r="C543" s="1" t="n">
        <v>46200</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49646-2023</t>
        </is>
      </c>
      <c r="B544" s="1" t="n">
        <v>45211</v>
      </c>
      <c r="C544" s="1" t="n">
        <v>46200</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4904-2025</t>
        </is>
      </c>
      <c r="B545" s="1" t="n">
        <v>45688</v>
      </c>
      <c r="C545" s="1" t="n">
        <v>46200</v>
      </c>
      <c r="D545" t="inlineStr">
        <is>
          <t>JÄMTLANDS LÄN</t>
        </is>
      </c>
      <c r="E545" t="inlineStr">
        <is>
          <t>BRÄCKE</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62249-2021</t>
        </is>
      </c>
      <c r="B546" s="1" t="n">
        <v>44503</v>
      </c>
      <c r="C546" s="1" t="n">
        <v>46200</v>
      </c>
      <c r="D546" t="inlineStr">
        <is>
          <t>JÄMTLANDS LÄN</t>
        </is>
      </c>
      <c r="E546" t="inlineStr">
        <is>
          <t>BRÄCKE</t>
        </is>
      </c>
      <c r="G546" t="n">
        <v>2.9</v>
      </c>
      <c r="H546" t="n">
        <v>0</v>
      </c>
      <c r="I546" t="n">
        <v>0</v>
      </c>
      <c r="J546" t="n">
        <v>0</v>
      </c>
      <c r="K546" t="n">
        <v>0</v>
      </c>
      <c r="L546" t="n">
        <v>0</v>
      </c>
      <c r="M546" t="n">
        <v>0</v>
      </c>
      <c r="N546" t="n">
        <v>0</v>
      </c>
      <c r="O546" t="n">
        <v>0</v>
      </c>
      <c r="P546" t="n">
        <v>0</v>
      </c>
      <c r="Q546" t="n">
        <v>0</v>
      </c>
      <c r="R546" s="2" t="inlineStr"/>
    </row>
    <row r="547" ht="15" customHeight="1">
      <c r="A547" t="inlineStr">
        <is>
          <t>A 20879-2023</t>
        </is>
      </c>
      <c r="B547" s="1" t="n">
        <v>45058</v>
      </c>
      <c r="C547" s="1" t="n">
        <v>46200</v>
      </c>
      <c r="D547" t="inlineStr">
        <is>
          <t>JÄMTLANDS LÄN</t>
        </is>
      </c>
      <c r="E547" t="inlineStr">
        <is>
          <t>BRÄCKE</t>
        </is>
      </c>
      <c r="F547" t="inlineStr">
        <is>
          <t>Naturvårdsverket</t>
        </is>
      </c>
      <c r="G547" t="n">
        <v>0.9</v>
      </c>
      <c r="H547" t="n">
        <v>0</v>
      </c>
      <c r="I547" t="n">
        <v>0</v>
      </c>
      <c r="J547" t="n">
        <v>0</v>
      </c>
      <c r="K547" t="n">
        <v>0</v>
      </c>
      <c r="L547" t="n">
        <v>0</v>
      </c>
      <c r="M547" t="n">
        <v>0</v>
      </c>
      <c r="N547" t="n">
        <v>0</v>
      </c>
      <c r="O547" t="n">
        <v>0</v>
      </c>
      <c r="P547" t="n">
        <v>0</v>
      </c>
      <c r="Q547" t="n">
        <v>0</v>
      </c>
      <c r="R547" s="2" t="inlineStr"/>
    </row>
    <row r="548" ht="15" customHeight="1">
      <c r="A548" t="inlineStr">
        <is>
          <t>A 18965-2025</t>
        </is>
      </c>
      <c r="B548" s="1" t="n">
        <v>45764</v>
      </c>
      <c r="C548" s="1" t="n">
        <v>46200</v>
      </c>
      <c r="D548" t="inlineStr">
        <is>
          <t>JÄMTLANDS LÄN</t>
        </is>
      </c>
      <c r="E548" t="inlineStr">
        <is>
          <t>BRÄCKE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18982-2025</t>
        </is>
      </c>
      <c r="B549" s="1" t="n">
        <v>45764</v>
      </c>
      <c r="C549" s="1" t="n">
        <v>46200</v>
      </c>
      <c r="D549" t="inlineStr">
        <is>
          <t>JÄMTLANDS LÄN</t>
        </is>
      </c>
      <c r="E549" t="inlineStr">
        <is>
          <t>BRÄCKE</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43785-2022</t>
        </is>
      </c>
      <c r="B550" s="1" t="n">
        <v>44837</v>
      </c>
      <c r="C550" s="1" t="n">
        <v>46200</v>
      </c>
      <c r="D550" t="inlineStr">
        <is>
          <t>JÄMTLANDS LÄN</t>
        </is>
      </c>
      <c r="E550" t="inlineStr">
        <is>
          <t>BRÄCKE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7027-2022</t>
        </is>
      </c>
      <c r="B551" s="1" t="n">
        <v>44603</v>
      </c>
      <c r="C551" s="1" t="n">
        <v>46200</v>
      </c>
      <c r="D551" t="inlineStr">
        <is>
          <t>JÄMTLANDS LÄN</t>
        </is>
      </c>
      <c r="E551" t="inlineStr">
        <is>
          <t>BRÄCKE</t>
        </is>
      </c>
      <c r="G551" t="n">
        <v>3.7</v>
      </c>
      <c r="H551" t="n">
        <v>0</v>
      </c>
      <c r="I551" t="n">
        <v>0</v>
      </c>
      <c r="J551" t="n">
        <v>0</v>
      </c>
      <c r="K551" t="n">
        <v>0</v>
      </c>
      <c r="L551" t="n">
        <v>0</v>
      </c>
      <c r="M551" t="n">
        <v>0</v>
      </c>
      <c r="N551" t="n">
        <v>0</v>
      </c>
      <c r="O551" t="n">
        <v>0</v>
      </c>
      <c r="P551" t="n">
        <v>0</v>
      </c>
      <c r="Q551" t="n">
        <v>0</v>
      </c>
      <c r="R551" s="2" t="inlineStr"/>
    </row>
    <row r="552" ht="15" customHeight="1">
      <c r="A552" t="inlineStr">
        <is>
          <t>A 30483-2022</t>
        </is>
      </c>
      <c r="B552" s="1" t="n">
        <v>44761</v>
      </c>
      <c r="C552" s="1" t="n">
        <v>46200</v>
      </c>
      <c r="D552" t="inlineStr">
        <is>
          <t>JÄMTLANDS LÄN</t>
        </is>
      </c>
      <c r="E552" t="inlineStr">
        <is>
          <t>BRÄCKE</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40313-2021</t>
        </is>
      </c>
      <c r="B553" s="1" t="n">
        <v>44419</v>
      </c>
      <c r="C553" s="1" t="n">
        <v>46200</v>
      </c>
      <c r="D553" t="inlineStr">
        <is>
          <t>JÄMTLANDS LÄN</t>
        </is>
      </c>
      <c r="E553" t="inlineStr">
        <is>
          <t>BRÄCKE</t>
        </is>
      </c>
      <c r="G553" t="n">
        <v>5.7</v>
      </c>
      <c r="H553" t="n">
        <v>0</v>
      </c>
      <c r="I553" t="n">
        <v>0</v>
      </c>
      <c r="J553" t="n">
        <v>0</v>
      </c>
      <c r="K553" t="n">
        <v>0</v>
      </c>
      <c r="L553" t="n">
        <v>0</v>
      </c>
      <c r="M553" t="n">
        <v>0</v>
      </c>
      <c r="N553" t="n">
        <v>0</v>
      </c>
      <c r="O553" t="n">
        <v>0</v>
      </c>
      <c r="P553" t="n">
        <v>0</v>
      </c>
      <c r="Q553" t="n">
        <v>0</v>
      </c>
      <c r="R553" s="2" t="inlineStr"/>
    </row>
    <row r="554" ht="15" customHeight="1">
      <c r="A554" t="inlineStr">
        <is>
          <t>A 24056-2022</t>
        </is>
      </c>
      <c r="B554" s="1" t="n">
        <v>44724</v>
      </c>
      <c r="C554" s="1" t="n">
        <v>46200</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58740-2023</t>
        </is>
      </c>
      <c r="B555" s="1" t="n">
        <v>45251</v>
      </c>
      <c r="C555" s="1" t="n">
        <v>46200</v>
      </c>
      <c r="D555" t="inlineStr">
        <is>
          <t>JÄMTLANDS LÄN</t>
        </is>
      </c>
      <c r="E555" t="inlineStr">
        <is>
          <t>BRÄCKE</t>
        </is>
      </c>
      <c r="G555" t="n">
        <v>1.4</v>
      </c>
      <c r="H555" t="n">
        <v>0</v>
      </c>
      <c r="I555" t="n">
        <v>0</v>
      </c>
      <c r="J555" t="n">
        <v>0</v>
      </c>
      <c r="K555" t="n">
        <v>0</v>
      </c>
      <c r="L555" t="n">
        <v>0</v>
      </c>
      <c r="M555" t="n">
        <v>0</v>
      </c>
      <c r="N555" t="n">
        <v>0</v>
      </c>
      <c r="O555" t="n">
        <v>0</v>
      </c>
      <c r="P555" t="n">
        <v>0</v>
      </c>
      <c r="Q555" t="n">
        <v>0</v>
      </c>
      <c r="R555" s="2" t="inlineStr"/>
    </row>
    <row r="556" ht="15" customHeight="1">
      <c r="A556" t="inlineStr">
        <is>
          <t>A 20624-2023</t>
        </is>
      </c>
      <c r="B556" s="1" t="n">
        <v>45057</v>
      </c>
      <c r="C556" s="1" t="n">
        <v>46200</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11310-2025</t>
        </is>
      </c>
      <c r="B557" s="1" t="n">
        <v>45726</v>
      </c>
      <c r="C557" s="1" t="n">
        <v>46200</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14664-2024</t>
        </is>
      </c>
      <c r="B558" s="1" t="n">
        <v>45397</v>
      </c>
      <c r="C558" s="1" t="n">
        <v>46200</v>
      </c>
      <c r="D558" t="inlineStr">
        <is>
          <t>JÄMTLANDS LÄN</t>
        </is>
      </c>
      <c r="E558" t="inlineStr">
        <is>
          <t>BRÄCKE</t>
        </is>
      </c>
      <c r="G558" t="n">
        <v>4.5</v>
      </c>
      <c r="H558" t="n">
        <v>0</v>
      </c>
      <c r="I558" t="n">
        <v>0</v>
      </c>
      <c r="J558" t="n">
        <v>0</v>
      </c>
      <c r="K558" t="n">
        <v>0</v>
      </c>
      <c r="L558" t="n">
        <v>0</v>
      </c>
      <c r="M558" t="n">
        <v>0</v>
      </c>
      <c r="N558" t="n">
        <v>0</v>
      </c>
      <c r="O558" t="n">
        <v>0</v>
      </c>
      <c r="P558" t="n">
        <v>0</v>
      </c>
      <c r="Q558" t="n">
        <v>0</v>
      </c>
      <c r="R558" s="2" t="inlineStr"/>
    </row>
    <row r="559" ht="15" customHeight="1">
      <c r="A559" t="inlineStr">
        <is>
          <t>A 6362-2024</t>
        </is>
      </c>
      <c r="B559" s="1" t="n">
        <v>45338</v>
      </c>
      <c r="C559" s="1" t="n">
        <v>46200</v>
      </c>
      <c r="D559" t="inlineStr">
        <is>
          <t>JÄMTLANDS LÄN</t>
        </is>
      </c>
      <c r="E559" t="inlineStr">
        <is>
          <t>BRÄCKE</t>
        </is>
      </c>
      <c r="G559" t="n">
        <v>4</v>
      </c>
      <c r="H559" t="n">
        <v>0</v>
      </c>
      <c r="I559" t="n">
        <v>0</v>
      </c>
      <c r="J559" t="n">
        <v>0</v>
      </c>
      <c r="K559" t="n">
        <v>0</v>
      </c>
      <c r="L559" t="n">
        <v>0</v>
      </c>
      <c r="M559" t="n">
        <v>0</v>
      </c>
      <c r="N559" t="n">
        <v>0</v>
      </c>
      <c r="O559" t="n">
        <v>0</v>
      </c>
      <c r="P559" t="n">
        <v>0</v>
      </c>
      <c r="Q559" t="n">
        <v>0</v>
      </c>
      <c r="R559" s="2" t="inlineStr"/>
    </row>
    <row r="560" ht="15" customHeight="1">
      <c r="A560" t="inlineStr">
        <is>
          <t>A 12452-2025</t>
        </is>
      </c>
      <c r="B560" s="1" t="n">
        <v>45730</v>
      </c>
      <c r="C560" s="1" t="n">
        <v>46200</v>
      </c>
      <c r="D560" t="inlineStr">
        <is>
          <t>JÄMTLANDS LÄN</t>
        </is>
      </c>
      <c r="E560" t="inlineStr">
        <is>
          <t>BRÄCKE</t>
        </is>
      </c>
      <c r="G560" t="n">
        <v>2.5</v>
      </c>
      <c r="H560" t="n">
        <v>0</v>
      </c>
      <c r="I560" t="n">
        <v>0</v>
      </c>
      <c r="J560" t="n">
        <v>0</v>
      </c>
      <c r="K560" t="n">
        <v>0</v>
      </c>
      <c r="L560" t="n">
        <v>0</v>
      </c>
      <c r="M560" t="n">
        <v>0</v>
      </c>
      <c r="N560" t="n">
        <v>0</v>
      </c>
      <c r="O560" t="n">
        <v>0</v>
      </c>
      <c r="P560" t="n">
        <v>0</v>
      </c>
      <c r="Q560" t="n">
        <v>0</v>
      </c>
      <c r="R560" s="2" t="inlineStr"/>
    </row>
    <row r="561" ht="15" customHeight="1">
      <c r="A561" t="inlineStr">
        <is>
          <t>A 53278-2022</t>
        </is>
      </c>
      <c r="B561" s="1" t="n">
        <v>44876</v>
      </c>
      <c r="C561" s="1" t="n">
        <v>46200</v>
      </c>
      <c r="D561" t="inlineStr">
        <is>
          <t>JÄMTLANDS LÄN</t>
        </is>
      </c>
      <c r="E561" t="inlineStr">
        <is>
          <t>BRÄCKE</t>
        </is>
      </c>
      <c r="G561" t="n">
        <v>2</v>
      </c>
      <c r="H561" t="n">
        <v>0</v>
      </c>
      <c r="I561" t="n">
        <v>0</v>
      </c>
      <c r="J561" t="n">
        <v>0</v>
      </c>
      <c r="K561" t="n">
        <v>0</v>
      </c>
      <c r="L561" t="n">
        <v>0</v>
      </c>
      <c r="M561" t="n">
        <v>0</v>
      </c>
      <c r="N561" t="n">
        <v>0</v>
      </c>
      <c r="O561" t="n">
        <v>0</v>
      </c>
      <c r="P561" t="n">
        <v>0</v>
      </c>
      <c r="Q561" t="n">
        <v>0</v>
      </c>
      <c r="R561" s="2" t="inlineStr"/>
    </row>
    <row r="562" ht="15" customHeight="1">
      <c r="A562" t="inlineStr">
        <is>
          <t>A 64302-2023</t>
        </is>
      </c>
      <c r="B562" s="1" t="n">
        <v>45280</v>
      </c>
      <c r="C562" s="1" t="n">
        <v>46200</v>
      </c>
      <c r="D562" t="inlineStr">
        <is>
          <t>JÄMTLANDS LÄN</t>
        </is>
      </c>
      <c r="E562" t="inlineStr">
        <is>
          <t>BRÄCKE</t>
        </is>
      </c>
      <c r="G562" t="n">
        <v>0.6</v>
      </c>
      <c r="H562" t="n">
        <v>0</v>
      </c>
      <c r="I562" t="n">
        <v>0</v>
      </c>
      <c r="J562" t="n">
        <v>0</v>
      </c>
      <c r="K562" t="n">
        <v>0</v>
      </c>
      <c r="L562" t="n">
        <v>0</v>
      </c>
      <c r="M562" t="n">
        <v>0</v>
      </c>
      <c r="N562" t="n">
        <v>0</v>
      </c>
      <c r="O562" t="n">
        <v>0</v>
      </c>
      <c r="P562" t="n">
        <v>0</v>
      </c>
      <c r="Q562" t="n">
        <v>0</v>
      </c>
      <c r="R562" s="2" t="inlineStr"/>
    </row>
    <row r="563" ht="15" customHeight="1">
      <c r="A563" t="inlineStr">
        <is>
          <t>A 21781-2023</t>
        </is>
      </c>
      <c r="B563" s="1" t="n">
        <v>45065</v>
      </c>
      <c r="C563" s="1" t="n">
        <v>46200</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57590-2024</t>
        </is>
      </c>
      <c r="B564" s="1" t="n">
        <v>45630</v>
      </c>
      <c r="C564" s="1" t="n">
        <v>46200</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35501-2022</t>
        </is>
      </c>
      <c r="B565" s="1" t="n">
        <v>44798</v>
      </c>
      <c r="C565" s="1" t="n">
        <v>46200</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12891-2024</t>
        </is>
      </c>
      <c r="B566" s="1" t="n">
        <v>45385</v>
      </c>
      <c r="C566" s="1" t="n">
        <v>46200</v>
      </c>
      <c r="D566" t="inlineStr">
        <is>
          <t>JÄMTLANDS LÄN</t>
        </is>
      </c>
      <c r="E566" t="inlineStr">
        <is>
          <t>BRÄCKE</t>
        </is>
      </c>
      <c r="F566" t="inlineStr">
        <is>
          <t>Kyrkan</t>
        </is>
      </c>
      <c r="G566" t="n">
        <v>0.4</v>
      </c>
      <c r="H566" t="n">
        <v>0</v>
      </c>
      <c r="I566" t="n">
        <v>0</v>
      </c>
      <c r="J566" t="n">
        <v>0</v>
      </c>
      <c r="K566" t="n">
        <v>0</v>
      </c>
      <c r="L566" t="n">
        <v>0</v>
      </c>
      <c r="M566" t="n">
        <v>0</v>
      </c>
      <c r="N566" t="n">
        <v>0</v>
      </c>
      <c r="O566" t="n">
        <v>0</v>
      </c>
      <c r="P566" t="n">
        <v>0</v>
      </c>
      <c r="Q566" t="n">
        <v>0</v>
      </c>
      <c r="R566" s="2" t="inlineStr"/>
    </row>
    <row r="567" ht="15" customHeight="1">
      <c r="A567" t="inlineStr">
        <is>
          <t>A 59417-2023</t>
        </is>
      </c>
      <c r="B567" s="1" t="n">
        <v>45253</v>
      </c>
      <c r="C567" s="1" t="n">
        <v>46200</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54243-2022</t>
        </is>
      </c>
      <c r="B568" s="1" t="n">
        <v>44881</v>
      </c>
      <c r="C568" s="1" t="n">
        <v>46200</v>
      </c>
      <c r="D568" t="inlineStr">
        <is>
          <t>JÄMTLANDS LÄN</t>
        </is>
      </c>
      <c r="E568" t="inlineStr">
        <is>
          <t>BRÄCKE</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53260-2024</t>
        </is>
      </c>
      <c r="B569" s="1" t="n">
        <v>45614</v>
      </c>
      <c r="C569" s="1" t="n">
        <v>46200</v>
      </c>
      <c r="D569" t="inlineStr">
        <is>
          <t>JÄMTLANDS LÄN</t>
        </is>
      </c>
      <c r="E569" t="inlineStr">
        <is>
          <t>BRÄCKE</t>
        </is>
      </c>
      <c r="F569" t="inlineStr">
        <is>
          <t>SCA</t>
        </is>
      </c>
      <c r="G569" t="n">
        <v>9</v>
      </c>
      <c r="H569" t="n">
        <v>0</v>
      </c>
      <c r="I569" t="n">
        <v>0</v>
      </c>
      <c r="J569" t="n">
        <v>0</v>
      </c>
      <c r="K569" t="n">
        <v>0</v>
      </c>
      <c r="L569" t="n">
        <v>0</v>
      </c>
      <c r="M569" t="n">
        <v>0</v>
      </c>
      <c r="N569" t="n">
        <v>0</v>
      </c>
      <c r="O569" t="n">
        <v>0</v>
      </c>
      <c r="P569" t="n">
        <v>0</v>
      </c>
      <c r="Q569" t="n">
        <v>0</v>
      </c>
      <c r="R569" s="2" t="inlineStr"/>
    </row>
    <row r="570" ht="15" customHeight="1">
      <c r="A570" t="inlineStr">
        <is>
          <t>A 59416-2023</t>
        </is>
      </c>
      <c r="B570" s="1" t="n">
        <v>45253</v>
      </c>
      <c r="C570" s="1" t="n">
        <v>46200</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31471-2023</t>
        </is>
      </c>
      <c r="B571" s="1" t="n">
        <v>45104</v>
      </c>
      <c r="C571" s="1" t="n">
        <v>46200</v>
      </c>
      <c r="D571" t="inlineStr">
        <is>
          <t>JÄMTLANDS LÄN</t>
        </is>
      </c>
      <c r="E571" t="inlineStr">
        <is>
          <t>BRÄCKE</t>
        </is>
      </c>
      <c r="G571" t="n">
        <v>0.3</v>
      </c>
      <c r="H571" t="n">
        <v>0</v>
      </c>
      <c r="I571" t="n">
        <v>0</v>
      </c>
      <c r="J571" t="n">
        <v>0</v>
      </c>
      <c r="K571" t="n">
        <v>0</v>
      </c>
      <c r="L571" t="n">
        <v>0</v>
      </c>
      <c r="M571" t="n">
        <v>0</v>
      </c>
      <c r="N571" t="n">
        <v>0</v>
      </c>
      <c r="O571" t="n">
        <v>0</v>
      </c>
      <c r="P571" t="n">
        <v>0</v>
      </c>
      <c r="Q571" t="n">
        <v>0</v>
      </c>
      <c r="R571" s="2" t="inlineStr"/>
    </row>
    <row r="572" ht="15" customHeight="1">
      <c r="A572" t="inlineStr">
        <is>
          <t>A 49709-2024</t>
        </is>
      </c>
      <c r="B572" s="1" t="n">
        <v>45596</v>
      </c>
      <c r="C572" s="1" t="n">
        <v>46200</v>
      </c>
      <c r="D572" t="inlineStr">
        <is>
          <t>JÄMTLANDS LÄN</t>
        </is>
      </c>
      <c r="E572" t="inlineStr">
        <is>
          <t>BRÄCKE</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17568-2023</t>
        </is>
      </c>
      <c r="B573" s="1" t="n">
        <v>45036</v>
      </c>
      <c r="C573" s="1" t="n">
        <v>46200</v>
      </c>
      <c r="D573" t="inlineStr">
        <is>
          <t>JÄMTLANDS LÄN</t>
        </is>
      </c>
      <c r="E573" t="inlineStr">
        <is>
          <t>BRÄCKE</t>
        </is>
      </c>
      <c r="G573" t="n">
        <v>5</v>
      </c>
      <c r="H573" t="n">
        <v>0</v>
      </c>
      <c r="I573" t="n">
        <v>0</v>
      </c>
      <c r="J573" t="n">
        <v>0</v>
      </c>
      <c r="K573" t="n">
        <v>0</v>
      </c>
      <c r="L573" t="n">
        <v>0</v>
      </c>
      <c r="M573" t="n">
        <v>0</v>
      </c>
      <c r="N573" t="n">
        <v>0</v>
      </c>
      <c r="O573" t="n">
        <v>0</v>
      </c>
      <c r="P573" t="n">
        <v>0</v>
      </c>
      <c r="Q573" t="n">
        <v>0</v>
      </c>
      <c r="R573" s="2" t="inlineStr"/>
    </row>
    <row r="574" ht="15" customHeight="1">
      <c r="A574" t="inlineStr">
        <is>
          <t>A 49185-2024</t>
        </is>
      </c>
      <c r="B574" s="1" t="n">
        <v>45595</v>
      </c>
      <c r="C574" s="1" t="n">
        <v>46200</v>
      </c>
      <c r="D574" t="inlineStr">
        <is>
          <t>JÄMTLANDS LÄN</t>
        </is>
      </c>
      <c r="E574" t="inlineStr">
        <is>
          <t>BRÄCKE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57011-2022</t>
        </is>
      </c>
      <c r="B575" s="1" t="n">
        <v>44894</v>
      </c>
      <c r="C575" s="1" t="n">
        <v>46200</v>
      </c>
      <c r="D575" t="inlineStr">
        <is>
          <t>JÄMTLANDS LÄN</t>
        </is>
      </c>
      <c r="E575" t="inlineStr">
        <is>
          <t>BRÄCKE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14373-2024</t>
        </is>
      </c>
      <c r="B576" s="1" t="n">
        <v>45393</v>
      </c>
      <c r="C576" s="1" t="n">
        <v>46200</v>
      </c>
      <c r="D576" t="inlineStr">
        <is>
          <t>JÄMTLANDS LÄN</t>
        </is>
      </c>
      <c r="E576" t="inlineStr">
        <is>
          <t>BRÄCKE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38862-2024</t>
        </is>
      </c>
      <c r="B577" s="1" t="n">
        <v>45547</v>
      </c>
      <c r="C577" s="1" t="n">
        <v>46200</v>
      </c>
      <c r="D577" t="inlineStr">
        <is>
          <t>JÄMTLANDS LÄN</t>
        </is>
      </c>
      <c r="E577" t="inlineStr">
        <is>
          <t>BRÄCKE</t>
        </is>
      </c>
      <c r="G577" t="n">
        <v>3.1</v>
      </c>
      <c r="H577" t="n">
        <v>0</v>
      </c>
      <c r="I577" t="n">
        <v>0</v>
      </c>
      <c r="J577" t="n">
        <v>0</v>
      </c>
      <c r="K577" t="n">
        <v>0</v>
      </c>
      <c r="L577" t="n">
        <v>0</v>
      </c>
      <c r="M577" t="n">
        <v>0</v>
      </c>
      <c r="N577" t="n">
        <v>0</v>
      </c>
      <c r="O577" t="n">
        <v>0</v>
      </c>
      <c r="P577" t="n">
        <v>0</v>
      </c>
      <c r="Q577" t="n">
        <v>0</v>
      </c>
      <c r="R577" s="2" t="inlineStr"/>
    </row>
    <row r="578" ht="15" customHeight="1">
      <c r="A578" t="inlineStr">
        <is>
          <t>A 49085-2023</t>
        </is>
      </c>
      <c r="B578" s="1" t="n">
        <v>45204</v>
      </c>
      <c r="C578" s="1" t="n">
        <v>46200</v>
      </c>
      <c r="D578" t="inlineStr">
        <is>
          <t>JÄMTLANDS LÄN</t>
        </is>
      </c>
      <c r="E578" t="inlineStr">
        <is>
          <t>BRÄCKE</t>
        </is>
      </c>
      <c r="G578" t="n">
        <v>2.1</v>
      </c>
      <c r="H578" t="n">
        <v>0</v>
      </c>
      <c r="I578" t="n">
        <v>0</v>
      </c>
      <c r="J578" t="n">
        <v>0</v>
      </c>
      <c r="K578" t="n">
        <v>0</v>
      </c>
      <c r="L578" t="n">
        <v>0</v>
      </c>
      <c r="M578" t="n">
        <v>0</v>
      </c>
      <c r="N578" t="n">
        <v>0</v>
      </c>
      <c r="O578" t="n">
        <v>0</v>
      </c>
      <c r="P578" t="n">
        <v>0</v>
      </c>
      <c r="Q578" t="n">
        <v>0</v>
      </c>
      <c r="R578" s="2" t="inlineStr"/>
    </row>
    <row r="579" ht="15" customHeight="1">
      <c r="A579" t="inlineStr">
        <is>
          <t>A 57412-2023</t>
        </is>
      </c>
      <c r="B579" s="1" t="n">
        <v>45245</v>
      </c>
      <c r="C579" s="1" t="n">
        <v>46200</v>
      </c>
      <c r="D579" t="inlineStr">
        <is>
          <t>JÄMTLANDS LÄN</t>
        </is>
      </c>
      <c r="E579" t="inlineStr">
        <is>
          <t>BRÄCKE</t>
        </is>
      </c>
      <c r="F579" t="inlineStr">
        <is>
          <t>SCA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55667-2023</t>
        </is>
      </c>
      <c r="B580" s="1" t="n">
        <v>45238</v>
      </c>
      <c r="C580" s="1" t="n">
        <v>46200</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55668-2023</t>
        </is>
      </c>
      <c r="B581" s="1" t="n">
        <v>45238</v>
      </c>
      <c r="C581" s="1" t="n">
        <v>46200</v>
      </c>
      <c r="D581" t="inlineStr">
        <is>
          <t>JÄMTLANDS LÄN</t>
        </is>
      </c>
      <c r="E581" t="inlineStr">
        <is>
          <t>BRÄCKE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57419-2023</t>
        </is>
      </c>
      <c r="B582" s="1" t="n">
        <v>45245</v>
      </c>
      <c r="C582" s="1" t="n">
        <v>46200</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3787-2025</t>
        </is>
      </c>
      <c r="B583" s="1" t="n">
        <v>45681</v>
      </c>
      <c r="C583" s="1" t="n">
        <v>46200</v>
      </c>
      <c r="D583" t="inlineStr">
        <is>
          <t>JÄMTLANDS LÄN</t>
        </is>
      </c>
      <c r="E583" t="inlineStr">
        <is>
          <t>BRÄCKE</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53608-2024</t>
        </is>
      </c>
      <c r="B584" s="1" t="n">
        <v>45614</v>
      </c>
      <c r="C584" s="1" t="n">
        <v>46200</v>
      </c>
      <c r="D584" t="inlineStr">
        <is>
          <t>JÄMTLANDS LÄN</t>
        </is>
      </c>
      <c r="E584" t="inlineStr">
        <is>
          <t>BRÄCKE</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52127-2023</t>
        </is>
      </c>
      <c r="B585" s="1" t="n">
        <v>45223</v>
      </c>
      <c r="C585" s="1" t="n">
        <v>46200</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23767-2023</t>
        </is>
      </c>
      <c r="B586" s="1" t="n">
        <v>45077</v>
      </c>
      <c r="C586" s="1" t="n">
        <v>46200</v>
      </c>
      <c r="D586" t="inlineStr">
        <is>
          <t>JÄMTLANDS LÄN</t>
        </is>
      </c>
      <c r="E586" t="inlineStr">
        <is>
          <t>BRÄCKE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23773-2023</t>
        </is>
      </c>
      <c r="B587" s="1" t="n">
        <v>45077</v>
      </c>
      <c r="C587" s="1" t="n">
        <v>46200</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8891-2025</t>
        </is>
      </c>
      <c r="B588" s="1" t="n">
        <v>45713</v>
      </c>
      <c r="C588" s="1" t="n">
        <v>46200</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54600-2023</t>
        </is>
      </c>
      <c r="B589" s="1" t="n">
        <v>45233</v>
      </c>
      <c r="C589" s="1" t="n">
        <v>46200</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29456-2024</t>
        </is>
      </c>
      <c r="B590" s="1" t="n">
        <v>45483</v>
      </c>
      <c r="C590" s="1" t="n">
        <v>46200</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29460-2024</t>
        </is>
      </c>
      <c r="B591" s="1" t="n">
        <v>45483</v>
      </c>
      <c r="C591" s="1" t="n">
        <v>46200</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23064-2024</t>
        </is>
      </c>
      <c r="B592" s="1" t="n">
        <v>45450</v>
      </c>
      <c r="C592" s="1" t="n">
        <v>46200</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30719-2022</t>
        </is>
      </c>
      <c r="B593" s="1" t="n">
        <v>44763</v>
      </c>
      <c r="C593" s="1" t="n">
        <v>46200</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35400-2024</t>
        </is>
      </c>
      <c r="B594" s="1" t="n">
        <v>45531</v>
      </c>
      <c r="C594" s="1" t="n">
        <v>46200</v>
      </c>
      <c r="D594" t="inlineStr">
        <is>
          <t>JÄMTLANDS LÄN</t>
        </is>
      </c>
      <c r="E594" t="inlineStr">
        <is>
          <t>BRÄCKE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61079-2024</t>
        </is>
      </c>
      <c r="B595" s="1" t="n">
        <v>45645</v>
      </c>
      <c r="C595" s="1" t="n">
        <v>46200</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55662-2023</t>
        </is>
      </c>
      <c r="B596" s="1" t="n">
        <v>45238</v>
      </c>
      <c r="C596" s="1" t="n">
        <v>46200</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33870-2023</t>
        </is>
      </c>
      <c r="B597" s="1" t="n">
        <v>45133</v>
      </c>
      <c r="C597" s="1" t="n">
        <v>46200</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25934-2024</t>
        </is>
      </c>
      <c r="B598" s="1" t="n">
        <v>45467</v>
      </c>
      <c r="C598" s="1" t="n">
        <v>46200</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45304-2022</t>
        </is>
      </c>
      <c r="B599" s="1" t="n">
        <v>44841</v>
      </c>
      <c r="C599" s="1" t="n">
        <v>46200</v>
      </c>
      <c r="D599" t="inlineStr">
        <is>
          <t>JÄMTLANDS LÄN</t>
        </is>
      </c>
      <c r="E599" t="inlineStr">
        <is>
          <t>BRÄCKE</t>
        </is>
      </c>
      <c r="G599" t="n">
        <v>3.8</v>
      </c>
      <c r="H599" t="n">
        <v>0</v>
      </c>
      <c r="I599" t="n">
        <v>0</v>
      </c>
      <c r="J599" t="n">
        <v>0</v>
      </c>
      <c r="K599" t="n">
        <v>0</v>
      </c>
      <c r="L599" t="n">
        <v>0</v>
      </c>
      <c r="M599" t="n">
        <v>0</v>
      </c>
      <c r="N599" t="n">
        <v>0</v>
      </c>
      <c r="O599" t="n">
        <v>0</v>
      </c>
      <c r="P599" t="n">
        <v>0</v>
      </c>
      <c r="Q599" t="n">
        <v>0</v>
      </c>
      <c r="R599" s="2" t="inlineStr"/>
    </row>
    <row r="600" ht="15" customHeight="1">
      <c r="A600" t="inlineStr">
        <is>
          <t>A 35766-2023</t>
        </is>
      </c>
      <c r="B600" s="1" t="n">
        <v>45147</v>
      </c>
      <c r="C600" s="1" t="n">
        <v>46200</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63534-2023</t>
        </is>
      </c>
      <c r="B601" s="1" t="n">
        <v>45274</v>
      </c>
      <c r="C601" s="1" t="n">
        <v>46200</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7943-2025</t>
        </is>
      </c>
      <c r="B602" s="1" t="n">
        <v>45707</v>
      </c>
      <c r="C602" s="1" t="n">
        <v>46200</v>
      </c>
      <c r="D602" t="inlineStr">
        <is>
          <t>JÄMTLANDS LÄN</t>
        </is>
      </c>
      <c r="E602" t="inlineStr">
        <is>
          <t>BRÄCKE</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50220-2023</t>
        </is>
      </c>
      <c r="B603" s="1" t="n">
        <v>45215</v>
      </c>
      <c r="C603" s="1" t="n">
        <v>46200</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39996-2024</t>
        </is>
      </c>
      <c r="B604" s="1" t="n">
        <v>45553</v>
      </c>
      <c r="C604" s="1" t="n">
        <v>46200</v>
      </c>
      <c r="D604" t="inlineStr">
        <is>
          <t>JÄMTLANDS LÄN</t>
        </is>
      </c>
      <c r="E604" t="inlineStr">
        <is>
          <t>BRÄCKE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18600-2024</t>
        </is>
      </c>
      <c r="B605" s="1" t="n">
        <v>45425</v>
      </c>
      <c r="C605" s="1" t="n">
        <v>46200</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37173-2024</t>
        </is>
      </c>
      <c r="B606" s="1" t="n">
        <v>45539</v>
      </c>
      <c r="C606" s="1" t="n">
        <v>46200</v>
      </c>
      <c r="D606" t="inlineStr">
        <is>
          <t>JÄMTLANDS LÄN</t>
        </is>
      </c>
      <c r="E606" t="inlineStr">
        <is>
          <t>BRÄCKE</t>
        </is>
      </c>
      <c r="G606" t="n">
        <v>3.8</v>
      </c>
      <c r="H606" t="n">
        <v>0</v>
      </c>
      <c r="I606" t="n">
        <v>0</v>
      </c>
      <c r="J606" t="n">
        <v>0</v>
      </c>
      <c r="K606" t="n">
        <v>0</v>
      </c>
      <c r="L606" t="n">
        <v>0</v>
      </c>
      <c r="M606" t="n">
        <v>0</v>
      </c>
      <c r="N606" t="n">
        <v>0</v>
      </c>
      <c r="O606" t="n">
        <v>0</v>
      </c>
      <c r="P606" t="n">
        <v>0</v>
      </c>
      <c r="Q606" t="n">
        <v>0</v>
      </c>
      <c r="R606" s="2" t="inlineStr"/>
    </row>
    <row r="607" ht="15" customHeight="1">
      <c r="A607" t="inlineStr">
        <is>
          <t>A 45577-2023</t>
        </is>
      </c>
      <c r="B607" s="1" t="n">
        <v>45194</v>
      </c>
      <c r="C607" s="1" t="n">
        <v>46200</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2065-2024</t>
        </is>
      </c>
      <c r="B608" s="1" t="n">
        <v>45308</v>
      </c>
      <c r="C608" s="1" t="n">
        <v>46200</v>
      </c>
      <c r="D608" t="inlineStr">
        <is>
          <t>JÄMTLANDS LÄN</t>
        </is>
      </c>
      <c r="E608" t="inlineStr">
        <is>
          <t>BRÄCKE</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23687-2022</t>
        </is>
      </c>
      <c r="B609" s="1" t="n">
        <v>44721</v>
      </c>
      <c r="C609" s="1" t="n">
        <v>46200</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53522-2023</t>
        </is>
      </c>
      <c r="B610" s="1" t="n">
        <v>45223</v>
      </c>
      <c r="C610" s="1" t="n">
        <v>46200</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50840-2023</t>
        </is>
      </c>
      <c r="B611" s="1" t="n">
        <v>45217</v>
      </c>
      <c r="C611" s="1" t="n">
        <v>46200</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56648-2021</t>
        </is>
      </c>
      <c r="B612" s="1" t="n">
        <v>44480</v>
      </c>
      <c r="C612" s="1" t="n">
        <v>46200</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21380-2024</t>
        </is>
      </c>
      <c r="B613" s="1" t="n">
        <v>45440</v>
      </c>
      <c r="C613" s="1" t="n">
        <v>46200</v>
      </c>
      <c r="D613" t="inlineStr">
        <is>
          <t>JÄMTLANDS LÄN</t>
        </is>
      </c>
      <c r="E613" t="inlineStr">
        <is>
          <t>BRÄCKE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21381-2024</t>
        </is>
      </c>
      <c r="B614" s="1" t="n">
        <v>45440</v>
      </c>
      <c r="C614" s="1" t="n">
        <v>46200</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4123-2025</t>
        </is>
      </c>
      <c r="B615" s="1" t="n">
        <v>45685</v>
      </c>
      <c r="C615" s="1" t="n">
        <v>46200</v>
      </c>
      <c r="D615" t="inlineStr">
        <is>
          <t>JÄMTLANDS LÄN</t>
        </is>
      </c>
      <c r="E615" t="inlineStr">
        <is>
          <t>BRÄCKE</t>
        </is>
      </c>
      <c r="G615" t="n">
        <v>0.3</v>
      </c>
      <c r="H615" t="n">
        <v>0</v>
      </c>
      <c r="I615" t="n">
        <v>0</v>
      </c>
      <c r="J615" t="n">
        <v>0</v>
      </c>
      <c r="K615" t="n">
        <v>0</v>
      </c>
      <c r="L615" t="n">
        <v>0</v>
      </c>
      <c r="M615" t="n">
        <v>0</v>
      </c>
      <c r="N615" t="n">
        <v>0</v>
      </c>
      <c r="O615" t="n">
        <v>0</v>
      </c>
      <c r="P615" t="n">
        <v>0</v>
      </c>
      <c r="Q615" t="n">
        <v>0</v>
      </c>
      <c r="R615" s="2" t="inlineStr"/>
    </row>
    <row r="616" ht="15" customHeight="1">
      <c r="A616" t="inlineStr">
        <is>
          <t>A 64037-2023</t>
        </is>
      </c>
      <c r="B616" s="1" t="n">
        <v>45278</v>
      </c>
      <c r="C616" s="1" t="n">
        <v>46200</v>
      </c>
      <c r="D616" t="inlineStr">
        <is>
          <t>JÄMTLANDS LÄN</t>
        </is>
      </c>
      <c r="E616" t="inlineStr">
        <is>
          <t>BRÄCKE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34137-2023</t>
        </is>
      </c>
      <c r="B617" s="1" t="n">
        <v>45135</v>
      </c>
      <c r="C617" s="1" t="n">
        <v>46200</v>
      </c>
      <c r="D617" t="inlineStr">
        <is>
          <t>JÄMTLANDS LÄN</t>
        </is>
      </c>
      <c r="E617" t="inlineStr">
        <is>
          <t>BRÄCKE</t>
        </is>
      </c>
      <c r="F617" t="inlineStr">
        <is>
          <t>SCA</t>
        </is>
      </c>
      <c r="G617" t="n">
        <v>0.3</v>
      </c>
      <c r="H617" t="n">
        <v>0</v>
      </c>
      <c r="I617" t="n">
        <v>0</v>
      </c>
      <c r="J617" t="n">
        <v>0</v>
      </c>
      <c r="K617" t="n">
        <v>0</v>
      </c>
      <c r="L617" t="n">
        <v>0</v>
      </c>
      <c r="M617" t="n">
        <v>0</v>
      </c>
      <c r="N617" t="n">
        <v>0</v>
      </c>
      <c r="O617" t="n">
        <v>0</v>
      </c>
      <c r="P617" t="n">
        <v>0</v>
      </c>
      <c r="Q617" t="n">
        <v>0</v>
      </c>
      <c r="R617" s="2" t="inlineStr"/>
    </row>
    <row r="618" ht="15" customHeight="1">
      <c r="A618" t="inlineStr">
        <is>
          <t>A 2581-2025</t>
        </is>
      </c>
      <c r="B618" s="1" t="n">
        <v>45674</v>
      </c>
      <c r="C618" s="1" t="n">
        <v>46200</v>
      </c>
      <c r="D618" t="inlineStr">
        <is>
          <t>JÄMTLANDS LÄN</t>
        </is>
      </c>
      <c r="E618" t="inlineStr">
        <is>
          <t>BRÄCKE</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62102-2024</t>
        </is>
      </c>
      <c r="B619" s="1" t="n">
        <v>45656</v>
      </c>
      <c r="C619" s="1" t="n">
        <v>46200</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41923-2023</t>
        </is>
      </c>
      <c r="B620" s="1" t="n">
        <v>45176</v>
      </c>
      <c r="C620" s="1" t="n">
        <v>46200</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22459-2024</t>
        </is>
      </c>
      <c r="B621" s="1" t="n">
        <v>45446</v>
      </c>
      <c r="C621" s="1" t="n">
        <v>46200</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54568-2022</t>
        </is>
      </c>
      <c r="B622" s="1" t="n">
        <v>44882</v>
      </c>
      <c r="C622" s="1" t="n">
        <v>46200</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14630-2025</t>
        </is>
      </c>
      <c r="B623" s="1" t="n">
        <v>45742</v>
      </c>
      <c r="C623" s="1" t="n">
        <v>46200</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52023-2022</t>
        </is>
      </c>
      <c r="B624" s="1" t="n">
        <v>44872</v>
      </c>
      <c r="C624" s="1" t="n">
        <v>46200</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25676-2023</t>
        </is>
      </c>
      <c r="B625" s="1" t="n">
        <v>45089</v>
      </c>
      <c r="C625" s="1" t="n">
        <v>46200</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5169-2025</t>
        </is>
      </c>
      <c r="B626" s="1" t="n">
        <v>45691</v>
      </c>
      <c r="C626" s="1" t="n">
        <v>46200</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30480-2022</t>
        </is>
      </c>
      <c r="B627" s="1" t="n">
        <v>44761</v>
      </c>
      <c r="C627" s="1" t="n">
        <v>46200</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2197-2025</t>
        </is>
      </c>
      <c r="B628" s="1" t="n">
        <v>45673</v>
      </c>
      <c r="C628" s="1" t="n">
        <v>46200</v>
      </c>
      <c r="D628" t="inlineStr">
        <is>
          <t>JÄMTLANDS LÄN</t>
        </is>
      </c>
      <c r="E628" t="inlineStr">
        <is>
          <t>BRÄCKE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31843-2022</t>
        </is>
      </c>
      <c r="B629" s="1" t="n">
        <v>44776</v>
      </c>
      <c r="C629" s="1" t="n">
        <v>46200</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31853-2022</t>
        </is>
      </c>
      <c r="B630" s="1" t="n">
        <v>44776</v>
      </c>
      <c r="C630" s="1" t="n">
        <v>46200</v>
      </c>
      <c r="D630" t="inlineStr">
        <is>
          <t>JÄMTLANDS LÄN</t>
        </is>
      </c>
      <c r="E630" t="inlineStr">
        <is>
          <t>BRÄCKE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16158-2024</t>
        </is>
      </c>
      <c r="B631" s="1" t="n">
        <v>45406</v>
      </c>
      <c r="C631" s="1" t="n">
        <v>46200</v>
      </c>
      <c r="D631" t="inlineStr">
        <is>
          <t>JÄMTLANDS LÄN</t>
        </is>
      </c>
      <c r="E631" t="inlineStr">
        <is>
          <t>BRÄCKE</t>
        </is>
      </c>
      <c r="G631" t="n">
        <v>5</v>
      </c>
      <c r="H631" t="n">
        <v>0</v>
      </c>
      <c r="I631" t="n">
        <v>0</v>
      </c>
      <c r="J631" t="n">
        <v>0</v>
      </c>
      <c r="K631" t="n">
        <v>0</v>
      </c>
      <c r="L631" t="n">
        <v>0</v>
      </c>
      <c r="M631" t="n">
        <v>0</v>
      </c>
      <c r="N631" t="n">
        <v>0</v>
      </c>
      <c r="O631" t="n">
        <v>0</v>
      </c>
      <c r="P631" t="n">
        <v>0</v>
      </c>
      <c r="Q631" t="n">
        <v>0</v>
      </c>
      <c r="R631" s="2" t="inlineStr"/>
    </row>
    <row r="632" ht="15" customHeight="1">
      <c r="A632" t="inlineStr">
        <is>
          <t>A 56895-2021</t>
        </is>
      </c>
      <c r="B632" s="1" t="n">
        <v>44481</v>
      </c>
      <c r="C632" s="1" t="n">
        <v>46200</v>
      </c>
      <c r="D632" t="inlineStr">
        <is>
          <t>JÄMTLANDS LÄN</t>
        </is>
      </c>
      <c r="E632" t="inlineStr">
        <is>
          <t>BRÄCKE</t>
        </is>
      </c>
      <c r="G632" t="n">
        <v>1.6</v>
      </c>
      <c r="H632" t="n">
        <v>0</v>
      </c>
      <c r="I632" t="n">
        <v>0</v>
      </c>
      <c r="J632" t="n">
        <v>0</v>
      </c>
      <c r="K632" t="n">
        <v>0</v>
      </c>
      <c r="L632" t="n">
        <v>0</v>
      </c>
      <c r="M632" t="n">
        <v>0</v>
      </c>
      <c r="N632" t="n">
        <v>0</v>
      </c>
      <c r="O632" t="n">
        <v>0</v>
      </c>
      <c r="P632" t="n">
        <v>0</v>
      </c>
      <c r="Q632" t="n">
        <v>0</v>
      </c>
      <c r="R632" s="2" t="inlineStr"/>
    </row>
    <row r="633" ht="15" customHeight="1">
      <c r="A633" t="inlineStr">
        <is>
          <t>A 31517-2024</t>
        </is>
      </c>
      <c r="B633" s="1" t="n">
        <v>45505</v>
      </c>
      <c r="C633" s="1" t="n">
        <v>46200</v>
      </c>
      <c r="D633" t="inlineStr">
        <is>
          <t>JÄMTLANDS LÄN</t>
        </is>
      </c>
      <c r="E633" t="inlineStr">
        <is>
          <t>BRÄCKE</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35972-2023</t>
        </is>
      </c>
      <c r="B634" s="1" t="n">
        <v>45148</v>
      </c>
      <c r="C634" s="1" t="n">
        <v>46200</v>
      </c>
      <c r="D634" t="inlineStr">
        <is>
          <t>JÄMTLANDS LÄN</t>
        </is>
      </c>
      <c r="E634" t="inlineStr">
        <is>
          <t>BRÄCKE</t>
        </is>
      </c>
      <c r="G634" t="n">
        <v>2.2</v>
      </c>
      <c r="H634" t="n">
        <v>0</v>
      </c>
      <c r="I634" t="n">
        <v>0</v>
      </c>
      <c r="J634" t="n">
        <v>0</v>
      </c>
      <c r="K634" t="n">
        <v>0</v>
      </c>
      <c r="L634" t="n">
        <v>0</v>
      </c>
      <c r="M634" t="n">
        <v>0</v>
      </c>
      <c r="N634" t="n">
        <v>0</v>
      </c>
      <c r="O634" t="n">
        <v>0</v>
      </c>
      <c r="P634" t="n">
        <v>0</v>
      </c>
      <c r="Q634" t="n">
        <v>0</v>
      </c>
      <c r="R634" s="2" t="inlineStr"/>
    </row>
    <row r="635" ht="15" customHeight="1">
      <c r="A635" t="inlineStr">
        <is>
          <t>A 58776-2023</t>
        </is>
      </c>
      <c r="B635" s="1" t="n">
        <v>45251</v>
      </c>
      <c r="C635" s="1" t="n">
        <v>46200</v>
      </c>
      <c r="D635" t="inlineStr">
        <is>
          <t>JÄMTLANDS LÄN</t>
        </is>
      </c>
      <c r="E635" t="inlineStr">
        <is>
          <t>BRÄCKE</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26923-2024</t>
        </is>
      </c>
      <c r="B636" s="1" t="n">
        <v>45470</v>
      </c>
      <c r="C636" s="1" t="n">
        <v>46200</v>
      </c>
      <c r="D636" t="inlineStr">
        <is>
          <t>JÄMTLANDS LÄN</t>
        </is>
      </c>
      <c r="E636" t="inlineStr">
        <is>
          <t>BRÄCKE</t>
        </is>
      </c>
      <c r="G636" t="n">
        <v>2.7</v>
      </c>
      <c r="H636" t="n">
        <v>0</v>
      </c>
      <c r="I636" t="n">
        <v>0</v>
      </c>
      <c r="J636" t="n">
        <v>0</v>
      </c>
      <c r="K636" t="n">
        <v>0</v>
      </c>
      <c r="L636" t="n">
        <v>0</v>
      </c>
      <c r="M636" t="n">
        <v>0</v>
      </c>
      <c r="N636" t="n">
        <v>0</v>
      </c>
      <c r="O636" t="n">
        <v>0</v>
      </c>
      <c r="P636" t="n">
        <v>0</v>
      </c>
      <c r="Q636" t="n">
        <v>0</v>
      </c>
      <c r="R636" s="2" t="inlineStr"/>
    </row>
    <row r="637" ht="15" customHeight="1">
      <c r="A637" t="inlineStr">
        <is>
          <t>A 17905-2025</t>
        </is>
      </c>
      <c r="B637" s="1" t="n">
        <v>45758</v>
      </c>
      <c r="C637" s="1" t="n">
        <v>46200</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37238-2023</t>
        </is>
      </c>
      <c r="B638" s="1" t="n">
        <v>45155</v>
      </c>
      <c r="C638" s="1" t="n">
        <v>46200</v>
      </c>
      <c r="D638" t="inlineStr">
        <is>
          <t>JÄMTLANDS LÄN</t>
        </is>
      </c>
      <c r="E638" t="inlineStr">
        <is>
          <t>BRÄCKE</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3031-2023</t>
        </is>
      </c>
      <c r="B639" s="1" t="n">
        <v>44945</v>
      </c>
      <c r="C639" s="1" t="n">
        <v>46200</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3033-2023</t>
        </is>
      </c>
      <c r="B640" s="1" t="n">
        <v>44945</v>
      </c>
      <c r="C640" s="1" t="n">
        <v>46200</v>
      </c>
      <c r="D640" t="inlineStr">
        <is>
          <t>JÄMTLANDS LÄN</t>
        </is>
      </c>
      <c r="E640" t="inlineStr">
        <is>
          <t>BRÄCKE</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3036-2023</t>
        </is>
      </c>
      <c r="B641" s="1" t="n">
        <v>44945</v>
      </c>
      <c r="C641" s="1" t="n">
        <v>46200</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1201-2022</t>
        </is>
      </c>
      <c r="B642" s="1" t="n">
        <v>44572</v>
      </c>
      <c r="C642" s="1" t="n">
        <v>46200</v>
      </c>
      <c r="D642" t="inlineStr">
        <is>
          <t>JÄMTLANDS LÄN</t>
        </is>
      </c>
      <c r="E642" t="inlineStr">
        <is>
          <t>BRÄCKE</t>
        </is>
      </c>
      <c r="G642" t="n">
        <v>13.7</v>
      </c>
      <c r="H642" t="n">
        <v>0</v>
      </c>
      <c r="I642" t="n">
        <v>0</v>
      </c>
      <c r="J642" t="n">
        <v>0</v>
      </c>
      <c r="K642" t="n">
        <v>0</v>
      </c>
      <c r="L642" t="n">
        <v>0</v>
      </c>
      <c r="M642" t="n">
        <v>0</v>
      </c>
      <c r="N642" t="n">
        <v>0</v>
      </c>
      <c r="O642" t="n">
        <v>0</v>
      </c>
      <c r="P642" t="n">
        <v>0</v>
      </c>
      <c r="Q642" t="n">
        <v>0</v>
      </c>
      <c r="R642" s="2" t="inlineStr"/>
    </row>
    <row r="643" ht="15" customHeight="1">
      <c r="A643" t="inlineStr">
        <is>
          <t>A 20265-2023</t>
        </is>
      </c>
      <c r="B643" s="1" t="n">
        <v>45055</v>
      </c>
      <c r="C643" s="1" t="n">
        <v>46200</v>
      </c>
      <c r="D643" t="inlineStr">
        <is>
          <t>JÄMTLANDS LÄN</t>
        </is>
      </c>
      <c r="E643" t="inlineStr">
        <is>
          <t>BRÄCKE</t>
        </is>
      </c>
      <c r="G643" t="n">
        <v>4.7</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v>
      </c>
      <c r="C644" s="1" t="n">
        <v>46200</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13069-2025</t>
        </is>
      </c>
      <c r="B645" s="1" t="n">
        <v>45734</v>
      </c>
      <c r="C645" s="1" t="n">
        <v>46200</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58461-2023</t>
        </is>
      </c>
      <c r="B646" s="1" t="n">
        <v>45250</v>
      </c>
      <c r="C646" s="1" t="n">
        <v>46200</v>
      </c>
      <c r="D646" t="inlineStr">
        <is>
          <t>JÄMTLANDS LÄN</t>
        </is>
      </c>
      <c r="E646" t="inlineStr">
        <is>
          <t>BRÄCKE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58467-2023</t>
        </is>
      </c>
      <c r="B647" s="1" t="n">
        <v>45250</v>
      </c>
      <c r="C647" s="1" t="n">
        <v>46200</v>
      </c>
      <c r="D647" t="inlineStr">
        <is>
          <t>JÄMTLANDS LÄN</t>
        </is>
      </c>
      <c r="E647" t="inlineStr">
        <is>
          <t>BRÄCKE</t>
        </is>
      </c>
      <c r="F647" t="inlineStr">
        <is>
          <t>SCA</t>
        </is>
      </c>
      <c r="G647" t="n">
        <v>9.1</v>
      </c>
      <c r="H647" t="n">
        <v>0</v>
      </c>
      <c r="I647" t="n">
        <v>0</v>
      </c>
      <c r="J647" t="n">
        <v>0</v>
      </c>
      <c r="K647" t="n">
        <v>0</v>
      </c>
      <c r="L647" t="n">
        <v>0</v>
      </c>
      <c r="M647" t="n">
        <v>0</v>
      </c>
      <c r="N647" t="n">
        <v>0</v>
      </c>
      <c r="O647" t="n">
        <v>0</v>
      </c>
      <c r="P647" t="n">
        <v>0</v>
      </c>
      <c r="Q647" t="n">
        <v>0</v>
      </c>
      <c r="R647" s="2" t="inlineStr"/>
    </row>
    <row r="648" ht="15" customHeight="1">
      <c r="A648" t="inlineStr">
        <is>
          <t>A 28077-2024</t>
        </is>
      </c>
      <c r="B648" s="1" t="n">
        <v>45476</v>
      </c>
      <c r="C648" s="1" t="n">
        <v>46200</v>
      </c>
      <c r="D648" t="inlineStr">
        <is>
          <t>JÄMTLANDS LÄN</t>
        </is>
      </c>
      <c r="E648" t="inlineStr">
        <is>
          <t>BRÄCKE</t>
        </is>
      </c>
      <c r="G648" t="n">
        <v>18.3</v>
      </c>
      <c r="H648" t="n">
        <v>0</v>
      </c>
      <c r="I648" t="n">
        <v>0</v>
      </c>
      <c r="J648" t="n">
        <v>0</v>
      </c>
      <c r="K648" t="n">
        <v>0</v>
      </c>
      <c r="L648" t="n">
        <v>0</v>
      </c>
      <c r="M648" t="n">
        <v>0</v>
      </c>
      <c r="N648" t="n">
        <v>0</v>
      </c>
      <c r="O648" t="n">
        <v>0</v>
      </c>
      <c r="P648" t="n">
        <v>0</v>
      </c>
      <c r="Q648" t="n">
        <v>0</v>
      </c>
      <c r="R648" s="2" t="inlineStr"/>
    </row>
    <row r="649" ht="15" customHeight="1">
      <c r="A649" t="inlineStr">
        <is>
          <t>A 55512-2022</t>
        </is>
      </c>
      <c r="B649" s="1" t="n">
        <v>44887</v>
      </c>
      <c r="C649" s="1" t="n">
        <v>46200</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4893-2025</t>
        </is>
      </c>
      <c r="B650" s="1" t="n">
        <v>45688</v>
      </c>
      <c r="C650" s="1" t="n">
        <v>46200</v>
      </c>
      <c r="D650" t="inlineStr">
        <is>
          <t>JÄMTLANDS LÄN</t>
        </is>
      </c>
      <c r="E650" t="inlineStr">
        <is>
          <t>BRÄCKE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54328-2023</t>
        </is>
      </c>
      <c r="B651" s="1" t="n">
        <v>45232</v>
      </c>
      <c r="C651" s="1" t="n">
        <v>46200</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2064-2024</t>
        </is>
      </c>
      <c r="B652" s="1" t="n">
        <v>45308</v>
      </c>
      <c r="C652" s="1" t="n">
        <v>46200</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34410-2021</t>
        </is>
      </c>
      <c r="B653" s="1" t="n">
        <v>44379</v>
      </c>
      <c r="C653" s="1" t="n">
        <v>46200</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58039-2021</t>
        </is>
      </c>
      <c r="B654" s="1" t="n">
        <v>44487</v>
      </c>
      <c r="C654" s="1" t="n">
        <v>46200</v>
      </c>
      <c r="D654" t="inlineStr">
        <is>
          <t>JÄMTLANDS LÄN</t>
        </is>
      </c>
      <c r="E654" t="inlineStr">
        <is>
          <t>BRÄCKE</t>
        </is>
      </c>
      <c r="G654" t="n">
        <v>7.4</v>
      </c>
      <c r="H654" t="n">
        <v>0</v>
      </c>
      <c r="I654" t="n">
        <v>0</v>
      </c>
      <c r="J654" t="n">
        <v>0</v>
      </c>
      <c r="K654" t="n">
        <v>0</v>
      </c>
      <c r="L654" t="n">
        <v>0</v>
      </c>
      <c r="M654" t="n">
        <v>0</v>
      </c>
      <c r="N654" t="n">
        <v>0</v>
      </c>
      <c r="O654" t="n">
        <v>0</v>
      </c>
      <c r="P654" t="n">
        <v>0</v>
      </c>
      <c r="Q654" t="n">
        <v>0</v>
      </c>
      <c r="R654" s="2" t="inlineStr"/>
    </row>
    <row r="655" ht="15" customHeight="1">
      <c r="A655" t="inlineStr">
        <is>
          <t>A 62074-2023</t>
        </is>
      </c>
      <c r="B655" s="1" t="n">
        <v>45266</v>
      </c>
      <c r="C655" s="1" t="n">
        <v>46200</v>
      </c>
      <c r="D655" t="inlineStr">
        <is>
          <t>JÄMTLANDS LÄN</t>
        </is>
      </c>
      <c r="E655" t="inlineStr">
        <is>
          <t>BRÄCKE</t>
        </is>
      </c>
      <c r="G655" t="n">
        <v>1.3</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v>
      </c>
      <c r="C656" s="1" t="n">
        <v>46200</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9467-2025</t>
        </is>
      </c>
      <c r="B657" s="1" t="n">
        <v>45715</v>
      </c>
      <c r="C657" s="1" t="n">
        <v>46200</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39509-2023</t>
        </is>
      </c>
      <c r="B658" s="1" t="n">
        <v>45166</v>
      </c>
      <c r="C658" s="1" t="n">
        <v>46200</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33998-2023</t>
        </is>
      </c>
      <c r="B659" s="1" t="n">
        <v>45134</v>
      </c>
      <c r="C659" s="1" t="n">
        <v>46200</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59047-2022</t>
        </is>
      </c>
      <c r="B660" s="1" t="n">
        <v>44903</v>
      </c>
      <c r="C660" s="1" t="n">
        <v>46200</v>
      </c>
      <c r="D660" t="inlineStr">
        <is>
          <t>JÄMTLANDS LÄN</t>
        </is>
      </c>
      <c r="E660" t="inlineStr">
        <is>
          <t>BRÄCKE</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60435-2023</t>
        </is>
      </c>
      <c r="B661" s="1" t="n">
        <v>45258</v>
      </c>
      <c r="C661" s="1" t="n">
        <v>46200</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5004-2023</t>
        </is>
      </c>
      <c r="B662" s="1" t="n">
        <v>44956</v>
      </c>
      <c r="C662" s="1" t="n">
        <v>46200</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4381-2023</t>
        </is>
      </c>
      <c r="B663" s="1" t="n">
        <v>44955</v>
      </c>
      <c r="C663" s="1" t="n">
        <v>46200</v>
      </c>
      <c r="D663" t="inlineStr">
        <is>
          <t>JÄMTLANDS LÄN</t>
        </is>
      </c>
      <c r="E663" t="inlineStr">
        <is>
          <t>BRÄCKE</t>
        </is>
      </c>
      <c r="G663" t="n">
        <v>2.1</v>
      </c>
      <c r="H663" t="n">
        <v>0</v>
      </c>
      <c r="I663" t="n">
        <v>0</v>
      </c>
      <c r="J663" t="n">
        <v>0</v>
      </c>
      <c r="K663" t="n">
        <v>0</v>
      </c>
      <c r="L663" t="n">
        <v>0</v>
      </c>
      <c r="M663" t="n">
        <v>0</v>
      </c>
      <c r="N663" t="n">
        <v>0</v>
      </c>
      <c r="O663" t="n">
        <v>0</v>
      </c>
      <c r="P663" t="n">
        <v>0</v>
      </c>
      <c r="Q663" t="n">
        <v>0</v>
      </c>
      <c r="R663" s="2" t="inlineStr"/>
    </row>
    <row r="664" ht="15" customHeight="1">
      <c r="A664" t="inlineStr">
        <is>
          <t>A 8422-2022</t>
        </is>
      </c>
      <c r="B664" s="1" t="n">
        <v>44610</v>
      </c>
      <c r="C664" s="1" t="n">
        <v>46200</v>
      </c>
      <c r="D664" t="inlineStr">
        <is>
          <t>JÄMTLANDS LÄN</t>
        </is>
      </c>
      <c r="E664" t="inlineStr">
        <is>
          <t>BRÄCKE</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44444-2022</t>
        </is>
      </c>
      <c r="B665" s="1" t="n">
        <v>44839</v>
      </c>
      <c r="C665" s="1" t="n">
        <v>46200</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36312-2024</t>
        </is>
      </c>
      <c r="B666" s="1" t="n">
        <v>45534</v>
      </c>
      <c r="C666" s="1" t="n">
        <v>46200</v>
      </c>
      <c r="D666" t="inlineStr">
        <is>
          <t>JÄMTLANDS LÄN</t>
        </is>
      </c>
      <c r="E666" t="inlineStr">
        <is>
          <t>BRÄCKE</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18065-2025</t>
        </is>
      </c>
      <c r="B667" s="1" t="n">
        <v>45761</v>
      </c>
      <c r="C667" s="1" t="n">
        <v>46200</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1504-2025</t>
        </is>
      </c>
      <c r="B668" s="1" t="n">
        <v>45670</v>
      </c>
      <c r="C668" s="1" t="n">
        <v>46200</v>
      </c>
      <c r="D668" t="inlineStr">
        <is>
          <t>JÄMTLANDS LÄN</t>
        </is>
      </c>
      <c r="E668" t="inlineStr">
        <is>
          <t>BRÄCKE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44324-2023</t>
        </is>
      </c>
      <c r="B669" s="1" t="n">
        <v>45188</v>
      </c>
      <c r="C669" s="1" t="n">
        <v>46200</v>
      </c>
      <c r="D669" t="inlineStr">
        <is>
          <t>JÄMTLANDS LÄN</t>
        </is>
      </c>
      <c r="E669" t="inlineStr">
        <is>
          <t>BRÄCKE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40765-2023</t>
        </is>
      </c>
      <c r="B670" s="1" t="n">
        <v>45170</v>
      </c>
      <c r="C670" s="1" t="n">
        <v>46200</v>
      </c>
      <c r="D670" t="inlineStr">
        <is>
          <t>JÄMTLANDS LÄN</t>
        </is>
      </c>
      <c r="E670" t="inlineStr">
        <is>
          <t>BRÄCKE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17182-2024</t>
        </is>
      </c>
      <c r="B671" s="1" t="n">
        <v>45412</v>
      </c>
      <c r="C671" s="1" t="n">
        <v>46200</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58082-2023</t>
        </is>
      </c>
      <c r="B672" s="1" t="n">
        <v>45247</v>
      </c>
      <c r="C672" s="1" t="n">
        <v>46200</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58083-2023</t>
        </is>
      </c>
      <c r="B673" s="1" t="n">
        <v>45247</v>
      </c>
      <c r="C673" s="1" t="n">
        <v>46200</v>
      </c>
      <c r="D673" t="inlineStr">
        <is>
          <t>JÄMTLANDS LÄN</t>
        </is>
      </c>
      <c r="E673" t="inlineStr">
        <is>
          <t>BRÄCKE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172-2025</t>
        </is>
      </c>
      <c r="B674" s="1" t="n">
        <v>45659</v>
      </c>
      <c r="C674" s="1" t="n">
        <v>46200</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46939-2023</t>
        </is>
      </c>
      <c r="B675" s="1" t="n">
        <v>45195</v>
      </c>
      <c r="C675" s="1" t="n">
        <v>46200</v>
      </c>
      <c r="D675" t="inlineStr">
        <is>
          <t>JÄMTLANDS LÄN</t>
        </is>
      </c>
      <c r="E675" t="inlineStr">
        <is>
          <t>BRÄCKE</t>
        </is>
      </c>
      <c r="G675" t="n">
        <v>13.4</v>
      </c>
      <c r="H675" t="n">
        <v>0</v>
      </c>
      <c r="I675" t="n">
        <v>0</v>
      </c>
      <c r="J675" t="n">
        <v>0</v>
      </c>
      <c r="K675" t="n">
        <v>0</v>
      </c>
      <c r="L675" t="n">
        <v>0</v>
      </c>
      <c r="M675" t="n">
        <v>0</v>
      </c>
      <c r="N675" t="n">
        <v>0</v>
      </c>
      <c r="O675" t="n">
        <v>0</v>
      </c>
      <c r="P675" t="n">
        <v>0</v>
      </c>
      <c r="Q675" t="n">
        <v>0</v>
      </c>
      <c r="R675" s="2" t="inlineStr"/>
    </row>
    <row r="676" ht="15" customHeight="1">
      <c r="A676" t="inlineStr">
        <is>
          <t>A 22986-2023</t>
        </is>
      </c>
      <c r="B676" s="1" t="n">
        <v>45072</v>
      </c>
      <c r="C676" s="1" t="n">
        <v>46200</v>
      </c>
      <c r="D676" t="inlineStr">
        <is>
          <t>JÄMTLANDS LÄN</t>
        </is>
      </c>
      <c r="E676" t="inlineStr">
        <is>
          <t>BRÄCKE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1799-2024</t>
        </is>
      </c>
      <c r="B677" s="1" t="n">
        <v>45307</v>
      </c>
      <c r="C677" s="1" t="n">
        <v>46200</v>
      </c>
      <c r="D677" t="inlineStr">
        <is>
          <t>JÄMTLANDS LÄN</t>
        </is>
      </c>
      <c r="E677" t="inlineStr">
        <is>
          <t>BRÄCKE</t>
        </is>
      </c>
      <c r="G677" t="n">
        <v>4.5</v>
      </c>
      <c r="H677" t="n">
        <v>0</v>
      </c>
      <c r="I677" t="n">
        <v>0</v>
      </c>
      <c r="J677" t="n">
        <v>0</v>
      </c>
      <c r="K677" t="n">
        <v>0</v>
      </c>
      <c r="L677" t="n">
        <v>0</v>
      </c>
      <c r="M677" t="n">
        <v>0</v>
      </c>
      <c r="N677" t="n">
        <v>0</v>
      </c>
      <c r="O677" t="n">
        <v>0</v>
      </c>
      <c r="P677" t="n">
        <v>0</v>
      </c>
      <c r="Q677" t="n">
        <v>0</v>
      </c>
      <c r="R677" s="2" t="inlineStr"/>
    </row>
    <row r="678" ht="15" customHeight="1">
      <c r="A678" t="inlineStr">
        <is>
          <t>A 17601-2025</t>
        </is>
      </c>
      <c r="B678" s="1" t="n">
        <v>45757</v>
      </c>
      <c r="C678" s="1" t="n">
        <v>46200</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24874-2024</t>
        </is>
      </c>
      <c r="B679" s="1" t="n">
        <v>45461</v>
      </c>
      <c r="C679" s="1" t="n">
        <v>46200</v>
      </c>
      <c r="D679" t="inlineStr">
        <is>
          <t>JÄMTLANDS LÄN</t>
        </is>
      </c>
      <c r="E679" t="inlineStr">
        <is>
          <t>BRÄCKE</t>
        </is>
      </c>
      <c r="G679" t="n">
        <v>12</v>
      </c>
      <c r="H679" t="n">
        <v>0</v>
      </c>
      <c r="I679" t="n">
        <v>0</v>
      </c>
      <c r="J679" t="n">
        <v>0</v>
      </c>
      <c r="K679" t="n">
        <v>0</v>
      </c>
      <c r="L679" t="n">
        <v>0</v>
      </c>
      <c r="M679" t="n">
        <v>0</v>
      </c>
      <c r="N679" t="n">
        <v>0</v>
      </c>
      <c r="O679" t="n">
        <v>0</v>
      </c>
      <c r="P679" t="n">
        <v>0</v>
      </c>
      <c r="Q679" t="n">
        <v>0</v>
      </c>
      <c r="R679" s="2" t="inlineStr"/>
    </row>
    <row r="680" ht="15" customHeight="1">
      <c r="A680" t="inlineStr">
        <is>
          <t>A 24878-2024</t>
        </is>
      </c>
      <c r="B680" s="1" t="n">
        <v>45461</v>
      </c>
      <c r="C680" s="1" t="n">
        <v>46200</v>
      </c>
      <c r="D680" t="inlineStr">
        <is>
          <t>JÄMTLANDS LÄN</t>
        </is>
      </c>
      <c r="E680" t="inlineStr">
        <is>
          <t>BRÄCKE</t>
        </is>
      </c>
      <c r="G680" t="n">
        <v>3.8</v>
      </c>
      <c r="H680" t="n">
        <v>0</v>
      </c>
      <c r="I680" t="n">
        <v>0</v>
      </c>
      <c r="J680" t="n">
        <v>0</v>
      </c>
      <c r="K680" t="n">
        <v>0</v>
      </c>
      <c r="L680" t="n">
        <v>0</v>
      </c>
      <c r="M680" t="n">
        <v>0</v>
      </c>
      <c r="N680" t="n">
        <v>0</v>
      </c>
      <c r="O680" t="n">
        <v>0</v>
      </c>
      <c r="P680" t="n">
        <v>0</v>
      </c>
      <c r="Q680" t="n">
        <v>0</v>
      </c>
      <c r="R680" s="2" t="inlineStr"/>
    </row>
    <row r="681" ht="15" customHeight="1">
      <c r="A681" t="inlineStr">
        <is>
          <t>A 50151-2023</t>
        </is>
      </c>
      <c r="B681" s="1" t="n">
        <v>45208</v>
      </c>
      <c r="C681" s="1" t="n">
        <v>46200</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48433-2023</t>
        </is>
      </c>
      <c r="B682" s="1" t="n">
        <v>45205</v>
      </c>
      <c r="C682" s="1" t="n">
        <v>46200</v>
      </c>
      <c r="D682" t="inlineStr">
        <is>
          <t>JÄMTLANDS LÄN</t>
        </is>
      </c>
      <c r="E682" t="inlineStr">
        <is>
          <t>BRÄCKE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48473-2023</t>
        </is>
      </c>
      <c r="B683" s="1" t="n">
        <v>45206</v>
      </c>
      <c r="C683" s="1" t="n">
        <v>46200</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47486-2023</t>
        </is>
      </c>
      <c r="B684" s="1" t="n">
        <v>45202</v>
      </c>
      <c r="C684" s="1" t="n">
        <v>46200</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47487-2023</t>
        </is>
      </c>
      <c r="B685" s="1" t="n">
        <v>45202</v>
      </c>
      <c r="C685" s="1" t="n">
        <v>46200</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10476-2022</t>
        </is>
      </c>
      <c r="B686" s="1" t="n">
        <v>44623</v>
      </c>
      <c r="C686" s="1" t="n">
        <v>46200</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10542-2022</t>
        </is>
      </c>
      <c r="B687" s="1" t="n">
        <v>44623</v>
      </c>
      <c r="C687" s="1" t="n">
        <v>46200</v>
      </c>
      <c r="D687" t="inlineStr">
        <is>
          <t>JÄMTLANDS LÄN</t>
        </is>
      </c>
      <c r="E687" t="inlineStr">
        <is>
          <t>BRÄCKE</t>
        </is>
      </c>
      <c r="G687" t="n">
        <v>2.9</v>
      </c>
      <c r="H687" t="n">
        <v>0</v>
      </c>
      <c r="I687" t="n">
        <v>0</v>
      </c>
      <c r="J687" t="n">
        <v>0</v>
      </c>
      <c r="K687" t="n">
        <v>0</v>
      </c>
      <c r="L687" t="n">
        <v>0</v>
      </c>
      <c r="M687" t="n">
        <v>0</v>
      </c>
      <c r="N687" t="n">
        <v>0</v>
      </c>
      <c r="O687" t="n">
        <v>0</v>
      </c>
      <c r="P687" t="n">
        <v>0</v>
      </c>
      <c r="Q687" t="n">
        <v>0</v>
      </c>
      <c r="R687" s="2" t="inlineStr"/>
    </row>
    <row r="688" ht="15" customHeight="1">
      <c r="A688" t="inlineStr">
        <is>
          <t>A 32636-2024</t>
        </is>
      </c>
      <c r="B688" s="1" t="n">
        <v>45513</v>
      </c>
      <c r="C688" s="1" t="n">
        <v>46200</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40775-2023</t>
        </is>
      </c>
      <c r="B689" s="1" t="n">
        <v>45170</v>
      </c>
      <c r="C689" s="1" t="n">
        <v>46200</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49861-2022</t>
        </is>
      </c>
      <c r="B690" s="1" t="n">
        <v>44862</v>
      </c>
      <c r="C690" s="1" t="n">
        <v>46200</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33774-2024</t>
        </is>
      </c>
      <c r="B691" s="1" t="n">
        <v>45520</v>
      </c>
      <c r="C691" s="1" t="n">
        <v>46200</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20003-2024</t>
        </is>
      </c>
      <c r="B692" s="1" t="n">
        <v>45433</v>
      </c>
      <c r="C692" s="1" t="n">
        <v>46200</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11331-2024</t>
        </is>
      </c>
      <c r="B693" s="1" t="n">
        <v>45372</v>
      </c>
      <c r="C693" s="1" t="n">
        <v>46200</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4915-2025</t>
        </is>
      </c>
      <c r="B694" s="1" t="n">
        <v>45688</v>
      </c>
      <c r="C694" s="1" t="n">
        <v>46200</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34873-2021</t>
        </is>
      </c>
      <c r="B695" s="1" t="n">
        <v>44382</v>
      </c>
      <c r="C695" s="1" t="n">
        <v>46200</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56896-2021</t>
        </is>
      </c>
      <c r="B696" s="1" t="n">
        <v>44481</v>
      </c>
      <c r="C696" s="1" t="n">
        <v>46200</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46200</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22116-2024</t>
        </is>
      </c>
      <c r="B698" s="1" t="n">
        <v>45443</v>
      </c>
      <c r="C698" s="1" t="n">
        <v>46200</v>
      </c>
      <c r="D698" t="inlineStr">
        <is>
          <t>JÄMTLANDS LÄN</t>
        </is>
      </c>
      <c r="E698" t="inlineStr">
        <is>
          <t>BRÄCKE</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42290-2022</t>
        </is>
      </c>
      <c r="B699" s="1" t="n">
        <v>44830</v>
      </c>
      <c r="C699" s="1" t="n">
        <v>46200</v>
      </c>
      <c r="D699" t="inlineStr">
        <is>
          <t>JÄMTLANDS LÄN</t>
        </is>
      </c>
      <c r="E699" t="inlineStr">
        <is>
          <t>BRÄCKE</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53407-2022</t>
        </is>
      </c>
      <c r="B700" s="1" t="n">
        <v>44874</v>
      </c>
      <c r="C700" s="1" t="n">
        <v>46200</v>
      </c>
      <c r="D700" t="inlineStr">
        <is>
          <t>JÄMTLANDS LÄN</t>
        </is>
      </c>
      <c r="E700" t="inlineStr">
        <is>
          <t>BRÄCKE</t>
        </is>
      </c>
      <c r="G700" t="n">
        <v>1.8</v>
      </c>
      <c r="H700" t="n">
        <v>0</v>
      </c>
      <c r="I700" t="n">
        <v>0</v>
      </c>
      <c r="J700" t="n">
        <v>0</v>
      </c>
      <c r="K700" t="n">
        <v>0</v>
      </c>
      <c r="L700" t="n">
        <v>0</v>
      </c>
      <c r="M700" t="n">
        <v>0</v>
      </c>
      <c r="N700" t="n">
        <v>0</v>
      </c>
      <c r="O700" t="n">
        <v>0</v>
      </c>
      <c r="P700" t="n">
        <v>0</v>
      </c>
      <c r="Q700" t="n">
        <v>0</v>
      </c>
      <c r="R700" s="2" t="inlineStr"/>
    </row>
    <row r="701" ht="15" customHeight="1">
      <c r="A701" t="inlineStr">
        <is>
          <t>A 19386-2025</t>
        </is>
      </c>
      <c r="B701" s="1" t="n">
        <v>45769</v>
      </c>
      <c r="C701" s="1" t="n">
        <v>46200</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56732-2022</t>
        </is>
      </c>
      <c r="B702" s="1" t="n">
        <v>44893</v>
      </c>
      <c r="C702" s="1" t="n">
        <v>46200</v>
      </c>
      <c r="D702" t="inlineStr">
        <is>
          <t>JÄMTLANDS LÄN</t>
        </is>
      </c>
      <c r="E702" t="inlineStr">
        <is>
          <t>BRÄCKE</t>
        </is>
      </c>
      <c r="F702" t="inlineStr">
        <is>
          <t>SCA</t>
        </is>
      </c>
      <c r="G702" t="n">
        <v>6.8</v>
      </c>
      <c r="H702" t="n">
        <v>0</v>
      </c>
      <c r="I702" t="n">
        <v>0</v>
      </c>
      <c r="J702" t="n">
        <v>0</v>
      </c>
      <c r="K702" t="n">
        <v>0</v>
      </c>
      <c r="L702" t="n">
        <v>0</v>
      </c>
      <c r="M702" t="n">
        <v>0</v>
      </c>
      <c r="N702" t="n">
        <v>0</v>
      </c>
      <c r="O702" t="n">
        <v>0</v>
      </c>
      <c r="P702" t="n">
        <v>0</v>
      </c>
      <c r="Q702" t="n">
        <v>0</v>
      </c>
      <c r="R702" s="2" t="inlineStr"/>
    </row>
    <row r="703" ht="15" customHeight="1">
      <c r="A703" t="inlineStr">
        <is>
          <t>A 63292-2023</t>
        </is>
      </c>
      <c r="B703" s="1" t="n">
        <v>45273</v>
      </c>
      <c r="C703" s="1" t="n">
        <v>46200</v>
      </c>
      <c r="D703" t="inlineStr">
        <is>
          <t>JÄMTLANDS LÄN</t>
        </is>
      </c>
      <c r="E703" t="inlineStr">
        <is>
          <t>BRÄCKE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29189-2024</t>
        </is>
      </c>
      <c r="B704" s="1" t="n">
        <v>45482</v>
      </c>
      <c r="C704" s="1" t="n">
        <v>46200</v>
      </c>
      <c r="D704" t="inlineStr">
        <is>
          <t>JÄMTLANDS LÄN</t>
        </is>
      </c>
      <c r="E704" t="inlineStr">
        <is>
          <t>BRÄCKE</t>
        </is>
      </c>
      <c r="F704" t="inlineStr">
        <is>
          <t>Övriga Aktiebolag</t>
        </is>
      </c>
      <c r="G704" t="n">
        <v>6.6</v>
      </c>
      <c r="H704" t="n">
        <v>0</v>
      </c>
      <c r="I704" t="n">
        <v>0</v>
      </c>
      <c r="J704" t="n">
        <v>0</v>
      </c>
      <c r="K704" t="n">
        <v>0</v>
      </c>
      <c r="L704" t="n">
        <v>0</v>
      </c>
      <c r="M704" t="n">
        <v>0</v>
      </c>
      <c r="N704" t="n">
        <v>0</v>
      </c>
      <c r="O704" t="n">
        <v>0</v>
      </c>
      <c r="P704" t="n">
        <v>0</v>
      </c>
      <c r="Q704" t="n">
        <v>0</v>
      </c>
      <c r="R704" s="2" t="inlineStr"/>
    </row>
    <row r="705" ht="15" customHeight="1">
      <c r="A705" t="inlineStr">
        <is>
          <t>A 6516-2024</t>
        </is>
      </c>
      <c r="B705" s="1" t="n">
        <v>45341</v>
      </c>
      <c r="C705" s="1" t="n">
        <v>46200</v>
      </c>
      <c r="D705" t="inlineStr">
        <is>
          <t>JÄMTLANDS LÄN</t>
        </is>
      </c>
      <c r="E705" t="inlineStr">
        <is>
          <t>BRÄCKE</t>
        </is>
      </c>
      <c r="G705" t="n">
        <v>0.3</v>
      </c>
      <c r="H705" t="n">
        <v>0</v>
      </c>
      <c r="I705" t="n">
        <v>0</v>
      </c>
      <c r="J705" t="n">
        <v>0</v>
      </c>
      <c r="K705" t="n">
        <v>0</v>
      </c>
      <c r="L705" t="n">
        <v>0</v>
      </c>
      <c r="M705" t="n">
        <v>0</v>
      </c>
      <c r="N705" t="n">
        <v>0</v>
      </c>
      <c r="O705" t="n">
        <v>0</v>
      </c>
      <c r="P705" t="n">
        <v>0</v>
      </c>
      <c r="Q705" t="n">
        <v>0</v>
      </c>
      <c r="R705" s="2" t="inlineStr"/>
    </row>
    <row r="706" ht="15" customHeight="1">
      <c r="A706" t="inlineStr">
        <is>
          <t>A 52846-2022</t>
        </is>
      </c>
      <c r="B706" s="1" t="n">
        <v>44875</v>
      </c>
      <c r="C706" s="1" t="n">
        <v>46200</v>
      </c>
      <c r="D706" t="inlineStr">
        <is>
          <t>JÄMTLANDS LÄN</t>
        </is>
      </c>
      <c r="E706" t="inlineStr">
        <is>
          <t>BRÄCKE</t>
        </is>
      </c>
      <c r="F706" t="inlineStr">
        <is>
          <t>Övriga Aktiebolag</t>
        </is>
      </c>
      <c r="G706" t="n">
        <v>13.1</v>
      </c>
      <c r="H706" t="n">
        <v>0</v>
      </c>
      <c r="I706" t="n">
        <v>0</v>
      </c>
      <c r="J706" t="n">
        <v>0</v>
      </c>
      <c r="K706" t="n">
        <v>0</v>
      </c>
      <c r="L706" t="n">
        <v>0</v>
      </c>
      <c r="M706" t="n">
        <v>0</v>
      </c>
      <c r="N706" t="n">
        <v>0</v>
      </c>
      <c r="O706" t="n">
        <v>0</v>
      </c>
      <c r="P706" t="n">
        <v>0</v>
      </c>
      <c r="Q706" t="n">
        <v>0</v>
      </c>
      <c r="R706" s="2" t="inlineStr"/>
    </row>
    <row r="707" ht="15" customHeight="1">
      <c r="A707" t="inlineStr">
        <is>
          <t>A 49707-2024</t>
        </is>
      </c>
      <c r="B707" s="1" t="n">
        <v>45596</v>
      </c>
      <c r="C707" s="1" t="n">
        <v>46200</v>
      </c>
      <c r="D707" t="inlineStr">
        <is>
          <t>JÄMTLANDS LÄN</t>
        </is>
      </c>
      <c r="E707" t="inlineStr">
        <is>
          <t>BRÄCKE</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26278-2024</t>
        </is>
      </c>
      <c r="B708" s="1" t="n">
        <v>45468</v>
      </c>
      <c r="C708" s="1" t="n">
        <v>46200</v>
      </c>
      <c r="D708" t="inlineStr">
        <is>
          <t>JÄMTLANDS LÄN</t>
        </is>
      </c>
      <c r="E708" t="inlineStr">
        <is>
          <t>BRÄCKE</t>
        </is>
      </c>
      <c r="G708" t="n">
        <v>1.7</v>
      </c>
      <c r="H708" t="n">
        <v>0</v>
      </c>
      <c r="I708" t="n">
        <v>0</v>
      </c>
      <c r="J708" t="n">
        <v>0</v>
      </c>
      <c r="K708" t="n">
        <v>0</v>
      </c>
      <c r="L708" t="n">
        <v>0</v>
      </c>
      <c r="M708" t="n">
        <v>0</v>
      </c>
      <c r="N708" t="n">
        <v>0</v>
      </c>
      <c r="O708" t="n">
        <v>0</v>
      </c>
      <c r="P708" t="n">
        <v>0</v>
      </c>
      <c r="Q708" t="n">
        <v>0</v>
      </c>
      <c r="R708" s="2" t="inlineStr"/>
    </row>
    <row r="709" ht="15" customHeight="1">
      <c r="A709" t="inlineStr">
        <is>
          <t>A 61787-2023</t>
        </is>
      </c>
      <c r="B709" s="1" t="n">
        <v>45265</v>
      </c>
      <c r="C709" s="1" t="n">
        <v>46200</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58078-2023</t>
        </is>
      </c>
      <c r="B710" s="1" t="n">
        <v>45247</v>
      </c>
      <c r="C710" s="1" t="n">
        <v>46200</v>
      </c>
      <c r="D710" t="inlineStr">
        <is>
          <t>JÄMTLANDS LÄN</t>
        </is>
      </c>
      <c r="E710" t="inlineStr">
        <is>
          <t>BRÄCKE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38302-2024</t>
        </is>
      </c>
      <c r="B711" s="1" t="n">
        <v>45545</v>
      </c>
      <c r="C711" s="1" t="n">
        <v>46200</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33112-2024</t>
        </is>
      </c>
      <c r="B712" s="1" t="n">
        <v>45517</v>
      </c>
      <c r="C712" s="1" t="n">
        <v>46200</v>
      </c>
      <c r="D712" t="inlineStr">
        <is>
          <t>JÄMTLANDS LÄN</t>
        </is>
      </c>
      <c r="E712" t="inlineStr">
        <is>
          <t>BRÄCKE</t>
        </is>
      </c>
      <c r="G712" t="n">
        <v>0.7</v>
      </c>
      <c r="H712" t="n">
        <v>0</v>
      </c>
      <c r="I712" t="n">
        <v>0</v>
      </c>
      <c r="J712" t="n">
        <v>0</v>
      </c>
      <c r="K712" t="n">
        <v>0</v>
      </c>
      <c r="L712" t="n">
        <v>0</v>
      </c>
      <c r="M712" t="n">
        <v>0</v>
      </c>
      <c r="N712" t="n">
        <v>0</v>
      </c>
      <c r="O712" t="n">
        <v>0</v>
      </c>
      <c r="P712" t="n">
        <v>0</v>
      </c>
      <c r="Q712" t="n">
        <v>0</v>
      </c>
      <c r="R712" s="2" t="inlineStr"/>
      <c r="U712">
        <f>HYPERLINK("https://klasma.github.io/Logging_2305/knärot/A 33112-2024 karta knärot.png", "A 33112-2024")</f>
        <v/>
      </c>
      <c r="V712">
        <f>HYPERLINK("https://klasma.github.io/Logging_2305/klagomål/A 33112-2024 FSC-klagomål.docx", "A 33112-2024")</f>
        <v/>
      </c>
      <c r="W712">
        <f>HYPERLINK("https://klasma.github.io/Logging_2305/klagomålsmail/A 33112-2024 FSC-klagomål mail.docx", "A 33112-2024")</f>
        <v/>
      </c>
      <c r="X712">
        <f>HYPERLINK("https://klasma.github.io/Logging_2305/tillsyn/A 33112-2024 tillsynsbegäran.docx", "A 33112-2024")</f>
        <v/>
      </c>
      <c r="Y712">
        <f>HYPERLINK("https://klasma.github.io/Logging_2305/tillsynsmail/A 33112-2024 tillsynsbegäran mail.docx", "A 33112-2024")</f>
        <v/>
      </c>
    </row>
    <row r="713" ht="15" customHeight="1">
      <c r="A713" t="inlineStr">
        <is>
          <t>A 782-2025</t>
        </is>
      </c>
      <c r="B713" s="1" t="n">
        <v>45665</v>
      </c>
      <c r="C713" s="1" t="n">
        <v>46200</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54447-2023</t>
        </is>
      </c>
      <c r="B714" s="1" t="n">
        <v>45233</v>
      </c>
      <c r="C714" s="1" t="n">
        <v>46200</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41936-2023</t>
        </is>
      </c>
      <c r="B715" s="1" t="n">
        <v>45176</v>
      </c>
      <c r="C715" s="1" t="n">
        <v>46200</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54524-2022</t>
        </is>
      </c>
      <c r="B716" s="1" t="n">
        <v>44882</v>
      </c>
      <c r="C716" s="1" t="n">
        <v>46200</v>
      </c>
      <c r="D716" t="inlineStr">
        <is>
          <t>JÄMTLANDS LÄN</t>
        </is>
      </c>
      <c r="E716" t="inlineStr">
        <is>
          <t>BRÄCKE</t>
        </is>
      </c>
      <c r="G716" t="n">
        <v>2.4</v>
      </c>
      <c r="H716" t="n">
        <v>0</v>
      </c>
      <c r="I716" t="n">
        <v>0</v>
      </c>
      <c r="J716" t="n">
        <v>0</v>
      </c>
      <c r="K716" t="n">
        <v>0</v>
      </c>
      <c r="L716" t="n">
        <v>0</v>
      </c>
      <c r="M716" t="n">
        <v>0</v>
      </c>
      <c r="N716" t="n">
        <v>0</v>
      </c>
      <c r="O716" t="n">
        <v>0</v>
      </c>
      <c r="P716" t="n">
        <v>0</v>
      </c>
      <c r="Q716" t="n">
        <v>0</v>
      </c>
      <c r="R716" s="2" t="inlineStr"/>
    </row>
    <row r="717" ht="15" customHeight="1">
      <c r="A717" t="inlineStr">
        <is>
          <t>A 57798-2023</t>
        </is>
      </c>
      <c r="B717" s="1" t="n">
        <v>45246</v>
      </c>
      <c r="C717" s="1" t="n">
        <v>46200</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25883-2022</t>
        </is>
      </c>
      <c r="B718" s="1" t="n">
        <v>44733</v>
      </c>
      <c r="C718" s="1" t="n">
        <v>46200</v>
      </c>
      <c r="D718" t="inlineStr">
        <is>
          <t>JÄMTLANDS LÄN</t>
        </is>
      </c>
      <c r="E718" t="inlineStr">
        <is>
          <t>BRÄCKE</t>
        </is>
      </c>
      <c r="F718" t="inlineStr">
        <is>
          <t>Övriga Aktiebolag</t>
        </is>
      </c>
      <c r="G718" t="n">
        <v>23.4</v>
      </c>
      <c r="H718" t="n">
        <v>0</v>
      </c>
      <c r="I718" t="n">
        <v>0</v>
      </c>
      <c r="J718" t="n">
        <v>0</v>
      </c>
      <c r="K718" t="n">
        <v>0</v>
      </c>
      <c r="L718" t="n">
        <v>0</v>
      </c>
      <c r="M718" t="n">
        <v>0</v>
      </c>
      <c r="N718" t="n">
        <v>0</v>
      </c>
      <c r="O718" t="n">
        <v>0</v>
      </c>
      <c r="P718" t="n">
        <v>0</v>
      </c>
      <c r="Q718" t="n">
        <v>0</v>
      </c>
      <c r="R718" s="2" t="inlineStr"/>
    </row>
    <row r="719" ht="15" customHeight="1">
      <c r="A719" t="inlineStr">
        <is>
          <t>A 40094-2023</t>
        </is>
      </c>
      <c r="B719" s="1" t="n">
        <v>45168</v>
      </c>
      <c r="C719" s="1" t="n">
        <v>46200</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56499-2023</t>
        </is>
      </c>
      <c r="B720" s="1" t="n">
        <v>45237</v>
      </c>
      <c r="C720" s="1" t="n">
        <v>46200</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56525-2023</t>
        </is>
      </c>
      <c r="B721" s="1" t="n">
        <v>45243</v>
      </c>
      <c r="C721" s="1" t="n">
        <v>46200</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17016-2024</t>
        </is>
      </c>
      <c r="B722" s="1" t="n">
        <v>45411</v>
      </c>
      <c r="C722" s="1" t="n">
        <v>46200</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13525-2022</t>
        </is>
      </c>
      <c r="B723" s="1" t="n">
        <v>44648</v>
      </c>
      <c r="C723" s="1" t="n">
        <v>46200</v>
      </c>
      <c r="D723" t="inlineStr">
        <is>
          <t>JÄMTLANDS LÄN</t>
        </is>
      </c>
      <c r="E723" t="inlineStr">
        <is>
          <t>BRÄCKE</t>
        </is>
      </c>
      <c r="G723" t="n">
        <v>0.5</v>
      </c>
      <c r="H723" t="n">
        <v>0</v>
      </c>
      <c r="I723" t="n">
        <v>0</v>
      </c>
      <c r="J723" t="n">
        <v>0</v>
      </c>
      <c r="K723" t="n">
        <v>0</v>
      </c>
      <c r="L723" t="n">
        <v>0</v>
      </c>
      <c r="M723" t="n">
        <v>0</v>
      </c>
      <c r="N723" t="n">
        <v>0</v>
      </c>
      <c r="O723" t="n">
        <v>0</v>
      </c>
      <c r="P723" t="n">
        <v>0</v>
      </c>
      <c r="Q723" t="n">
        <v>0</v>
      </c>
      <c r="R723" s="2" t="inlineStr"/>
    </row>
    <row r="724" ht="15" customHeight="1">
      <c r="A724" t="inlineStr">
        <is>
          <t>A 17252-2025</t>
        </is>
      </c>
      <c r="B724" s="1" t="n">
        <v>45756</v>
      </c>
      <c r="C724" s="1" t="n">
        <v>46200</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v>
      </c>
      <c r="C725" s="1" t="n">
        <v>46200</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8865-2023</t>
        </is>
      </c>
      <c r="B726" s="1" t="n">
        <v>44978</v>
      </c>
      <c r="C726" s="1" t="n">
        <v>46200</v>
      </c>
      <c r="D726" t="inlineStr">
        <is>
          <t>JÄMTLANDS LÄN</t>
        </is>
      </c>
      <c r="E726" t="inlineStr">
        <is>
          <t>BRÄCKE</t>
        </is>
      </c>
      <c r="G726" t="n">
        <v>2.9</v>
      </c>
      <c r="H726" t="n">
        <v>0</v>
      </c>
      <c r="I726" t="n">
        <v>0</v>
      </c>
      <c r="J726" t="n">
        <v>0</v>
      </c>
      <c r="K726" t="n">
        <v>0</v>
      </c>
      <c r="L726" t="n">
        <v>0</v>
      </c>
      <c r="M726" t="n">
        <v>0</v>
      </c>
      <c r="N726" t="n">
        <v>0</v>
      </c>
      <c r="O726" t="n">
        <v>0</v>
      </c>
      <c r="P726" t="n">
        <v>0</v>
      </c>
      <c r="Q726" t="n">
        <v>0</v>
      </c>
      <c r="R726" s="2" t="inlineStr"/>
    </row>
    <row r="727" ht="15" customHeight="1">
      <c r="A727" t="inlineStr">
        <is>
          <t>A 37960-2024</t>
        </is>
      </c>
      <c r="B727" s="1" t="n">
        <v>45544</v>
      </c>
      <c r="C727" s="1" t="n">
        <v>46200</v>
      </c>
      <c r="D727" t="inlineStr">
        <is>
          <t>JÄMTLANDS LÄN</t>
        </is>
      </c>
      <c r="E727" t="inlineStr">
        <is>
          <t>BRÄCKE</t>
        </is>
      </c>
      <c r="G727" t="n">
        <v>2.3</v>
      </c>
      <c r="H727" t="n">
        <v>0</v>
      </c>
      <c r="I727" t="n">
        <v>0</v>
      </c>
      <c r="J727" t="n">
        <v>0</v>
      </c>
      <c r="K727" t="n">
        <v>0</v>
      </c>
      <c r="L727" t="n">
        <v>0</v>
      </c>
      <c r="M727" t="n">
        <v>0</v>
      </c>
      <c r="N727" t="n">
        <v>0</v>
      </c>
      <c r="O727" t="n">
        <v>0</v>
      </c>
      <c r="P727" t="n">
        <v>0</v>
      </c>
      <c r="Q727" t="n">
        <v>0</v>
      </c>
      <c r="R727" s="2" t="inlineStr"/>
    </row>
    <row r="728" ht="15" customHeight="1">
      <c r="A728" t="inlineStr">
        <is>
          <t>A 43551-2023</t>
        </is>
      </c>
      <c r="B728" s="1" t="n">
        <v>45181</v>
      </c>
      <c r="C728" s="1" t="n">
        <v>46200</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45381-2024</t>
        </is>
      </c>
      <c r="B729" s="1" t="n">
        <v>45576</v>
      </c>
      <c r="C729" s="1" t="n">
        <v>46200</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13166-2024</t>
        </is>
      </c>
      <c r="B730" s="1" t="n">
        <v>45386</v>
      </c>
      <c r="C730" s="1" t="n">
        <v>46200</v>
      </c>
      <c r="D730" t="inlineStr">
        <is>
          <t>JÄMTLANDS LÄN</t>
        </is>
      </c>
      <c r="E730" t="inlineStr">
        <is>
          <t>BRÄCKE</t>
        </is>
      </c>
      <c r="G730" t="n">
        <v>7.3</v>
      </c>
      <c r="H730" t="n">
        <v>0</v>
      </c>
      <c r="I730" t="n">
        <v>0</v>
      </c>
      <c r="J730" t="n">
        <v>0</v>
      </c>
      <c r="K730" t="n">
        <v>0</v>
      </c>
      <c r="L730" t="n">
        <v>0</v>
      </c>
      <c r="M730" t="n">
        <v>0</v>
      </c>
      <c r="N730" t="n">
        <v>0</v>
      </c>
      <c r="O730" t="n">
        <v>0</v>
      </c>
      <c r="P730" t="n">
        <v>0</v>
      </c>
      <c r="Q730" t="n">
        <v>0</v>
      </c>
      <c r="R730" s="2" t="inlineStr"/>
    </row>
    <row r="731" ht="15" customHeight="1">
      <c r="A731" t="inlineStr">
        <is>
          <t>A 13180-2024</t>
        </is>
      </c>
      <c r="B731" s="1" t="n">
        <v>45386</v>
      </c>
      <c r="C731" s="1" t="n">
        <v>46200</v>
      </c>
      <c r="D731" t="inlineStr">
        <is>
          <t>JÄMTLANDS LÄN</t>
        </is>
      </c>
      <c r="E731" t="inlineStr">
        <is>
          <t>BRÄCKE</t>
        </is>
      </c>
      <c r="G731" t="n">
        <v>1.8</v>
      </c>
      <c r="H731" t="n">
        <v>0</v>
      </c>
      <c r="I731" t="n">
        <v>0</v>
      </c>
      <c r="J731" t="n">
        <v>0</v>
      </c>
      <c r="K731" t="n">
        <v>0</v>
      </c>
      <c r="L731" t="n">
        <v>0</v>
      </c>
      <c r="M731" t="n">
        <v>0</v>
      </c>
      <c r="N731" t="n">
        <v>0</v>
      </c>
      <c r="O731" t="n">
        <v>0</v>
      </c>
      <c r="P731" t="n">
        <v>0</v>
      </c>
      <c r="Q731" t="n">
        <v>0</v>
      </c>
      <c r="R731" s="2" t="inlineStr"/>
    </row>
    <row r="732" ht="15" customHeight="1">
      <c r="A732" t="inlineStr">
        <is>
          <t>A 36209-2023</t>
        </is>
      </c>
      <c r="B732" s="1" t="n">
        <v>45149</v>
      </c>
      <c r="C732" s="1" t="n">
        <v>46200</v>
      </c>
      <c r="D732" t="inlineStr">
        <is>
          <t>JÄMTLANDS LÄN</t>
        </is>
      </c>
      <c r="E732" t="inlineStr">
        <is>
          <t>BRÄCKE</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57088-2024</t>
        </is>
      </c>
      <c r="B733" s="1" t="n">
        <v>45629</v>
      </c>
      <c r="C733" s="1" t="n">
        <v>46200</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55436-2024</t>
        </is>
      </c>
      <c r="B734" s="1" t="n">
        <v>45622</v>
      </c>
      <c r="C734" s="1" t="n">
        <v>46200</v>
      </c>
      <c r="D734" t="inlineStr">
        <is>
          <t>JÄMTLANDS LÄN</t>
        </is>
      </c>
      <c r="E734" t="inlineStr">
        <is>
          <t>BRÄCKE</t>
        </is>
      </c>
      <c r="G734" t="n">
        <v>1.9</v>
      </c>
      <c r="H734" t="n">
        <v>0</v>
      </c>
      <c r="I734" t="n">
        <v>0</v>
      </c>
      <c r="J734" t="n">
        <v>0</v>
      </c>
      <c r="K734" t="n">
        <v>0</v>
      </c>
      <c r="L734" t="n">
        <v>0</v>
      </c>
      <c r="M734" t="n">
        <v>0</v>
      </c>
      <c r="N734" t="n">
        <v>0</v>
      </c>
      <c r="O734" t="n">
        <v>0</v>
      </c>
      <c r="P734" t="n">
        <v>0</v>
      </c>
      <c r="Q734" t="n">
        <v>0</v>
      </c>
      <c r="R734" s="2" t="inlineStr"/>
    </row>
    <row r="735" ht="15" customHeight="1">
      <c r="A735" t="inlineStr">
        <is>
          <t>A 48770-2023</t>
        </is>
      </c>
      <c r="B735" s="1" t="n">
        <v>45208</v>
      </c>
      <c r="C735" s="1" t="n">
        <v>46200</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18982-2022</t>
        </is>
      </c>
      <c r="B736" s="1" t="n">
        <v>44690</v>
      </c>
      <c r="C736" s="1" t="n">
        <v>46200</v>
      </c>
      <c r="D736" t="inlineStr">
        <is>
          <t>JÄMTLANDS LÄN</t>
        </is>
      </c>
      <c r="E736" t="inlineStr">
        <is>
          <t>BRÄCKE</t>
        </is>
      </c>
      <c r="G736" t="n">
        <v>2.8</v>
      </c>
      <c r="H736" t="n">
        <v>0</v>
      </c>
      <c r="I736" t="n">
        <v>0</v>
      </c>
      <c r="J736" t="n">
        <v>0</v>
      </c>
      <c r="K736" t="n">
        <v>0</v>
      </c>
      <c r="L736" t="n">
        <v>0</v>
      </c>
      <c r="M736" t="n">
        <v>0</v>
      </c>
      <c r="N736" t="n">
        <v>0</v>
      </c>
      <c r="O736" t="n">
        <v>0</v>
      </c>
      <c r="P736" t="n">
        <v>0</v>
      </c>
      <c r="Q736" t="n">
        <v>0</v>
      </c>
      <c r="R736" s="2" t="inlineStr"/>
    </row>
    <row r="737" ht="15" customHeight="1">
      <c r="A737" t="inlineStr">
        <is>
          <t>A 48435-2023</t>
        </is>
      </c>
      <c r="B737" s="1" t="n">
        <v>45205</v>
      </c>
      <c r="C737" s="1" t="n">
        <v>46200</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48480-2023</t>
        </is>
      </c>
      <c r="B738" s="1" t="n">
        <v>45206</v>
      </c>
      <c r="C738" s="1" t="n">
        <v>46200</v>
      </c>
      <c r="D738" t="inlineStr">
        <is>
          <t>JÄMTLANDS LÄN</t>
        </is>
      </c>
      <c r="E738" t="inlineStr">
        <is>
          <t>BRÄCKE</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57414-2023</t>
        </is>
      </c>
      <c r="B739" s="1" t="n">
        <v>45245</v>
      </c>
      <c r="C739" s="1" t="n">
        <v>46200</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45807-2024</t>
        </is>
      </c>
      <c r="B740" s="1" t="n">
        <v>45579</v>
      </c>
      <c r="C740" s="1" t="n">
        <v>46200</v>
      </c>
      <c r="D740" t="inlineStr">
        <is>
          <t>JÄMTLANDS LÄN</t>
        </is>
      </c>
      <c r="E740" t="inlineStr">
        <is>
          <t>BRÄCKE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2498-2025</t>
        </is>
      </c>
      <c r="B741" s="1" t="n">
        <v>45674</v>
      </c>
      <c r="C741" s="1" t="n">
        <v>46200</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2511-2025</t>
        </is>
      </c>
      <c r="B742" s="1" t="n">
        <v>45674</v>
      </c>
      <c r="C742" s="1" t="n">
        <v>46200</v>
      </c>
      <c r="D742" t="inlineStr">
        <is>
          <t>JÄMTLANDS LÄN</t>
        </is>
      </c>
      <c r="E742" t="inlineStr">
        <is>
          <t>BRÄCKE</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45974-2024</t>
        </is>
      </c>
      <c r="B743" s="1" t="n">
        <v>45580</v>
      </c>
      <c r="C743" s="1" t="n">
        <v>46200</v>
      </c>
      <c r="D743" t="inlineStr">
        <is>
          <t>JÄMTLANDS LÄN</t>
        </is>
      </c>
      <c r="E743" t="inlineStr">
        <is>
          <t>BRÄCKE</t>
        </is>
      </c>
      <c r="F743" t="inlineStr">
        <is>
          <t>Naturvårdsverket</t>
        </is>
      </c>
      <c r="G743" t="n">
        <v>0.3</v>
      </c>
      <c r="H743" t="n">
        <v>0</v>
      </c>
      <c r="I743" t="n">
        <v>0</v>
      </c>
      <c r="J743" t="n">
        <v>0</v>
      </c>
      <c r="K743" t="n">
        <v>0</v>
      </c>
      <c r="L743" t="n">
        <v>0</v>
      </c>
      <c r="M743" t="n">
        <v>0</v>
      </c>
      <c r="N743" t="n">
        <v>0</v>
      </c>
      <c r="O743" t="n">
        <v>0</v>
      </c>
      <c r="P743" t="n">
        <v>0</v>
      </c>
      <c r="Q743" t="n">
        <v>0</v>
      </c>
      <c r="R743" s="2" t="inlineStr"/>
    </row>
    <row r="744" ht="15" customHeight="1">
      <c r="A744" t="inlineStr">
        <is>
          <t>A 52754-2023</t>
        </is>
      </c>
      <c r="B744" s="1" t="n">
        <v>45225</v>
      </c>
      <c r="C744" s="1" t="n">
        <v>46200</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52610-2024</t>
        </is>
      </c>
      <c r="B745" s="1" t="n">
        <v>45609</v>
      </c>
      <c r="C745" s="1" t="n">
        <v>46200</v>
      </c>
      <c r="D745" t="inlineStr">
        <is>
          <t>JÄMTLANDS LÄN</t>
        </is>
      </c>
      <c r="E745" t="inlineStr">
        <is>
          <t>BRÄCKE</t>
        </is>
      </c>
      <c r="G745" t="n">
        <v>16.7</v>
      </c>
      <c r="H745" t="n">
        <v>0</v>
      </c>
      <c r="I745" t="n">
        <v>0</v>
      </c>
      <c r="J745" t="n">
        <v>0</v>
      </c>
      <c r="K745" t="n">
        <v>0</v>
      </c>
      <c r="L745" t="n">
        <v>0</v>
      </c>
      <c r="M745" t="n">
        <v>0</v>
      </c>
      <c r="N745" t="n">
        <v>0</v>
      </c>
      <c r="O745" t="n">
        <v>0</v>
      </c>
      <c r="P745" t="n">
        <v>0</v>
      </c>
      <c r="Q745" t="n">
        <v>0</v>
      </c>
      <c r="R745" s="2" t="inlineStr"/>
    </row>
    <row r="746" ht="15" customHeight="1">
      <c r="A746" t="inlineStr">
        <is>
          <t>A 56432-2024</t>
        </is>
      </c>
      <c r="B746" s="1" t="n">
        <v>45625</v>
      </c>
      <c r="C746" s="1" t="n">
        <v>46200</v>
      </c>
      <c r="D746" t="inlineStr">
        <is>
          <t>JÄMTLANDS LÄN</t>
        </is>
      </c>
      <c r="E746" t="inlineStr">
        <is>
          <t>BRÄCKE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41175-2023</t>
        </is>
      </c>
      <c r="B747" s="1" t="n">
        <v>45170</v>
      </c>
      <c r="C747" s="1" t="n">
        <v>46200</v>
      </c>
      <c r="D747" t="inlineStr">
        <is>
          <t>JÄMTLANDS LÄN</t>
        </is>
      </c>
      <c r="E747" t="inlineStr">
        <is>
          <t>BRÄCKE</t>
        </is>
      </c>
      <c r="G747" t="n">
        <v>1.6</v>
      </c>
      <c r="H747" t="n">
        <v>0</v>
      </c>
      <c r="I747" t="n">
        <v>0</v>
      </c>
      <c r="J747" t="n">
        <v>0</v>
      </c>
      <c r="K747" t="n">
        <v>0</v>
      </c>
      <c r="L747" t="n">
        <v>0</v>
      </c>
      <c r="M747" t="n">
        <v>0</v>
      </c>
      <c r="N747" t="n">
        <v>0</v>
      </c>
      <c r="O747" t="n">
        <v>0</v>
      </c>
      <c r="P747" t="n">
        <v>0</v>
      </c>
      <c r="Q747" t="n">
        <v>0</v>
      </c>
      <c r="R747" s="2" t="inlineStr"/>
    </row>
    <row r="748" ht="15" customHeight="1">
      <c r="A748" t="inlineStr">
        <is>
          <t>A 41183-2023</t>
        </is>
      </c>
      <c r="B748" s="1" t="n">
        <v>45170</v>
      </c>
      <c r="C748" s="1" t="n">
        <v>46200</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39937-2022</t>
        </is>
      </c>
      <c r="B749" s="1" t="n">
        <v>44819</v>
      </c>
      <c r="C749" s="1" t="n">
        <v>46200</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4121-2025</t>
        </is>
      </c>
      <c r="B750" s="1" t="n">
        <v>45685</v>
      </c>
      <c r="C750" s="1" t="n">
        <v>46200</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56656-2022</t>
        </is>
      </c>
      <c r="B751" s="1" t="n">
        <v>44893</v>
      </c>
      <c r="C751" s="1" t="n">
        <v>46200</v>
      </c>
      <c r="D751" t="inlineStr">
        <is>
          <t>JÄMTLANDS LÄN</t>
        </is>
      </c>
      <c r="E751" t="inlineStr">
        <is>
          <t>BRÄCKE</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45436-2022</t>
        </is>
      </c>
      <c r="B752" s="1" t="n">
        <v>44844</v>
      </c>
      <c r="C752" s="1" t="n">
        <v>46200</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51559-2022</t>
        </is>
      </c>
      <c r="B753" s="1" t="n">
        <v>44869</v>
      </c>
      <c r="C753" s="1" t="n">
        <v>46200</v>
      </c>
      <c r="D753" t="inlineStr">
        <is>
          <t>JÄMTLANDS LÄN</t>
        </is>
      </c>
      <c r="E753" t="inlineStr">
        <is>
          <t>BRÄCKE</t>
        </is>
      </c>
      <c r="F753" t="inlineStr">
        <is>
          <t>SCA</t>
        </is>
      </c>
      <c r="G753" t="n">
        <v>21.1</v>
      </c>
      <c r="H753" t="n">
        <v>0</v>
      </c>
      <c r="I753" t="n">
        <v>0</v>
      </c>
      <c r="J753" t="n">
        <v>0</v>
      </c>
      <c r="K753" t="n">
        <v>0</v>
      </c>
      <c r="L753" t="n">
        <v>0</v>
      </c>
      <c r="M753" t="n">
        <v>0</v>
      </c>
      <c r="N753" t="n">
        <v>0</v>
      </c>
      <c r="O753" t="n">
        <v>0</v>
      </c>
      <c r="P753" t="n">
        <v>0</v>
      </c>
      <c r="Q753" t="n">
        <v>0</v>
      </c>
      <c r="R753" s="2" t="inlineStr"/>
    </row>
    <row r="754" ht="15" customHeight="1">
      <c r="A754" t="inlineStr">
        <is>
          <t>A 24062-2024</t>
        </is>
      </c>
      <c r="B754" s="1" t="n">
        <v>45456</v>
      </c>
      <c r="C754" s="1" t="n">
        <v>46200</v>
      </c>
      <c r="D754" t="inlineStr">
        <is>
          <t>JÄMTLANDS LÄN</t>
        </is>
      </c>
      <c r="E754" t="inlineStr">
        <is>
          <t>BRÄCKE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24053-2022</t>
        </is>
      </c>
      <c r="B755" s="1" t="n">
        <v>44724</v>
      </c>
      <c r="C755" s="1" t="n">
        <v>46200</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35896-2023</t>
        </is>
      </c>
      <c r="B756" s="1" t="n">
        <v>45148</v>
      </c>
      <c r="C756" s="1" t="n">
        <v>46200</v>
      </c>
      <c r="D756" t="inlineStr">
        <is>
          <t>JÄMTLANDS LÄN</t>
        </is>
      </c>
      <c r="E756" t="inlineStr">
        <is>
          <t>BRÄCKE</t>
        </is>
      </c>
      <c r="G756" t="n">
        <v>3.6</v>
      </c>
      <c r="H756" t="n">
        <v>0</v>
      </c>
      <c r="I756" t="n">
        <v>0</v>
      </c>
      <c r="J756" t="n">
        <v>0</v>
      </c>
      <c r="K756" t="n">
        <v>0</v>
      </c>
      <c r="L756" t="n">
        <v>0</v>
      </c>
      <c r="M756" t="n">
        <v>0</v>
      </c>
      <c r="N756" t="n">
        <v>0</v>
      </c>
      <c r="O756" t="n">
        <v>0</v>
      </c>
      <c r="P756" t="n">
        <v>0</v>
      </c>
      <c r="Q756" t="n">
        <v>0</v>
      </c>
      <c r="R756" s="2" t="inlineStr"/>
    </row>
    <row r="757" ht="15" customHeight="1">
      <c r="A757" t="inlineStr">
        <is>
          <t>A 5340-2025</t>
        </is>
      </c>
      <c r="B757" s="1" t="n">
        <v>45692</v>
      </c>
      <c r="C757" s="1" t="n">
        <v>46200</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36551-2024</t>
        </is>
      </c>
      <c r="B758" s="1" t="n">
        <v>45537</v>
      </c>
      <c r="C758" s="1" t="n">
        <v>46200</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14798-2023</t>
        </is>
      </c>
      <c r="B759" s="1" t="n">
        <v>45014</v>
      </c>
      <c r="C759" s="1" t="n">
        <v>46200</v>
      </c>
      <c r="D759" t="inlineStr">
        <is>
          <t>JÄMTLANDS LÄN</t>
        </is>
      </c>
      <c r="E759" t="inlineStr">
        <is>
          <t>BRÄCKE</t>
        </is>
      </c>
      <c r="G759" t="n">
        <v>3.5</v>
      </c>
      <c r="H759" t="n">
        <v>0</v>
      </c>
      <c r="I759" t="n">
        <v>0</v>
      </c>
      <c r="J759" t="n">
        <v>0</v>
      </c>
      <c r="K759" t="n">
        <v>0</v>
      </c>
      <c r="L759" t="n">
        <v>0</v>
      </c>
      <c r="M759" t="n">
        <v>0</v>
      </c>
      <c r="N759" t="n">
        <v>0</v>
      </c>
      <c r="O759" t="n">
        <v>0</v>
      </c>
      <c r="P759" t="n">
        <v>0</v>
      </c>
      <c r="Q759" t="n">
        <v>0</v>
      </c>
      <c r="R759" s="2" t="inlineStr"/>
    </row>
    <row r="760" ht="15" customHeight="1">
      <c r="A760" t="inlineStr">
        <is>
          <t>A 49399-2024</t>
        </is>
      </c>
      <c r="B760" s="1" t="n">
        <v>45595</v>
      </c>
      <c r="C760" s="1" t="n">
        <v>46200</v>
      </c>
      <c r="D760" t="inlineStr">
        <is>
          <t>JÄMTLANDS LÄN</t>
        </is>
      </c>
      <c r="E760" t="inlineStr">
        <is>
          <t>BRÄCKE</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49400-2024</t>
        </is>
      </c>
      <c r="B761" s="1" t="n">
        <v>45595</v>
      </c>
      <c r="C761" s="1" t="n">
        <v>46200</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25883-2024</t>
        </is>
      </c>
      <c r="B762" s="1" t="n">
        <v>45467</v>
      </c>
      <c r="C762" s="1" t="n">
        <v>46200</v>
      </c>
      <c r="D762" t="inlineStr">
        <is>
          <t>JÄMTLANDS LÄN</t>
        </is>
      </c>
      <c r="E762" t="inlineStr">
        <is>
          <t>BRÄCKE</t>
        </is>
      </c>
      <c r="G762" t="n">
        <v>1.8</v>
      </c>
      <c r="H762" t="n">
        <v>0</v>
      </c>
      <c r="I762" t="n">
        <v>0</v>
      </c>
      <c r="J762" t="n">
        <v>0</v>
      </c>
      <c r="K762" t="n">
        <v>0</v>
      </c>
      <c r="L762" t="n">
        <v>0</v>
      </c>
      <c r="M762" t="n">
        <v>0</v>
      </c>
      <c r="N762" t="n">
        <v>0</v>
      </c>
      <c r="O762" t="n">
        <v>0</v>
      </c>
      <c r="P762" t="n">
        <v>0</v>
      </c>
      <c r="Q762" t="n">
        <v>0</v>
      </c>
      <c r="R762" s="2" t="inlineStr"/>
    </row>
    <row r="763" ht="15" customHeight="1">
      <c r="A763" t="inlineStr">
        <is>
          <t>A 55976-2024</t>
        </is>
      </c>
      <c r="B763" s="1" t="n">
        <v>45623</v>
      </c>
      <c r="C763" s="1" t="n">
        <v>46200</v>
      </c>
      <c r="D763" t="inlineStr">
        <is>
          <t>JÄMTLANDS LÄN</t>
        </is>
      </c>
      <c r="E763" t="inlineStr">
        <is>
          <t>BRÄCKE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278-2025</t>
        </is>
      </c>
      <c r="B764" s="1" t="n">
        <v>45660</v>
      </c>
      <c r="C764" s="1" t="n">
        <v>46200</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16059-2024</t>
        </is>
      </c>
      <c r="B765" s="1" t="n">
        <v>45406</v>
      </c>
      <c r="C765" s="1" t="n">
        <v>46200</v>
      </c>
      <c r="D765" t="inlineStr">
        <is>
          <t>JÄMTLANDS LÄN</t>
        </is>
      </c>
      <c r="E765" t="inlineStr">
        <is>
          <t>BRÄCKE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12889-2024</t>
        </is>
      </c>
      <c r="B766" s="1" t="n">
        <v>45385</v>
      </c>
      <c r="C766" s="1" t="n">
        <v>46200</v>
      </c>
      <c r="D766" t="inlineStr">
        <is>
          <t>JÄMTLANDS LÄN</t>
        </is>
      </c>
      <c r="E766" t="inlineStr">
        <is>
          <t>BRÄCKE</t>
        </is>
      </c>
      <c r="F766" t="inlineStr">
        <is>
          <t>Kyrkan</t>
        </is>
      </c>
      <c r="G766" t="n">
        <v>12.1</v>
      </c>
      <c r="H766" t="n">
        <v>0</v>
      </c>
      <c r="I766" t="n">
        <v>0</v>
      </c>
      <c r="J766" t="n">
        <v>0</v>
      </c>
      <c r="K766" t="n">
        <v>0</v>
      </c>
      <c r="L766" t="n">
        <v>0</v>
      </c>
      <c r="M766" t="n">
        <v>0</v>
      </c>
      <c r="N766" t="n">
        <v>0</v>
      </c>
      <c r="O766" t="n">
        <v>0</v>
      </c>
      <c r="P766" t="n">
        <v>0</v>
      </c>
      <c r="Q766" t="n">
        <v>0</v>
      </c>
      <c r="R766" s="2" t="inlineStr"/>
    </row>
    <row r="767" ht="15" customHeight="1">
      <c r="A767" t="inlineStr">
        <is>
          <t>A 6622-2025</t>
        </is>
      </c>
      <c r="B767" s="1" t="n">
        <v>45700</v>
      </c>
      <c r="C767" s="1" t="n">
        <v>46200</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48784-2024</t>
        </is>
      </c>
      <c r="B768" s="1" t="n">
        <v>45593</v>
      </c>
      <c r="C768" s="1" t="n">
        <v>46200</v>
      </c>
      <c r="D768" t="inlineStr">
        <is>
          <t>JÄMTLANDS LÄN</t>
        </is>
      </c>
      <c r="E768" t="inlineStr">
        <is>
          <t>BRÄCKE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26025-2024</t>
        </is>
      </c>
      <c r="B769" s="1" t="n">
        <v>45467</v>
      </c>
      <c r="C769" s="1" t="n">
        <v>46200</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26029-2024</t>
        </is>
      </c>
      <c r="B770" s="1" t="n">
        <v>45467</v>
      </c>
      <c r="C770" s="1" t="n">
        <v>46200</v>
      </c>
      <c r="D770" t="inlineStr">
        <is>
          <t>JÄMTLANDS LÄN</t>
        </is>
      </c>
      <c r="E770" t="inlineStr">
        <is>
          <t>BRÄCKE</t>
        </is>
      </c>
      <c r="F770" t="inlineStr">
        <is>
          <t>SCA</t>
        </is>
      </c>
      <c r="G770" t="n">
        <v>40.9</v>
      </c>
      <c r="H770" t="n">
        <v>0</v>
      </c>
      <c r="I770" t="n">
        <v>0</v>
      </c>
      <c r="J770" t="n">
        <v>0</v>
      </c>
      <c r="K770" t="n">
        <v>0</v>
      </c>
      <c r="L770" t="n">
        <v>0</v>
      </c>
      <c r="M770" t="n">
        <v>0</v>
      </c>
      <c r="N770" t="n">
        <v>0</v>
      </c>
      <c r="O770" t="n">
        <v>0</v>
      </c>
      <c r="P770" t="n">
        <v>0</v>
      </c>
      <c r="Q770" t="n">
        <v>0</v>
      </c>
      <c r="R770" s="2" t="inlineStr"/>
      <c r="U770">
        <f>HYPERLINK("https://klasma.github.io/Logging_2305/knärot/A 26029-2024 karta knärot.png", "A 26029-2024")</f>
        <v/>
      </c>
      <c r="V770">
        <f>HYPERLINK("https://klasma.github.io/Logging_2305/klagomål/A 26029-2024 FSC-klagomål.docx", "A 26029-2024")</f>
        <v/>
      </c>
      <c r="W770">
        <f>HYPERLINK("https://klasma.github.io/Logging_2305/klagomålsmail/A 26029-2024 FSC-klagomål mail.docx", "A 26029-2024")</f>
        <v/>
      </c>
      <c r="X770">
        <f>HYPERLINK("https://klasma.github.io/Logging_2305/tillsyn/A 26029-2024 tillsynsbegäran.docx", "A 26029-2024")</f>
        <v/>
      </c>
      <c r="Y770">
        <f>HYPERLINK("https://klasma.github.io/Logging_2305/tillsynsmail/A 26029-2024 tillsynsbegäran mail.docx", "A 26029-2024")</f>
        <v/>
      </c>
    </row>
    <row r="771" ht="15" customHeight="1">
      <c r="A771" t="inlineStr">
        <is>
          <t>A 26353-2023</t>
        </is>
      </c>
      <c r="B771" s="1" t="n">
        <v>45091</v>
      </c>
      <c r="C771" s="1" t="n">
        <v>46200</v>
      </c>
      <c r="D771" t="inlineStr">
        <is>
          <t>JÄMTLANDS LÄN</t>
        </is>
      </c>
      <c r="E771" t="inlineStr">
        <is>
          <t>BRÄCKE</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21117-2023</t>
        </is>
      </c>
      <c r="B772" s="1" t="n">
        <v>45061</v>
      </c>
      <c r="C772" s="1" t="n">
        <v>46200</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27799-2024</t>
        </is>
      </c>
      <c r="B773" s="1" t="n">
        <v>45475</v>
      </c>
      <c r="C773" s="1" t="n">
        <v>46200</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26350-2023</t>
        </is>
      </c>
      <c r="B774" s="1" t="n">
        <v>45091</v>
      </c>
      <c r="C774" s="1" t="n">
        <v>46200</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61662-2022</t>
        </is>
      </c>
      <c r="B775" s="1" t="n">
        <v>44916</v>
      </c>
      <c r="C775" s="1" t="n">
        <v>46200</v>
      </c>
      <c r="D775" t="inlineStr">
        <is>
          <t>JÄMTLANDS LÄN</t>
        </is>
      </c>
      <c r="E775" t="inlineStr">
        <is>
          <t>BRÄCKE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40410-2023</t>
        </is>
      </c>
      <c r="B776" s="1" t="n">
        <v>45169</v>
      </c>
      <c r="C776" s="1" t="n">
        <v>46200</v>
      </c>
      <c r="D776" t="inlineStr">
        <is>
          <t>JÄMTLANDS LÄN</t>
        </is>
      </c>
      <c r="E776" t="inlineStr">
        <is>
          <t>BRÄCKE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41401-2023</t>
        </is>
      </c>
      <c r="B777" s="1" t="n">
        <v>45174</v>
      </c>
      <c r="C777" s="1" t="n">
        <v>46200</v>
      </c>
      <c r="D777" t="inlineStr">
        <is>
          <t>JÄMTLANDS LÄN</t>
        </is>
      </c>
      <c r="E777" t="inlineStr">
        <is>
          <t>BRÄCKE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30480-2024</t>
        </is>
      </c>
      <c r="B778" s="1" t="n">
        <v>45491</v>
      </c>
      <c r="C778" s="1" t="n">
        <v>46200</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18206-2023</t>
        </is>
      </c>
      <c r="B779" s="1" t="n">
        <v>45041</v>
      </c>
      <c r="C779" s="1" t="n">
        <v>46200</v>
      </c>
      <c r="D779" t="inlineStr">
        <is>
          <t>JÄMTLANDS LÄN</t>
        </is>
      </c>
      <c r="E779" t="inlineStr">
        <is>
          <t>BRÄCKE</t>
        </is>
      </c>
      <c r="G779" t="n">
        <v>5.2</v>
      </c>
      <c r="H779" t="n">
        <v>0</v>
      </c>
      <c r="I779" t="n">
        <v>0</v>
      </c>
      <c r="J779" t="n">
        <v>0</v>
      </c>
      <c r="K779" t="n">
        <v>0</v>
      </c>
      <c r="L779" t="n">
        <v>0</v>
      </c>
      <c r="M779" t="n">
        <v>0</v>
      </c>
      <c r="N779" t="n">
        <v>0</v>
      </c>
      <c r="O779" t="n">
        <v>0</v>
      </c>
      <c r="P779" t="n">
        <v>0</v>
      </c>
      <c r="Q779" t="n">
        <v>0</v>
      </c>
      <c r="R779" s="2" t="inlineStr"/>
    </row>
    <row r="780" ht="15" customHeight="1">
      <c r="A780" t="inlineStr">
        <is>
          <t>A 12524-2025</t>
        </is>
      </c>
      <c r="B780" s="1" t="n">
        <v>45730</v>
      </c>
      <c r="C780" s="1" t="n">
        <v>46200</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12553-2025</t>
        </is>
      </c>
      <c r="B781" s="1" t="n">
        <v>45731</v>
      </c>
      <c r="C781" s="1" t="n">
        <v>46200</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44445-2022</t>
        </is>
      </c>
      <c r="B782" s="1" t="n">
        <v>44839</v>
      </c>
      <c r="C782" s="1" t="n">
        <v>46200</v>
      </c>
      <c r="D782" t="inlineStr">
        <is>
          <t>JÄMTLANDS LÄN</t>
        </is>
      </c>
      <c r="E782" t="inlineStr">
        <is>
          <t>BRÄCKE</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60654-2024</t>
        </is>
      </c>
      <c r="B783" s="1" t="n">
        <v>45644</v>
      </c>
      <c r="C783" s="1" t="n">
        <v>46200</v>
      </c>
      <c r="D783" t="inlineStr">
        <is>
          <t>JÄMTLANDS LÄN</t>
        </is>
      </c>
      <c r="E783" t="inlineStr">
        <is>
          <t>BRÄCKE</t>
        </is>
      </c>
      <c r="G783" t="n">
        <v>1.9</v>
      </c>
      <c r="H783" t="n">
        <v>0</v>
      </c>
      <c r="I783" t="n">
        <v>0</v>
      </c>
      <c r="J783" t="n">
        <v>0</v>
      </c>
      <c r="K783" t="n">
        <v>0</v>
      </c>
      <c r="L783" t="n">
        <v>0</v>
      </c>
      <c r="M783" t="n">
        <v>0</v>
      </c>
      <c r="N783" t="n">
        <v>0</v>
      </c>
      <c r="O783" t="n">
        <v>0</v>
      </c>
      <c r="P783" t="n">
        <v>0</v>
      </c>
      <c r="Q783" t="n">
        <v>0</v>
      </c>
      <c r="R783" s="2" t="inlineStr"/>
    </row>
    <row r="784" ht="15" customHeight="1">
      <c r="A784" t="inlineStr">
        <is>
          <t>A 19486-2023</t>
        </is>
      </c>
      <c r="B784" s="1" t="n">
        <v>45049</v>
      </c>
      <c r="C784" s="1" t="n">
        <v>46200</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44720</v>
      </c>
      <c r="C785" s="1" t="n">
        <v>46200</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11548-2023</t>
        </is>
      </c>
      <c r="B786" s="1" t="n">
        <v>44993</v>
      </c>
      <c r="C786" s="1" t="n">
        <v>46200</v>
      </c>
      <c r="D786" t="inlineStr">
        <is>
          <t>JÄMTLANDS LÄN</t>
        </is>
      </c>
      <c r="E786" t="inlineStr">
        <is>
          <t>BRÄCKE</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31467-2023</t>
        </is>
      </c>
      <c r="B787" s="1" t="n">
        <v>45104</v>
      </c>
      <c r="C787" s="1" t="n">
        <v>46200</v>
      </c>
      <c r="D787" t="inlineStr">
        <is>
          <t>JÄMTLANDS LÄN</t>
        </is>
      </c>
      <c r="E787" t="inlineStr">
        <is>
          <t>BRÄCKE</t>
        </is>
      </c>
      <c r="G787" t="n">
        <v>5.2</v>
      </c>
      <c r="H787" t="n">
        <v>0</v>
      </c>
      <c r="I787" t="n">
        <v>0</v>
      </c>
      <c r="J787" t="n">
        <v>0</v>
      </c>
      <c r="K787" t="n">
        <v>0</v>
      </c>
      <c r="L787" t="n">
        <v>0</v>
      </c>
      <c r="M787" t="n">
        <v>0</v>
      </c>
      <c r="N787" t="n">
        <v>0</v>
      </c>
      <c r="O787" t="n">
        <v>0</v>
      </c>
      <c r="P787" t="n">
        <v>0</v>
      </c>
      <c r="Q787" t="n">
        <v>0</v>
      </c>
      <c r="R787" s="2" t="inlineStr"/>
    </row>
    <row r="788" ht="15" customHeight="1">
      <c r="A788" t="inlineStr">
        <is>
          <t>A 12036-2023</t>
        </is>
      </c>
      <c r="B788" s="1" t="n">
        <v>44995</v>
      </c>
      <c r="C788" s="1" t="n">
        <v>46200</v>
      </c>
      <c r="D788" t="inlineStr">
        <is>
          <t>JÄMTLANDS LÄN</t>
        </is>
      </c>
      <c r="E788" t="inlineStr">
        <is>
          <t>BRÄCKE</t>
        </is>
      </c>
      <c r="G788" t="n">
        <v>16.3</v>
      </c>
      <c r="H788" t="n">
        <v>0</v>
      </c>
      <c r="I788" t="n">
        <v>0</v>
      </c>
      <c r="J788" t="n">
        <v>0</v>
      </c>
      <c r="K788" t="n">
        <v>0</v>
      </c>
      <c r="L788" t="n">
        <v>0</v>
      </c>
      <c r="M788" t="n">
        <v>0</v>
      </c>
      <c r="N788" t="n">
        <v>0</v>
      </c>
      <c r="O788" t="n">
        <v>0</v>
      </c>
      <c r="P788" t="n">
        <v>0</v>
      </c>
      <c r="Q788" t="n">
        <v>0</v>
      </c>
      <c r="R788" s="2" t="inlineStr"/>
    </row>
    <row r="789" ht="15" customHeight="1">
      <c r="A789" t="inlineStr">
        <is>
          <t>A 63716-2023</t>
        </is>
      </c>
      <c r="B789" s="1" t="n">
        <v>45275</v>
      </c>
      <c r="C789" s="1" t="n">
        <v>46200</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3840-2024</t>
        </is>
      </c>
      <c r="B790" s="1" t="n">
        <v>45321</v>
      </c>
      <c r="C790" s="1" t="n">
        <v>46200</v>
      </c>
      <c r="D790" t="inlineStr">
        <is>
          <t>JÄMTLANDS LÄN</t>
        </is>
      </c>
      <c r="E790" t="inlineStr">
        <is>
          <t>BRÄCKE</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3697-2025</t>
        </is>
      </c>
      <c r="B791" s="1" t="n">
        <v>45681</v>
      </c>
      <c r="C791" s="1" t="n">
        <v>46200</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47186-2023</t>
        </is>
      </c>
      <c r="B792" s="1" t="n">
        <v>45201</v>
      </c>
      <c r="C792" s="1" t="n">
        <v>46200</v>
      </c>
      <c r="D792" t="inlineStr">
        <is>
          <t>JÄMTLANDS LÄN</t>
        </is>
      </c>
      <c r="E792" t="inlineStr">
        <is>
          <t>BRÄCKE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56822-2022</t>
        </is>
      </c>
      <c r="B793" s="1" t="n">
        <v>44894</v>
      </c>
      <c r="C793" s="1" t="n">
        <v>46200</v>
      </c>
      <c r="D793" t="inlineStr">
        <is>
          <t>JÄMTLANDS LÄN</t>
        </is>
      </c>
      <c r="E793" t="inlineStr">
        <is>
          <t>BRÄCKE</t>
        </is>
      </c>
      <c r="G793" t="n">
        <v>1.2</v>
      </c>
      <c r="H793" t="n">
        <v>0</v>
      </c>
      <c r="I793" t="n">
        <v>0</v>
      </c>
      <c r="J793" t="n">
        <v>0</v>
      </c>
      <c r="K793" t="n">
        <v>0</v>
      </c>
      <c r="L793" t="n">
        <v>0</v>
      </c>
      <c r="M793" t="n">
        <v>0</v>
      </c>
      <c r="N793" t="n">
        <v>0</v>
      </c>
      <c r="O793" t="n">
        <v>0</v>
      </c>
      <c r="P793" t="n">
        <v>0</v>
      </c>
      <c r="Q793" t="n">
        <v>0</v>
      </c>
      <c r="R793" s="2" t="inlineStr"/>
    </row>
    <row r="794" ht="15" customHeight="1">
      <c r="A794" t="inlineStr">
        <is>
          <t>A 26910-2024</t>
        </is>
      </c>
      <c r="B794" s="1" t="n">
        <v>45470</v>
      </c>
      <c r="C794" s="1" t="n">
        <v>46200</v>
      </c>
      <c r="D794" t="inlineStr">
        <is>
          <t>JÄMTLANDS LÄN</t>
        </is>
      </c>
      <c r="E794" t="inlineStr">
        <is>
          <t>BRÄCKE</t>
        </is>
      </c>
      <c r="G794" t="n">
        <v>1.4</v>
      </c>
      <c r="H794" t="n">
        <v>0</v>
      </c>
      <c r="I794" t="n">
        <v>0</v>
      </c>
      <c r="J794" t="n">
        <v>0</v>
      </c>
      <c r="K794" t="n">
        <v>0</v>
      </c>
      <c r="L794" t="n">
        <v>0</v>
      </c>
      <c r="M794" t="n">
        <v>0</v>
      </c>
      <c r="N794" t="n">
        <v>0</v>
      </c>
      <c r="O794" t="n">
        <v>0</v>
      </c>
      <c r="P794" t="n">
        <v>0</v>
      </c>
      <c r="Q794" t="n">
        <v>0</v>
      </c>
      <c r="R794" s="2" t="inlineStr"/>
    </row>
    <row r="795" ht="15" customHeight="1">
      <c r="A795" t="inlineStr">
        <is>
          <t>A 18641-2024</t>
        </is>
      </c>
      <c r="B795" s="1" t="n">
        <v>45425</v>
      </c>
      <c r="C795" s="1" t="n">
        <v>46200</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58848-2024</t>
        </is>
      </c>
      <c r="B796" s="1" t="n">
        <v>45636</v>
      </c>
      <c r="C796" s="1" t="n">
        <v>46200</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54789-2023</t>
        </is>
      </c>
      <c r="B797" s="1" t="n">
        <v>45236</v>
      </c>
      <c r="C797" s="1" t="n">
        <v>46200</v>
      </c>
      <c r="D797" t="inlineStr">
        <is>
          <t>JÄMTLANDS LÄN</t>
        </is>
      </c>
      <c r="E797" t="inlineStr">
        <is>
          <t>BRÄCKE</t>
        </is>
      </c>
      <c r="G797" t="n">
        <v>7.1</v>
      </c>
      <c r="H797" t="n">
        <v>0</v>
      </c>
      <c r="I797" t="n">
        <v>0</v>
      </c>
      <c r="J797" t="n">
        <v>0</v>
      </c>
      <c r="K797" t="n">
        <v>0</v>
      </c>
      <c r="L797" t="n">
        <v>0</v>
      </c>
      <c r="M797" t="n">
        <v>0</v>
      </c>
      <c r="N797" t="n">
        <v>0</v>
      </c>
      <c r="O797" t="n">
        <v>0</v>
      </c>
      <c r="P797" t="n">
        <v>0</v>
      </c>
      <c r="Q797" t="n">
        <v>0</v>
      </c>
      <c r="R797" s="2" t="inlineStr"/>
    </row>
    <row r="798" ht="15" customHeight="1">
      <c r="A798" t="inlineStr">
        <is>
          <t>A 20095-2023</t>
        </is>
      </c>
      <c r="B798" s="1" t="n">
        <v>45054</v>
      </c>
      <c r="C798" s="1" t="n">
        <v>46200</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20100-2023</t>
        </is>
      </c>
      <c r="B799" s="1" t="n">
        <v>45054</v>
      </c>
      <c r="C799" s="1" t="n">
        <v>46200</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20101-2023</t>
        </is>
      </c>
      <c r="B800" s="1" t="n">
        <v>45054</v>
      </c>
      <c r="C800" s="1" t="n">
        <v>46200</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47560-2021</t>
        </is>
      </c>
      <c r="B801" s="1" t="n">
        <v>44447</v>
      </c>
      <c r="C801" s="1" t="n">
        <v>46200</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35506-2023</t>
        </is>
      </c>
      <c r="B802" s="1" t="n">
        <v>45146</v>
      </c>
      <c r="C802" s="1" t="n">
        <v>46200</v>
      </c>
      <c r="D802" t="inlineStr">
        <is>
          <t>JÄMTLANDS LÄN</t>
        </is>
      </c>
      <c r="E802" t="inlineStr">
        <is>
          <t>BRÄCKE</t>
        </is>
      </c>
      <c r="G802" t="n">
        <v>2.1</v>
      </c>
      <c r="H802" t="n">
        <v>0</v>
      </c>
      <c r="I802" t="n">
        <v>0</v>
      </c>
      <c r="J802" t="n">
        <v>0</v>
      </c>
      <c r="K802" t="n">
        <v>0</v>
      </c>
      <c r="L802" t="n">
        <v>0</v>
      </c>
      <c r="M802" t="n">
        <v>0</v>
      </c>
      <c r="N802" t="n">
        <v>0</v>
      </c>
      <c r="O802" t="n">
        <v>0</v>
      </c>
      <c r="P802" t="n">
        <v>0</v>
      </c>
      <c r="Q802" t="n">
        <v>0</v>
      </c>
      <c r="R802" s="2" t="inlineStr"/>
    </row>
    <row r="803" ht="15" customHeight="1">
      <c r="A803" t="inlineStr">
        <is>
          <t>A 45028-2023</t>
        </is>
      </c>
      <c r="B803" s="1" t="n">
        <v>45190</v>
      </c>
      <c r="C803" s="1" t="n">
        <v>46200</v>
      </c>
      <c r="D803" t="inlineStr">
        <is>
          <t>JÄMTLANDS LÄN</t>
        </is>
      </c>
      <c r="E803" t="inlineStr">
        <is>
          <t>BRÄCKE</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3862-2025</t>
        </is>
      </c>
      <c r="B804" s="1" t="n">
        <v>45684</v>
      </c>
      <c r="C804" s="1" t="n">
        <v>46200</v>
      </c>
      <c r="D804" t="inlineStr">
        <is>
          <t>JÄMTLANDS LÄN</t>
        </is>
      </c>
      <c r="E804" t="inlineStr">
        <is>
          <t>BRÄCKE</t>
        </is>
      </c>
      <c r="G804" t="n">
        <v>7</v>
      </c>
      <c r="H804" t="n">
        <v>0</v>
      </c>
      <c r="I804" t="n">
        <v>0</v>
      </c>
      <c r="J804" t="n">
        <v>0</v>
      </c>
      <c r="K804" t="n">
        <v>0</v>
      </c>
      <c r="L804" t="n">
        <v>0</v>
      </c>
      <c r="M804" t="n">
        <v>0</v>
      </c>
      <c r="N804" t="n">
        <v>0</v>
      </c>
      <c r="O804" t="n">
        <v>0</v>
      </c>
      <c r="P804" t="n">
        <v>0</v>
      </c>
      <c r="Q804" t="n">
        <v>0</v>
      </c>
      <c r="R804" s="2" t="inlineStr"/>
    </row>
    <row r="805" ht="15" customHeight="1">
      <c r="A805" t="inlineStr">
        <is>
          <t>A 27354-2023</t>
        </is>
      </c>
      <c r="B805" s="1" t="n">
        <v>45096</v>
      </c>
      <c r="C805" s="1" t="n">
        <v>46200</v>
      </c>
      <c r="D805" t="inlineStr">
        <is>
          <t>JÄMTLANDS LÄN</t>
        </is>
      </c>
      <c r="E805" t="inlineStr">
        <is>
          <t>BRÄCKE</t>
        </is>
      </c>
      <c r="G805" t="n">
        <v>2.3</v>
      </c>
      <c r="H805" t="n">
        <v>0</v>
      </c>
      <c r="I805" t="n">
        <v>0</v>
      </c>
      <c r="J805" t="n">
        <v>0</v>
      </c>
      <c r="K805" t="n">
        <v>0</v>
      </c>
      <c r="L805" t="n">
        <v>0</v>
      </c>
      <c r="M805" t="n">
        <v>0</v>
      </c>
      <c r="N805" t="n">
        <v>0</v>
      </c>
      <c r="O805" t="n">
        <v>0</v>
      </c>
      <c r="P805" t="n">
        <v>0</v>
      </c>
      <c r="Q805" t="n">
        <v>0</v>
      </c>
      <c r="R805" s="2" t="inlineStr"/>
    </row>
    <row r="806" ht="15" customHeight="1">
      <c r="A806" t="inlineStr">
        <is>
          <t>A 15201-2024</t>
        </is>
      </c>
      <c r="B806" s="1" t="n">
        <v>45400</v>
      </c>
      <c r="C806" s="1" t="n">
        <v>46200</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23444-2022</t>
        </is>
      </c>
      <c r="B807" s="1" t="n">
        <v>44720</v>
      </c>
      <c r="C807" s="1" t="n">
        <v>46200</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29003-2024</t>
        </is>
      </c>
      <c r="B808" s="1" t="n">
        <v>45481</v>
      </c>
      <c r="C808" s="1" t="n">
        <v>46200</v>
      </c>
      <c r="D808" t="inlineStr">
        <is>
          <t>JÄMTLANDS LÄN</t>
        </is>
      </c>
      <c r="E808" t="inlineStr">
        <is>
          <t>BRÄCKE</t>
        </is>
      </c>
      <c r="F808" t="inlineStr">
        <is>
          <t>Övriga Aktiebolag</t>
        </is>
      </c>
      <c r="G808" t="n">
        <v>1.1</v>
      </c>
      <c r="H808" t="n">
        <v>0</v>
      </c>
      <c r="I808" t="n">
        <v>0</v>
      </c>
      <c r="J808" t="n">
        <v>0</v>
      </c>
      <c r="K808" t="n">
        <v>0</v>
      </c>
      <c r="L808" t="n">
        <v>0</v>
      </c>
      <c r="M808" t="n">
        <v>0</v>
      </c>
      <c r="N808" t="n">
        <v>0</v>
      </c>
      <c r="O808" t="n">
        <v>0</v>
      </c>
      <c r="P808" t="n">
        <v>0</v>
      </c>
      <c r="Q808" t="n">
        <v>0</v>
      </c>
      <c r="R808" s="2" t="inlineStr"/>
    </row>
    <row r="809" ht="15" customHeight="1">
      <c r="A809" t="inlineStr">
        <is>
          <t>A 54274-2022</t>
        </is>
      </c>
      <c r="B809" s="1" t="n">
        <v>44879</v>
      </c>
      <c r="C809" s="1" t="n">
        <v>46200</v>
      </c>
      <c r="D809" t="inlineStr">
        <is>
          <t>JÄMTLANDS LÄN</t>
        </is>
      </c>
      <c r="E809" t="inlineStr">
        <is>
          <t>BRÄCKE</t>
        </is>
      </c>
      <c r="G809" t="n">
        <v>1.1</v>
      </c>
      <c r="H809" t="n">
        <v>0</v>
      </c>
      <c r="I809" t="n">
        <v>0</v>
      </c>
      <c r="J809" t="n">
        <v>0</v>
      </c>
      <c r="K809" t="n">
        <v>0</v>
      </c>
      <c r="L809" t="n">
        <v>0</v>
      </c>
      <c r="M809" t="n">
        <v>0</v>
      </c>
      <c r="N809" t="n">
        <v>0</v>
      </c>
      <c r="O809" t="n">
        <v>0</v>
      </c>
      <c r="P809" t="n">
        <v>0</v>
      </c>
      <c r="Q809" t="n">
        <v>0</v>
      </c>
      <c r="R809" s="2" t="inlineStr"/>
    </row>
    <row r="810" ht="15" customHeight="1">
      <c r="A810" t="inlineStr">
        <is>
          <t>A 37239-2023</t>
        </is>
      </c>
      <c r="B810" s="1" t="n">
        <v>45155</v>
      </c>
      <c r="C810" s="1" t="n">
        <v>46200</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44751</v>
      </c>
      <c r="C811" s="1" t="n">
        <v>46200</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60417-2022</t>
        </is>
      </c>
      <c r="B812" s="1" t="n">
        <v>44910</v>
      </c>
      <c r="C812" s="1" t="n">
        <v>46200</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50616-2024</t>
        </is>
      </c>
      <c r="B813" s="1" t="n">
        <v>45601</v>
      </c>
      <c r="C813" s="1" t="n">
        <v>46200</v>
      </c>
      <c r="D813" t="inlineStr">
        <is>
          <t>JÄMTLANDS LÄN</t>
        </is>
      </c>
      <c r="E813" t="inlineStr">
        <is>
          <t>BRÄCKE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19485-2023</t>
        </is>
      </c>
      <c r="B814" s="1" t="n">
        <v>45049</v>
      </c>
      <c r="C814" s="1" t="n">
        <v>46200</v>
      </c>
      <c r="D814" t="inlineStr">
        <is>
          <t>JÄMTLANDS LÄN</t>
        </is>
      </c>
      <c r="E814" t="inlineStr">
        <is>
          <t>BRÄCKE</t>
        </is>
      </c>
      <c r="G814" t="n">
        <v>2.6</v>
      </c>
      <c r="H814" t="n">
        <v>0</v>
      </c>
      <c r="I814" t="n">
        <v>0</v>
      </c>
      <c r="J814" t="n">
        <v>0</v>
      </c>
      <c r="K814" t="n">
        <v>0</v>
      </c>
      <c r="L814" t="n">
        <v>0</v>
      </c>
      <c r="M814" t="n">
        <v>0</v>
      </c>
      <c r="N814" t="n">
        <v>0</v>
      </c>
      <c r="O814" t="n">
        <v>0</v>
      </c>
      <c r="P814" t="n">
        <v>0</v>
      </c>
      <c r="Q814" t="n">
        <v>0</v>
      </c>
      <c r="R814" s="2" t="inlineStr"/>
    </row>
    <row r="815" ht="15" customHeight="1">
      <c r="A815" t="inlineStr">
        <is>
          <t>A 33172-2023</t>
        </is>
      </c>
      <c r="B815" s="1" t="n">
        <v>45126</v>
      </c>
      <c r="C815" s="1" t="n">
        <v>46200</v>
      </c>
      <c r="D815" t="inlineStr">
        <is>
          <t>JÄMTLANDS LÄN</t>
        </is>
      </c>
      <c r="E815" t="inlineStr">
        <is>
          <t>BRÄCKE</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29262-2024</t>
        </is>
      </c>
      <c r="B816" s="1" t="n">
        <v>45482</v>
      </c>
      <c r="C816" s="1" t="n">
        <v>46200</v>
      </c>
      <c r="D816" t="inlineStr">
        <is>
          <t>JÄMTLANDS LÄN</t>
        </is>
      </c>
      <c r="E816" t="inlineStr">
        <is>
          <t>BRÄCKE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44403-2023</t>
        </is>
      </c>
      <c r="B817" s="1" t="n">
        <v>45188</v>
      </c>
      <c r="C817" s="1" t="n">
        <v>46200</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25895-2023</t>
        </is>
      </c>
      <c r="B818" s="1" t="n">
        <v>45085</v>
      </c>
      <c r="C818" s="1" t="n">
        <v>46200</v>
      </c>
      <c r="D818" t="inlineStr">
        <is>
          <t>JÄMTLANDS LÄN</t>
        </is>
      </c>
      <c r="E818" t="inlineStr">
        <is>
          <t>BRÄCKE</t>
        </is>
      </c>
      <c r="G818" t="n">
        <v>4.7</v>
      </c>
      <c r="H818" t="n">
        <v>0</v>
      </c>
      <c r="I818" t="n">
        <v>0</v>
      </c>
      <c r="J818" t="n">
        <v>0</v>
      </c>
      <c r="K818" t="n">
        <v>0</v>
      </c>
      <c r="L818" t="n">
        <v>0</v>
      </c>
      <c r="M818" t="n">
        <v>0</v>
      </c>
      <c r="N818" t="n">
        <v>0</v>
      </c>
      <c r="O818" t="n">
        <v>0</v>
      </c>
      <c r="P818" t="n">
        <v>0</v>
      </c>
      <c r="Q818" t="n">
        <v>0</v>
      </c>
      <c r="R818" s="2" t="inlineStr"/>
    </row>
    <row r="819" ht="15" customHeight="1">
      <c r="A819" t="inlineStr">
        <is>
          <t>A 10606-2025</t>
        </is>
      </c>
      <c r="B819" s="1" t="n">
        <v>45721</v>
      </c>
      <c r="C819" s="1" t="n">
        <v>46200</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29130-2024</t>
        </is>
      </c>
      <c r="B820" s="1" t="n">
        <v>45482</v>
      </c>
      <c r="C820" s="1" t="n">
        <v>46200</v>
      </c>
      <c r="D820" t="inlineStr">
        <is>
          <t>JÄMTLANDS LÄN</t>
        </is>
      </c>
      <c r="E820" t="inlineStr">
        <is>
          <t>BRÄCKE</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29028-2024</t>
        </is>
      </c>
      <c r="B821" s="1" t="n">
        <v>45481</v>
      </c>
      <c r="C821" s="1" t="n">
        <v>46200</v>
      </c>
      <c r="D821" t="inlineStr">
        <is>
          <t>JÄMTLANDS LÄN</t>
        </is>
      </c>
      <c r="E821" t="inlineStr">
        <is>
          <t>BRÄCKE</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44753-2022</t>
        </is>
      </c>
      <c r="B822" s="1" t="n">
        <v>44840</v>
      </c>
      <c r="C822" s="1" t="n">
        <v>46200</v>
      </c>
      <c r="D822" t="inlineStr">
        <is>
          <t>JÄMTLANDS LÄN</t>
        </is>
      </c>
      <c r="E822" t="inlineStr">
        <is>
          <t>BRÄCKE</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45005-2023</t>
        </is>
      </c>
      <c r="B823" s="1" t="n">
        <v>45190</v>
      </c>
      <c r="C823" s="1" t="n">
        <v>46200</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51416-2024</t>
        </is>
      </c>
      <c r="B824" s="1" t="n">
        <v>45604</v>
      </c>
      <c r="C824" s="1" t="n">
        <v>46200</v>
      </c>
      <c r="D824" t="inlineStr">
        <is>
          <t>JÄMTLANDS LÄN</t>
        </is>
      </c>
      <c r="E824" t="inlineStr">
        <is>
          <t>BRÄCKE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44321-2023</t>
        </is>
      </c>
      <c r="B825" s="1" t="n">
        <v>45188</v>
      </c>
      <c r="C825" s="1" t="n">
        <v>46200</v>
      </c>
      <c r="D825" t="inlineStr">
        <is>
          <t>JÄMTLANDS LÄN</t>
        </is>
      </c>
      <c r="E825" t="inlineStr">
        <is>
          <t>BRÄCKE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44328-2023</t>
        </is>
      </c>
      <c r="B826" s="1" t="n">
        <v>45188</v>
      </c>
      <c r="C826" s="1" t="n">
        <v>46200</v>
      </c>
      <c r="D826" t="inlineStr">
        <is>
          <t>JÄMTLANDS LÄN</t>
        </is>
      </c>
      <c r="E826" t="inlineStr">
        <is>
          <t>BRÄCKE</t>
        </is>
      </c>
      <c r="F826" t="inlineStr">
        <is>
          <t>Sveaskog</t>
        </is>
      </c>
      <c r="G826" t="n">
        <v>3.8</v>
      </c>
      <c r="H826" t="n">
        <v>0</v>
      </c>
      <c r="I826" t="n">
        <v>0</v>
      </c>
      <c r="J826" t="n">
        <v>0</v>
      </c>
      <c r="K826" t="n">
        <v>0</v>
      </c>
      <c r="L826" t="n">
        <v>0</v>
      </c>
      <c r="M826" t="n">
        <v>0</v>
      </c>
      <c r="N826" t="n">
        <v>0</v>
      </c>
      <c r="O826" t="n">
        <v>0</v>
      </c>
      <c r="P826" t="n">
        <v>0</v>
      </c>
      <c r="Q826" t="n">
        <v>0</v>
      </c>
      <c r="R826" s="2" t="inlineStr"/>
    </row>
    <row r="827" ht="15" customHeight="1">
      <c r="A827" t="inlineStr">
        <is>
          <t>A 51441-2023</t>
        </is>
      </c>
      <c r="B827" s="1" t="n">
        <v>45219</v>
      </c>
      <c r="C827" s="1" t="n">
        <v>46200</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32961-2022</t>
        </is>
      </c>
      <c r="B828" s="1" t="n">
        <v>44784</v>
      </c>
      <c r="C828" s="1" t="n">
        <v>46200</v>
      </c>
      <c r="D828" t="inlineStr">
        <is>
          <t>JÄMTLANDS LÄN</t>
        </is>
      </c>
      <c r="E828" t="inlineStr">
        <is>
          <t>BRÄCKE</t>
        </is>
      </c>
      <c r="G828" t="n">
        <v>2.6</v>
      </c>
      <c r="H828" t="n">
        <v>0</v>
      </c>
      <c r="I828" t="n">
        <v>0</v>
      </c>
      <c r="J828" t="n">
        <v>0</v>
      </c>
      <c r="K828" t="n">
        <v>0</v>
      </c>
      <c r="L828" t="n">
        <v>0</v>
      </c>
      <c r="M828" t="n">
        <v>0</v>
      </c>
      <c r="N828" t="n">
        <v>0</v>
      </c>
      <c r="O828" t="n">
        <v>0</v>
      </c>
      <c r="P828" t="n">
        <v>0</v>
      </c>
      <c r="Q828" t="n">
        <v>0</v>
      </c>
      <c r="R828" s="2" t="inlineStr"/>
    </row>
    <row r="829" ht="15" customHeight="1">
      <c r="A829" t="inlineStr">
        <is>
          <t>A 2954-2023</t>
        </is>
      </c>
      <c r="B829" s="1" t="n">
        <v>44945</v>
      </c>
      <c r="C829" s="1" t="n">
        <v>46200</v>
      </c>
      <c r="D829" t="inlineStr">
        <is>
          <t>JÄMTLANDS LÄN</t>
        </is>
      </c>
      <c r="E829" t="inlineStr">
        <is>
          <t>BRÄCKE</t>
        </is>
      </c>
      <c r="F829" t="inlineStr">
        <is>
          <t>Övriga Aktiebolag</t>
        </is>
      </c>
      <c r="G829" t="n">
        <v>5.7</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46200</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3032-2023</t>
        </is>
      </c>
      <c r="B831" s="1" t="n">
        <v>44945</v>
      </c>
      <c r="C831" s="1" t="n">
        <v>46200</v>
      </c>
      <c r="D831" t="inlineStr">
        <is>
          <t>JÄMTLANDS LÄN</t>
        </is>
      </c>
      <c r="E831" t="inlineStr">
        <is>
          <t>BRÄCKE</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v>
      </c>
      <c r="C832" s="1" t="n">
        <v>46200</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51809-2023</t>
        </is>
      </c>
      <c r="B833" s="1" t="n">
        <v>45222</v>
      </c>
      <c r="C833" s="1" t="n">
        <v>46200</v>
      </c>
      <c r="D833" t="inlineStr">
        <is>
          <t>JÄMTLANDS LÄN</t>
        </is>
      </c>
      <c r="E833" t="inlineStr">
        <is>
          <t>BRÄCKE</t>
        </is>
      </c>
      <c r="G833" t="n">
        <v>2.1</v>
      </c>
      <c r="H833" t="n">
        <v>0</v>
      </c>
      <c r="I833" t="n">
        <v>0</v>
      </c>
      <c r="J833" t="n">
        <v>0</v>
      </c>
      <c r="K833" t="n">
        <v>0</v>
      </c>
      <c r="L833" t="n">
        <v>0</v>
      </c>
      <c r="M833" t="n">
        <v>0</v>
      </c>
      <c r="N833" t="n">
        <v>0</v>
      </c>
      <c r="O833" t="n">
        <v>0</v>
      </c>
      <c r="P833" t="n">
        <v>0</v>
      </c>
      <c r="Q833" t="n">
        <v>0</v>
      </c>
      <c r="R833" s="2" t="inlineStr"/>
    </row>
    <row r="834" ht="15" customHeight="1">
      <c r="A834" t="inlineStr">
        <is>
          <t>A 46601-2022</t>
        </is>
      </c>
      <c r="B834" s="1" t="n">
        <v>44848</v>
      </c>
      <c r="C834" s="1" t="n">
        <v>46200</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45010-2023</t>
        </is>
      </c>
      <c r="B835" s="1" t="n">
        <v>45190</v>
      </c>
      <c r="C835" s="1" t="n">
        <v>46200</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45013-2023</t>
        </is>
      </c>
      <c r="B836" s="1" t="n">
        <v>45190</v>
      </c>
      <c r="C836" s="1" t="n">
        <v>46200</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38007-2024</t>
        </is>
      </c>
      <c r="B837" s="1" t="n">
        <v>45544</v>
      </c>
      <c r="C837" s="1" t="n">
        <v>46200</v>
      </c>
      <c r="D837" t="inlineStr">
        <is>
          <t>JÄMTLANDS LÄN</t>
        </is>
      </c>
      <c r="E837" t="inlineStr">
        <is>
          <t>BRÄCKE</t>
        </is>
      </c>
      <c r="G837" t="n">
        <v>1.6</v>
      </c>
      <c r="H837" t="n">
        <v>0</v>
      </c>
      <c r="I837" t="n">
        <v>0</v>
      </c>
      <c r="J837" t="n">
        <v>0</v>
      </c>
      <c r="K837" t="n">
        <v>0</v>
      </c>
      <c r="L837" t="n">
        <v>0</v>
      </c>
      <c r="M837" t="n">
        <v>0</v>
      </c>
      <c r="N837" t="n">
        <v>0</v>
      </c>
      <c r="O837" t="n">
        <v>0</v>
      </c>
      <c r="P837" t="n">
        <v>0</v>
      </c>
      <c r="Q837" t="n">
        <v>0</v>
      </c>
      <c r="R837" s="2" t="inlineStr"/>
    </row>
    <row r="838" ht="15" customHeight="1">
      <c r="A838" t="inlineStr">
        <is>
          <t>A 57069-2024</t>
        </is>
      </c>
      <c r="B838" s="1" t="n">
        <v>45629</v>
      </c>
      <c r="C838" s="1" t="n">
        <v>46200</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10532-2022</t>
        </is>
      </c>
      <c r="B839" s="1" t="n">
        <v>44623</v>
      </c>
      <c r="C839" s="1" t="n">
        <v>46200</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27516-2025</t>
        </is>
      </c>
      <c r="B840" s="1" t="n">
        <v>45813</v>
      </c>
      <c r="C840" s="1" t="n">
        <v>46200</v>
      </c>
      <c r="D840" t="inlineStr">
        <is>
          <t>JÄMTLANDS LÄN</t>
        </is>
      </c>
      <c r="E840" t="inlineStr">
        <is>
          <t>BRÄCKE</t>
        </is>
      </c>
      <c r="G840" t="n">
        <v>0.1</v>
      </c>
      <c r="H840" t="n">
        <v>0</v>
      </c>
      <c r="I840" t="n">
        <v>0</v>
      </c>
      <c r="J840" t="n">
        <v>0</v>
      </c>
      <c r="K840" t="n">
        <v>0</v>
      </c>
      <c r="L840" t="n">
        <v>0</v>
      </c>
      <c r="M840" t="n">
        <v>0</v>
      </c>
      <c r="N840" t="n">
        <v>0</v>
      </c>
      <c r="O840" t="n">
        <v>0</v>
      </c>
      <c r="P840" t="n">
        <v>0</v>
      </c>
      <c r="Q840" t="n">
        <v>0</v>
      </c>
      <c r="R840" s="2" t="inlineStr"/>
    </row>
    <row r="841" ht="15" customHeight="1">
      <c r="A841" t="inlineStr">
        <is>
          <t>A 45722-2024</t>
        </is>
      </c>
      <c r="B841" s="1" t="n">
        <v>45579</v>
      </c>
      <c r="C841" s="1" t="n">
        <v>46200</v>
      </c>
      <c r="D841" t="inlineStr">
        <is>
          <t>JÄMTLANDS LÄN</t>
        </is>
      </c>
      <c r="E841" t="inlineStr">
        <is>
          <t>BRÄCKE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24489-2025</t>
        </is>
      </c>
      <c r="B842" s="1" t="n">
        <v>45798</v>
      </c>
      <c r="C842" s="1" t="n">
        <v>46200</v>
      </c>
      <c r="D842" t="inlineStr">
        <is>
          <t>JÄMTLANDS LÄN</t>
        </is>
      </c>
      <c r="E842" t="inlineStr">
        <is>
          <t>BRÄCKE</t>
        </is>
      </c>
      <c r="G842" t="n">
        <v>1.5</v>
      </c>
      <c r="H842" t="n">
        <v>0</v>
      </c>
      <c r="I842" t="n">
        <v>0</v>
      </c>
      <c r="J842" t="n">
        <v>0</v>
      </c>
      <c r="K842" t="n">
        <v>0</v>
      </c>
      <c r="L842" t="n">
        <v>0</v>
      </c>
      <c r="M842" t="n">
        <v>0</v>
      </c>
      <c r="N842" t="n">
        <v>0</v>
      </c>
      <c r="O842" t="n">
        <v>0</v>
      </c>
      <c r="P842" t="n">
        <v>0</v>
      </c>
      <c r="Q842" t="n">
        <v>0</v>
      </c>
      <c r="R842" s="2" t="inlineStr"/>
    </row>
    <row r="843" ht="15" customHeight="1">
      <c r="A843" t="inlineStr">
        <is>
          <t>A 52229-2024</t>
        </is>
      </c>
      <c r="B843" s="1" t="n">
        <v>45608</v>
      </c>
      <c r="C843" s="1" t="n">
        <v>46200</v>
      </c>
      <c r="D843" t="inlineStr">
        <is>
          <t>JÄMTLANDS LÄN</t>
        </is>
      </c>
      <c r="E843" t="inlineStr">
        <is>
          <t>BRÄCKE</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30478-2022</t>
        </is>
      </c>
      <c r="B844" s="1" t="n">
        <v>44761</v>
      </c>
      <c r="C844" s="1" t="n">
        <v>46200</v>
      </c>
      <c r="D844" t="inlineStr">
        <is>
          <t>JÄMTLANDS LÄN</t>
        </is>
      </c>
      <c r="E844" t="inlineStr">
        <is>
          <t>BRÄCKE</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26458-2022</t>
        </is>
      </c>
      <c r="B845" s="1" t="n">
        <v>44739</v>
      </c>
      <c r="C845" s="1" t="n">
        <v>46200</v>
      </c>
      <c r="D845" t="inlineStr">
        <is>
          <t>JÄMTLANDS LÄN</t>
        </is>
      </c>
      <c r="E845" t="inlineStr">
        <is>
          <t>BRÄCKE</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58498-2022</t>
        </is>
      </c>
      <c r="B846" s="1" t="n">
        <v>44902</v>
      </c>
      <c r="C846" s="1" t="n">
        <v>46200</v>
      </c>
      <c r="D846" t="inlineStr">
        <is>
          <t>JÄMTLANDS LÄN</t>
        </is>
      </c>
      <c r="E846" t="inlineStr">
        <is>
          <t>BRÄCKE</t>
        </is>
      </c>
      <c r="G846" t="n">
        <v>8.4</v>
      </c>
      <c r="H846" t="n">
        <v>0</v>
      </c>
      <c r="I846" t="n">
        <v>0</v>
      </c>
      <c r="J846" t="n">
        <v>0</v>
      </c>
      <c r="K846" t="n">
        <v>0</v>
      </c>
      <c r="L846" t="n">
        <v>0</v>
      </c>
      <c r="M846" t="n">
        <v>0</v>
      </c>
      <c r="N846" t="n">
        <v>0</v>
      </c>
      <c r="O846" t="n">
        <v>0</v>
      </c>
      <c r="P846" t="n">
        <v>0</v>
      </c>
      <c r="Q846" t="n">
        <v>0</v>
      </c>
      <c r="R846" s="2" t="inlineStr"/>
    </row>
    <row r="847" ht="15" customHeight="1">
      <c r="A847" t="inlineStr">
        <is>
          <t>A 7301-2025</t>
        </is>
      </c>
      <c r="B847" s="1" t="n">
        <v>45702</v>
      </c>
      <c r="C847" s="1" t="n">
        <v>46200</v>
      </c>
      <c r="D847" t="inlineStr">
        <is>
          <t>JÄMTLANDS LÄN</t>
        </is>
      </c>
      <c r="E847" t="inlineStr">
        <is>
          <t>BRÄCKE</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29572-2024</t>
        </is>
      </c>
      <c r="B848" s="1" t="n">
        <v>45484</v>
      </c>
      <c r="C848" s="1" t="n">
        <v>46200</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61973-2024</t>
        </is>
      </c>
      <c r="B849" s="1" t="n">
        <v>45653</v>
      </c>
      <c r="C849" s="1" t="n">
        <v>46200</v>
      </c>
      <c r="D849" t="inlineStr">
        <is>
          <t>JÄMTLANDS LÄN</t>
        </is>
      </c>
      <c r="E849" t="inlineStr">
        <is>
          <t>BRÄCKE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64034-2023</t>
        </is>
      </c>
      <c r="B850" s="1" t="n">
        <v>45278</v>
      </c>
      <c r="C850" s="1" t="n">
        <v>46200</v>
      </c>
      <c r="D850" t="inlineStr">
        <is>
          <t>JÄMTLANDS LÄN</t>
        </is>
      </c>
      <c r="E850" t="inlineStr">
        <is>
          <t>BRÄCKE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1863-2022</t>
        </is>
      </c>
      <c r="B851" s="1" t="n">
        <v>44574</v>
      </c>
      <c r="C851" s="1" t="n">
        <v>46200</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52714-2022</t>
        </is>
      </c>
      <c r="B852" s="1" t="n">
        <v>44874</v>
      </c>
      <c r="C852" s="1" t="n">
        <v>46200</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7756-2025</t>
        </is>
      </c>
      <c r="B853" s="1" t="n">
        <v>45706</v>
      </c>
      <c r="C853" s="1" t="n">
        <v>46200</v>
      </c>
      <c r="D853" t="inlineStr">
        <is>
          <t>JÄMTLANDS LÄN</t>
        </is>
      </c>
      <c r="E853" t="inlineStr">
        <is>
          <t>BRÄCKE</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37504-2023</t>
        </is>
      </c>
      <c r="B854" s="1" t="n">
        <v>45157</v>
      </c>
      <c r="C854" s="1" t="n">
        <v>46200</v>
      </c>
      <c r="D854" t="inlineStr">
        <is>
          <t>JÄMTLANDS LÄN</t>
        </is>
      </c>
      <c r="E854" t="inlineStr">
        <is>
          <t>BRÄCKE</t>
        </is>
      </c>
      <c r="F854" t="inlineStr">
        <is>
          <t>Sveaskog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7757-2025</t>
        </is>
      </c>
      <c r="B855" s="1" t="n">
        <v>45706</v>
      </c>
      <c r="C855" s="1" t="n">
        <v>46200</v>
      </c>
      <c r="D855" t="inlineStr">
        <is>
          <t>JÄMTLANDS LÄN</t>
        </is>
      </c>
      <c r="E855" t="inlineStr">
        <is>
          <t>BRÄCKE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41552-2024</t>
        </is>
      </c>
      <c r="B856" s="1" t="n">
        <v>45560</v>
      </c>
      <c r="C856" s="1" t="n">
        <v>46200</v>
      </c>
      <c r="D856" t="inlineStr">
        <is>
          <t>JÄMTLANDS LÄN</t>
        </is>
      </c>
      <c r="E856" t="inlineStr">
        <is>
          <t>BRÄCKE</t>
        </is>
      </c>
      <c r="F856" t="inlineStr">
        <is>
          <t>Övriga Aktiebolag</t>
        </is>
      </c>
      <c r="G856" t="n">
        <v>3</v>
      </c>
      <c r="H856" t="n">
        <v>0</v>
      </c>
      <c r="I856" t="n">
        <v>0</v>
      </c>
      <c r="J856" t="n">
        <v>0</v>
      </c>
      <c r="K856" t="n">
        <v>0</v>
      </c>
      <c r="L856" t="n">
        <v>0</v>
      </c>
      <c r="M856" t="n">
        <v>0</v>
      </c>
      <c r="N856" t="n">
        <v>0</v>
      </c>
      <c r="O856" t="n">
        <v>0</v>
      </c>
      <c r="P856" t="n">
        <v>0</v>
      </c>
      <c r="Q856" t="n">
        <v>0</v>
      </c>
      <c r="R856" s="2" t="inlineStr"/>
    </row>
    <row r="857" ht="15" customHeight="1">
      <c r="A857" t="inlineStr">
        <is>
          <t>A 5482-2025</t>
        </is>
      </c>
      <c r="B857" s="1" t="n">
        <v>45693</v>
      </c>
      <c r="C857" s="1" t="n">
        <v>46200</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24718-2022</t>
        </is>
      </c>
      <c r="B858" s="1" t="n">
        <v>44727</v>
      </c>
      <c r="C858" s="1" t="n">
        <v>46200</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24726-2022</t>
        </is>
      </c>
      <c r="B859" s="1" t="n">
        <v>44727</v>
      </c>
      <c r="C859" s="1" t="n">
        <v>46200</v>
      </c>
      <c r="D859" t="inlineStr">
        <is>
          <t>JÄMTLANDS LÄN</t>
        </is>
      </c>
      <c r="E859" t="inlineStr">
        <is>
          <t>BRÄCKE</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35244-2021</t>
        </is>
      </c>
      <c r="B860" s="1" t="n">
        <v>44384</v>
      </c>
      <c r="C860" s="1" t="n">
        <v>46200</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14266-2025</t>
        </is>
      </c>
      <c r="B861" s="1" t="n">
        <v>45740</v>
      </c>
      <c r="C861" s="1" t="n">
        <v>46200</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24492-2025</t>
        </is>
      </c>
      <c r="B862" s="1" t="n">
        <v>45798</v>
      </c>
      <c r="C862" s="1" t="n">
        <v>46200</v>
      </c>
      <c r="D862" t="inlineStr">
        <is>
          <t>JÄMTLANDS LÄN</t>
        </is>
      </c>
      <c r="E862" t="inlineStr">
        <is>
          <t>BRÄCKE</t>
        </is>
      </c>
      <c r="G862" t="n">
        <v>6.9</v>
      </c>
      <c r="H862" t="n">
        <v>0</v>
      </c>
      <c r="I862" t="n">
        <v>0</v>
      </c>
      <c r="J862" t="n">
        <v>0</v>
      </c>
      <c r="K862" t="n">
        <v>0</v>
      </c>
      <c r="L862" t="n">
        <v>0</v>
      </c>
      <c r="M862" t="n">
        <v>0</v>
      </c>
      <c r="N862" t="n">
        <v>0</v>
      </c>
      <c r="O862" t="n">
        <v>0</v>
      </c>
      <c r="P862" t="n">
        <v>0</v>
      </c>
      <c r="Q862" t="n">
        <v>0</v>
      </c>
      <c r="R862" s="2" t="inlineStr"/>
    </row>
    <row r="863" ht="15" customHeight="1">
      <c r="A863" t="inlineStr">
        <is>
          <t>A 48342-2024</t>
        </is>
      </c>
      <c r="B863" s="1" t="n">
        <v>45590</v>
      </c>
      <c r="C863" s="1" t="n">
        <v>46200</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40791-2024</t>
        </is>
      </c>
      <c r="B864" s="1" t="n">
        <v>45558</v>
      </c>
      <c r="C864" s="1" t="n">
        <v>46200</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v>
      </c>
      <c r="C865" s="1" t="n">
        <v>46200</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53152-2024</t>
        </is>
      </c>
      <c r="B866" s="1" t="n">
        <v>45611</v>
      </c>
      <c r="C866" s="1" t="n">
        <v>46200</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46200</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38336-2024</t>
        </is>
      </c>
      <c r="B868" s="1" t="n">
        <v>45545</v>
      </c>
      <c r="C868" s="1" t="n">
        <v>46200</v>
      </c>
      <c r="D868" t="inlineStr">
        <is>
          <t>JÄMTLANDS LÄN</t>
        </is>
      </c>
      <c r="E868" t="inlineStr">
        <is>
          <t>BRÄCKE</t>
        </is>
      </c>
      <c r="G868" t="n">
        <v>1.2</v>
      </c>
      <c r="H868" t="n">
        <v>0</v>
      </c>
      <c r="I868" t="n">
        <v>0</v>
      </c>
      <c r="J868" t="n">
        <v>0</v>
      </c>
      <c r="K868" t="n">
        <v>0</v>
      </c>
      <c r="L868" t="n">
        <v>0</v>
      </c>
      <c r="M868" t="n">
        <v>0</v>
      </c>
      <c r="N868" t="n">
        <v>0</v>
      </c>
      <c r="O868" t="n">
        <v>0</v>
      </c>
      <c r="P868" t="n">
        <v>0</v>
      </c>
      <c r="Q868" t="n">
        <v>0</v>
      </c>
      <c r="R868" s="2" t="inlineStr"/>
    </row>
    <row r="869" ht="15" customHeight="1">
      <c r="A869" t="inlineStr">
        <is>
          <t>A 57623-2024</t>
        </is>
      </c>
      <c r="B869" s="1" t="n">
        <v>45630</v>
      </c>
      <c r="C869" s="1" t="n">
        <v>46200</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56047-2024</t>
        </is>
      </c>
      <c r="B870" s="1" t="n">
        <v>45624</v>
      </c>
      <c r="C870" s="1" t="n">
        <v>46200</v>
      </c>
      <c r="D870" t="inlineStr">
        <is>
          <t>JÄMTLANDS LÄN</t>
        </is>
      </c>
      <c r="E870" t="inlineStr">
        <is>
          <t>BRÄCKE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28198-2025</t>
        </is>
      </c>
      <c r="B871" s="1" t="n">
        <v>45818</v>
      </c>
      <c r="C871" s="1" t="n">
        <v>46200</v>
      </c>
      <c r="D871" t="inlineStr">
        <is>
          <t>JÄMTLANDS LÄN</t>
        </is>
      </c>
      <c r="E871" t="inlineStr">
        <is>
          <t>BRÄCKE</t>
        </is>
      </c>
      <c r="F871" t="inlineStr">
        <is>
          <t>Övriga Aktiebolag</t>
        </is>
      </c>
      <c r="G871" t="n">
        <v>3</v>
      </c>
      <c r="H871" t="n">
        <v>0</v>
      </c>
      <c r="I871" t="n">
        <v>0</v>
      </c>
      <c r="J871" t="n">
        <v>0</v>
      </c>
      <c r="K871" t="n">
        <v>0</v>
      </c>
      <c r="L871" t="n">
        <v>0</v>
      </c>
      <c r="M871" t="n">
        <v>0</v>
      </c>
      <c r="N871" t="n">
        <v>0</v>
      </c>
      <c r="O871" t="n">
        <v>0</v>
      </c>
      <c r="P871" t="n">
        <v>0</v>
      </c>
      <c r="Q871" t="n">
        <v>0</v>
      </c>
      <c r="R871" s="2" t="inlineStr"/>
    </row>
    <row r="872" ht="15" customHeight="1">
      <c r="A872" t="inlineStr">
        <is>
          <t>A 3248-2025</t>
        </is>
      </c>
      <c r="B872" s="1" t="n">
        <v>45679</v>
      </c>
      <c r="C872" s="1" t="n">
        <v>46200</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4365-2023</t>
        </is>
      </c>
      <c r="B873" s="1" t="n">
        <v>44954</v>
      </c>
      <c r="C873" s="1" t="n">
        <v>46200</v>
      </c>
      <c r="D873" t="inlineStr">
        <is>
          <t>JÄMTLANDS LÄN</t>
        </is>
      </c>
      <c r="E873" t="inlineStr">
        <is>
          <t>BRÄCKE</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48416-2024</t>
        </is>
      </c>
      <c r="B874" s="1" t="n">
        <v>45590</v>
      </c>
      <c r="C874" s="1" t="n">
        <v>46200</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10369-2025</t>
        </is>
      </c>
      <c r="B875" s="1" t="n">
        <v>45720</v>
      </c>
      <c r="C875" s="1" t="n">
        <v>46200</v>
      </c>
      <c r="D875" t="inlineStr">
        <is>
          <t>JÄMTLANDS LÄN</t>
        </is>
      </c>
      <c r="E875" t="inlineStr">
        <is>
          <t>BRÄCKE</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59586-2023</t>
        </is>
      </c>
      <c r="B876" s="1" t="n">
        <v>45254</v>
      </c>
      <c r="C876" s="1" t="n">
        <v>46200</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43910-2023</t>
        </is>
      </c>
      <c r="B877" s="1" t="n">
        <v>45182</v>
      </c>
      <c r="C877" s="1" t="n">
        <v>46200</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5536-2025</t>
        </is>
      </c>
      <c r="B878" s="1" t="n">
        <v>45693</v>
      </c>
      <c r="C878" s="1" t="n">
        <v>46200</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42480-2024</t>
        </is>
      </c>
      <c r="B879" s="1" t="n">
        <v>45565</v>
      </c>
      <c r="C879" s="1" t="n">
        <v>46200</v>
      </c>
      <c r="D879" t="inlineStr">
        <is>
          <t>JÄMTLANDS LÄN</t>
        </is>
      </c>
      <c r="E879" t="inlineStr">
        <is>
          <t>BRÄCKE</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28656-2025</t>
        </is>
      </c>
      <c r="B880" s="1" t="n">
        <v>45819</v>
      </c>
      <c r="C880" s="1" t="n">
        <v>46200</v>
      </c>
      <c r="D880" t="inlineStr">
        <is>
          <t>JÄMTLANDS LÄN</t>
        </is>
      </c>
      <c r="E880" t="inlineStr">
        <is>
          <t>BRÄCKE</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28210-2025</t>
        </is>
      </c>
      <c r="B881" s="1" t="n">
        <v>45818</v>
      </c>
      <c r="C881" s="1" t="n">
        <v>46200</v>
      </c>
      <c r="D881" t="inlineStr">
        <is>
          <t>JÄMTLANDS LÄN</t>
        </is>
      </c>
      <c r="E881" t="inlineStr">
        <is>
          <t>BRÄCKE</t>
        </is>
      </c>
      <c r="F881" t="inlineStr">
        <is>
          <t>Övriga Aktiebolag</t>
        </is>
      </c>
      <c r="G881" t="n">
        <v>2.5</v>
      </c>
      <c r="H881" t="n">
        <v>0</v>
      </c>
      <c r="I881" t="n">
        <v>0</v>
      </c>
      <c r="J881" t="n">
        <v>0</v>
      </c>
      <c r="K881" t="n">
        <v>0</v>
      </c>
      <c r="L881" t="n">
        <v>0</v>
      </c>
      <c r="M881" t="n">
        <v>0</v>
      </c>
      <c r="N881" t="n">
        <v>0</v>
      </c>
      <c r="O881" t="n">
        <v>0</v>
      </c>
      <c r="P881" t="n">
        <v>0</v>
      </c>
      <c r="Q881" t="n">
        <v>0</v>
      </c>
      <c r="R881" s="2" t="inlineStr"/>
    </row>
    <row r="882" ht="15" customHeight="1">
      <c r="A882" t="inlineStr">
        <is>
          <t>A 24490-2025</t>
        </is>
      </c>
      <c r="B882" s="1" t="n">
        <v>45798</v>
      </c>
      <c r="C882" s="1" t="n">
        <v>46200</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28796-2023</t>
        </is>
      </c>
      <c r="B883" s="1" t="n">
        <v>45096</v>
      </c>
      <c r="C883" s="1" t="n">
        <v>46200</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4635-2022</t>
        </is>
      </c>
      <c r="B884" s="1" t="n">
        <v>44592</v>
      </c>
      <c r="C884" s="1" t="n">
        <v>46200</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58491-2024</t>
        </is>
      </c>
      <c r="B885" s="1" t="n">
        <v>45635</v>
      </c>
      <c r="C885" s="1" t="n">
        <v>46200</v>
      </c>
      <c r="D885" t="inlineStr">
        <is>
          <t>JÄMTLANDS LÄN</t>
        </is>
      </c>
      <c r="E885" t="inlineStr">
        <is>
          <t>BRÄCKE</t>
        </is>
      </c>
      <c r="G885" t="n">
        <v>0.6</v>
      </c>
      <c r="H885" t="n">
        <v>0</v>
      </c>
      <c r="I885" t="n">
        <v>0</v>
      </c>
      <c r="J885" t="n">
        <v>0</v>
      </c>
      <c r="K885" t="n">
        <v>0</v>
      </c>
      <c r="L885" t="n">
        <v>0</v>
      </c>
      <c r="M885" t="n">
        <v>0</v>
      </c>
      <c r="N885" t="n">
        <v>0</v>
      </c>
      <c r="O885" t="n">
        <v>0</v>
      </c>
      <c r="P885" t="n">
        <v>0</v>
      </c>
      <c r="Q885" t="n">
        <v>0</v>
      </c>
      <c r="R885" s="2" t="inlineStr"/>
    </row>
    <row r="886" ht="15" customHeight="1">
      <c r="A886" t="inlineStr">
        <is>
          <t>A 29038-2025</t>
        </is>
      </c>
      <c r="B886" s="1" t="n">
        <v>45821</v>
      </c>
      <c r="C886" s="1" t="n">
        <v>46200</v>
      </c>
      <c r="D886" t="inlineStr">
        <is>
          <t>JÄMTLANDS LÄN</t>
        </is>
      </c>
      <c r="E886" t="inlineStr">
        <is>
          <t>BRÄCKE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48419-2023</t>
        </is>
      </c>
      <c r="B887" s="1" t="n">
        <v>45205</v>
      </c>
      <c r="C887" s="1" t="n">
        <v>46200</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73102-2021</t>
        </is>
      </c>
      <c r="B888" s="1" t="n">
        <v>44550</v>
      </c>
      <c r="C888" s="1" t="n">
        <v>46200</v>
      </c>
      <c r="D888" t="inlineStr">
        <is>
          <t>JÄMTLANDS LÄN</t>
        </is>
      </c>
      <c r="E888" t="inlineStr">
        <is>
          <t>BRÄCKE</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20513-2024</t>
        </is>
      </c>
      <c r="B889" s="1" t="n">
        <v>45435</v>
      </c>
      <c r="C889" s="1" t="n">
        <v>46200</v>
      </c>
      <c r="D889" t="inlineStr">
        <is>
          <t>JÄMTLANDS LÄN</t>
        </is>
      </c>
      <c r="E889" t="inlineStr">
        <is>
          <t>BRÄCKE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16512-2024</t>
        </is>
      </c>
      <c r="B890" s="1" t="n">
        <v>45408</v>
      </c>
      <c r="C890" s="1" t="n">
        <v>46200</v>
      </c>
      <c r="D890" t="inlineStr">
        <is>
          <t>JÄMTLANDS LÄN</t>
        </is>
      </c>
      <c r="E890" t="inlineStr">
        <is>
          <t>BRÄCKE</t>
        </is>
      </c>
      <c r="G890" t="n">
        <v>3.2</v>
      </c>
      <c r="H890" t="n">
        <v>0</v>
      </c>
      <c r="I890" t="n">
        <v>0</v>
      </c>
      <c r="J890" t="n">
        <v>0</v>
      </c>
      <c r="K890" t="n">
        <v>0</v>
      </c>
      <c r="L890" t="n">
        <v>0</v>
      </c>
      <c r="M890" t="n">
        <v>0</v>
      </c>
      <c r="N890" t="n">
        <v>0</v>
      </c>
      <c r="O890" t="n">
        <v>0</v>
      </c>
      <c r="P890" t="n">
        <v>0</v>
      </c>
      <c r="Q890" t="n">
        <v>0</v>
      </c>
      <c r="R890" s="2" t="inlineStr"/>
    </row>
    <row r="891" ht="15" customHeight="1">
      <c r="A891" t="inlineStr">
        <is>
          <t>A 45414-2024</t>
        </is>
      </c>
      <c r="B891" s="1" t="n">
        <v>45576</v>
      </c>
      <c r="C891" s="1" t="n">
        <v>46200</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51042-2023</t>
        </is>
      </c>
      <c r="B892" s="1" t="n">
        <v>45218</v>
      </c>
      <c r="C892" s="1" t="n">
        <v>46200</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21086-2024</t>
        </is>
      </c>
      <c r="B893" s="1" t="n">
        <v>45439</v>
      </c>
      <c r="C893" s="1" t="n">
        <v>46200</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53696-2024</t>
        </is>
      </c>
      <c r="B894" s="1" t="n">
        <v>45615</v>
      </c>
      <c r="C894" s="1" t="n">
        <v>46200</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29763-2025</t>
        </is>
      </c>
      <c r="B895" s="1" t="n">
        <v>45825</v>
      </c>
      <c r="C895" s="1" t="n">
        <v>46200</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11550-2023</t>
        </is>
      </c>
      <c r="B896" s="1" t="n">
        <v>44993</v>
      </c>
      <c r="C896" s="1" t="n">
        <v>46200</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29431-2025</t>
        </is>
      </c>
      <c r="B897" s="1" t="n">
        <v>45824</v>
      </c>
      <c r="C897" s="1" t="n">
        <v>46200</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30424-2025</t>
        </is>
      </c>
      <c r="B898" s="1" t="n">
        <v>45827</v>
      </c>
      <c r="C898" s="1" t="n">
        <v>46200</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10103-2025</t>
        </is>
      </c>
      <c r="B899" s="1" t="n">
        <v>45719</v>
      </c>
      <c r="C899" s="1" t="n">
        <v>46200</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29909-2025</t>
        </is>
      </c>
      <c r="B900" s="1" t="n">
        <v>45826</v>
      </c>
      <c r="C900" s="1" t="n">
        <v>46200</v>
      </c>
      <c r="D900" t="inlineStr">
        <is>
          <t>JÄMTLANDS LÄN</t>
        </is>
      </c>
      <c r="E900" t="inlineStr">
        <is>
          <t>BRÄCKE</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30317-2025</t>
        </is>
      </c>
      <c r="B901" s="1" t="n">
        <v>45827</v>
      </c>
      <c r="C901" s="1" t="n">
        <v>46200</v>
      </c>
      <c r="D901" t="inlineStr">
        <is>
          <t>JÄMTLANDS LÄN</t>
        </is>
      </c>
      <c r="E901" t="inlineStr">
        <is>
          <t>BRÄCKE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59405-2022</t>
        </is>
      </c>
      <c r="B902" s="1" t="n">
        <v>44906</v>
      </c>
      <c r="C902" s="1" t="n">
        <v>46200</v>
      </c>
      <c r="D902" t="inlineStr">
        <is>
          <t>JÄMTLANDS LÄN</t>
        </is>
      </c>
      <c r="E902" t="inlineStr">
        <is>
          <t>BRÄCKE</t>
        </is>
      </c>
      <c r="G902" t="n">
        <v>0.4</v>
      </c>
      <c r="H902" t="n">
        <v>0</v>
      </c>
      <c r="I902" t="n">
        <v>0</v>
      </c>
      <c r="J902" t="n">
        <v>0</v>
      </c>
      <c r="K902" t="n">
        <v>0</v>
      </c>
      <c r="L902" t="n">
        <v>0</v>
      </c>
      <c r="M902" t="n">
        <v>0</v>
      </c>
      <c r="N902" t="n">
        <v>0</v>
      </c>
      <c r="O902" t="n">
        <v>0</v>
      </c>
      <c r="P902" t="n">
        <v>0</v>
      </c>
      <c r="Q902" t="n">
        <v>0</v>
      </c>
      <c r="R902" s="2" t="inlineStr"/>
    </row>
    <row r="903" ht="15" customHeight="1">
      <c r="A903" t="inlineStr">
        <is>
          <t>A 22001-2024</t>
        </is>
      </c>
      <c r="B903" s="1" t="n">
        <v>45443</v>
      </c>
      <c r="C903" s="1" t="n">
        <v>46200</v>
      </c>
      <c r="D903" t="inlineStr">
        <is>
          <t>JÄMTLANDS LÄN</t>
        </is>
      </c>
      <c r="E903" t="inlineStr">
        <is>
          <t>BRÄCKE</t>
        </is>
      </c>
      <c r="F903" t="inlineStr">
        <is>
          <t>Övriga Aktiebolag</t>
        </is>
      </c>
      <c r="G903" t="n">
        <v>9</v>
      </c>
      <c r="H903" t="n">
        <v>0</v>
      </c>
      <c r="I903" t="n">
        <v>0</v>
      </c>
      <c r="J903" t="n">
        <v>0</v>
      </c>
      <c r="K903" t="n">
        <v>0</v>
      </c>
      <c r="L903" t="n">
        <v>0</v>
      </c>
      <c r="M903" t="n">
        <v>0</v>
      </c>
      <c r="N903" t="n">
        <v>0</v>
      </c>
      <c r="O903" t="n">
        <v>0</v>
      </c>
      <c r="P903" t="n">
        <v>0</v>
      </c>
      <c r="Q903" t="n">
        <v>0</v>
      </c>
      <c r="R903" s="2" t="inlineStr"/>
    </row>
    <row r="904" ht="15" customHeight="1">
      <c r="A904" t="inlineStr">
        <is>
          <t>A 36497-2023</t>
        </is>
      </c>
      <c r="B904" s="1" t="n">
        <v>45152</v>
      </c>
      <c r="C904" s="1" t="n">
        <v>46200</v>
      </c>
      <c r="D904" t="inlineStr">
        <is>
          <t>JÄMTLANDS LÄN</t>
        </is>
      </c>
      <c r="E904" t="inlineStr">
        <is>
          <t>BRÄCKE</t>
        </is>
      </c>
      <c r="G904" t="n">
        <v>2.2</v>
      </c>
      <c r="H904" t="n">
        <v>0</v>
      </c>
      <c r="I904" t="n">
        <v>0</v>
      </c>
      <c r="J904" t="n">
        <v>0</v>
      </c>
      <c r="K904" t="n">
        <v>0</v>
      </c>
      <c r="L904" t="n">
        <v>0</v>
      </c>
      <c r="M904" t="n">
        <v>0</v>
      </c>
      <c r="N904" t="n">
        <v>0</v>
      </c>
      <c r="O904" t="n">
        <v>0</v>
      </c>
      <c r="P904" t="n">
        <v>0</v>
      </c>
      <c r="Q904" t="n">
        <v>0</v>
      </c>
      <c r="R904" s="2" t="inlineStr"/>
    </row>
    <row r="905" ht="15" customHeight="1">
      <c r="A905" t="inlineStr">
        <is>
          <t>A 30392-2025</t>
        </is>
      </c>
      <c r="B905" s="1" t="n">
        <v>45827</v>
      </c>
      <c r="C905" s="1" t="n">
        <v>46200</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44738</v>
      </c>
      <c r="C906" s="1" t="n">
        <v>46200</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3180-2024</t>
        </is>
      </c>
      <c r="B907" s="1" t="n">
        <v>45316</v>
      </c>
      <c r="C907" s="1" t="n">
        <v>46200</v>
      </c>
      <c r="D907" t="inlineStr">
        <is>
          <t>JÄMTLANDS LÄN</t>
        </is>
      </c>
      <c r="E907" t="inlineStr">
        <is>
          <t>BRÄCKE</t>
        </is>
      </c>
      <c r="G907" t="n">
        <v>4.7</v>
      </c>
      <c r="H907" t="n">
        <v>0</v>
      </c>
      <c r="I907" t="n">
        <v>0</v>
      </c>
      <c r="J907" t="n">
        <v>0</v>
      </c>
      <c r="K907" t="n">
        <v>0</v>
      </c>
      <c r="L907" t="n">
        <v>0</v>
      </c>
      <c r="M907" t="n">
        <v>0</v>
      </c>
      <c r="N907" t="n">
        <v>0</v>
      </c>
      <c r="O907" t="n">
        <v>0</v>
      </c>
      <c r="P907" t="n">
        <v>0</v>
      </c>
      <c r="Q907" t="n">
        <v>0</v>
      </c>
      <c r="R907" s="2" t="inlineStr"/>
    </row>
    <row r="908" ht="15" customHeight="1">
      <c r="A908" t="inlineStr">
        <is>
          <t>A 3182-2024</t>
        </is>
      </c>
      <c r="B908" s="1" t="n">
        <v>45316</v>
      </c>
      <c r="C908" s="1" t="n">
        <v>46200</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20014-2022</t>
        </is>
      </c>
      <c r="B909" s="1" t="n">
        <v>44697</v>
      </c>
      <c r="C909" s="1" t="n">
        <v>46200</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37957-2021</t>
        </is>
      </c>
      <c r="B910" s="1" t="n">
        <v>44403</v>
      </c>
      <c r="C910" s="1" t="n">
        <v>46200</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46200</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13033-2023</t>
        </is>
      </c>
      <c r="B912" s="1" t="n">
        <v>45001</v>
      </c>
      <c r="C912" s="1" t="n">
        <v>46200</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22980-2024</t>
        </is>
      </c>
      <c r="B913" s="1" t="n">
        <v>45449</v>
      </c>
      <c r="C913" s="1" t="n">
        <v>46200</v>
      </c>
      <c r="D913" t="inlineStr">
        <is>
          <t>JÄMTLANDS LÄN</t>
        </is>
      </c>
      <c r="E913" t="inlineStr">
        <is>
          <t>BRÄCKE</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26522-2024</t>
        </is>
      </c>
      <c r="B914" s="1" t="n">
        <v>45469</v>
      </c>
      <c r="C914" s="1" t="n">
        <v>46200</v>
      </c>
      <c r="D914" t="inlineStr">
        <is>
          <t>JÄMTLANDS LÄN</t>
        </is>
      </c>
      <c r="E914" t="inlineStr">
        <is>
          <t>BRÄCKE</t>
        </is>
      </c>
      <c r="G914" t="n">
        <v>14.1</v>
      </c>
      <c r="H914" t="n">
        <v>0</v>
      </c>
      <c r="I914" t="n">
        <v>0</v>
      </c>
      <c r="J914" t="n">
        <v>0</v>
      </c>
      <c r="K914" t="n">
        <v>0</v>
      </c>
      <c r="L914" t="n">
        <v>0</v>
      </c>
      <c r="M914" t="n">
        <v>0</v>
      </c>
      <c r="N914" t="n">
        <v>0</v>
      </c>
      <c r="O914" t="n">
        <v>0</v>
      </c>
      <c r="P914" t="n">
        <v>0</v>
      </c>
      <c r="Q914" t="n">
        <v>0</v>
      </c>
      <c r="R914" s="2" t="inlineStr"/>
    </row>
    <row r="915" ht="15" customHeight="1">
      <c r="A915" t="inlineStr">
        <is>
          <t>A 57605-2024</t>
        </is>
      </c>
      <c r="B915" s="1" t="n">
        <v>45630</v>
      </c>
      <c r="C915" s="1" t="n">
        <v>46200</v>
      </c>
      <c r="D915" t="inlineStr">
        <is>
          <t>JÄMTLANDS LÄN</t>
        </is>
      </c>
      <c r="E915" t="inlineStr">
        <is>
          <t>BRÄCKE</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3865-2025</t>
        </is>
      </c>
      <c r="B916" s="1" t="n">
        <v>45684</v>
      </c>
      <c r="C916" s="1" t="n">
        <v>46200</v>
      </c>
      <c r="D916" t="inlineStr">
        <is>
          <t>JÄMTLANDS LÄN</t>
        </is>
      </c>
      <c r="E916" t="inlineStr">
        <is>
          <t>BRÄCKE</t>
        </is>
      </c>
      <c r="G916" t="n">
        <v>1.4</v>
      </c>
      <c r="H916" t="n">
        <v>0</v>
      </c>
      <c r="I916" t="n">
        <v>0</v>
      </c>
      <c r="J916" t="n">
        <v>0</v>
      </c>
      <c r="K916" t="n">
        <v>0</v>
      </c>
      <c r="L916" t="n">
        <v>0</v>
      </c>
      <c r="M916" t="n">
        <v>0</v>
      </c>
      <c r="N916" t="n">
        <v>0</v>
      </c>
      <c r="O916" t="n">
        <v>0</v>
      </c>
      <c r="P916" t="n">
        <v>0</v>
      </c>
      <c r="Q916" t="n">
        <v>0</v>
      </c>
      <c r="R916" s="2" t="inlineStr"/>
    </row>
    <row r="917" ht="15" customHeight="1">
      <c r="A917" t="inlineStr">
        <is>
          <t>A 30714-2025</t>
        </is>
      </c>
      <c r="B917" s="1" t="n">
        <v>45831</v>
      </c>
      <c r="C917" s="1" t="n">
        <v>46200</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20157-2025</t>
        </is>
      </c>
      <c r="B918" s="1" t="n">
        <v>45772</v>
      </c>
      <c r="C918" s="1" t="n">
        <v>46200</v>
      </c>
      <c r="D918" t="inlineStr">
        <is>
          <t>JÄMTLANDS LÄN</t>
        </is>
      </c>
      <c r="E918" t="inlineStr">
        <is>
          <t>BRÄCKE</t>
        </is>
      </c>
      <c r="G918" t="n">
        <v>0.5</v>
      </c>
      <c r="H918" t="n">
        <v>0</v>
      </c>
      <c r="I918" t="n">
        <v>0</v>
      </c>
      <c r="J918" t="n">
        <v>0</v>
      </c>
      <c r="K918" t="n">
        <v>0</v>
      </c>
      <c r="L918" t="n">
        <v>0</v>
      </c>
      <c r="M918" t="n">
        <v>0</v>
      </c>
      <c r="N918" t="n">
        <v>0</v>
      </c>
      <c r="O918" t="n">
        <v>0</v>
      </c>
      <c r="P918" t="n">
        <v>0</v>
      </c>
      <c r="Q918" t="n">
        <v>0</v>
      </c>
      <c r="R918" s="2" t="inlineStr"/>
    </row>
    <row r="919" ht="15" customHeight="1">
      <c r="A919" t="inlineStr">
        <is>
          <t>A 46597-2022</t>
        </is>
      </c>
      <c r="B919" s="1" t="n">
        <v>44848</v>
      </c>
      <c r="C919" s="1" t="n">
        <v>46200</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48080-2023</t>
        </is>
      </c>
      <c r="B920" s="1" t="n">
        <v>45204</v>
      </c>
      <c r="C920" s="1" t="n">
        <v>46200</v>
      </c>
      <c r="D920" t="inlineStr">
        <is>
          <t>JÄMTLANDS LÄN</t>
        </is>
      </c>
      <c r="E920" t="inlineStr">
        <is>
          <t>BRÄCKE</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35880-2023</t>
        </is>
      </c>
      <c r="B921" s="1" t="n">
        <v>45148</v>
      </c>
      <c r="C921" s="1" t="n">
        <v>46200</v>
      </c>
      <c r="D921" t="inlineStr">
        <is>
          <t>JÄMTLANDS LÄN</t>
        </is>
      </c>
      <c r="E921" t="inlineStr">
        <is>
          <t>BRÄCKE</t>
        </is>
      </c>
      <c r="G921" t="n">
        <v>2.2</v>
      </c>
      <c r="H921" t="n">
        <v>0</v>
      </c>
      <c r="I921" t="n">
        <v>0</v>
      </c>
      <c r="J921" t="n">
        <v>0</v>
      </c>
      <c r="K921" t="n">
        <v>0</v>
      </c>
      <c r="L921" t="n">
        <v>0</v>
      </c>
      <c r="M921" t="n">
        <v>0</v>
      </c>
      <c r="N921" t="n">
        <v>0</v>
      </c>
      <c r="O921" t="n">
        <v>0</v>
      </c>
      <c r="P921" t="n">
        <v>0</v>
      </c>
      <c r="Q921" t="n">
        <v>0</v>
      </c>
      <c r="R921" s="2" t="inlineStr"/>
    </row>
    <row r="922" ht="15" customHeight="1">
      <c r="A922" t="inlineStr">
        <is>
          <t>A 35252-2021</t>
        </is>
      </c>
      <c r="B922" s="1" t="n">
        <v>44384</v>
      </c>
      <c r="C922" s="1" t="n">
        <v>46200</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31425-2025</t>
        </is>
      </c>
      <c r="B923" s="1" t="n">
        <v>45833</v>
      </c>
      <c r="C923" s="1" t="n">
        <v>46200</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31274-2025</t>
        </is>
      </c>
      <c r="B924" s="1" t="n">
        <v>45833</v>
      </c>
      <c r="C924" s="1" t="n">
        <v>46200</v>
      </c>
      <c r="D924" t="inlineStr">
        <is>
          <t>JÄMTLANDS LÄN</t>
        </is>
      </c>
      <c r="E924" t="inlineStr">
        <is>
          <t>BRÄCKE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56493-2024</t>
        </is>
      </c>
      <c r="B925" s="1" t="n">
        <v>45625</v>
      </c>
      <c r="C925" s="1" t="n">
        <v>46200</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31566-2024</t>
        </is>
      </c>
      <c r="B926" s="1" t="n">
        <v>45505</v>
      </c>
      <c r="C926" s="1" t="n">
        <v>46200</v>
      </c>
      <c r="D926" t="inlineStr">
        <is>
          <t>JÄMTLANDS LÄN</t>
        </is>
      </c>
      <c r="E926" t="inlineStr">
        <is>
          <t>BRÄCKE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31482-2025</t>
        </is>
      </c>
      <c r="B927" s="1" t="n">
        <v>45833</v>
      </c>
      <c r="C927" s="1" t="n">
        <v>46200</v>
      </c>
      <c r="D927" t="inlineStr">
        <is>
          <t>JÄMTLANDS LÄN</t>
        </is>
      </c>
      <c r="E927" t="inlineStr">
        <is>
          <t>BRÄCKE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31794-2025</t>
        </is>
      </c>
      <c r="B928" s="1" t="n">
        <v>45834</v>
      </c>
      <c r="C928" s="1" t="n">
        <v>46200</v>
      </c>
      <c r="D928" t="inlineStr">
        <is>
          <t>JÄMTLANDS LÄN</t>
        </is>
      </c>
      <c r="E928" t="inlineStr">
        <is>
          <t>BRÄCKE</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31819-2025</t>
        </is>
      </c>
      <c r="B929" s="1" t="n">
        <v>45834</v>
      </c>
      <c r="C929" s="1" t="n">
        <v>46200</v>
      </c>
      <c r="D929" t="inlineStr">
        <is>
          <t>JÄMTLANDS LÄN</t>
        </is>
      </c>
      <c r="E929" t="inlineStr">
        <is>
          <t>BRÄCKE</t>
        </is>
      </c>
      <c r="F929" t="inlineStr">
        <is>
          <t>Övriga Aktiebolag</t>
        </is>
      </c>
      <c r="G929" t="n">
        <v>5.8</v>
      </c>
      <c r="H929" t="n">
        <v>0</v>
      </c>
      <c r="I929" t="n">
        <v>0</v>
      </c>
      <c r="J929" t="n">
        <v>0</v>
      </c>
      <c r="K929" t="n">
        <v>0</v>
      </c>
      <c r="L929" t="n">
        <v>0</v>
      </c>
      <c r="M929" t="n">
        <v>0</v>
      </c>
      <c r="N929" t="n">
        <v>0</v>
      </c>
      <c r="O929" t="n">
        <v>0</v>
      </c>
      <c r="P929" t="n">
        <v>0</v>
      </c>
      <c r="Q929" t="n">
        <v>0</v>
      </c>
      <c r="R929" s="2" t="inlineStr"/>
    </row>
    <row r="930" ht="15" customHeight="1">
      <c r="A930" t="inlineStr">
        <is>
          <t>A 31832-2025</t>
        </is>
      </c>
      <c r="B930" s="1" t="n">
        <v>45834</v>
      </c>
      <c r="C930" s="1" t="n">
        <v>46200</v>
      </c>
      <c r="D930" t="inlineStr">
        <is>
          <t>JÄMTLANDS LÄN</t>
        </is>
      </c>
      <c r="E930" t="inlineStr">
        <is>
          <t>BRÄCKE</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14510-2025</t>
        </is>
      </c>
      <c r="B931" s="1" t="n">
        <v>45741</v>
      </c>
      <c r="C931" s="1" t="n">
        <v>46200</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32281-2025</t>
        </is>
      </c>
      <c r="B932" s="1" t="n">
        <v>45835</v>
      </c>
      <c r="C932" s="1" t="n">
        <v>46200</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49189-2024</t>
        </is>
      </c>
      <c r="B933" s="1" t="n">
        <v>45595</v>
      </c>
      <c r="C933" s="1" t="n">
        <v>46200</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50514-2023</t>
        </is>
      </c>
      <c r="B934" s="1" t="n">
        <v>45216</v>
      </c>
      <c r="C934" s="1" t="n">
        <v>46200</v>
      </c>
      <c r="D934" t="inlineStr">
        <is>
          <t>JÄMTLANDS LÄN</t>
        </is>
      </c>
      <c r="E934" t="inlineStr">
        <is>
          <t>BRÄCKE</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32146-2025</t>
        </is>
      </c>
      <c r="B935" s="1" t="n">
        <v>45835</v>
      </c>
      <c r="C935" s="1" t="n">
        <v>46200</v>
      </c>
      <c r="D935" t="inlineStr">
        <is>
          <t>JÄMTLANDS LÄN</t>
        </is>
      </c>
      <c r="E935" t="inlineStr">
        <is>
          <t>BRÄCKE</t>
        </is>
      </c>
      <c r="G935" t="n">
        <v>9.5</v>
      </c>
      <c r="H935" t="n">
        <v>0</v>
      </c>
      <c r="I935" t="n">
        <v>0</v>
      </c>
      <c r="J935" t="n">
        <v>0</v>
      </c>
      <c r="K935" t="n">
        <v>0</v>
      </c>
      <c r="L935" t="n">
        <v>0</v>
      </c>
      <c r="M935" t="n">
        <v>0</v>
      </c>
      <c r="N935" t="n">
        <v>0</v>
      </c>
      <c r="O935" t="n">
        <v>0</v>
      </c>
      <c r="P935" t="n">
        <v>0</v>
      </c>
      <c r="Q935" t="n">
        <v>0</v>
      </c>
      <c r="R935" s="2" t="inlineStr"/>
    </row>
    <row r="936" ht="15" customHeight="1">
      <c r="A936" t="inlineStr">
        <is>
          <t>A 31806-2025</t>
        </is>
      </c>
      <c r="B936" s="1" t="n">
        <v>45834</v>
      </c>
      <c r="C936" s="1" t="n">
        <v>46200</v>
      </c>
      <c r="D936" t="inlineStr">
        <is>
          <t>JÄMTLANDS LÄN</t>
        </is>
      </c>
      <c r="E936" t="inlineStr">
        <is>
          <t>BRÄCKE</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50515-2023</t>
        </is>
      </c>
      <c r="B937" s="1" t="n">
        <v>45216</v>
      </c>
      <c r="C937" s="1" t="n">
        <v>46200</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31728-2025</t>
        </is>
      </c>
      <c r="B938" s="1" t="n">
        <v>45834</v>
      </c>
      <c r="C938" s="1" t="n">
        <v>46200</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31962-2025</t>
        </is>
      </c>
      <c r="B939" s="1" t="n">
        <v>45835</v>
      </c>
      <c r="C939" s="1" t="n">
        <v>46200</v>
      </c>
      <c r="D939" t="inlineStr">
        <is>
          <t>JÄMTLANDS LÄN</t>
        </is>
      </c>
      <c r="E939" t="inlineStr">
        <is>
          <t>BRÄCKE</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11830-2024</t>
        </is>
      </c>
      <c r="B940" s="1" t="n">
        <v>45376</v>
      </c>
      <c r="C940" s="1" t="n">
        <v>46200</v>
      </c>
      <c r="D940" t="inlineStr">
        <is>
          <t>JÄMTLANDS LÄN</t>
        </is>
      </c>
      <c r="E940" t="inlineStr">
        <is>
          <t>BRÄCKE</t>
        </is>
      </c>
      <c r="G940" t="n">
        <v>18.3</v>
      </c>
      <c r="H940" t="n">
        <v>0</v>
      </c>
      <c r="I940" t="n">
        <v>0</v>
      </c>
      <c r="J940" t="n">
        <v>0</v>
      </c>
      <c r="K940" t="n">
        <v>0</v>
      </c>
      <c r="L940" t="n">
        <v>0</v>
      </c>
      <c r="M940" t="n">
        <v>0</v>
      </c>
      <c r="N940" t="n">
        <v>0</v>
      </c>
      <c r="O940" t="n">
        <v>0</v>
      </c>
      <c r="P940" t="n">
        <v>0</v>
      </c>
      <c r="Q940" t="n">
        <v>0</v>
      </c>
      <c r="R940" s="2" t="inlineStr"/>
    </row>
    <row r="941" ht="15" customHeight="1">
      <c r="A941" t="inlineStr">
        <is>
          <t>A 31749-2025</t>
        </is>
      </c>
      <c r="B941" s="1" t="n">
        <v>45834</v>
      </c>
      <c r="C941" s="1" t="n">
        <v>46200</v>
      </c>
      <c r="D941" t="inlineStr">
        <is>
          <t>JÄMTLANDS LÄN</t>
        </is>
      </c>
      <c r="E941" t="inlineStr">
        <is>
          <t>BRÄCKE</t>
        </is>
      </c>
      <c r="F941" t="inlineStr">
        <is>
          <t>Övriga Aktiebolag</t>
        </is>
      </c>
      <c r="G941" t="n">
        <v>12.5</v>
      </c>
      <c r="H941" t="n">
        <v>0</v>
      </c>
      <c r="I941" t="n">
        <v>0</v>
      </c>
      <c r="J941" t="n">
        <v>0</v>
      </c>
      <c r="K941" t="n">
        <v>0</v>
      </c>
      <c r="L941" t="n">
        <v>0</v>
      </c>
      <c r="M941" t="n">
        <v>0</v>
      </c>
      <c r="N941" t="n">
        <v>0</v>
      </c>
      <c r="O941" t="n">
        <v>0</v>
      </c>
      <c r="P941" t="n">
        <v>0</v>
      </c>
      <c r="Q941" t="n">
        <v>0</v>
      </c>
      <c r="R941" s="2" t="inlineStr"/>
    </row>
    <row r="942" ht="15" customHeight="1">
      <c r="A942" t="inlineStr">
        <is>
          <t>A 32272-2025</t>
        </is>
      </c>
      <c r="B942" s="1" t="n">
        <v>45835</v>
      </c>
      <c r="C942" s="1" t="n">
        <v>46200</v>
      </c>
      <c r="D942" t="inlineStr">
        <is>
          <t>JÄMTLANDS LÄN</t>
        </is>
      </c>
      <c r="E942" t="inlineStr">
        <is>
          <t>BRÄCKE</t>
        </is>
      </c>
      <c r="F942" t="inlineStr">
        <is>
          <t>SCA</t>
        </is>
      </c>
      <c r="G942" t="n">
        <v>7.7</v>
      </c>
      <c r="H942" t="n">
        <v>0</v>
      </c>
      <c r="I942" t="n">
        <v>0</v>
      </c>
      <c r="J942" t="n">
        <v>0</v>
      </c>
      <c r="K942" t="n">
        <v>0</v>
      </c>
      <c r="L942" t="n">
        <v>0</v>
      </c>
      <c r="M942" t="n">
        <v>0</v>
      </c>
      <c r="N942" t="n">
        <v>0</v>
      </c>
      <c r="O942" t="n">
        <v>0</v>
      </c>
      <c r="P942" t="n">
        <v>0</v>
      </c>
      <c r="Q942" t="n">
        <v>0</v>
      </c>
      <c r="R942" s="2" t="inlineStr"/>
    </row>
    <row r="943" ht="15" customHeight="1">
      <c r="A943" t="inlineStr">
        <is>
          <t>A 34807-2024</t>
        </is>
      </c>
      <c r="B943" s="1" t="n">
        <v>45526</v>
      </c>
      <c r="C943" s="1" t="n">
        <v>46200</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54863-2024</t>
        </is>
      </c>
      <c r="B944" s="1" t="n">
        <v>45618</v>
      </c>
      <c r="C944" s="1" t="n">
        <v>46200</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54865-2024</t>
        </is>
      </c>
      <c r="B945" s="1" t="n">
        <v>45618</v>
      </c>
      <c r="C945" s="1" t="n">
        <v>46200</v>
      </c>
      <c r="D945" t="inlineStr">
        <is>
          <t>JÄMTLANDS LÄN</t>
        </is>
      </c>
      <c r="E945" t="inlineStr">
        <is>
          <t>BRÄCKE</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39326-2024</t>
        </is>
      </c>
      <c r="B946" s="1" t="n">
        <v>45551</v>
      </c>
      <c r="C946" s="1" t="n">
        <v>46200</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60325-2021</t>
        </is>
      </c>
      <c r="B947" s="1" t="n">
        <v>44495</v>
      </c>
      <c r="C947" s="1" t="n">
        <v>46200</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45342-2023</t>
        </is>
      </c>
      <c r="B948" s="1" t="n">
        <v>45191</v>
      </c>
      <c r="C948" s="1" t="n">
        <v>46200</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32851-2025</t>
        </is>
      </c>
      <c r="B949" s="1" t="n">
        <v>45839</v>
      </c>
      <c r="C949" s="1" t="n">
        <v>46200</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24214-2023</t>
        </is>
      </c>
      <c r="B950" s="1" t="n">
        <v>45079</v>
      </c>
      <c r="C950" s="1" t="n">
        <v>46200</v>
      </c>
      <c r="D950" t="inlineStr">
        <is>
          <t>JÄMTLANDS LÄN</t>
        </is>
      </c>
      <c r="E950" t="inlineStr">
        <is>
          <t>BRÄCKE</t>
        </is>
      </c>
      <c r="G950" t="n">
        <v>5.6</v>
      </c>
      <c r="H950" t="n">
        <v>0</v>
      </c>
      <c r="I950" t="n">
        <v>0</v>
      </c>
      <c r="J950" t="n">
        <v>0</v>
      </c>
      <c r="K950" t="n">
        <v>0</v>
      </c>
      <c r="L950" t="n">
        <v>0</v>
      </c>
      <c r="M950" t="n">
        <v>0</v>
      </c>
      <c r="N950" t="n">
        <v>0</v>
      </c>
      <c r="O950" t="n">
        <v>0</v>
      </c>
      <c r="P950" t="n">
        <v>0</v>
      </c>
      <c r="Q950" t="n">
        <v>0</v>
      </c>
      <c r="R950" s="2" t="inlineStr"/>
      <c r="U950">
        <f>HYPERLINK("https://klasma.github.io/Logging_2305/knärot/A 24214-2023 karta knärot.png", "A 24214-2023")</f>
        <v/>
      </c>
      <c r="V950">
        <f>HYPERLINK("https://klasma.github.io/Logging_2305/klagomål/A 24214-2023 FSC-klagomål.docx", "A 24214-2023")</f>
        <v/>
      </c>
      <c r="W950">
        <f>HYPERLINK("https://klasma.github.io/Logging_2305/klagomålsmail/A 24214-2023 FSC-klagomål mail.docx", "A 24214-2023")</f>
        <v/>
      </c>
      <c r="X950">
        <f>HYPERLINK("https://klasma.github.io/Logging_2305/tillsyn/A 24214-2023 tillsynsbegäran.docx", "A 24214-2023")</f>
        <v/>
      </c>
      <c r="Y950">
        <f>HYPERLINK("https://klasma.github.io/Logging_2305/tillsynsmail/A 24214-2023 tillsynsbegäran mail.docx", "A 24214-2023")</f>
        <v/>
      </c>
    </row>
    <row r="951" ht="15" customHeight="1">
      <c r="A951" t="inlineStr">
        <is>
          <t>A 32659-2025</t>
        </is>
      </c>
      <c r="B951" s="1" t="n">
        <v>45838</v>
      </c>
      <c r="C951" s="1" t="n">
        <v>46200</v>
      </c>
      <c r="D951" t="inlineStr">
        <is>
          <t>JÄMTLANDS LÄN</t>
        </is>
      </c>
      <c r="E951" t="inlineStr">
        <is>
          <t>BRÄCKE</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32596-2025</t>
        </is>
      </c>
      <c r="B952" s="1" t="n">
        <v>45838</v>
      </c>
      <c r="C952" s="1" t="n">
        <v>46200</v>
      </c>
      <c r="D952" t="inlineStr">
        <is>
          <t>JÄMTLANDS LÄN</t>
        </is>
      </c>
      <c r="E952" t="inlineStr">
        <is>
          <t>BRÄCKE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19584-2024</t>
        </is>
      </c>
      <c r="B953" s="1" t="n">
        <v>45429</v>
      </c>
      <c r="C953" s="1" t="n">
        <v>46200</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23081-2024</t>
        </is>
      </c>
      <c r="B954" s="1" t="n">
        <v>45450</v>
      </c>
      <c r="C954" s="1" t="n">
        <v>46200</v>
      </c>
      <c r="D954" t="inlineStr">
        <is>
          <t>JÄMTLANDS LÄN</t>
        </is>
      </c>
      <c r="E954" t="inlineStr">
        <is>
          <t>BRÄCKE</t>
        </is>
      </c>
      <c r="G954" t="n">
        <v>0.6</v>
      </c>
      <c r="H954" t="n">
        <v>0</v>
      </c>
      <c r="I954" t="n">
        <v>0</v>
      </c>
      <c r="J954" t="n">
        <v>0</v>
      </c>
      <c r="K954" t="n">
        <v>0</v>
      </c>
      <c r="L954" t="n">
        <v>0</v>
      </c>
      <c r="M954" t="n">
        <v>0</v>
      </c>
      <c r="N954" t="n">
        <v>0</v>
      </c>
      <c r="O954" t="n">
        <v>0</v>
      </c>
      <c r="P954" t="n">
        <v>0</v>
      </c>
      <c r="Q954" t="n">
        <v>0</v>
      </c>
      <c r="R954" s="2" t="inlineStr"/>
    </row>
    <row r="955" ht="15" customHeight="1">
      <c r="A955" t="inlineStr">
        <is>
          <t>A 30569-2024</t>
        </is>
      </c>
      <c r="B955" s="1" t="n">
        <v>45492</v>
      </c>
      <c r="C955" s="1" t="n">
        <v>46200</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47746-2024</t>
        </is>
      </c>
      <c r="B956" s="1" t="n">
        <v>45588</v>
      </c>
      <c r="C956" s="1" t="n">
        <v>46200</v>
      </c>
      <c r="D956" t="inlineStr">
        <is>
          <t>JÄMTLANDS LÄN</t>
        </is>
      </c>
      <c r="E956" t="inlineStr">
        <is>
          <t>BRÄCKE</t>
        </is>
      </c>
      <c r="G956" t="n">
        <v>1.1</v>
      </c>
      <c r="H956" t="n">
        <v>0</v>
      </c>
      <c r="I956" t="n">
        <v>0</v>
      </c>
      <c r="J956" t="n">
        <v>0</v>
      </c>
      <c r="K956" t="n">
        <v>0</v>
      </c>
      <c r="L956" t="n">
        <v>0</v>
      </c>
      <c r="M956" t="n">
        <v>0</v>
      </c>
      <c r="N956" t="n">
        <v>0</v>
      </c>
      <c r="O956" t="n">
        <v>0</v>
      </c>
      <c r="P956" t="n">
        <v>0</v>
      </c>
      <c r="Q956" t="n">
        <v>0</v>
      </c>
      <c r="R956" s="2" t="inlineStr"/>
    </row>
    <row r="957" ht="15" customHeight="1">
      <c r="A957" t="inlineStr">
        <is>
          <t>A 32229-2023</t>
        </is>
      </c>
      <c r="B957" s="1" t="n">
        <v>45119</v>
      </c>
      <c r="C957" s="1" t="n">
        <v>46200</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47500-2023</t>
        </is>
      </c>
      <c r="B958" s="1" t="n">
        <v>45202</v>
      </c>
      <c r="C958" s="1" t="n">
        <v>46200</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61415-2021</t>
        </is>
      </c>
      <c r="B959" s="1" t="n">
        <v>44500</v>
      </c>
      <c r="C959" s="1" t="n">
        <v>46200</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40394-2023</t>
        </is>
      </c>
      <c r="B960" s="1" t="n">
        <v>45169</v>
      </c>
      <c r="C960" s="1" t="n">
        <v>46200</v>
      </c>
      <c r="D960" t="inlineStr">
        <is>
          <t>JÄMTLANDS LÄN</t>
        </is>
      </c>
      <c r="E960" t="inlineStr">
        <is>
          <t>BRÄCKE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34409-2021</t>
        </is>
      </c>
      <c r="B961" s="1" t="n">
        <v>44379</v>
      </c>
      <c r="C961" s="1" t="n">
        <v>46200</v>
      </c>
      <c r="D961" t="inlineStr">
        <is>
          <t>JÄMTLANDS LÄN</t>
        </is>
      </c>
      <c r="E961" t="inlineStr">
        <is>
          <t>BRÄCKE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31520-2022</t>
        </is>
      </c>
      <c r="B962" s="1" t="n">
        <v>44774</v>
      </c>
      <c r="C962" s="1" t="n">
        <v>46200</v>
      </c>
      <c r="D962" t="inlineStr">
        <is>
          <t>JÄMTLANDS LÄN</t>
        </is>
      </c>
      <c r="E962" t="inlineStr">
        <is>
          <t>BRÄCKE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33275-2025</t>
        </is>
      </c>
      <c r="B963" s="1" t="n">
        <v>45840</v>
      </c>
      <c r="C963" s="1" t="n">
        <v>46200</v>
      </c>
      <c r="D963" t="inlineStr">
        <is>
          <t>JÄMTLANDS LÄN</t>
        </is>
      </c>
      <c r="E963" t="inlineStr">
        <is>
          <t>BRÄCKE</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31713-2024</t>
        </is>
      </c>
      <c r="B964" s="1" t="n">
        <v>45508</v>
      </c>
      <c r="C964" s="1" t="n">
        <v>46200</v>
      </c>
      <c r="D964" t="inlineStr">
        <is>
          <t>JÄMTLANDS LÄN</t>
        </is>
      </c>
      <c r="E964" t="inlineStr">
        <is>
          <t>BRÄCKE</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43789-2022</t>
        </is>
      </c>
      <c r="B965" s="1" t="n">
        <v>44837</v>
      </c>
      <c r="C965" s="1" t="n">
        <v>46200</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33868-2025</t>
        </is>
      </c>
      <c r="B966" s="1" t="n">
        <v>45842</v>
      </c>
      <c r="C966" s="1" t="n">
        <v>46200</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24026-2024</t>
        </is>
      </c>
      <c r="B967" s="1" t="n">
        <v>45456</v>
      </c>
      <c r="C967" s="1" t="n">
        <v>46200</v>
      </c>
      <c r="D967" t="inlineStr">
        <is>
          <t>JÄMTLANDS LÄN</t>
        </is>
      </c>
      <c r="E967" t="inlineStr">
        <is>
          <t>BRÄCKE</t>
        </is>
      </c>
      <c r="F967" t="inlineStr">
        <is>
          <t>Övriga Aktiebolag</t>
        </is>
      </c>
      <c r="G967" t="n">
        <v>23.7</v>
      </c>
      <c r="H967" t="n">
        <v>0</v>
      </c>
      <c r="I967" t="n">
        <v>0</v>
      </c>
      <c r="J967" t="n">
        <v>0</v>
      </c>
      <c r="K967" t="n">
        <v>0</v>
      </c>
      <c r="L967" t="n">
        <v>0</v>
      </c>
      <c r="M967" t="n">
        <v>0</v>
      </c>
      <c r="N967" t="n">
        <v>0</v>
      </c>
      <c r="O967" t="n">
        <v>0</v>
      </c>
      <c r="P967" t="n">
        <v>0</v>
      </c>
      <c r="Q967" t="n">
        <v>0</v>
      </c>
      <c r="R967" s="2" t="inlineStr"/>
    </row>
    <row r="968" ht="15" customHeight="1">
      <c r="A968" t="inlineStr">
        <is>
          <t>A 34189-2025</t>
        </is>
      </c>
      <c r="B968" s="1" t="n">
        <v>45845</v>
      </c>
      <c r="C968" s="1" t="n">
        <v>46200</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60666-2024</t>
        </is>
      </c>
      <c r="B969" s="1" t="n">
        <v>45644</v>
      </c>
      <c r="C969" s="1" t="n">
        <v>46200</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33937-2025</t>
        </is>
      </c>
      <c r="B970" s="1" t="n">
        <v>45842</v>
      </c>
      <c r="C970" s="1" t="n">
        <v>46200</v>
      </c>
      <c r="D970" t="inlineStr">
        <is>
          <t>JÄMTLANDS LÄN</t>
        </is>
      </c>
      <c r="E970" t="inlineStr">
        <is>
          <t>BRÄCKE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51432-2023</t>
        </is>
      </c>
      <c r="B971" s="1" t="n">
        <v>45219</v>
      </c>
      <c r="C971" s="1" t="n">
        <v>46200</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33776-2025</t>
        </is>
      </c>
      <c r="B972" s="1" t="n">
        <v>45842</v>
      </c>
      <c r="C972" s="1" t="n">
        <v>46200</v>
      </c>
      <c r="D972" t="inlineStr">
        <is>
          <t>JÄMTLANDS LÄN</t>
        </is>
      </c>
      <c r="E972" t="inlineStr">
        <is>
          <t>BRÄCKE</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9706-2025</t>
        </is>
      </c>
      <c r="B973" s="1" t="n">
        <v>45716</v>
      </c>
      <c r="C973" s="1" t="n">
        <v>46200</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51827-2023</t>
        </is>
      </c>
      <c r="B974" s="1" t="n">
        <v>45222</v>
      </c>
      <c r="C974" s="1" t="n">
        <v>46200</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33956-2025</t>
        </is>
      </c>
      <c r="B975" s="1" t="n">
        <v>45842</v>
      </c>
      <c r="C975" s="1" t="n">
        <v>46200</v>
      </c>
      <c r="D975" t="inlineStr">
        <is>
          <t>JÄMTLANDS LÄN</t>
        </is>
      </c>
      <c r="E975" t="inlineStr">
        <is>
          <t>BRÄCKE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33873-2025</t>
        </is>
      </c>
      <c r="B976" s="1" t="n">
        <v>45842</v>
      </c>
      <c r="C976" s="1" t="n">
        <v>46200</v>
      </c>
      <c r="D976" t="inlineStr">
        <is>
          <t>JÄMTLANDS LÄN</t>
        </is>
      </c>
      <c r="E976" t="inlineStr">
        <is>
          <t>BRÄCKE</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33902-2025</t>
        </is>
      </c>
      <c r="B977" s="1" t="n">
        <v>45842</v>
      </c>
      <c r="C977" s="1" t="n">
        <v>46200</v>
      </c>
      <c r="D977" t="inlineStr">
        <is>
          <t>JÄMTLANDS LÄN</t>
        </is>
      </c>
      <c r="E977" t="inlineStr">
        <is>
          <t>BRÄCKE</t>
        </is>
      </c>
      <c r="G977" t="n">
        <v>1.4</v>
      </c>
      <c r="H977" t="n">
        <v>0</v>
      </c>
      <c r="I977" t="n">
        <v>0</v>
      </c>
      <c r="J977" t="n">
        <v>0</v>
      </c>
      <c r="K977" t="n">
        <v>0</v>
      </c>
      <c r="L977" t="n">
        <v>0</v>
      </c>
      <c r="M977" t="n">
        <v>0</v>
      </c>
      <c r="N977" t="n">
        <v>0</v>
      </c>
      <c r="O977" t="n">
        <v>0</v>
      </c>
      <c r="P977" t="n">
        <v>0</v>
      </c>
      <c r="Q977" t="n">
        <v>0</v>
      </c>
      <c r="R977" s="2" t="inlineStr"/>
    </row>
    <row r="978" ht="15" customHeight="1">
      <c r="A978" t="inlineStr">
        <is>
          <t>A 65096-2023</t>
        </is>
      </c>
      <c r="B978" s="1" t="n">
        <v>45288</v>
      </c>
      <c r="C978" s="1" t="n">
        <v>46200</v>
      </c>
      <c r="D978" t="inlineStr">
        <is>
          <t>JÄMTLANDS LÄN</t>
        </is>
      </c>
      <c r="E978" t="inlineStr">
        <is>
          <t>BRÄCKE</t>
        </is>
      </c>
      <c r="G978" t="n">
        <v>0.9</v>
      </c>
      <c r="H978" t="n">
        <v>0</v>
      </c>
      <c r="I978" t="n">
        <v>0</v>
      </c>
      <c r="J978" t="n">
        <v>0</v>
      </c>
      <c r="K978" t="n">
        <v>0</v>
      </c>
      <c r="L978" t="n">
        <v>0</v>
      </c>
      <c r="M978" t="n">
        <v>0</v>
      </c>
      <c r="N978" t="n">
        <v>0</v>
      </c>
      <c r="O978" t="n">
        <v>0</v>
      </c>
      <c r="P978" t="n">
        <v>0</v>
      </c>
      <c r="Q978" t="n">
        <v>0</v>
      </c>
      <c r="R978" s="2" t="inlineStr"/>
    </row>
    <row r="979" ht="15" customHeight="1">
      <c r="A979" t="inlineStr">
        <is>
          <t>A 33796-2025</t>
        </is>
      </c>
      <c r="B979" s="1" t="n">
        <v>45842</v>
      </c>
      <c r="C979" s="1" t="n">
        <v>46200</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51378-2024</t>
        </is>
      </c>
      <c r="B980" s="1" t="n">
        <v>45604</v>
      </c>
      <c r="C980" s="1" t="n">
        <v>46200</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34294-2025</t>
        </is>
      </c>
      <c r="B981" s="1" t="n">
        <v>45846</v>
      </c>
      <c r="C981" s="1" t="n">
        <v>46200</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11093-2024</t>
        </is>
      </c>
      <c r="B982" s="1" t="n">
        <v>45370</v>
      </c>
      <c r="C982" s="1" t="n">
        <v>46200</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24531-2022</t>
        </is>
      </c>
      <c r="B983" s="1" t="n">
        <v>44726</v>
      </c>
      <c r="C983" s="1" t="n">
        <v>46200</v>
      </c>
      <c r="D983" t="inlineStr">
        <is>
          <t>JÄMTLANDS LÄN</t>
        </is>
      </c>
      <c r="E983" t="inlineStr">
        <is>
          <t>BRÄCKE</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34469-2025</t>
        </is>
      </c>
      <c r="B984" s="1" t="n">
        <v>45847</v>
      </c>
      <c r="C984" s="1" t="n">
        <v>46200</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34322-2025</t>
        </is>
      </c>
      <c r="B985" s="1" t="n">
        <v>45846</v>
      </c>
      <c r="C985" s="1" t="n">
        <v>46200</v>
      </c>
      <c r="D985" t="inlineStr">
        <is>
          <t>JÄMTLANDS LÄN</t>
        </is>
      </c>
      <c r="E985" t="inlineStr">
        <is>
          <t>BRÄCKE</t>
        </is>
      </c>
      <c r="F985" t="inlineStr">
        <is>
          <t>SCA</t>
        </is>
      </c>
      <c r="G985" t="n">
        <v>32.6</v>
      </c>
      <c r="H985" t="n">
        <v>0</v>
      </c>
      <c r="I985" t="n">
        <v>0</v>
      </c>
      <c r="J985" t="n">
        <v>0</v>
      </c>
      <c r="K985" t="n">
        <v>0</v>
      </c>
      <c r="L985" t="n">
        <v>0</v>
      </c>
      <c r="M985" t="n">
        <v>0</v>
      </c>
      <c r="N985" t="n">
        <v>0</v>
      </c>
      <c r="O985" t="n">
        <v>0</v>
      </c>
      <c r="P985" t="n">
        <v>0</v>
      </c>
      <c r="Q985" t="n">
        <v>0</v>
      </c>
      <c r="R985" s="2" t="inlineStr"/>
    </row>
    <row r="986" ht="15" customHeight="1">
      <c r="A986" t="inlineStr">
        <is>
          <t>A 34518-2025</t>
        </is>
      </c>
      <c r="B986" s="1" t="n">
        <v>45847</v>
      </c>
      <c r="C986" s="1" t="n">
        <v>46200</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31470-2023</t>
        </is>
      </c>
      <c r="B987" s="1" t="n">
        <v>45104</v>
      </c>
      <c r="C987" s="1" t="n">
        <v>46200</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3390-2024</t>
        </is>
      </c>
      <c r="B988" s="1" t="n">
        <v>45317</v>
      </c>
      <c r="C988" s="1" t="n">
        <v>46200</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62674-2021</t>
        </is>
      </c>
      <c r="B989" s="1" t="n">
        <v>44503</v>
      </c>
      <c r="C989" s="1" t="n">
        <v>46200</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34828-2025</t>
        </is>
      </c>
      <c r="B990" s="1" t="n">
        <v>45849</v>
      </c>
      <c r="C990" s="1" t="n">
        <v>46200</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30479-2022</t>
        </is>
      </c>
      <c r="B991" s="1" t="n">
        <v>44761</v>
      </c>
      <c r="C991" s="1" t="n">
        <v>46200</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34746-2025</t>
        </is>
      </c>
      <c r="B992" s="1" t="n">
        <v>45848</v>
      </c>
      <c r="C992" s="1" t="n">
        <v>46200</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34783-2025</t>
        </is>
      </c>
      <c r="B993" s="1" t="n">
        <v>45848</v>
      </c>
      <c r="C993" s="1" t="n">
        <v>46200</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34773-2025</t>
        </is>
      </c>
      <c r="B994" s="1" t="n">
        <v>45848</v>
      </c>
      <c r="C994" s="1" t="n">
        <v>46200</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16317-2025</t>
        </is>
      </c>
      <c r="B995" s="1" t="n">
        <v>45751</v>
      </c>
      <c r="C995" s="1" t="n">
        <v>46200</v>
      </c>
      <c r="D995" t="inlineStr">
        <is>
          <t>JÄMTLANDS LÄN</t>
        </is>
      </c>
      <c r="E995" t="inlineStr">
        <is>
          <t>BRÄCKE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34912-2025</t>
        </is>
      </c>
      <c r="B996" s="1" t="n">
        <v>45849</v>
      </c>
      <c r="C996" s="1" t="n">
        <v>46200</v>
      </c>
      <c r="D996" t="inlineStr">
        <is>
          <t>JÄMTLANDS LÄN</t>
        </is>
      </c>
      <c r="E996" t="inlineStr">
        <is>
          <t>BRÄCKE</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20625-2023</t>
        </is>
      </c>
      <c r="B997" s="1" t="n">
        <v>45057</v>
      </c>
      <c r="C997" s="1" t="n">
        <v>46200</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34786-2025</t>
        </is>
      </c>
      <c r="B998" s="1" t="n">
        <v>45848</v>
      </c>
      <c r="C998" s="1" t="n">
        <v>46200</v>
      </c>
      <c r="D998" t="inlineStr">
        <is>
          <t>JÄMTLANDS LÄN</t>
        </is>
      </c>
      <c r="E998" t="inlineStr">
        <is>
          <t>BRÄCKE</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55997-2024</t>
        </is>
      </c>
      <c r="B999" s="1" t="n">
        <v>45623</v>
      </c>
      <c r="C999" s="1" t="n">
        <v>46200</v>
      </c>
      <c r="D999" t="inlineStr">
        <is>
          <t>JÄMTLANDS LÄN</t>
        </is>
      </c>
      <c r="E999" t="inlineStr">
        <is>
          <t>BRÄCKE</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53113-2022</t>
        </is>
      </c>
      <c r="B1000" s="1" t="n">
        <v>44873</v>
      </c>
      <c r="C1000" s="1" t="n">
        <v>46200</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10130-2022</t>
        </is>
      </c>
      <c r="B1001" s="1" t="n">
        <v>44621</v>
      </c>
      <c r="C1001" s="1" t="n">
        <v>46200</v>
      </c>
      <c r="D1001" t="inlineStr">
        <is>
          <t>JÄMTLANDS LÄN</t>
        </is>
      </c>
      <c r="E1001" t="inlineStr">
        <is>
          <t>BRÄCKE</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9996-2025</t>
        </is>
      </c>
      <c r="B1002" s="1" t="n">
        <v>45719</v>
      </c>
      <c r="C1002" s="1" t="n">
        <v>46200</v>
      </c>
      <c r="D1002" t="inlineStr">
        <is>
          <t>JÄMTLANDS LÄN</t>
        </is>
      </c>
      <c r="E1002" t="inlineStr">
        <is>
          <t>BRÄCKE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3528-2024</t>
        </is>
      </c>
      <c r="B1003" s="1" t="n">
        <v>45320</v>
      </c>
      <c r="C1003" s="1" t="n">
        <v>46200</v>
      </c>
      <c r="D1003" t="inlineStr">
        <is>
          <t>JÄMTLANDS LÄN</t>
        </is>
      </c>
      <c r="E1003" t="inlineStr">
        <is>
          <t>BRÄCKE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51558-2022</t>
        </is>
      </c>
      <c r="B1004" s="1" t="n">
        <v>44869</v>
      </c>
      <c r="C1004" s="1" t="n">
        <v>46200</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30685-2023</t>
        </is>
      </c>
      <c r="B1005" s="1" t="n">
        <v>45112</v>
      </c>
      <c r="C1005" s="1" t="n">
        <v>46200</v>
      </c>
      <c r="D1005" t="inlineStr">
        <is>
          <t>JÄMTLANDS LÄN</t>
        </is>
      </c>
      <c r="E1005" t="inlineStr">
        <is>
          <t>BRÄCKE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18255-2025</t>
        </is>
      </c>
      <c r="B1006" s="1" t="n">
        <v>45762</v>
      </c>
      <c r="C1006" s="1" t="n">
        <v>46200</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36549-2024</t>
        </is>
      </c>
      <c r="B1007" s="1" t="n">
        <v>45537</v>
      </c>
      <c r="C1007" s="1" t="n">
        <v>46200</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35325-2025</t>
        </is>
      </c>
      <c r="B1008" s="1" t="n">
        <v>45854</v>
      </c>
      <c r="C1008" s="1" t="n">
        <v>46200</v>
      </c>
      <c r="D1008" t="inlineStr">
        <is>
          <t>JÄMTLANDS LÄN</t>
        </is>
      </c>
      <c r="E1008" t="inlineStr">
        <is>
          <t>BRÄCKE</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39004-2023</t>
        </is>
      </c>
      <c r="B1009" s="1" t="n">
        <v>45162</v>
      </c>
      <c r="C1009" s="1" t="n">
        <v>46200</v>
      </c>
      <c r="D1009" t="inlineStr">
        <is>
          <t>JÄMTLANDS LÄN</t>
        </is>
      </c>
      <c r="E1009" t="inlineStr">
        <is>
          <t>BRÄCKE</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35324-2025</t>
        </is>
      </c>
      <c r="B1010" s="1" t="n">
        <v>45854</v>
      </c>
      <c r="C1010" s="1" t="n">
        <v>46200</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35326-2025</t>
        </is>
      </c>
      <c r="B1011" s="1" t="n">
        <v>45854</v>
      </c>
      <c r="C1011" s="1" t="n">
        <v>46200</v>
      </c>
      <c r="D1011" t="inlineStr">
        <is>
          <t>JÄMTLANDS LÄN</t>
        </is>
      </c>
      <c r="E1011" t="inlineStr">
        <is>
          <t>BRÄCKE</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55520-2022</t>
        </is>
      </c>
      <c r="B1012" s="1" t="n">
        <v>44887</v>
      </c>
      <c r="C1012" s="1" t="n">
        <v>46200</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35445-2025</t>
        </is>
      </c>
      <c r="B1013" s="1" t="n">
        <v>45855</v>
      </c>
      <c r="C1013" s="1" t="n">
        <v>46200</v>
      </c>
      <c r="D1013" t="inlineStr">
        <is>
          <t>JÄMTLANDS LÄN</t>
        </is>
      </c>
      <c r="E1013" t="inlineStr">
        <is>
          <t>BRÄCKE</t>
        </is>
      </c>
      <c r="F1013" t="inlineStr">
        <is>
          <t>SCA</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10088-2025</t>
        </is>
      </c>
      <c r="B1014" s="1" t="n">
        <v>45719</v>
      </c>
      <c r="C1014" s="1" t="n">
        <v>46200</v>
      </c>
      <c r="D1014" t="inlineStr">
        <is>
          <t>JÄMTLANDS LÄN</t>
        </is>
      </c>
      <c r="E1014" t="inlineStr">
        <is>
          <t>BRÄCKE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35327-2025</t>
        </is>
      </c>
      <c r="B1015" s="1" t="n">
        <v>45854</v>
      </c>
      <c r="C1015" s="1" t="n">
        <v>46200</v>
      </c>
      <c r="D1015" t="inlineStr">
        <is>
          <t>JÄMTLANDS LÄN</t>
        </is>
      </c>
      <c r="E1015" t="inlineStr">
        <is>
          <t>BRÄCKE</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35331-2025</t>
        </is>
      </c>
      <c r="B1016" s="1" t="n">
        <v>45854</v>
      </c>
      <c r="C1016" s="1" t="n">
        <v>46200</v>
      </c>
      <c r="D1016" t="inlineStr">
        <is>
          <t>JÄMTLANDS LÄN</t>
        </is>
      </c>
      <c r="E1016" t="inlineStr">
        <is>
          <t>BRÄCKE</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10106-2025</t>
        </is>
      </c>
      <c r="B1017" s="1" t="n">
        <v>45719</v>
      </c>
      <c r="C1017" s="1" t="n">
        <v>46200</v>
      </c>
      <c r="D1017" t="inlineStr">
        <is>
          <t>JÄMTLANDS LÄN</t>
        </is>
      </c>
      <c r="E1017" t="inlineStr">
        <is>
          <t>BRÄCKE</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5167-2025</t>
        </is>
      </c>
      <c r="B1018" s="1" t="n">
        <v>45691</v>
      </c>
      <c r="C1018" s="1" t="n">
        <v>46200</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52529-2024</t>
        </is>
      </c>
      <c r="B1019" s="1" t="n">
        <v>45609</v>
      </c>
      <c r="C1019" s="1" t="n">
        <v>46200</v>
      </c>
      <c r="D1019" t="inlineStr">
        <is>
          <t>JÄMTLANDS LÄN</t>
        </is>
      </c>
      <c r="E1019" t="inlineStr">
        <is>
          <t>BRÄCKE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44694-2023</t>
        </is>
      </c>
      <c r="B1020" s="1" t="n">
        <v>45189</v>
      </c>
      <c r="C1020" s="1" t="n">
        <v>46200</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56640-2021</t>
        </is>
      </c>
      <c r="B1021" s="1" t="n">
        <v>44480</v>
      </c>
      <c r="C1021" s="1" t="n">
        <v>46200</v>
      </c>
      <c r="D1021" t="inlineStr">
        <is>
          <t>JÄMTLANDS LÄN</t>
        </is>
      </c>
      <c r="E1021" t="inlineStr">
        <is>
          <t>BRÄCKE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54451-2023</t>
        </is>
      </c>
      <c r="B1022" s="1" t="n">
        <v>45233</v>
      </c>
      <c r="C1022" s="1" t="n">
        <v>46200</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11313-2022</t>
        </is>
      </c>
      <c r="B1023" s="1" t="n">
        <v>44629</v>
      </c>
      <c r="C1023" s="1" t="n">
        <v>46200</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35668-2025</t>
        </is>
      </c>
      <c r="B1024" s="1" t="n">
        <v>45859</v>
      </c>
      <c r="C1024" s="1" t="n">
        <v>46200</v>
      </c>
      <c r="D1024" t="inlineStr">
        <is>
          <t>JÄMTLANDS LÄN</t>
        </is>
      </c>
      <c r="E1024" t="inlineStr">
        <is>
          <t>BRÄCKE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13019-2023</t>
        </is>
      </c>
      <c r="B1025" s="1" t="n">
        <v>45001</v>
      </c>
      <c r="C1025" s="1" t="n">
        <v>46200</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1881-2024</t>
        </is>
      </c>
      <c r="B1026" s="1" t="n">
        <v>45307</v>
      </c>
      <c r="C1026" s="1" t="n">
        <v>46200</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61362-2024</t>
        </is>
      </c>
      <c r="B1027" s="1" t="n">
        <v>45646</v>
      </c>
      <c r="C1027" s="1" t="n">
        <v>46200</v>
      </c>
      <c r="D1027" t="inlineStr">
        <is>
          <t>JÄMTLANDS LÄN</t>
        </is>
      </c>
      <c r="E1027" t="inlineStr">
        <is>
          <t>BRÄCKE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60178-2022</t>
        </is>
      </c>
      <c r="B1028" s="1" t="n">
        <v>44909</v>
      </c>
      <c r="C1028" s="1" t="n">
        <v>46200</v>
      </c>
      <c r="D1028" t="inlineStr">
        <is>
          <t>JÄMTLANDS LÄN</t>
        </is>
      </c>
      <c r="E1028" t="inlineStr">
        <is>
          <t>BRÄCKE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4122-2025</t>
        </is>
      </c>
      <c r="B1029" s="1" t="n">
        <v>45685</v>
      </c>
      <c r="C1029" s="1" t="n">
        <v>46200</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35731-2025</t>
        </is>
      </c>
      <c r="B1030" s="1" t="n">
        <v>45860</v>
      </c>
      <c r="C1030" s="1" t="n">
        <v>46200</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22981-2024</t>
        </is>
      </c>
      <c r="B1031" s="1" t="n">
        <v>45449</v>
      </c>
      <c r="C1031" s="1" t="n">
        <v>46200</v>
      </c>
      <c r="D1031" t="inlineStr">
        <is>
          <t>JÄMTLANDS LÄN</t>
        </is>
      </c>
      <c r="E1031" t="inlineStr">
        <is>
          <t>BRÄCKE</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29821-2022</t>
        </is>
      </c>
      <c r="B1032" s="1" t="n">
        <v>44755</v>
      </c>
      <c r="C1032" s="1" t="n">
        <v>46200</v>
      </c>
      <c r="D1032" t="inlineStr">
        <is>
          <t>JÄMTLANDS LÄN</t>
        </is>
      </c>
      <c r="E1032" t="inlineStr">
        <is>
          <t>BRÄCKE</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16466-2024</t>
        </is>
      </c>
      <c r="B1033" s="1" t="n">
        <v>45408</v>
      </c>
      <c r="C1033" s="1" t="n">
        <v>46200</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33538-2021</t>
        </is>
      </c>
      <c r="B1034" s="1" t="n">
        <v>44377</v>
      </c>
      <c r="C1034" s="1" t="n">
        <v>46200</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35712-2025</t>
        </is>
      </c>
      <c r="B1035" s="1" t="n">
        <v>45860</v>
      </c>
      <c r="C1035" s="1" t="n">
        <v>46200</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35906-2025</t>
        </is>
      </c>
      <c r="B1036" s="1" t="n">
        <v>45862</v>
      </c>
      <c r="C1036" s="1" t="n">
        <v>46200</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57420-2023</t>
        </is>
      </c>
      <c r="B1037" s="1" t="n">
        <v>45245</v>
      </c>
      <c r="C1037" s="1" t="n">
        <v>46200</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36223-2025</t>
        </is>
      </c>
      <c r="B1038" s="1" t="n">
        <v>45867</v>
      </c>
      <c r="C1038" s="1" t="n">
        <v>46200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54334-2023</t>
        </is>
      </c>
      <c r="B1039" s="1" t="n">
        <v>45232</v>
      </c>
      <c r="C1039" s="1" t="n">
        <v>46200</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49591-2024</t>
        </is>
      </c>
      <c r="B1040" s="1" t="n">
        <v>45596</v>
      </c>
      <c r="C1040" s="1" t="n">
        <v>46200</v>
      </c>
      <c r="D1040" t="inlineStr">
        <is>
          <t>JÄMTLANDS LÄN</t>
        </is>
      </c>
      <c r="E1040" t="inlineStr">
        <is>
          <t>BRÄCKE</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22985-2023</t>
        </is>
      </c>
      <c r="B1041" s="1" t="n">
        <v>45072</v>
      </c>
      <c r="C1041" s="1" t="n">
        <v>46200</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36222-2025</t>
        </is>
      </c>
      <c r="B1042" s="1" t="n">
        <v>45867</v>
      </c>
      <c r="C1042" s="1" t="n">
        <v>46200</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36169-2025</t>
        </is>
      </c>
      <c r="B1043" s="1" t="n">
        <v>45867</v>
      </c>
      <c r="C1043" s="1" t="n">
        <v>46200</v>
      </c>
      <c r="D1043" t="inlineStr">
        <is>
          <t>JÄMTLANDS LÄN</t>
        </is>
      </c>
      <c r="E1043" t="inlineStr">
        <is>
          <t>BRÄCKE</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31521-2022</t>
        </is>
      </c>
      <c r="B1044" s="1" t="n">
        <v>44774</v>
      </c>
      <c r="C1044" s="1" t="n">
        <v>46200</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49307-2024</t>
        </is>
      </c>
      <c r="B1045" s="1" t="n">
        <v>45595</v>
      </c>
      <c r="C1045" s="1" t="n">
        <v>46200</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59650-2024</t>
        </is>
      </c>
      <c r="B1046" s="1" t="n">
        <v>45639</v>
      </c>
      <c r="C1046" s="1" t="n">
        <v>46200</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46798-2023</t>
        </is>
      </c>
      <c r="B1047" s="1" t="n">
        <v>45198</v>
      </c>
      <c r="C1047" s="1" t="n">
        <v>46200</v>
      </c>
      <c r="D1047" t="inlineStr">
        <is>
          <t>JÄMTLANDS LÄN</t>
        </is>
      </c>
      <c r="E1047" t="inlineStr">
        <is>
          <t>BRÄCKE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36386-2025</t>
        </is>
      </c>
      <c r="B1048" s="1" t="n">
        <v>45868</v>
      </c>
      <c r="C1048" s="1" t="n">
        <v>46200</v>
      </c>
      <c r="D1048" t="inlineStr">
        <is>
          <t>JÄMTLANDS LÄN</t>
        </is>
      </c>
      <c r="E1048" t="inlineStr">
        <is>
          <t>BRÄCKE</t>
        </is>
      </c>
      <c r="F1048" t="inlineStr">
        <is>
          <t>SCA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36311-2025</t>
        </is>
      </c>
      <c r="B1049" s="1" t="n">
        <v>45868</v>
      </c>
      <c r="C1049" s="1" t="n">
        <v>46200</v>
      </c>
      <c r="D1049" t="inlineStr">
        <is>
          <t>JÄMTLANDS LÄN</t>
        </is>
      </c>
      <c r="E1049" t="inlineStr">
        <is>
          <t>BRÄCKE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2179-2025</t>
        </is>
      </c>
      <c r="B1050" s="1" t="n">
        <v>45673</v>
      </c>
      <c r="C1050" s="1" t="n">
        <v>46200</v>
      </c>
      <c r="D1050" t="inlineStr">
        <is>
          <t>JÄMTLANDS LÄN</t>
        </is>
      </c>
      <c r="E1050" t="inlineStr">
        <is>
          <t>BRÄCKE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8253-2024</t>
        </is>
      </c>
      <c r="B1051" s="1" t="n">
        <v>45350</v>
      </c>
      <c r="C1051" s="1" t="n">
        <v>46200</v>
      </c>
      <c r="D1051" t="inlineStr">
        <is>
          <t>JÄMTLANDS LÄN</t>
        </is>
      </c>
      <c r="E1051" t="inlineStr">
        <is>
          <t>BRÄCKE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1080-2025</t>
        </is>
      </c>
      <c r="B1052" s="1" t="n">
        <v>45666</v>
      </c>
      <c r="C1052" s="1" t="n">
        <v>46200</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18984-2022</t>
        </is>
      </c>
      <c r="B1053" s="1" t="n">
        <v>44690</v>
      </c>
      <c r="C1053" s="1" t="n">
        <v>46200</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59932-2022</t>
        </is>
      </c>
      <c r="B1054" s="1" t="n">
        <v>44909</v>
      </c>
      <c r="C1054" s="1" t="n">
        <v>46200</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37117-2025</t>
        </is>
      </c>
      <c r="B1055" s="1" t="n">
        <v>45875</v>
      </c>
      <c r="C1055" s="1" t="n">
        <v>46200</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38847-2025</t>
        </is>
      </c>
      <c r="B1056" s="1" t="n">
        <v>45887</v>
      </c>
      <c r="C1056" s="1" t="n">
        <v>46200</v>
      </c>
      <c r="D1056" t="inlineStr">
        <is>
          <t>JÄMTLANDS LÄN</t>
        </is>
      </c>
      <c r="E1056" t="inlineStr">
        <is>
          <t>BRÄCKE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37116-2025</t>
        </is>
      </c>
      <c r="B1057" s="1" t="n">
        <v>45875</v>
      </c>
      <c r="C1057" s="1" t="n">
        <v>46200</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28765-2024</t>
        </is>
      </c>
      <c r="B1058" s="1" t="n">
        <v>45478</v>
      </c>
      <c r="C1058" s="1" t="n">
        <v>46200</v>
      </c>
      <c r="D1058" t="inlineStr">
        <is>
          <t>JÄMTLANDS LÄN</t>
        </is>
      </c>
      <c r="E1058" t="inlineStr">
        <is>
          <t>BRÄCKE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37093-2025</t>
        </is>
      </c>
      <c r="B1059" s="1" t="n">
        <v>45875</v>
      </c>
      <c r="C1059" s="1" t="n">
        <v>46200</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37185-2025</t>
        </is>
      </c>
      <c r="B1060" s="1" t="n">
        <v>45875</v>
      </c>
      <c r="C1060" s="1" t="n">
        <v>46200</v>
      </c>
      <c r="D1060" t="inlineStr">
        <is>
          <t>JÄMTLANDS LÄN</t>
        </is>
      </c>
      <c r="E1060" t="inlineStr">
        <is>
          <t>BRÄCKE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36970-2025</t>
        </is>
      </c>
      <c r="B1061" s="1" t="n">
        <v>45874</v>
      </c>
      <c r="C1061" s="1" t="n">
        <v>46200</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17313-2025</t>
        </is>
      </c>
      <c r="B1062" s="1" t="n">
        <v>45756</v>
      </c>
      <c r="C1062" s="1" t="n">
        <v>46200</v>
      </c>
      <c r="D1062" t="inlineStr">
        <is>
          <t>JÄMTLANDS LÄN</t>
        </is>
      </c>
      <c r="E1062" t="inlineStr">
        <is>
          <t>BRÄCKE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37377-2025</t>
        </is>
      </c>
      <c r="B1063" s="1" t="n">
        <v>45877</v>
      </c>
      <c r="C1063" s="1" t="n">
        <v>46200</v>
      </c>
      <c r="D1063" t="inlineStr">
        <is>
          <t>JÄMTLANDS LÄN</t>
        </is>
      </c>
      <c r="E1063" t="inlineStr">
        <is>
          <t>BRÄCKE</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35564-2021</t>
        </is>
      </c>
      <c r="B1064" s="1" t="n">
        <v>44385</v>
      </c>
      <c r="C1064" s="1" t="n">
        <v>46200</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v>
      </c>
      <c r="C1065" s="1" t="n">
        <v>46200</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37411-2025</t>
        </is>
      </c>
      <c r="B1066" s="1" t="n">
        <v>45877</v>
      </c>
      <c r="C1066" s="1" t="n">
        <v>46200</v>
      </c>
      <c r="D1066" t="inlineStr">
        <is>
          <t>JÄMTLANDS LÄN</t>
        </is>
      </c>
      <c r="E1066" t="inlineStr">
        <is>
          <t>BRÄCKE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10309-2023</t>
        </is>
      </c>
      <c r="B1067" s="1" t="n">
        <v>44986</v>
      </c>
      <c r="C1067" s="1" t="n">
        <v>46200</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v>
      </c>
      <c r="C1068" s="1" t="n">
        <v>46200</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30685-2024</t>
        </is>
      </c>
      <c r="B1069" s="1" t="n">
        <v>45495</v>
      </c>
      <c r="C1069" s="1" t="n">
        <v>46200</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54571-2021</t>
        </is>
      </c>
      <c r="B1070" s="1" t="n">
        <v>44473</v>
      </c>
      <c r="C1070" s="1" t="n">
        <v>46200</v>
      </c>
      <c r="D1070" t="inlineStr">
        <is>
          <t>JÄMTLANDS LÄN</t>
        </is>
      </c>
      <c r="E1070" t="inlineStr">
        <is>
          <t>BRÄCKE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37709-2025</t>
        </is>
      </c>
      <c r="B1071" s="1" t="n">
        <v>45880</v>
      </c>
      <c r="C1071" s="1" t="n">
        <v>46200</v>
      </c>
      <c r="D1071" t="inlineStr">
        <is>
          <t>JÄMTLANDS LÄN</t>
        </is>
      </c>
      <c r="E1071" t="inlineStr">
        <is>
          <t>BRÄCKE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23640-2024</t>
        </is>
      </c>
      <c r="B1072" s="1" t="n">
        <v>45454</v>
      </c>
      <c r="C1072" s="1" t="n">
        <v>46200</v>
      </c>
      <c r="D1072" t="inlineStr">
        <is>
          <t>JÄMTLANDS LÄN</t>
        </is>
      </c>
      <c r="E1072" t="inlineStr">
        <is>
          <t>BRÄCKE</t>
        </is>
      </c>
      <c r="G1072" t="n">
        <v>19.4</v>
      </c>
      <c r="H1072" t="n">
        <v>0</v>
      </c>
      <c r="I1072" t="n">
        <v>0</v>
      </c>
      <c r="J1072" t="n">
        <v>0</v>
      </c>
      <c r="K1072" t="n">
        <v>0</v>
      </c>
      <c r="L1072" t="n">
        <v>0</v>
      </c>
      <c r="M1072" t="n">
        <v>0</v>
      </c>
      <c r="N1072" t="n">
        <v>0</v>
      </c>
      <c r="O1072" t="n">
        <v>0</v>
      </c>
      <c r="P1072" t="n">
        <v>0</v>
      </c>
      <c r="Q1072" t="n">
        <v>0</v>
      </c>
      <c r="R1072" s="2" t="inlineStr"/>
    </row>
    <row r="1073" ht="15" customHeight="1">
      <c r="A1073" t="inlineStr">
        <is>
          <t>A 29409-2024</t>
        </is>
      </c>
      <c r="B1073" s="1" t="n">
        <v>45483</v>
      </c>
      <c r="C1073" s="1" t="n">
        <v>46200</v>
      </c>
      <c r="D1073" t="inlineStr">
        <is>
          <t>JÄMTLANDS LÄN</t>
        </is>
      </c>
      <c r="E1073" t="inlineStr">
        <is>
          <t>BRÄCKE</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63713-2023</t>
        </is>
      </c>
      <c r="B1074" s="1" t="n">
        <v>45275</v>
      </c>
      <c r="C1074" s="1" t="n">
        <v>46200</v>
      </c>
      <c r="D1074" t="inlineStr">
        <is>
          <t>JÄMTLANDS LÄN</t>
        </is>
      </c>
      <c r="E1074" t="inlineStr">
        <is>
          <t>BRÄCKE</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34646-2024</t>
        </is>
      </c>
      <c r="B1075" s="1" t="n">
        <v>45526</v>
      </c>
      <c r="C1075" s="1" t="n">
        <v>46200</v>
      </c>
      <c r="D1075" t="inlineStr">
        <is>
          <t>JÄMTLANDS LÄN</t>
        </is>
      </c>
      <c r="E1075" t="inlineStr">
        <is>
          <t>BRÄCKE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26919-2024</t>
        </is>
      </c>
      <c r="B1076" s="1" t="n">
        <v>45470</v>
      </c>
      <c r="C1076" s="1" t="n">
        <v>46200</v>
      </c>
      <c r="D1076" t="inlineStr">
        <is>
          <t>JÄMTLANDS LÄN</t>
        </is>
      </c>
      <c r="E1076" t="inlineStr">
        <is>
          <t>BRÄCKE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38361-2025</t>
        </is>
      </c>
      <c r="B1077" s="1" t="n">
        <v>45883</v>
      </c>
      <c r="C1077" s="1" t="n">
        <v>46200</v>
      </c>
      <c r="D1077" t="inlineStr">
        <is>
          <t>JÄMTLANDS LÄN</t>
        </is>
      </c>
      <c r="E1077" t="inlineStr">
        <is>
          <t>BRÄCKE</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9438-2025</t>
        </is>
      </c>
      <c r="B1078" s="1" t="n">
        <v>45715</v>
      </c>
      <c r="C1078" s="1" t="n">
        <v>46200</v>
      </c>
      <c r="D1078" t="inlineStr">
        <is>
          <t>JÄMTLANDS LÄN</t>
        </is>
      </c>
      <c r="E1078" t="inlineStr">
        <is>
          <t>BRÄCKE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21634-2025</t>
        </is>
      </c>
      <c r="B1079" s="1" t="n">
        <v>45783</v>
      </c>
      <c r="C1079" s="1" t="n">
        <v>46200</v>
      </c>
      <c r="D1079" t="inlineStr">
        <is>
          <t>JÄMTLANDS LÄN</t>
        </is>
      </c>
      <c r="E1079" t="inlineStr">
        <is>
          <t>BRÄCKE</t>
        </is>
      </c>
      <c r="F1079" t="inlineStr">
        <is>
          <t>SCA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46860-2023</t>
        </is>
      </c>
      <c r="B1080" s="1" t="n">
        <v>45200</v>
      </c>
      <c r="C1080" s="1" t="n">
        <v>46200</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21486-2025</t>
        </is>
      </c>
      <c r="B1081" s="1" t="n">
        <v>45782</v>
      </c>
      <c r="C1081" s="1" t="n">
        <v>46200</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32963-2022</t>
        </is>
      </c>
      <c r="B1082" s="1" t="n">
        <v>44784</v>
      </c>
      <c r="C1082" s="1" t="n">
        <v>46200</v>
      </c>
      <c r="D1082" t="inlineStr">
        <is>
          <t>JÄMTLANDS LÄN</t>
        </is>
      </c>
      <c r="E1082" t="inlineStr">
        <is>
          <t>BRÄCKE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38326-2025</t>
        </is>
      </c>
      <c r="B1083" s="1" t="n">
        <v>45883</v>
      </c>
      <c r="C1083" s="1" t="n">
        <v>46200</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38333-2025</t>
        </is>
      </c>
      <c r="B1084" s="1" t="n">
        <v>45883</v>
      </c>
      <c r="C1084" s="1" t="n">
        <v>46200</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38459-2025</t>
        </is>
      </c>
      <c r="B1085" s="1" t="n">
        <v>45883</v>
      </c>
      <c r="C1085" s="1" t="n">
        <v>46200</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38095-2025</t>
        </is>
      </c>
      <c r="B1086" s="1" t="n">
        <v>45882</v>
      </c>
      <c r="C1086" s="1" t="n">
        <v>46200</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21549-2025</t>
        </is>
      </c>
      <c r="B1087" s="1" t="n">
        <v>45782</v>
      </c>
      <c r="C1087" s="1" t="n">
        <v>46200</v>
      </c>
      <c r="D1087" t="inlineStr">
        <is>
          <t>JÄMTLANDS LÄN</t>
        </is>
      </c>
      <c r="E1087" t="inlineStr">
        <is>
          <t>BRÄCKE</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38381-2025</t>
        </is>
      </c>
      <c r="B1088" s="1" t="n">
        <v>45883</v>
      </c>
      <c r="C1088" s="1" t="n">
        <v>46200</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34647-2024</t>
        </is>
      </c>
      <c r="B1089" s="1" t="n">
        <v>45526</v>
      </c>
      <c r="C1089" s="1" t="n">
        <v>46200</v>
      </c>
      <c r="D1089" t="inlineStr">
        <is>
          <t>JÄMTLANDS LÄN</t>
        </is>
      </c>
      <c r="E1089" t="inlineStr">
        <is>
          <t>BRÄCKE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38123-2025</t>
        </is>
      </c>
      <c r="B1090" s="1" t="n">
        <v>45882</v>
      </c>
      <c r="C1090" s="1" t="n">
        <v>46200</v>
      </c>
      <c r="D1090" t="inlineStr">
        <is>
          <t>JÄMTLANDS LÄN</t>
        </is>
      </c>
      <c r="E1090" t="inlineStr">
        <is>
          <t>BRÄCKE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38378-2025</t>
        </is>
      </c>
      <c r="B1091" s="1" t="n">
        <v>45883</v>
      </c>
      <c r="C1091" s="1" t="n">
        <v>46200</v>
      </c>
      <c r="D1091" t="inlineStr">
        <is>
          <t>JÄMTLANDS LÄN</t>
        </is>
      </c>
      <c r="E1091" t="inlineStr">
        <is>
          <t>BRÄCKE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38391-2025</t>
        </is>
      </c>
      <c r="B1092" s="1" t="n">
        <v>45883</v>
      </c>
      <c r="C1092" s="1" t="n">
        <v>46200</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21305-2025</t>
        </is>
      </c>
      <c r="B1093" s="1" t="n">
        <v>45781</v>
      </c>
      <c r="C1093" s="1" t="n">
        <v>46200</v>
      </c>
      <c r="D1093" t="inlineStr">
        <is>
          <t>JÄMTLANDS LÄN</t>
        </is>
      </c>
      <c r="E1093" t="inlineStr">
        <is>
          <t>BRÄCKE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38358-2025</t>
        </is>
      </c>
      <c r="B1094" s="1" t="n">
        <v>45883</v>
      </c>
      <c r="C1094" s="1" t="n">
        <v>46200</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38025-2025</t>
        </is>
      </c>
      <c r="B1095" s="1" t="n">
        <v>45882</v>
      </c>
      <c r="C1095" s="1" t="n">
        <v>46200</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38245-2025</t>
        </is>
      </c>
      <c r="B1096" s="1" t="n">
        <v>45883</v>
      </c>
      <c r="C1096" s="1" t="n">
        <v>46200</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38353-2025</t>
        </is>
      </c>
      <c r="B1097" s="1" t="n">
        <v>45883</v>
      </c>
      <c r="C1097" s="1" t="n">
        <v>46200</v>
      </c>
      <c r="D1097" t="inlineStr">
        <is>
          <t>JÄMTLANDS LÄN</t>
        </is>
      </c>
      <c r="E1097" t="inlineStr">
        <is>
          <t>BRÄCKE</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21183-2023</t>
        </is>
      </c>
      <c r="B1098" s="1" t="n">
        <v>45058</v>
      </c>
      <c r="C1098" s="1" t="n">
        <v>46200</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38352-2025</t>
        </is>
      </c>
      <c r="B1099" s="1" t="n">
        <v>45883</v>
      </c>
      <c r="C1099" s="1" t="n">
        <v>46200</v>
      </c>
      <c r="D1099" t="inlineStr">
        <is>
          <t>JÄMTLANDS LÄN</t>
        </is>
      </c>
      <c r="E1099" t="inlineStr">
        <is>
          <t>BRÄCKE</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38379-2025</t>
        </is>
      </c>
      <c r="B1100" s="1" t="n">
        <v>45883</v>
      </c>
      <c r="C1100" s="1" t="n">
        <v>46200</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38842-2025</t>
        </is>
      </c>
      <c r="B1101" s="1" t="n">
        <v>45887</v>
      </c>
      <c r="C1101" s="1" t="n">
        <v>46200</v>
      </c>
      <c r="D1101" t="inlineStr">
        <is>
          <t>JÄMTLANDS LÄN</t>
        </is>
      </c>
      <c r="E1101" t="inlineStr">
        <is>
          <t>BRÄCKE</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22164-2025</t>
        </is>
      </c>
      <c r="B1102" s="1" t="n">
        <v>45785</v>
      </c>
      <c r="C1102" s="1" t="n">
        <v>46200</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61663-2022</t>
        </is>
      </c>
      <c r="B1103" s="1" t="n">
        <v>44916</v>
      </c>
      <c r="C1103" s="1" t="n">
        <v>46200</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38811-2025</t>
        </is>
      </c>
      <c r="B1104" s="1" t="n">
        <v>45887</v>
      </c>
      <c r="C1104" s="1" t="n">
        <v>46200</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38812-2025</t>
        </is>
      </c>
      <c r="B1105" s="1" t="n">
        <v>45887</v>
      </c>
      <c r="C1105" s="1" t="n">
        <v>46200</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38835-2025</t>
        </is>
      </c>
      <c r="B1106" s="1" t="n">
        <v>45887</v>
      </c>
      <c r="C1106" s="1" t="n">
        <v>46200</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22936-2024</t>
        </is>
      </c>
      <c r="B1107" s="1" t="n">
        <v>45448</v>
      </c>
      <c r="C1107" s="1" t="n">
        <v>46200</v>
      </c>
      <c r="D1107" t="inlineStr">
        <is>
          <t>JÄMTLANDS LÄN</t>
        </is>
      </c>
      <c r="E1107" t="inlineStr">
        <is>
          <t>BRÄCKE</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58079-2023</t>
        </is>
      </c>
      <c r="B1108" s="1" t="n">
        <v>45247</v>
      </c>
      <c r="C1108" s="1" t="n">
        <v>46200</v>
      </c>
      <c r="D1108" t="inlineStr">
        <is>
          <t>JÄMTLANDS LÄN</t>
        </is>
      </c>
      <c r="E1108" t="inlineStr">
        <is>
          <t>BRÄCKE</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48482-2023</t>
        </is>
      </c>
      <c r="B1109" s="1" t="n">
        <v>45206</v>
      </c>
      <c r="C1109" s="1" t="n">
        <v>46200</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22167-2025</t>
        </is>
      </c>
      <c r="B1110" s="1" t="n">
        <v>45785</v>
      </c>
      <c r="C1110" s="1" t="n">
        <v>46200</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47873-2025</t>
        </is>
      </c>
      <c r="B1111" s="1" t="n">
        <v>45932</v>
      </c>
      <c r="C1111" s="1" t="n">
        <v>46200</v>
      </c>
      <c r="D1111" t="inlineStr">
        <is>
          <t>JÄMTLANDS LÄN</t>
        </is>
      </c>
      <c r="E1111" t="inlineStr">
        <is>
          <t>BRÄCKE</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46952-2021</t>
        </is>
      </c>
      <c r="B1112" s="1" t="n">
        <v>44446</v>
      </c>
      <c r="C1112" s="1" t="n">
        <v>46200</v>
      </c>
      <c r="D1112" t="inlineStr">
        <is>
          <t>JÄMTLANDS LÄN</t>
        </is>
      </c>
      <c r="E1112" t="inlineStr">
        <is>
          <t>BRÄCKE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47868-2025</t>
        </is>
      </c>
      <c r="B1113" s="1" t="n">
        <v>45932</v>
      </c>
      <c r="C1113" s="1" t="n">
        <v>46200</v>
      </c>
      <c r="D1113" t="inlineStr">
        <is>
          <t>JÄMTLANDS LÄN</t>
        </is>
      </c>
      <c r="E1113" t="inlineStr">
        <is>
          <t>BRÄCKE</t>
        </is>
      </c>
      <c r="F1113" t="inlineStr">
        <is>
          <t>Kyrkan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22000-2025</t>
        </is>
      </c>
      <c r="B1114" s="1" t="n">
        <v>45784</v>
      </c>
      <c r="C1114" s="1" t="n">
        <v>46200</v>
      </c>
      <c r="D1114" t="inlineStr">
        <is>
          <t>JÄMTLANDS LÄN</t>
        </is>
      </c>
      <c r="E1114" t="inlineStr">
        <is>
          <t>BRÄCKE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39122-2024</t>
        </is>
      </c>
      <c r="B1115" s="1" t="n">
        <v>45548</v>
      </c>
      <c r="C1115" s="1" t="n">
        <v>46200</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48067-2025</t>
        </is>
      </c>
      <c r="B1116" s="1" t="n">
        <v>45932</v>
      </c>
      <c r="C1116" s="1" t="n">
        <v>46200</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48660-2025</t>
        </is>
      </c>
      <c r="B1117" s="1" t="n">
        <v>45936</v>
      </c>
      <c r="C1117" s="1" t="n">
        <v>46200</v>
      </c>
      <c r="D1117" t="inlineStr">
        <is>
          <t>JÄMTLANDS LÄN</t>
        </is>
      </c>
      <c r="E1117" t="inlineStr">
        <is>
          <t>BRÄCKE</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24974-2024</t>
        </is>
      </c>
      <c r="B1118" s="1" t="n">
        <v>45461</v>
      </c>
      <c r="C1118" s="1" t="n">
        <v>46200</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22841-2025</t>
        </is>
      </c>
      <c r="B1119" s="1" t="n">
        <v>45789</v>
      </c>
      <c r="C1119" s="1" t="n">
        <v>46200</v>
      </c>
      <c r="D1119" t="inlineStr">
        <is>
          <t>JÄMTLANDS LÄN</t>
        </is>
      </c>
      <c r="E1119" t="inlineStr">
        <is>
          <t>BRÄCKE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48900-2023</t>
        </is>
      </c>
      <c r="B1120" s="1" t="n">
        <v>45209</v>
      </c>
      <c r="C1120" s="1" t="n">
        <v>46200</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28738-2022</t>
        </is>
      </c>
      <c r="B1121" s="1" t="n">
        <v>44748</v>
      </c>
      <c r="C1121" s="1" t="n">
        <v>46200</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48562-2025</t>
        </is>
      </c>
      <c r="B1122" s="1" t="n">
        <v>45936</v>
      </c>
      <c r="C1122" s="1" t="n">
        <v>46200</v>
      </c>
      <c r="D1122" t="inlineStr">
        <is>
          <t>JÄMTLANDS LÄN</t>
        </is>
      </c>
      <c r="E1122" t="inlineStr">
        <is>
          <t>BRÄCKE</t>
        </is>
      </c>
      <c r="F1122" t="inlineStr">
        <is>
          <t>Övriga Aktiebolag</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26437-2022</t>
        </is>
      </c>
      <c r="B1123" s="1" t="n">
        <v>44736</v>
      </c>
      <c r="C1123" s="1" t="n">
        <v>46200</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49292-2025</t>
        </is>
      </c>
      <c r="B1124" s="1" t="n">
        <v>45938</v>
      </c>
      <c r="C1124" s="1" t="n">
        <v>46200</v>
      </c>
      <c r="D1124" t="inlineStr">
        <is>
          <t>JÄMTLANDS LÄN</t>
        </is>
      </c>
      <c r="E1124" t="inlineStr">
        <is>
          <t>BRÄCKE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48851-2025</t>
        </is>
      </c>
      <c r="B1125" s="1" t="n">
        <v>45937</v>
      </c>
      <c r="C1125" s="1" t="n">
        <v>46200</v>
      </c>
      <c r="D1125" t="inlineStr">
        <is>
          <t>JÄMTLANDS LÄN</t>
        </is>
      </c>
      <c r="E1125" t="inlineStr">
        <is>
          <t>BRÄCKE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14290-2025</t>
        </is>
      </c>
      <c r="B1126" s="1" t="n">
        <v>45740</v>
      </c>
      <c r="C1126" s="1" t="n">
        <v>46200</v>
      </c>
      <c r="D1126" t="inlineStr">
        <is>
          <t>JÄMTLANDS LÄN</t>
        </is>
      </c>
      <c r="E1126" t="inlineStr">
        <is>
          <t>BRÄCKE</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48982-2025</t>
        </is>
      </c>
      <c r="B1127" s="1" t="n">
        <v>45937</v>
      </c>
      <c r="C1127" s="1" t="n">
        <v>46200</v>
      </c>
      <c r="D1127" t="inlineStr">
        <is>
          <t>JÄMTLANDS LÄN</t>
        </is>
      </c>
      <c r="E1127" t="inlineStr">
        <is>
          <t>BRÄCKE</t>
        </is>
      </c>
      <c r="F1127" t="inlineStr">
        <is>
          <t>SCA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39273-2025</t>
        </is>
      </c>
      <c r="B1128" s="1" t="n">
        <v>45889</v>
      </c>
      <c r="C1128" s="1" t="n">
        <v>46200</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49255-2025</t>
        </is>
      </c>
      <c r="B1129" s="1" t="n">
        <v>45938</v>
      </c>
      <c r="C1129" s="1" t="n">
        <v>46200</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v>
      </c>
      <c r="C1130" s="1" t="n">
        <v>46200</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v>
      </c>
      <c r="C1131" s="1" t="n">
        <v>46200</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39385-2025</t>
        </is>
      </c>
      <c r="B1132" s="1" t="n">
        <v>45889</v>
      </c>
      <c r="C1132" s="1" t="n">
        <v>46200</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39344-2025</t>
        </is>
      </c>
      <c r="B1133" s="1" t="n">
        <v>45889</v>
      </c>
      <c r="C1133" s="1" t="n">
        <v>46200</v>
      </c>
      <c r="D1133" t="inlineStr">
        <is>
          <t>JÄMTLANDS LÄN</t>
        </is>
      </c>
      <c r="E1133" t="inlineStr">
        <is>
          <t>BRÄCKE</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39355-2025</t>
        </is>
      </c>
      <c r="B1134" s="1" t="n">
        <v>45889</v>
      </c>
      <c r="C1134" s="1" t="n">
        <v>46200</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39377-2025</t>
        </is>
      </c>
      <c r="B1135" s="1" t="n">
        <v>45889</v>
      </c>
      <c r="C1135" s="1" t="n">
        <v>46200</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39376-2025</t>
        </is>
      </c>
      <c r="B1136" s="1" t="n">
        <v>45889</v>
      </c>
      <c r="C1136" s="1" t="n">
        <v>46200</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39086-2025</t>
        </is>
      </c>
      <c r="B1137" s="1" t="n">
        <v>45888</v>
      </c>
      <c r="C1137" s="1" t="n">
        <v>46200</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16372-2023</t>
        </is>
      </c>
      <c r="B1138" s="1" t="n">
        <v>45028</v>
      </c>
      <c r="C1138" s="1" t="n">
        <v>46200</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49046-2025</t>
        </is>
      </c>
      <c r="B1139" s="1" t="n">
        <v>45937</v>
      </c>
      <c r="C1139" s="1" t="n">
        <v>46200</v>
      </c>
      <c r="D1139" t="inlineStr">
        <is>
          <t>JÄMTLANDS LÄN</t>
        </is>
      </c>
      <c r="E1139" t="inlineStr">
        <is>
          <t>BRÄCKE</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31692-2024</t>
        </is>
      </c>
      <c r="B1140" s="1" t="n">
        <v>45507</v>
      </c>
      <c r="C1140" s="1" t="n">
        <v>46200</v>
      </c>
      <c r="D1140" t="inlineStr">
        <is>
          <t>JÄMTLANDS LÄN</t>
        </is>
      </c>
      <c r="E1140" t="inlineStr">
        <is>
          <t>BRÄCKE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39100-2025</t>
        </is>
      </c>
      <c r="B1141" s="1" t="n">
        <v>45888</v>
      </c>
      <c r="C1141" s="1" t="n">
        <v>46200</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39088-2025</t>
        </is>
      </c>
      <c r="B1142" s="1" t="n">
        <v>45888</v>
      </c>
      <c r="C1142" s="1" t="n">
        <v>46200</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39117-2025</t>
        </is>
      </c>
      <c r="B1143" s="1" t="n">
        <v>45888</v>
      </c>
      <c r="C1143" s="1" t="n">
        <v>46200</v>
      </c>
      <c r="D1143" t="inlineStr">
        <is>
          <t>JÄMTLANDS LÄN</t>
        </is>
      </c>
      <c r="E1143" t="inlineStr">
        <is>
          <t>BRÄCKE</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22652-2025</t>
        </is>
      </c>
      <c r="B1144" s="1" t="n">
        <v>45789</v>
      </c>
      <c r="C1144" s="1" t="n">
        <v>46200</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49826-2025</t>
        </is>
      </c>
      <c r="B1145" s="1" t="n">
        <v>45940</v>
      </c>
      <c r="C1145" s="1" t="n">
        <v>46200</v>
      </c>
      <c r="D1145" t="inlineStr">
        <is>
          <t>JÄMTLANDS LÄN</t>
        </is>
      </c>
      <c r="E1145" t="inlineStr">
        <is>
          <t>BRÄCKE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39680-2025</t>
        </is>
      </c>
      <c r="B1146" s="1" t="n">
        <v>45890</v>
      </c>
      <c r="C1146" s="1" t="n">
        <v>46200</v>
      </c>
      <c r="D1146" t="inlineStr">
        <is>
          <t>JÄMTLANDS LÄN</t>
        </is>
      </c>
      <c r="E1146" t="inlineStr">
        <is>
          <t>BRÄCKE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39506-2025</t>
        </is>
      </c>
      <c r="B1147" s="1" t="n">
        <v>45890</v>
      </c>
      <c r="C1147" s="1" t="n">
        <v>46200</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15261-2025</t>
        </is>
      </c>
      <c r="B1148" s="1" t="n">
        <v>45744</v>
      </c>
      <c r="C1148" s="1" t="n">
        <v>46200</v>
      </c>
      <c r="D1148" t="inlineStr">
        <is>
          <t>JÄMTLANDS LÄN</t>
        </is>
      </c>
      <c r="E1148" t="inlineStr">
        <is>
          <t>BRÄCKE</t>
        </is>
      </c>
      <c r="F1148" t="inlineStr">
        <is>
          <t>SCA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39505-2025</t>
        </is>
      </c>
      <c r="B1149" s="1" t="n">
        <v>45890</v>
      </c>
      <c r="C1149" s="1" t="n">
        <v>46200</v>
      </c>
      <c r="D1149" t="inlineStr">
        <is>
          <t>JÄMTLANDS LÄN</t>
        </is>
      </c>
      <c r="E1149" t="inlineStr">
        <is>
          <t>BRÄCKE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39532-2025</t>
        </is>
      </c>
      <c r="B1150" s="1" t="n">
        <v>45890</v>
      </c>
      <c r="C1150" s="1" t="n">
        <v>46200</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51270-2022</t>
        </is>
      </c>
      <c r="B1151" s="1" t="n">
        <v>44866</v>
      </c>
      <c r="C1151" s="1" t="n">
        <v>46200</v>
      </c>
      <c r="D1151" t="inlineStr">
        <is>
          <t>JÄMTLANDS LÄN</t>
        </is>
      </c>
      <c r="E1151" t="inlineStr">
        <is>
          <t>BRÄCKE</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39487-2025</t>
        </is>
      </c>
      <c r="B1152" s="1" t="n">
        <v>45890</v>
      </c>
      <c r="C1152" s="1" t="n">
        <v>46200</v>
      </c>
      <c r="D1152" t="inlineStr">
        <is>
          <t>JÄMTLANDS LÄN</t>
        </is>
      </c>
      <c r="E1152" t="inlineStr">
        <is>
          <t>BRÄCKE</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22772-2025</t>
        </is>
      </c>
      <c r="B1153" s="1" t="n">
        <v>45789</v>
      </c>
      <c r="C1153" s="1" t="n">
        <v>46200</v>
      </c>
      <c r="D1153" t="inlineStr">
        <is>
          <t>JÄMTLANDS LÄN</t>
        </is>
      </c>
      <c r="E1153" t="inlineStr">
        <is>
          <t>BRÄCKE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50016-2025</t>
        </is>
      </c>
      <c r="B1154" s="1" t="n">
        <v>45943</v>
      </c>
      <c r="C1154" s="1" t="n">
        <v>46200</v>
      </c>
      <c r="D1154" t="inlineStr">
        <is>
          <t>JÄMTLANDS LÄN</t>
        </is>
      </c>
      <c r="E1154" t="inlineStr">
        <is>
          <t>BRÄCKE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39933-2025</t>
        </is>
      </c>
      <c r="B1155" s="1" t="n">
        <v>45891</v>
      </c>
      <c r="C1155" s="1" t="n">
        <v>46200</v>
      </c>
      <c r="D1155" t="inlineStr">
        <is>
          <t>JÄMTLANDS LÄN</t>
        </is>
      </c>
      <c r="E1155" t="inlineStr">
        <is>
          <t>BRÄCKE</t>
        </is>
      </c>
      <c r="G1155" t="n">
        <v>15.1</v>
      </c>
      <c r="H1155" t="n">
        <v>0</v>
      </c>
      <c r="I1155" t="n">
        <v>0</v>
      </c>
      <c r="J1155" t="n">
        <v>0</v>
      </c>
      <c r="K1155" t="n">
        <v>0</v>
      </c>
      <c r="L1155" t="n">
        <v>0</v>
      </c>
      <c r="M1155" t="n">
        <v>0</v>
      </c>
      <c r="N1155" t="n">
        <v>0</v>
      </c>
      <c r="O1155" t="n">
        <v>0</v>
      </c>
      <c r="P1155" t="n">
        <v>0</v>
      </c>
      <c r="Q1155" t="n">
        <v>0</v>
      </c>
      <c r="R1155" s="2" t="inlineStr"/>
    </row>
    <row r="1156" ht="15" customHeight="1">
      <c r="A1156" t="inlineStr">
        <is>
          <t>A 50216-2025</t>
        </is>
      </c>
      <c r="B1156" s="1" t="n">
        <v>45943</v>
      </c>
      <c r="C1156" s="1" t="n">
        <v>46200</v>
      </c>
      <c r="D1156" t="inlineStr">
        <is>
          <t>JÄMTLANDS LÄN</t>
        </is>
      </c>
      <c r="E1156" t="inlineStr">
        <is>
          <t>BRÄCKE</t>
        </is>
      </c>
      <c r="F1156" t="inlineStr">
        <is>
          <t>SCA</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50591-2024</t>
        </is>
      </c>
      <c r="B1157" s="1" t="n">
        <v>45601</v>
      </c>
      <c r="C1157" s="1" t="n">
        <v>46200</v>
      </c>
      <c r="D1157" t="inlineStr">
        <is>
          <t>JÄMTLANDS LÄN</t>
        </is>
      </c>
      <c r="E1157" t="inlineStr">
        <is>
          <t>BRÄCKE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39767-2025</t>
        </is>
      </c>
      <c r="B1158" s="1" t="n">
        <v>45891</v>
      </c>
      <c r="C1158" s="1" t="n">
        <v>46200</v>
      </c>
      <c r="D1158" t="inlineStr">
        <is>
          <t>JÄMTLANDS LÄN</t>
        </is>
      </c>
      <c r="E1158" t="inlineStr">
        <is>
          <t>BRÄCKE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26351-2023</t>
        </is>
      </c>
      <c r="B1159" s="1" t="n">
        <v>45091</v>
      </c>
      <c r="C1159" s="1" t="n">
        <v>46200</v>
      </c>
      <c r="D1159" t="inlineStr">
        <is>
          <t>JÄMTLANDS LÄN</t>
        </is>
      </c>
      <c r="E1159" t="inlineStr">
        <is>
          <t>BRÄCKE</t>
        </is>
      </c>
      <c r="F1159" t="inlineStr">
        <is>
          <t>SCA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39745-2025</t>
        </is>
      </c>
      <c r="B1160" s="1" t="n">
        <v>45891</v>
      </c>
      <c r="C1160" s="1" t="n">
        <v>46200</v>
      </c>
      <c r="D1160" t="inlineStr">
        <is>
          <t>JÄMTLANDS LÄN</t>
        </is>
      </c>
      <c r="E1160" t="inlineStr">
        <is>
          <t>BRÄCKE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50079-2025</t>
        </is>
      </c>
      <c r="B1161" s="1" t="n">
        <v>45943</v>
      </c>
      <c r="C1161" s="1" t="n">
        <v>46200</v>
      </c>
      <c r="D1161" t="inlineStr">
        <is>
          <t>JÄMTLANDS LÄN</t>
        </is>
      </c>
      <c r="E1161" t="inlineStr">
        <is>
          <t>BRÄCKE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51832-2023</t>
        </is>
      </c>
      <c r="B1162" s="1" t="n">
        <v>45222</v>
      </c>
      <c r="C1162" s="1" t="n">
        <v>46200</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50272-2025</t>
        </is>
      </c>
      <c r="B1163" s="1" t="n">
        <v>45944</v>
      </c>
      <c r="C1163" s="1" t="n">
        <v>46200</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50262-2025</t>
        </is>
      </c>
      <c r="B1164" s="1" t="n">
        <v>45944</v>
      </c>
      <c r="C1164" s="1" t="n">
        <v>46200</v>
      </c>
      <c r="D1164" t="inlineStr">
        <is>
          <t>JÄMTLANDS LÄN</t>
        </is>
      </c>
      <c r="E1164" t="inlineStr">
        <is>
          <t>BRÄCKE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50669-2025</t>
        </is>
      </c>
      <c r="B1165" s="1" t="n">
        <v>45945</v>
      </c>
      <c r="C1165" s="1" t="n">
        <v>46200</v>
      </c>
      <c r="D1165" t="inlineStr">
        <is>
          <t>JÄMTLANDS LÄN</t>
        </is>
      </c>
      <c r="E1165" t="inlineStr">
        <is>
          <t>BRÄCKE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40749-2025</t>
        </is>
      </c>
      <c r="B1166" s="1" t="n">
        <v>45897</v>
      </c>
      <c r="C1166" s="1" t="n">
        <v>46200</v>
      </c>
      <c r="D1166" t="inlineStr">
        <is>
          <t>JÄMTLANDS LÄN</t>
        </is>
      </c>
      <c r="E1166" t="inlineStr">
        <is>
          <t>BRÄCKE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40607-2025</t>
        </is>
      </c>
      <c r="B1167" s="1" t="n">
        <v>45896</v>
      </c>
      <c r="C1167" s="1" t="n">
        <v>46200</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40793-2025</t>
        </is>
      </c>
      <c r="B1168" s="1" t="n">
        <v>45897</v>
      </c>
      <c r="C1168" s="1" t="n">
        <v>46200</v>
      </c>
      <c r="D1168" t="inlineStr">
        <is>
          <t>JÄMTLANDS LÄN</t>
        </is>
      </c>
      <c r="E1168" t="inlineStr">
        <is>
          <t>BRÄCKE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40834-2025</t>
        </is>
      </c>
      <c r="B1169" s="1" t="n">
        <v>45897</v>
      </c>
      <c r="C1169" s="1" t="n">
        <v>46200</v>
      </c>
      <c r="D1169" t="inlineStr">
        <is>
          <t>JÄMTLANDS LÄN</t>
        </is>
      </c>
      <c r="E1169" t="inlineStr">
        <is>
          <t>BRÄCKE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40843-2025</t>
        </is>
      </c>
      <c r="B1170" s="1" t="n">
        <v>45897</v>
      </c>
      <c r="C1170" s="1" t="n">
        <v>46200</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22978-2024</t>
        </is>
      </c>
      <c r="B1171" s="1" t="n">
        <v>45449</v>
      </c>
      <c r="C1171" s="1" t="n">
        <v>46200</v>
      </c>
      <c r="D1171" t="inlineStr">
        <is>
          <t>JÄMTLANDS LÄN</t>
        </is>
      </c>
      <c r="E1171" t="inlineStr">
        <is>
          <t>BRÄCKE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40868-2025</t>
        </is>
      </c>
      <c r="B1172" s="1" t="n">
        <v>45897</v>
      </c>
      <c r="C1172" s="1" t="n">
        <v>46200</v>
      </c>
      <c r="D1172" t="inlineStr">
        <is>
          <t>JÄMTLANDS LÄN</t>
        </is>
      </c>
      <c r="E1172" t="inlineStr">
        <is>
          <t>BRÄCKE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40748-2025</t>
        </is>
      </c>
      <c r="B1173" s="1" t="n">
        <v>45897</v>
      </c>
      <c r="C1173" s="1" t="n">
        <v>46200</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40832-2025</t>
        </is>
      </c>
      <c r="B1174" s="1" t="n">
        <v>45897</v>
      </c>
      <c r="C1174" s="1" t="n">
        <v>46200</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40809-2025</t>
        </is>
      </c>
      <c r="B1175" s="1" t="n">
        <v>45897</v>
      </c>
      <c r="C1175" s="1" t="n">
        <v>46200</v>
      </c>
      <c r="D1175" t="inlineStr">
        <is>
          <t>JÄMTLANDS LÄN</t>
        </is>
      </c>
      <c r="E1175" t="inlineStr">
        <is>
          <t>BRÄCKE</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4491-2024</t>
        </is>
      </c>
      <c r="B1176" s="1" t="n">
        <v>45327</v>
      </c>
      <c r="C1176" s="1" t="n">
        <v>46200</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40900-2025</t>
        </is>
      </c>
      <c r="B1177" s="1" t="n">
        <v>45897</v>
      </c>
      <c r="C1177" s="1" t="n">
        <v>46200</v>
      </c>
      <c r="D1177" t="inlineStr">
        <is>
          <t>JÄMTLANDS LÄN</t>
        </is>
      </c>
      <c r="E1177" t="inlineStr">
        <is>
          <t>BRÄCKE</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41026-2025</t>
        </is>
      </c>
      <c r="B1178" s="1" t="n">
        <v>45898</v>
      </c>
      <c r="C1178" s="1" t="n">
        <v>46200</v>
      </c>
      <c r="D1178" t="inlineStr">
        <is>
          <t>JÄMTLANDS LÄN</t>
        </is>
      </c>
      <c r="E1178" t="inlineStr">
        <is>
          <t>BRÄCKE</t>
        </is>
      </c>
      <c r="F1178" t="inlineStr">
        <is>
          <t>Övriga Aktiebolag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41094-2025</t>
        </is>
      </c>
      <c r="B1179" s="1" t="n">
        <v>45898</v>
      </c>
      <c r="C1179" s="1" t="n">
        <v>46200</v>
      </c>
      <c r="D1179" t="inlineStr">
        <is>
          <t>JÄMTLANDS LÄN</t>
        </is>
      </c>
      <c r="E1179" t="inlineStr">
        <is>
          <t>BRÄCKE</t>
        </is>
      </c>
      <c r="F1179" t="inlineStr">
        <is>
          <t>Övriga Aktiebolag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41344-2025</t>
        </is>
      </c>
      <c r="B1180" s="1" t="n">
        <v>45899</v>
      </c>
      <c r="C1180" s="1" t="n">
        <v>46200</v>
      </c>
      <c r="D1180" t="inlineStr">
        <is>
          <t>JÄMTLANDS LÄN</t>
        </is>
      </c>
      <c r="E1180" t="inlineStr">
        <is>
          <t>BRÄCKE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35903-2024</t>
        </is>
      </c>
      <c r="B1181" s="1" t="n">
        <v>45533</v>
      </c>
      <c r="C1181" s="1" t="n">
        <v>46200</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51574-2025</t>
        </is>
      </c>
      <c r="B1182" s="1" t="n">
        <v>45951</v>
      </c>
      <c r="C1182" s="1" t="n">
        <v>46200</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41526-2025</t>
        </is>
      </c>
      <c r="B1183" s="1" t="n">
        <v>45901</v>
      </c>
      <c r="C1183" s="1" t="n">
        <v>46200</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41503-2025</t>
        </is>
      </c>
      <c r="B1184" s="1" t="n">
        <v>45901</v>
      </c>
      <c r="C1184" s="1" t="n">
        <v>46200</v>
      </c>
      <c r="D1184" t="inlineStr">
        <is>
          <t>JÄMTLANDS LÄN</t>
        </is>
      </c>
      <c r="E1184" t="inlineStr">
        <is>
          <t>BRÄCKE</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41345-2025</t>
        </is>
      </c>
      <c r="B1185" s="1" t="n">
        <v>45899</v>
      </c>
      <c r="C1185" s="1" t="n">
        <v>46200</v>
      </c>
      <c r="D1185" t="inlineStr">
        <is>
          <t>JÄMTLANDS LÄN</t>
        </is>
      </c>
      <c r="E1185" t="inlineStr">
        <is>
          <t>BRÄCKE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v>
      </c>
      <c r="C1186" s="1" t="n">
        <v>46200</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41049-2025</t>
        </is>
      </c>
      <c r="B1187" s="1" t="n">
        <v>45898</v>
      </c>
      <c r="C1187" s="1" t="n">
        <v>46200</v>
      </c>
      <c r="D1187" t="inlineStr">
        <is>
          <t>JÄMTLANDS LÄN</t>
        </is>
      </c>
      <c r="E1187" t="inlineStr">
        <is>
          <t>BRÄCKE</t>
        </is>
      </c>
      <c r="F1187" t="inlineStr">
        <is>
          <t>Övriga Aktiebolag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51625-2025</t>
        </is>
      </c>
      <c r="B1188" s="1" t="n">
        <v>45951</v>
      </c>
      <c r="C1188" s="1" t="n">
        <v>46200</v>
      </c>
      <c r="D1188" t="inlineStr">
        <is>
          <t>JÄMTLANDS LÄN</t>
        </is>
      </c>
      <c r="E1188" t="inlineStr">
        <is>
          <t>BRÄCKE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25674-2023</t>
        </is>
      </c>
      <c r="B1189" s="1" t="n">
        <v>45089</v>
      </c>
      <c r="C1189" s="1" t="n">
        <v>46200</v>
      </c>
      <c r="D1189" t="inlineStr">
        <is>
          <t>JÄMTLANDS LÄN</t>
        </is>
      </c>
      <c r="E1189" t="inlineStr">
        <is>
          <t>BRÄCKE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41060-2025</t>
        </is>
      </c>
      <c r="B1190" s="1" t="n">
        <v>45898</v>
      </c>
      <c r="C1190" s="1" t="n">
        <v>46200</v>
      </c>
      <c r="D1190" t="inlineStr">
        <is>
          <t>JÄMTLANDS LÄN</t>
        </is>
      </c>
      <c r="E1190" t="inlineStr">
        <is>
          <t>BRÄCKE</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41510-2025</t>
        </is>
      </c>
      <c r="B1191" s="1" t="n">
        <v>45901</v>
      </c>
      <c r="C1191" s="1" t="n">
        <v>46200</v>
      </c>
      <c r="D1191" t="inlineStr">
        <is>
          <t>JÄMTLANDS LÄN</t>
        </is>
      </c>
      <c r="E1191" t="inlineStr">
        <is>
          <t>BRÄCKE</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41757-2025</t>
        </is>
      </c>
      <c r="B1192" s="1" t="n">
        <v>45902</v>
      </c>
      <c r="C1192" s="1" t="n">
        <v>46200</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25413-2024</t>
        </is>
      </c>
      <c r="B1193" s="1" t="n">
        <v>45462</v>
      </c>
      <c r="C1193" s="1" t="n">
        <v>46200</v>
      </c>
      <c r="D1193" t="inlineStr">
        <is>
          <t>JÄMTLANDS LÄN</t>
        </is>
      </c>
      <c r="E1193" t="inlineStr">
        <is>
          <t>BRÄCKE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51965-2025</t>
        </is>
      </c>
      <c r="B1194" s="1" t="n">
        <v>45952</v>
      </c>
      <c r="C1194" s="1" t="n">
        <v>46200</v>
      </c>
      <c r="D1194" t="inlineStr">
        <is>
          <t>JÄMTLANDS LÄN</t>
        </is>
      </c>
      <c r="E1194" t="inlineStr">
        <is>
          <t>BRÄCKE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41981-2025</t>
        </is>
      </c>
      <c r="B1195" s="1" t="n">
        <v>45903</v>
      </c>
      <c r="C1195" s="1" t="n">
        <v>46200</v>
      </c>
      <c r="D1195" t="inlineStr">
        <is>
          <t>JÄMTLANDS LÄN</t>
        </is>
      </c>
      <c r="E1195" t="inlineStr">
        <is>
          <t>BRÄCKE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41547-2025</t>
        </is>
      </c>
      <c r="B1196" s="1" t="n">
        <v>45901</v>
      </c>
      <c r="C1196" s="1" t="n">
        <v>46200</v>
      </c>
      <c r="D1196" t="inlineStr">
        <is>
          <t>JÄMTLANDS LÄN</t>
        </is>
      </c>
      <c r="E1196" t="inlineStr">
        <is>
          <t>BRÄCKE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52344-2025</t>
        </is>
      </c>
      <c r="B1197" s="1" t="n">
        <v>45953</v>
      </c>
      <c r="C1197" s="1" t="n">
        <v>46200</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52342-2025</t>
        </is>
      </c>
      <c r="B1198" s="1" t="n">
        <v>45953</v>
      </c>
      <c r="C1198" s="1" t="n">
        <v>46200</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52343-2025</t>
        </is>
      </c>
      <c r="B1199" s="1" t="n">
        <v>45953</v>
      </c>
      <c r="C1199" s="1" t="n">
        <v>46200</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52345-2025</t>
        </is>
      </c>
      <c r="B1200" s="1" t="n">
        <v>45953</v>
      </c>
      <c r="C1200" s="1" t="n">
        <v>46200</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52346-2025</t>
        </is>
      </c>
      <c r="B1201" s="1" t="n">
        <v>45953</v>
      </c>
      <c r="C1201" s="1" t="n">
        <v>46200</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51839-2025</t>
        </is>
      </c>
      <c r="B1202" s="1" t="n">
        <v>45952</v>
      </c>
      <c r="C1202" s="1" t="n">
        <v>46200</v>
      </c>
      <c r="D1202" t="inlineStr">
        <is>
          <t>JÄMTLANDS LÄN</t>
        </is>
      </c>
      <c r="E1202" t="inlineStr">
        <is>
          <t>BRÄCKE</t>
        </is>
      </c>
      <c r="F1202" t="inlineStr">
        <is>
          <t>SCA</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42131-2025</t>
        </is>
      </c>
      <c r="B1203" s="1" t="n">
        <v>45904</v>
      </c>
      <c r="C1203" s="1" t="n">
        <v>46200</v>
      </c>
      <c r="D1203" t="inlineStr">
        <is>
          <t>JÄMTLANDS LÄN</t>
        </is>
      </c>
      <c r="E1203" t="inlineStr">
        <is>
          <t>BRÄCKE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42132-2025</t>
        </is>
      </c>
      <c r="B1204" s="1" t="n">
        <v>45904</v>
      </c>
      <c r="C1204" s="1" t="n">
        <v>46200</v>
      </c>
      <c r="D1204" t="inlineStr">
        <is>
          <t>JÄMTLANDS LÄN</t>
        </is>
      </c>
      <c r="E1204" t="inlineStr">
        <is>
          <t>BRÄCKE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51964-2025</t>
        </is>
      </c>
      <c r="B1205" s="1" t="n">
        <v>45952</v>
      </c>
      <c r="C1205" s="1" t="n">
        <v>46200</v>
      </c>
      <c r="D1205" t="inlineStr">
        <is>
          <t>JÄMTLANDS LÄN</t>
        </is>
      </c>
      <c r="E1205" t="inlineStr">
        <is>
          <t>BRÄCKE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42507-2025</t>
        </is>
      </c>
      <c r="B1206" s="1" t="n">
        <v>45905</v>
      </c>
      <c r="C1206" s="1" t="n">
        <v>46200</v>
      </c>
      <c r="D1206" t="inlineStr">
        <is>
          <t>JÄMTLANDS LÄN</t>
        </is>
      </c>
      <c r="E1206" t="inlineStr">
        <is>
          <t>BRÄCKE</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42380-2025</t>
        </is>
      </c>
      <c r="B1207" s="1" t="n">
        <v>45905</v>
      </c>
      <c r="C1207" s="1" t="n">
        <v>46200</v>
      </c>
      <c r="D1207" t="inlineStr">
        <is>
          <t>JÄMTLANDS LÄN</t>
        </is>
      </c>
      <c r="E1207" t="inlineStr">
        <is>
          <t>BRÄCKE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52468-2025</t>
        </is>
      </c>
      <c r="B1208" s="1" t="n">
        <v>45954</v>
      </c>
      <c r="C1208" s="1" t="n">
        <v>46200</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18626-2024</t>
        </is>
      </c>
      <c r="B1209" s="1" t="n">
        <v>45425</v>
      </c>
      <c r="C1209" s="1" t="n">
        <v>46200</v>
      </c>
      <c r="D1209" t="inlineStr">
        <is>
          <t>JÄMTLANDS LÄN</t>
        </is>
      </c>
      <c r="E1209" t="inlineStr">
        <is>
          <t>BRÄCKE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22816-2025</t>
        </is>
      </c>
      <c r="B1210" s="1" t="n">
        <v>45789</v>
      </c>
      <c r="C1210" s="1" t="n">
        <v>46200</v>
      </c>
      <c r="D1210" t="inlineStr">
        <is>
          <t>JÄMTLANDS LÄN</t>
        </is>
      </c>
      <c r="E1210" t="inlineStr">
        <is>
          <t>BRÄCKE</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42959-2024</t>
        </is>
      </c>
      <c r="B1211" s="1" t="n">
        <v>45567</v>
      </c>
      <c r="C1211" s="1" t="n">
        <v>46200</v>
      </c>
      <c r="D1211" t="inlineStr">
        <is>
          <t>JÄMTLANDS LÄN</t>
        </is>
      </c>
      <c r="E1211" t="inlineStr">
        <is>
          <t>BRÄCKE</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42123-2025</t>
        </is>
      </c>
      <c r="B1212" s="1" t="n">
        <v>45904</v>
      </c>
      <c r="C1212" s="1" t="n">
        <v>46200</v>
      </c>
      <c r="D1212" t="inlineStr">
        <is>
          <t>JÄMTLANDS LÄN</t>
        </is>
      </c>
      <c r="E1212" t="inlineStr">
        <is>
          <t>BRÄCKE</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42379-2025</t>
        </is>
      </c>
      <c r="B1213" s="1" t="n">
        <v>45905</v>
      </c>
      <c r="C1213" s="1" t="n">
        <v>46200</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52476-2025</t>
        </is>
      </c>
      <c r="B1214" s="1" t="n">
        <v>45954</v>
      </c>
      <c r="C1214" s="1" t="n">
        <v>46200</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42128-2025</t>
        </is>
      </c>
      <c r="B1215" s="1" t="n">
        <v>45904</v>
      </c>
      <c r="C1215" s="1" t="n">
        <v>46200</v>
      </c>
      <c r="D1215" t="inlineStr">
        <is>
          <t>JÄMTLANDS LÄN</t>
        </is>
      </c>
      <c r="E1215" t="inlineStr">
        <is>
          <t>BRÄCKE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42130-2025</t>
        </is>
      </c>
      <c r="B1216" s="1" t="n">
        <v>45904</v>
      </c>
      <c r="C1216" s="1" t="n">
        <v>46200</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31567-2024</t>
        </is>
      </c>
      <c r="B1217" s="1" t="n">
        <v>45505</v>
      </c>
      <c r="C1217" s="1" t="n">
        <v>46200</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42435-2025</t>
        </is>
      </c>
      <c r="B1218" s="1" t="n">
        <v>45905</v>
      </c>
      <c r="C1218" s="1" t="n">
        <v>46200</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6345-2023</t>
        </is>
      </c>
      <c r="B1219" s="1" t="n">
        <v>44960</v>
      </c>
      <c r="C1219" s="1" t="n">
        <v>46200</v>
      </c>
      <c r="D1219" t="inlineStr">
        <is>
          <t>JÄMTLANDS LÄN</t>
        </is>
      </c>
      <c r="E1219" t="inlineStr">
        <is>
          <t>BRÄCKE</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59369-2022</t>
        </is>
      </c>
      <c r="B1220" s="1" t="n">
        <v>44904</v>
      </c>
      <c r="C1220" s="1" t="n">
        <v>46200</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22958-2025</t>
        </is>
      </c>
      <c r="B1221" s="1" t="n">
        <v>45790</v>
      </c>
      <c r="C1221" s="1" t="n">
        <v>46200</v>
      </c>
      <c r="D1221" t="inlineStr">
        <is>
          <t>JÄMTLANDS LÄN</t>
        </is>
      </c>
      <c r="E1221" t="inlineStr">
        <is>
          <t>BRÄCKE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59846-2024</t>
        </is>
      </c>
      <c r="B1222" s="1" t="n">
        <v>45639</v>
      </c>
      <c r="C1222" s="1" t="n">
        <v>46200</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29941-2023</t>
        </is>
      </c>
      <c r="B1223" s="1" t="n">
        <v>45107</v>
      </c>
      <c r="C1223" s="1" t="n">
        <v>46200</v>
      </c>
      <c r="D1223" t="inlineStr">
        <is>
          <t>JÄMTLANDS LÄN</t>
        </is>
      </c>
      <c r="E1223" t="inlineStr">
        <is>
          <t>BRÄCKE</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42659-2025</t>
        </is>
      </c>
      <c r="B1224" s="1" t="n">
        <v>45907</v>
      </c>
      <c r="C1224" s="1" t="n">
        <v>46200</v>
      </c>
      <c r="D1224" t="inlineStr">
        <is>
          <t>JÄMTLANDS LÄN</t>
        </is>
      </c>
      <c r="E1224" t="inlineStr">
        <is>
          <t>BRÄCKE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43180-2025</t>
        </is>
      </c>
      <c r="B1225" s="1" t="n">
        <v>45910</v>
      </c>
      <c r="C1225" s="1" t="n">
        <v>46200</v>
      </c>
      <c r="D1225" t="inlineStr">
        <is>
          <t>JÄMTLANDS LÄN</t>
        </is>
      </c>
      <c r="E1225" t="inlineStr">
        <is>
          <t>BRÄCKE</t>
        </is>
      </c>
      <c r="F1225" t="inlineStr">
        <is>
          <t>SCA</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53210-2025</t>
        </is>
      </c>
      <c r="B1226" s="1" t="n">
        <v>45958</v>
      </c>
      <c r="C1226" s="1" t="n">
        <v>46200</v>
      </c>
      <c r="D1226" t="inlineStr">
        <is>
          <t>JÄMTLANDS LÄN</t>
        </is>
      </c>
      <c r="E1226" t="inlineStr">
        <is>
          <t>BRÄCKE</t>
        </is>
      </c>
      <c r="F1226" t="inlineStr">
        <is>
          <t>SCA</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43254-2025</t>
        </is>
      </c>
      <c r="B1227" s="1" t="n">
        <v>45910</v>
      </c>
      <c r="C1227" s="1" t="n">
        <v>46200</v>
      </c>
      <c r="D1227" t="inlineStr">
        <is>
          <t>JÄMTLANDS LÄN</t>
        </is>
      </c>
      <c r="E1227" t="inlineStr">
        <is>
          <t>BRÄCKE</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43618-2025</t>
        </is>
      </c>
      <c r="B1228" s="1" t="n">
        <v>45911</v>
      </c>
      <c r="C1228" s="1" t="n">
        <v>46200</v>
      </c>
      <c r="D1228" t="inlineStr">
        <is>
          <t>JÄMTLANDS LÄN</t>
        </is>
      </c>
      <c r="E1228" t="inlineStr">
        <is>
          <t>BRÄCKE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53168-2025</t>
        </is>
      </c>
      <c r="B1229" s="1" t="n">
        <v>45958</v>
      </c>
      <c r="C1229" s="1" t="n">
        <v>46200</v>
      </c>
      <c r="D1229" t="inlineStr">
        <is>
          <t>JÄMTLANDS LÄN</t>
        </is>
      </c>
      <c r="E1229" t="inlineStr">
        <is>
          <t>BRÄCKE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48284-2021</t>
        </is>
      </c>
      <c r="B1230" s="1" t="n">
        <v>44449</v>
      </c>
      <c r="C1230" s="1" t="n">
        <v>46200</v>
      </c>
      <c r="D1230" t="inlineStr">
        <is>
          <t>JÄMTLANDS LÄN</t>
        </is>
      </c>
      <c r="E1230" t="inlineStr">
        <is>
          <t>BRÄCKE</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53352-2025</t>
        </is>
      </c>
      <c r="B1231" s="1" t="n">
        <v>45959</v>
      </c>
      <c r="C1231" s="1" t="n">
        <v>46200</v>
      </c>
      <c r="D1231" t="inlineStr">
        <is>
          <t>JÄMTLANDS LÄN</t>
        </is>
      </c>
      <c r="E1231" t="inlineStr">
        <is>
          <t>BRÄCKE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23344-2025</t>
        </is>
      </c>
      <c r="B1232" s="1" t="n">
        <v>45791</v>
      </c>
      <c r="C1232" s="1" t="n">
        <v>46200</v>
      </c>
      <c r="D1232" t="inlineStr">
        <is>
          <t>JÄMTLANDS LÄN</t>
        </is>
      </c>
      <c r="E1232" t="inlineStr">
        <is>
          <t>BRÄCKE</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43591-2025</t>
        </is>
      </c>
      <c r="B1233" s="1" t="n">
        <v>45911</v>
      </c>
      <c r="C1233" s="1" t="n">
        <v>46200</v>
      </c>
      <c r="D1233" t="inlineStr">
        <is>
          <t>JÄMTLANDS LÄN</t>
        </is>
      </c>
      <c r="E1233" t="inlineStr">
        <is>
          <t>BRÄCKE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53197-2025</t>
        </is>
      </c>
      <c r="B1234" s="1" t="n">
        <v>45958</v>
      </c>
      <c r="C1234" s="1" t="n">
        <v>46200</v>
      </c>
      <c r="D1234" t="inlineStr">
        <is>
          <t>JÄMTLANDS LÄN</t>
        </is>
      </c>
      <c r="E1234" t="inlineStr">
        <is>
          <t>BRÄCKE</t>
        </is>
      </c>
      <c r="F1234" t="inlineStr">
        <is>
          <t>SCA</t>
        </is>
      </c>
      <c r="G1234" t="n">
        <v>43.4</v>
      </c>
      <c r="H1234" t="n">
        <v>0</v>
      </c>
      <c r="I1234" t="n">
        <v>0</v>
      </c>
      <c r="J1234" t="n">
        <v>0</v>
      </c>
      <c r="K1234" t="n">
        <v>0</v>
      </c>
      <c r="L1234" t="n">
        <v>0</v>
      </c>
      <c r="M1234" t="n">
        <v>0</v>
      </c>
      <c r="N1234" t="n">
        <v>0</v>
      </c>
      <c r="O1234" t="n">
        <v>0</v>
      </c>
      <c r="P1234" t="n">
        <v>0</v>
      </c>
      <c r="Q1234" t="n">
        <v>0</v>
      </c>
      <c r="R1234" s="2" t="inlineStr"/>
    </row>
    <row r="1235" ht="15" customHeight="1">
      <c r="A1235" t="inlineStr">
        <is>
          <t>A 53169-2025</t>
        </is>
      </c>
      <c r="B1235" s="1" t="n">
        <v>45958</v>
      </c>
      <c r="C1235" s="1" t="n">
        <v>46200</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43387-2025</t>
        </is>
      </c>
      <c r="B1236" s="1" t="n">
        <v>45911</v>
      </c>
      <c r="C1236" s="1" t="n">
        <v>46200</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54010-2025</t>
        </is>
      </c>
      <c r="B1237" s="1" t="n">
        <v>45961</v>
      </c>
      <c r="C1237" s="1" t="n">
        <v>46200</v>
      </c>
      <c r="D1237" t="inlineStr">
        <is>
          <t>JÄMTLANDS LÄN</t>
        </is>
      </c>
      <c r="E1237" t="inlineStr">
        <is>
          <t>BRÄCKE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54011-2025</t>
        </is>
      </c>
      <c r="B1238" s="1" t="n">
        <v>45961</v>
      </c>
      <c r="C1238" s="1" t="n">
        <v>46200</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44035-2025</t>
        </is>
      </c>
      <c r="B1239" s="1" t="n">
        <v>45915</v>
      </c>
      <c r="C1239" s="1" t="n">
        <v>46200</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52249-2023</t>
        </is>
      </c>
      <c r="B1240" s="1" t="n">
        <v>45217</v>
      </c>
      <c r="C1240" s="1" t="n">
        <v>46200</v>
      </c>
      <c r="D1240" t="inlineStr">
        <is>
          <t>JÄMTLANDS LÄN</t>
        </is>
      </c>
      <c r="E1240" t="inlineStr">
        <is>
          <t>BRÄCKE</t>
        </is>
      </c>
      <c r="F1240" t="inlineStr">
        <is>
          <t>SCA</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53046-2023</t>
        </is>
      </c>
      <c r="B1241" s="1" t="n">
        <v>45226</v>
      </c>
      <c r="C1241" s="1" t="n">
        <v>46200</v>
      </c>
      <c r="D1241" t="inlineStr">
        <is>
          <t>JÄMTLANDS LÄN</t>
        </is>
      </c>
      <c r="E1241" t="inlineStr">
        <is>
          <t>BRÄCKE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44030-2025</t>
        </is>
      </c>
      <c r="B1242" s="1" t="n">
        <v>45915</v>
      </c>
      <c r="C1242" s="1" t="n">
        <v>46200</v>
      </c>
      <c r="D1242" t="inlineStr">
        <is>
          <t>JÄMTLANDS LÄN</t>
        </is>
      </c>
      <c r="E1242" t="inlineStr">
        <is>
          <t>BRÄCKE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11093-2022</t>
        </is>
      </c>
      <c r="B1243" s="1" t="n">
        <v>44628</v>
      </c>
      <c r="C1243" s="1" t="n">
        <v>46200</v>
      </c>
      <c r="D1243" t="inlineStr">
        <is>
          <t>JÄMTLANDS LÄN</t>
        </is>
      </c>
      <c r="E1243" t="inlineStr">
        <is>
          <t>BRÄCKE</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44216-2025</t>
        </is>
      </c>
      <c r="B1244" s="1" t="n">
        <v>45915</v>
      </c>
      <c r="C1244" s="1" t="n">
        <v>46200</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43736-2025</t>
        </is>
      </c>
      <c r="B1245" s="1" t="n">
        <v>45912</v>
      </c>
      <c r="C1245" s="1" t="n">
        <v>46200</v>
      </c>
      <c r="D1245" t="inlineStr">
        <is>
          <t>JÄMTLANDS LÄN</t>
        </is>
      </c>
      <c r="E1245" t="inlineStr">
        <is>
          <t>BRÄCKE</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43723-2025</t>
        </is>
      </c>
      <c r="B1246" s="1" t="n">
        <v>45912</v>
      </c>
      <c r="C1246" s="1" t="n">
        <v>46200</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23583-2025</t>
        </is>
      </c>
      <c r="B1247" s="1" t="n">
        <v>45792</v>
      </c>
      <c r="C1247" s="1" t="n">
        <v>46200</v>
      </c>
      <c r="D1247" t="inlineStr">
        <is>
          <t>JÄMTLANDS LÄN</t>
        </is>
      </c>
      <c r="E1247" t="inlineStr">
        <is>
          <t>BRÄCKE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53829-2025</t>
        </is>
      </c>
      <c r="B1248" s="1" t="n">
        <v>45961</v>
      </c>
      <c r="C1248" s="1" t="n">
        <v>46200</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41418-2024</t>
        </is>
      </c>
      <c r="B1249" s="1" t="n">
        <v>45560</v>
      </c>
      <c r="C1249" s="1" t="n">
        <v>46200</v>
      </c>
      <c r="D1249" t="inlineStr">
        <is>
          <t>JÄMTLANDS LÄN</t>
        </is>
      </c>
      <c r="E1249" t="inlineStr">
        <is>
          <t>BRÄCKE</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41419-2024</t>
        </is>
      </c>
      <c r="B1250" s="1" t="n">
        <v>45560</v>
      </c>
      <c r="C1250" s="1" t="n">
        <v>46200</v>
      </c>
      <c r="D1250" t="inlineStr">
        <is>
          <t>JÄMTLANDS LÄN</t>
        </is>
      </c>
      <c r="E1250" t="inlineStr">
        <is>
          <t>BRÄCKE</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16462-2024</t>
        </is>
      </c>
      <c r="B1251" s="1" t="n">
        <v>45408</v>
      </c>
      <c r="C1251" s="1" t="n">
        <v>46200</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54160-2025</t>
        </is>
      </c>
      <c r="B1252" s="1" t="n">
        <v>45964</v>
      </c>
      <c r="C1252" s="1" t="n">
        <v>46200</v>
      </c>
      <c r="D1252" t="inlineStr">
        <is>
          <t>JÄMTLANDS LÄN</t>
        </is>
      </c>
      <c r="E1252" t="inlineStr">
        <is>
          <t>BRÄCKE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54316-2025</t>
        </is>
      </c>
      <c r="B1253" s="1" t="n">
        <v>45965</v>
      </c>
      <c r="C1253" s="1" t="n">
        <v>46200</v>
      </c>
      <c r="D1253" t="inlineStr">
        <is>
          <t>JÄMTLANDS LÄN</t>
        </is>
      </c>
      <c r="E1253" t="inlineStr">
        <is>
          <t>BRÄCKE</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54372-2025</t>
        </is>
      </c>
      <c r="B1254" s="1" t="n">
        <v>45965</v>
      </c>
      <c r="C1254" s="1" t="n">
        <v>46200</v>
      </c>
      <c r="D1254" t="inlineStr">
        <is>
          <t>JÄMTLANDS LÄN</t>
        </is>
      </c>
      <c r="E1254" t="inlineStr">
        <is>
          <t>BRÄCKE</t>
        </is>
      </c>
      <c r="F1254" t="inlineStr">
        <is>
          <t>Övriga Aktiebolag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v>
      </c>
      <c r="C1255" s="1" t="n">
        <v>46200</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54315-2025</t>
        </is>
      </c>
      <c r="B1256" s="1" t="n">
        <v>45965</v>
      </c>
      <c r="C1256" s="1" t="n">
        <v>46200</v>
      </c>
      <c r="D1256" t="inlineStr">
        <is>
          <t>JÄMTLANDS LÄN</t>
        </is>
      </c>
      <c r="E1256" t="inlineStr">
        <is>
          <t>BRÄCKE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54422-2025</t>
        </is>
      </c>
      <c r="B1257" s="1" t="n">
        <v>45965</v>
      </c>
      <c r="C1257" s="1" t="n">
        <v>46200</v>
      </c>
      <c r="D1257" t="inlineStr">
        <is>
          <t>JÄMTLANDS LÄN</t>
        </is>
      </c>
      <c r="E1257" t="inlineStr">
        <is>
          <t>BRÄCKE</t>
        </is>
      </c>
      <c r="F1257" t="inlineStr">
        <is>
          <t>Övriga Aktiebolag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27455-2024</t>
        </is>
      </c>
      <c r="B1258" s="1" t="n">
        <v>45474</v>
      </c>
      <c r="C1258" s="1" t="n">
        <v>46200</v>
      </c>
      <c r="D1258" t="inlineStr">
        <is>
          <t>JÄMTLANDS LÄN</t>
        </is>
      </c>
      <c r="E1258" t="inlineStr">
        <is>
          <t>BRÄCKE</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54323-2025</t>
        </is>
      </c>
      <c r="B1259" s="1" t="n">
        <v>45965</v>
      </c>
      <c r="C1259" s="1" t="n">
        <v>46200</v>
      </c>
      <c r="D1259" t="inlineStr">
        <is>
          <t>JÄMTLANDS LÄN</t>
        </is>
      </c>
      <c r="E1259" t="inlineStr">
        <is>
          <t>BRÄCKE</t>
        </is>
      </c>
      <c r="F1259" t="inlineStr">
        <is>
          <t>SCA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58547-2022</t>
        </is>
      </c>
      <c r="B1260" s="1" t="n">
        <v>44894</v>
      </c>
      <c r="C1260" s="1" t="n">
        <v>46200</v>
      </c>
      <c r="D1260" t="inlineStr">
        <is>
          <t>JÄMTLANDS LÄN</t>
        </is>
      </c>
      <c r="E1260" t="inlineStr">
        <is>
          <t>BRÄCKE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32671-2024</t>
        </is>
      </c>
      <c r="B1261" s="1" t="n">
        <v>45514</v>
      </c>
      <c r="C1261" s="1" t="n">
        <v>46200</v>
      </c>
      <c r="D1261" t="inlineStr">
        <is>
          <t>JÄMTLANDS LÄN</t>
        </is>
      </c>
      <c r="E1261" t="inlineStr">
        <is>
          <t>BRÄCKE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44843-2025</t>
        </is>
      </c>
      <c r="B1262" s="1" t="n">
        <v>45918</v>
      </c>
      <c r="C1262" s="1" t="n">
        <v>46200</v>
      </c>
      <c r="D1262" t="inlineStr">
        <is>
          <t>JÄMTLANDS LÄN</t>
        </is>
      </c>
      <c r="E1262" t="inlineStr">
        <is>
          <t>BRÄCKE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13762-2024</t>
        </is>
      </c>
      <c r="B1263" s="1" t="n">
        <v>45390</v>
      </c>
      <c r="C1263" s="1" t="n">
        <v>46200</v>
      </c>
      <c r="D1263" t="inlineStr">
        <is>
          <t>JÄMTLANDS LÄN</t>
        </is>
      </c>
      <c r="E1263" t="inlineStr">
        <is>
          <t>BRÄCKE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54257-2025</t>
        </is>
      </c>
      <c r="B1264" s="1" t="n">
        <v>45964</v>
      </c>
      <c r="C1264" s="1" t="n">
        <v>46200</v>
      </c>
      <c r="D1264" t="inlineStr">
        <is>
          <t>JÄMTLANDS LÄN</t>
        </is>
      </c>
      <c r="E1264" t="inlineStr">
        <is>
          <t>BRÄCKE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44847-2025</t>
        </is>
      </c>
      <c r="B1265" s="1" t="n">
        <v>45918</v>
      </c>
      <c r="C1265" s="1" t="n">
        <v>46200</v>
      </c>
      <c r="D1265" t="inlineStr">
        <is>
          <t>JÄMTLANDS LÄN</t>
        </is>
      </c>
      <c r="E1265" t="inlineStr">
        <is>
          <t>BRÄCKE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44957-2025</t>
        </is>
      </c>
      <c r="B1266" s="1" t="n">
        <v>45918</v>
      </c>
      <c r="C1266" s="1" t="n">
        <v>46200</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55069-2025</t>
        </is>
      </c>
      <c r="B1267" s="1" t="n">
        <v>45967</v>
      </c>
      <c r="C1267" s="1" t="n">
        <v>46200</v>
      </c>
      <c r="D1267" t="inlineStr">
        <is>
          <t>JÄMTLANDS LÄN</t>
        </is>
      </c>
      <c r="E1267" t="inlineStr">
        <is>
          <t>BRÄCKE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44831-2025</t>
        </is>
      </c>
      <c r="B1268" s="1" t="n">
        <v>45918</v>
      </c>
      <c r="C1268" s="1" t="n">
        <v>46200</v>
      </c>
      <c r="D1268" t="inlineStr">
        <is>
          <t>JÄMTLANDS LÄN</t>
        </is>
      </c>
      <c r="E1268" t="inlineStr">
        <is>
          <t>BRÄCKE</t>
        </is>
      </c>
      <c r="F1268" t="inlineStr">
        <is>
          <t>Naturvårdsverket</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44840-2025</t>
        </is>
      </c>
      <c r="B1269" s="1" t="n">
        <v>45918</v>
      </c>
      <c r="C1269" s="1" t="n">
        <v>46200</v>
      </c>
      <c r="D1269" t="inlineStr">
        <is>
          <t>JÄMTLANDS LÄN</t>
        </is>
      </c>
      <c r="E1269" t="inlineStr">
        <is>
          <t>BRÄCKE</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29873-2024</t>
        </is>
      </c>
      <c r="B1270" s="1" t="n">
        <v>45485</v>
      </c>
      <c r="C1270" s="1" t="n">
        <v>46200</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54741-2025</t>
        </is>
      </c>
      <c r="B1271" s="1" t="n">
        <v>45966</v>
      </c>
      <c r="C1271" s="1" t="n">
        <v>46200</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44959-2025</t>
        </is>
      </c>
      <c r="B1272" s="1" t="n">
        <v>45918</v>
      </c>
      <c r="C1272" s="1" t="n">
        <v>46200</v>
      </c>
      <c r="D1272" t="inlineStr">
        <is>
          <t>JÄMTLANDS LÄN</t>
        </is>
      </c>
      <c r="E1272" t="inlineStr">
        <is>
          <t>BRÄCKE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45797-2025</t>
        </is>
      </c>
      <c r="B1273" s="1" t="n">
        <v>45923</v>
      </c>
      <c r="C1273" s="1" t="n">
        <v>46200</v>
      </c>
      <c r="D1273" t="inlineStr">
        <is>
          <t>JÄMTLANDS LÄN</t>
        </is>
      </c>
      <c r="E1273" t="inlineStr">
        <is>
          <t>BRÄCKE</t>
        </is>
      </c>
      <c r="F1273" t="inlineStr">
        <is>
          <t>SCA</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8386-2025</t>
        </is>
      </c>
      <c r="B1274" s="1" t="n">
        <v>45709</v>
      </c>
      <c r="C1274" s="1" t="n">
        <v>46200</v>
      </c>
      <c r="D1274" t="inlineStr">
        <is>
          <t>JÄMTLANDS LÄN</t>
        </is>
      </c>
      <c r="E1274" t="inlineStr">
        <is>
          <t>BRÄCKE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54888-2025</t>
        </is>
      </c>
      <c r="B1275" s="1" t="n">
        <v>45967</v>
      </c>
      <c r="C1275" s="1" t="n">
        <v>46200</v>
      </c>
      <c r="D1275" t="inlineStr">
        <is>
          <t>JÄMTLANDS LÄN</t>
        </is>
      </c>
      <c r="E1275" t="inlineStr">
        <is>
          <t>BRÄCKE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9434-2025</t>
        </is>
      </c>
      <c r="B1276" s="1" t="n">
        <v>45715</v>
      </c>
      <c r="C1276" s="1" t="n">
        <v>46200</v>
      </c>
      <c r="D1276" t="inlineStr">
        <is>
          <t>JÄMTLANDS LÄN</t>
        </is>
      </c>
      <c r="E1276" t="inlineStr">
        <is>
          <t>BRÄCKE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24236-2025</t>
        </is>
      </c>
      <c r="B1277" s="1" t="n">
        <v>45797</v>
      </c>
      <c r="C1277" s="1" t="n">
        <v>46200</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54775-2025</t>
        </is>
      </c>
      <c r="B1278" s="1" t="n">
        <v>45966</v>
      </c>
      <c r="C1278" s="1" t="n">
        <v>46200</v>
      </c>
      <c r="D1278" t="inlineStr">
        <is>
          <t>JÄMTLANDS LÄN</t>
        </is>
      </c>
      <c r="E1278" t="inlineStr">
        <is>
          <t>BRÄCKE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54793-2025</t>
        </is>
      </c>
      <c r="B1279" s="1" t="n">
        <v>45966</v>
      </c>
      <c r="C1279" s="1" t="n">
        <v>46200</v>
      </c>
      <c r="D1279" t="inlineStr">
        <is>
          <t>JÄMTLANDS LÄN</t>
        </is>
      </c>
      <c r="E1279" t="inlineStr">
        <is>
          <t>BRÄCKE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23539-2025</t>
        </is>
      </c>
      <c r="B1280" s="1" t="n">
        <v>45792</v>
      </c>
      <c r="C1280" s="1" t="n">
        <v>46200</v>
      </c>
      <c r="D1280" t="inlineStr">
        <is>
          <t>JÄMTLANDS LÄN</t>
        </is>
      </c>
      <c r="E1280" t="inlineStr">
        <is>
          <t>BRÄCKE</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45698-2025</t>
        </is>
      </c>
      <c r="B1281" s="1" t="n">
        <v>45923</v>
      </c>
      <c r="C1281" s="1" t="n">
        <v>46200</v>
      </c>
      <c r="D1281" t="inlineStr">
        <is>
          <t>JÄMTLANDS LÄN</t>
        </is>
      </c>
      <c r="E1281" t="inlineStr">
        <is>
          <t>BRÄCKE</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1174-2025</t>
        </is>
      </c>
      <c r="B1282" s="1" t="n">
        <v>45667</v>
      </c>
      <c r="C1282" s="1" t="n">
        <v>46200</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59910-2022</t>
        </is>
      </c>
      <c r="B1283" s="1" t="n">
        <v>44908</v>
      </c>
      <c r="C1283" s="1" t="n">
        <v>46200</v>
      </c>
      <c r="D1283" t="inlineStr">
        <is>
          <t>JÄMTLANDS LÄN</t>
        </is>
      </c>
      <c r="E1283" t="inlineStr">
        <is>
          <t>BRÄCKE</t>
        </is>
      </c>
      <c r="F1283" t="inlineStr">
        <is>
          <t>SCA</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59915-2022</t>
        </is>
      </c>
      <c r="B1284" s="1" t="n">
        <v>44908</v>
      </c>
      <c r="C1284" s="1" t="n">
        <v>46200</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55028-2025</t>
        </is>
      </c>
      <c r="B1285" s="1" t="n">
        <v>45967</v>
      </c>
      <c r="C1285" s="1" t="n">
        <v>46200</v>
      </c>
      <c r="D1285" t="inlineStr">
        <is>
          <t>JÄMTLANDS LÄN</t>
        </is>
      </c>
      <c r="E1285" t="inlineStr">
        <is>
          <t>BRÄCKE</t>
        </is>
      </c>
      <c r="F1285" t="inlineStr">
        <is>
          <t>SCA</t>
        </is>
      </c>
      <c r="G1285" t="n">
        <v>16.4</v>
      </c>
      <c r="H1285" t="n">
        <v>0</v>
      </c>
      <c r="I1285" t="n">
        <v>0</v>
      </c>
      <c r="J1285" t="n">
        <v>0</v>
      </c>
      <c r="K1285" t="n">
        <v>0</v>
      </c>
      <c r="L1285" t="n">
        <v>0</v>
      </c>
      <c r="M1285" t="n">
        <v>0</v>
      </c>
      <c r="N1285" t="n">
        <v>0</v>
      </c>
      <c r="O1285" t="n">
        <v>0</v>
      </c>
      <c r="P1285" t="n">
        <v>0</v>
      </c>
      <c r="Q1285" t="n">
        <v>0</v>
      </c>
      <c r="R1285" s="2" t="inlineStr"/>
    </row>
    <row r="1286" ht="15" customHeight="1">
      <c r="A1286" t="inlineStr">
        <is>
          <t>A 20276-2023</t>
        </is>
      </c>
      <c r="B1286" s="1" t="n">
        <v>45055</v>
      </c>
      <c r="C1286" s="1" t="n">
        <v>46200</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54681-2025</t>
        </is>
      </c>
      <c r="B1287" s="1" t="n">
        <v>45966</v>
      </c>
      <c r="C1287" s="1" t="n">
        <v>46200</v>
      </c>
      <c r="D1287" t="inlineStr">
        <is>
          <t>JÄMTLANDS LÄN</t>
        </is>
      </c>
      <c r="E1287" t="inlineStr">
        <is>
          <t>BRÄCKE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45741-2025</t>
        </is>
      </c>
      <c r="B1288" s="1" t="n">
        <v>45923</v>
      </c>
      <c r="C1288" s="1" t="n">
        <v>46200</v>
      </c>
      <c r="D1288" t="inlineStr">
        <is>
          <t>JÄMTLANDS LÄN</t>
        </is>
      </c>
      <c r="E1288" t="inlineStr">
        <is>
          <t>BRÄCKE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10857-2024</t>
        </is>
      </c>
      <c r="B1289" s="1" t="n">
        <v>45370</v>
      </c>
      <c r="C1289" s="1" t="n">
        <v>46200</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55485-2025</t>
        </is>
      </c>
      <c r="B1290" s="1" t="n">
        <v>45971</v>
      </c>
      <c r="C1290" s="1" t="n">
        <v>46200</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45740-2025</t>
        </is>
      </c>
      <c r="B1291" s="1" t="n">
        <v>45923</v>
      </c>
      <c r="C1291" s="1" t="n">
        <v>46200</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17606-2025</t>
        </is>
      </c>
      <c r="B1292" s="1" t="n">
        <v>45757</v>
      </c>
      <c r="C1292" s="1" t="n">
        <v>46200</v>
      </c>
      <c r="D1292" t="inlineStr">
        <is>
          <t>JÄMTLANDS LÄN</t>
        </is>
      </c>
      <c r="E1292" t="inlineStr">
        <is>
          <t>BRÄCKE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23534-2024</t>
        </is>
      </c>
      <c r="B1293" s="1" t="n">
        <v>45453</v>
      </c>
      <c r="C1293" s="1" t="n">
        <v>46200</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55388-2025</t>
        </is>
      </c>
      <c r="B1294" s="1" t="n">
        <v>45971</v>
      </c>
      <c r="C1294" s="1" t="n">
        <v>46200</v>
      </c>
      <c r="D1294" t="inlineStr">
        <is>
          <t>JÄMTLANDS LÄN</t>
        </is>
      </c>
      <c r="E1294" t="inlineStr">
        <is>
          <t>BRÄCKE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55367-2025</t>
        </is>
      </c>
      <c r="B1295" s="1" t="n">
        <v>45971</v>
      </c>
      <c r="C1295" s="1" t="n">
        <v>46200</v>
      </c>
      <c r="D1295" t="inlineStr">
        <is>
          <t>JÄMTLANDS LÄN</t>
        </is>
      </c>
      <c r="E1295" t="inlineStr">
        <is>
          <t>BRÄCKE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46131-2025</t>
        </is>
      </c>
      <c r="B1296" s="1" t="n">
        <v>45924</v>
      </c>
      <c r="C1296" s="1" t="n">
        <v>46200</v>
      </c>
      <c r="D1296" t="inlineStr">
        <is>
          <t>JÄMTLANDS LÄN</t>
        </is>
      </c>
      <c r="E1296" t="inlineStr">
        <is>
          <t>BRÄCKE</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46218-2025</t>
        </is>
      </c>
      <c r="B1297" s="1" t="n">
        <v>45924</v>
      </c>
      <c r="C1297" s="1" t="n">
        <v>46200</v>
      </c>
      <c r="D1297" t="inlineStr">
        <is>
          <t>JÄMTLANDS LÄN</t>
        </is>
      </c>
      <c r="E1297" t="inlineStr">
        <is>
          <t>BRÄCKE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46217-2025</t>
        </is>
      </c>
      <c r="B1298" s="1" t="n">
        <v>45924</v>
      </c>
      <c r="C1298" s="1" t="n">
        <v>46200</v>
      </c>
      <c r="D1298" t="inlineStr">
        <is>
          <t>JÄMTLANDS LÄN</t>
        </is>
      </c>
      <c r="E1298" t="inlineStr">
        <is>
          <t>BRÄCKE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55524-2025</t>
        </is>
      </c>
      <c r="B1299" s="1" t="n">
        <v>45971</v>
      </c>
      <c r="C1299" s="1" t="n">
        <v>46200</v>
      </c>
      <c r="D1299" t="inlineStr">
        <is>
          <t>JÄMTLANDS LÄN</t>
        </is>
      </c>
      <c r="E1299" t="inlineStr">
        <is>
          <t>BRÄCKE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46017-2025</t>
        </is>
      </c>
      <c r="B1300" s="1" t="n">
        <v>45924</v>
      </c>
      <c r="C1300" s="1" t="n">
        <v>46200</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46216-2025</t>
        </is>
      </c>
      <c r="B1301" s="1" t="n">
        <v>45924</v>
      </c>
      <c r="C1301" s="1" t="n">
        <v>46200</v>
      </c>
      <c r="D1301" t="inlineStr">
        <is>
          <t>JÄMTLANDS LÄN</t>
        </is>
      </c>
      <c r="E1301" t="inlineStr">
        <is>
          <t>BRÄCKE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46180-2025</t>
        </is>
      </c>
      <c r="B1302" s="1" t="n">
        <v>45924</v>
      </c>
      <c r="C1302" s="1" t="n">
        <v>46200</v>
      </c>
      <c r="D1302" t="inlineStr">
        <is>
          <t>JÄMTLANDS LÄN</t>
        </is>
      </c>
      <c r="E1302" t="inlineStr">
        <is>
          <t>BRÄCKE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55382-2025</t>
        </is>
      </c>
      <c r="B1303" s="1" t="n">
        <v>45971</v>
      </c>
      <c r="C1303" s="1" t="n">
        <v>46200</v>
      </c>
      <c r="D1303" t="inlineStr">
        <is>
          <t>JÄMTLANDS LÄN</t>
        </is>
      </c>
      <c r="E1303" t="inlineStr">
        <is>
          <t>BRÄCKE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46070-2025</t>
        </is>
      </c>
      <c r="B1304" s="1" t="n">
        <v>45924</v>
      </c>
      <c r="C1304" s="1" t="n">
        <v>46200</v>
      </c>
      <c r="D1304" t="inlineStr">
        <is>
          <t>JÄMTLANDS LÄN</t>
        </is>
      </c>
      <c r="E1304" t="inlineStr">
        <is>
          <t>BRÄCKE</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55733-2025</t>
        </is>
      </c>
      <c r="B1305" s="1" t="n">
        <v>45972</v>
      </c>
      <c r="C1305" s="1" t="n">
        <v>46200</v>
      </c>
      <c r="D1305" t="inlineStr">
        <is>
          <t>JÄMTLANDS LÄN</t>
        </is>
      </c>
      <c r="E1305" t="inlineStr">
        <is>
          <t>BRÄCKE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46875-2025</t>
        </is>
      </c>
      <c r="B1306" s="1" t="n">
        <v>45929</v>
      </c>
      <c r="C1306" s="1" t="n">
        <v>46200</v>
      </c>
      <c r="D1306" t="inlineStr">
        <is>
          <t>JÄMTLANDS LÄN</t>
        </is>
      </c>
      <c r="E1306" t="inlineStr">
        <is>
          <t>BRÄCKE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46686-2025</t>
        </is>
      </c>
      <c r="B1307" s="1" t="n">
        <v>45926</v>
      </c>
      <c r="C1307" s="1" t="n">
        <v>46200</v>
      </c>
      <c r="D1307" t="inlineStr">
        <is>
          <t>JÄMTLANDS LÄN</t>
        </is>
      </c>
      <c r="E1307" t="inlineStr">
        <is>
          <t>BRÄCKE</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46623-2025</t>
        </is>
      </c>
      <c r="B1308" s="1" t="n">
        <v>45926</v>
      </c>
      <c r="C1308" s="1" t="n">
        <v>46200</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46624-2025</t>
        </is>
      </c>
      <c r="B1309" s="1" t="n">
        <v>45926</v>
      </c>
      <c r="C1309" s="1" t="n">
        <v>46200</v>
      </c>
      <c r="D1309" t="inlineStr">
        <is>
          <t>JÄMTLANDS LÄN</t>
        </is>
      </c>
      <c r="E1309" t="inlineStr">
        <is>
          <t>BRÄCKE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55654-2025</t>
        </is>
      </c>
      <c r="B1310" s="1" t="n">
        <v>45972</v>
      </c>
      <c r="C1310" s="1" t="n">
        <v>46200</v>
      </c>
      <c r="D1310" t="inlineStr">
        <is>
          <t>JÄMTLANDS LÄN</t>
        </is>
      </c>
      <c r="E1310" t="inlineStr">
        <is>
          <t>BRÄCKE</t>
        </is>
      </c>
      <c r="F1310" t="inlineStr">
        <is>
          <t>SCA</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55880-2025</t>
        </is>
      </c>
      <c r="B1311" s="1" t="n">
        <v>45973</v>
      </c>
      <c r="C1311" s="1" t="n">
        <v>46200</v>
      </c>
      <c r="D1311" t="inlineStr">
        <is>
          <t>JÄMTLANDS LÄN</t>
        </is>
      </c>
      <c r="E1311" t="inlineStr">
        <is>
          <t>BRÄCKE</t>
        </is>
      </c>
      <c r="F1311" t="inlineStr">
        <is>
          <t>SCA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47117-2025</t>
        </is>
      </c>
      <c r="B1312" s="1" t="n">
        <v>45929</v>
      </c>
      <c r="C1312" s="1" t="n">
        <v>46200</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55636-2025</t>
        </is>
      </c>
      <c r="B1313" s="1" t="n">
        <v>45972</v>
      </c>
      <c r="C1313" s="1" t="n">
        <v>46200</v>
      </c>
      <c r="D1313" t="inlineStr">
        <is>
          <t>JÄMTLANDS LÄN</t>
        </is>
      </c>
      <c r="E1313" t="inlineStr">
        <is>
          <t>BRÄCKE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55905-2025</t>
        </is>
      </c>
      <c r="B1314" s="1" t="n">
        <v>45973</v>
      </c>
      <c r="C1314" s="1" t="n">
        <v>46200</v>
      </c>
      <c r="D1314" t="inlineStr">
        <is>
          <t>JÄMTLANDS LÄN</t>
        </is>
      </c>
      <c r="E1314" t="inlineStr">
        <is>
          <t>BRÄCKE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47070-2025</t>
        </is>
      </c>
      <c r="B1315" s="1" t="n">
        <v>45929</v>
      </c>
      <c r="C1315" s="1" t="n">
        <v>46200</v>
      </c>
      <c r="D1315" t="inlineStr">
        <is>
          <t>JÄMTLANDS LÄN</t>
        </is>
      </c>
      <c r="E1315" t="inlineStr">
        <is>
          <t>BRÄCKE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46625-2025</t>
        </is>
      </c>
      <c r="B1316" s="1" t="n">
        <v>45926</v>
      </c>
      <c r="C1316" s="1" t="n">
        <v>46200</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56535-2025</t>
        </is>
      </c>
      <c r="B1317" s="1" t="n">
        <v>45975</v>
      </c>
      <c r="C1317" s="1" t="n">
        <v>46200</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47120-2025</t>
        </is>
      </c>
      <c r="B1318" s="1" t="n">
        <v>45929</v>
      </c>
      <c r="C1318" s="1" t="n">
        <v>46200</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31558-2024</t>
        </is>
      </c>
      <c r="B1319" s="1" t="n">
        <v>45505</v>
      </c>
      <c r="C1319" s="1" t="n">
        <v>46200</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56431-2025</t>
        </is>
      </c>
      <c r="B1320" s="1" t="n">
        <v>45975</v>
      </c>
      <c r="C1320" s="1" t="n">
        <v>46200</v>
      </c>
      <c r="D1320" t="inlineStr">
        <is>
          <t>JÄMTLANDS LÄN</t>
        </is>
      </c>
      <c r="E1320" t="inlineStr">
        <is>
          <t>BRÄCKE</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56309-2025</t>
        </is>
      </c>
      <c r="B1321" s="1" t="n">
        <v>45974</v>
      </c>
      <c r="C1321" s="1" t="n">
        <v>46200</v>
      </c>
      <c r="D1321" t="inlineStr">
        <is>
          <t>JÄMTLANDS LÄN</t>
        </is>
      </c>
      <c r="E1321" t="inlineStr">
        <is>
          <t>BRÄCKE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56738-2025</t>
        </is>
      </c>
      <c r="B1322" s="1" t="n">
        <v>45978</v>
      </c>
      <c r="C1322" s="1" t="n">
        <v>46200</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56739-2025</t>
        </is>
      </c>
      <c r="B1323" s="1" t="n">
        <v>45978</v>
      </c>
      <c r="C1323" s="1" t="n">
        <v>46200</v>
      </c>
      <c r="D1323" t="inlineStr">
        <is>
          <t>JÄMTLANDS LÄN</t>
        </is>
      </c>
      <c r="E1323" t="inlineStr">
        <is>
          <t>BRÄCKE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57036-2025</t>
        </is>
      </c>
      <c r="B1324" s="1" t="n">
        <v>45979</v>
      </c>
      <c r="C1324" s="1" t="n">
        <v>46200</v>
      </c>
      <c r="D1324" t="inlineStr">
        <is>
          <t>JÄMTLANDS LÄN</t>
        </is>
      </c>
      <c r="E1324" t="inlineStr">
        <is>
          <t>BRÄCKE</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23303-2025</t>
        </is>
      </c>
      <c r="B1325" s="1" t="n">
        <v>45791</v>
      </c>
      <c r="C1325" s="1" t="n">
        <v>46200</v>
      </c>
      <c r="D1325" t="inlineStr">
        <is>
          <t>JÄMTLANDS LÄN</t>
        </is>
      </c>
      <c r="E1325" t="inlineStr">
        <is>
          <t>BRÄCKE</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57139-2025</t>
        </is>
      </c>
      <c r="B1326" s="1" t="n">
        <v>45979</v>
      </c>
      <c r="C1326" s="1" t="n">
        <v>46200</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2245-2025</t>
        </is>
      </c>
      <c r="B1327" s="1" t="n">
        <v>45673</v>
      </c>
      <c r="C1327" s="1" t="n">
        <v>46200</v>
      </c>
      <c r="D1327" t="inlineStr">
        <is>
          <t>JÄMTLANDS LÄN</t>
        </is>
      </c>
      <c r="E1327" t="inlineStr">
        <is>
          <t>BRÄCKE</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57272-2025</t>
        </is>
      </c>
      <c r="B1328" s="1" t="n">
        <v>45979</v>
      </c>
      <c r="C1328" s="1" t="n">
        <v>46200</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2774-2025</t>
        </is>
      </c>
      <c r="B1329" s="1" t="n">
        <v>45677</v>
      </c>
      <c r="C1329" s="1" t="n">
        <v>46200</v>
      </c>
      <c r="D1329" t="inlineStr">
        <is>
          <t>JÄMTLANDS LÄN</t>
        </is>
      </c>
      <c r="E1329" t="inlineStr">
        <is>
          <t>BRÄCKE</t>
        </is>
      </c>
      <c r="F1329" t="inlineStr">
        <is>
          <t>SCA</t>
        </is>
      </c>
      <c r="G1329" t="n">
        <v>11.4</v>
      </c>
      <c r="H1329" t="n">
        <v>0</v>
      </c>
      <c r="I1329" t="n">
        <v>0</v>
      </c>
      <c r="J1329" t="n">
        <v>0</v>
      </c>
      <c r="K1329" t="n">
        <v>0</v>
      </c>
      <c r="L1329" t="n">
        <v>0</v>
      </c>
      <c r="M1329" t="n">
        <v>0</v>
      </c>
      <c r="N1329" t="n">
        <v>0</v>
      </c>
      <c r="O1329" t="n">
        <v>0</v>
      </c>
      <c r="P1329" t="n">
        <v>0</v>
      </c>
      <c r="Q1329" t="n">
        <v>0</v>
      </c>
      <c r="R1329" s="2" t="inlineStr"/>
      <c r="U1329">
        <f>HYPERLINK("https://klasma.github.io/Logging_2305/knärot/A 2774-2025 karta knärot.png", "A 2774-2025")</f>
        <v/>
      </c>
      <c r="V1329">
        <f>HYPERLINK("https://klasma.github.io/Logging_2305/klagomål/A 2774-2025 FSC-klagomål.docx", "A 2774-2025")</f>
        <v/>
      </c>
      <c r="W1329">
        <f>HYPERLINK("https://klasma.github.io/Logging_2305/klagomålsmail/A 2774-2025 FSC-klagomål mail.docx", "A 2774-2025")</f>
        <v/>
      </c>
      <c r="X1329">
        <f>HYPERLINK("https://klasma.github.io/Logging_2305/tillsyn/A 2774-2025 tillsynsbegäran.docx", "A 2774-2025")</f>
        <v/>
      </c>
      <c r="Y1329">
        <f>HYPERLINK("https://klasma.github.io/Logging_2305/tillsynsmail/A 2774-2025 tillsynsbegäran mail.docx", "A 2774-2025")</f>
        <v/>
      </c>
    </row>
    <row r="1330" ht="15" customHeight="1">
      <c r="A1330" t="inlineStr">
        <is>
          <t>A 47318-2025</t>
        </is>
      </c>
      <c r="B1330" s="1" t="n">
        <v>45930</v>
      </c>
      <c r="C1330" s="1" t="n">
        <v>46200</v>
      </c>
      <c r="D1330" t="inlineStr">
        <is>
          <t>JÄMTLANDS LÄN</t>
        </is>
      </c>
      <c r="E1330" t="inlineStr">
        <is>
          <t>BRÄCKE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47319-2025</t>
        </is>
      </c>
      <c r="B1331" s="1" t="n">
        <v>45930</v>
      </c>
      <c r="C1331" s="1" t="n">
        <v>46200</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47474-2025</t>
        </is>
      </c>
      <c r="B1332" s="1" t="n">
        <v>45930</v>
      </c>
      <c r="C1332" s="1" t="n">
        <v>46200</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47714-2025</t>
        </is>
      </c>
      <c r="B1333" s="1" t="n">
        <v>45931</v>
      </c>
      <c r="C1333" s="1" t="n">
        <v>46200</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27197-2025</t>
        </is>
      </c>
      <c r="B1334" s="1" t="n">
        <v>45812</v>
      </c>
      <c r="C1334" s="1" t="n">
        <v>46200</v>
      </c>
      <c r="D1334" t="inlineStr">
        <is>
          <t>JÄMTLANDS LÄN</t>
        </is>
      </c>
      <c r="E1334" t="inlineStr">
        <is>
          <t>BRÄCKE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54986-2023</t>
        </is>
      </c>
      <c r="B1335" s="1" t="n">
        <v>45236</v>
      </c>
      <c r="C1335" s="1" t="n">
        <v>46200</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57050-2025</t>
        </is>
      </c>
      <c r="B1336" s="1" t="n">
        <v>45979</v>
      </c>
      <c r="C1336" s="1" t="n">
        <v>46200</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56807-2025</t>
        </is>
      </c>
      <c r="B1337" s="1" t="n">
        <v>45978</v>
      </c>
      <c r="C1337" s="1" t="n">
        <v>46200</v>
      </c>
      <c r="D1337" t="inlineStr">
        <is>
          <t>JÄMTLANDS LÄN</t>
        </is>
      </c>
      <c r="E1337" t="inlineStr">
        <is>
          <t>BRÄCKE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45691-2022</t>
        </is>
      </c>
      <c r="B1338" s="1" t="n">
        <v>44845</v>
      </c>
      <c r="C1338" s="1" t="n">
        <v>46200</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8739-2025</t>
        </is>
      </c>
      <c r="B1339" s="1" t="n">
        <v>45712</v>
      </c>
      <c r="C1339" s="1" t="n">
        <v>46200</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31526-2024</t>
        </is>
      </c>
      <c r="B1340" s="1" t="n">
        <v>45505</v>
      </c>
      <c r="C1340" s="1" t="n">
        <v>46200</v>
      </c>
      <c r="D1340" t="inlineStr">
        <is>
          <t>JÄMTLANDS LÄN</t>
        </is>
      </c>
      <c r="E1340" t="inlineStr">
        <is>
          <t>BRÄCKE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24502-2025</t>
        </is>
      </c>
      <c r="B1341" s="1" t="n">
        <v>45798</v>
      </c>
      <c r="C1341" s="1" t="n">
        <v>46200</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57038-2025</t>
        </is>
      </c>
      <c r="B1342" s="1" t="n">
        <v>45979</v>
      </c>
      <c r="C1342" s="1" t="n">
        <v>46200</v>
      </c>
      <c r="D1342" t="inlineStr">
        <is>
          <t>JÄMTLANDS LÄN</t>
        </is>
      </c>
      <c r="E1342" t="inlineStr">
        <is>
          <t>BRÄCKE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24604-2025</t>
        </is>
      </c>
      <c r="B1343" s="1" t="n">
        <v>45798</v>
      </c>
      <c r="C1343" s="1" t="n">
        <v>46200</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24588-2025</t>
        </is>
      </c>
      <c r="B1344" s="1" t="n">
        <v>45798</v>
      </c>
      <c r="C1344" s="1" t="n">
        <v>46200</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46623-2022</t>
        </is>
      </c>
      <c r="B1345" s="1" t="n">
        <v>44848</v>
      </c>
      <c r="C1345" s="1" t="n">
        <v>46200</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57354-2025</t>
        </is>
      </c>
      <c r="B1346" s="1" t="n">
        <v>45980</v>
      </c>
      <c r="C1346" s="1" t="n">
        <v>46200</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57352-2025</t>
        </is>
      </c>
      <c r="B1347" s="1" t="n">
        <v>45980</v>
      </c>
      <c r="C1347" s="1" t="n">
        <v>46200</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58741-2023</t>
        </is>
      </c>
      <c r="B1348" s="1" t="n">
        <v>45251</v>
      </c>
      <c r="C1348" s="1" t="n">
        <v>46200</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24784-2025</t>
        </is>
      </c>
      <c r="B1349" s="1" t="n">
        <v>45799</v>
      </c>
      <c r="C1349" s="1" t="n">
        <v>46200</v>
      </c>
      <c r="D1349" t="inlineStr">
        <is>
          <t>JÄMTLANDS LÄN</t>
        </is>
      </c>
      <c r="E1349" t="inlineStr">
        <is>
          <t>BRÄCKE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57948-2025</t>
        </is>
      </c>
      <c r="B1350" s="1" t="n">
        <v>45982</v>
      </c>
      <c r="C1350" s="1" t="n">
        <v>46200</v>
      </c>
      <c r="D1350" t="inlineStr">
        <is>
          <t>JÄMTLANDS LÄN</t>
        </is>
      </c>
      <c r="E1350" t="inlineStr">
        <is>
          <t>BRÄCKE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58495-2025</t>
        </is>
      </c>
      <c r="B1351" s="1" t="n">
        <v>45985</v>
      </c>
      <c r="C1351" s="1" t="n">
        <v>46200</v>
      </c>
      <c r="D1351" t="inlineStr">
        <is>
          <t>JÄMTLANDS LÄN</t>
        </is>
      </c>
      <c r="E1351" t="inlineStr">
        <is>
          <t>BRÄCKE</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58351-2025</t>
        </is>
      </c>
      <c r="B1352" s="1" t="n">
        <v>45985</v>
      </c>
      <c r="C1352" s="1" t="n">
        <v>46200</v>
      </c>
      <c r="D1352" t="inlineStr">
        <is>
          <t>JÄMTLANDS LÄN</t>
        </is>
      </c>
      <c r="E1352" t="inlineStr">
        <is>
          <t>BRÄCKE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58618-2025</t>
        </is>
      </c>
      <c r="B1353" s="1" t="n">
        <v>45986</v>
      </c>
      <c r="C1353" s="1" t="n">
        <v>46200</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58972-2025</t>
        </is>
      </c>
      <c r="B1354" s="1" t="n">
        <v>45987</v>
      </c>
      <c r="C1354" s="1" t="n">
        <v>46200</v>
      </c>
      <c r="D1354" t="inlineStr">
        <is>
          <t>JÄMTLANDS LÄN</t>
        </is>
      </c>
      <c r="E1354" t="inlineStr">
        <is>
          <t>BRÄCKE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58957-2025</t>
        </is>
      </c>
      <c r="B1355" s="1" t="n">
        <v>45987</v>
      </c>
      <c r="C1355" s="1" t="n">
        <v>46200</v>
      </c>
      <c r="D1355" t="inlineStr">
        <is>
          <t>JÄMTLANDS LÄN</t>
        </is>
      </c>
      <c r="E1355" t="inlineStr">
        <is>
          <t>BRÄCKE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30287-2024</t>
        </is>
      </c>
      <c r="B1356" s="1" t="n">
        <v>45490</v>
      </c>
      <c r="C1356" s="1" t="n">
        <v>46200</v>
      </c>
      <c r="D1356" t="inlineStr">
        <is>
          <t>JÄMTLANDS LÄN</t>
        </is>
      </c>
      <c r="E1356" t="inlineStr">
        <is>
          <t>BRÄCKE</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59323-2025</t>
        </is>
      </c>
      <c r="B1357" s="1" t="n">
        <v>45989</v>
      </c>
      <c r="C1357" s="1" t="n">
        <v>46200</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59545-2025</t>
        </is>
      </c>
      <c r="B1358" s="1" t="n">
        <v>45990</v>
      </c>
      <c r="C1358" s="1" t="n">
        <v>46200</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59543-2025</t>
        </is>
      </c>
      <c r="B1359" s="1" t="n">
        <v>45990</v>
      </c>
      <c r="C1359" s="1" t="n">
        <v>46200</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59544-2025</t>
        </is>
      </c>
      <c r="B1360" s="1" t="n">
        <v>45990</v>
      </c>
      <c r="C1360" s="1" t="n">
        <v>46200</v>
      </c>
      <c r="D1360" t="inlineStr">
        <is>
          <t>JÄMTLANDS LÄN</t>
        </is>
      </c>
      <c r="E1360" t="inlineStr">
        <is>
          <t>BRÄCKE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59547-2025</t>
        </is>
      </c>
      <c r="B1361" s="1" t="n">
        <v>45990</v>
      </c>
      <c r="C1361" s="1" t="n">
        <v>46200</v>
      </c>
      <c r="D1361" t="inlineStr">
        <is>
          <t>JÄMTLANDS LÄN</t>
        </is>
      </c>
      <c r="E1361" t="inlineStr">
        <is>
          <t>BRÄCKE</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59976-2025</t>
        </is>
      </c>
      <c r="B1362" s="1" t="n">
        <v>45993</v>
      </c>
      <c r="C1362" s="1" t="n">
        <v>46200</v>
      </c>
      <c r="D1362" t="inlineStr">
        <is>
          <t>JÄMTLANDS LÄN</t>
        </is>
      </c>
      <c r="E1362" t="inlineStr">
        <is>
          <t>BRÄCKE</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60053-2025</t>
        </is>
      </c>
      <c r="B1363" s="1" t="n">
        <v>45993</v>
      </c>
      <c r="C1363" s="1" t="n">
        <v>46200</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60321-2025</t>
        </is>
      </c>
      <c r="B1364" s="1" t="n">
        <v>45994</v>
      </c>
      <c r="C1364" s="1" t="n">
        <v>46200</v>
      </c>
      <c r="D1364" t="inlineStr">
        <is>
          <t>JÄMTLANDS LÄN</t>
        </is>
      </c>
      <c r="E1364" t="inlineStr">
        <is>
          <t>BRÄCKE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60132-2025</t>
        </is>
      </c>
      <c r="B1365" s="1" t="n">
        <v>45994</v>
      </c>
      <c r="C1365" s="1" t="n">
        <v>46200</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25159-2025</t>
        </is>
      </c>
      <c r="B1366" s="1" t="n">
        <v>45800</v>
      </c>
      <c r="C1366" s="1" t="n">
        <v>46200</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60377-2025</t>
        </is>
      </c>
      <c r="B1367" s="1" t="n">
        <v>45995</v>
      </c>
      <c r="C1367" s="1" t="n">
        <v>46200</v>
      </c>
      <c r="D1367" t="inlineStr">
        <is>
          <t>JÄMTLANDS LÄN</t>
        </is>
      </c>
      <c r="E1367" t="inlineStr">
        <is>
          <t>BRÄCKE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60295-2025</t>
        </is>
      </c>
      <c r="B1368" s="1" t="n">
        <v>45994</v>
      </c>
      <c r="C1368" s="1" t="n">
        <v>46200</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60221-2025</t>
        </is>
      </c>
      <c r="B1369" s="1" t="n">
        <v>45994</v>
      </c>
      <c r="C1369" s="1" t="n">
        <v>46200</v>
      </c>
      <c r="D1369" t="inlineStr">
        <is>
          <t>JÄMTLANDS LÄN</t>
        </is>
      </c>
      <c r="E1369" t="inlineStr">
        <is>
          <t>BRÄCKE</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60220-2025</t>
        </is>
      </c>
      <c r="B1370" s="1" t="n">
        <v>45994</v>
      </c>
      <c r="C1370" s="1" t="n">
        <v>46200</v>
      </c>
      <c r="D1370" t="inlineStr">
        <is>
          <t>JÄMTLANDS LÄN</t>
        </is>
      </c>
      <c r="E1370" t="inlineStr">
        <is>
          <t>BRÄCKE</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18265-2025</t>
        </is>
      </c>
      <c r="B1371" s="1" t="n">
        <v>45762</v>
      </c>
      <c r="C1371" s="1" t="n">
        <v>46200</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26298-2025</t>
        </is>
      </c>
      <c r="B1372" s="1" t="n">
        <v>45805</v>
      </c>
      <c r="C1372" s="1" t="n">
        <v>46200</v>
      </c>
      <c r="D1372" t="inlineStr">
        <is>
          <t>JÄMTLANDS LÄN</t>
        </is>
      </c>
      <c r="E1372" t="inlineStr">
        <is>
          <t>BRÄCKE</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25734-2025</t>
        </is>
      </c>
      <c r="B1373" s="1" t="n">
        <v>45803</v>
      </c>
      <c r="C1373" s="1" t="n">
        <v>46200</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60769-2025</t>
        </is>
      </c>
      <c r="B1374" s="1" t="n">
        <v>45999</v>
      </c>
      <c r="C1374" s="1" t="n">
        <v>46200</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60762-2025</t>
        </is>
      </c>
      <c r="B1375" s="1" t="n">
        <v>45999</v>
      </c>
      <c r="C1375" s="1" t="n">
        <v>46200</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4132-2025</t>
        </is>
      </c>
      <c r="B1376" s="1" t="n">
        <v>45685</v>
      </c>
      <c r="C1376" s="1" t="n">
        <v>46200</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26379-2025</t>
        </is>
      </c>
      <c r="B1377" s="1" t="n">
        <v>45806</v>
      </c>
      <c r="C1377" s="1" t="n">
        <v>46200</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61862-2025</t>
        </is>
      </c>
      <c r="B1378" s="1" t="n">
        <v>46003</v>
      </c>
      <c r="C1378" s="1" t="n">
        <v>46200</v>
      </c>
      <c r="D1378" t="inlineStr">
        <is>
          <t>JÄMTLANDS LÄN</t>
        </is>
      </c>
      <c r="E1378" t="inlineStr">
        <is>
          <t>BRÄCKE</t>
        </is>
      </c>
      <c r="F1378" t="inlineStr">
        <is>
          <t>SCA</t>
        </is>
      </c>
      <c r="G1378" t="n">
        <v>12.1</v>
      </c>
      <c r="H1378" t="n">
        <v>0</v>
      </c>
      <c r="I1378" t="n">
        <v>0</v>
      </c>
      <c r="J1378" t="n">
        <v>0</v>
      </c>
      <c r="K1378" t="n">
        <v>0</v>
      </c>
      <c r="L1378" t="n">
        <v>0</v>
      </c>
      <c r="M1378" t="n">
        <v>0</v>
      </c>
      <c r="N1378" t="n">
        <v>0</v>
      </c>
      <c r="O1378" t="n">
        <v>0</v>
      </c>
      <c r="P1378" t="n">
        <v>0</v>
      </c>
      <c r="Q1378" t="n">
        <v>0</v>
      </c>
      <c r="R1378" s="2" t="inlineStr"/>
    </row>
    <row r="1379" ht="15" customHeight="1">
      <c r="A1379" t="inlineStr">
        <is>
          <t>A 61827-2025</t>
        </is>
      </c>
      <c r="B1379" s="1" t="n">
        <v>46003</v>
      </c>
      <c r="C1379" s="1" t="n">
        <v>46200</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61859-2025</t>
        </is>
      </c>
      <c r="B1380" s="1" t="n">
        <v>46003</v>
      </c>
      <c r="C1380" s="1" t="n">
        <v>46200</v>
      </c>
      <c r="D1380" t="inlineStr">
        <is>
          <t>JÄMTLANDS LÄN</t>
        </is>
      </c>
      <c r="E1380" t="inlineStr">
        <is>
          <t>BRÄCKE</t>
        </is>
      </c>
      <c r="F1380" t="inlineStr">
        <is>
          <t>SCA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61587-2025</t>
        </is>
      </c>
      <c r="B1381" s="1" t="n">
        <v>46002</v>
      </c>
      <c r="C1381" s="1" t="n">
        <v>46200</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62022-2025</t>
        </is>
      </c>
      <c r="B1382" s="1" t="n">
        <v>46003</v>
      </c>
      <c r="C1382" s="1" t="n">
        <v>46200</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62236-2025</t>
        </is>
      </c>
      <c r="B1383" s="1" t="n">
        <v>46006</v>
      </c>
      <c r="C1383" s="1" t="n">
        <v>46200</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62389-2025</t>
        </is>
      </c>
      <c r="B1384" s="1" t="n">
        <v>46007</v>
      </c>
      <c r="C1384" s="1" t="n">
        <v>46200</v>
      </c>
      <c r="D1384" t="inlineStr">
        <is>
          <t>JÄMTLANDS LÄN</t>
        </is>
      </c>
      <c r="E1384" t="inlineStr">
        <is>
          <t>BRÄCKE</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62233-2025</t>
        </is>
      </c>
      <c r="B1385" s="1" t="n">
        <v>46006</v>
      </c>
      <c r="C1385" s="1" t="n">
        <v>46200</v>
      </c>
      <c r="D1385" t="inlineStr">
        <is>
          <t>JÄMTLANDS LÄN</t>
        </is>
      </c>
      <c r="E1385" t="inlineStr">
        <is>
          <t>BRÄCKE</t>
        </is>
      </c>
      <c r="F1385" t="inlineStr">
        <is>
          <t>SCA</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62445-2025</t>
        </is>
      </c>
      <c r="B1386" s="1" t="n">
        <v>46007</v>
      </c>
      <c r="C1386" s="1" t="n">
        <v>46200</v>
      </c>
      <c r="D1386" t="inlineStr">
        <is>
          <t>JÄMTLANDS LÄN</t>
        </is>
      </c>
      <c r="E1386" t="inlineStr">
        <is>
          <t>BRÄCKE</t>
        </is>
      </c>
      <c r="F1386" t="inlineStr">
        <is>
          <t>Övriga Aktiebolag</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62466-2025</t>
        </is>
      </c>
      <c r="B1387" s="1" t="n">
        <v>46007</v>
      </c>
      <c r="C1387" s="1" t="n">
        <v>46200</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62457-2025</t>
        </is>
      </c>
      <c r="B1388" s="1" t="n">
        <v>46007</v>
      </c>
      <c r="C1388" s="1" t="n">
        <v>46200</v>
      </c>
      <c r="D1388" t="inlineStr">
        <is>
          <t>JÄMTLANDS LÄN</t>
        </is>
      </c>
      <c r="E1388" t="inlineStr">
        <is>
          <t>BRÄCKE</t>
        </is>
      </c>
      <c r="F1388" t="inlineStr">
        <is>
          <t>Övriga Aktiebolag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62406-2025</t>
        </is>
      </c>
      <c r="B1389" s="1" t="n">
        <v>46007</v>
      </c>
      <c r="C1389" s="1" t="n">
        <v>46200</v>
      </c>
      <c r="D1389" t="inlineStr">
        <is>
          <t>JÄMTLANDS LÄN</t>
        </is>
      </c>
      <c r="E1389" t="inlineStr">
        <is>
          <t>BRÄCKE</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62464-2025</t>
        </is>
      </c>
      <c r="B1390" s="1" t="n">
        <v>46007</v>
      </c>
      <c r="C1390" s="1" t="n">
        <v>46200</v>
      </c>
      <c r="D1390" t="inlineStr">
        <is>
          <t>JÄMTLANDS LÄN</t>
        </is>
      </c>
      <c r="E1390" t="inlineStr">
        <is>
          <t>BRÄCKE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62499-2025</t>
        </is>
      </c>
      <c r="B1391" s="1" t="n">
        <v>46007</v>
      </c>
      <c r="C1391" s="1" t="n">
        <v>46200</v>
      </c>
      <c r="D1391" t="inlineStr">
        <is>
          <t>JÄMTLANDS LÄN</t>
        </is>
      </c>
      <c r="E1391" t="inlineStr">
        <is>
          <t>BRÄCKE</t>
        </is>
      </c>
      <c r="F1391" t="inlineStr">
        <is>
          <t>Övriga Aktiebolag</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62943-2025</t>
        </is>
      </c>
      <c r="B1392" s="1" t="n">
        <v>46009</v>
      </c>
      <c r="C1392" s="1" t="n">
        <v>46200</v>
      </c>
      <c r="D1392" t="inlineStr">
        <is>
          <t>JÄMTLANDS LÄN</t>
        </is>
      </c>
      <c r="E1392" t="inlineStr">
        <is>
          <t>BRÄCKE</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62625-2025</t>
        </is>
      </c>
      <c r="B1393" s="1" t="n">
        <v>46008</v>
      </c>
      <c r="C1393" s="1" t="n">
        <v>46200</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v>
      </c>
      <c r="C1394" s="1" t="n">
        <v>46200</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63651-2025</t>
        </is>
      </c>
      <c r="B1395" s="1" t="n">
        <v>46014</v>
      </c>
      <c r="C1395" s="1" t="n">
        <v>46200</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55138-2025</t>
        </is>
      </c>
      <c r="B1396" s="1" t="n">
        <v>45968</v>
      </c>
      <c r="C1396" s="1" t="n">
        <v>46200</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51777-2025</t>
        </is>
      </c>
      <c r="B1397" s="1" t="n">
        <v>45951</v>
      </c>
      <c r="C1397" s="1" t="n">
        <v>46200</v>
      </c>
      <c r="D1397" t="inlineStr">
        <is>
          <t>JÄMTLANDS LÄN</t>
        </is>
      </c>
      <c r="E1397" t="inlineStr">
        <is>
          <t>BRÄCKE</t>
        </is>
      </c>
      <c r="F1397" t="inlineStr">
        <is>
          <t>SCA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58762-2025</t>
        </is>
      </c>
      <c r="B1398" s="1" t="n">
        <v>45986</v>
      </c>
      <c r="C1398" s="1" t="n">
        <v>46200</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58854-2025</t>
        </is>
      </c>
      <c r="B1399" s="1" t="n">
        <v>45987</v>
      </c>
      <c r="C1399" s="1" t="n">
        <v>46200</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60052-2025</t>
        </is>
      </c>
      <c r="B1400" s="1" t="n">
        <v>45993</v>
      </c>
      <c r="C1400" s="1" t="n">
        <v>46200</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55149-2025</t>
        </is>
      </c>
      <c r="B1401" s="1" t="n">
        <v>45968</v>
      </c>
      <c r="C1401" s="1" t="n">
        <v>46200</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58744-2025</t>
        </is>
      </c>
      <c r="B1402" s="1" t="n">
        <v>45986</v>
      </c>
      <c r="C1402" s="1" t="n">
        <v>46200</v>
      </c>
      <c r="D1402" t="inlineStr">
        <is>
          <t>JÄMTLANDS LÄN</t>
        </is>
      </c>
      <c r="E1402" t="inlineStr">
        <is>
          <t>BRÄCKE</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49666-2025</t>
        </is>
      </c>
      <c r="B1403" s="1" t="n">
        <v>45939</v>
      </c>
      <c r="C1403" s="1" t="n">
        <v>46200</v>
      </c>
      <c r="D1403" t="inlineStr">
        <is>
          <t>JÄMTLANDS LÄN</t>
        </is>
      </c>
      <c r="E1403" t="inlineStr">
        <is>
          <t>BRÄCKE</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63809-2025</t>
        </is>
      </c>
      <c r="B1404" s="1" t="n">
        <v>46020</v>
      </c>
      <c r="C1404" s="1" t="n">
        <v>46200</v>
      </c>
      <c r="D1404" t="inlineStr">
        <is>
          <t>JÄMTLANDS LÄN</t>
        </is>
      </c>
      <c r="E1404" t="inlineStr">
        <is>
          <t>BRÄCKE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63821-2025</t>
        </is>
      </c>
      <c r="B1405" s="1" t="n">
        <v>46020</v>
      </c>
      <c r="C1405" s="1" t="n">
        <v>46200</v>
      </c>
      <c r="D1405" t="inlineStr">
        <is>
          <t>JÄMTLANDS LÄN</t>
        </is>
      </c>
      <c r="E1405" t="inlineStr">
        <is>
          <t>BRÄCKE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63820-2025</t>
        </is>
      </c>
      <c r="B1406" s="1" t="n">
        <v>46020</v>
      </c>
      <c r="C1406" s="1" t="n">
        <v>46200</v>
      </c>
      <c r="D1406" t="inlineStr">
        <is>
          <t>JÄMTLANDS LÄN</t>
        </is>
      </c>
      <c r="E1406" t="inlineStr">
        <is>
          <t>BRÄCKE</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63822-2025</t>
        </is>
      </c>
      <c r="B1407" s="1" t="n">
        <v>46020</v>
      </c>
      <c r="C1407" s="1" t="n">
        <v>46200</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63803-2025</t>
        </is>
      </c>
      <c r="B1408" s="1" t="n">
        <v>46019</v>
      </c>
      <c r="C1408" s="1" t="n">
        <v>46200</v>
      </c>
      <c r="D1408" t="inlineStr">
        <is>
          <t>JÄMTLANDS LÄN</t>
        </is>
      </c>
      <c r="E1408" t="inlineStr">
        <is>
          <t>BRÄCKE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276-2026</t>
        </is>
      </c>
      <c r="B1409" s="1" t="n">
        <v>46027</v>
      </c>
      <c r="C1409" s="1" t="n">
        <v>46200</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277-2026</t>
        </is>
      </c>
      <c r="B1410" s="1" t="n">
        <v>46027</v>
      </c>
      <c r="C1410" s="1" t="n">
        <v>46200</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1080-2026</t>
        </is>
      </c>
      <c r="B1411" s="1" t="n">
        <v>46029</v>
      </c>
      <c r="C1411" s="1" t="n">
        <v>46200</v>
      </c>
      <c r="D1411" t="inlineStr">
        <is>
          <t>JÄMTLANDS LÄN</t>
        </is>
      </c>
      <c r="E1411" t="inlineStr">
        <is>
          <t>BRÄCKE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1227-2026</t>
        </is>
      </c>
      <c r="B1412" s="1" t="n">
        <v>46031</v>
      </c>
      <c r="C1412" s="1" t="n">
        <v>46200</v>
      </c>
      <c r="D1412" t="inlineStr">
        <is>
          <t>JÄMTLANDS LÄN</t>
        </is>
      </c>
      <c r="E1412" t="inlineStr">
        <is>
          <t>BRÄCKE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1226-2026</t>
        </is>
      </c>
      <c r="B1413" s="1" t="n">
        <v>46031</v>
      </c>
      <c r="C1413" s="1" t="n">
        <v>46200</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998-2026</t>
        </is>
      </c>
      <c r="B1414" s="1" t="n">
        <v>46030</v>
      </c>
      <c r="C1414" s="1" t="n">
        <v>46200</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1942-2026</t>
        </is>
      </c>
      <c r="B1415" s="1" t="n">
        <v>46035</v>
      </c>
      <c r="C1415" s="1" t="n">
        <v>46200</v>
      </c>
      <c r="D1415" t="inlineStr">
        <is>
          <t>JÄMTLANDS LÄN</t>
        </is>
      </c>
      <c r="E1415" t="inlineStr">
        <is>
          <t>BRÄCKE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1878-2026</t>
        </is>
      </c>
      <c r="B1416" s="1" t="n">
        <v>46035</v>
      </c>
      <c r="C1416" s="1" t="n">
        <v>46200</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1998-2026</t>
        </is>
      </c>
      <c r="B1417" s="1" t="n">
        <v>46035</v>
      </c>
      <c r="C1417" s="1" t="n">
        <v>46200</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1941-2026</t>
        </is>
      </c>
      <c r="B1418" s="1" t="n">
        <v>46035</v>
      </c>
      <c r="C1418" s="1" t="n">
        <v>46200</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2684-2026</t>
        </is>
      </c>
      <c r="B1419" s="1" t="n">
        <v>46037</v>
      </c>
      <c r="C1419" s="1" t="n">
        <v>46200</v>
      </c>
      <c r="D1419" t="inlineStr">
        <is>
          <t>JÄMTLANDS LÄN</t>
        </is>
      </c>
      <c r="E1419" t="inlineStr">
        <is>
          <t>BRÄCKE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30487-2024</t>
        </is>
      </c>
      <c r="B1420" s="1" t="n">
        <v>45491</v>
      </c>
      <c r="C1420" s="1" t="n">
        <v>46200</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3190-2026</t>
        </is>
      </c>
      <c r="B1421" s="1" t="n">
        <v>46041</v>
      </c>
      <c r="C1421" s="1" t="n">
        <v>46200</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4144-2026</t>
        </is>
      </c>
      <c r="B1422" s="1" t="n">
        <v>46044</v>
      </c>
      <c r="C1422" s="1" t="n">
        <v>46200</v>
      </c>
      <c r="D1422" t="inlineStr">
        <is>
          <t>JÄMTLANDS LÄN</t>
        </is>
      </c>
      <c r="E1422" t="inlineStr">
        <is>
          <t>BRÄCKE</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4123-2026</t>
        </is>
      </c>
      <c r="B1423" s="1" t="n">
        <v>46044</v>
      </c>
      <c r="C1423" s="1" t="n">
        <v>46200</v>
      </c>
      <c r="D1423" t="inlineStr">
        <is>
          <t>JÄMTLANDS LÄN</t>
        </is>
      </c>
      <c r="E1423" t="inlineStr">
        <is>
          <t>BRÄCKE</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4087-2026</t>
        </is>
      </c>
      <c r="B1424" s="1" t="n">
        <v>46044</v>
      </c>
      <c r="C1424" s="1" t="n">
        <v>46200</v>
      </c>
      <c r="D1424" t="inlineStr">
        <is>
          <t>JÄMTLANDS LÄN</t>
        </is>
      </c>
      <c r="E1424" t="inlineStr">
        <is>
          <t>BRÄCKE</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4122-2026</t>
        </is>
      </c>
      <c r="B1425" s="1" t="n">
        <v>46044</v>
      </c>
      <c r="C1425" s="1" t="n">
        <v>46200</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4126-2026</t>
        </is>
      </c>
      <c r="B1426" s="1" t="n">
        <v>46044</v>
      </c>
      <c r="C1426" s="1" t="n">
        <v>46200</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4124-2026</t>
        </is>
      </c>
      <c r="B1427" s="1" t="n">
        <v>46044</v>
      </c>
      <c r="C1427" s="1" t="n">
        <v>46200</v>
      </c>
      <c r="D1427" t="inlineStr">
        <is>
          <t>JÄMTLANDS LÄN</t>
        </is>
      </c>
      <c r="E1427" t="inlineStr">
        <is>
          <t>BRÄCKE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4098-2026</t>
        </is>
      </c>
      <c r="B1428" s="1" t="n">
        <v>46044</v>
      </c>
      <c r="C1428" s="1" t="n">
        <v>46200</v>
      </c>
      <c r="D1428" t="inlineStr">
        <is>
          <t>JÄMTLANDS LÄN</t>
        </is>
      </c>
      <c r="E1428" t="inlineStr">
        <is>
          <t>BRÄCKE</t>
        </is>
      </c>
      <c r="F1428" t="inlineStr">
        <is>
          <t>SCA</t>
        </is>
      </c>
      <c r="G1428" t="n">
        <v>19.5</v>
      </c>
      <c r="H1428" t="n">
        <v>0</v>
      </c>
      <c r="I1428" t="n">
        <v>0</v>
      </c>
      <c r="J1428" t="n">
        <v>0</v>
      </c>
      <c r="K1428" t="n">
        <v>0</v>
      </c>
      <c r="L1428" t="n">
        <v>0</v>
      </c>
      <c r="M1428" t="n">
        <v>0</v>
      </c>
      <c r="N1428" t="n">
        <v>0</v>
      </c>
      <c r="O1428" t="n">
        <v>0</v>
      </c>
      <c r="P1428" t="n">
        <v>0</v>
      </c>
      <c r="Q1428" t="n">
        <v>0</v>
      </c>
      <c r="R1428" s="2" t="inlineStr"/>
    </row>
    <row r="1429" ht="15" customHeight="1">
      <c r="A1429" t="inlineStr">
        <is>
          <t>A 4100-2026</t>
        </is>
      </c>
      <c r="B1429" s="1" t="n">
        <v>46044</v>
      </c>
      <c r="C1429" s="1" t="n">
        <v>46200</v>
      </c>
      <c r="D1429" t="inlineStr">
        <is>
          <t>JÄMTLANDS LÄN</t>
        </is>
      </c>
      <c r="E1429" t="inlineStr">
        <is>
          <t>BRÄCKE</t>
        </is>
      </c>
      <c r="F1429" t="inlineStr">
        <is>
          <t>SCA</t>
        </is>
      </c>
      <c r="G1429" t="n">
        <v>20.5</v>
      </c>
      <c r="H1429" t="n">
        <v>0</v>
      </c>
      <c r="I1429" t="n">
        <v>0</v>
      </c>
      <c r="J1429" t="n">
        <v>0</v>
      </c>
      <c r="K1429" t="n">
        <v>0</v>
      </c>
      <c r="L1429" t="n">
        <v>0</v>
      </c>
      <c r="M1429" t="n">
        <v>0</v>
      </c>
      <c r="N1429" t="n">
        <v>0</v>
      </c>
      <c r="O1429" t="n">
        <v>0</v>
      </c>
      <c r="P1429" t="n">
        <v>0</v>
      </c>
      <c r="Q1429" t="n">
        <v>0</v>
      </c>
      <c r="R1429" s="2" t="inlineStr"/>
    </row>
    <row r="1430" ht="15" customHeight="1">
      <c r="A1430" t="inlineStr">
        <is>
          <t>A 4651-2026</t>
        </is>
      </c>
      <c r="B1430" s="1" t="n">
        <v>46048</v>
      </c>
      <c r="C1430" s="1" t="n">
        <v>46200</v>
      </c>
      <c r="D1430" t="inlineStr">
        <is>
          <t>JÄMTLANDS LÄN</t>
        </is>
      </c>
      <c r="E1430" t="inlineStr">
        <is>
          <t>BRÄCKE</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5144-2026</t>
        </is>
      </c>
      <c r="B1431" s="1" t="n">
        <v>46049</v>
      </c>
      <c r="C1431" s="1" t="n">
        <v>46200</v>
      </c>
      <c r="D1431" t="inlineStr">
        <is>
          <t>JÄMTLANDS LÄN</t>
        </is>
      </c>
      <c r="E1431" t="inlineStr">
        <is>
          <t>BRÄCKE</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4822-2026</t>
        </is>
      </c>
      <c r="B1432" s="1" t="n">
        <v>46048</v>
      </c>
      <c r="C1432" s="1" t="n">
        <v>46200</v>
      </c>
      <c r="D1432" t="inlineStr">
        <is>
          <t>JÄMTLANDS LÄN</t>
        </is>
      </c>
      <c r="E1432" t="inlineStr">
        <is>
          <t>BRÄCKE</t>
        </is>
      </c>
      <c r="F1432" t="inlineStr">
        <is>
          <t>SCA</t>
        </is>
      </c>
      <c r="G1432" t="n">
        <v>20.9</v>
      </c>
      <c r="H1432" t="n">
        <v>0</v>
      </c>
      <c r="I1432" t="n">
        <v>0</v>
      </c>
      <c r="J1432" t="n">
        <v>0</v>
      </c>
      <c r="K1432" t="n">
        <v>0</v>
      </c>
      <c r="L1432" t="n">
        <v>0</v>
      </c>
      <c r="M1432" t="n">
        <v>0</v>
      </c>
      <c r="N1432" t="n">
        <v>0</v>
      </c>
      <c r="O1432" t="n">
        <v>0</v>
      </c>
      <c r="P1432" t="n">
        <v>0</v>
      </c>
      <c r="Q1432" t="n">
        <v>0</v>
      </c>
      <c r="R1432" s="2" t="inlineStr"/>
    </row>
    <row r="1433" ht="15" customHeight="1">
      <c r="A1433" t="inlineStr">
        <is>
          <t>A 4819-2026</t>
        </is>
      </c>
      <c r="B1433" s="1" t="n">
        <v>46048</v>
      </c>
      <c r="C1433" s="1" t="n">
        <v>46200</v>
      </c>
      <c r="D1433" t="inlineStr">
        <is>
          <t>JÄMTLANDS LÄN</t>
        </is>
      </c>
      <c r="E1433" t="inlineStr">
        <is>
          <t>BRÄCKE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4798-2026</t>
        </is>
      </c>
      <c r="B1434" s="1" t="n">
        <v>46048</v>
      </c>
      <c r="C1434" s="1" t="n">
        <v>46200</v>
      </c>
      <c r="D1434" t="inlineStr">
        <is>
          <t>JÄMTLANDS LÄN</t>
        </is>
      </c>
      <c r="E1434" t="inlineStr">
        <is>
          <t>BRÄCKE</t>
        </is>
      </c>
      <c r="F1434" t="inlineStr">
        <is>
          <t>SCA</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6346-2026</t>
        </is>
      </c>
      <c r="B1435" s="1" t="n">
        <v>46055</v>
      </c>
      <c r="C1435" s="1" t="n">
        <v>46200</v>
      </c>
      <c r="D1435" t="inlineStr">
        <is>
          <t>JÄMTLANDS LÄN</t>
        </is>
      </c>
      <c r="E1435" t="inlineStr">
        <is>
          <t>BRÄCKE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6334-2026</t>
        </is>
      </c>
      <c r="B1436" s="1" t="n">
        <v>46055</v>
      </c>
      <c r="C1436" s="1" t="n">
        <v>46200</v>
      </c>
      <c r="D1436" t="inlineStr">
        <is>
          <t>JÄMTLANDS LÄN</t>
        </is>
      </c>
      <c r="E1436" t="inlineStr">
        <is>
          <t>BRÄCKE</t>
        </is>
      </c>
      <c r="F1436" t="inlineStr">
        <is>
          <t>SCA</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5980-2026</t>
        </is>
      </c>
      <c r="B1437" s="1" t="n">
        <v>46052</v>
      </c>
      <c r="C1437" s="1" t="n">
        <v>46200</v>
      </c>
      <c r="D1437" t="inlineStr">
        <is>
          <t>JÄMTLANDS LÄN</t>
        </is>
      </c>
      <c r="E1437" t="inlineStr">
        <is>
          <t>BRÄCKE</t>
        </is>
      </c>
      <c r="F1437" t="inlineStr">
        <is>
          <t>SCA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6200-2026</t>
        </is>
      </c>
      <c r="B1438" s="1" t="n">
        <v>46055</v>
      </c>
      <c r="C1438" s="1" t="n">
        <v>46200</v>
      </c>
      <c r="D1438" t="inlineStr">
        <is>
          <t>JÄMTLANDS LÄN</t>
        </is>
      </c>
      <c r="E1438" t="inlineStr">
        <is>
          <t>BRÄCKE</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6830-2026</t>
        </is>
      </c>
      <c r="B1439" s="1" t="n">
        <v>46057</v>
      </c>
      <c r="C1439" s="1" t="n">
        <v>46200</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6796-2026</t>
        </is>
      </c>
      <c r="B1440" s="1" t="n">
        <v>46057</v>
      </c>
      <c r="C1440" s="1" t="n">
        <v>46200</v>
      </c>
      <c r="D1440" t="inlineStr">
        <is>
          <t>JÄMTLANDS LÄN</t>
        </is>
      </c>
      <c r="E1440" t="inlineStr">
        <is>
          <t>BRÄCKE</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6980-2026</t>
        </is>
      </c>
      <c r="B1441" s="1" t="n">
        <v>46057</v>
      </c>
      <c r="C1441" s="1" t="n">
        <v>46200</v>
      </c>
      <c r="D1441" t="inlineStr">
        <is>
          <t>JÄMTLANDS LÄN</t>
        </is>
      </c>
      <c r="E1441" t="inlineStr">
        <is>
          <t>BRÄCKE</t>
        </is>
      </c>
      <c r="G1441" t="n">
        <v>22.7</v>
      </c>
      <c r="H1441" t="n">
        <v>0</v>
      </c>
      <c r="I1441" t="n">
        <v>0</v>
      </c>
      <c r="J1441" t="n">
        <v>0</v>
      </c>
      <c r="K1441" t="n">
        <v>0</v>
      </c>
      <c r="L1441" t="n">
        <v>0</v>
      </c>
      <c r="M1441" t="n">
        <v>0</v>
      </c>
      <c r="N1441" t="n">
        <v>0</v>
      </c>
      <c r="O1441" t="n">
        <v>0</v>
      </c>
      <c r="P1441" t="n">
        <v>0</v>
      </c>
      <c r="Q1441" t="n">
        <v>0</v>
      </c>
      <c r="R1441" s="2" t="inlineStr"/>
    </row>
    <row r="1442" ht="15" customHeight="1">
      <c r="A1442" t="inlineStr">
        <is>
          <t>A 6986-2026</t>
        </is>
      </c>
      <c r="B1442" s="1" t="n">
        <v>46057</v>
      </c>
      <c r="C1442" s="1" t="n">
        <v>46200</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6545-2026</t>
        </is>
      </c>
      <c r="B1443" s="1" t="n">
        <v>46056</v>
      </c>
      <c r="C1443" s="1" t="n">
        <v>46200</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7527-2026</t>
        </is>
      </c>
      <c r="B1444" s="1" t="n">
        <v>46059</v>
      </c>
      <c r="C1444" s="1" t="n">
        <v>46200</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7305-2026</t>
        </is>
      </c>
      <c r="B1445" s="1" t="n">
        <v>46058</v>
      </c>
      <c r="C1445" s="1" t="n">
        <v>46200</v>
      </c>
      <c r="D1445" t="inlineStr">
        <is>
          <t>JÄMTLANDS LÄN</t>
        </is>
      </c>
      <c r="E1445" t="inlineStr">
        <is>
          <t>BRÄCKE</t>
        </is>
      </c>
      <c r="F1445" t="inlineStr">
        <is>
          <t>SCA</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7695-2026</t>
        </is>
      </c>
      <c r="B1446" s="1" t="n">
        <v>46062</v>
      </c>
      <c r="C1446" s="1" t="n">
        <v>46200</v>
      </c>
      <c r="D1446" t="inlineStr">
        <is>
          <t>JÄMTLANDS LÄN</t>
        </is>
      </c>
      <c r="E1446" t="inlineStr">
        <is>
          <t>BRÄCKE</t>
        </is>
      </c>
      <c r="F1446" t="inlineStr">
        <is>
          <t>SCA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7693-2026</t>
        </is>
      </c>
      <c r="B1447" s="1" t="n">
        <v>46062</v>
      </c>
      <c r="C1447" s="1" t="n">
        <v>46200</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7922-2026</t>
        </is>
      </c>
      <c r="B1448" s="1" t="n">
        <v>46063</v>
      </c>
      <c r="C1448" s="1" t="n">
        <v>46200</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8980-2026</t>
        </is>
      </c>
      <c r="B1449" s="1" t="n">
        <v>46069</v>
      </c>
      <c r="C1449" s="1" t="n">
        <v>46200</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9100-2026</t>
        </is>
      </c>
      <c r="B1450" s="1" t="n">
        <v>46069</v>
      </c>
      <c r="C1450" s="1" t="n">
        <v>46200</v>
      </c>
      <c r="D1450" t="inlineStr">
        <is>
          <t>JÄMTLANDS LÄN</t>
        </is>
      </c>
      <c r="E1450" t="inlineStr">
        <is>
          <t>BRÄCKE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8831-2026</t>
        </is>
      </c>
      <c r="B1451" s="1" t="n">
        <v>46066</v>
      </c>
      <c r="C1451" s="1" t="n">
        <v>46200</v>
      </c>
      <c r="D1451" t="inlineStr">
        <is>
          <t>JÄMTLANDS LÄN</t>
        </is>
      </c>
      <c r="E1451" t="inlineStr">
        <is>
          <t>BRÄCKE</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8835-2026</t>
        </is>
      </c>
      <c r="B1452" s="1" t="n">
        <v>46066</v>
      </c>
      <c r="C1452" s="1" t="n">
        <v>46200</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9111-2026</t>
        </is>
      </c>
      <c r="B1453" s="1" t="n">
        <v>46069</v>
      </c>
      <c r="C1453" s="1" t="n">
        <v>46200</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9576-2026</t>
        </is>
      </c>
      <c r="B1454" s="1" t="n">
        <v>46071</v>
      </c>
      <c r="C1454" s="1" t="n">
        <v>46200</v>
      </c>
      <c r="D1454" t="inlineStr">
        <is>
          <t>JÄMTLANDS LÄN</t>
        </is>
      </c>
      <c r="E1454" t="inlineStr">
        <is>
          <t>BRÄCKE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9631-2026</t>
        </is>
      </c>
      <c r="B1455" s="1" t="n">
        <v>46072</v>
      </c>
      <c r="C1455" s="1" t="n">
        <v>46200</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v>
      </c>
      <c r="C1456" s="1" t="n">
        <v>46200</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11161-2026</t>
        </is>
      </c>
      <c r="B1457" s="1" t="n">
        <v>46080</v>
      </c>
      <c r="C1457" s="1" t="n">
        <v>46200</v>
      </c>
      <c r="D1457" t="inlineStr">
        <is>
          <t>JÄMTLANDS LÄN</t>
        </is>
      </c>
      <c r="E1457" t="inlineStr">
        <is>
          <t>BRÄCKE</t>
        </is>
      </c>
      <c r="F1457" t="inlineStr">
        <is>
          <t>SCA</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11155-2026</t>
        </is>
      </c>
      <c r="B1458" s="1" t="n">
        <v>46080</v>
      </c>
      <c r="C1458" s="1" t="n">
        <v>46200</v>
      </c>
      <c r="D1458" t="inlineStr">
        <is>
          <t>JÄMTLANDS LÄN</t>
        </is>
      </c>
      <c r="E1458" t="inlineStr">
        <is>
          <t>BRÄCKE</t>
        </is>
      </c>
      <c r="F1458" t="inlineStr">
        <is>
          <t>Kyrkan</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11165-2026</t>
        </is>
      </c>
      <c r="B1459" s="1" t="n">
        <v>46080</v>
      </c>
      <c r="C1459" s="1" t="n">
        <v>46200</v>
      </c>
      <c r="D1459" t="inlineStr">
        <is>
          <t>JÄMTLANDS LÄN</t>
        </is>
      </c>
      <c r="E1459" t="inlineStr">
        <is>
          <t>BRÄCKE</t>
        </is>
      </c>
      <c r="F1459" t="inlineStr">
        <is>
          <t>Kyrkan</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11195-2026</t>
        </is>
      </c>
      <c r="B1460" s="1" t="n">
        <v>46080</v>
      </c>
      <c r="C1460" s="1" t="n">
        <v>46200</v>
      </c>
      <c r="D1460" t="inlineStr">
        <is>
          <t>JÄMTLANDS LÄN</t>
        </is>
      </c>
      <c r="E1460" t="inlineStr">
        <is>
          <t>BRÄCKE</t>
        </is>
      </c>
      <c r="F1460" t="inlineStr">
        <is>
          <t>SCA</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11703-2026</t>
        </is>
      </c>
      <c r="B1461" s="1" t="n">
        <v>46084</v>
      </c>
      <c r="C1461" s="1" t="n">
        <v>46200</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11441-2026</t>
        </is>
      </c>
      <c r="B1462" s="1" t="n">
        <v>46083</v>
      </c>
      <c r="C1462" s="1" t="n">
        <v>46200</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54799-2025</t>
        </is>
      </c>
      <c r="B1463" s="1" t="n">
        <v>45966</v>
      </c>
      <c r="C1463" s="1" t="n">
        <v>46200</v>
      </c>
      <c r="D1463" t="inlineStr">
        <is>
          <t>JÄMTLANDS LÄN</t>
        </is>
      </c>
      <c r="E1463" t="inlineStr">
        <is>
          <t>BRÄCKE</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11856-2026</t>
        </is>
      </c>
      <c r="B1464" s="1" t="n">
        <v>46085</v>
      </c>
      <c r="C1464" s="1" t="n">
        <v>46200</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12047-2026</t>
        </is>
      </c>
      <c r="B1465" s="1" t="n">
        <v>46086</v>
      </c>
      <c r="C1465" s="1" t="n">
        <v>46200</v>
      </c>
      <c r="D1465" t="inlineStr">
        <is>
          <t>JÄMTLANDS LÄN</t>
        </is>
      </c>
      <c r="E1465" t="inlineStr">
        <is>
          <t>BRÄCKE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12046-2026</t>
        </is>
      </c>
      <c r="B1466" s="1" t="n">
        <v>46086</v>
      </c>
      <c r="C1466" s="1" t="n">
        <v>46200</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13192-2026</t>
        </is>
      </c>
      <c r="B1467" s="1" t="n">
        <v>46093</v>
      </c>
      <c r="C1467" s="1" t="n">
        <v>46200</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13414-2026</t>
        </is>
      </c>
      <c r="B1468" s="1" t="n">
        <v>46094</v>
      </c>
      <c r="C1468" s="1" t="n">
        <v>46200</v>
      </c>
      <c r="D1468" t="inlineStr">
        <is>
          <t>JÄMTLANDS LÄN</t>
        </is>
      </c>
      <c r="E1468" t="inlineStr">
        <is>
          <t>BRÄCKE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13214-2026</t>
        </is>
      </c>
      <c r="B1469" s="1" t="n">
        <v>46093</v>
      </c>
      <c r="C1469" s="1" t="n">
        <v>46200</v>
      </c>
      <c r="D1469" t="inlineStr">
        <is>
          <t>JÄMTLANDS LÄN</t>
        </is>
      </c>
      <c r="E1469" t="inlineStr">
        <is>
          <t>BRÄCKE</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13128-2026</t>
        </is>
      </c>
      <c r="B1470" s="1" t="n">
        <v>46093</v>
      </c>
      <c r="C1470" s="1" t="n">
        <v>46200</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13250-2026</t>
        </is>
      </c>
      <c r="B1471" s="1" t="n">
        <v>46093</v>
      </c>
      <c r="C1471" s="1" t="n">
        <v>46200</v>
      </c>
      <c r="D1471" t="inlineStr">
        <is>
          <t>JÄMTLANDS LÄN</t>
        </is>
      </c>
      <c r="E1471" t="inlineStr">
        <is>
          <t>BRÄCKE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13542-2026</t>
        </is>
      </c>
      <c r="B1472" s="1" t="n">
        <v>46094</v>
      </c>
      <c r="C1472" s="1" t="n">
        <v>46200</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13835-2026</t>
        </is>
      </c>
      <c r="B1473" s="1" t="n">
        <v>46098</v>
      </c>
      <c r="C1473" s="1" t="n">
        <v>46200</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13970-2026</t>
        </is>
      </c>
      <c r="B1474" s="1" t="n">
        <v>46098</v>
      </c>
      <c r="C1474" s="1" t="n">
        <v>46200</v>
      </c>
      <c r="D1474" t="inlineStr">
        <is>
          <t>JÄMTLANDS LÄN</t>
        </is>
      </c>
      <c r="E1474" t="inlineStr">
        <is>
          <t>BRÄCKE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13783-2026</t>
        </is>
      </c>
      <c r="B1475" s="1" t="n">
        <v>46097</v>
      </c>
      <c r="C1475" s="1" t="n">
        <v>46200</v>
      </c>
      <c r="D1475" t="inlineStr">
        <is>
          <t>JÄMTLANDS LÄN</t>
        </is>
      </c>
      <c r="E1475" t="inlineStr">
        <is>
          <t>BRÄCKE</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14065-2026</t>
        </is>
      </c>
      <c r="B1476" s="1" t="n">
        <v>46099</v>
      </c>
      <c r="C1476" s="1" t="n">
        <v>46200</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14681-2026</t>
        </is>
      </c>
      <c r="B1477" s="1" t="n">
        <v>46101</v>
      </c>
      <c r="C1477" s="1" t="n">
        <v>46200</v>
      </c>
      <c r="D1477" t="inlineStr">
        <is>
          <t>JÄMTLANDS LÄN</t>
        </is>
      </c>
      <c r="E1477" t="inlineStr">
        <is>
          <t>BRÄCKE</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14626-2026</t>
        </is>
      </c>
      <c r="B1478" s="1" t="n">
        <v>46101</v>
      </c>
      <c r="C1478" s="1" t="n">
        <v>46200</v>
      </c>
      <c r="D1478" t="inlineStr">
        <is>
          <t>JÄMTLANDS LÄN</t>
        </is>
      </c>
      <c r="E1478" t="inlineStr">
        <is>
          <t>BRÄCKE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15653-2026</t>
        </is>
      </c>
      <c r="B1479" s="1" t="n">
        <v>46106</v>
      </c>
      <c r="C1479" s="1" t="n">
        <v>46200</v>
      </c>
      <c r="D1479" t="inlineStr">
        <is>
          <t>JÄMTLANDS LÄN</t>
        </is>
      </c>
      <c r="E1479" t="inlineStr">
        <is>
          <t>BRÄCKE</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15654-2026</t>
        </is>
      </c>
      <c r="B1480" s="1" t="n">
        <v>46106</v>
      </c>
      <c r="C1480" s="1" t="n">
        <v>46200</v>
      </c>
      <c r="D1480" t="inlineStr">
        <is>
          <t>JÄMTLANDS LÄN</t>
        </is>
      </c>
      <c r="E1480" t="inlineStr">
        <is>
          <t>BRÄCKE</t>
        </is>
      </c>
      <c r="F1480" t="inlineStr">
        <is>
          <t>SCA</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15214-2026</t>
        </is>
      </c>
      <c r="B1481" s="1" t="n">
        <v>46105</v>
      </c>
      <c r="C1481" s="1" t="n">
        <v>46200</v>
      </c>
      <c r="D1481" t="inlineStr">
        <is>
          <t>JÄMTLANDS LÄN</t>
        </is>
      </c>
      <c r="E1481" t="inlineStr">
        <is>
          <t>BRÄCKE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15876-2026</t>
        </is>
      </c>
      <c r="B1482" s="1" t="n">
        <v>46107</v>
      </c>
      <c r="C1482" s="1" t="n">
        <v>46200</v>
      </c>
      <c r="D1482" t="inlineStr">
        <is>
          <t>JÄMTLANDS LÄN</t>
        </is>
      </c>
      <c r="E1482" t="inlineStr">
        <is>
          <t>BRÄCKE</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16089-2026</t>
        </is>
      </c>
      <c r="B1483" s="1" t="n">
        <v>46108</v>
      </c>
      <c r="C1483" s="1" t="n">
        <v>46200</v>
      </c>
      <c r="D1483" t="inlineStr">
        <is>
          <t>JÄMTLANDS LÄN</t>
        </is>
      </c>
      <c r="E1483" t="inlineStr">
        <is>
          <t>BRÄCKE</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16645-2026</t>
        </is>
      </c>
      <c r="B1484" s="1" t="n">
        <v>46112</v>
      </c>
      <c r="C1484" s="1" t="n">
        <v>46200</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16457-2026</t>
        </is>
      </c>
      <c r="B1485" s="1" t="n">
        <v>46112</v>
      </c>
      <c r="C1485" s="1" t="n">
        <v>46200</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16987-2026</t>
        </is>
      </c>
      <c r="B1486" s="1" t="n">
        <v>46114</v>
      </c>
      <c r="C1486" s="1" t="n">
        <v>46200</v>
      </c>
      <c r="D1486" t="inlineStr">
        <is>
          <t>JÄMTLANDS LÄN</t>
        </is>
      </c>
      <c r="E1486" t="inlineStr">
        <is>
          <t>BRÄCKE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16946-2026</t>
        </is>
      </c>
      <c r="B1487" s="1" t="n">
        <v>46113</v>
      </c>
      <c r="C1487" s="1" t="n">
        <v>46200</v>
      </c>
      <c r="D1487" t="inlineStr">
        <is>
          <t>JÄMTLANDS LÄN</t>
        </is>
      </c>
      <c r="E1487" t="inlineStr">
        <is>
          <t>BRÄCKE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17005-2026</t>
        </is>
      </c>
      <c r="B1488" s="1" t="n">
        <v>46114</v>
      </c>
      <c r="C1488" s="1" t="n">
        <v>46200</v>
      </c>
      <c r="D1488" t="inlineStr">
        <is>
          <t>JÄMTLANDS LÄN</t>
        </is>
      </c>
      <c r="E1488" t="inlineStr">
        <is>
          <t>BRÄCKE</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16838-2026</t>
        </is>
      </c>
      <c r="B1489" s="1" t="n">
        <v>46113</v>
      </c>
      <c r="C1489" s="1" t="n">
        <v>46200</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17066-2026</t>
        </is>
      </c>
      <c r="B1490" s="1" t="n">
        <v>46114</v>
      </c>
      <c r="C1490" s="1" t="n">
        <v>46200</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16923-2026</t>
        </is>
      </c>
      <c r="B1491" s="1" t="n">
        <v>46113</v>
      </c>
      <c r="C1491" s="1" t="n">
        <v>46200</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16927-2026</t>
        </is>
      </c>
      <c r="B1492" s="1" t="n">
        <v>46113</v>
      </c>
      <c r="C1492" s="1" t="n">
        <v>46200</v>
      </c>
      <c r="D1492" t="inlineStr">
        <is>
          <t>JÄMTLANDS LÄN</t>
        </is>
      </c>
      <c r="E1492" t="inlineStr">
        <is>
          <t>BRÄCKE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16914-2026</t>
        </is>
      </c>
      <c r="B1493" s="1" t="n">
        <v>46113</v>
      </c>
      <c r="C1493" s="1" t="n">
        <v>46200</v>
      </c>
      <c r="D1493" t="inlineStr">
        <is>
          <t>JÄMTLANDS LÄN</t>
        </is>
      </c>
      <c r="E1493" t="inlineStr">
        <is>
          <t>BRÄCKE</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16945-2026</t>
        </is>
      </c>
      <c r="B1494" s="1" t="n">
        <v>46113</v>
      </c>
      <c r="C1494" s="1" t="n">
        <v>46200</v>
      </c>
      <c r="D1494" t="inlineStr">
        <is>
          <t>JÄMTLANDS LÄN</t>
        </is>
      </c>
      <c r="E1494" t="inlineStr">
        <is>
          <t>BRÄCKE</t>
        </is>
      </c>
      <c r="G1494" t="n">
        <v>15.8</v>
      </c>
      <c r="H1494" t="n">
        <v>0</v>
      </c>
      <c r="I1494" t="n">
        <v>0</v>
      </c>
      <c r="J1494" t="n">
        <v>0</v>
      </c>
      <c r="K1494" t="n">
        <v>0</v>
      </c>
      <c r="L1494" t="n">
        <v>0</v>
      </c>
      <c r="M1494" t="n">
        <v>0</v>
      </c>
      <c r="N1494" t="n">
        <v>0</v>
      </c>
      <c r="O1494" t="n">
        <v>0</v>
      </c>
      <c r="P1494" t="n">
        <v>0</v>
      </c>
      <c r="Q1494" t="n">
        <v>0</v>
      </c>
      <c r="R1494" s="2" t="inlineStr"/>
    </row>
    <row r="1495" ht="15" customHeight="1">
      <c r="A1495" t="inlineStr">
        <is>
          <t>A 17053-2026</t>
        </is>
      </c>
      <c r="B1495" s="1" t="n">
        <v>46114</v>
      </c>
      <c r="C1495" s="1" t="n">
        <v>46200</v>
      </c>
      <c r="D1495" t="inlineStr">
        <is>
          <t>JÄMTLANDS LÄN</t>
        </is>
      </c>
      <c r="E1495" t="inlineStr">
        <is>
          <t>BRÄCKE</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16921-2026</t>
        </is>
      </c>
      <c r="B1496" s="1" t="n">
        <v>46113</v>
      </c>
      <c r="C1496" s="1" t="n">
        <v>46200</v>
      </c>
      <c r="D1496" t="inlineStr">
        <is>
          <t>JÄMTLANDS LÄN</t>
        </is>
      </c>
      <c r="E1496" t="inlineStr">
        <is>
          <t>BRÄCKE</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16988-2026</t>
        </is>
      </c>
      <c r="B1497" s="1" t="n">
        <v>46114</v>
      </c>
      <c r="C1497" s="1" t="n">
        <v>46200</v>
      </c>
      <c r="D1497" t="inlineStr">
        <is>
          <t>JÄMTLANDS LÄN</t>
        </is>
      </c>
      <c r="E1497" t="inlineStr">
        <is>
          <t>BRÄCKE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23000-2026</t>
        </is>
      </c>
      <c r="B1498" s="1" t="n">
        <v>46160</v>
      </c>
      <c r="C1498" s="1" t="n">
        <v>46200</v>
      </c>
      <c r="D1498" t="inlineStr">
        <is>
          <t>JÄMTLANDS LÄN</t>
        </is>
      </c>
      <c r="E1498" t="inlineStr">
        <is>
          <t>BRÄCKE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22999-2026</t>
        </is>
      </c>
      <c r="B1499" s="1" t="n">
        <v>46160</v>
      </c>
      <c r="C1499" s="1" t="n">
        <v>46200</v>
      </c>
      <c r="D1499" t="inlineStr">
        <is>
          <t>JÄMTLANDS LÄN</t>
        </is>
      </c>
      <c r="E1499" t="inlineStr">
        <is>
          <t>BRÄCKE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23043-2026</t>
        </is>
      </c>
      <c r="B1500" s="1" t="n">
        <v>46161</v>
      </c>
      <c r="C1500" s="1" t="n">
        <v>46200</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17424-2026</t>
        </is>
      </c>
      <c r="B1501" s="1" t="n">
        <v>46120</v>
      </c>
      <c r="C1501" s="1" t="n">
        <v>46200</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17302-2026</t>
        </is>
      </c>
      <c r="B1502" s="1" t="n">
        <v>46119</v>
      </c>
      <c r="C1502" s="1" t="n">
        <v>46200</v>
      </c>
      <c r="D1502" t="inlineStr">
        <is>
          <t>JÄMTLANDS LÄN</t>
        </is>
      </c>
      <c r="E1502" t="inlineStr">
        <is>
          <t>BRÄCKE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17429-2026</t>
        </is>
      </c>
      <c r="B1503" s="1" t="n">
        <v>46120</v>
      </c>
      <c r="C1503" s="1" t="n">
        <v>46200</v>
      </c>
      <c r="D1503" t="inlineStr">
        <is>
          <t>JÄMTLANDS LÄN</t>
        </is>
      </c>
      <c r="E1503" t="inlineStr">
        <is>
          <t>BRÄCKE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23781-2026</t>
        </is>
      </c>
      <c r="B1504" s="1" t="n">
        <v>46164</v>
      </c>
      <c r="C1504" s="1" t="n">
        <v>46200</v>
      </c>
      <c r="D1504" t="inlineStr">
        <is>
          <t>JÄMTLANDS LÄN</t>
        </is>
      </c>
      <c r="E1504" t="inlineStr">
        <is>
          <t>BRÄCKE</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23069-2026</t>
        </is>
      </c>
      <c r="B1505" s="1" t="n">
        <v>46161</v>
      </c>
      <c r="C1505" s="1" t="n">
        <v>46200</v>
      </c>
      <c r="D1505" t="inlineStr">
        <is>
          <t>JÄMTLANDS LÄN</t>
        </is>
      </c>
      <c r="E1505" t="inlineStr">
        <is>
          <t>BRÄCKE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23648-2026</t>
        </is>
      </c>
      <c r="B1506" s="1" t="n">
        <v>46164</v>
      </c>
      <c r="C1506" s="1" t="n">
        <v>46200</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23657-2026</t>
        </is>
      </c>
      <c r="B1507" s="1" t="n">
        <v>46164</v>
      </c>
      <c r="C1507" s="1" t="n">
        <v>46200</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23508-2026</t>
        </is>
      </c>
      <c r="B1508" s="1" t="n">
        <v>46163</v>
      </c>
      <c r="C1508" s="1" t="n">
        <v>46200</v>
      </c>
      <c r="D1508" t="inlineStr">
        <is>
          <t>JÄMTLANDS LÄN</t>
        </is>
      </c>
      <c r="E1508" t="inlineStr">
        <is>
          <t>BRÄCKE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23784-2026</t>
        </is>
      </c>
      <c r="B1509" s="1" t="n">
        <v>46164</v>
      </c>
      <c r="C1509" s="1" t="n">
        <v>46200</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23589-2026</t>
        </is>
      </c>
      <c r="B1510" s="1" t="n">
        <v>46163</v>
      </c>
      <c r="C1510" s="1" t="n">
        <v>46200</v>
      </c>
      <c r="D1510" t="inlineStr">
        <is>
          <t>JÄMTLANDS LÄN</t>
        </is>
      </c>
      <c r="E1510" t="inlineStr">
        <is>
          <t>BRÄCKE</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17597-2026</t>
        </is>
      </c>
      <c r="B1511" s="1" t="n">
        <v>46121</v>
      </c>
      <c r="C1511" s="1" t="n">
        <v>46200</v>
      </c>
      <c r="D1511" t="inlineStr">
        <is>
          <t>JÄMTLANDS LÄN</t>
        </is>
      </c>
      <c r="E1511" t="inlineStr">
        <is>
          <t>BRÄCKE</t>
        </is>
      </c>
      <c r="F1511" t="inlineStr">
        <is>
          <t>SCA</t>
        </is>
      </c>
      <c r="G1511" t="n">
        <v>21.2</v>
      </c>
      <c r="H1511" t="n">
        <v>0</v>
      </c>
      <c r="I1511" t="n">
        <v>0</v>
      </c>
      <c r="J1511" t="n">
        <v>0</v>
      </c>
      <c r="K1511" t="n">
        <v>0</v>
      </c>
      <c r="L1511" t="n">
        <v>0</v>
      </c>
      <c r="M1511" t="n">
        <v>0</v>
      </c>
      <c r="N1511" t="n">
        <v>0</v>
      </c>
      <c r="O1511" t="n">
        <v>0</v>
      </c>
      <c r="P1511" t="n">
        <v>0</v>
      </c>
      <c r="Q1511" t="n">
        <v>0</v>
      </c>
      <c r="R1511" s="2" t="inlineStr"/>
    </row>
    <row r="1512" ht="15" customHeight="1">
      <c r="A1512" t="inlineStr">
        <is>
          <t>A 18394-2026</t>
        </is>
      </c>
      <c r="B1512" s="1" t="n">
        <v>46126</v>
      </c>
      <c r="C1512" s="1" t="n">
        <v>46200</v>
      </c>
      <c r="D1512" t="inlineStr">
        <is>
          <t>JÄMTLANDS LÄN</t>
        </is>
      </c>
      <c r="E1512" t="inlineStr">
        <is>
          <t>BRÄCKE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24211-2026</t>
        </is>
      </c>
      <c r="B1513" s="1" t="n">
        <v>46168</v>
      </c>
      <c r="C1513" s="1" t="n">
        <v>46200</v>
      </c>
      <c r="D1513" t="inlineStr">
        <is>
          <t>JÄMTLANDS LÄN</t>
        </is>
      </c>
      <c r="E1513" t="inlineStr">
        <is>
          <t>BRÄCKE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24181-2026</t>
        </is>
      </c>
      <c r="B1514" s="1" t="n">
        <v>46168</v>
      </c>
      <c r="C1514" s="1" t="n">
        <v>46200</v>
      </c>
      <c r="D1514" t="inlineStr">
        <is>
          <t>JÄMTLANDS LÄN</t>
        </is>
      </c>
      <c r="E1514" t="inlineStr">
        <is>
          <t>BRÄCKE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24060-2026</t>
        </is>
      </c>
      <c r="B1515" s="1" t="n">
        <v>46168</v>
      </c>
      <c r="C1515" s="1" t="n">
        <v>46200</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23865-2026</t>
        </is>
      </c>
      <c r="B1516" s="1" t="n">
        <v>46167</v>
      </c>
      <c r="C1516" s="1" t="n">
        <v>46200</v>
      </c>
      <c r="D1516" t="inlineStr">
        <is>
          <t>JÄMTLANDS LÄN</t>
        </is>
      </c>
      <c r="E1516" t="inlineStr">
        <is>
          <t>BRÄCKE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24102-2026</t>
        </is>
      </c>
      <c r="B1517" s="1" t="n">
        <v>46168</v>
      </c>
      <c r="C1517" s="1" t="n">
        <v>46200</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24643-2026</t>
        </is>
      </c>
      <c r="B1518" s="1" t="n">
        <v>46171</v>
      </c>
      <c r="C1518" s="1" t="n">
        <v>46200</v>
      </c>
      <c r="D1518" t="inlineStr">
        <is>
          <t>JÄMTLANDS LÄN</t>
        </is>
      </c>
      <c r="E1518" t="inlineStr">
        <is>
          <t>BRÄCKE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24645-2026</t>
        </is>
      </c>
      <c r="B1519" s="1" t="n">
        <v>46171</v>
      </c>
      <c r="C1519" s="1" t="n">
        <v>46200</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24368-2026</t>
        </is>
      </c>
      <c r="B1520" s="1" t="n">
        <v>46169</v>
      </c>
      <c r="C1520" s="1" t="n">
        <v>46200</v>
      </c>
      <c r="D1520" t="inlineStr">
        <is>
          <t>JÄMTLANDS LÄN</t>
        </is>
      </c>
      <c r="E1520" t="inlineStr">
        <is>
          <t>BRÄCKE</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24585-2026</t>
        </is>
      </c>
      <c r="B1521" s="1" t="n">
        <v>46170</v>
      </c>
      <c r="C1521" s="1" t="n">
        <v>46200</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24326-2026</t>
        </is>
      </c>
      <c r="B1522" s="1" t="n">
        <v>46169</v>
      </c>
      <c r="C1522" s="1" t="n">
        <v>46200</v>
      </c>
      <c r="D1522" t="inlineStr">
        <is>
          <t>JÄMTLANDS LÄN</t>
        </is>
      </c>
      <c r="E1522" t="inlineStr">
        <is>
          <t>BRÄCKE</t>
        </is>
      </c>
      <c r="F1522" t="inlineStr">
        <is>
          <t>SCA</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24746-2026</t>
        </is>
      </c>
      <c r="B1523" s="1" t="n">
        <v>46171</v>
      </c>
      <c r="C1523" s="1" t="n">
        <v>46200</v>
      </c>
      <c r="D1523" t="inlineStr">
        <is>
          <t>JÄMTLANDS LÄN</t>
        </is>
      </c>
      <c r="E1523" t="inlineStr">
        <is>
          <t>BRÄCKE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18594-2026</t>
        </is>
      </c>
      <c r="B1524" s="1" t="n">
        <v>46127</v>
      </c>
      <c r="C1524" s="1" t="n">
        <v>46200</v>
      </c>
      <c r="D1524" t="inlineStr">
        <is>
          <t>JÄMTLANDS LÄN</t>
        </is>
      </c>
      <c r="E1524" t="inlineStr">
        <is>
          <t>BRÄCKE</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24387-2026</t>
        </is>
      </c>
      <c r="B1525" s="1" t="n">
        <v>46169</v>
      </c>
      <c r="C1525" s="1" t="n">
        <v>46200</v>
      </c>
      <c r="D1525" t="inlineStr">
        <is>
          <t>JÄMTLANDS LÄN</t>
        </is>
      </c>
      <c r="E1525" t="inlineStr">
        <is>
          <t>BRÄCKE</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24630-2026</t>
        </is>
      </c>
      <c r="B1526" s="1" t="n">
        <v>46171</v>
      </c>
      <c r="C1526" s="1" t="n">
        <v>46200</v>
      </c>
      <c r="D1526" t="inlineStr">
        <is>
          <t>JÄMTLANDS LÄN</t>
        </is>
      </c>
      <c r="E1526" t="inlineStr">
        <is>
          <t>BRÄCKE</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24582-2026</t>
        </is>
      </c>
      <c r="B1527" s="1" t="n">
        <v>46170</v>
      </c>
      <c r="C1527" s="1" t="n">
        <v>46200</v>
      </c>
      <c r="D1527" t="inlineStr">
        <is>
          <t>JÄMTLANDS LÄN</t>
        </is>
      </c>
      <c r="E1527" t="inlineStr">
        <is>
          <t>BRÄCKE</t>
        </is>
      </c>
      <c r="F1527" t="inlineStr">
        <is>
          <t>SCA</t>
        </is>
      </c>
      <c r="G1527" t="n">
        <v>25.4</v>
      </c>
      <c r="H1527" t="n">
        <v>0</v>
      </c>
      <c r="I1527" t="n">
        <v>0</v>
      </c>
      <c r="J1527" t="n">
        <v>0</v>
      </c>
      <c r="K1527" t="n">
        <v>0</v>
      </c>
      <c r="L1527" t="n">
        <v>0</v>
      </c>
      <c r="M1527" t="n">
        <v>0</v>
      </c>
      <c r="N1527" t="n">
        <v>0</v>
      </c>
      <c r="O1527" t="n">
        <v>0</v>
      </c>
      <c r="P1527" t="n">
        <v>0</v>
      </c>
      <c r="Q1527" t="n">
        <v>0</v>
      </c>
      <c r="R1527" s="2" t="inlineStr"/>
    </row>
    <row r="1528" ht="15" customHeight="1">
      <c r="A1528" t="inlineStr">
        <is>
          <t>A 24263-2026</t>
        </is>
      </c>
      <c r="B1528" s="1" t="n">
        <v>46169</v>
      </c>
      <c r="C1528" s="1" t="n">
        <v>46200</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23724-2026</t>
        </is>
      </c>
      <c r="B1529" s="1" t="n">
        <v>46164</v>
      </c>
      <c r="C1529" s="1" t="n">
        <v>46200</v>
      </c>
      <c r="D1529" t="inlineStr">
        <is>
          <t>JÄMTLANDS LÄN</t>
        </is>
      </c>
      <c r="E1529" t="inlineStr">
        <is>
          <t>BRÄCKE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24756-2026</t>
        </is>
      </c>
      <c r="B1530" s="1" t="n">
        <v>46171</v>
      </c>
      <c r="C1530" s="1" t="n">
        <v>46200</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24384-2026</t>
        </is>
      </c>
      <c r="B1531" s="1" t="n">
        <v>46169</v>
      </c>
      <c r="C1531" s="1" t="n">
        <v>46200</v>
      </c>
      <c r="D1531" t="inlineStr">
        <is>
          <t>JÄMTLANDS LÄN</t>
        </is>
      </c>
      <c r="E1531" t="inlineStr">
        <is>
          <t>BRÄCKE</t>
        </is>
      </c>
      <c r="F1531" t="inlineStr">
        <is>
          <t>SCA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24385-2026</t>
        </is>
      </c>
      <c r="B1532" s="1" t="n">
        <v>46169</v>
      </c>
      <c r="C1532" s="1" t="n">
        <v>46200</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24999-2026</t>
        </is>
      </c>
      <c r="B1533" s="1" t="n">
        <v>46174</v>
      </c>
      <c r="C1533" s="1" t="n">
        <v>46200</v>
      </c>
      <c r="D1533" t="inlineStr">
        <is>
          <t>JÄMTLANDS LÄN</t>
        </is>
      </c>
      <c r="E1533" t="inlineStr">
        <is>
          <t>BRÄCKE</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25000-2026</t>
        </is>
      </c>
      <c r="B1534" s="1" t="n">
        <v>46174</v>
      </c>
      <c r="C1534" s="1" t="n">
        <v>46200</v>
      </c>
      <c r="D1534" t="inlineStr">
        <is>
          <t>JÄMTLANDS LÄN</t>
        </is>
      </c>
      <c r="E1534" t="inlineStr">
        <is>
          <t>BRÄCKE</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19365-2026</t>
        </is>
      </c>
      <c r="B1535" s="1" t="n">
        <v>46133</v>
      </c>
      <c r="C1535" s="1" t="n">
        <v>46200</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25252-2026</t>
        </is>
      </c>
      <c r="B1536" s="1" t="n">
        <v>46175</v>
      </c>
      <c r="C1536" s="1" t="n">
        <v>46200</v>
      </c>
      <c r="D1536" t="inlineStr">
        <is>
          <t>JÄMTLANDS LÄN</t>
        </is>
      </c>
      <c r="E1536" t="inlineStr">
        <is>
          <t>BRÄCKE</t>
        </is>
      </c>
      <c r="F1536" t="inlineStr">
        <is>
          <t>Kyrkan</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19287-2026</t>
        </is>
      </c>
      <c r="B1537" s="1" t="n">
        <v>46133</v>
      </c>
      <c r="C1537" s="1" t="n">
        <v>46200</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19119-2026</t>
        </is>
      </c>
      <c r="B1538" s="1" t="n">
        <v>46132</v>
      </c>
      <c r="C1538" s="1" t="n">
        <v>46200</v>
      </c>
      <c r="D1538" t="inlineStr">
        <is>
          <t>JÄMTLANDS LÄN</t>
        </is>
      </c>
      <c r="E1538" t="inlineStr">
        <is>
          <t>BRÄCKE</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25298-2026</t>
        </is>
      </c>
      <c r="B1539" s="1" t="n">
        <v>46176</v>
      </c>
      <c r="C1539" s="1" t="n">
        <v>46200</v>
      </c>
      <c r="D1539" t="inlineStr">
        <is>
          <t>JÄMTLANDS LÄN</t>
        </is>
      </c>
      <c r="E1539" t="inlineStr">
        <is>
          <t>BRÄCKE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19389-2026</t>
        </is>
      </c>
      <c r="B1540" s="1" t="n">
        <v>46133</v>
      </c>
      <c r="C1540" s="1" t="n">
        <v>46200</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25299-2026</t>
        </is>
      </c>
      <c r="B1541" s="1" t="n">
        <v>46176</v>
      </c>
      <c r="C1541" s="1" t="n">
        <v>46200</v>
      </c>
      <c r="D1541" t="inlineStr">
        <is>
          <t>JÄMTLANDS LÄN</t>
        </is>
      </c>
      <c r="E1541" t="inlineStr">
        <is>
          <t>BRÄCKE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19571-2026</t>
        </is>
      </c>
      <c r="B1542" s="1" t="n">
        <v>46134</v>
      </c>
      <c r="C1542" s="1" t="n">
        <v>46200</v>
      </c>
      <c r="D1542" t="inlineStr">
        <is>
          <t>JÄMTLANDS LÄN</t>
        </is>
      </c>
      <c r="E1542" t="inlineStr">
        <is>
          <t>BRÄCKE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19757-2026</t>
        </is>
      </c>
      <c r="B1543" s="1" t="n">
        <v>46135</v>
      </c>
      <c r="C1543" s="1" t="n">
        <v>46200</v>
      </c>
      <c r="D1543" t="inlineStr">
        <is>
          <t>JÄMTLANDS LÄN</t>
        </is>
      </c>
      <c r="E1543" t="inlineStr">
        <is>
          <t>BRÄCKE</t>
        </is>
      </c>
      <c r="F1543" t="inlineStr">
        <is>
          <t>SCA</t>
        </is>
      </c>
      <c r="G1543" t="n">
        <v>14.8</v>
      </c>
      <c r="H1543" t="n">
        <v>0</v>
      </c>
      <c r="I1543" t="n">
        <v>0</v>
      </c>
      <c r="J1543" t="n">
        <v>0</v>
      </c>
      <c r="K1543" t="n">
        <v>0</v>
      </c>
      <c r="L1543" t="n">
        <v>0</v>
      </c>
      <c r="M1543" t="n">
        <v>0</v>
      </c>
      <c r="N1543" t="n">
        <v>0</v>
      </c>
      <c r="O1543" t="n">
        <v>0</v>
      </c>
      <c r="P1543" t="n">
        <v>0</v>
      </c>
      <c r="Q1543" t="n">
        <v>0</v>
      </c>
      <c r="R1543" s="2" t="inlineStr"/>
    </row>
    <row r="1544" ht="15" customHeight="1">
      <c r="A1544" t="inlineStr">
        <is>
          <t>A 25350-2026</t>
        </is>
      </c>
      <c r="B1544" s="1" t="n">
        <v>46176</v>
      </c>
      <c r="C1544" s="1" t="n">
        <v>46200</v>
      </c>
      <c r="D1544" t="inlineStr">
        <is>
          <t>JÄMTLANDS LÄN</t>
        </is>
      </c>
      <c r="E1544" t="inlineStr">
        <is>
          <t>BRÄCKE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25553-2026</t>
        </is>
      </c>
      <c r="B1545" s="1" t="n">
        <v>46177</v>
      </c>
      <c r="C1545" s="1" t="n">
        <v>46200</v>
      </c>
      <c r="D1545" t="inlineStr">
        <is>
          <t>JÄMTLANDS LÄN</t>
        </is>
      </c>
      <c r="E1545" t="inlineStr">
        <is>
          <t>BRÄCKE</t>
        </is>
      </c>
      <c r="F1545" t="inlineStr">
        <is>
          <t>SCA</t>
        </is>
      </c>
      <c r="G1545" t="n">
        <v>13.5</v>
      </c>
      <c r="H1545" t="n">
        <v>0</v>
      </c>
      <c r="I1545" t="n">
        <v>0</v>
      </c>
      <c r="J1545" t="n">
        <v>0</v>
      </c>
      <c r="K1545" t="n">
        <v>0</v>
      </c>
      <c r="L1545" t="n">
        <v>0</v>
      </c>
      <c r="M1545" t="n">
        <v>0</v>
      </c>
      <c r="N1545" t="n">
        <v>0</v>
      </c>
      <c r="O1545" t="n">
        <v>0</v>
      </c>
      <c r="P1545" t="n">
        <v>0</v>
      </c>
      <c r="Q1545" t="n">
        <v>0</v>
      </c>
      <c r="R1545" s="2" t="inlineStr"/>
    </row>
    <row r="1546" ht="15" customHeight="1">
      <c r="A1546" t="inlineStr">
        <is>
          <t>A 25463-2026</t>
        </is>
      </c>
      <c r="B1546" s="1" t="n">
        <v>46177</v>
      </c>
      <c r="C1546" s="1" t="n">
        <v>46200</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25631-2026</t>
        </is>
      </c>
      <c r="B1547" s="1" t="n">
        <v>46177</v>
      </c>
      <c r="C1547" s="1" t="n">
        <v>46200</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19761-2026</t>
        </is>
      </c>
      <c r="B1548" s="1" t="n">
        <v>46135</v>
      </c>
      <c r="C1548" s="1" t="n">
        <v>46200</v>
      </c>
      <c r="D1548" t="inlineStr">
        <is>
          <t>JÄMTLANDS LÄN</t>
        </is>
      </c>
      <c r="E1548" t="inlineStr">
        <is>
          <t>BRÄCKE</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25464-2026</t>
        </is>
      </c>
      <c r="B1549" s="1" t="n">
        <v>46177</v>
      </c>
      <c r="C1549" s="1" t="n">
        <v>46200</v>
      </c>
      <c r="D1549" t="inlineStr">
        <is>
          <t>JÄMTLANDS LÄN</t>
        </is>
      </c>
      <c r="E1549" t="inlineStr">
        <is>
          <t>BRÄCKE</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52022-2022</t>
        </is>
      </c>
      <c r="B1550" s="1" t="n">
        <v>44872</v>
      </c>
      <c r="C1550" s="1" t="n">
        <v>46200</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49291-2024</t>
        </is>
      </c>
      <c r="B1551" s="1" t="n">
        <v>45595</v>
      </c>
      <c r="C1551" s="1" t="n">
        <v>46200</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20256-2026</t>
        </is>
      </c>
      <c r="B1552" s="1" t="n">
        <v>46139</v>
      </c>
      <c r="C1552" s="1" t="n">
        <v>46200</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38329-2025</t>
        </is>
      </c>
      <c r="B1553" s="1" t="n">
        <v>45883</v>
      </c>
      <c r="C1553" s="1" t="n">
        <v>46200</v>
      </c>
      <c r="D1553" t="inlineStr">
        <is>
          <t>JÄMTLANDS LÄN</t>
        </is>
      </c>
      <c r="E1553" t="inlineStr">
        <is>
          <t>BRÄCKE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52723-2023</t>
        </is>
      </c>
      <c r="B1554" s="1" t="n">
        <v>45225</v>
      </c>
      <c r="C1554" s="1" t="n">
        <v>46200</v>
      </c>
      <c r="D1554" t="inlineStr">
        <is>
          <t>JÄMTLANDS LÄN</t>
        </is>
      </c>
      <c r="E1554" t="inlineStr">
        <is>
          <t>BRÄCKE</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40757-2025</t>
        </is>
      </c>
      <c r="B1555" s="1" t="n">
        <v>45897</v>
      </c>
      <c r="C1555" s="1" t="n">
        <v>46200</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38956-2021</t>
        </is>
      </c>
      <c r="B1556" s="1" t="n">
        <v>44411</v>
      </c>
      <c r="C1556" s="1" t="n">
        <v>46200</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52760-2023</t>
        </is>
      </c>
      <c r="B1557" s="1" t="n">
        <v>45225</v>
      </c>
      <c r="C1557" s="1" t="n">
        <v>46200</v>
      </c>
      <c r="D1557" t="inlineStr">
        <is>
          <t>JÄMTLANDS LÄN</t>
        </is>
      </c>
      <c r="E1557" t="inlineStr">
        <is>
          <t>BRÄCKE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19913-2026</t>
        </is>
      </c>
      <c r="B1558" s="1" t="n">
        <v>46136</v>
      </c>
      <c r="C1558" s="1" t="n">
        <v>46200</v>
      </c>
      <c r="D1558" t="inlineStr">
        <is>
          <t>JÄMTLANDS LÄN</t>
        </is>
      </c>
      <c r="E1558" t="inlineStr">
        <is>
          <t>BRÄCKE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17907-2025</t>
        </is>
      </c>
      <c r="B1559" s="1" t="n">
        <v>45758</v>
      </c>
      <c r="C1559" s="1" t="n">
        <v>46200</v>
      </c>
      <c r="D1559" t="inlineStr">
        <is>
          <t>JÄMTLANDS LÄN</t>
        </is>
      </c>
      <c r="E1559" t="inlineStr">
        <is>
          <t>BRÄCKE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20374-2026</t>
        </is>
      </c>
      <c r="B1560" s="1" t="n">
        <v>46139</v>
      </c>
      <c r="C1560" s="1" t="n">
        <v>46200</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53138-2025</t>
        </is>
      </c>
      <c r="B1561" s="1" t="n">
        <v>45958</v>
      </c>
      <c r="C1561" s="1" t="n">
        <v>46200</v>
      </c>
      <c r="D1561" t="inlineStr">
        <is>
          <t>JÄMTLANDS LÄN</t>
        </is>
      </c>
      <c r="E1561" t="inlineStr">
        <is>
          <t>BRÄCKE</t>
        </is>
      </c>
      <c r="F1561" t="inlineStr">
        <is>
          <t>Övriga Aktiebolag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14548-2026</t>
        </is>
      </c>
      <c r="B1562" s="1" t="n">
        <v>46100</v>
      </c>
      <c r="C1562" s="1" t="n">
        <v>46200</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13095-2025</t>
        </is>
      </c>
      <c r="B1563" s="1" t="n">
        <v>45734</v>
      </c>
      <c r="C1563" s="1" t="n">
        <v>46200</v>
      </c>
      <c r="D1563" t="inlineStr">
        <is>
          <t>JÄMTLANDS LÄN</t>
        </is>
      </c>
      <c r="E1563" t="inlineStr">
        <is>
          <t>BRÄCKE</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15779-2025</t>
        </is>
      </c>
      <c r="B1564" s="1" t="n">
        <v>45748</v>
      </c>
      <c r="C1564" s="1" t="n">
        <v>46200</v>
      </c>
      <c r="D1564" t="inlineStr">
        <is>
          <t>JÄMTLANDS LÄN</t>
        </is>
      </c>
      <c r="E1564" t="inlineStr">
        <is>
          <t>BRÄCKE</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24454-2025</t>
        </is>
      </c>
      <c r="B1565" s="1" t="n">
        <v>45798</v>
      </c>
      <c r="C1565" s="1" t="n">
        <v>46200</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3996-2026</t>
        </is>
      </c>
      <c r="B1566" s="1" t="n">
        <v>46044</v>
      </c>
      <c r="C1566" s="1" t="n">
        <v>46200</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45971-2025</t>
        </is>
      </c>
      <c r="B1567" s="1" t="n">
        <v>45924</v>
      </c>
      <c r="C1567" s="1" t="n">
        <v>46200</v>
      </c>
      <c r="D1567" t="inlineStr">
        <is>
          <t>JÄMTLANDS LÄN</t>
        </is>
      </c>
      <c r="E1567" t="inlineStr">
        <is>
          <t>BRÄCKE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v>
      </c>
      <c r="C1568" s="1" t="n">
        <v>46200</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24154-2025</t>
        </is>
      </c>
      <c r="B1569" s="1" t="n">
        <v>45796</v>
      </c>
      <c r="C1569" s="1" t="n">
        <v>46200</v>
      </c>
      <c r="D1569" t="inlineStr">
        <is>
          <t>JÄMTLANDS LÄN</t>
        </is>
      </c>
      <c r="E1569" t="inlineStr">
        <is>
          <t>BRÄCKE</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31668-2025</t>
        </is>
      </c>
      <c r="B1570" s="1" t="n">
        <v>45834</v>
      </c>
      <c r="C1570" s="1" t="n">
        <v>46200</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25807-2026</t>
        </is>
      </c>
      <c r="B1571" s="1" t="n">
        <v>46178</v>
      </c>
      <c r="C1571" s="1" t="n">
        <v>46200</v>
      </c>
      <c r="D1571" t="inlineStr">
        <is>
          <t>JÄMTLANDS LÄN</t>
        </is>
      </c>
      <c r="E1571" t="inlineStr">
        <is>
          <t>BRÄCKE</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32149-2025</t>
        </is>
      </c>
      <c r="B1572" s="1" t="n">
        <v>45835</v>
      </c>
      <c r="C1572" s="1" t="n">
        <v>46200</v>
      </c>
      <c r="D1572" t="inlineStr">
        <is>
          <t>JÄMTLANDS LÄN</t>
        </is>
      </c>
      <c r="E1572" t="inlineStr">
        <is>
          <t>BRÄCKE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26736-2025</t>
        </is>
      </c>
      <c r="B1573" s="1" t="n">
        <v>45810</v>
      </c>
      <c r="C1573" s="1" t="n">
        <v>46200</v>
      </c>
      <c r="D1573" t="inlineStr">
        <is>
          <t>JÄMTLANDS LÄN</t>
        </is>
      </c>
      <c r="E1573" t="inlineStr">
        <is>
          <t>BRÄCKE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35908-2025</t>
        </is>
      </c>
      <c r="B1574" s="1" t="n">
        <v>45862</v>
      </c>
      <c r="C1574" s="1" t="n">
        <v>46200</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25742-2026</t>
        </is>
      </c>
      <c r="B1575" s="1" t="n">
        <v>46178</v>
      </c>
      <c r="C1575" s="1" t="n">
        <v>46200</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57607-2025</t>
        </is>
      </c>
      <c r="B1576" s="1" t="n">
        <v>45981</v>
      </c>
      <c r="C1576" s="1" t="n">
        <v>46200</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3833-2026</t>
        </is>
      </c>
      <c r="B1577" s="1" t="n">
        <v>46043</v>
      </c>
      <c r="C1577" s="1" t="n">
        <v>46200</v>
      </c>
      <c r="D1577" t="inlineStr">
        <is>
          <t>JÄMTLANDS LÄN</t>
        </is>
      </c>
      <c r="E1577" t="inlineStr">
        <is>
          <t>BRÄCKE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26315-2026</t>
        </is>
      </c>
      <c r="B1578" s="1" t="n">
        <v>46182</v>
      </c>
      <c r="C1578" s="1" t="n">
        <v>46200</v>
      </c>
      <c r="D1578" t="inlineStr">
        <is>
          <t>JÄMTLANDS LÄN</t>
        </is>
      </c>
      <c r="E1578" t="inlineStr">
        <is>
          <t>BRÄCKE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20506-2026</t>
        </is>
      </c>
      <c r="B1579" s="1" t="n">
        <v>46140</v>
      </c>
      <c r="C1579" s="1" t="n">
        <v>46200</v>
      </c>
      <c r="D1579" t="inlineStr">
        <is>
          <t>JÄMTLANDS LÄN</t>
        </is>
      </c>
      <c r="E1579" t="inlineStr">
        <is>
          <t>BRÄCKE</t>
        </is>
      </c>
      <c r="F1579" t="inlineStr">
        <is>
          <t>SCA</t>
        </is>
      </c>
      <c r="G1579" t="n">
        <v>14.2</v>
      </c>
      <c r="H1579" t="n">
        <v>0</v>
      </c>
      <c r="I1579" t="n">
        <v>0</v>
      </c>
      <c r="J1579" t="n">
        <v>0</v>
      </c>
      <c r="K1579" t="n">
        <v>0</v>
      </c>
      <c r="L1579" t="n">
        <v>0</v>
      </c>
      <c r="M1579" t="n">
        <v>0</v>
      </c>
      <c r="N1579" t="n">
        <v>0</v>
      </c>
      <c r="O1579" t="n">
        <v>0</v>
      </c>
      <c r="P1579" t="n">
        <v>0</v>
      </c>
      <c r="Q1579" t="n">
        <v>0</v>
      </c>
      <c r="R1579" s="2" t="inlineStr"/>
    </row>
    <row r="1580" ht="15" customHeight="1">
      <c r="A1580" t="inlineStr">
        <is>
          <t>A 20593-2026</t>
        </is>
      </c>
      <c r="B1580" s="1" t="n">
        <v>46140</v>
      </c>
      <c r="C1580" s="1" t="n">
        <v>46200</v>
      </c>
      <c r="D1580" t="inlineStr">
        <is>
          <t>JÄMTLANDS LÄN</t>
        </is>
      </c>
      <c r="E1580" t="inlineStr">
        <is>
          <t>BRÄCKE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38328-2025</t>
        </is>
      </c>
      <c r="B1581" s="1" t="n">
        <v>45883</v>
      </c>
      <c r="C1581" s="1" t="n">
        <v>46200</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26312-2026</t>
        </is>
      </c>
      <c r="B1582" s="1" t="n">
        <v>46182</v>
      </c>
      <c r="C1582" s="1" t="n">
        <v>46200</v>
      </c>
      <c r="D1582" t="inlineStr">
        <is>
          <t>JÄMTLANDS LÄN</t>
        </is>
      </c>
      <c r="E1582" t="inlineStr">
        <is>
          <t>BRÄCKE</t>
        </is>
      </c>
      <c r="F1582" t="inlineStr">
        <is>
          <t>SCA</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11371-2025</t>
        </is>
      </c>
      <c r="B1583" s="1" t="n">
        <v>45726</v>
      </c>
      <c r="C1583" s="1" t="n">
        <v>46200</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54642-2025</t>
        </is>
      </c>
      <c r="B1584" s="1" t="n">
        <v>45966</v>
      </c>
      <c r="C1584" s="1" t="n">
        <v>46200</v>
      </c>
      <c r="D1584" t="inlineStr">
        <is>
          <t>JÄMTLANDS LÄN</t>
        </is>
      </c>
      <c r="E1584" t="inlineStr">
        <is>
          <t>BRÄCKE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56491-2024</t>
        </is>
      </c>
      <c r="B1585" s="1" t="n">
        <v>45625</v>
      </c>
      <c r="C1585" s="1" t="n">
        <v>46200</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41368-2025</t>
        </is>
      </c>
      <c r="B1586" s="1" t="n">
        <v>45900</v>
      </c>
      <c r="C1586" s="1" t="n">
        <v>46200</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26359-2026</t>
        </is>
      </c>
      <c r="B1587" s="1" t="n">
        <v>46182</v>
      </c>
      <c r="C1587" s="1" t="n">
        <v>46200</v>
      </c>
      <c r="D1587" t="inlineStr">
        <is>
          <t>JÄMTLANDS LÄN</t>
        </is>
      </c>
      <c r="E1587" t="inlineStr">
        <is>
          <t>BRÄCKE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51204-2025</t>
        </is>
      </c>
      <c r="B1588" s="1" t="n">
        <v>45947</v>
      </c>
      <c r="C1588" s="1" t="n">
        <v>46200</v>
      </c>
      <c r="D1588" t="inlineStr">
        <is>
          <t>JÄMTLANDS LÄN</t>
        </is>
      </c>
      <c r="E1588" t="inlineStr">
        <is>
          <t>BRÄCKE</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20436-2026</t>
        </is>
      </c>
      <c r="B1589" s="1" t="n">
        <v>46140</v>
      </c>
      <c r="C1589" s="1" t="n">
        <v>46200</v>
      </c>
      <c r="D1589" t="inlineStr">
        <is>
          <t>JÄMTLANDS LÄN</t>
        </is>
      </c>
      <c r="E1589" t="inlineStr">
        <is>
          <t>BRÄCKE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53724-2024</t>
        </is>
      </c>
      <c r="B1590" s="1" t="n">
        <v>45615</v>
      </c>
      <c r="C1590" s="1" t="n">
        <v>46200</v>
      </c>
      <c r="D1590" t="inlineStr">
        <is>
          <t>JÄMTLANDS LÄN</t>
        </is>
      </c>
      <c r="E1590" t="inlineStr">
        <is>
          <t>BRÄCKE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20794-2026</t>
        </is>
      </c>
      <c r="B1591" s="1" t="n">
        <v>46141</v>
      </c>
      <c r="C1591" s="1" t="n">
        <v>46200</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53270-2025</t>
        </is>
      </c>
      <c r="B1592" s="1" t="n">
        <v>45958</v>
      </c>
      <c r="C1592" s="1" t="n">
        <v>46200</v>
      </c>
      <c r="D1592" t="inlineStr">
        <is>
          <t>JÄMTLANDS LÄN</t>
        </is>
      </c>
      <c r="E1592" t="inlineStr">
        <is>
          <t>BRÄCKE</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52771-2025</t>
        </is>
      </c>
      <c r="B1593" s="1" t="n">
        <v>45957</v>
      </c>
      <c r="C1593" s="1" t="n">
        <v>46200</v>
      </c>
      <c r="D1593" t="inlineStr">
        <is>
          <t>JÄMTLANDS LÄN</t>
        </is>
      </c>
      <c r="E1593" t="inlineStr">
        <is>
          <t>BRÄCKE</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55478-2024</t>
        </is>
      </c>
      <c r="B1594" s="1" t="n">
        <v>45622</v>
      </c>
      <c r="C1594" s="1" t="n">
        <v>46200</v>
      </c>
      <c r="D1594" t="inlineStr">
        <is>
          <t>JÄMTLANDS LÄN</t>
        </is>
      </c>
      <c r="E1594" t="inlineStr">
        <is>
          <t>BRÄCKE</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16904-2026</t>
        </is>
      </c>
      <c r="B1595" s="1" t="n">
        <v>46113</v>
      </c>
      <c r="C1595" s="1" t="n">
        <v>46200</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26719-2026</t>
        </is>
      </c>
      <c r="B1596" s="1" t="n">
        <v>46184</v>
      </c>
      <c r="C1596" s="1" t="n">
        <v>46200</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26718-2026</t>
        </is>
      </c>
      <c r="B1597" s="1" t="n">
        <v>46184</v>
      </c>
      <c r="C1597" s="1" t="n">
        <v>46200</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20843-2026</t>
        </is>
      </c>
      <c r="B1598" s="1" t="n">
        <v>46142</v>
      </c>
      <c r="C1598" s="1" t="n">
        <v>46200</v>
      </c>
      <c r="D1598" t="inlineStr">
        <is>
          <t>JÄMTLANDS LÄN</t>
        </is>
      </c>
      <c r="E1598" t="inlineStr">
        <is>
          <t>BRÄCKE</t>
        </is>
      </c>
      <c r="F1598" t="inlineStr">
        <is>
          <t>SCA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20895-2026</t>
        </is>
      </c>
      <c r="B1599" s="1" t="n">
        <v>46142</v>
      </c>
      <c r="C1599" s="1" t="n">
        <v>46200</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20844-2026</t>
        </is>
      </c>
      <c r="B1600" s="1" t="n">
        <v>46142</v>
      </c>
      <c r="C1600" s="1" t="n">
        <v>46200</v>
      </c>
      <c r="D1600" t="inlineStr">
        <is>
          <t>JÄMTLANDS LÄN</t>
        </is>
      </c>
      <c r="E1600" t="inlineStr">
        <is>
          <t>BRÄCKE</t>
        </is>
      </c>
      <c r="F1600" t="inlineStr">
        <is>
          <t>SCA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20862-2026</t>
        </is>
      </c>
      <c r="B1601" s="1" t="n">
        <v>46142</v>
      </c>
      <c r="C1601" s="1" t="n">
        <v>46200</v>
      </c>
      <c r="D1601" t="inlineStr">
        <is>
          <t>JÄMTLANDS LÄN</t>
        </is>
      </c>
      <c r="E1601" t="inlineStr">
        <is>
          <t>BRÄCKE</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20875-2026</t>
        </is>
      </c>
      <c r="B1602" s="1" t="n">
        <v>46142</v>
      </c>
      <c r="C1602" s="1" t="n">
        <v>46200</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21151-2026</t>
        </is>
      </c>
      <c r="B1603" s="1" t="n">
        <v>46146</v>
      </c>
      <c r="C1603" s="1" t="n">
        <v>46200</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27278-2026</t>
        </is>
      </c>
      <c r="B1604" s="1" t="n">
        <v>46188</v>
      </c>
      <c r="C1604" s="1" t="n">
        <v>46200</v>
      </c>
      <c r="D1604" t="inlineStr">
        <is>
          <t>JÄMTLANDS LÄN</t>
        </is>
      </c>
      <c r="E1604" t="inlineStr">
        <is>
          <t>BRÄCKE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21170-2026</t>
        </is>
      </c>
      <c r="B1605" s="1" t="n">
        <v>46146</v>
      </c>
      <c r="C1605" s="1" t="n">
        <v>46200</v>
      </c>
      <c r="D1605" t="inlineStr">
        <is>
          <t>JÄMTLANDS LÄN</t>
        </is>
      </c>
      <c r="E1605" t="inlineStr">
        <is>
          <t>BRÄCKE</t>
        </is>
      </c>
      <c r="F1605" t="inlineStr">
        <is>
          <t>SCA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21236-2026</t>
        </is>
      </c>
      <c r="B1606" s="1" t="n">
        <v>46147</v>
      </c>
      <c r="C1606" s="1" t="n">
        <v>46200</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21251-2026</t>
        </is>
      </c>
      <c r="B1607" s="1" t="n">
        <v>46147</v>
      </c>
      <c r="C1607" s="1" t="n">
        <v>46200</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21335-2026</t>
        </is>
      </c>
      <c r="B1608" s="1" t="n">
        <v>46147</v>
      </c>
      <c r="C1608" s="1" t="n">
        <v>46200</v>
      </c>
      <c r="D1608" t="inlineStr">
        <is>
          <t>JÄMTLANDS LÄN</t>
        </is>
      </c>
      <c r="E1608" t="inlineStr">
        <is>
          <t>BRÄCKE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21320-2026</t>
        </is>
      </c>
      <c r="B1609" s="1" t="n">
        <v>46147</v>
      </c>
      <c r="C1609" s="1" t="n">
        <v>46200</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27781-2026</t>
        </is>
      </c>
      <c r="B1610" s="1" t="n">
        <v>46191</v>
      </c>
      <c r="C1610" s="1" t="n">
        <v>46200</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27702-2026</t>
        </is>
      </c>
      <c r="B1611" s="1" t="n">
        <v>46190</v>
      </c>
      <c r="C1611" s="1" t="n">
        <v>46200</v>
      </c>
      <c r="D1611" t="inlineStr">
        <is>
          <t>JÄMTLANDS LÄN</t>
        </is>
      </c>
      <c r="E1611" t="inlineStr">
        <is>
          <t>BRÄCKE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21686-2026</t>
        </is>
      </c>
      <c r="B1612" s="1" t="n">
        <v>46149</v>
      </c>
      <c r="C1612" s="1" t="n">
        <v>46200</v>
      </c>
      <c r="D1612" t="inlineStr">
        <is>
          <t>JÄMTLANDS LÄN</t>
        </is>
      </c>
      <c r="E1612" t="inlineStr">
        <is>
          <t>BRÄCKE</t>
        </is>
      </c>
      <c r="F1612" t="inlineStr">
        <is>
          <t>SCA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27856-2026</t>
        </is>
      </c>
      <c r="B1613" s="1" t="n">
        <v>46191</v>
      </c>
      <c r="C1613" s="1" t="n">
        <v>46200</v>
      </c>
      <c r="D1613" t="inlineStr">
        <is>
          <t>JÄMTLANDS LÄN</t>
        </is>
      </c>
      <c r="E1613" t="inlineStr">
        <is>
          <t>BRÄCKE</t>
        </is>
      </c>
      <c r="F1613" t="inlineStr">
        <is>
          <t>SCA</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27825-2026</t>
        </is>
      </c>
      <c r="B1614" s="1" t="n">
        <v>46191</v>
      </c>
      <c r="C1614" s="1" t="n">
        <v>46200</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21553-2026</t>
        </is>
      </c>
      <c r="B1615" s="1" t="n">
        <v>46148</v>
      </c>
      <c r="C1615" s="1" t="n">
        <v>46200</v>
      </c>
      <c r="D1615" t="inlineStr">
        <is>
          <t>JÄMTLANDS LÄN</t>
        </is>
      </c>
      <c r="E1615" t="inlineStr">
        <is>
          <t>BRÄCKE</t>
        </is>
      </c>
      <c r="F1615" t="inlineStr">
        <is>
          <t>SCA</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11127-2026</t>
        </is>
      </c>
      <c r="B1616" s="1" t="n">
        <v>46079</v>
      </c>
      <c r="C1616" s="1" t="n">
        <v>46200</v>
      </c>
      <c r="D1616" t="inlineStr">
        <is>
          <t>JÄMTLANDS LÄN</t>
        </is>
      </c>
      <c r="E1616" t="inlineStr">
        <is>
          <t>BRÄCKE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21589-2026</t>
        </is>
      </c>
      <c r="B1617" s="1" t="n">
        <v>46149</v>
      </c>
      <c r="C1617" s="1" t="n">
        <v>46200</v>
      </c>
      <c r="D1617" t="inlineStr">
        <is>
          <t>JÄMTLANDS LÄN</t>
        </is>
      </c>
      <c r="E1617" t="inlineStr">
        <is>
          <t>BRÄCKE</t>
        </is>
      </c>
      <c r="F1617" t="inlineStr">
        <is>
          <t>SCA</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21618-2026</t>
        </is>
      </c>
      <c r="B1618" s="1" t="n">
        <v>46149</v>
      </c>
      <c r="C1618" s="1" t="n">
        <v>46200</v>
      </c>
      <c r="D1618" t="inlineStr">
        <is>
          <t>JÄMTLANDS LÄN</t>
        </is>
      </c>
      <c r="E1618" t="inlineStr">
        <is>
          <t>BRÄCKE</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27697-2026</t>
        </is>
      </c>
      <c r="B1619" s="1" t="n">
        <v>46190</v>
      </c>
      <c r="C1619" s="1" t="n">
        <v>46200</v>
      </c>
      <c r="D1619" t="inlineStr">
        <is>
          <t>JÄMTLANDS LÄN</t>
        </is>
      </c>
      <c r="E1619" t="inlineStr">
        <is>
          <t>BRÄCKE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27703-2026</t>
        </is>
      </c>
      <c r="B1620" s="1" t="n">
        <v>46190</v>
      </c>
      <c r="C1620" s="1" t="n">
        <v>46200</v>
      </c>
      <c r="D1620" t="inlineStr">
        <is>
          <t>JÄMTLANDS LÄN</t>
        </is>
      </c>
      <c r="E1620" t="inlineStr">
        <is>
          <t>BRÄCKE</t>
        </is>
      </c>
      <c r="F1620" t="inlineStr">
        <is>
          <t>SCA</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22088-2026</t>
        </is>
      </c>
      <c r="B1621" s="1" t="n">
        <v>46153</v>
      </c>
      <c r="C1621" s="1" t="n">
        <v>46200</v>
      </c>
      <c r="D1621" t="inlineStr">
        <is>
          <t>JÄMTLANDS LÄN</t>
        </is>
      </c>
      <c r="E1621" t="inlineStr">
        <is>
          <t>BRÄCKE</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22099-2026</t>
        </is>
      </c>
      <c r="B1622" s="1" t="n">
        <v>46153</v>
      </c>
      <c r="C1622" s="1" t="n">
        <v>46200</v>
      </c>
      <c r="D1622" t="inlineStr">
        <is>
          <t>JÄMTLANDS LÄN</t>
        </is>
      </c>
      <c r="E1622" t="inlineStr">
        <is>
          <t>BRÄCKE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22171-2026</t>
        </is>
      </c>
      <c r="B1623" s="1" t="n">
        <v>46153</v>
      </c>
      <c r="C1623" s="1" t="n">
        <v>46200</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22167-2026</t>
        </is>
      </c>
      <c r="B1624" s="1" t="n">
        <v>46153</v>
      </c>
      <c r="C1624" s="1" t="n">
        <v>46200</v>
      </c>
      <c r="D1624" t="inlineStr">
        <is>
          <t>JÄMTLANDS LÄN</t>
        </is>
      </c>
      <c r="E1624" t="inlineStr">
        <is>
          <t>BRÄCKE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22168-2026</t>
        </is>
      </c>
      <c r="B1625" s="1" t="n">
        <v>46153</v>
      </c>
      <c r="C1625" s="1" t="n">
        <v>46200</v>
      </c>
      <c r="D1625" t="inlineStr">
        <is>
          <t>JÄMTLANDS LÄN</t>
        </is>
      </c>
      <c r="E1625" t="inlineStr">
        <is>
          <t>BRÄCKE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27944-2026</t>
        </is>
      </c>
      <c r="B1626" s="1" t="n">
        <v>46192</v>
      </c>
      <c r="C1626" s="1" t="n">
        <v>46200</v>
      </c>
      <c r="D1626" t="inlineStr">
        <is>
          <t>JÄMTLANDS LÄN</t>
        </is>
      </c>
      <c r="E1626" t="inlineStr">
        <is>
          <t>BRÄCKE</t>
        </is>
      </c>
      <c r="F1626" t="inlineStr">
        <is>
          <t>SCA</t>
        </is>
      </c>
      <c r="G1626" t="n">
        <v>27.5</v>
      </c>
      <c r="H1626" t="n">
        <v>0</v>
      </c>
      <c r="I1626" t="n">
        <v>0</v>
      </c>
      <c r="J1626" t="n">
        <v>0</v>
      </c>
      <c r="K1626" t="n">
        <v>0</v>
      </c>
      <c r="L1626" t="n">
        <v>0</v>
      </c>
      <c r="M1626" t="n">
        <v>0</v>
      </c>
      <c r="N1626" t="n">
        <v>0</v>
      </c>
      <c r="O1626" t="n">
        <v>0</v>
      </c>
      <c r="P1626" t="n">
        <v>0</v>
      </c>
      <c r="Q1626" t="n">
        <v>0</v>
      </c>
      <c r="R1626" s="2" t="inlineStr"/>
    </row>
    <row r="1627" ht="15" customHeight="1">
      <c r="A1627" t="inlineStr">
        <is>
          <t>A 13425-2026</t>
        </is>
      </c>
      <c r="B1627" s="1" t="n">
        <v>46094</v>
      </c>
      <c r="C1627" s="1" t="n">
        <v>46200</v>
      </c>
      <c r="D1627" t="inlineStr">
        <is>
          <t>JÄMTLANDS LÄN</t>
        </is>
      </c>
      <c r="E1627" t="inlineStr">
        <is>
          <t>BRÄCKE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27911-2026</t>
        </is>
      </c>
      <c r="B1628" s="1" t="n">
        <v>46191</v>
      </c>
      <c r="C1628" s="1" t="n">
        <v>46200</v>
      </c>
      <c r="D1628" t="inlineStr">
        <is>
          <t>JÄMTLANDS LÄN</t>
        </is>
      </c>
      <c r="E1628" t="inlineStr">
        <is>
          <t>BRÄCKE</t>
        </is>
      </c>
      <c r="F1628" t="inlineStr">
        <is>
          <t>SCA</t>
        </is>
      </c>
      <c r="G1628" t="n">
        <v>22.7</v>
      </c>
      <c r="H1628" t="n">
        <v>0</v>
      </c>
      <c r="I1628" t="n">
        <v>0</v>
      </c>
      <c r="J1628" t="n">
        <v>0</v>
      </c>
      <c r="K1628" t="n">
        <v>0</v>
      </c>
      <c r="L1628" t="n">
        <v>0</v>
      </c>
      <c r="M1628" t="n">
        <v>0</v>
      </c>
      <c r="N1628" t="n">
        <v>0</v>
      </c>
      <c r="O1628" t="n">
        <v>0</v>
      </c>
      <c r="P1628" t="n">
        <v>0</v>
      </c>
      <c r="Q1628" t="n">
        <v>0</v>
      </c>
      <c r="R1628" s="2" t="inlineStr"/>
    </row>
    <row r="1629" ht="15" customHeight="1">
      <c r="A1629" t="inlineStr">
        <is>
          <t>A 24550-2025</t>
        </is>
      </c>
      <c r="B1629" s="1" t="n">
        <v>45798</v>
      </c>
      <c r="C1629" s="1" t="n">
        <v>46200</v>
      </c>
      <c r="D1629" t="inlineStr">
        <is>
          <t>JÄMTLANDS LÄN</t>
        </is>
      </c>
      <c r="E1629" t="inlineStr">
        <is>
          <t>BRÄCKE</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27943-2026</t>
        </is>
      </c>
      <c r="B1630" s="1" t="n">
        <v>46192</v>
      </c>
      <c r="C1630" s="1" t="n">
        <v>46200</v>
      </c>
      <c r="D1630" t="inlineStr">
        <is>
          <t>JÄMTLANDS LÄN</t>
        </is>
      </c>
      <c r="E1630" t="inlineStr">
        <is>
          <t>BRÄCKE</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21794-2026</t>
        </is>
      </c>
      <c r="B1631" s="1" t="n">
        <v>46150</v>
      </c>
      <c r="C1631" s="1" t="n">
        <v>46200</v>
      </c>
      <c r="D1631" t="inlineStr">
        <is>
          <t>JÄMTLANDS LÄN</t>
        </is>
      </c>
      <c r="E1631" t="inlineStr">
        <is>
          <t>BRÄCKE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41738-2023</t>
        </is>
      </c>
      <c r="B1632" s="1" t="n">
        <v>45176</v>
      </c>
      <c r="C1632" s="1" t="n">
        <v>46200</v>
      </c>
      <c r="D1632" t="inlineStr">
        <is>
          <t>JÄMTLANDS LÄN</t>
        </is>
      </c>
      <c r="E1632" t="inlineStr">
        <is>
          <t>BRÄCKE</t>
        </is>
      </c>
      <c r="G1632" t="n">
        <v>12.7</v>
      </c>
      <c r="H1632" t="n">
        <v>0</v>
      </c>
      <c r="I1632" t="n">
        <v>0</v>
      </c>
      <c r="J1632" t="n">
        <v>0</v>
      </c>
      <c r="K1632" t="n">
        <v>0</v>
      </c>
      <c r="L1632" t="n">
        <v>0</v>
      </c>
      <c r="M1632" t="n">
        <v>0</v>
      </c>
      <c r="N1632" t="n">
        <v>0</v>
      </c>
      <c r="O1632" t="n">
        <v>0</v>
      </c>
      <c r="P1632" t="n">
        <v>0</v>
      </c>
      <c r="Q1632" t="n">
        <v>0</v>
      </c>
      <c r="R1632" s="2" t="inlineStr"/>
    </row>
    <row r="1633" ht="15" customHeight="1">
      <c r="A1633" t="inlineStr">
        <is>
          <t>A 22118-2026</t>
        </is>
      </c>
      <c r="B1633" s="1" t="n">
        <v>46153</v>
      </c>
      <c r="C1633" s="1" t="n">
        <v>46200</v>
      </c>
      <c r="D1633" t="inlineStr">
        <is>
          <t>JÄMTLANDS LÄN</t>
        </is>
      </c>
      <c r="E1633" t="inlineStr">
        <is>
          <t>BRÄCKE</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19996-2024</t>
        </is>
      </c>
      <c r="B1634" s="1" t="n">
        <v>45433</v>
      </c>
      <c r="C1634" s="1" t="n">
        <v>46200</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22583-2026</t>
        </is>
      </c>
      <c r="B1635" s="1" t="n">
        <v>46155</v>
      </c>
      <c r="C1635" s="1" t="n">
        <v>46200</v>
      </c>
      <c r="D1635" t="inlineStr">
        <is>
          <t>JÄMTLANDS LÄN</t>
        </is>
      </c>
      <c r="E1635" t="inlineStr">
        <is>
          <t>BRÄCKE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22596-2026</t>
        </is>
      </c>
      <c r="B1636" s="1" t="n">
        <v>46155</v>
      </c>
      <c r="C1636" s="1" t="n">
        <v>46200</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22610-2026</t>
        </is>
      </c>
      <c r="B1637" s="1" t="n">
        <v>46155</v>
      </c>
      <c r="C1637" s="1" t="n">
        <v>46200</v>
      </c>
      <c r="D1637" t="inlineStr">
        <is>
          <t>JÄMTLANDS LÄN</t>
        </is>
      </c>
      <c r="E1637" t="inlineStr">
        <is>
          <t>BRÄCKE</t>
        </is>
      </c>
      <c r="G1637" t="n">
        <v>13.6</v>
      </c>
      <c r="H1637" t="n">
        <v>0</v>
      </c>
      <c r="I1637" t="n">
        <v>0</v>
      </c>
      <c r="J1637" t="n">
        <v>0</v>
      </c>
      <c r="K1637" t="n">
        <v>0</v>
      </c>
      <c r="L1637" t="n">
        <v>0</v>
      </c>
      <c r="M1637" t="n">
        <v>0</v>
      </c>
      <c r="N1637" t="n">
        <v>0</v>
      </c>
      <c r="O1637" t="n">
        <v>0</v>
      </c>
      <c r="P1637" t="n">
        <v>0</v>
      </c>
      <c r="Q1637" t="n">
        <v>0</v>
      </c>
      <c r="R1637" s="2" t="inlineStr"/>
    </row>
    <row r="1638" ht="15" customHeight="1">
      <c r="A1638" t="inlineStr">
        <is>
          <t>A 28472-2026</t>
        </is>
      </c>
      <c r="B1638" s="1" t="n">
        <v>46197</v>
      </c>
      <c r="C1638" s="1" t="n">
        <v>46200</v>
      </c>
      <c r="D1638" t="inlineStr">
        <is>
          <t>JÄMTLANDS LÄN</t>
        </is>
      </c>
      <c r="E1638" t="inlineStr">
        <is>
          <t>BRÄCKE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22555-2026</t>
        </is>
      </c>
      <c r="B1639" s="1" t="n">
        <v>46155</v>
      </c>
      <c r="C1639" s="1" t="n">
        <v>46200</v>
      </c>
      <c r="D1639" t="inlineStr">
        <is>
          <t>JÄMTLANDS LÄN</t>
        </is>
      </c>
      <c r="E1639" t="inlineStr">
        <is>
          <t>BRÄCKE</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22416-2026</t>
        </is>
      </c>
      <c r="B1640" s="1" t="n">
        <v>46154</v>
      </c>
      <c r="C1640" s="1" t="n">
        <v>46200</v>
      </c>
      <c r="D1640" t="inlineStr">
        <is>
          <t>JÄMTLANDS LÄN</t>
        </is>
      </c>
      <c r="E1640" t="inlineStr">
        <is>
          <t>BRÄCKE</t>
        </is>
      </c>
      <c r="F1640" t="inlineStr">
        <is>
          <t>SCA</t>
        </is>
      </c>
      <c r="G1640" t="n">
        <v>23.9</v>
      </c>
      <c r="H1640" t="n">
        <v>0</v>
      </c>
      <c r="I1640" t="n">
        <v>0</v>
      </c>
      <c r="J1640" t="n">
        <v>0</v>
      </c>
      <c r="K1640" t="n">
        <v>0</v>
      </c>
      <c r="L1640" t="n">
        <v>0</v>
      </c>
      <c r="M1640" t="n">
        <v>0</v>
      </c>
      <c r="N1640" t="n">
        <v>0</v>
      </c>
      <c r="O1640" t="n">
        <v>0</v>
      </c>
      <c r="P1640" t="n">
        <v>0</v>
      </c>
      <c r="Q1640" t="n">
        <v>0</v>
      </c>
      <c r="R1640" s="2" t="inlineStr"/>
    </row>
    <row r="1641" ht="15" customHeight="1">
      <c r="A1641" t="inlineStr">
        <is>
          <t>A 58826-2025</t>
        </is>
      </c>
      <c r="B1641" s="1" t="n">
        <v>45987</v>
      </c>
      <c r="C1641" s="1" t="n">
        <v>46200</v>
      </c>
      <c r="D1641" t="inlineStr">
        <is>
          <t>JÄMTLANDS LÄN</t>
        </is>
      </c>
      <c r="E1641" t="inlineStr">
        <is>
          <t>BRÄCKE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34338-2025</t>
        </is>
      </c>
      <c r="B1642" s="1" t="n">
        <v>45846</v>
      </c>
      <c r="C1642" s="1" t="n">
        <v>46200</v>
      </c>
      <c r="D1642" t="inlineStr">
        <is>
          <t>JÄMTLANDS LÄN</t>
        </is>
      </c>
      <c r="E1642" t="inlineStr">
        <is>
          <t>BRÄCKE</t>
        </is>
      </c>
      <c r="G1642" t="n">
        <v>13.3</v>
      </c>
      <c r="H1642" t="n">
        <v>0</v>
      </c>
      <c r="I1642" t="n">
        <v>0</v>
      </c>
      <c r="J1642" t="n">
        <v>0</v>
      </c>
      <c r="K1642" t="n">
        <v>0</v>
      </c>
      <c r="L1642" t="n">
        <v>0</v>
      </c>
      <c r="M1642" t="n">
        <v>0</v>
      </c>
      <c r="N1642" t="n">
        <v>0</v>
      </c>
      <c r="O1642" t="n">
        <v>0</v>
      </c>
      <c r="P1642" t="n">
        <v>0</v>
      </c>
      <c r="Q1642" t="n">
        <v>0</v>
      </c>
      <c r="R1642" s="2" t="inlineStr"/>
    </row>
    <row r="1643" ht="15" customHeight="1">
      <c r="A1643" t="inlineStr">
        <is>
          <t>A 28520-2026</t>
        </is>
      </c>
      <c r="B1643" s="1" t="n">
        <v>46197</v>
      </c>
      <c r="C1643" s="1" t="n">
        <v>46200</v>
      </c>
      <c r="D1643" t="inlineStr">
        <is>
          <t>JÄMTLANDS LÄN</t>
        </is>
      </c>
      <c r="E1643" t="inlineStr">
        <is>
          <t>BRÄCKE</t>
        </is>
      </c>
      <c r="F1643" t="inlineStr">
        <is>
          <t>SCA</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28311-2026</t>
        </is>
      </c>
      <c r="B1644" s="1" t="n">
        <v>46196</v>
      </c>
      <c r="C1644" s="1" t="n">
        <v>46200</v>
      </c>
      <c r="D1644" t="inlineStr">
        <is>
          <t>JÄMTLANDS LÄN</t>
        </is>
      </c>
      <c r="E1644" t="inlineStr">
        <is>
          <t>BRÄCKE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22386-2026</t>
        </is>
      </c>
      <c r="B1645" s="1" t="n">
        <v>46154</v>
      </c>
      <c r="C1645" s="1" t="n">
        <v>46200</v>
      </c>
      <c r="D1645" t="inlineStr">
        <is>
          <t>JÄMTLANDS LÄN</t>
        </is>
      </c>
      <c r="E1645" t="inlineStr">
        <is>
          <t>BRÄCKE</t>
        </is>
      </c>
      <c r="F1645" t="inlineStr">
        <is>
          <t>SCA</t>
        </is>
      </c>
      <c r="G1645" t="n">
        <v>23.6</v>
      </c>
      <c r="H1645" t="n">
        <v>0</v>
      </c>
      <c r="I1645" t="n">
        <v>0</v>
      </c>
      <c r="J1645" t="n">
        <v>0</v>
      </c>
      <c r="K1645" t="n">
        <v>0</v>
      </c>
      <c r="L1645" t="n">
        <v>0</v>
      </c>
      <c r="M1645" t="n">
        <v>0</v>
      </c>
      <c r="N1645" t="n">
        <v>0</v>
      </c>
      <c r="O1645" t="n">
        <v>0</v>
      </c>
      <c r="P1645" t="n">
        <v>0</v>
      </c>
      <c r="Q1645" t="n">
        <v>0</v>
      </c>
      <c r="R1645" s="2" t="inlineStr"/>
    </row>
    <row r="1646" ht="15" customHeight="1">
      <c r="A1646" t="inlineStr">
        <is>
          <t>A 22444-2026</t>
        </is>
      </c>
      <c r="B1646" s="1" t="n">
        <v>46155</v>
      </c>
      <c r="C1646" s="1" t="n">
        <v>46200</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39535-2025</t>
        </is>
      </c>
      <c r="B1647" s="1" t="n">
        <v>45890</v>
      </c>
      <c r="C1647" s="1" t="n">
        <v>46200</v>
      </c>
      <c r="D1647" t="inlineStr">
        <is>
          <t>JÄMTLANDS LÄN</t>
        </is>
      </c>
      <c r="E1647" t="inlineStr">
        <is>
          <t>BRÄCKE</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22401-2026</t>
        </is>
      </c>
      <c r="B1648" s="1" t="n">
        <v>46154</v>
      </c>
      <c r="C1648" s="1" t="n">
        <v>46200</v>
      </c>
      <c r="D1648" t="inlineStr">
        <is>
          <t>JÄMTLANDS LÄN</t>
        </is>
      </c>
      <c r="E1648" t="inlineStr">
        <is>
          <t>BRÄCKE</t>
        </is>
      </c>
      <c r="F1648" t="inlineStr">
        <is>
          <t>SCA</t>
        </is>
      </c>
      <c r="G1648" t="n">
        <v>30.9</v>
      </c>
      <c r="H1648" t="n">
        <v>0</v>
      </c>
      <c r="I1648" t="n">
        <v>0</v>
      </c>
      <c r="J1648" t="n">
        <v>0</v>
      </c>
      <c r="K1648" t="n">
        <v>0</v>
      </c>
      <c r="L1648" t="n">
        <v>0</v>
      </c>
      <c r="M1648" t="n">
        <v>0</v>
      </c>
      <c r="N1648" t="n">
        <v>0</v>
      </c>
      <c r="O1648" t="n">
        <v>0</v>
      </c>
      <c r="P1648" t="n">
        <v>0</v>
      </c>
      <c r="Q1648" t="n">
        <v>0</v>
      </c>
      <c r="R1648" s="2" t="inlineStr"/>
    </row>
    <row r="1649" ht="15" customHeight="1">
      <c r="A1649" t="inlineStr">
        <is>
          <t>A 28918-2026</t>
        </is>
      </c>
      <c r="B1649" s="1" t="n">
        <v>46199</v>
      </c>
      <c r="C1649" s="1" t="n">
        <v>46200</v>
      </c>
      <c r="D1649" t="inlineStr">
        <is>
          <t>JÄMTLANDS LÄN</t>
        </is>
      </c>
      <c r="E1649" t="inlineStr">
        <is>
          <t>BRÄCKE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28906-2026</t>
        </is>
      </c>
      <c r="B1650" s="1" t="n">
        <v>46199</v>
      </c>
      <c r="C1650" s="1" t="n">
        <v>46200</v>
      </c>
      <c r="D1650" t="inlineStr">
        <is>
          <t>JÄMTLANDS LÄN</t>
        </is>
      </c>
      <c r="E1650" t="inlineStr">
        <is>
          <t>BRÄCKE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22765-2026</t>
        </is>
      </c>
      <c r="B1651" s="1" t="n">
        <v>46157</v>
      </c>
      <c r="C1651" s="1" t="n">
        <v>46200</v>
      </c>
      <c r="D1651" t="inlineStr">
        <is>
          <t>JÄMTLANDS LÄN</t>
        </is>
      </c>
      <c r="E1651" t="inlineStr">
        <is>
          <t>BRÄCKE</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28688-2026</t>
        </is>
      </c>
      <c r="B1652" s="1" t="n">
        <v>46198</v>
      </c>
      <c r="C1652" s="1" t="n">
        <v>46200</v>
      </c>
      <c r="D1652" t="inlineStr">
        <is>
          <t>JÄMTLANDS LÄN</t>
        </is>
      </c>
      <c r="E1652" t="inlineStr">
        <is>
          <t>BRÄCKE</t>
        </is>
      </c>
      <c r="F1652" t="inlineStr">
        <is>
          <t>SCA</t>
        </is>
      </c>
      <c r="G1652" t="n">
        <v>32.1</v>
      </c>
      <c r="H1652" t="n">
        <v>0</v>
      </c>
      <c r="I1652" t="n">
        <v>0</v>
      </c>
      <c r="J1652" t="n">
        <v>0</v>
      </c>
      <c r="K1652" t="n">
        <v>0</v>
      </c>
      <c r="L1652" t="n">
        <v>0</v>
      </c>
      <c r="M1652" t="n">
        <v>0</v>
      </c>
      <c r="N1652" t="n">
        <v>0</v>
      </c>
      <c r="O1652" t="n">
        <v>0</v>
      </c>
      <c r="P1652" t="n">
        <v>0</v>
      </c>
      <c r="Q1652" t="n">
        <v>0</v>
      </c>
      <c r="R1652" s="2" t="inlineStr"/>
    </row>
    <row r="1653">
      <c r="A1653" t="inlineStr">
        <is>
          <t>A 28660-2026</t>
        </is>
      </c>
      <c r="B1653" s="1" t="n">
        <v>46198</v>
      </c>
      <c r="C1653" s="1" t="n">
        <v>46200</v>
      </c>
      <c r="D1653" t="inlineStr">
        <is>
          <t>JÄMTLANDS LÄN</t>
        </is>
      </c>
      <c r="E1653" t="inlineStr">
        <is>
          <t>BRÄCKE</t>
        </is>
      </c>
      <c r="F1653" t="inlineStr">
        <is>
          <t>SCA</t>
        </is>
      </c>
      <c r="G1653" t="n">
        <v>3.5</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2026-06-27T00:54:09Z</dcterms:created>
  <dcterms:modified xmlns:dcterms="http://purl.org/dc/terms/" xmlns:xsi="http://www.w3.org/2001/XMLSchema-instance" xsi:type="dcterms:W3CDTF">2026-06-27T00:54:11Z</dcterms:modified>
</cp:coreProperties>
</file>