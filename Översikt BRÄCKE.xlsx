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45970</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45970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45970</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45970</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45970</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45970</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45970</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45970</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45970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45970</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34927-2023</t>
        </is>
      </c>
      <c r="B17" s="1" t="n">
        <v>45142</v>
      </c>
      <c r="C17" s="1" t="n">
        <v>45970</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45970</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45970</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45970</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45970</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45970</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45970</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45970</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45970</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45970</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45970</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45970</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45970</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45970</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45970</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45970</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45970</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45970</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45970</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45970</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45970</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45970</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45970</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44933-2025</t>
        </is>
      </c>
      <c r="B40" s="1" t="n">
        <v>45918.57365740741</v>
      </c>
      <c r="C40" s="1" t="n">
        <v>45970</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45970</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58080-2023</t>
        </is>
      </c>
      <c r="B42" s="1" t="n">
        <v>45247.9652199074</v>
      </c>
      <c r="C42" s="1" t="n">
        <v>45970</v>
      </c>
      <c r="D42" t="inlineStr">
        <is>
          <t>JÄMTLANDS LÄN</t>
        </is>
      </c>
      <c r="E42" t="inlineStr">
        <is>
          <t>BRÄCKE</t>
        </is>
      </c>
      <c r="F42" t="inlineStr">
        <is>
          <t>SCA</t>
        </is>
      </c>
      <c r="G42" t="n">
        <v>19.5</v>
      </c>
      <c r="H42" t="n">
        <v>2</v>
      </c>
      <c r="I42" t="n">
        <v>4</v>
      </c>
      <c r="J42" t="n">
        <v>4</v>
      </c>
      <c r="K42" t="n">
        <v>3</v>
      </c>
      <c r="L42" t="n">
        <v>0</v>
      </c>
      <c r="M42" t="n">
        <v>0</v>
      </c>
      <c r="N42" t="n">
        <v>0</v>
      </c>
      <c r="O42" t="n">
        <v>7</v>
      </c>
      <c r="P42" t="n">
        <v>3</v>
      </c>
      <c r="Q42" t="n">
        <v>11</v>
      </c>
      <c r="R42" s="2" t="inlineStr">
        <is>
          <t>Blackticka
Doftticka
Knärot
Granticka
Lunglav
Skrovellav
Vedtrappmossa
Bårdlav
Luddlav
Skinnlav
Stuplav</t>
        </is>
      </c>
      <c r="S42">
        <f>HYPERLINK("https://klasma.github.io/Logging_2305/artfynd/A 58080-2023 artfynd.xlsx", "A 58080-2023")</f>
        <v/>
      </c>
      <c r="T42">
        <f>HYPERLINK("https://klasma.github.io/Logging_2305/kartor/A 58080-2023 karta.png", "A 58080-2023")</f>
        <v/>
      </c>
      <c r="U42">
        <f>HYPERLINK("https://klasma.github.io/Logging_2305/knärot/A 58080-2023 karta knärot.png", "A 58080-2023")</f>
        <v/>
      </c>
      <c r="V42">
        <f>HYPERLINK("https://klasma.github.io/Logging_2305/klagomål/A 58080-2023 FSC-klagomål.docx", "A 58080-2023")</f>
        <v/>
      </c>
      <c r="W42">
        <f>HYPERLINK("https://klasma.github.io/Logging_2305/klagomålsmail/A 58080-2023 FSC-klagomål mail.docx", "A 58080-2023")</f>
        <v/>
      </c>
      <c r="X42">
        <f>HYPERLINK("https://klasma.github.io/Logging_2305/tillsyn/A 58080-2023 tillsynsbegäran.docx", "A 58080-2023")</f>
        <v/>
      </c>
      <c r="Y42">
        <f>HYPERLINK("https://klasma.github.io/Logging_2305/tillsynsmail/A 58080-2023 tillsynsbegäran mail.docx", "A 58080-2023")</f>
        <v/>
      </c>
    </row>
    <row r="43" ht="15" customHeight="1">
      <c r="A43" t="inlineStr">
        <is>
          <t>A 28289-2025</t>
        </is>
      </c>
      <c r="B43" s="1" t="n">
        <v>45818.59244212963</v>
      </c>
      <c r="C43" s="1" t="n">
        <v>45970</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45970</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45970</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45970</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45970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13486-2025</t>
        </is>
      </c>
      <c r="B48" s="1" t="n">
        <v>45736.42762731481</v>
      </c>
      <c r="C48" s="1" t="n">
        <v>45970</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45970</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45970</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45970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45970</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45970</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8707-2025</t>
        </is>
      </c>
      <c r="B54" s="1" t="n">
        <v>45712.49047453704</v>
      </c>
      <c r="C54" s="1" t="n">
        <v>45970</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49336-2023</t>
        </is>
      </c>
      <c r="B55" s="1" t="n">
        <v>45210</v>
      </c>
      <c r="C55" s="1" t="n">
        <v>45970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45970</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20087-2025</t>
        </is>
      </c>
      <c r="B57" s="1" t="n">
        <v>45772.45626157407</v>
      </c>
      <c r="C57" s="1" t="n">
        <v>45970</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49372-2024</t>
        </is>
      </c>
      <c r="B58" s="1" t="n">
        <v>45595.64168981482</v>
      </c>
      <c r="C58" s="1" t="n">
        <v>45970</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45970</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51820-2023</t>
        </is>
      </c>
      <c r="B60" s="1" t="n">
        <v>45222</v>
      </c>
      <c r="C60" s="1" t="n">
        <v>45970</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32565-2025</t>
        </is>
      </c>
      <c r="B61" s="1" t="n">
        <v>45838.57340277778</v>
      </c>
      <c r="C61" s="1" t="n">
        <v>45970</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45970</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45970</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55271-2025</t>
        </is>
      </c>
      <c r="B64" s="1" t="n">
        <v>45968.67741898148</v>
      </c>
      <c r="C64" s="1" t="n">
        <v>45970</v>
      </c>
      <c r="D64" t="inlineStr">
        <is>
          <t>JÄMTLANDS LÄN</t>
        </is>
      </c>
      <c r="E64" t="inlineStr">
        <is>
          <t>BRÄCKE</t>
        </is>
      </c>
      <c r="G64" t="n">
        <v>17.1</v>
      </c>
      <c r="H64" t="n">
        <v>1</v>
      </c>
      <c r="I64" t="n">
        <v>4</v>
      </c>
      <c r="J64" t="n">
        <v>3</v>
      </c>
      <c r="K64" t="n">
        <v>1</v>
      </c>
      <c r="L64" t="n">
        <v>0</v>
      </c>
      <c r="M64" t="n">
        <v>0</v>
      </c>
      <c r="N64" t="n">
        <v>0</v>
      </c>
      <c r="O64" t="n">
        <v>4</v>
      </c>
      <c r="P64" t="n">
        <v>1</v>
      </c>
      <c r="Q64" t="n">
        <v>8</v>
      </c>
      <c r="R64" s="2" t="inlineStr">
        <is>
          <t>Doftticka
Garnlav
Lunglav
Skrovellav
Bårdlav
Dvärgtufs
Korallblylav
Stuplav</t>
        </is>
      </c>
      <c r="S64">
        <f>HYPERLINK("https://klasma.github.io/Logging_2305/artfynd/A 55271-2025 artfynd.xlsx", "A 55271-2025")</f>
        <v/>
      </c>
      <c r="T64">
        <f>HYPERLINK("https://klasma.github.io/Logging_2305/kartor/A 55271-2025 karta.png", "A 55271-2025")</f>
        <v/>
      </c>
      <c r="V64">
        <f>HYPERLINK("https://klasma.github.io/Logging_2305/klagomål/A 55271-2025 FSC-klagomål.docx", "A 55271-2025")</f>
        <v/>
      </c>
      <c r="W64">
        <f>HYPERLINK("https://klasma.github.io/Logging_2305/klagomålsmail/A 55271-2025 FSC-klagomål mail.docx", "A 55271-2025")</f>
        <v/>
      </c>
      <c r="X64">
        <f>HYPERLINK("https://klasma.github.io/Logging_2305/tillsyn/A 55271-2025 tillsynsbegäran.docx", "A 55271-2025")</f>
        <v/>
      </c>
      <c r="Y64">
        <f>HYPERLINK("https://klasma.github.io/Logging_2305/tillsynsmail/A 55271-2025 tillsynsbegäran mail.docx", "A 55271-2025")</f>
        <v/>
      </c>
    </row>
    <row r="65" ht="15" customHeight="1">
      <c r="A65" t="inlineStr">
        <is>
          <t>A 26956-2024</t>
        </is>
      </c>
      <c r="B65" s="1" t="n">
        <v>45470.97053240741</v>
      </c>
      <c r="C65" s="1" t="n">
        <v>45970</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45970</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44514-2024</t>
        </is>
      </c>
      <c r="B67" s="1" t="n">
        <v>45574.42746527777</v>
      </c>
      <c r="C67" s="1" t="n">
        <v>45970</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21452-2025</t>
        </is>
      </c>
      <c r="B68" s="1" t="n">
        <v>45782.55300925926</v>
      </c>
      <c r="C68" s="1" t="n">
        <v>45970</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41199-2025</t>
        </is>
      </c>
      <c r="B69" s="1" t="n">
        <v>45898.57366898148</v>
      </c>
      <c r="C69" s="1" t="n">
        <v>45970</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18898-2025</t>
        </is>
      </c>
      <c r="B70" s="1" t="n">
        <v>45764.44885416667</v>
      </c>
      <c r="C70" s="1" t="n">
        <v>45970</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32725-2023</t>
        </is>
      </c>
      <c r="B71" s="1" t="n">
        <v>45121</v>
      </c>
      <c r="C71" s="1" t="n">
        <v>45970</v>
      </c>
      <c r="D71" t="inlineStr">
        <is>
          <t>JÄMTLANDS LÄN</t>
        </is>
      </c>
      <c r="E71" t="inlineStr">
        <is>
          <t>BRÄCKE</t>
        </is>
      </c>
      <c r="F71" t="inlineStr">
        <is>
          <t>SCA</t>
        </is>
      </c>
      <c r="G71" t="n">
        <v>10.9</v>
      </c>
      <c r="H71" t="n">
        <v>4</v>
      </c>
      <c r="I71" t="n">
        <v>0</v>
      </c>
      <c r="J71" t="n">
        <v>6</v>
      </c>
      <c r="K71" t="n">
        <v>0</v>
      </c>
      <c r="L71" t="n">
        <v>0</v>
      </c>
      <c r="M71" t="n">
        <v>0</v>
      </c>
      <c r="N71" t="n">
        <v>0</v>
      </c>
      <c r="O71" t="n">
        <v>6</v>
      </c>
      <c r="P71" t="n">
        <v>0</v>
      </c>
      <c r="Q71" t="n">
        <v>7</v>
      </c>
      <c r="R71" s="2" t="inlineStr">
        <is>
          <t>Doftskinn
Garnlav
Granticka
Spillkråka
Talltita
Tretåig hackspett
Kungsfågel</t>
        </is>
      </c>
      <c r="S71">
        <f>HYPERLINK("https://klasma.github.io/Logging_2305/artfynd/A 32725-2023 artfynd.xlsx", "A 32725-2023")</f>
        <v/>
      </c>
      <c r="T71">
        <f>HYPERLINK("https://klasma.github.io/Logging_2305/kartor/A 32725-2023 karta.png", "A 32725-2023")</f>
        <v/>
      </c>
      <c r="V71">
        <f>HYPERLINK("https://klasma.github.io/Logging_2305/klagomål/A 32725-2023 FSC-klagomål.docx", "A 32725-2023")</f>
        <v/>
      </c>
      <c r="W71">
        <f>HYPERLINK("https://klasma.github.io/Logging_2305/klagomålsmail/A 32725-2023 FSC-klagomål mail.docx", "A 32725-2023")</f>
        <v/>
      </c>
      <c r="X71">
        <f>HYPERLINK("https://klasma.github.io/Logging_2305/tillsyn/A 32725-2023 tillsynsbegäran.docx", "A 32725-2023")</f>
        <v/>
      </c>
      <c r="Y71">
        <f>HYPERLINK("https://klasma.github.io/Logging_2305/tillsynsmail/A 32725-2023 tillsynsbegäran mail.docx", "A 32725-2023")</f>
        <v/>
      </c>
      <c r="Z71">
        <f>HYPERLINK("https://klasma.github.io/Logging_2305/fåglar/A 32725-2023 prioriterade fågelarter.docx", "A 32725-2023")</f>
        <v/>
      </c>
    </row>
    <row r="72" ht="15" customHeight="1">
      <c r="A72" t="inlineStr">
        <is>
          <t>A 34300-2025</t>
        </is>
      </c>
      <c r="B72" s="1" t="n">
        <v>45846.34518518519</v>
      </c>
      <c r="C72" s="1" t="n">
        <v>45970</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45970</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40482-2021</t>
        </is>
      </c>
      <c r="B74" s="1" t="n">
        <v>44419.94334490741</v>
      </c>
      <c r="C74" s="1" t="n">
        <v>45970</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62113-2023</t>
        </is>
      </c>
      <c r="B75" s="1" t="n">
        <v>45266</v>
      </c>
      <c r="C75" s="1" t="n">
        <v>45970</v>
      </c>
      <c r="D75" t="inlineStr">
        <is>
          <t>JÄMTLANDS LÄN</t>
        </is>
      </c>
      <c r="E75" t="inlineStr">
        <is>
          <t>BRÄCKE</t>
        </is>
      </c>
      <c r="F75" t="inlineStr">
        <is>
          <t>Naturvårdsverket</t>
        </is>
      </c>
      <c r="G75" t="n">
        <v>4.5</v>
      </c>
      <c r="H75" t="n">
        <v>0</v>
      </c>
      <c r="I75" t="n">
        <v>2</v>
      </c>
      <c r="J75" t="n">
        <v>4</v>
      </c>
      <c r="K75" t="n">
        <v>1</v>
      </c>
      <c r="L75" t="n">
        <v>0</v>
      </c>
      <c r="M75" t="n">
        <v>0</v>
      </c>
      <c r="N75" t="n">
        <v>0</v>
      </c>
      <c r="O75" t="n">
        <v>5</v>
      </c>
      <c r="P75" t="n">
        <v>1</v>
      </c>
      <c r="Q75" t="n">
        <v>7</v>
      </c>
      <c r="R75" s="2" t="inlineStr">
        <is>
          <t>Smalfotad taggsvamp
Blanksvart spiklav
Blå taggsvamp
Orange taggsvamp
Skrovlig taggsvamp
Dropptaggsvamp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52152-2024</t>
        </is>
      </c>
      <c r="B76" s="1" t="n">
        <v>45608.52387731482</v>
      </c>
      <c r="C76" s="1" t="n">
        <v>45970</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45970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45970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35419-2024</t>
        </is>
      </c>
      <c r="B79" s="1" t="n">
        <v>45531.40895833333</v>
      </c>
      <c r="C79" s="1" t="n">
        <v>45970</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13548-2024</t>
        </is>
      </c>
      <c r="B80" s="1" t="n">
        <v>45387.95348379629</v>
      </c>
      <c r="C80" s="1" t="n">
        <v>45970</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14576-2024</t>
        </is>
      </c>
      <c r="B81" s="1" t="n">
        <v>45394.95033564815</v>
      </c>
      <c r="C81" s="1" t="n">
        <v>45970</v>
      </c>
      <c r="D81" t="inlineStr">
        <is>
          <t>JÄMTLANDS LÄN</t>
        </is>
      </c>
      <c r="E81" t="inlineStr">
        <is>
          <t>BRÄCKE</t>
        </is>
      </c>
      <c r="F81" t="inlineStr">
        <is>
          <t>SCA</t>
        </is>
      </c>
      <c r="G81" t="n">
        <v>2.1</v>
      </c>
      <c r="H81" t="n">
        <v>0</v>
      </c>
      <c r="I81" t="n">
        <v>3</v>
      </c>
      <c r="J81" t="n">
        <v>3</v>
      </c>
      <c r="K81" t="n">
        <v>0</v>
      </c>
      <c r="L81" t="n">
        <v>0</v>
      </c>
      <c r="M81" t="n">
        <v>0</v>
      </c>
      <c r="N81" t="n">
        <v>0</v>
      </c>
      <c r="O81" t="n">
        <v>3</v>
      </c>
      <c r="P81" t="n">
        <v>0</v>
      </c>
      <c r="Q81" t="n">
        <v>6</v>
      </c>
      <c r="R81" s="2" t="inlineStr">
        <is>
          <t>Lunglav
Skrovellav
Ullticka
Korallblylav
Skinnlav
Stuplav</t>
        </is>
      </c>
      <c r="S81">
        <f>HYPERLINK("https://klasma.github.io/Logging_2305/artfynd/A 14576-2024 artfynd.xlsx", "A 14576-2024")</f>
        <v/>
      </c>
      <c r="T81">
        <f>HYPERLINK("https://klasma.github.io/Logging_2305/kartor/A 14576-2024 karta.png", "A 14576-2024")</f>
        <v/>
      </c>
      <c r="V81">
        <f>HYPERLINK("https://klasma.github.io/Logging_2305/klagomål/A 14576-2024 FSC-klagomål.docx", "A 14576-2024")</f>
        <v/>
      </c>
      <c r="W81">
        <f>HYPERLINK("https://klasma.github.io/Logging_2305/klagomålsmail/A 14576-2024 FSC-klagomål mail.docx", "A 14576-2024")</f>
        <v/>
      </c>
      <c r="X81">
        <f>HYPERLINK("https://klasma.github.io/Logging_2305/tillsyn/A 14576-2024 tillsynsbegäran.docx", "A 14576-2024")</f>
        <v/>
      </c>
      <c r="Y81">
        <f>HYPERLINK("https://klasma.github.io/Logging_2305/tillsynsmail/A 14576-2024 tillsynsbegäran mail.docx", "A 14576-2024")</f>
        <v/>
      </c>
    </row>
    <row r="82" ht="15" customHeight="1">
      <c r="A82" t="inlineStr">
        <is>
          <t>A 40376-2024</t>
        </is>
      </c>
      <c r="B82" s="1" t="n">
        <v>45555.4065162037</v>
      </c>
      <c r="C82" s="1" t="n">
        <v>45970</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29464-2024</t>
        </is>
      </c>
      <c r="B83" s="1" t="n">
        <v>45483.97010416666</v>
      </c>
      <c r="C83" s="1" t="n">
        <v>45970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45970</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45970</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29141-2025</t>
        </is>
      </c>
      <c r="B86" s="1" t="n">
        <v>45821.61508101852</v>
      </c>
      <c r="C86" s="1" t="n">
        <v>45970</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45970</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45970</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22143-2025</t>
        </is>
      </c>
      <c r="B89" s="1" t="n">
        <v>45785.55251157407</v>
      </c>
      <c r="C89" s="1" t="n">
        <v>45970</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45482.94998842593</v>
      </c>
      <c r="C90" s="1" t="n">
        <v>45970</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49540-2022</t>
        </is>
      </c>
      <c r="B91" s="1" t="n">
        <v>44861</v>
      </c>
      <c r="C91" s="1" t="n">
        <v>45970</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38527-2025</t>
        </is>
      </c>
      <c r="B92" s="1" t="n">
        <v>45884.40715277778</v>
      </c>
      <c r="C92" s="1" t="n">
        <v>45970</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30991-2024</t>
        </is>
      </c>
      <c r="B93" s="1" t="n">
        <v>45499.55119212963</v>
      </c>
      <c r="C93" s="1" t="n">
        <v>45970</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23729-2024</t>
        </is>
      </c>
      <c r="B94" s="1" t="n">
        <v>45454.95868055556</v>
      </c>
      <c r="C94" s="1" t="n">
        <v>45970</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18634-2025</t>
        </is>
      </c>
      <c r="B95" s="1" t="n">
        <v>45763.55266203704</v>
      </c>
      <c r="C95" s="1" t="n">
        <v>45970</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47560-2024</t>
        </is>
      </c>
      <c r="B96" s="1" t="n">
        <v>45587.6758449074</v>
      </c>
      <c r="C96" s="1" t="n">
        <v>45970</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45970</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48780-2023</t>
        </is>
      </c>
      <c r="B98" s="1" t="n">
        <v>45208</v>
      </c>
      <c r="C98" s="1" t="n">
        <v>45970</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30620-2025</t>
        </is>
      </c>
      <c r="B99" s="1" t="n">
        <v>45831.46936342592</v>
      </c>
      <c r="C99" s="1" t="n">
        <v>45970</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45970</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44217-2025</t>
        </is>
      </c>
      <c r="B101" s="1" t="n">
        <v>45915.6362037037</v>
      </c>
      <c r="C101" s="1" t="n">
        <v>45970</v>
      </c>
      <c r="D101" t="inlineStr">
        <is>
          <t>JÄMTLANDS LÄN</t>
        </is>
      </c>
      <c r="E101" t="inlineStr">
        <is>
          <t>BRÄCKE</t>
        </is>
      </c>
      <c r="F101" t="inlineStr">
        <is>
          <t>SCA</t>
        </is>
      </c>
      <c r="G101" t="n">
        <v>5.8</v>
      </c>
      <c r="H101" t="n">
        <v>3</v>
      </c>
      <c r="I101" t="n">
        <v>2</v>
      </c>
      <c r="J101" t="n">
        <v>2</v>
      </c>
      <c r="K101" t="n">
        <v>1</v>
      </c>
      <c r="L101" t="n">
        <v>0</v>
      </c>
      <c r="M101" t="n">
        <v>0</v>
      </c>
      <c r="N101" t="n">
        <v>0</v>
      </c>
      <c r="O101" t="n">
        <v>3</v>
      </c>
      <c r="P101" t="n">
        <v>1</v>
      </c>
      <c r="Q101" t="n">
        <v>5</v>
      </c>
      <c r="R101" s="2" t="inlineStr">
        <is>
          <t>Knärot
Lunglav
Talltita
Grönpyrola
Plattlummer</t>
        </is>
      </c>
      <c r="S101">
        <f>HYPERLINK("https://klasma.github.io/Logging_2305/artfynd/A 44217-2025 artfynd.xlsx", "A 44217-2025")</f>
        <v/>
      </c>
      <c r="T101">
        <f>HYPERLINK("https://klasma.github.io/Logging_2305/kartor/A 44217-2025 karta.png", "A 44217-2025")</f>
        <v/>
      </c>
      <c r="U101">
        <f>HYPERLINK("https://klasma.github.io/Logging_2305/knärot/A 44217-2025 karta knärot.png", "A 44217-2025")</f>
        <v/>
      </c>
      <c r="V101">
        <f>HYPERLINK("https://klasma.github.io/Logging_2305/klagomål/A 44217-2025 FSC-klagomål.docx", "A 44217-2025")</f>
        <v/>
      </c>
      <c r="W101">
        <f>HYPERLINK("https://klasma.github.io/Logging_2305/klagomålsmail/A 44217-2025 FSC-klagomål mail.docx", "A 44217-2025")</f>
        <v/>
      </c>
      <c r="X101">
        <f>HYPERLINK("https://klasma.github.io/Logging_2305/tillsyn/A 44217-2025 tillsynsbegäran.docx", "A 44217-2025")</f>
        <v/>
      </c>
      <c r="Y101">
        <f>HYPERLINK("https://klasma.github.io/Logging_2305/tillsynsmail/A 44217-2025 tillsynsbegäran mail.docx", "A 44217-2025")</f>
        <v/>
      </c>
      <c r="Z101">
        <f>HYPERLINK("https://klasma.github.io/Logging_2305/fåglar/A 44217-2025 prioriterade fågelarter.docx", "A 44217-2025")</f>
        <v/>
      </c>
    </row>
    <row r="102" ht="15" customHeight="1">
      <c r="A102" t="inlineStr">
        <is>
          <t>A 31378-2025</t>
        </is>
      </c>
      <c r="B102" s="1" t="n">
        <v>45833.44834490741</v>
      </c>
      <c r="C102" s="1" t="n">
        <v>45970</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45970</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45970</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45970</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53280-2022</t>
        </is>
      </c>
      <c r="B106" s="1" t="n">
        <v>44876</v>
      </c>
      <c r="C106" s="1" t="n">
        <v>45970</v>
      </c>
      <c r="D106" t="inlineStr">
        <is>
          <t>JÄMTLANDS LÄN</t>
        </is>
      </c>
      <c r="E106" t="inlineStr">
        <is>
          <t>BRÄCKE</t>
        </is>
      </c>
      <c r="F106" t="inlineStr">
        <is>
          <t>SCA</t>
        </is>
      </c>
      <c r="G106" t="n">
        <v>2</v>
      </c>
      <c r="H106" t="n">
        <v>2</v>
      </c>
      <c r="I106" t="n">
        <v>3</v>
      </c>
      <c r="J106" t="n">
        <v>2</v>
      </c>
      <c r="K106" t="n">
        <v>0</v>
      </c>
      <c r="L106" t="n">
        <v>0</v>
      </c>
      <c r="M106" t="n">
        <v>0</v>
      </c>
      <c r="N106" t="n">
        <v>0</v>
      </c>
      <c r="O106" t="n">
        <v>2</v>
      </c>
      <c r="P106" t="n">
        <v>0</v>
      </c>
      <c r="Q106" t="n">
        <v>5</v>
      </c>
      <c r="R106" s="2" t="inlineStr">
        <is>
          <t>Järpe
Lunglav
Skinnlav
Spindelblomster
Stuplav</t>
        </is>
      </c>
      <c r="S106">
        <f>HYPERLINK("https://klasma.github.io/Logging_2305/artfynd/A 53280-2022 artfynd.xlsx", "A 53280-2022")</f>
        <v/>
      </c>
      <c r="T106">
        <f>HYPERLINK("https://klasma.github.io/Logging_2305/kartor/A 53280-2022 karta.png", "A 53280-2022")</f>
        <v/>
      </c>
      <c r="V106">
        <f>HYPERLINK("https://klasma.github.io/Logging_2305/klagomål/A 53280-2022 FSC-klagomål.docx", "A 53280-2022")</f>
        <v/>
      </c>
      <c r="W106">
        <f>HYPERLINK("https://klasma.github.io/Logging_2305/klagomålsmail/A 53280-2022 FSC-klagomål mail.docx", "A 53280-2022")</f>
        <v/>
      </c>
      <c r="X106">
        <f>HYPERLINK("https://klasma.github.io/Logging_2305/tillsyn/A 53280-2022 tillsynsbegäran.docx", "A 53280-2022")</f>
        <v/>
      </c>
      <c r="Y106">
        <f>HYPERLINK("https://klasma.github.io/Logging_2305/tillsynsmail/A 53280-2022 tillsynsbegäran mail.docx", "A 53280-2022")</f>
        <v/>
      </c>
      <c r="Z106">
        <f>HYPERLINK("https://klasma.github.io/Logging_2305/fåglar/A 53280-2022 prioriterade fågelarter.docx", "A 53280-2022")</f>
        <v/>
      </c>
    </row>
    <row r="107" ht="15" customHeight="1">
      <c r="A107" t="inlineStr">
        <is>
          <t>A 36820-2021</t>
        </is>
      </c>
      <c r="B107" s="1" t="n">
        <v>44392</v>
      </c>
      <c r="C107" s="1" t="n">
        <v>45970</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45970</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45970</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45970</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32654-2024</t>
        </is>
      </c>
      <c r="B111" s="1" t="n">
        <v>45513.96465277778</v>
      </c>
      <c r="C111" s="1" t="n">
        <v>45970</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46649-2022</t>
        </is>
      </c>
      <c r="B112" s="1" t="n">
        <v>44849</v>
      </c>
      <c r="C112" s="1" t="n">
        <v>45970</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45970</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7445-2025</t>
        </is>
      </c>
      <c r="B114" s="1" t="n">
        <v>45705.40694444445</v>
      </c>
      <c r="C114" s="1" t="n">
        <v>45970</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45970</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49375-2024</t>
        </is>
      </c>
      <c r="B116" s="1" t="n">
        <v>45595.64222222222</v>
      </c>
      <c r="C116" s="1" t="n">
        <v>45970</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33928-2022</t>
        </is>
      </c>
      <c r="B117" s="1" t="n">
        <v>44790</v>
      </c>
      <c r="C117" s="1" t="n">
        <v>45970</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20496-2025</t>
        </is>
      </c>
      <c r="B118" s="1" t="n">
        <v>45775.57347222222</v>
      </c>
      <c r="C118" s="1" t="n">
        <v>45970</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32260-2024</t>
        </is>
      </c>
      <c r="B119" s="1" t="n">
        <v>45511.95291666667</v>
      </c>
      <c r="C119" s="1" t="n">
        <v>45970</v>
      </c>
      <c r="D119" t="inlineStr">
        <is>
          <t>JÄMTLANDS LÄN</t>
        </is>
      </c>
      <c r="E119" t="inlineStr">
        <is>
          <t>BRÄCKE</t>
        </is>
      </c>
      <c r="F119" t="inlineStr">
        <is>
          <t>SCA</t>
        </is>
      </c>
      <c r="G119" t="n">
        <v>3.7</v>
      </c>
      <c r="H119" t="n">
        <v>0</v>
      </c>
      <c r="I119" t="n">
        <v>1</v>
      </c>
      <c r="J119" t="n">
        <v>3</v>
      </c>
      <c r="K119" t="n">
        <v>0</v>
      </c>
      <c r="L119" t="n">
        <v>0</v>
      </c>
      <c r="M119" t="n">
        <v>0</v>
      </c>
      <c r="N119" t="n">
        <v>0</v>
      </c>
      <c r="O119" t="n">
        <v>3</v>
      </c>
      <c r="P119" t="n">
        <v>0</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57606-2024</t>
        </is>
      </c>
      <c r="B120" s="1" t="n">
        <v>45630.53204861111</v>
      </c>
      <c r="C120" s="1" t="n">
        <v>45970</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45970</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45970</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45970</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45970</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45970</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10543-2022</t>
        </is>
      </c>
      <c r="B126" s="1" t="n">
        <v>44623</v>
      </c>
      <c r="C126" s="1" t="n">
        <v>45970</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38619-2025</t>
        </is>
      </c>
      <c r="B127" s="1" t="n">
        <v>45884.55284722222</v>
      </c>
      <c r="C127" s="1" t="n">
        <v>45970</v>
      </c>
      <c r="D127" t="inlineStr">
        <is>
          <t>JÄMTLANDS LÄN</t>
        </is>
      </c>
      <c r="E127" t="inlineStr">
        <is>
          <t>BRÄCKE</t>
        </is>
      </c>
      <c r="F127" t="inlineStr">
        <is>
          <t>SCA</t>
        </is>
      </c>
      <c r="G127" t="n">
        <v>2.9</v>
      </c>
      <c r="H127" t="n">
        <v>3</v>
      </c>
      <c r="I127" t="n">
        <v>0</v>
      </c>
      <c r="J127" t="n">
        <v>3</v>
      </c>
      <c r="K127" t="n">
        <v>1</v>
      </c>
      <c r="L127" t="n">
        <v>0</v>
      </c>
      <c r="M127" t="n">
        <v>0</v>
      </c>
      <c r="N127" t="n">
        <v>0</v>
      </c>
      <c r="O127" t="n">
        <v>4</v>
      </c>
      <c r="P127" t="n">
        <v>1</v>
      </c>
      <c r="Q127" t="n">
        <v>4</v>
      </c>
      <c r="R127" s="2" t="inlineStr">
        <is>
          <t>Knärot
Lunglav
Spillkråka
Talltita</t>
        </is>
      </c>
      <c r="S127">
        <f>HYPERLINK("https://klasma.github.io/Logging_2305/artfynd/A 38619-2025 artfynd.xlsx", "A 38619-2025")</f>
        <v/>
      </c>
      <c r="T127">
        <f>HYPERLINK("https://klasma.github.io/Logging_2305/kartor/A 38619-2025 karta.png", "A 38619-2025")</f>
        <v/>
      </c>
      <c r="U127">
        <f>HYPERLINK("https://klasma.github.io/Logging_2305/knärot/A 38619-2025 karta knärot.png", "A 38619-2025")</f>
        <v/>
      </c>
      <c r="V127">
        <f>HYPERLINK("https://klasma.github.io/Logging_2305/klagomål/A 38619-2025 FSC-klagomål.docx", "A 38619-2025")</f>
        <v/>
      </c>
      <c r="W127">
        <f>HYPERLINK("https://klasma.github.io/Logging_2305/klagomålsmail/A 38619-2025 FSC-klagomål mail.docx", "A 38619-2025")</f>
        <v/>
      </c>
      <c r="X127">
        <f>HYPERLINK("https://klasma.github.io/Logging_2305/tillsyn/A 38619-2025 tillsynsbegäran.docx", "A 38619-2025")</f>
        <v/>
      </c>
      <c r="Y127">
        <f>HYPERLINK("https://klasma.github.io/Logging_2305/tillsynsmail/A 38619-2025 tillsynsbegäran mail.docx", "A 38619-2025")</f>
        <v/>
      </c>
      <c r="Z127">
        <f>HYPERLINK("https://klasma.github.io/Logging_2305/fåglar/A 38619-2025 prioriterade fågelarter.docx", "A 38619-2025")</f>
        <v/>
      </c>
    </row>
    <row r="128" ht="15" customHeight="1">
      <c r="A128" t="inlineStr">
        <is>
          <t>A 48479-2023</t>
        </is>
      </c>
      <c r="B128" s="1" t="n">
        <v>45206</v>
      </c>
      <c r="C128" s="1" t="n">
        <v>45970</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43461-2025</t>
        </is>
      </c>
      <c r="B129" s="1" t="n">
        <v>45911.46922453704</v>
      </c>
      <c r="C129" s="1" t="n">
        <v>45970</v>
      </c>
      <c r="D129" t="inlineStr">
        <is>
          <t>JÄMTLANDS LÄN</t>
        </is>
      </c>
      <c r="E129" t="inlineStr">
        <is>
          <t>BRÄCKE</t>
        </is>
      </c>
      <c r="F129" t="inlineStr">
        <is>
          <t>SCA</t>
        </is>
      </c>
      <c r="G129" t="n">
        <v>2.3</v>
      </c>
      <c r="H129" t="n">
        <v>1</v>
      </c>
      <c r="I129" t="n">
        <v>0</v>
      </c>
      <c r="J129" t="n">
        <v>3</v>
      </c>
      <c r="K129" t="n">
        <v>1</v>
      </c>
      <c r="L129" t="n">
        <v>0</v>
      </c>
      <c r="M129" t="n">
        <v>0</v>
      </c>
      <c r="N129" t="n">
        <v>0</v>
      </c>
      <c r="O129" t="n">
        <v>4</v>
      </c>
      <c r="P129" t="n">
        <v>1</v>
      </c>
      <c r="Q129" t="n">
        <v>4</v>
      </c>
      <c r="R129" s="2" t="inlineStr">
        <is>
          <t>Doftticka
Doftskinn
Lunglav
Ullticka</t>
        </is>
      </c>
      <c r="S129">
        <f>HYPERLINK("https://klasma.github.io/Logging_2305/artfynd/A 43461-2025 artfynd.xlsx", "A 43461-2025")</f>
        <v/>
      </c>
      <c r="T129">
        <f>HYPERLINK("https://klasma.github.io/Logging_2305/kartor/A 43461-2025 karta.png", "A 43461-2025")</f>
        <v/>
      </c>
      <c r="V129">
        <f>HYPERLINK("https://klasma.github.io/Logging_2305/klagomål/A 43461-2025 FSC-klagomål.docx", "A 43461-2025")</f>
        <v/>
      </c>
      <c r="W129">
        <f>HYPERLINK("https://klasma.github.io/Logging_2305/klagomålsmail/A 43461-2025 FSC-klagomål mail.docx", "A 43461-2025")</f>
        <v/>
      </c>
      <c r="X129">
        <f>HYPERLINK("https://klasma.github.io/Logging_2305/tillsyn/A 43461-2025 tillsynsbegäran.docx", "A 43461-2025")</f>
        <v/>
      </c>
      <c r="Y129">
        <f>HYPERLINK("https://klasma.github.io/Logging_2305/tillsynsmail/A 43461-2025 tillsynsbegäran mail.docx", "A 43461-2025")</f>
        <v/>
      </c>
    </row>
    <row r="130" ht="15" customHeight="1">
      <c r="A130" t="inlineStr">
        <is>
          <t>A 57079-2023</t>
        </is>
      </c>
      <c r="B130" s="1" t="n">
        <v>45244</v>
      </c>
      <c r="C130" s="1" t="n">
        <v>45970</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45970</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45970</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45970</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28553-2024</t>
        </is>
      </c>
      <c r="B134" s="1" t="n">
        <v>45478</v>
      </c>
      <c r="C134" s="1" t="n">
        <v>45970</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43620-2023</t>
        </is>
      </c>
      <c r="B135" s="1" t="n">
        <v>45184</v>
      </c>
      <c r="C135" s="1" t="n">
        <v>45970</v>
      </c>
      <c r="D135" t="inlineStr">
        <is>
          <t>JÄMTLANDS LÄN</t>
        </is>
      </c>
      <c r="E135" t="inlineStr">
        <is>
          <t>BRÄCKE</t>
        </is>
      </c>
      <c r="G135" t="n">
        <v>17.8</v>
      </c>
      <c r="H135" t="n">
        <v>0</v>
      </c>
      <c r="I135" t="n">
        <v>2</v>
      </c>
      <c r="J135" t="n">
        <v>2</v>
      </c>
      <c r="K135" t="n">
        <v>0</v>
      </c>
      <c r="L135" t="n">
        <v>0</v>
      </c>
      <c r="M135" t="n">
        <v>0</v>
      </c>
      <c r="N135" t="n">
        <v>0</v>
      </c>
      <c r="O135" t="n">
        <v>2</v>
      </c>
      <c r="P135" t="n">
        <v>0</v>
      </c>
      <c r="Q135" t="n">
        <v>4</v>
      </c>
      <c r="R135" s="2" t="inlineStr">
        <is>
          <t>Lunglav
Skrovellav
Bårdlav
Skinnlav</t>
        </is>
      </c>
      <c r="S135">
        <f>HYPERLINK("https://klasma.github.io/Logging_2305/artfynd/A 43620-2023 artfynd.xlsx", "A 43620-2023")</f>
        <v/>
      </c>
      <c r="T135">
        <f>HYPERLINK("https://klasma.github.io/Logging_2305/kartor/A 43620-2023 karta.png", "A 43620-2023")</f>
        <v/>
      </c>
      <c r="V135">
        <f>HYPERLINK("https://klasma.github.io/Logging_2305/klagomål/A 43620-2023 FSC-klagomål.docx", "A 43620-2023")</f>
        <v/>
      </c>
      <c r="W135">
        <f>HYPERLINK("https://klasma.github.io/Logging_2305/klagomålsmail/A 43620-2023 FSC-klagomål mail.docx", "A 43620-2023")</f>
        <v/>
      </c>
      <c r="X135">
        <f>HYPERLINK("https://klasma.github.io/Logging_2305/tillsyn/A 43620-2023 tillsynsbegäran.docx", "A 43620-2023")</f>
        <v/>
      </c>
      <c r="Y135">
        <f>HYPERLINK("https://klasma.github.io/Logging_2305/tillsynsmail/A 43620-2023 tillsynsbegäran mail.docx", "A 43620-2023")</f>
        <v/>
      </c>
    </row>
    <row r="136" ht="15" customHeight="1">
      <c r="A136" t="inlineStr">
        <is>
          <t>A 42105-2024</t>
        </is>
      </c>
      <c r="B136" s="1" t="n">
        <v>45562.3650462963</v>
      </c>
      <c r="C136" s="1" t="n">
        <v>45970</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56222-2021</t>
        </is>
      </c>
      <c r="B137" s="1" t="n">
        <v>44477</v>
      </c>
      <c r="C137" s="1" t="n">
        <v>45970</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44428-2022</t>
        </is>
      </c>
      <c r="B138" s="1" t="n">
        <v>44839</v>
      </c>
      <c r="C138" s="1" t="n">
        <v>45970</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20070-2022</t>
        </is>
      </c>
      <c r="B139" s="1" t="n">
        <v>44697.94195601852</v>
      </c>
      <c r="C139" s="1" t="n">
        <v>45970</v>
      </c>
      <c r="D139" t="inlineStr">
        <is>
          <t>JÄMTLANDS LÄN</t>
        </is>
      </c>
      <c r="E139" t="inlineStr">
        <is>
          <t>BRÄCKE</t>
        </is>
      </c>
      <c r="F139" t="inlineStr">
        <is>
          <t>SCA</t>
        </is>
      </c>
      <c r="G139" t="n">
        <v>4.9</v>
      </c>
      <c r="H139" t="n">
        <v>3</v>
      </c>
      <c r="I139" t="n">
        <v>1</v>
      </c>
      <c r="J139" t="n">
        <v>1</v>
      </c>
      <c r="K139" t="n">
        <v>0</v>
      </c>
      <c r="L139" t="n">
        <v>0</v>
      </c>
      <c r="M139" t="n">
        <v>0</v>
      </c>
      <c r="N139" t="n">
        <v>0</v>
      </c>
      <c r="O139" t="n">
        <v>1</v>
      </c>
      <c r="P139" t="n">
        <v>0</v>
      </c>
      <c r="Q139" t="n">
        <v>3</v>
      </c>
      <c r="R139" s="2" t="inlineStr">
        <is>
          <t>Talltita
Plattlummer
Lavskrika</t>
        </is>
      </c>
      <c r="S139">
        <f>HYPERLINK("https://klasma.github.io/Logging_2305/artfynd/A 20070-2022 artfynd.xlsx", "A 20070-2022")</f>
        <v/>
      </c>
      <c r="T139">
        <f>HYPERLINK("https://klasma.github.io/Logging_2305/kartor/A 20070-2022 karta.png", "A 20070-2022")</f>
        <v/>
      </c>
      <c r="U139">
        <f>HYPERLINK("https://klasma.github.io/Logging_2305/knärot/A 20070-2022 karta knärot.png", "A 20070-2022")</f>
        <v/>
      </c>
      <c r="V139">
        <f>HYPERLINK("https://klasma.github.io/Logging_2305/klagomål/A 20070-2022 FSC-klagomål.docx", "A 20070-2022")</f>
        <v/>
      </c>
      <c r="W139">
        <f>HYPERLINK("https://klasma.github.io/Logging_2305/klagomålsmail/A 20070-2022 FSC-klagomål mail.docx", "A 20070-2022")</f>
        <v/>
      </c>
      <c r="X139">
        <f>HYPERLINK("https://klasma.github.io/Logging_2305/tillsyn/A 20070-2022 tillsynsbegäran.docx", "A 20070-2022")</f>
        <v/>
      </c>
      <c r="Y139">
        <f>HYPERLINK("https://klasma.github.io/Logging_2305/tillsynsmail/A 20070-2022 tillsynsbegäran mail.docx", "A 20070-2022")</f>
        <v/>
      </c>
      <c r="Z139">
        <f>HYPERLINK("https://klasma.github.io/Logging_2305/fåglar/A 20070-2022 prioriterade fågelarter.docx", "A 20070-2022")</f>
        <v/>
      </c>
    </row>
    <row r="140" ht="15" customHeight="1">
      <c r="A140" t="inlineStr">
        <is>
          <t>A 37061-2021</t>
        </is>
      </c>
      <c r="B140" s="1" t="n">
        <v>44393</v>
      </c>
      <c r="C140" s="1" t="n">
        <v>45970</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26009-2024</t>
        </is>
      </c>
      <c r="B141" s="1" t="n">
        <v>45467</v>
      </c>
      <c r="C141" s="1" t="n">
        <v>45970</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19437-2023</t>
        </is>
      </c>
      <c r="B142" s="1" t="n">
        <v>45049</v>
      </c>
      <c r="C142" s="1" t="n">
        <v>45970</v>
      </c>
      <c r="D142" t="inlineStr">
        <is>
          <t>JÄMTLANDS LÄN</t>
        </is>
      </c>
      <c r="E142" t="inlineStr">
        <is>
          <t>BRÄCKE</t>
        </is>
      </c>
      <c r="G142" t="n">
        <v>1.5</v>
      </c>
      <c r="H142" t="n">
        <v>0</v>
      </c>
      <c r="I142" t="n">
        <v>2</v>
      </c>
      <c r="J142" t="n">
        <v>1</v>
      </c>
      <c r="K142" t="n">
        <v>0</v>
      </c>
      <c r="L142" t="n">
        <v>0</v>
      </c>
      <c r="M142" t="n">
        <v>0</v>
      </c>
      <c r="N142" t="n">
        <v>0</v>
      </c>
      <c r="O142" t="n">
        <v>1</v>
      </c>
      <c r="P142" t="n">
        <v>0</v>
      </c>
      <c r="Q142" t="n">
        <v>3</v>
      </c>
      <c r="R142" s="2" t="inlineStr">
        <is>
          <t>Ullticka
Stuplav
Svart trolldruva</t>
        </is>
      </c>
      <c r="S142">
        <f>HYPERLINK("https://klasma.github.io/Logging_2305/artfynd/A 19437-2023 artfynd.xlsx", "A 19437-2023")</f>
        <v/>
      </c>
      <c r="T142">
        <f>HYPERLINK("https://klasma.github.io/Logging_2305/kartor/A 19437-2023 karta.png", "A 19437-2023")</f>
        <v/>
      </c>
      <c r="U142">
        <f>HYPERLINK("https://klasma.github.io/Logging_2305/knärot/A 19437-2023 karta knärot.png", "A 19437-2023")</f>
        <v/>
      </c>
      <c r="V142">
        <f>HYPERLINK("https://klasma.github.io/Logging_2305/klagomål/A 19437-2023 FSC-klagomål.docx", "A 19437-2023")</f>
        <v/>
      </c>
      <c r="W142">
        <f>HYPERLINK("https://klasma.github.io/Logging_2305/klagomålsmail/A 19437-2023 FSC-klagomål mail.docx", "A 19437-2023")</f>
        <v/>
      </c>
      <c r="X142">
        <f>HYPERLINK("https://klasma.github.io/Logging_2305/tillsyn/A 19437-2023 tillsynsbegäran.docx", "A 19437-2023")</f>
        <v/>
      </c>
      <c r="Y142">
        <f>HYPERLINK("https://klasma.github.io/Logging_2305/tillsynsmail/A 19437-2023 tillsynsbegäran mail.docx", "A 19437-2023")</f>
        <v/>
      </c>
    </row>
    <row r="143" ht="15" customHeight="1">
      <c r="A143" t="inlineStr">
        <is>
          <t>A 47073-2025</t>
        </is>
      </c>
      <c r="B143" s="1" t="n">
        <v>45929.63668981481</v>
      </c>
      <c r="C143" s="1" t="n">
        <v>45970</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25717-2024</t>
        </is>
      </c>
      <c r="B144" s="1" t="n">
        <v>45463.94459490741</v>
      </c>
      <c r="C144" s="1" t="n">
        <v>45970</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60610-2024</t>
        </is>
      </c>
      <c r="B145" s="1" t="n">
        <v>45644.38570601852</v>
      </c>
      <c r="C145" s="1" t="n">
        <v>45970</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47038-2025</t>
        </is>
      </c>
      <c r="B146" s="1" t="n">
        <v>45929.59473379629</v>
      </c>
      <c r="C146" s="1" t="n">
        <v>45970</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Garnlav
Skarp dropptaggsvamp
Skinnlav</t>
        </is>
      </c>
      <c r="S146">
        <f>HYPERLINK("https://klasma.github.io/Logging_2305/artfynd/A 47038-2025 artfynd.xlsx", "A 47038-2025")</f>
        <v/>
      </c>
      <c r="T146">
        <f>HYPERLINK("https://klasma.github.io/Logging_2305/kartor/A 47038-2025 karta.png", "A 47038-2025")</f>
        <v/>
      </c>
      <c r="V146">
        <f>HYPERLINK("https://klasma.github.io/Logging_2305/klagomål/A 47038-2025 FSC-klagomål.docx", "A 47038-2025")</f>
        <v/>
      </c>
      <c r="W146">
        <f>HYPERLINK("https://klasma.github.io/Logging_2305/klagomålsmail/A 47038-2025 FSC-klagomål mail.docx", "A 47038-2025")</f>
        <v/>
      </c>
      <c r="X146">
        <f>HYPERLINK("https://klasma.github.io/Logging_2305/tillsyn/A 47038-2025 tillsynsbegäran.docx", "A 47038-2025")</f>
        <v/>
      </c>
      <c r="Y146">
        <f>HYPERLINK("https://klasma.github.io/Logging_2305/tillsynsmail/A 47038-2025 tillsynsbegäran mail.docx", "A 47038-2025")</f>
        <v/>
      </c>
    </row>
    <row r="147" ht="15" customHeight="1">
      <c r="A147" t="inlineStr">
        <is>
          <t>A 29689-2024</t>
        </is>
      </c>
      <c r="B147" s="1" t="n">
        <v>45484.94427083333</v>
      </c>
      <c r="C147" s="1" t="n">
        <v>45970</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29455-2024</t>
        </is>
      </c>
      <c r="B148" s="1" t="n">
        <v>45483</v>
      </c>
      <c r="C148" s="1" t="n">
        <v>45970</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30989-2024</t>
        </is>
      </c>
      <c r="B149" s="1" t="n">
        <v>45499.54851851852</v>
      </c>
      <c r="C149" s="1" t="n">
        <v>45970</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17912-2025</t>
        </is>
      </c>
      <c r="B150" s="1" t="n">
        <v>45758.75871527778</v>
      </c>
      <c r="C150" s="1" t="n">
        <v>45970</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47183-2023</t>
        </is>
      </c>
      <c r="B151" s="1" t="n">
        <v>45201</v>
      </c>
      <c r="C151" s="1" t="n">
        <v>45970</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57105-2024</t>
        </is>
      </c>
      <c r="B152" s="1" t="n">
        <v>45629.35895833333</v>
      </c>
      <c r="C152" s="1" t="n">
        <v>45970</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49293-2025</t>
        </is>
      </c>
      <c r="B153" s="1" t="n">
        <v>45938.53223379629</v>
      </c>
      <c r="C153" s="1" t="n">
        <v>45970</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58584-2021</t>
        </is>
      </c>
      <c r="B154" s="1" t="n">
        <v>44488</v>
      </c>
      <c r="C154" s="1" t="n">
        <v>45970</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50616-2024</t>
        </is>
      </c>
      <c r="B155" s="1" t="n">
        <v>45601.63574074074</v>
      </c>
      <c r="C155" s="1" t="n">
        <v>45970</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Garnlav
Lunglav
Stuplav</t>
        </is>
      </c>
      <c r="S155">
        <f>HYPERLINK("https://klasma.github.io/Logging_2305/artfynd/A 50616-2024 artfynd.xlsx", "A 50616-2024")</f>
        <v/>
      </c>
      <c r="T155">
        <f>HYPERLINK("https://klasma.github.io/Logging_2305/kartor/A 50616-2024 karta.png", "A 50616-2024")</f>
        <v/>
      </c>
      <c r="V155">
        <f>HYPERLINK("https://klasma.github.io/Logging_2305/klagomål/A 50616-2024 FSC-klagomål.docx", "A 50616-2024")</f>
        <v/>
      </c>
      <c r="W155">
        <f>HYPERLINK("https://klasma.github.io/Logging_2305/klagomålsmail/A 50616-2024 FSC-klagomål mail.docx", "A 50616-2024")</f>
        <v/>
      </c>
      <c r="X155">
        <f>HYPERLINK("https://klasma.github.io/Logging_2305/tillsyn/A 50616-2024 tillsynsbegäran.docx", "A 50616-2024")</f>
        <v/>
      </c>
      <c r="Y155">
        <f>HYPERLINK("https://klasma.github.io/Logging_2305/tillsynsmail/A 50616-2024 tillsynsbegäran mail.docx", "A 50616-2024")</f>
        <v/>
      </c>
    </row>
    <row r="156" ht="15" customHeight="1">
      <c r="A156" t="inlineStr">
        <is>
          <t>A 22546-2025</t>
        </is>
      </c>
      <c r="B156" s="1" t="n">
        <v>45788.46329861111</v>
      </c>
      <c r="C156" s="1" t="n">
        <v>45970</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49624-2025</t>
        </is>
      </c>
      <c r="B157" s="1" t="n">
        <v>45939.59447916667</v>
      </c>
      <c r="C157" s="1" t="n">
        <v>45970</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4180-2022</t>
        </is>
      </c>
      <c r="B158" s="1" t="n">
        <v>44588</v>
      </c>
      <c r="C158" s="1" t="n">
        <v>45970</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23592-2025</t>
        </is>
      </c>
      <c r="B159" s="1" t="n">
        <v>45792.63644675926</v>
      </c>
      <c r="C159" s="1" t="n">
        <v>45970</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23300-2025</t>
        </is>
      </c>
      <c r="B160" s="1" t="n">
        <v>45791.5946875</v>
      </c>
      <c r="C160" s="1" t="n">
        <v>45970</v>
      </c>
      <c r="D160" t="inlineStr">
        <is>
          <t>JÄMTLANDS LÄN</t>
        </is>
      </c>
      <c r="E160" t="inlineStr">
        <is>
          <t>BRÄCKE</t>
        </is>
      </c>
      <c r="F160" t="inlineStr">
        <is>
          <t>SCA</t>
        </is>
      </c>
      <c r="G160" t="n">
        <v>3.9</v>
      </c>
      <c r="H160" t="n">
        <v>1</v>
      </c>
      <c r="I160" t="n">
        <v>1</v>
      </c>
      <c r="J160" t="n">
        <v>2</v>
      </c>
      <c r="K160" t="n">
        <v>0</v>
      </c>
      <c r="L160" t="n">
        <v>0</v>
      </c>
      <c r="M160" t="n">
        <v>0</v>
      </c>
      <c r="N160" t="n">
        <v>0</v>
      </c>
      <c r="O160" t="n">
        <v>2</v>
      </c>
      <c r="P160" t="n">
        <v>0</v>
      </c>
      <c r="Q160" t="n">
        <v>3</v>
      </c>
      <c r="R160" s="2" t="inlineStr">
        <is>
          <t>Mörk kolflarnlav
Tretåig hackspett
Norrlandslav</t>
        </is>
      </c>
      <c r="S160">
        <f>HYPERLINK("https://klasma.github.io/Logging_2305/artfynd/A 23300-2025 artfynd.xlsx", "A 23300-2025")</f>
        <v/>
      </c>
      <c r="T160">
        <f>HYPERLINK("https://klasma.github.io/Logging_2305/kartor/A 23300-2025 karta.png", "A 23300-2025")</f>
        <v/>
      </c>
      <c r="V160">
        <f>HYPERLINK("https://klasma.github.io/Logging_2305/klagomål/A 23300-2025 FSC-klagomål.docx", "A 23300-2025")</f>
        <v/>
      </c>
      <c r="W160">
        <f>HYPERLINK("https://klasma.github.io/Logging_2305/klagomålsmail/A 23300-2025 FSC-klagomål mail.docx", "A 23300-2025")</f>
        <v/>
      </c>
      <c r="X160">
        <f>HYPERLINK("https://klasma.github.io/Logging_2305/tillsyn/A 23300-2025 tillsynsbegäran.docx", "A 23300-2025")</f>
        <v/>
      </c>
      <c r="Y160">
        <f>HYPERLINK("https://klasma.github.io/Logging_2305/tillsynsmail/A 23300-2025 tillsynsbegäran mail.docx", "A 23300-2025")</f>
        <v/>
      </c>
      <c r="Z160">
        <f>HYPERLINK("https://klasma.github.io/Logging_2305/fåglar/A 23300-2025 prioriterade fågelarter.docx", "A 23300-2025")</f>
        <v/>
      </c>
    </row>
    <row r="161" ht="15" customHeight="1">
      <c r="A161" t="inlineStr">
        <is>
          <t>A 23687-2025</t>
        </is>
      </c>
      <c r="B161" s="1" t="n">
        <v>45793.34428240741</v>
      </c>
      <c r="C161" s="1" t="n">
        <v>45970</v>
      </c>
      <c r="D161" t="inlineStr">
        <is>
          <t>JÄMTLANDS LÄN</t>
        </is>
      </c>
      <c r="E161" t="inlineStr">
        <is>
          <t>BRÄCKE</t>
        </is>
      </c>
      <c r="F161" t="inlineStr">
        <is>
          <t>SCA</t>
        </is>
      </c>
      <c r="G161" t="n">
        <v>5.5</v>
      </c>
      <c r="H161" t="n">
        <v>0</v>
      </c>
      <c r="I161" t="n">
        <v>2</v>
      </c>
      <c r="J161" t="n">
        <v>1</v>
      </c>
      <c r="K161" t="n">
        <v>0</v>
      </c>
      <c r="L161" t="n">
        <v>0</v>
      </c>
      <c r="M161" t="n">
        <v>0</v>
      </c>
      <c r="N161" t="n">
        <v>0</v>
      </c>
      <c r="O161" t="n">
        <v>1</v>
      </c>
      <c r="P161" t="n">
        <v>0</v>
      </c>
      <c r="Q161" t="n">
        <v>3</v>
      </c>
      <c r="R161" s="2" t="inlineStr">
        <is>
          <t>Lunglav
Skinnlav
Stuplav</t>
        </is>
      </c>
      <c r="S161">
        <f>HYPERLINK("https://klasma.github.io/Logging_2305/artfynd/A 23687-2025 artfynd.xlsx", "A 23687-2025")</f>
        <v/>
      </c>
      <c r="T161">
        <f>HYPERLINK("https://klasma.github.io/Logging_2305/kartor/A 23687-2025 karta.png", "A 23687-2025")</f>
        <v/>
      </c>
      <c r="V161">
        <f>HYPERLINK("https://klasma.github.io/Logging_2305/klagomål/A 23687-2025 FSC-klagomål.docx", "A 23687-2025")</f>
        <v/>
      </c>
      <c r="W161">
        <f>HYPERLINK("https://klasma.github.io/Logging_2305/klagomålsmail/A 23687-2025 FSC-klagomål mail.docx", "A 23687-2025")</f>
        <v/>
      </c>
      <c r="X161">
        <f>HYPERLINK("https://klasma.github.io/Logging_2305/tillsyn/A 23687-2025 tillsynsbegäran.docx", "A 23687-2025")</f>
        <v/>
      </c>
      <c r="Y161">
        <f>HYPERLINK("https://klasma.github.io/Logging_2305/tillsynsmail/A 23687-2025 tillsynsbegäran mail.docx", "A 23687-2025")</f>
        <v/>
      </c>
    </row>
    <row r="162" ht="15" customHeight="1">
      <c r="A162" t="inlineStr">
        <is>
          <t>A 23854-2025</t>
        </is>
      </c>
      <c r="B162" s="1" t="n">
        <v>45793.65658564815</v>
      </c>
      <c r="C162" s="1" t="n">
        <v>45970</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24635-2025</t>
        </is>
      </c>
      <c r="B163" s="1" t="n">
        <v>45798.61513888889</v>
      </c>
      <c r="C163" s="1" t="n">
        <v>45970</v>
      </c>
      <c r="D163" t="inlineStr">
        <is>
          <t>JÄMTLANDS LÄN</t>
        </is>
      </c>
      <c r="E163" t="inlineStr">
        <is>
          <t>BRÄCKE</t>
        </is>
      </c>
      <c r="G163" t="n">
        <v>3.2</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HYPERLINK("https://klasma.github.io/Logging_2305/artfynd/A 24635-2025 artfynd.xlsx", "A 24635-2025")</f>
        <v/>
      </c>
      <c r="T163">
        <f>HYPERLINK("https://klasma.github.io/Logging_2305/kartor/A 24635-2025 karta.png", "A 24635-2025")</f>
        <v/>
      </c>
      <c r="V163">
        <f>HYPERLINK("https://klasma.github.io/Logging_2305/klagomål/A 24635-2025 FSC-klagomål.docx", "A 24635-2025")</f>
        <v/>
      </c>
      <c r="W163">
        <f>HYPERLINK("https://klasma.github.io/Logging_2305/klagomålsmail/A 24635-2025 FSC-klagomål mail.docx", "A 24635-2025")</f>
        <v/>
      </c>
      <c r="X163">
        <f>HYPERLINK("https://klasma.github.io/Logging_2305/tillsyn/A 24635-2025 tillsynsbegäran.docx", "A 24635-2025")</f>
        <v/>
      </c>
      <c r="Y163">
        <f>HYPERLINK("https://klasma.github.io/Logging_2305/tillsynsmail/A 24635-2025 tillsynsbegäran mail.docx", "A 24635-2025")</f>
        <v/>
      </c>
      <c r="Z163">
        <f>HYPERLINK("https://klasma.github.io/Logging_2305/fåglar/A 24635-2025 prioriterade fågelarter.docx", "A 24635-2025")</f>
        <v/>
      </c>
    </row>
    <row r="164" ht="15" customHeight="1">
      <c r="A164" t="inlineStr">
        <is>
          <t>A 30486-2024</t>
        </is>
      </c>
      <c r="B164" s="1" t="n">
        <v>45491.95018518518</v>
      </c>
      <c r="C164" s="1" t="n">
        <v>45970</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45970</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45970</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45970</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41648-2023</t>
        </is>
      </c>
      <c r="B168" s="1" t="n">
        <v>45175</v>
      </c>
      <c r="C168" s="1" t="n">
        <v>45970</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19336-2024</t>
        </is>
      </c>
      <c r="B169" s="1" t="n">
        <v>45428.97079861111</v>
      </c>
      <c r="C169" s="1" t="n">
        <v>45970</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30112-2025</t>
        </is>
      </c>
      <c r="B170" s="1" t="n">
        <v>45826.71938657408</v>
      </c>
      <c r="C170" s="1" t="n">
        <v>45970</v>
      </c>
      <c r="D170" t="inlineStr">
        <is>
          <t>JÄMTLANDS LÄN</t>
        </is>
      </c>
      <c r="E170" t="inlineStr">
        <is>
          <t>BRÄCKE</t>
        </is>
      </c>
      <c r="F170" t="inlineStr">
        <is>
          <t>SCA</t>
        </is>
      </c>
      <c r="G170" t="n">
        <v>8.9</v>
      </c>
      <c r="H170" t="n">
        <v>1</v>
      </c>
      <c r="I170" t="n">
        <v>1</v>
      </c>
      <c r="J170" t="n">
        <v>1</v>
      </c>
      <c r="K170" t="n">
        <v>1</v>
      </c>
      <c r="L170" t="n">
        <v>0</v>
      </c>
      <c r="M170" t="n">
        <v>0</v>
      </c>
      <c r="N170" t="n">
        <v>0</v>
      </c>
      <c r="O170" t="n">
        <v>2</v>
      </c>
      <c r="P170" t="n">
        <v>1</v>
      </c>
      <c r="Q170" t="n">
        <v>3</v>
      </c>
      <c r="R170" s="2" t="inlineStr">
        <is>
          <t>Knärot
Rosenticka
Kransrams</t>
        </is>
      </c>
      <c r="S170">
        <f>HYPERLINK("https://klasma.github.io/Logging_2305/artfynd/A 30112-2025 artfynd.xlsx", "A 30112-2025")</f>
        <v/>
      </c>
      <c r="T170">
        <f>HYPERLINK("https://klasma.github.io/Logging_2305/kartor/A 30112-2025 karta.png", "A 30112-2025")</f>
        <v/>
      </c>
      <c r="U170">
        <f>HYPERLINK("https://klasma.github.io/Logging_2305/knärot/A 30112-2025 karta knärot.png", "A 30112-2025")</f>
        <v/>
      </c>
      <c r="V170">
        <f>HYPERLINK("https://klasma.github.io/Logging_2305/klagomål/A 30112-2025 FSC-klagomål.docx", "A 30112-2025")</f>
        <v/>
      </c>
      <c r="W170">
        <f>HYPERLINK("https://klasma.github.io/Logging_2305/klagomålsmail/A 30112-2025 FSC-klagomål mail.docx", "A 30112-2025")</f>
        <v/>
      </c>
      <c r="X170">
        <f>HYPERLINK("https://klasma.github.io/Logging_2305/tillsyn/A 30112-2025 tillsynsbegäran.docx", "A 30112-2025")</f>
        <v/>
      </c>
      <c r="Y170">
        <f>HYPERLINK("https://klasma.github.io/Logging_2305/tillsynsmail/A 30112-2025 tillsynsbegäran mail.docx", "A 30112-2025")</f>
        <v/>
      </c>
    </row>
    <row r="171" ht="15" customHeight="1">
      <c r="A171" t="inlineStr">
        <is>
          <t>A 53261-2025</t>
        </is>
      </c>
      <c r="B171" s="1" t="n">
        <v>45958.67787037037</v>
      </c>
      <c r="C171" s="1" t="n">
        <v>45970</v>
      </c>
      <c r="D171" t="inlineStr">
        <is>
          <t>JÄMTLANDS LÄN</t>
        </is>
      </c>
      <c r="E171" t="inlineStr">
        <is>
          <t>BRÄCKE</t>
        </is>
      </c>
      <c r="F171" t="inlineStr">
        <is>
          <t>SCA</t>
        </is>
      </c>
      <c r="G171" t="n">
        <v>4.3</v>
      </c>
      <c r="H171" t="n">
        <v>0</v>
      </c>
      <c r="I171" t="n">
        <v>1</v>
      </c>
      <c r="J171" t="n">
        <v>2</v>
      </c>
      <c r="K171" t="n">
        <v>0</v>
      </c>
      <c r="L171" t="n">
        <v>0</v>
      </c>
      <c r="M171" t="n">
        <v>0</v>
      </c>
      <c r="N171" t="n">
        <v>0</v>
      </c>
      <c r="O171" t="n">
        <v>2</v>
      </c>
      <c r="P171" t="n">
        <v>0</v>
      </c>
      <c r="Q171" t="n">
        <v>3</v>
      </c>
      <c r="R171" s="2" t="inlineStr">
        <is>
          <t>Kolflarnlav
Lunglav
Skinnlav</t>
        </is>
      </c>
      <c r="S171">
        <f>HYPERLINK("https://klasma.github.io/Logging_2305/artfynd/A 53261-2025 artfynd.xlsx", "A 53261-2025")</f>
        <v/>
      </c>
      <c r="T171">
        <f>HYPERLINK("https://klasma.github.io/Logging_2305/kartor/A 53261-2025 karta.png", "A 53261-2025")</f>
        <v/>
      </c>
      <c r="V171">
        <f>HYPERLINK("https://klasma.github.io/Logging_2305/klagomål/A 53261-2025 FSC-klagomål.docx", "A 53261-2025")</f>
        <v/>
      </c>
      <c r="W171">
        <f>HYPERLINK("https://klasma.github.io/Logging_2305/klagomålsmail/A 53261-2025 FSC-klagomål mail.docx", "A 53261-2025")</f>
        <v/>
      </c>
      <c r="X171">
        <f>HYPERLINK("https://klasma.github.io/Logging_2305/tillsyn/A 53261-2025 tillsynsbegäran.docx", "A 53261-2025")</f>
        <v/>
      </c>
      <c r="Y171">
        <f>HYPERLINK("https://klasma.github.io/Logging_2305/tillsynsmail/A 53261-2025 tillsynsbegäran mail.docx", "A 53261-2025")</f>
        <v/>
      </c>
    </row>
    <row r="172" ht="15" customHeight="1">
      <c r="A172" t="inlineStr">
        <is>
          <t>A 50516-2023</t>
        </is>
      </c>
      <c r="B172" s="1" t="n">
        <v>45216</v>
      </c>
      <c r="C172" s="1" t="n">
        <v>45970</v>
      </c>
      <c r="D172" t="inlineStr">
        <is>
          <t>JÄMTLANDS LÄN</t>
        </is>
      </c>
      <c r="E172" t="inlineStr">
        <is>
          <t>BRÄCKE</t>
        </is>
      </c>
      <c r="F172" t="inlineStr">
        <is>
          <t>SCA</t>
        </is>
      </c>
      <c r="G172" t="n">
        <v>3.1</v>
      </c>
      <c r="H172" t="n">
        <v>3</v>
      </c>
      <c r="I172" t="n">
        <v>0</v>
      </c>
      <c r="J172" t="n">
        <v>2</v>
      </c>
      <c r="K172" t="n">
        <v>0</v>
      </c>
      <c r="L172" t="n">
        <v>0</v>
      </c>
      <c r="M172" t="n">
        <v>0</v>
      </c>
      <c r="N172" t="n">
        <v>0</v>
      </c>
      <c r="O172" t="n">
        <v>2</v>
      </c>
      <c r="P172" t="n">
        <v>0</v>
      </c>
      <c r="Q172" t="n">
        <v>3</v>
      </c>
      <c r="R172" s="2" t="inlineStr">
        <is>
          <t>Spillkråka
Talltita
Grönsiska</t>
        </is>
      </c>
      <c r="S172">
        <f>HYPERLINK("https://klasma.github.io/Logging_2305/artfynd/A 50516-2023 artfynd.xlsx", "A 50516-2023")</f>
        <v/>
      </c>
      <c r="T172">
        <f>HYPERLINK("https://klasma.github.io/Logging_2305/kartor/A 50516-2023 karta.png", "A 50516-2023")</f>
        <v/>
      </c>
      <c r="V172">
        <f>HYPERLINK("https://klasma.github.io/Logging_2305/klagomål/A 50516-2023 FSC-klagomål.docx", "A 50516-2023")</f>
        <v/>
      </c>
      <c r="W172">
        <f>HYPERLINK("https://klasma.github.io/Logging_2305/klagomålsmail/A 50516-2023 FSC-klagomål mail.docx", "A 50516-2023")</f>
        <v/>
      </c>
      <c r="X172">
        <f>HYPERLINK("https://klasma.github.io/Logging_2305/tillsyn/A 50516-2023 tillsynsbegäran.docx", "A 50516-2023")</f>
        <v/>
      </c>
      <c r="Y172">
        <f>HYPERLINK("https://klasma.github.io/Logging_2305/tillsynsmail/A 50516-2023 tillsynsbegäran mail.docx", "A 50516-2023")</f>
        <v/>
      </c>
      <c r="Z172">
        <f>HYPERLINK("https://klasma.github.io/Logging_2305/fåglar/A 50516-2023 prioriterade fågelarter.docx", "A 50516-2023")</f>
        <v/>
      </c>
    </row>
    <row r="173" ht="15" customHeight="1">
      <c r="A173" t="inlineStr">
        <is>
          <t>A 33678-2025</t>
        </is>
      </c>
      <c r="B173" s="1" t="n">
        <v>45841.67853009259</v>
      </c>
      <c r="C173" s="1" t="n">
        <v>45970</v>
      </c>
      <c r="D173" t="inlineStr">
        <is>
          <t>JÄMTLANDS LÄN</t>
        </is>
      </c>
      <c r="E173" t="inlineStr">
        <is>
          <t>BRÄCKE</t>
        </is>
      </c>
      <c r="F173" t="inlineStr">
        <is>
          <t>SCA</t>
        </is>
      </c>
      <c r="G173" t="n">
        <v>6.1</v>
      </c>
      <c r="H173" t="n">
        <v>0</v>
      </c>
      <c r="I173" t="n">
        <v>2</v>
      </c>
      <c r="J173" t="n">
        <v>1</v>
      </c>
      <c r="K173" t="n">
        <v>0</v>
      </c>
      <c r="L173" t="n">
        <v>0</v>
      </c>
      <c r="M173" t="n">
        <v>0</v>
      </c>
      <c r="N173" t="n">
        <v>0</v>
      </c>
      <c r="O173" t="n">
        <v>1</v>
      </c>
      <c r="P173" t="n">
        <v>0</v>
      </c>
      <c r="Q173" t="n">
        <v>3</v>
      </c>
      <c r="R173" s="2" t="inlineStr">
        <is>
          <t>Kolflarnlav
Dropptaggsvamp
Skarp dropptaggsvamp</t>
        </is>
      </c>
      <c r="S173">
        <f>HYPERLINK("https://klasma.github.io/Logging_2305/artfynd/A 33678-2025 artfynd.xlsx", "A 33678-2025")</f>
        <v/>
      </c>
      <c r="T173">
        <f>HYPERLINK("https://klasma.github.io/Logging_2305/kartor/A 33678-2025 karta.png", "A 33678-2025")</f>
        <v/>
      </c>
      <c r="V173">
        <f>HYPERLINK("https://klasma.github.io/Logging_2305/klagomål/A 33678-2025 FSC-klagomål.docx", "A 33678-2025")</f>
        <v/>
      </c>
      <c r="W173">
        <f>HYPERLINK("https://klasma.github.io/Logging_2305/klagomålsmail/A 33678-2025 FSC-klagomål mail.docx", "A 33678-2025")</f>
        <v/>
      </c>
      <c r="X173">
        <f>HYPERLINK("https://klasma.github.io/Logging_2305/tillsyn/A 33678-2025 tillsynsbegäran.docx", "A 33678-2025")</f>
        <v/>
      </c>
      <c r="Y173">
        <f>HYPERLINK("https://klasma.github.io/Logging_2305/tillsynsmail/A 33678-2025 tillsynsbegäran mail.docx", "A 33678-2025")</f>
        <v/>
      </c>
    </row>
    <row r="174" ht="15" customHeight="1">
      <c r="A174" t="inlineStr">
        <is>
          <t>A 16959-2025</t>
        </is>
      </c>
      <c r="B174" s="1" t="n">
        <v>45755.44854166666</v>
      </c>
      <c r="C174" s="1" t="n">
        <v>45970</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35907-2025</t>
        </is>
      </c>
      <c r="B175" s="1" t="n">
        <v>45862.5109837963</v>
      </c>
      <c r="C175" s="1" t="n">
        <v>45970</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45970</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45970</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11002-2022</t>
        </is>
      </c>
      <c r="B178" s="1" t="n">
        <v>44628</v>
      </c>
      <c r="C178" s="1" t="n">
        <v>45970</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30607-2022</t>
        </is>
      </c>
      <c r="B179" s="1" t="n">
        <v>44762</v>
      </c>
      <c r="C179" s="1" t="n">
        <v>45970</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45970</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45970</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45970</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45970</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45970</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19916-2025</t>
        </is>
      </c>
      <c r="B185" s="1" t="n">
        <v>45771.61515046296</v>
      </c>
      <c r="C185" s="1" t="n">
        <v>45970</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47295-2023</t>
        </is>
      </c>
      <c r="B186" s="1" t="n">
        <v>45196</v>
      </c>
      <c r="C186" s="1" t="n">
        <v>45970</v>
      </c>
      <c r="D186" t="inlineStr">
        <is>
          <t>JÄMTLANDS LÄN</t>
        </is>
      </c>
      <c r="E186" t="inlineStr">
        <is>
          <t>BRÄCKE</t>
        </is>
      </c>
      <c r="F186" t="inlineStr">
        <is>
          <t>SCA</t>
        </is>
      </c>
      <c r="G186" t="n">
        <v>11.4</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47295-2023 artfynd.xlsx", "A 47295-2023")</f>
        <v/>
      </c>
      <c r="T186">
        <f>HYPERLINK("https://klasma.github.io/Logging_2305/kartor/A 47295-2023 karta.png", "A 47295-2023")</f>
        <v/>
      </c>
      <c r="U186">
        <f>HYPERLINK("https://klasma.github.io/Logging_2305/knärot/A 47295-2023 karta knärot.png", "A 47295-2023")</f>
        <v/>
      </c>
      <c r="V186">
        <f>HYPERLINK("https://klasma.github.io/Logging_2305/klagomål/A 47295-2023 FSC-klagomål.docx", "A 47295-2023")</f>
        <v/>
      </c>
      <c r="W186">
        <f>HYPERLINK("https://klasma.github.io/Logging_2305/klagomålsmail/A 47295-2023 FSC-klagomål mail.docx", "A 47295-2023")</f>
        <v/>
      </c>
      <c r="X186">
        <f>HYPERLINK("https://klasma.github.io/Logging_2305/tillsyn/A 47295-2023 tillsynsbegäran.docx", "A 47295-2023")</f>
        <v/>
      </c>
      <c r="Y186">
        <f>HYPERLINK("https://klasma.github.io/Logging_2305/tillsynsmail/A 47295-2023 tillsynsbegäran mail.docx", "A 47295-2023")</f>
        <v/>
      </c>
    </row>
    <row r="187" ht="15" customHeight="1">
      <c r="A187" t="inlineStr">
        <is>
          <t>A 36456-2021</t>
        </is>
      </c>
      <c r="B187" s="1" t="n">
        <v>44390</v>
      </c>
      <c r="C187" s="1" t="n">
        <v>45970</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45970</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12588-2024</t>
        </is>
      </c>
      <c r="B189" s="1" t="n">
        <v>45379.93667824074</v>
      </c>
      <c r="C189" s="1" t="n">
        <v>45970</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2464-2025</t>
        </is>
      </c>
      <c r="B190" s="1" t="n">
        <v>45674.4693287037</v>
      </c>
      <c r="C190" s="1" t="n">
        <v>45970</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4134-2025</t>
        </is>
      </c>
      <c r="B191" s="1" t="n">
        <v>45685.34582175926</v>
      </c>
      <c r="C191" s="1" t="n">
        <v>45970</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55343-2023</t>
        </is>
      </c>
      <c r="B192" s="1" t="n">
        <v>45237</v>
      </c>
      <c r="C192" s="1" t="n">
        <v>45970</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11787-2025</t>
        </is>
      </c>
      <c r="B193" s="1" t="n">
        <v>45727.72017361111</v>
      </c>
      <c r="C193" s="1" t="n">
        <v>45970</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15146-2024</t>
        </is>
      </c>
      <c r="B194" s="1" t="n">
        <v>45399.94361111111</v>
      </c>
      <c r="C194" s="1" t="n">
        <v>45970</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45970</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2467-2025</t>
        </is>
      </c>
      <c r="B196" s="1" t="n">
        <v>45674.46979166667</v>
      </c>
      <c r="C196" s="1" t="n">
        <v>45970</v>
      </c>
      <c r="D196" t="inlineStr">
        <is>
          <t>JÄMTLANDS LÄN</t>
        </is>
      </c>
      <c r="E196" t="inlineStr">
        <is>
          <t>BRÄCKE</t>
        </is>
      </c>
      <c r="F196" t="inlineStr">
        <is>
          <t>SCA</t>
        </is>
      </c>
      <c r="G196" t="n">
        <v>5.6</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HYPERLINK("https://klasma.github.io/Logging_2305/artfynd/A 2467-2025 artfynd.xlsx", "A 2467-2025")</f>
        <v/>
      </c>
      <c r="T196">
        <f>HYPERLINK("https://klasma.github.io/Logging_2305/kartor/A 2467-2025 karta.png", "A 2467-2025")</f>
        <v/>
      </c>
      <c r="V196">
        <f>HYPERLINK("https://klasma.github.io/Logging_2305/klagomål/A 2467-2025 FSC-klagomål.docx", "A 2467-2025")</f>
        <v/>
      </c>
      <c r="W196">
        <f>HYPERLINK("https://klasma.github.io/Logging_2305/klagomålsmail/A 2467-2025 FSC-klagomål mail.docx", "A 2467-2025")</f>
        <v/>
      </c>
      <c r="X196">
        <f>HYPERLINK("https://klasma.github.io/Logging_2305/tillsyn/A 2467-2025 tillsynsbegäran.docx", "A 2467-2025")</f>
        <v/>
      </c>
      <c r="Y196">
        <f>HYPERLINK("https://klasma.github.io/Logging_2305/tillsynsmail/A 2467-2025 tillsynsbegäran mail.docx", "A 2467-2025")</f>
        <v/>
      </c>
      <c r="Z196">
        <f>HYPERLINK("https://klasma.github.io/Logging_2305/fåglar/A 2467-2025 prioriterade fågelarter.docx", "A 2467-2025")</f>
        <v/>
      </c>
    </row>
    <row r="197" ht="15" customHeight="1">
      <c r="A197" t="inlineStr">
        <is>
          <t>A 29672-2024</t>
        </is>
      </c>
      <c r="B197" s="1" t="n">
        <v>45484.94189814815</v>
      </c>
      <c r="C197" s="1" t="n">
        <v>45970</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45012-2023</t>
        </is>
      </c>
      <c r="B198" s="1" t="n">
        <v>45190</v>
      </c>
      <c r="C198" s="1" t="n">
        <v>45970</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39172-2021</t>
        </is>
      </c>
      <c r="B199" s="1" t="n">
        <v>44412</v>
      </c>
      <c r="C199" s="1" t="n">
        <v>45970</v>
      </c>
      <c r="D199" t="inlineStr">
        <is>
          <t>JÄMTLANDS LÄN</t>
        </is>
      </c>
      <c r="E199" t="inlineStr">
        <is>
          <t>BRÄCKE</t>
        </is>
      </c>
      <c r="F199" t="inlineStr">
        <is>
          <t>SCA</t>
        </is>
      </c>
      <c r="G199" t="n">
        <v>9</v>
      </c>
      <c r="H199" t="n">
        <v>0</v>
      </c>
      <c r="I199" t="n">
        <v>1</v>
      </c>
      <c r="J199" t="n">
        <v>1</v>
      </c>
      <c r="K199" t="n">
        <v>0</v>
      </c>
      <c r="L199" t="n">
        <v>0</v>
      </c>
      <c r="M199" t="n">
        <v>0</v>
      </c>
      <c r="N199" t="n">
        <v>0</v>
      </c>
      <c r="O199" t="n">
        <v>1</v>
      </c>
      <c r="P199" t="n">
        <v>0</v>
      </c>
      <c r="Q199" t="n">
        <v>2</v>
      </c>
      <c r="R199" s="2" t="inlineStr">
        <is>
          <t>Lunglav
Bårdlav</t>
        </is>
      </c>
      <c r="S199">
        <f>HYPERLINK("https://klasma.github.io/Logging_2305/artfynd/A 39172-2021 artfynd.xlsx", "A 39172-2021")</f>
        <v/>
      </c>
      <c r="T199">
        <f>HYPERLINK("https://klasma.github.io/Logging_2305/kartor/A 39172-2021 karta.png", "A 39172-2021")</f>
        <v/>
      </c>
      <c r="V199">
        <f>HYPERLINK("https://klasma.github.io/Logging_2305/klagomål/A 39172-2021 FSC-klagomål.docx", "A 39172-2021")</f>
        <v/>
      </c>
      <c r="W199">
        <f>HYPERLINK("https://klasma.github.io/Logging_2305/klagomålsmail/A 39172-2021 FSC-klagomål mail.docx", "A 39172-2021")</f>
        <v/>
      </c>
      <c r="X199">
        <f>HYPERLINK("https://klasma.github.io/Logging_2305/tillsyn/A 39172-2021 tillsynsbegäran.docx", "A 39172-2021")</f>
        <v/>
      </c>
      <c r="Y199">
        <f>HYPERLINK("https://klasma.github.io/Logging_2305/tillsynsmail/A 39172-2021 tillsynsbegäran mail.docx", "A 39172-2021")</f>
        <v/>
      </c>
    </row>
    <row r="200" ht="15" customHeight="1">
      <c r="A200" t="inlineStr">
        <is>
          <t>A 22382-2024</t>
        </is>
      </c>
      <c r="B200" s="1" t="n">
        <v>45446</v>
      </c>
      <c r="C200" s="1" t="n">
        <v>45970</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8248-2024</t>
        </is>
      </c>
      <c r="B201" s="1" t="n">
        <v>45351</v>
      </c>
      <c r="C201" s="1" t="n">
        <v>45970</v>
      </c>
      <c r="D201" t="inlineStr">
        <is>
          <t>JÄMTLANDS LÄN</t>
        </is>
      </c>
      <c r="E201" t="inlineStr">
        <is>
          <t>BRÄCKE</t>
        </is>
      </c>
      <c r="F201" t="inlineStr">
        <is>
          <t>SCA</t>
        </is>
      </c>
      <c r="G201" t="n">
        <v>1.8</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8248-2024 artfynd.xlsx", "A 8248-2024")</f>
        <v/>
      </c>
      <c r="T201">
        <f>HYPERLINK("https://klasma.github.io/Logging_2305/kartor/A 8248-2024 karta.png", "A 8248-2024")</f>
        <v/>
      </c>
      <c r="V201">
        <f>HYPERLINK("https://klasma.github.io/Logging_2305/klagomål/A 8248-2024 FSC-klagomål.docx", "A 8248-2024")</f>
        <v/>
      </c>
      <c r="W201">
        <f>HYPERLINK("https://klasma.github.io/Logging_2305/klagomålsmail/A 8248-2024 FSC-klagomål mail.docx", "A 8248-2024")</f>
        <v/>
      </c>
      <c r="X201">
        <f>HYPERLINK("https://klasma.github.io/Logging_2305/tillsyn/A 8248-2024 tillsynsbegäran.docx", "A 8248-2024")</f>
        <v/>
      </c>
      <c r="Y201">
        <f>HYPERLINK("https://klasma.github.io/Logging_2305/tillsynsmail/A 8248-2024 tillsynsbegäran mail.docx", "A 8248-2024")</f>
        <v/>
      </c>
    </row>
    <row r="202" ht="15" customHeight="1">
      <c r="A202" t="inlineStr">
        <is>
          <t>A 30988-2024</t>
        </is>
      </c>
      <c r="B202" s="1" t="n">
        <v>45499.54738425926</v>
      </c>
      <c r="C202" s="1" t="n">
        <v>45970</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45499.54975694444</v>
      </c>
      <c r="C203" s="1" t="n">
        <v>45970</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6903-2024</t>
        </is>
      </c>
      <c r="B204" s="1" t="n">
        <v>45342</v>
      </c>
      <c r="C204" s="1" t="n">
        <v>45970</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45970</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33874-2023</t>
        </is>
      </c>
      <c r="B206" s="1" t="n">
        <v>45133</v>
      </c>
      <c r="C206" s="1" t="n">
        <v>45970</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17992-2025</t>
        </is>
      </c>
      <c r="B207" s="1" t="n">
        <v>45761.40657407408</v>
      </c>
      <c r="C207" s="1" t="n">
        <v>45970</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45970</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45970</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10105-2025</t>
        </is>
      </c>
      <c r="B210" s="1" t="n">
        <v>45719.58310185185</v>
      </c>
      <c r="C210" s="1" t="n">
        <v>45970</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40818-2024</t>
        </is>
      </c>
      <c r="B211" s="1" t="n">
        <v>45558.55251157407</v>
      </c>
      <c r="C211" s="1" t="n">
        <v>45970</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48772-2024</t>
        </is>
      </c>
      <c r="B212" s="1" t="n">
        <v>45593.61495370371</v>
      </c>
      <c r="C212" s="1" t="n">
        <v>45970</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21408-2025</t>
        </is>
      </c>
      <c r="B213" s="1" t="n">
        <v>45782.4906712963</v>
      </c>
      <c r="C213" s="1" t="n">
        <v>45970</v>
      </c>
      <c r="D213" t="inlineStr">
        <is>
          <t>JÄMTLANDS LÄN</t>
        </is>
      </c>
      <c r="E213" t="inlineStr">
        <is>
          <t>BRÄCKE</t>
        </is>
      </c>
      <c r="F213" t="inlineStr">
        <is>
          <t>SCA</t>
        </is>
      </c>
      <c r="G213" t="n">
        <v>1.2</v>
      </c>
      <c r="H213" t="n">
        <v>1</v>
      </c>
      <c r="I213" t="n">
        <v>1</v>
      </c>
      <c r="J213" t="n">
        <v>0</v>
      </c>
      <c r="K213" t="n">
        <v>0</v>
      </c>
      <c r="L213" t="n">
        <v>0</v>
      </c>
      <c r="M213" t="n">
        <v>0</v>
      </c>
      <c r="N213" t="n">
        <v>0</v>
      </c>
      <c r="O213" t="n">
        <v>0</v>
      </c>
      <c r="P213" t="n">
        <v>0</v>
      </c>
      <c r="Q213" t="n">
        <v>2</v>
      </c>
      <c r="R213" s="2" t="inlineStr">
        <is>
          <t>Underviol
Blåsippa</t>
        </is>
      </c>
      <c r="S213">
        <f>HYPERLINK("https://klasma.github.io/Logging_2305/artfynd/A 21408-2025 artfynd.xlsx", "A 21408-2025")</f>
        <v/>
      </c>
      <c r="T213">
        <f>HYPERLINK("https://klasma.github.io/Logging_2305/kartor/A 21408-2025 karta.png", "A 21408-2025")</f>
        <v/>
      </c>
      <c r="V213">
        <f>HYPERLINK("https://klasma.github.io/Logging_2305/klagomål/A 21408-2025 FSC-klagomål.docx", "A 21408-2025")</f>
        <v/>
      </c>
      <c r="W213">
        <f>HYPERLINK("https://klasma.github.io/Logging_2305/klagomålsmail/A 21408-2025 FSC-klagomål mail.docx", "A 21408-2025")</f>
        <v/>
      </c>
      <c r="X213">
        <f>HYPERLINK("https://klasma.github.io/Logging_2305/tillsyn/A 21408-2025 tillsynsbegäran.docx", "A 21408-2025")</f>
        <v/>
      </c>
      <c r="Y213">
        <f>HYPERLINK("https://klasma.github.io/Logging_2305/tillsynsmail/A 21408-2025 tillsynsbegäran mail.docx", "A 21408-2025")</f>
        <v/>
      </c>
    </row>
    <row r="214" ht="15" customHeight="1">
      <c r="A214" t="inlineStr">
        <is>
          <t>A 41178-2025</t>
        </is>
      </c>
      <c r="B214" s="1" t="n">
        <v>45898.55261574074</v>
      </c>
      <c r="C214" s="1" t="n">
        <v>45970</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5858-2025</t>
        </is>
      </c>
      <c r="B215" s="1" t="n">
        <v>45695.34447916667</v>
      </c>
      <c r="C215" s="1" t="n">
        <v>45970</v>
      </c>
      <c r="D215" t="inlineStr">
        <is>
          <t>JÄMTLANDS LÄN</t>
        </is>
      </c>
      <c r="E215" t="inlineStr">
        <is>
          <t>BRÄCKE</t>
        </is>
      </c>
      <c r="G215" t="n">
        <v>2.7</v>
      </c>
      <c r="H215" t="n">
        <v>1</v>
      </c>
      <c r="I215" t="n">
        <v>0</v>
      </c>
      <c r="J215" t="n">
        <v>0</v>
      </c>
      <c r="K215" t="n">
        <v>0</v>
      </c>
      <c r="L215" t="n">
        <v>2</v>
      </c>
      <c r="M215" t="n">
        <v>0</v>
      </c>
      <c r="N215" t="n">
        <v>0</v>
      </c>
      <c r="O215" t="n">
        <v>2</v>
      </c>
      <c r="P215" t="n">
        <v>2</v>
      </c>
      <c r="Q215" t="n">
        <v>2</v>
      </c>
      <c r="R215" s="2" t="inlineStr">
        <is>
          <t>Bredgentiana
Fältgentiana</t>
        </is>
      </c>
      <c r="S215">
        <f>HYPERLINK("https://klasma.github.io/Logging_2305/artfynd/A 5858-2025 artfynd.xlsx", "A 5858-2025")</f>
        <v/>
      </c>
      <c r="T215">
        <f>HYPERLINK("https://klasma.github.io/Logging_2305/kartor/A 5858-2025 karta.png", "A 5858-2025")</f>
        <v/>
      </c>
      <c r="V215">
        <f>HYPERLINK("https://klasma.github.io/Logging_2305/klagomål/A 5858-2025 FSC-klagomål.docx", "A 5858-2025")</f>
        <v/>
      </c>
      <c r="W215">
        <f>HYPERLINK("https://klasma.github.io/Logging_2305/klagomålsmail/A 5858-2025 FSC-klagomål mail.docx", "A 5858-2025")</f>
        <v/>
      </c>
      <c r="X215">
        <f>HYPERLINK("https://klasma.github.io/Logging_2305/tillsyn/A 5858-2025 tillsynsbegäran.docx", "A 5858-2025")</f>
        <v/>
      </c>
      <c r="Y215">
        <f>HYPERLINK("https://klasma.github.io/Logging_2305/tillsynsmail/A 5858-2025 tillsynsbegäran mail.docx", "A 5858-2025")</f>
        <v/>
      </c>
    </row>
    <row r="216" ht="15" customHeight="1">
      <c r="A216" t="inlineStr">
        <is>
          <t>A 40401-2023</t>
        </is>
      </c>
      <c r="B216" s="1" t="n">
        <v>45169</v>
      </c>
      <c r="C216" s="1" t="n">
        <v>45970</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24747-2025</t>
        </is>
      </c>
      <c r="B217" s="1" t="n">
        <v>45799.34675925926</v>
      </c>
      <c r="C217" s="1" t="n">
        <v>45970</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50485-2025</t>
        </is>
      </c>
      <c r="B218" s="1" t="n">
        <v>45945.38582175926</v>
      </c>
      <c r="C218" s="1" t="n">
        <v>45970</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26178-2025</t>
        </is>
      </c>
      <c r="B219" s="1" t="n">
        <v>45805.46917824074</v>
      </c>
      <c r="C219" s="1" t="n">
        <v>45970</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22706-2025</t>
        </is>
      </c>
      <c r="B220" s="1" t="n">
        <v>45789.55290509259</v>
      </c>
      <c r="C220" s="1" t="n">
        <v>45970</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Kolflarnlav
Stiftgelélav</t>
        </is>
      </c>
      <c r="S220">
        <f>HYPERLINK("https://klasma.github.io/Logging_2305/artfynd/A 22706-2025 artfynd.xlsx", "A 22706-2025")</f>
        <v/>
      </c>
      <c r="T220">
        <f>HYPERLINK("https://klasma.github.io/Logging_2305/kartor/A 22706-2025 karta.png", "A 22706-2025")</f>
        <v/>
      </c>
      <c r="V220">
        <f>HYPERLINK("https://klasma.github.io/Logging_2305/klagomål/A 22706-2025 FSC-klagomål.docx", "A 22706-2025")</f>
        <v/>
      </c>
      <c r="W220">
        <f>HYPERLINK("https://klasma.github.io/Logging_2305/klagomålsmail/A 22706-2025 FSC-klagomål mail.docx", "A 22706-2025")</f>
        <v/>
      </c>
      <c r="X220">
        <f>HYPERLINK("https://klasma.github.io/Logging_2305/tillsyn/A 22706-2025 tillsynsbegäran.docx", "A 22706-2025")</f>
        <v/>
      </c>
      <c r="Y220">
        <f>HYPERLINK("https://klasma.github.io/Logging_2305/tillsynsmail/A 22706-2025 tillsynsbegäran mail.docx", "A 22706-2025")</f>
        <v/>
      </c>
    </row>
    <row r="221" ht="15" customHeight="1">
      <c r="A221" t="inlineStr">
        <is>
          <t>A 42807-2025</t>
        </is>
      </c>
      <c r="B221" s="1" t="n">
        <v>45908.55247685185</v>
      </c>
      <c r="C221" s="1" t="n">
        <v>45970</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27062-2025</t>
        </is>
      </c>
      <c r="B222" s="1" t="n">
        <v>45811.63614583333</v>
      </c>
      <c r="C222" s="1" t="n">
        <v>45970</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43178-2025</t>
        </is>
      </c>
      <c r="B223" s="1" t="n">
        <v>45910.40681712963</v>
      </c>
      <c r="C223" s="1" t="n">
        <v>45970</v>
      </c>
      <c r="D223" t="inlineStr">
        <is>
          <t>JÄMTLANDS LÄN</t>
        </is>
      </c>
      <c r="E223" t="inlineStr">
        <is>
          <t>BRÄCKE</t>
        </is>
      </c>
      <c r="F223" t="inlineStr">
        <is>
          <t>SCA</t>
        </is>
      </c>
      <c r="G223" t="n">
        <v>4.6</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43178-2025 artfynd.xlsx", "A 43178-2025")</f>
        <v/>
      </c>
      <c r="T223">
        <f>HYPERLINK("https://klasma.github.io/Logging_2305/kartor/A 43178-2025 karta.png", "A 43178-2025")</f>
        <v/>
      </c>
      <c r="V223">
        <f>HYPERLINK("https://klasma.github.io/Logging_2305/klagomål/A 43178-2025 FSC-klagomål.docx", "A 43178-2025")</f>
        <v/>
      </c>
      <c r="W223">
        <f>HYPERLINK("https://klasma.github.io/Logging_2305/klagomålsmail/A 43178-2025 FSC-klagomål mail.docx", "A 43178-2025")</f>
        <v/>
      </c>
      <c r="X223">
        <f>HYPERLINK("https://klasma.github.io/Logging_2305/tillsyn/A 43178-2025 tillsynsbegäran.docx", "A 43178-2025")</f>
        <v/>
      </c>
      <c r="Y223">
        <f>HYPERLINK("https://klasma.github.io/Logging_2305/tillsynsmail/A 43178-2025 tillsynsbegäran mail.docx", "A 43178-2025")</f>
        <v/>
      </c>
    </row>
    <row r="224" ht="15" customHeight="1">
      <c r="A224" t="inlineStr">
        <is>
          <t>A 50497-2023</t>
        </is>
      </c>
      <c r="B224" s="1" t="n">
        <v>45216</v>
      </c>
      <c r="C224" s="1" t="n">
        <v>45970</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27279-2025</t>
        </is>
      </c>
      <c r="B225" s="1" t="n">
        <v>45812.53172453704</v>
      </c>
      <c r="C225" s="1" t="n">
        <v>45970</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27279-2025 artfynd.xlsx", "A 27279-2025")</f>
        <v/>
      </c>
      <c r="T225">
        <f>HYPERLINK("https://klasma.github.io/Logging_2305/kartor/A 27279-2025 karta.png", "A 27279-2025")</f>
        <v/>
      </c>
      <c r="V225">
        <f>HYPERLINK("https://klasma.github.io/Logging_2305/klagomål/A 27279-2025 FSC-klagomål.docx", "A 27279-2025")</f>
        <v/>
      </c>
      <c r="W225">
        <f>HYPERLINK("https://klasma.github.io/Logging_2305/klagomålsmail/A 27279-2025 FSC-klagomål mail.docx", "A 27279-2025")</f>
        <v/>
      </c>
      <c r="X225">
        <f>HYPERLINK("https://klasma.github.io/Logging_2305/tillsyn/A 27279-2025 tillsynsbegäran.docx", "A 27279-2025")</f>
        <v/>
      </c>
      <c r="Y225">
        <f>HYPERLINK("https://klasma.github.io/Logging_2305/tillsynsmail/A 27279-2025 tillsynsbegäran mail.docx", "A 27279-2025")</f>
        <v/>
      </c>
    </row>
    <row r="226" ht="15" customHeight="1">
      <c r="A226" t="inlineStr">
        <is>
          <t>A 51822-2023</t>
        </is>
      </c>
      <c r="B226" s="1" t="n">
        <v>45222</v>
      </c>
      <c r="C226" s="1" t="n">
        <v>45970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29119-2025</t>
        </is>
      </c>
      <c r="B227" s="1" t="n">
        <v>45821.59407407408</v>
      </c>
      <c r="C227" s="1" t="n">
        <v>45970</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54051-2023</t>
        </is>
      </c>
      <c r="B228" s="1" t="n">
        <v>45231</v>
      </c>
      <c r="C228" s="1" t="n">
        <v>45970</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47498-2023</t>
        </is>
      </c>
      <c r="B229" s="1" t="n">
        <v>45202</v>
      </c>
      <c r="C229" s="1" t="n">
        <v>45970</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32566-2025</t>
        </is>
      </c>
      <c r="B230" s="1" t="n">
        <v>45838.57354166666</v>
      </c>
      <c r="C230" s="1" t="n">
        <v>45970</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3913-2022</t>
        </is>
      </c>
      <c r="B231" s="1" t="n">
        <v>44587</v>
      </c>
      <c r="C231" s="1" t="n">
        <v>45970</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34541-2025</t>
        </is>
      </c>
      <c r="B232" s="1" t="n">
        <v>45847.53196759259</v>
      </c>
      <c r="C232" s="1" t="n">
        <v>45970</v>
      </c>
      <c r="D232" t="inlineStr">
        <is>
          <t>JÄMTLANDS LÄN</t>
        </is>
      </c>
      <c r="E232" t="inlineStr">
        <is>
          <t>BRÄCKE</t>
        </is>
      </c>
      <c r="G232" t="n">
        <v>3.8</v>
      </c>
      <c r="H232" t="n">
        <v>0</v>
      </c>
      <c r="I232" t="n">
        <v>2</v>
      </c>
      <c r="J232" t="n">
        <v>0</v>
      </c>
      <c r="K232" t="n">
        <v>0</v>
      </c>
      <c r="L232" t="n">
        <v>0</v>
      </c>
      <c r="M232" t="n">
        <v>0</v>
      </c>
      <c r="N232" t="n">
        <v>0</v>
      </c>
      <c r="O232" t="n">
        <v>0</v>
      </c>
      <c r="P232" t="n">
        <v>0</v>
      </c>
      <c r="Q232" t="n">
        <v>2</v>
      </c>
      <c r="R232" s="2" t="inlineStr">
        <is>
          <t>Dropptaggsvamp
Skinnlav</t>
        </is>
      </c>
      <c r="S232">
        <f>HYPERLINK("https://klasma.github.io/Logging_2305/artfynd/A 34541-2025 artfynd.xlsx", "A 34541-2025")</f>
        <v/>
      </c>
      <c r="T232">
        <f>HYPERLINK("https://klasma.github.io/Logging_2305/kartor/A 34541-2025 karta.png", "A 34541-2025")</f>
        <v/>
      </c>
      <c r="V232">
        <f>HYPERLINK("https://klasma.github.io/Logging_2305/klagomål/A 34541-2025 FSC-klagomål.docx", "A 34541-2025")</f>
        <v/>
      </c>
      <c r="W232">
        <f>HYPERLINK("https://klasma.github.io/Logging_2305/klagomålsmail/A 34541-2025 FSC-klagomål mail.docx", "A 34541-2025")</f>
        <v/>
      </c>
      <c r="X232">
        <f>HYPERLINK("https://klasma.github.io/Logging_2305/tillsyn/A 34541-2025 tillsynsbegäran.docx", "A 34541-2025")</f>
        <v/>
      </c>
      <c r="Y232">
        <f>HYPERLINK("https://klasma.github.io/Logging_2305/tillsynsmail/A 34541-2025 tillsynsbegäran mail.docx", "A 34541-2025")</f>
        <v/>
      </c>
    </row>
    <row r="233" ht="15" customHeight="1">
      <c r="A233" t="inlineStr">
        <is>
          <t>A 34615-2025</t>
        </is>
      </c>
      <c r="B233" s="1" t="n">
        <v>45847.6778125</v>
      </c>
      <c r="C233" s="1" t="n">
        <v>45970</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35117-2025</t>
        </is>
      </c>
      <c r="B234" s="1" t="n">
        <v>45852.59416666667</v>
      </c>
      <c r="C234" s="1" t="n">
        <v>45970</v>
      </c>
      <c r="D234" t="inlineStr">
        <is>
          <t>JÄMTLANDS LÄN</t>
        </is>
      </c>
      <c r="E234" t="inlineStr">
        <is>
          <t>BRÄCKE</t>
        </is>
      </c>
      <c r="F234" t="inlineStr">
        <is>
          <t>SCA</t>
        </is>
      </c>
      <c r="G234" t="n">
        <v>11.1</v>
      </c>
      <c r="H234" t="n">
        <v>0</v>
      </c>
      <c r="I234" t="n">
        <v>0</v>
      </c>
      <c r="J234" t="n">
        <v>2</v>
      </c>
      <c r="K234" t="n">
        <v>0</v>
      </c>
      <c r="L234" t="n">
        <v>0</v>
      </c>
      <c r="M234" t="n">
        <v>0</v>
      </c>
      <c r="N234" t="n">
        <v>0</v>
      </c>
      <c r="O234" t="n">
        <v>2</v>
      </c>
      <c r="P234" t="n">
        <v>0</v>
      </c>
      <c r="Q234" t="n">
        <v>2</v>
      </c>
      <c r="R234" s="2" t="inlineStr">
        <is>
          <t>Dvärgbägarlav
Nordtagging</t>
        </is>
      </c>
      <c r="S234">
        <f>HYPERLINK("https://klasma.github.io/Logging_2305/artfynd/A 35117-2025 artfynd.xlsx", "A 35117-2025")</f>
        <v/>
      </c>
      <c r="T234">
        <f>HYPERLINK("https://klasma.github.io/Logging_2305/kartor/A 35117-2025 karta.png", "A 35117-2025")</f>
        <v/>
      </c>
      <c r="V234">
        <f>HYPERLINK("https://klasma.github.io/Logging_2305/klagomål/A 35117-2025 FSC-klagomål.docx", "A 35117-2025")</f>
        <v/>
      </c>
      <c r="W234">
        <f>HYPERLINK("https://klasma.github.io/Logging_2305/klagomålsmail/A 35117-2025 FSC-klagomål mail.docx", "A 35117-2025")</f>
        <v/>
      </c>
      <c r="X234">
        <f>HYPERLINK("https://klasma.github.io/Logging_2305/tillsyn/A 35117-2025 tillsynsbegäran.docx", "A 35117-2025")</f>
        <v/>
      </c>
      <c r="Y234">
        <f>HYPERLINK("https://klasma.github.io/Logging_2305/tillsynsmail/A 35117-2025 tillsynsbegäran mail.docx", "A 35117-2025")</f>
        <v/>
      </c>
    </row>
    <row r="235" ht="15" customHeight="1">
      <c r="A235" t="inlineStr">
        <is>
          <t>A 35216-2025</t>
        </is>
      </c>
      <c r="B235" s="1" t="n">
        <v>45853.49005787037</v>
      </c>
      <c r="C235" s="1" t="n">
        <v>45970</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35209-2025</t>
        </is>
      </c>
      <c r="B236" s="1" t="n">
        <v>45853.44827546296</v>
      </c>
      <c r="C236" s="1" t="n">
        <v>45970</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35209-2025 artfynd.xlsx", "A 35209-2025")</f>
        <v/>
      </c>
      <c r="T236">
        <f>HYPERLINK("https://klasma.github.io/Logging_2305/kartor/A 35209-2025 karta.png", "A 35209-2025")</f>
        <v/>
      </c>
      <c r="V236">
        <f>HYPERLINK("https://klasma.github.io/Logging_2305/klagomål/A 35209-2025 FSC-klagomål.docx", "A 35209-2025")</f>
        <v/>
      </c>
      <c r="W236">
        <f>HYPERLINK("https://klasma.github.io/Logging_2305/klagomålsmail/A 35209-2025 FSC-klagomål mail.docx", "A 35209-2025")</f>
        <v/>
      </c>
      <c r="X236">
        <f>HYPERLINK("https://klasma.github.io/Logging_2305/tillsyn/A 35209-2025 tillsynsbegäran.docx", "A 35209-2025")</f>
        <v/>
      </c>
      <c r="Y236">
        <f>HYPERLINK("https://klasma.github.io/Logging_2305/tillsynsmail/A 35209-2025 tillsynsbegäran mail.docx", "A 35209-2025")</f>
        <v/>
      </c>
    </row>
    <row r="237" ht="15" customHeight="1">
      <c r="A237" t="inlineStr">
        <is>
          <t>A 50328-2022</t>
        </is>
      </c>
      <c r="B237" s="1" t="n">
        <v>44865</v>
      </c>
      <c r="C237" s="1" t="n">
        <v>45970</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45795-2025</t>
        </is>
      </c>
      <c r="B238" s="1" t="n">
        <v>45923.57403935185</v>
      </c>
      <c r="C238" s="1" t="n">
        <v>45970</v>
      </c>
      <c r="D238" t="inlineStr">
        <is>
          <t>JÄMTLANDS LÄN</t>
        </is>
      </c>
      <c r="E238" t="inlineStr">
        <is>
          <t>BRÄCKE</t>
        </is>
      </c>
      <c r="F238" t="inlineStr">
        <is>
          <t>SCA</t>
        </is>
      </c>
      <c r="G238" t="n">
        <v>10.9</v>
      </c>
      <c r="H238" t="n">
        <v>0</v>
      </c>
      <c r="I238" t="n">
        <v>1</v>
      </c>
      <c r="J238" t="n">
        <v>1</v>
      </c>
      <c r="K238" t="n">
        <v>0</v>
      </c>
      <c r="L238" t="n">
        <v>0</v>
      </c>
      <c r="M238" t="n">
        <v>0</v>
      </c>
      <c r="N238" t="n">
        <v>0</v>
      </c>
      <c r="O238" t="n">
        <v>1</v>
      </c>
      <c r="P238" t="n">
        <v>0</v>
      </c>
      <c r="Q238" t="n">
        <v>2</v>
      </c>
      <c r="R238" s="2" t="inlineStr">
        <is>
          <t>Lunglav
Skinnlav</t>
        </is>
      </c>
      <c r="S238">
        <f>HYPERLINK("https://klasma.github.io/Logging_2305/artfynd/A 45795-2025 artfynd.xlsx", "A 45795-2025")</f>
        <v/>
      </c>
      <c r="T238">
        <f>HYPERLINK("https://klasma.github.io/Logging_2305/kartor/A 45795-2025 karta.png", "A 45795-2025")</f>
        <v/>
      </c>
      <c r="V238">
        <f>HYPERLINK("https://klasma.github.io/Logging_2305/klagomål/A 45795-2025 FSC-klagomål.docx", "A 45795-2025")</f>
        <v/>
      </c>
      <c r="W238">
        <f>HYPERLINK("https://klasma.github.io/Logging_2305/klagomålsmail/A 45795-2025 FSC-klagomål mail.docx", "A 45795-2025")</f>
        <v/>
      </c>
      <c r="X238">
        <f>HYPERLINK("https://klasma.github.io/Logging_2305/tillsyn/A 45795-2025 tillsynsbegäran.docx", "A 45795-2025")</f>
        <v/>
      </c>
      <c r="Y238">
        <f>HYPERLINK("https://klasma.github.io/Logging_2305/tillsynsmail/A 45795-2025 tillsynsbegäran mail.docx", "A 45795-2025")</f>
        <v/>
      </c>
    </row>
    <row r="239" ht="15" customHeight="1">
      <c r="A239" t="inlineStr">
        <is>
          <t>A 3029-2023</t>
        </is>
      </c>
      <c r="B239" s="1" t="n">
        <v>44945</v>
      </c>
      <c r="C239" s="1" t="n">
        <v>45970</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69154-2021</t>
        </is>
      </c>
      <c r="B240" s="1" t="n">
        <v>44530</v>
      </c>
      <c r="C240" s="1" t="n">
        <v>45970</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45970</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60051-2020</t>
        </is>
      </c>
      <c r="B242" s="1" t="n">
        <v>44151</v>
      </c>
      <c r="C242" s="1" t="n">
        <v>45970</v>
      </c>
      <c r="D242" t="inlineStr">
        <is>
          <t>JÄMTLANDS LÄN</t>
        </is>
      </c>
      <c r="E242" t="inlineStr">
        <is>
          <t>BRÄCKE</t>
        </is>
      </c>
      <c r="F242" t="inlineStr">
        <is>
          <t>SCA</t>
        </is>
      </c>
      <c r="G242" t="n">
        <v>9.300000000000001</v>
      </c>
      <c r="H242" t="n">
        <v>0</v>
      </c>
      <c r="I242" t="n">
        <v>0</v>
      </c>
      <c r="J242" t="n">
        <v>1</v>
      </c>
      <c r="K242" t="n">
        <v>0</v>
      </c>
      <c r="L242" t="n">
        <v>0</v>
      </c>
      <c r="M242" t="n">
        <v>0</v>
      </c>
      <c r="N242" t="n">
        <v>0</v>
      </c>
      <c r="O242" t="n">
        <v>1</v>
      </c>
      <c r="P242" t="n">
        <v>0</v>
      </c>
      <c r="Q242" t="n">
        <v>1</v>
      </c>
      <c r="R242" s="2" t="inlineStr">
        <is>
          <t>Lunglav</t>
        </is>
      </c>
      <c r="S242">
        <f>HYPERLINK("https://klasma.github.io/Logging_2305/artfynd/A 60051-2020 artfynd.xlsx", "A 60051-2020")</f>
        <v/>
      </c>
      <c r="T242">
        <f>HYPERLINK("https://klasma.github.io/Logging_2305/kartor/A 60051-2020 karta.png", "A 60051-2020")</f>
        <v/>
      </c>
      <c r="V242">
        <f>HYPERLINK("https://klasma.github.io/Logging_2305/klagomål/A 60051-2020 FSC-klagomål.docx", "A 60051-2020")</f>
        <v/>
      </c>
      <c r="W242">
        <f>HYPERLINK("https://klasma.github.io/Logging_2305/klagomålsmail/A 60051-2020 FSC-klagomål mail.docx", "A 60051-2020")</f>
        <v/>
      </c>
      <c r="X242">
        <f>HYPERLINK("https://klasma.github.io/Logging_2305/tillsyn/A 60051-2020 tillsynsbegäran.docx", "A 60051-2020")</f>
        <v/>
      </c>
      <c r="Y242">
        <f>HYPERLINK("https://klasma.github.io/Logging_2305/tillsynsmail/A 60051-2020 tillsynsbegäran mail.docx", "A 60051-2020")</f>
        <v/>
      </c>
    </row>
    <row r="243" ht="15" customHeight="1">
      <c r="A243" t="inlineStr">
        <is>
          <t>A 31336-2021</t>
        </is>
      </c>
      <c r="B243" s="1" t="n">
        <v>44368</v>
      </c>
      <c r="C243" s="1" t="n">
        <v>45970</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45970</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45970</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49040-2023</t>
        </is>
      </c>
      <c r="B246" s="1" t="n">
        <v>45209</v>
      </c>
      <c r="C246" s="1" t="n">
        <v>45970</v>
      </c>
      <c r="D246" t="inlineStr">
        <is>
          <t>JÄMTLANDS LÄN</t>
        </is>
      </c>
      <c r="E246" t="inlineStr">
        <is>
          <t>BRÄCKE</t>
        </is>
      </c>
      <c r="F246" t="inlineStr">
        <is>
          <t>SCA</t>
        </is>
      </c>
      <c r="G246" t="n">
        <v>4.2</v>
      </c>
      <c r="H246" t="n">
        <v>0</v>
      </c>
      <c r="I246" t="n">
        <v>0</v>
      </c>
      <c r="J246" t="n">
        <v>1</v>
      </c>
      <c r="K246" t="n">
        <v>0</v>
      </c>
      <c r="L246" t="n">
        <v>0</v>
      </c>
      <c r="M246" t="n">
        <v>0</v>
      </c>
      <c r="N246" t="n">
        <v>0</v>
      </c>
      <c r="O246" t="n">
        <v>1</v>
      </c>
      <c r="P246" t="n">
        <v>0</v>
      </c>
      <c r="Q246" t="n">
        <v>1</v>
      </c>
      <c r="R246" s="2" t="inlineStr">
        <is>
          <t>Lunglav</t>
        </is>
      </c>
      <c r="S246">
        <f>HYPERLINK("https://klasma.github.io/Logging_2305/artfynd/A 49040-2023 artfynd.xlsx", "A 49040-2023")</f>
        <v/>
      </c>
      <c r="T246">
        <f>HYPERLINK("https://klasma.github.io/Logging_2305/kartor/A 49040-2023 karta.png", "A 49040-2023")</f>
        <v/>
      </c>
      <c r="V246">
        <f>HYPERLINK("https://klasma.github.io/Logging_2305/klagomål/A 49040-2023 FSC-klagomål.docx", "A 49040-2023")</f>
        <v/>
      </c>
      <c r="W246">
        <f>HYPERLINK("https://klasma.github.io/Logging_2305/klagomålsmail/A 49040-2023 FSC-klagomål mail.docx", "A 49040-2023")</f>
        <v/>
      </c>
      <c r="X246">
        <f>HYPERLINK("https://klasma.github.io/Logging_2305/tillsyn/A 49040-2023 tillsynsbegäran.docx", "A 49040-2023")</f>
        <v/>
      </c>
      <c r="Y246">
        <f>HYPERLINK("https://klasma.github.io/Logging_2305/tillsynsmail/A 49040-2023 tillsynsbegäran mail.docx", "A 49040-2023")</f>
        <v/>
      </c>
    </row>
    <row r="247" ht="15" customHeight="1">
      <c r="A247" t="inlineStr">
        <is>
          <t>A 2466-2025</t>
        </is>
      </c>
      <c r="B247" s="1" t="n">
        <v>45674.46958333333</v>
      </c>
      <c r="C247" s="1" t="n">
        <v>45970</v>
      </c>
      <c r="D247" t="inlineStr">
        <is>
          <t>JÄMTLANDS LÄN</t>
        </is>
      </c>
      <c r="E247" t="inlineStr">
        <is>
          <t>BRÄCKE</t>
        </is>
      </c>
      <c r="F247" t="inlineStr">
        <is>
          <t>SCA</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HYPERLINK("https://klasma.github.io/Logging_2305/artfynd/A 2466-2025 artfynd.xlsx", "A 2466-2025")</f>
        <v/>
      </c>
      <c r="T247">
        <f>HYPERLINK("https://klasma.github.io/Logging_2305/kartor/A 2466-2025 karta.png", "A 2466-2025")</f>
        <v/>
      </c>
      <c r="V247">
        <f>HYPERLINK("https://klasma.github.io/Logging_2305/klagomål/A 2466-2025 FSC-klagomål.docx", "A 2466-2025")</f>
        <v/>
      </c>
      <c r="W247">
        <f>HYPERLINK("https://klasma.github.io/Logging_2305/klagomålsmail/A 2466-2025 FSC-klagomål mail.docx", "A 2466-2025")</f>
        <v/>
      </c>
      <c r="X247">
        <f>HYPERLINK("https://klasma.github.io/Logging_2305/tillsyn/A 2466-2025 tillsynsbegäran.docx", "A 2466-2025")</f>
        <v/>
      </c>
      <c r="Y247">
        <f>HYPERLINK("https://klasma.github.io/Logging_2305/tillsynsmail/A 2466-2025 tillsynsbegäran mail.docx", "A 2466-2025")</f>
        <v/>
      </c>
    </row>
    <row r="248" ht="15" customHeight="1">
      <c r="A248" t="inlineStr">
        <is>
          <t>A 17588-2024</t>
        </is>
      </c>
      <c r="B248" s="1" t="n">
        <v>45415.94054398148</v>
      </c>
      <c r="C248" s="1" t="n">
        <v>45970</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3234-2025</t>
        </is>
      </c>
      <c r="B249" s="1" t="n">
        <v>45679.49020833334</v>
      </c>
      <c r="C249" s="1" t="n">
        <v>45970</v>
      </c>
      <c r="D249" t="inlineStr">
        <is>
          <t>JÄMTLANDS LÄN</t>
        </is>
      </c>
      <c r="E249" t="inlineStr">
        <is>
          <t>BRÄCKE</t>
        </is>
      </c>
      <c r="F249" t="inlineStr">
        <is>
          <t>SCA</t>
        </is>
      </c>
      <c r="G249" t="n">
        <v>1.7</v>
      </c>
      <c r="H249" t="n">
        <v>1</v>
      </c>
      <c r="I249" t="n">
        <v>0</v>
      </c>
      <c r="J249" t="n">
        <v>1</v>
      </c>
      <c r="K249" t="n">
        <v>0</v>
      </c>
      <c r="L249" t="n">
        <v>0</v>
      </c>
      <c r="M249" t="n">
        <v>0</v>
      </c>
      <c r="N249" t="n">
        <v>0</v>
      </c>
      <c r="O249" t="n">
        <v>1</v>
      </c>
      <c r="P249" t="n">
        <v>0</v>
      </c>
      <c r="Q249" t="n">
        <v>1</v>
      </c>
      <c r="R249" s="2" t="inlineStr">
        <is>
          <t>Utter</t>
        </is>
      </c>
      <c r="S249">
        <f>HYPERLINK("https://klasma.github.io/Logging_2305/artfynd/A 3234-2025 artfynd.xlsx", "A 3234-2025")</f>
        <v/>
      </c>
      <c r="T249">
        <f>HYPERLINK("https://klasma.github.io/Logging_2305/kartor/A 3234-2025 karta.png", "A 3234-2025")</f>
        <v/>
      </c>
      <c r="V249">
        <f>HYPERLINK("https://klasma.github.io/Logging_2305/klagomål/A 3234-2025 FSC-klagomål.docx", "A 3234-2025")</f>
        <v/>
      </c>
      <c r="W249">
        <f>HYPERLINK("https://klasma.github.io/Logging_2305/klagomålsmail/A 3234-2025 FSC-klagomål mail.docx", "A 3234-2025")</f>
        <v/>
      </c>
      <c r="X249">
        <f>HYPERLINK("https://klasma.github.io/Logging_2305/tillsyn/A 3234-2025 tillsynsbegäran.docx", "A 3234-2025")</f>
        <v/>
      </c>
      <c r="Y249">
        <f>HYPERLINK("https://klasma.github.io/Logging_2305/tillsynsmail/A 3234-2025 tillsynsbegäran mail.docx", "A 3234-2025")</f>
        <v/>
      </c>
    </row>
    <row r="250" ht="15" customHeight="1">
      <c r="A250" t="inlineStr">
        <is>
          <t>A 427-2025</t>
        </is>
      </c>
      <c r="B250" s="1" t="n">
        <v>45664.35195601852</v>
      </c>
      <c r="C250" s="1" t="n">
        <v>45970</v>
      </c>
      <c r="D250" t="inlineStr">
        <is>
          <t>JÄMTLANDS LÄN</t>
        </is>
      </c>
      <c r="E250" t="inlineStr">
        <is>
          <t>BRÄCKE</t>
        </is>
      </c>
      <c r="G250" t="n">
        <v>1.2</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427-2025 artfynd.xlsx", "A 427-2025")</f>
        <v/>
      </c>
      <c r="T250">
        <f>HYPERLINK("https://klasma.github.io/Logging_2305/kartor/A 427-2025 karta.png", "A 427-2025")</f>
        <v/>
      </c>
      <c r="V250">
        <f>HYPERLINK("https://klasma.github.io/Logging_2305/klagomål/A 427-2025 FSC-klagomål.docx", "A 427-2025")</f>
        <v/>
      </c>
      <c r="W250">
        <f>HYPERLINK("https://klasma.github.io/Logging_2305/klagomålsmail/A 427-2025 FSC-klagomål mail.docx", "A 427-2025")</f>
        <v/>
      </c>
      <c r="X250">
        <f>HYPERLINK("https://klasma.github.io/Logging_2305/tillsyn/A 427-2025 tillsynsbegäran.docx", "A 427-2025")</f>
        <v/>
      </c>
      <c r="Y250">
        <f>HYPERLINK("https://klasma.github.io/Logging_2305/tillsynsmail/A 427-2025 tillsynsbegäran mail.docx", "A 427-2025")</f>
        <v/>
      </c>
    </row>
    <row r="251" ht="15" customHeight="1">
      <c r="A251" t="inlineStr">
        <is>
          <t>A 55931-2023</t>
        </is>
      </c>
      <c r="B251" s="1" t="n">
        <v>45239</v>
      </c>
      <c r="C251" s="1" t="n">
        <v>45970</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45970</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40100-2023</t>
        </is>
      </c>
      <c r="B253" s="1" t="n">
        <v>45168</v>
      </c>
      <c r="C253" s="1" t="n">
        <v>45970</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22101-2024</t>
        </is>
      </c>
      <c r="B254" s="1" t="n">
        <v>45443.95077546296</v>
      </c>
      <c r="C254" s="1" t="n">
        <v>45970</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724-2023</t>
        </is>
      </c>
      <c r="B255" s="1" t="n">
        <v>44930.94215277778</v>
      </c>
      <c r="C255" s="1" t="n">
        <v>45970</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724-2023 artfynd.xlsx", "A 724-2023")</f>
        <v/>
      </c>
      <c r="T255">
        <f>HYPERLINK("https://klasma.github.io/Logging_2305/kartor/A 724-2023 karta.png", "A 724-2023")</f>
        <v/>
      </c>
      <c r="V255">
        <f>HYPERLINK("https://klasma.github.io/Logging_2305/klagomål/A 724-2023 FSC-klagomål.docx", "A 724-2023")</f>
        <v/>
      </c>
      <c r="W255">
        <f>HYPERLINK("https://klasma.github.io/Logging_2305/klagomålsmail/A 724-2023 FSC-klagomål mail.docx", "A 724-2023")</f>
        <v/>
      </c>
      <c r="X255">
        <f>HYPERLINK("https://klasma.github.io/Logging_2305/tillsyn/A 724-2023 tillsynsbegäran.docx", "A 724-2023")</f>
        <v/>
      </c>
      <c r="Y255">
        <f>HYPERLINK("https://klasma.github.io/Logging_2305/tillsynsmail/A 724-2023 tillsynsbegäran mail.docx", "A 724-2023")</f>
        <v/>
      </c>
      <c r="Z255">
        <f>HYPERLINK("https://klasma.github.io/Logging_2305/fåglar/A 724-2023 prioriterade fågelarter.docx", "A 724-2023")</f>
        <v/>
      </c>
    </row>
    <row r="256" ht="15" customHeight="1">
      <c r="A256" t="inlineStr">
        <is>
          <t>A 20768-2024</t>
        </is>
      </c>
      <c r="B256" s="1" t="n">
        <v>45436.94594907408</v>
      </c>
      <c r="C256" s="1" t="n">
        <v>45970</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24552-2022</t>
        </is>
      </c>
      <c r="B257" s="1" t="n">
        <v>44726</v>
      </c>
      <c r="C257" s="1" t="n">
        <v>45970</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725-2023</t>
        </is>
      </c>
      <c r="B258" s="1" t="n">
        <v>44930</v>
      </c>
      <c r="C258" s="1" t="n">
        <v>45970</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9204-2025</t>
        </is>
      </c>
      <c r="B259" s="1" t="n">
        <v>45714.48988425926</v>
      </c>
      <c r="C259" s="1" t="n">
        <v>45970</v>
      </c>
      <c r="D259" t="inlineStr">
        <is>
          <t>JÄMTLANDS LÄN</t>
        </is>
      </c>
      <c r="E259" t="inlineStr">
        <is>
          <t>BRÄCKE</t>
        </is>
      </c>
      <c r="F259" t="inlineStr">
        <is>
          <t>SCA</t>
        </is>
      </c>
      <c r="G259" t="n">
        <v>3.6</v>
      </c>
      <c r="H259" t="n">
        <v>1</v>
      </c>
      <c r="I259" t="n">
        <v>0</v>
      </c>
      <c r="J259" t="n">
        <v>1</v>
      </c>
      <c r="K259" t="n">
        <v>0</v>
      </c>
      <c r="L259" t="n">
        <v>0</v>
      </c>
      <c r="M259" t="n">
        <v>0</v>
      </c>
      <c r="N259" t="n">
        <v>0</v>
      </c>
      <c r="O259" t="n">
        <v>1</v>
      </c>
      <c r="P259" t="n">
        <v>0</v>
      </c>
      <c r="Q259" t="n">
        <v>1</v>
      </c>
      <c r="R259" s="2" t="inlineStr">
        <is>
          <t>Talltita</t>
        </is>
      </c>
      <c r="S259">
        <f>HYPERLINK("https://klasma.github.io/Logging_2305/artfynd/A 9204-2025 artfynd.xlsx", "A 9204-2025")</f>
        <v/>
      </c>
      <c r="T259">
        <f>HYPERLINK("https://klasma.github.io/Logging_2305/kartor/A 9204-2025 karta.png", "A 9204-2025")</f>
        <v/>
      </c>
      <c r="V259">
        <f>HYPERLINK("https://klasma.github.io/Logging_2305/klagomål/A 9204-2025 FSC-klagomål.docx", "A 9204-2025")</f>
        <v/>
      </c>
      <c r="W259">
        <f>HYPERLINK("https://klasma.github.io/Logging_2305/klagomålsmail/A 9204-2025 FSC-klagomål mail.docx", "A 9204-2025")</f>
        <v/>
      </c>
      <c r="X259">
        <f>HYPERLINK("https://klasma.github.io/Logging_2305/tillsyn/A 9204-2025 tillsynsbegäran.docx", "A 9204-2025")</f>
        <v/>
      </c>
      <c r="Y259">
        <f>HYPERLINK("https://klasma.github.io/Logging_2305/tillsynsmail/A 9204-2025 tillsynsbegäran mail.docx", "A 9204-2025")</f>
        <v/>
      </c>
      <c r="Z259">
        <f>HYPERLINK("https://klasma.github.io/Logging_2305/fåglar/A 9204-2025 prioriterade fågelarter.docx", "A 9204-2025")</f>
        <v/>
      </c>
    </row>
    <row r="260" ht="15" customHeight="1">
      <c r="A260" t="inlineStr">
        <is>
          <t>A 44323-2023</t>
        </is>
      </c>
      <c r="B260" s="1" t="n">
        <v>45188</v>
      </c>
      <c r="C260" s="1" t="n">
        <v>45970</v>
      </c>
      <c r="D260" t="inlineStr">
        <is>
          <t>JÄMTLANDS LÄN</t>
        </is>
      </c>
      <c r="E260" t="inlineStr">
        <is>
          <t>BRÄCKE</t>
        </is>
      </c>
      <c r="F260" t="inlineStr">
        <is>
          <t>Sveaskog</t>
        </is>
      </c>
      <c r="G260" t="n">
        <v>3.7</v>
      </c>
      <c r="H260" t="n">
        <v>0</v>
      </c>
      <c r="I260" t="n">
        <v>0</v>
      </c>
      <c r="J260" t="n">
        <v>1</v>
      </c>
      <c r="K260" t="n">
        <v>0</v>
      </c>
      <c r="L260" t="n">
        <v>0</v>
      </c>
      <c r="M260" t="n">
        <v>0</v>
      </c>
      <c r="N260" t="n">
        <v>0</v>
      </c>
      <c r="O260" t="n">
        <v>1</v>
      </c>
      <c r="P260" t="n">
        <v>0</v>
      </c>
      <c r="Q260" t="n">
        <v>1</v>
      </c>
      <c r="R260" s="2" t="inlineStr">
        <is>
          <t>Lunglav</t>
        </is>
      </c>
      <c r="S260">
        <f>HYPERLINK("https://klasma.github.io/Logging_2305/artfynd/A 44323-2023 artfynd.xlsx", "A 44323-2023")</f>
        <v/>
      </c>
      <c r="T260">
        <f>HYPERLINK("https://klasma.github.io/Logging_2305/kartor/A 44323-2023 karta.png", "A 44323-2023")</f>
        <v/>
      </c>
      <c r="V260">
        <f>HYPERLINK("https://klasma.github.io/Logging_2305/klagomål/A 44323-2023 FSC-klagomål.docx", "A 44323-2023")</f>
        <v/>
      </c>
      <c r="W260">
        <f>HYPERLINK("https://klasma.github.io/Logging_2305/klagomålsmail/A 44323-2023 FSC-klagomål mail.docx", "A 44323-2023")</f>
        <v/>
      </c>
      <c r="X260">
        <f>HYPERLINK("https://klasma.github.io/Logging_2305/tillsyn/A 44323-2023 tillsynsbegäran.docx", "A 44323-2023")</f>
        <v/>
      </c>
      <c r="Y260">
        <f>HYPERLINK("https://klasma.github.io/Logging_2305/tillsynsmail/A 44323-2023 tillsynsbegäran mail.docx", "A 44323-2023")</f>
        <v/>
      </c>
    </row>
    <row r="261" ht="15" customHeight="1">
      <c r="A261" t="inlineStr">
        <is>
          <t>A 11614-2024</t>
        </is>
      </c>
      <c r="B261" s="1" t="n">
        <v>45373.42134259259</v>
      </c>
      <c r="C261" s="1" t="n">
        <v>45970</v>
      </c>
      <c r="D261" t="inlineStr">
        <is>
          <t>JÄMTLANDS LÄN</t>
        </is>
      </c>
      <c r="E261" t="inlineStr">
        <is>
          <t>BRÄCKE</t>
        </is>
      </c>
      <c r="G261" t="n">
        <v>4.3</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11614-2024 artfynd.xlsx", "A 11614-2024")</f>
        <v/>
      </c>
      <c r="T261">
        <f>HYPERLINK("https://klasma.github.io/Logging_2305/kartor/A 11614-2024 karta.png", "A 11614-2024")</f>
        <v/>
      </c>
      <c r="V261">
        <f>HYPERLINK("https://klasma.github.io/Logging_2305/klagomål/A 11614-2024 FSC-klagomål.docx", "A 11614-2024")</f>
        <v/>
      </c>
      <c r="W261">
        <f>HYPERLINK("https://klasma.github.io/Logging_2305/klagomålsmail/A 11614-2024 FSC-klagomål mail.docx", "A 11614-2024")</f>
        <v/>
      </c>
      <c r="X261">
        <f>HYPERLINK("https://klasma.github.io/Logging_2305/tillsyn/A 11614-2024 tillsynsbegäran.docx", "A 11614-2024")</f>
        <v/>
      </c>
      <c r="Y261">
        <f>HYPERLINK("https://klasma.github.io/Logging_2305/tillsynsmail/A 11614-2024 tillsynsbegäran mail.docx", "A 11614-2024")</f>
        <v/>
      </c>
    </row>
    <row r="262" ht="15" customHeight="1">
      <c r="A262" t="inlineStr">
        <is>
          <t>A 29546-2024</t>
        </is>
      </c>
      <c r="B262" s="1" t="n">
        <v>45484.50435185185</v>
      </c>
      <c r="C262" s="1" t="n">
        <v>45970</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39085-2025</t>
        </is>
      </c>
      <c r="B263" s="1" t="n">
        <v>45888</v>
      </c>
      <c r="C263" s="1" t="n">
        <v>45970</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31479-2024</t>
        </is>
      </c>
      <c r="B264" s="1" t="n">
        <v>45505.95263888889</v>
      </c>
      <c r="C264" s="1" t="n">
        <v>45970</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31479-2024 artfynd.xlsx", "A 31479-2024")</f>
        <v/>
      </c>
      <c r="T264">
        <f>HYPERLINK("https://klasma.github.io/Logging_2305/kartor/A 31479-2024 karta.png", "A 31479-2024")</f>
        <v/>
      </c>
      <c r="V264">
        <f>HYPERLINK("https://klasma.github.io/Logging_2305/klagomål/A 31479-2024 FSC-klagomål.docx", "A 31479-2024")</f>
        <v/>
      </c>
      <c r="W264">
        <f>HYPERLINK("https://klasma.github.io/Logging_2305/klagomålsmail/A 31479-2024 FSC-klagomål mail.docx", "A 31479-2024")</f>
        <v/>
      </c>
      <c r="X264">
        <f>HYPERLINK("https://klasma.github.io/Logging_2305/tillsyn/A 31479-2024 tillsynsbegäran.docx", "A 31479-2024")</f>
        <v/>
      </c>
      <c r="Y264">
        <f>HYPERLINK("https://klasma.github.io/Logging_2305/tillsynsmail/A 31479-2024 tillsynsbegäran mail.docx", "A 31479-2024")</f>
        <v/>
      </c>
    </row>
    <row r="265" ht="15" customHeight="1">
      <c r="A265" t="inlineStr">
        <is>
          <t>A 16573-2023</t>
        </is>
      </c>
      <c r="B265" s="1" t="n">
        <v>45029</v>
      </c>
      <c r="C265" s="1" t="n">
        <v>45970</v>
      </c>
      <c r="D265" t="inlineStr">
        <is>
          <t>JÄMTLANDS LÄN</t>
        </is>
      </c>
      <c r="E265" t="inlineStr">
        <is>
          <t>BRÄCKE</t>
        </is>
      </c>
      <c r="F265" t="inlineStr">
        <is>
          <t>SCA</t>
        </is>
      </c>
      <c r="G265" t="n">
        <v>9.5</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16573-2023 artfynd.xlsx", "A 16573-2023")</f>
        <v/>
      </c>
      <c r="T265">
        <f>HYPERLINK("https://klasma.github.io/Logging_2305/kartor/A 16573-2023 karta.png", "A 16573-2023")</f>
        <v/>
      </c>
      <c r="V265">
        <f>HYPERLINK("https://klasma.github.io/Logging_2305/klagomål/A 16573-2023 FSC-klagomål.docx", "A 16573-2023")</f>
        <v/>
      </c>
      <c r="W265">
        <f>HYPERLINK("https://klasma.github.io/Logging_2305/klagomålsmail/A 16573-2023 FSC-klagomål mail.docx", "A 16573-2023")</f>
        <v/>
      </c>
      <c r="X265">
        <f>HYPERLINK("https://klasma.github.io/Logging_2305/tillsyn/A 16573-2023 tillsynsbegäran.docx", "A 16573-2023")</f>
        <v/>
      </c>
      <c r="Y265">
        <f>HYPERLINK("https://klasma.github.io/Logging_2305/tillsynsmail/A 16573-2023 tillsynsbegäran mail.docx", "A 16573-2023")</f>
        <v/>
      </c>
      <c r="Z265">
        <f>HYPERLINK("https://klasma.github.io/Logging_2305/fåglar/A 16573-2023 prioriterade fågelarter.docx", "A 16573-2023")</f>
        <v/>
      </c>
    </row>
    <row r="266" ht="15" customHeight="1">
      <c r="A266" t="inlineStr">
        <is>
          <t>A 30336-2024</t>
        </is>
      </c>
      <c r="B266" s="1" t="n">
        <v>45490.95415509259</v>
      </c>
      <c r="C266" s="1" t="n">
        <v>45970</v>
      </c>
      <c r="D266" t="inlineStr">
        <is>
          <t>JÄMTLANDS LÄN</t>
        </is>
      </c>
      <c r="E266" t="inlineStr">
        <is>
          <t>BRÄCKE</t>
        </is>
      </c>
      <c r="F266" t="inlineStr">
        <is>
          <t>SCA</t>
        </is>
      </c>
      <c r="G266" t="n">
        <v>2.8</v>
      </c>
      <c r="H266" t="n">
        <v>0</v>
      </c>
      <c r="I266" t="n">
        <v>1</v>
      </c>
      <c r="J266" t="n">
        <v>0</v>
      </c>
      <c r="K266" t="n">
        <v>0</v>
      </c>
      <c r="L266" t="n">
        <v>0</v>
      </c>
      <c r="M266" t="n">
        <v>0</v>
      </c>
      <c r="N266" t="n">
        <v>0</v>
      </c>
      <c r="O266" t="n">
        <v>0</v>
      </c>
      <c r="P266" t="n">
        <v>0</v>
      </c>
      <c r="Q266" t="n">
        <v>1</v>
      </c>
      <c r="R266" s="2" t="inlineStr">
        <is>
          <t>Skinnlav</t>
        </is>
      </c>
      <c r="S266">
        <f>HYPERLINK("https://klasma.github.io/Logging_2305/artfynd/A 30336-2024 artfynd.xlsx", "A 30336-2024")</f>
        <v/>
      </c>
      <c r="T266">
        <f>HYPERLINK("https://klasma.github.io/Logging_2305/kartor/A 30336-2024 karta.png", "A 30336-2024")</f>
        <v/>
      </c>
      <c r="V266">
        <f>HYPERLINK("https://klasma.github.io/Logging_2305/klagomål/A 30336-2024 FSC-klagomål.docx", "A 30336-2024")</f>
        <v/>
      </c>
      <c r="W266">
        <f>HYPERLINK("https://klasma.github.io/Logging_2305/klagomålsmail/A 30336-2024 FSC-klagomål mail.docx", "A 30336-2024")</f>
        <v/>
      </c>
      <c r="X266">
        <f>HYPERLINK("https://klasma.github.io/Logging_2305/tillsyn/A 30336-2024 tillsynsbegäran.docx", "A 30336-2024")</f>
        <v/>
      </c>
      <c r="Y266">
        <f>HYPERLINK("https://klasma.github.io/Logging_2305/tillsynsmail/A 30336-2024 tillsynsbegäran mail.docx", "A 30336-2024")</f>
        <v/>
      </c>
    </row>
    <row r="267" ht="15" customHeight="1">
      <c r="A267" t="inlineStr">
        <is>
          <t>A 48064-2023</t>
        </is>
      </c>
      <c r="B267" s="1" t="n">
        <v>45204</v>
      </c>
      <c r="C267" s="1" t="n">
        <v>45970</v>
      </c>
      <c r="D267" t="inlineStr">
        <is>
          <t>JÄMTLANDS LÄN</t>
        </is>
      </c>
      <c r="E267" t="inlineStr">
        <is>
          <t>BRÄCKE</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48064-2023 artfynd.xlsx", "A 48064-2023")</f>
        <v/>
      </c>
      <c r="T267">
        <f>HYPERLINK("https://klasma.github.io/Logging_2305/kartor/A 48064-2023 karta.png", "A 48064-2023")</f>
        <v/>
      </c>
      <c r="V267">
        <f>HYPERLINK("https://klasma.github.io/Logging_2305/klagomål/A 48064-2023 FSC-klagomål.docx", "A 48064-2023")</f>
        <v/>
      </c>
      <c r="W267">
        <f>HYPERLINK("https://klasma.github.io/Logging_2305/klagomålsmail/A 48064-2023 FSC-klagomål mail.docx", "A 48064-2023")</f>
        <v/>
      </c>
      <c r="X267">
        <f>HYPERLINK("https://klasma.github.io/Logging_2305/tillsyn/A 48064-2023 tillsynsbegäran.docx", "A 48064-2023")</f>
        <v/>
      </c>
      <c r="Y267">
        <f>HYPERLINK("https://klasma.github.io/Logging_2305/tillsynsmail/A 48064-2023 tillsynsbegäran mail.docx", "A 48064-2023")</f>
        <v/>
      </c>
      <c r="Z267">
        <f>HYPERLINK("https://klasma.github.io/Logging_2305/fåglar/A 48064-2023 prioriterade fågelarter.docx", "A 48064-2023")</f>
        <v/>
      </c>
    </row>
    <row r="268" ht="15" customHeight="1">
      <c r="A268" t="inlineStr">
        <is>
          <t>A 10736-2025</t>
        </is>
      </c>
      <c r="B268" s="1" t="n">
        <v>45722.40664351852</v>
      </c>
      <c r="C268" s="1" t="n">
        <v>45970</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11553-2024</t>
        </is>
      </c>
      <c r="B269" s="1" t="n">
        <v>45372.95811342593</v>
      </c>
      <c r="C269" s="1" t="n">
        <v>45970</v>
      </c>
      <c r="D269" t="inlineStr">
        <is>
          <t>JÄMTLANDS LÄN</t>
        </is>
      </c>
      <c r="E269" t="inlineStr">
        <is>
          <t>BRÄCKE</t>
        </is>
      </c>
      <c r="F269" t="inlineStr">
        <is>
          <t>Naturvårdsverket</t>
        </is>
      </c>
      <c r="G269" t="n">
        <v>1.9</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11553-2024 artfynd.xlsx", "A 11553-2024")</f>
        <v/>
      </c>
      <c r="T269">
        <f>HYPERLINK("https://klasma.github.io/Logging_2305/kartor/A 11553-2024 karta.png", "A 11553-2024")</f>
        <v/>
      </c>
      <c r="V269">
        <f>HYPERLINK("https://klasma.github.io/Logging_2305/klagomål/A 11553-2024 FSC-klagomål.docx", "A 11553-2024")</f>
        <v/>
      </c>
      <c r="W269">
        <f>HYPERLINK("https://klasma.github.io/Logging_2305/klagomålsmail/A 11553-2024 FSC-klagomål mail.docx", "A 11553-2024")</f>
        <v/>
      </c>
      <c r="X269">
        <f>HYPERLINK("https://klasma.github.io/Logging_2305/tillsyn/A 11553-2024 tillsynsbegäran.docx", "A 11553-2024")</f>
        <v/>
      </c>
      <c r="Y269">
        <f>HYPERLINK("https://klasma.github.io/Logging_2305/tillsynsmail/A 11553-2024 tillsynsbegäran mail.docx", "A 11553-2024")</f>
        <v/>
      </c>
    </row>
    <row r="270" ht="15" customHeight="1">
      <c r="A270" t="inlineStr">
        <is>
          <t>A 36312-2024</t>
        </is>
      </c>
      <c r="B270" s="1" t="n">
        <v>45534.63096064814</v>
      </c>
      <c r="C270" s="1" t="n">
        <v>45970</v>
      </c>
      <c r="D270" t="inlineStr">
        <is>
          <t>JÄMTLANDS LÄN</t>
        </is>
      </c>
      <c r="E270" t="inlineStr">
        <is>
          <t>BRÄCKE</t>
        </is>
      </c>
      <c r="F270" t="inlineStr">
        <is>
          <t>SCA</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HYPERLINK("https://klasma.github.io/Logging_2305/artfynd/A 36312-2024 artfynd.xlsx", "A 36312-2024")</f>
        <v/>
      </c>
      <c r="T270">
        <f>HYPERLINK("https://klasma.github.io/Logging_2305/kartor/A 36312-2024 karta.png", "A 36312-2024")</f>
        <v/>
      </c>
      <c r="V270">
        <f>HYPERLINK("https://klasma.github.io/Logging_2305/klagomål/A 36312-2024 FSC-klagomål.docx", "A 36312-2024")</f>
        <v/>
      </c>
      <c r="W270">
        <f>HYPERLINK("https://klasma.github.io/Logging_2305/klagomålsmail/A 36312-2024 FSC-klagomål mail.docx", "A 36312-2024")</f>
        <v/>
      </c>
      <c r="X270">
        <f>HYPERLINK("https://klasma.github.io/Logging_2305/tillsyn/A 36312-2024 tillsynsbegäran.docx", "A 36312-2024")</f>
        <v/>
      </c>
      <c r="Y270">
        <f>HYPERLINK("https://klasma.github.io/Logging_2305/tillsynsmail/A 36312-2024 tillsynsbegäran mail.docx", "A 36312-2024")</f>
        <v/>
      </c>
    </row>
    <row r="271" ht="15" customHeight="1">
      <c r="A271" t="inlineStr">
        <is>
          <t>A 35023-2022</t>
        </is>
      </c>
      <c r="B271" s="1" t="n">
        <v>44796</v>
      </c>
      <c r="C271" s="1" t="n">
        <v>45970</v>
      </c>
      <c r="D271" t="inlineStr">
        <is>
          <t>JÄMTLANDS LÄN</t>
        </is>
      </c>
      <c r="E271" t="inlineStr">
        <is>
          <t>BRÄCKE</t>
        </is>
      </c>
      <c r="F271" t="inlineStr">
        <is>
          <t>SCA</t>
        </is>
      </c>
      <c r="G271" t="n">
        <v>4.8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35023-2022 artfynd.xlsx", "A 35023-2022")</f>
        <v/>
      </c>
      <c r="T271">
        <f>HYPERLINK("https://klasma.github.io/Logging_2305/kartor/A 35023-2022 karta.png", "A 35023-2022")</f>
        <v/>
      </c>
      <c r="V271">
        <f>HYPERLINK("https://klasma.github.io/Logging_2305/klagomål/A 35023-2022 FSC-klagomål.docx", "A 35023-2022")</f>
        <v/>
      </c>
      <c r="W271">
        <f>HYPERLINK("https://klasma.github.io/Logging_2305/klagomålsmail/A 35023-2022 FSC-klagomål mail.docx", "A 35023-2022")</f>
        <v/>
      </c>
      <c r="X271">
        <f>HYPERLINK("https://klasma.github.io/Logging_2305/tillsyn/A 35023-2022 tillsynsbegäran.docx", "A 35023-2022")</f>
        <v/>
      </c>
      <c r="Y271">
        <f>HYPERLINK("https://klasma.github.io/Logging_2305/tillsynsmail/A 35023-2022 tillsynsbegäran mail.docx", "A 35023-2022")</f>
        <v/>
      </c>
    </row>
    <row r="272" ht="15" customHeight="1">
      <c r="A272" t="inlineStr">
        <is>
          <t>A 50837-2023</t>
        </is>
      </c>
      <c r="B272" s="1" t="n">
        <v>45217</v>
      </c>
      <c r="C272" s="1" t="n">
        <v>45970</v>
      </c>
      <c r="D272" t="inlineStr">
        <is>
          <t>JÄMTLANDS LÄN</t>
        </is>
      </c>
      <c r="E272" t="inlineStr">
        <is>
          <t>BRÄCKE</t>
        </is>
      </c>
      <c r="F272" t="inlineStr">
        <is>
          <t>SCA</t>
        </is>
      </c>
      <c r="G272" t="n">
        <v>1.4</v>
      </c>
      <c r="H272" t="n">
        <v>1</v>
      </c>
      <c r="I272" t="n">
        <v>0</v>
      </c>
      <c r="J272" t="n">
        <v>1</v>
      </c>
      <c r="K272" t="n">
        <v>0</v>
      </c>
      <c r="L272" t="n">
        <v>0</v>
      </c>
      <c r="M272" t="n">
        <v>0</v>
      </c>
      <c r="N272" t="n">
        <v>0</v>
      </c>
      <c r="O272" t="n">
        <v>1</v>
      </c>
      <c r="P272" t="n">
        <v>0</v>
      </c>
      <c r="Q272" t="n">
        <v>1</v>
      </c>
      <c r="R272" s="2" t="inlineStr">
        <is>
          <t>Talltita</t>
        </is>
      </c>
      <c r="S272">
        <f>HYPERLINK("https://klasma.github.io/Logging_2305/artfynd/A 50837-2023 artfynd.xlsx", "A 50837-2023")</f>
        <v/>
      </c>
      <c r="T272">
        <f>HYPERLINK("https://klasma.github.io/Logging_2305/kartor/A 50837-2023 karta.png", "A 50837-2023")</f>
        <v/>
      </c>
      <c r="V272">
        <f>HYPERLINK("https://klasma.github.io/Logging_2305/klagomål/A 50837-2023 FSC-klagomål.docx", "A 50837-2023")</f>
        <v/>
      </c>
      <c r="W272">
        <f>HYPERLINK("https://klasma.github.io/Logging_2305/klagomålsmail/A 50837-2023 FSC-klagomål mail.docx", "A 50837-2023")</f>
        <v/>
      </c>
      <c r="X272">
        <f>HYPERLINK("https://klasma.github.io/Logging_2305/tillsyn/A 50837-2023 tillsynsbegäran.docx", "A 50837-2023")</f>
        <v/>
      </c>
      <c r="Y272">
        <f>HYPERLINK("https://klasma.github.io/Logging_2305/tillsynsmail/A 50837-2023 tillsynsbegäran mail.docx", "A 50837-2023")</f>
        <v/>
      </c>
      <c r="Z272">
        <f>HYPERLINK("https://klasma.github.io/Logging_2305/fåglar/A 50837-2023 prioriterade fågelarter.docx", "A 50837-2023")</f>
        <v/>
      </c>
    </row>
    <row r="273" ht="15" customHeight="1">
      <c r="A273" t="inlineStr">
        <is>
          <t>A 698-2025</t>
        </is>
      </c>
      <c r="B273" s="1" t="n">
        <v>45665.34416666667</v>
      </c>
      <c r="C273" s="1" t="n">
        <v>45970</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16366-2023</t>
        </is>
      </c>
      <c r="B274" s="1" t="n">
        <v>45028</v>
      </c>
      <c r="C274" s="1" t="n">
        <v>45970</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11549-2025</t>
        </is>
      </c>
      <c r="B275" s="1" t="n">
        <v>45727.34460648148</v>
      </c>
      <c r="C275" s="1" t="n">
        <v>45970</v>
      </c>
      <c r="D275" t="inlineStr">
        <is>
          <t>JÄMTLANDS LÄN</t>
        </is>
      </c>
      <c r="E275" t="inlineStr">
        <is>
          <t>BRÄCKE</t>
        </is>
      </c>
      <c r="F275" t="inlineStr">
        <is>
          <t>SCA</t>
        </is>
      </c>
      <c r="G275" t="n">
        <v>6.4</v>
      </c>
      <c r="H275" t="n">
        <v>0</v>
      </c>
      <c r="I275" t="n">
        <v>0</v>
      </c>
      <c r="J275" t="n">
        <v>1</v>
      </c>
      <c r="K275" t="n">
        <v>0</v>
      </c>
      <c r="L275" t="n">
        <v>0</v>
      </c>
      <c r="M275" t="n">
        <v>0</v>
      </c>
      <c r="N275" t="n">
        <v>0</v>
      </c>
      <c r="O275" t="n">
        <v>1</v>
      </c>
      <c r="P275" t="n">
        <v>0</v>
      </c>
      <c r="Q275" t="n">
        <v>1</v>
      </c>
      <c r="R275" s="2" t="inlineStr">
        <is>
          <t>Vedtrappmossa</t>
        </is>
      </c>
      <c r="S275">
        <f>HYPERLINK("https://klasma.github.io/Logging_2305/artfynd/A 11549-2025 artfynd.xlsx", "A 11549-2025")</f>
        <v/>
      </c>
      <c r="T275">
        <f>HYPERLINK("https://klasma.github.io/Logging_2305/kartor/A 11549-2025 karta.png", "A 11549-2025")</f>
        <v/>
      </c>
      <c r="V275">
        <f>HYPERLINK("https://klasma.github.io/Logging_2305/klagomål/A 11549-2025 FSC-klagomål.docx", "A 11549-2025")</f>
        <v/>
      </c>
      <c r="W275">
        <f>HYPERLINK("https://klasma.github.io/Logging_2305/klagomålsmail/A 11549-2025 FSC-klagomål mail.docx", "A 11549-2025")</f>
        <v/>
      </c>
      <c r="X275">
        <f>HYPERLINK("https://klasma.github.io/Logging_2305/tillsyn/A 11549-2025 tillsynsbegäran.docx", "A 11549-2025")</f>
        <v/>
      </c>
      <c r="Y275">
        <f>HYPERLINK("https://klasma.github.io/Logging_2305/tillsynsmail/A 11549-2025 tillsynsbegäran mail.docx", "A 11549-2025")</f>
        <v/>
      </c>
    </row>
    <row r="276" ht="15" customHeight="1">
      <c r="A276" t="inlineStr">
        <is>
          <t>A 2063-2024</t>
        </is>
      </c>
      <c r="B276" s="1" t="n">
        <v>45308</v>
      </c>
      <c r="C276" s="1" t="n">
        <v>45970</v>
      </c>
      <c r="D276" t="inlineStr">
        <is>
          <t>JÄMTLANDS LÄN</t>
        </is>
      </c>
      <c r="E276" t="inlineStr">
        <is>
          <t>BRÄCKE</t>
        </is>
      </c>
      <c r="F276" t="inlineStr">
        <is>
          <t>SCA</t>
        </is>
      </c>
      <c r="G276" t="n">
        <v>5.7</v>
      </c>
      <c r="H276" t="n">
        <v>0</v>
      </c>
      <c r="I276" t="n">
        <v>0</v>
      </c>
      <c r="J276" t="n">
        <v>0</v>
      </c>
      <c r="K276" t="n">
        <v>1</v>
      </c>
      <c r="L276" t="n">
        <v>0</v>
      </c>
      <c r="M276" t="n">
        <v>0</v>
      </c>
      <c r="N276" t="n">
        <v>0</v>
      </c>
      <c r="O276" t="n">
        <v>1</v>
      </c>
      <c r="P276" t="n">
        <v>1</v>
      </c>
      <c r="Q276" t="n">
        <v>1</v>
      </c>
      <c r="R276" s="2" t="inlineStr">
        <is>
          <t>Gräddporing</t>
        </is>
      </c>
      <c r="S276">
        <f>HYPERLINK("https://klasma.github.io/Logging_2305/artfynd/A 2063-2024 artfynd.xlsx", "A 2063-2024")</f>
        <v/>
      </c>
      <c r="T276">
        <f>HYPERLINK("https://klasma.github.io/Logging_2305/kartor/A 2063-2024 karta.png", "A 2063-2024")</f>
        <v/>
      </c>
      <c r="V276">
        <f>HYPERLINK("https://klasma.github.io/Logging_2305/klagomål/A 2063-2024 FSC-klagomål.docx", "A 2063-2024")</f>
        <v/>
      </c>
      <c r="W276">
        <f>HYPERLINK("https://klasma.github.io/Logging_2305/klagomålsmail/A 2063-2024 FSC-klagomål mail.docx", "A 2063-2024")</f>
        <v/>
      </c>
      <c r="X276">
        <f>HYPERLINK("https://klasma.github.io/Logging_2305/tillsyn/A 2063-2024 tillsynsbegäran.docx", "A 2063-2024")</f>
        <v/>
      </c>
      <c r="Y276">
        <f>HYPERLINK("https://klasma.github.io/Logging_2305/tillsynsmail/A 2063-2024 tillsynsbegäran mail.docx", "A 2063-2024")</f>
        <v/>
      </c>
    </row>
    <row r="277" ht="15" customHeight="1">
      <c r="A277" t="inlineStr">
        <is>
          <t>A 41486-2024</t>
        </is>
      </c>
      <c r="B277" s="1" t="n">
        <v>45560.44907407407</v>
      </c>
      <c r="C277" s="1" t="n">
        <v>45970</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33479-2024</t>
        </is>
      </c>
      <c r="B278" s="1" t="n">
        <v>45519.60824074074</v>
      </c>
      <c r="C278" s="1" t="n">
        <v>45970</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Revlummer</t>
        </is>
      </c>
      <c r="S278">
        <f>HYPERLINK("https://klasma.github.io/Logging_2305/artfynd/A 33479-2024 artfynd.xlsx", "A 33479-2024")</f>
        <v/>
      </c>
      <c r="T278">
        <f>HYPERLINK("https://klasma.github.io/Logging_2305/kartor/A 33479-2024 karta.png", "A 33479-2024")</f>
        <v/>
      </c>
      <c r="V278">
        <f>HYPERLINK("https://klasma.github.io/Logging_2305/klagomål/A 33479-2024 FSC-klagomål.docx", "A 33479-2024")</f>
        <v/>
      </c>
      <c r="W278">
        <f>HYPERLINK("https://klasma.github.io/Logging_2305/klagomålsmail/A 33479-2024 FSC-klagomål mail.docx", "A 33479-2024")</f>
        <v/>
      </c>
      <c r="X278">
        <f>HYPERLINK("https://klasma.github.io/Logging_2305/tillsyn/A 33479-2024 tillsynsbegäran.docx", "A 33479-2024")</f>
        <v/>
      </c>
      <c r="Y278">
        <f>HYPERLINK("https://klasma.github.io/Logging_2305/tillsynsmail/A 33479-2024 tillsynsbegäran mail.docx", "A 33479-2024")</f>
        <v/>
      </c>
    </row>
    <row r="279" ht="15" customHeight="1">
      <c r="A279" t="inlineStr">
        <is>
          <t>A 7686-2025</t>
        </is>
      </c>
      <c r="B279" s="1" t="n">
        <v>45706.38579861111</v>
      </c>
      <c r="C279" s="1" t="n">
        <v>45970</v>
      </c>
      <c r="D279" t="inlineStr">
        <is>
          <t>JÄMTLANDS LÄN</t>
        </is>
      </c>
      <c r="E279" t="inlineStr">
        <is>
          <t>BRÄCKE</t>
        </is>
      </c>
      <c r="F279" t="inlineStr">
        <is>
          <t>SCA</t>
        </is>
      </c>
      <c r="G279" t="n">
        <v>1</v>
      </c>
      <c r="H279" t="n">
        <v>1</v>
      </c>
      <c r="I279" t="n">
        <v>0</v>
      </c>
      <c r="J279" t="n">
        <v>0</v>
      </c>
      <c r="K279" t="n">
        <v>1</v>
      </c>
      <c r="L279" t="n">
        <v>0</v>
      </c>
      <c r="M279" t="n">
        <v>0</v>
      </c>
      <c r="N279" t="n">
        <v>0</v>
      </c>
      <c r="O279" t="n">
        <v>1</v>
      </c>
      <c r="P279" t="n">
        <v>1</v>
      </c>
      <c r="Q279" t="n">
        <v>1</v>
      </c>
      <c r="R279" s="2" t="inlineStr">
        <is>
          <t>Knärot</t>
        </is>
      </c>
      <c r="S279">
        <f>HYPERLINK("https://klasma.github.io/Logging_2305/artfynd/A 7686-2025 artfynd.xlsx", "A 7686-2025")</f>
        <v/>
      </c>
      <c r="T279">
        <f>HYPERLINK("https://klasma.github.io/Logging_2305/kartor/A 7686-2025 karta.png", "A 7686-2025")</f>
        <v/>
      </c>
      <c r="U279">
        <f>HYPERLINK("https://klasma.github.io/Logging_2305/knärot/A 7686-2025 karta knärot.png", "A 7686-2025")</f>
        <v/>
      </c>
      <c r="V279">
        <f>HYPERLINK("https://klasma.github.io/Logging_2305/klagomål/A 7686-2025 FSC-klagomål.docx", "A 7686-2025")</f>
        <v/>
      </c>
      <c r="W279">
        <f>HYPERLINK("https://klasma.github.io/Logging_2305/klagomålsmail/A 7686-2025 FSC-klagomål mail.docx", "A 7686-2025")</f>
        <v/>
      </c>
      <c r="X279">
        <f>HYPERLINK("https://klasma.github.io/Logging_2305/tillsyn/A 7686-2025 tillsynsbegäran.docx", "A 7686-2025")</f>
        <v/>
      </c>
      <c r="Y279">
        <f>HYPERLINK("https://klasma.github.io/Logging_2305/tillsynsmail/A 7686-2025 tillsynsbegäran mail.docx", "A 7686-2025")</f>
        <v/>
      </c>
    </row>
    <row r="280" ht="15" customHeight="1">
      <c r="A280" t="inlineStr">
        <is>
          <t>A 57553-2024</t>
        </is>
      </c>
      <c r="B280" s="1" t="n">
        <v>45630.44898148148</v>
      </c>
      <c r="C280" s="1" t="n">
        <v>45970</v>
      </c>
      <c r="D280" t="inlineStr">
        <is>
          <t>JÄMTLANDS LÄN</t>
        </is>
      </c>
      <c r="E280" t="inlineStr">
        <is>
          <t>BRÄCKE</t>
        </is>
      </c>
      <c r="F280" t="inlineStr">
        <is>
          <t>SCA</t>
        </is>
      </c>
      <c r="G280" t="n">
        <v>8</v>
      </c>
      <c r="H280" t="n">
        <v>0</v>
      </c>
      <c r="I280" t="n">
        <v>0</v>
      </c>
      <c r="J280" t="n">
        <v>1</v>
      </c>
      <c r="K280" t="n">
        <v>0</v>
      </c>
      <c r="L280" t="n">
        <v>0</v>
      </c>
      <c r="M280" t="n">
        <v>0</v>
      </c>
      <c r="N280" t="n">
        <v>0</v>
      </c>
      <c r="O280" t="n">
        <v>1</v>
      </c>
      <c r="P280" t="n">
        <v>0</v>
      </c>
      <c r="Q280" t="n">
        <v>1</v>
      </c>
      <c r="R280" s="2" t="inlineStr">
        <is>
          <t>Lunglav</t>
        </is>
      </c>
      <c r="S280">
        <f>HYPERLINK("https://klasma.github.io/Logging_2305/artfynd/A 57553-2024 artfynd.xlsx", "A 57553-2024")</f>
        <v/>
      </c>
      <c r="T280">
        <f>HYPERLINK("https://klasma.github.io/Logging_2305/kartor/A 57553-2024 karta.png", "A 57553-2024")</f>
        <v/>
      </c>
      <c r="V280">
        <f>HYPERLINK("https://klasma.github.io/Logging_2305/klagomål/A 57553-2024 FSC-klagomål.docx", "A 57553-2024")</f>
        <v/>
      </c>
      <c r="W280">
        <f>HYPERLINK("https://klasma.github.io/Logging_2305/klagomålsmail/A 57553-2024 FSC-klagomål mail.docx", "A 57553-2024")</f>
        <v/>
      </c>
      <c r="X280">
        <f>HYPERLINK("https://klasma.github.io/Logging_2305/tillsyn/A 57553-2024 tillsynsbegäran.docx", "A 57553-2024")</f>
        <v/>
      </c>
      <c r="Y280">
        <f>HYPERLINK("https://klasma.github.io/Logging_2305/tillsynsmail/A 57553-2024 tillsynsbegäran mail.docx", "A 57553-2024")</f>
        <v/>
      </c>
    </row>
    <row r="281" ht="15" customHeight="1">
      <c r="A281" t="inlineStr">
        <is>
          <t>A 62079-2022</t>
        </is>
      </c>
      <c r="B281" s="1" t="n">
        <v>44918</v>
      </c>
      <c r="C281" s="1" t="n">
        <v>45970</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14374-2024</t>
        </is>
      </c>
      <c r="B282" s="1" t="n">
        <v>45393</v>
      </c>
      <c r="C282" s="1" t="n">
        <v>45970</v>
      </c>
      <c r="D282" t="inlineStr">
        <is>
          <t>JÄMTLANDS LÄN</t>
        </is>
      </c>
      <c r="E282" t="inlineStr">
        <is>
          <t>BRÄCKE</t>
        </is>
      </c>
      <c r="F282" t="inlineStr">
        <is>
          <t>SCA</t>
        </is>
      </c>
      <c r="G282" t="n">
        <v>0.8</v>
      </c>
      <c r="H282" t="n">
        <v>1</v>
      </c>
      <c r="I282" t="n">
        <v>0</v>
      </c>
      <c r="J282" t="n">
        <v>1</v>
      </c>
      <c r="K282" t="n">
        <v>0</v>
      </c>
      <c r="L282" t="n">
        <v>0</v>
      </c>
      <c r="M282" t="n">
        <v>0</v>
      </c>
      <c r="N282" t="n">
        <v>0</v>
      </c>
      <c r="O282" t="n">
        <v>1</v>
      </c>
      <c r="P282" t="n">
        <v>0</v>
      </c>
      <c r="Q282" t="n">
        <v>1</v>
      </c>
      <c r="R282" s="2" t="inlineStr">
        <is>
          <t>Kungsörn</t>
        </is>
      </c>
      <c r="S282">
        <f>HYPERLINK("https://klasma.github.io/Logging_2305/artfynd/A 14374-2024 artfynd.xlsx", "A 14374-2024")</f>
        <v/>
      </c>
      <c r="T282">
        <f>HYPERLINK("https://klasma.github.io/Logging_2305/kartor/A 14374-2024 karta.png", "A 14374-2024")</f>
        <v/>
      </c>
      <c r="V282">
        <f>HYPERLINK("https://klasma.github.io/Logging_2305/klagomål/A 14374-2024 FSC-klagomål.docx", "A 14374-2024")</f>
        <v/>
      </c>
      <c r="W282">
        <f>HYPERLINK("https://klasma.github.io/Logging_2305/klagomålsmail/A 14374-2024 FSC-klagomål mail.docx", "A 14374-2024")</f>
        <v/>
      </c>
      <c r="X282">
        <f>HYPERLINK("https://klasma.github.io/Logging_2305/tillsyn/A 14374-2024 tillsynsbegäran.docx", "A 14374-2024")</f>
        <v/>
      </c>
      <c r="Y282">
        <f>HYPERLINK("https://klasma.github.io/Logging_2305/tillsynsmail/A 14374-2024 tillsynsbegäran mail.docx", "A 14374-2024")</f>
        <v/>
      </c>
      <c r="Z282">
        <f>HYPERLINK("https://klasma.github.io/Logging_2305/fåglar/A 14374-2024 prioriterade fågelarter.docx", "A 14374-2024")</f>
        <v/>
      </c>
    </row>
    <row r="283" ht="15" customHeight="1">
      <c r="A283" t="inlineStr">
        <is>
          <t>A 48289-2025</t>
        </is>
      </c>
      <c r="B283" s="1" t="n">
        <v>45933.59482638889</v>
      </c>
      <c r="C283" s="1" t="n">
        <v>45970</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12296-2025</t>
        </is>
      </c>
      <c r="B284" s="1" t="n">
        <v>45729.69829861111</v>
      </c>
      <c r="C284" s="1" t="n">
        <v>45970</v>
      </c>
      <c r="D284" t="inlineStr">
        <is>
          <t>JÄMTLANDS LÄN</t>
        </is>
      </c>
      <c r="E284" t="inlineStr">
        <is>
          <t>BRÄCKE</t>
        </is>
      </c>
      <c r="F284" t="inlineStr">
        <is>
          <t>SCA</t>
        </is>
      </c>
      <c r="G284" t="n">
        <v>2.2</v>
      </c>
      <c r="H284" t="n">
        <v>0</v>
      </c>
      <c r="I284" t="n">
        <v>0</v>
      </c>
      <c r="J284" t="n">
        <v>1</v>
      </c>
      <c r="K284" t="n">
        <v>0</v>
      </c>
      <c r="L284" t="n">
        <v>0</v>
      </c>
      <c r="M284" t="n">
        <v>0</v>
      </c>
      <c r="N284" t="n">
        <v>0</v>
      </c>
      <c r="O284" t="n">
        <v>1</v>
      </c>
      <c r="P284" t="n">
        <v>0</v>
      </c>
      <c r="Q284" t="n">
        <v>1</v>
      </c>
      <c r="R284" s="2" t="inlineStr">
        <is>
          <t>Lunglav</t>
        </is>
      </c>
      <c r="S284">
        <f>HYPERLINK("https://klasma.github.io/Logging_2305/artfynd/A 12296-2025 artfynd.xlsx", "A 12296-2025")</f>
        <v/>
      </c>
      <c r="T284">
        <f>HYPERLINK("https://klasma.github.io/Logging_2305/kartor/A 12296-2025 karta.png", "A 12296-2025")</f>
        <v/>
      </c>
      <c r="V284">
        <f>HYPERLINK("https://klasma.github.io/Logging_2305/klagomål/A 12296-2025 FSC-klagomål.docx", "A 12296-2025")</f>
        <v/>
      </c>
      <c r="W284">
        <f>HYPERLINK("https://klasma.github.io/Logging_2305/klagomålsmail/A 12296-2025 FSC-klagomål mail.docx", "A 12296-2025")</f>
        <v/>
      </c>
      <c r="X284">
        <f>HYPERLINK("https://klasma.github.io/Logging_2305/tillsyn/A 12296-2025 tillsynsbegäran.docx", "A 12296-2025")</f>
        <v/>
      </c>
      <c r="Y284">
        <f>HYPERLINK("https://klasma.github.io/Logging_2305/tillsynsmail/A 12296-2025 tillsynsbegäran mail.docx", "A 12296-2025")</f>
        <v/>
      </c>
    </row>
    <row r="285" ht="15" customHeight="1">
      <c r="A285" t="inlineStr">
        <is>
          <t>A 15076-2022</t>
        </is>
      </c>
      <c r="B285" s="1" t="n">
        <v>44657</v>
      </c>
      <c r="C285" s="1" t="n">
        <v>45970</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56156-2024</t>
        </is>
      </c>
      <c r="B286" s="1" t="n">
        <v>45624.53180555555</v>
      </c>
      <c r="C286" s="1" t="n">
        <v>45970</v>
      </c>
      <c r="D286" t="inlineStr">
        <is>
          <t>JÄMTLANDS LÄN</t>
        </is>
      </c>
      <c r="E286" t="inlineStr">
        <is>
          <t>BRÄCKE</t>
        </is>
      </c>
      <c r="F286" t="inlineStr">
        <is>
          <t>SCA</t>
        </is>
      </c>
      <c r="G286" t="n">
        <v>4.4</v>
      </c>
      <c r="H286" t="n">
        <v>0</v>
      </c>
      <c r="I286" t="n">
        <v>0</v>
      </c>
      <c r="J286" t="n">
        <v>1</v>
      </c>
      <c r="K286" t="n">
        <v>0</v>
      </c>
      <c r="L286" t="n">
        <v>0</v>
      </c>
      <c r="M286" t="n">
        <v>0</v>
      </c>
      <c r="N286" t="n">
        <v>0</v>
      </c>
      <c r="O286" t="n">
        <v>1</v>
      </c>
      <c r="P286" t="n">
        <v>0</v>
      </c>
      <c r="Q286" t="n">
        <v>1</v>
      </c>
      <c r="R286" s="2" t="inlineStr">
        <is>
          <t>Flattoppad klubbsvamp</t>
        </is>
      </c>
      <c r="S286">
        <f>HYPERLINK("https://klasma.github.io/Logging_2305/artfynd/A 56156-2024 artfynd.xlsx", "A 56156-2024")</f>
        <v/>
      </c>
      <c r="T286">
        <f>HYPERLINK("https://klasma.github.io/Logging_2305/kartor/A 56156-2024 karta.png", "A 56156-2024")</f>
        <v/>
      </c>
      <c r="V286">
        <f>HYPERLINK("https://klasma.github.io/Logging_2305/klagomål/A 56156-2024 FSC-klagomål.docx", "A 56156-2024")</f>
        <v/>
      </c>
      <c r="W286">
        <f>HYPERLINK("https://klasma.github.io/Logging_2305/klagomålsmail/A 56156-2024 FSC-klagomål mail.docx", "A 56156-2024")</f>
        <v/>
      </c>
      <c r="X286">
        <f>HYPERLINK("https://klasma.github.io/Logging_2305/tillsyn/A 56156-2024 tillsynsbegäran.docx", "A 56156-2024")</f>
        <v/>
      </c>
      <c r="Y286">
        <f>HYPERLINK("https://klasma.github.io/Logging_2305/tillsynsmail/A 56156-2024 tillsynsbegäran mail.docx", "A 56156-2024")</f>
        <v/>
      </c>
    </row>
    <row r="287" ht="15" customHeight="1">
      <c r="A287" t="inlineStr">
        <is>
          <t>A 9994-2021</t>
        </is>
      </c>
      <c r="B287" s="1" t="n">
        <v>44254</v>
      </c>
      <c r="C287" s="1" t="n">
        <v>45970</v>
      </c>
      <c r="D287" t="inlineStr">
        <is>
          <t>JÄMTLANDS LÄN</t>
        </is>
      </c>
      <c r="E287" t="inlineStr">
        <is>
          <t>BRÄCKE</t>
        </is>
      </c>
      <c r="F287" t="inlineStr">
        <is>
          <t>SCA</t>
        </is>
      </c>
      <c r="G287" t="n">
        <v>2.3</v>
      </c>
      <c r="H287" t="n">
        <v>0</v>
      </c>
      <c r="I287" t="n">
        <v>0</v>
      </c>
      <c r="J287" t="n">
        <v>0</v>
      </c>
      <c r="K287" t="n">
        <v>1</v>
      </c>
      <c r="L287" t="n">
        <v>0</v>
      </c>
      <c r="M287" t="n">
        <v>0</v>
      </c>
      <c r="N287" t="n">
        <v>0</v>
      </c>
      <c r="O287" t="n">
        <v>1</v>
      </c>
      <c r="P287" t="n">
        <v>1</v>
      </c>
      <c r="Q287" t="n">
        <v>1</v>
      </c>
      <c r="R287" s="2" t="inlineStr">
        <is>
          <t>Rynkskinn</t>
        </is>
      </c>
      <c r="S287">
        <f>HYPERLINK("https://klasma.github.io/Logging_2305/artfynd/A 9994-2021 artfynd.xlsx", "A 9994-2021")</f>
        <v/>
      </c>
      <c r="T287">
        <f>HYPERLINK("https://klasma.github.io/Logging_2305/kartor/A 9994-2021 karta.png", "A 9994-2021")</f>
        <v/>
      </c>
      <c r="V287">
        <f>HYPERLINK("https://klasma.github.io/Logging_2305/klagomål/A 9994-2021 FSC-klagomål.docx", "A 9994-2021")</f>
        <v/>
      </c>
      <c r="W287">
        <f>HYPERLINK("https://klasma.github.io/Logging_2305/klagomålsmail/A 9994-2021 FSC-klagomål mail.docx", "A 9994-2021")</f>
        <v/>
      </c>
      <c r="X287">
        <f>HYPERLINK("https://klasma.github.io/Logging_2305/tillsyn/A 9994-2021 tillsynsbegäran.docx", "A 9994-2021")</f>
        <v/>
      </c>
      <c r="Y287">
        <f>HYPERLINK("https://klasma.github.io/Logging_2305/tillsynsmail/A 9994-2021 tillsynsbegäran mail.docx", "A 9994-2021")</f>
        <v/>
      </c>
    </row>
    <row r="288" ht="15" customHeight="1">
      <c r="A288" t="inlineStr">
        <is>
          <t>A 789-2025</t>
        </is>
      </c>
      <c r="B288" s="1" t="n">
        <v>45665.51072916666</v>
      </c>
      <c r="C288" s="1" t="n">
        <v>45970</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789-2025 artfynd.xlsx", "A 789-2025")</f>
        <v/>
      </c>
      <c r="T288">
        <f>HYPERLINK("https://klasma.github.io/Logging_2305/kartor/A 789-2025 karta.png", "A 789-2025")</f>
        <v/>
      </c>
      <c r="V288">
        <f>HYPERLINK("https://klasma.github.io/Logging_2305/klagomål/A 789-2025 FSC-klagomål.docx", "A 789-2025")</f>
        <v/>
      </c>
      <c r="W288">
        <f>HYPERLINK("https://klasma.github.io/Logging_2305/klagomålsmail/A 789-2025 FSC-klagomål mail.docx", "A 789-2025")</f>
        <v/>
      </c>
      <c r="X288">
        <f>HYPERLINK("https://klasma.github.io/Logging_2305/tillsyn/A 789-2025 tillsynsbegäran.docx", "A 789-2025")</f>
        <v/>
      </c>
      <c r="Y288">
        <f>HYPERLINK("https://klasma.github.io/Logging_2305/tillsynsmail/A 789-2025 tillsynsbegäran mail.docx", "A 789-2025")</f>
        <v/>
      </c>
    </row>
    <row r="289" ht="15" customHeight="1">
      <c r="A289" t="inlineStr">
        <is>
          <t>A 40869-2024</t>
        </is>
      </c>
      <c r="B289" s="1" t="n">
        <v>45558.59409722222</v>
      </c>
      <c r="C289" s="1" t="n">
        <v>45970</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12062-2023</t>
        </is>
      </c>
      <c r="B290" s="1" t="n">
        <v>44996</v>
      </c>
      <c r="C290" s="1" t="n">
        <v>45970</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20866-2025</t>
        </is>
      </c>
      <c r="B291" s="1" t="n">
        <v>45777.34456018519</v>
      </c>
      <c r="C291" s="1" t="n">
        <v>45970</v>
      </c>
      <c r="D291" t="inlineStr">
        <is>
          <t>JÄMTLANDS LÄN</t>
        </is>
      </c>
      <c r="E291" t="inlineStr">
        <is>
          <t>BRÄCKE</t>
        </is>
      </c>
      <c r="F291" t="inlineStr">
        <is>
          <t>SCA</t>
        </is>
      </c>
      <c r="G291" t="n">
        <v>2.8</v>
      </c>
      <c r="H291" t="n">
        <v>0</v>
      </c>
      <c r="I291" t="n">
        <v>0</v>
      </c>
      <c r="J291" t="n">
        <v>1</v>
      </c>
      <c r="K291" t="n">
        <v>0</v>
      </c>
      <c r="L291" t="n">
        <v>0</v>
      </c>
      <c r="M291" t="n">
        <v>0</v>
      </c>
      <c r="N291" t="n">
        <v>0</v>
      </c>
      <c r="O291" t="n">
        <v>1</v>
      </c>
      <c r="P291" t="n">
        <v>0</v>
      </c>
      <c r="Q291" t="n">
        <v>1</v>
      </c>
      <c r="R291" s="2" t="inlineStr">
        <is>
          <t>Violettgrå tagellav</t>
        </is>
      </c>
      <c r="S291">
        <f>HYPERLINK("https://klasma.github.io/Logging_2305/artfynd/A 20866-2025 artfynd.xlsx", "A 20866-2025")</f>
        <v/>
      </c>
      <c r="T291">
        <f>HYPERLINK("https://klasma.github.io/Logging_2305/kartor/A 20866-2025 karta.png", "A 20866-2025")</f>
        <v/>
      </c>
      <c r="V291">
        <f>HYPERLINK("https://klasma.github.io/Logging_2305/klagomål/A 20866-2025 FSC-klagomål.docx", "A 20866-2025")</f>
        <v/>
      </c>
      <c r="W291">
        <f>HYPERLINK("https://klasma.github.io/Logging_2305/klagomålsmail/A 20866-2025 FSC-klagomål mail.docx", "A 20866-2025")</f>
        <v/>
      </c>
      <c r="X291">
        <f>HYPERLINK("https://klasma.github.io/Logging_2305/tillsyn/A 20866-2025 tillsynsbegäran.docx", "A 20866-2025")</f>
        <v/>
      </c>
      <c r="Y291">
        <f>HYPERLINK("https://klasma.github.io/Logging_2305/tillsynsmail/A 20866-2025 tillsynsbegäran mail.docx", "A 20866-2025")</f>
        <v/>
      </c>
    </row>
    <row r="292" ht="15" customHeight="1">
      <c r="A292" t="inlineStr">
        <is>
          <t>A 21428-2025</t>
        </is>
      </c>
      <c r="B292" s="1" t="n">
        <v>45782.51072916666</v>
      </c>
      <c r="C292" s="1" t="n">
        <v>45970</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19431-2021</t>
        </is>
      </c>
      <c r="B293" s="1" t="n">
        <v>44309</v>
      </c>
      <c r="C293" s="1" t="n">
        <v>45970</v>
      </c>
      <c r="D293" t="inlineStr">
        <is>
          <t>JÄMTLANDS LÄN</t>
        </is>
      </c>
      <c r="E293" t="inlineStr">
        <is>
          <t>BRÄCKE</t>
        </is>
      </c>
      <c r="G293" t="n">
        <v>4.8</v>
      </c>
      <c r="H293" t="n">
        <v>1</v>
      </c>
      <c r="I293" t="n">
        <v>0</v>
      </c>
      <c r="J293" t="n">
        <v>1</v>
      </c>
      <c r="K293" t="n">
        <v>0</v>
      </c>
      <c r="L293" t="n">
        <v>0</v>
      </c>
      <c r="M293" t="n">
        <v>0</v>
      </c>
      <c r="N293" t="n">
        <v>0</v>
      </c>
      <c r="O293" t="n">
        <v>1</v>
      </c>
      <c r="P293" t="n">
        <v>0</v>
      </c>
      <c r="Q293" t="n">
        <v>1</v>
      </c>
      <c r="R293" s="2" t="inlineStr">
        <is>
          <t>Utter</t>
        </is>
      </c>
      <c r="S293">
        <f>HYPERLINK("https://klasma.github.io/Logging_2305/artfynd/A 19431-2021 artfynd.xlsx", "A 19431-2021")</f>
        <v/>
      </c>
      <c r="T293">
        <f>HYPERLINK("https://klasma.github.io/Logging_2305/kartor/A 19431-2021 karta.png", "A 19431-2021")</f>
        <v/>
      </c>
      <c r="V293">
        <f>HYPERLINK("https://klasma.github.io/Logging_2305/klagomål/A 19431-2021 FSC-klagomål.docx", "A 19431-2021")</f>
        <v/>
      </c>
      <c r="W293">
        <f>HYPERLINK("https://klasma.github.io/Logging_2305/klagomålsmail/A 19431-2021 FSC-klagomål mail.docx", "A 19431-2021")</f>
        <v/>
      </c>
      <c r="X293">
        <f>HYPERLINK("https://klasma.github.io/Logging_2305/tillsyn/A 19431-2021 tillsynsbegäran.docx", "A 19431-2021")</f>
        <v/>
      </c>
      <c r="Y293">
        <f>HYPERLINK("https://klasma.github.io/Logging_2305/tillsynsmail/A 19431-2021 tillsynsbegäran mail.docx", "A 19431-2021")</f>
        <v/>
      </c>
    </row>
    <row r="294" ht="15" customHeight="1">
      <c r="A294" t="inlineStr">
        <is>
          <t>A 40835-2025</t>
        </is>
      </c>
      <c r="B294" s="1" t="n">
        <v>45897.5114699074</v>
      </c>
      <c r="C294" s="1" t="n">
        <v>45970</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Kolflarnlav</t>
        </is>
      </c>
      <c r="S294">
        <f>HYPERLINK("https://klasma.github.io/Logging_2305/artfynd/A 40835-2025 artfynd.xlsx", "A 40835-2025")</f>
        <v/>
      </c>
      <c r="T294">
        <f>HYPERLINK("https://klasma.github.io/Logging_2305/kartor/A 40835-2025 karta.png", "A 40835-2025")</f>
        <v/>
      </c>
      <c r="V294">
        <f>HYPERLINK("https://klasma.github.io/Logging_2305/klagomål/A 40835-2025 FSC-klagomål.docx", "A 40835-2025")</f>
        <v/>
      </c>
      <c r="W294">
        <f>HYPERLINK("https://klasma.github.io/Logging_2305/klagomålsmail/A 40835-2025 FSC-klagomål mail.docx", "A 40835-2025")</f>
        <v/>
      </c>
      <c r="X294">
        <f>HYPERLINK("https://klasma.github.io/Logging_2305/tillsyn/A 40835-2025 tillsynsbegäran.docx", "A 40835-2025")</f>
        <v/>
      </c>
      <c r="Y294">
        <f>HYPERLINK("https://klasma.github.io/Logging_2305/tillsynsmail/A 40835-2025 tillsynsbegäran mail.docx", "A 40835-2025")</f>
        <v/>
      </c>
    </row>
    <row r="295" ht="15" customHeight="1">
      <c r="A295" t="inlineStr">
        <is>
          <t>A 2882-2025</t>
        </is>
      </c>
      <c r="B295" s="1" t="n">
        <v>45677.69878472222</v>
      </c>
      <c r="C295" s="1" t="n">
        <v>45970</v>
      </c>
      <c r="D295" t="inlineStr">
        <is>
          <t>JÄMTLANDS LÄN</t>
        </is>
      </c>
      <c r="E295" t="inlineStr">
        <is>
          <t>BRÄCKE</t>
        </is>
      </c>
      <c r="F295" t="inlineStr">
        <is>
          <t>SCA</t>
        </is>
      </c>
      <c r="G295" t="n">
        <v>2.7</v>
      </c>
      <c r="H295" t="n">
        <v>0</v>
      </c>
      <c r="I295" t="n">
        <v>0</v>
      </c>
      <c r="J295" t="n">
        <v>1</v>
      </c>
      <c r="K295" t="n">
        <v>0</v>
      </c>
      <c r="L295" t="n">
        <v>0</v>
      </c>
      <c r="M295" t="n">
        <v>0</v>
      </c>
      <c r="N295" t="n">
        <v>0</v>
      </c>
      <c r="O295" t="n">
        <v>1</v>
      </c>
      <c r="P295" t="n">
        <v>0</v>
      </c>
      <c r="Q295" t="n">
        <v>1</v>
      </c>
      <c r="R295" s="2" t="inlineStr">
        <is>
          <t>Dvärgbägarlav</t>
        </is>
      </c>
      <c r="S295">
        <f>HYPERLINK("https://klasma.github.io/Logging_2305/artfynd/A 2882-2025 artfynd.xlsx", "A 2882-2025")</f>
        <v/>
      </c>
      <c r="T295">
        <f>HYPERLINK("https://klasma.github.io/Logging_2305/kartor/A 2882-2025 karta.png", "A 2882-2025")</f>
        <v/>
      </c>
      <c r="V295">
        <f>HYPERLINK("https://klasma.github.io/Logging_2305/klagomål/A 2882-2025 FSC-klagomål.docx", "A 2882-2025")</f>
        <v/>
      </c>
      <c r="W295">
        <f>HYPERLINK("https://klasma.github.io/Logging_2305/klagomålsmail/A 2882-2025 FSC-klagomål mail.docx", "A 2882-2025")</f>
        <v/>
      </c>
      <c r="X295">
        <f>HYPERLINK("https://klasma.github.io/Logging_2305/tillsyn/A 2882-2025 tillsynsbegäran.docx", "A 2882-2025")</f>
        <v/>
      </c>
      <c r="Y295">
        <f>HYPERLINK("https://klasma.github.io/Logging_2305/tillsynsmail/A 2882-2025 tillsynsbegäran mail.docx", "A 2882-2025")</f>
        <v/>
      </c>
    </row>
    <row r="296" ht="15" customHeight="1">
      <c r="A296" t="inlineStr">
        <is>
          <t>A 17996-2025</t>
        </is>
      </c>
      <c r="B296" s="1" t="n">
        <v>45761.40716435185</v>
      </c>
      <c r="C296" s="1" t="n">
        <v>45970</v>
      </c>
      <c r="D296" t="inlineStr">
        <is>
          <t>JÄMTLANDS LÄN</t>
        </is>
      </c>
      <c r="E296" t="inlineStr">
        <is>
          <t>BRÄCKE</t>
        </is>
      </c>
      <c r="F296" t="inlineStr">
        <is>
          <t>SCA</t>
        </is>
      </c>
      <c r="G296" t="n">
        <v>1.3</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17996-2025 artfynd.xlsx", "A 17996-2025")</f>
        <v/>
      </c>
      <c r="T296">
        <f>HYPERLINK("https://klasma.github.io/Logging_2305/kartor/A 17996-2025 karta.png", "A 17996-2025")</f>
        <v/>
      </c>
      <c r="V296">
        <f>HYPERLINK("https://klasma.github.io/Logging_2305/klagomål/A 17996-2025 FSC-klagomål.docx", "A 17996-2025")</f>
        <v/>
      </c>
      <c r="W296">
        <f>HYPERLINK("https://klasma.github.io/Logging_2305/klagomålsmail/A 17996-2025 FSC-klagomål mail.docx", "A 17996-2025")</f>
        <v/>
      </c>
      <c r="X296">
        <f>HYPERLINK("https://klasma.github.io/Logging_2305/tillsyn/A 17996-2025 tillsynsbegäran.docx", "A 17996-2025")</f>
        <v/>
      </c>
      <c r="Y296">
        <f>HYPERLINK("https://klasma.github.io/Logging_2305/tillsynsmail/A 17996-2025 tillsynsbegäran mail.docx", "A 17996-2025")</f>
        <v/>
      </c>
    </row>
    <row r="297" ht="15" customHeight="1">
      <c r="A297" t="inlineStr">
        <is>
          <t>A 235-2022</t>
        </is>
      </c>
      <c r="B297" s="1" t="n">
        <v>44564</v>
      </c>
      <c r="C297" s="1" t="n">
        <v>45970</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40914-2025</t>
        </is>
      </c>
      <c r="B298" s="1" t="n">
        <v>45897.61741898148</v>
      </c>
      <c r="C298" s="1" t="n">
        <v>45970</v>
      </c>
      <c r="D298" t="inlineStr">
        <is>
          <t>JÄMTLANDS LÄN</t>
        </is>
      </c>
      <c r="E298" t="inlineStr">
        <is>
          <t>BRÄCKE</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HYPERLINK("https://klasma.github.io/Logging_2305/artfynd/A 40914-2025 artfynd.xlsx", "A 40914-2025")</f>
        <v/>
      </c>
      <c r="T298">
        <f>HYPERLINK("https://klasma.github.io/Logging_2305/kartor/A 40914-2025 karta.png", "A 40914-2025")</f>
        <v/>
      </c>
      <c r="V298">
        <f>HYPERLINK("https://klasma.github.io/Logging_2305/klagomål/A 40914-2025 FSC-klagomål.docx", "A 40914-2025")</f>
        <v/>
      </c>
      <c r="W298">
        <f>HYPERLINK("https://klasma.github.io/Logging_2305/klagomålsmail/A 40914-2025 FSC-klagomål mail.docx", "A 40914-2025")</f>
        <v/>
      </c>
      <c r="X298">
        <f>HYPERLINK("https://klasma.github.io/Logging_2305/tillsyn/A 40914-2025 tillsynsbegäran.docx", "A 40914-2025")</f>
        <v/>
      </c>
      <c r="Y298">
        <f>HYPERLINK("https://klasma.github.io/Logging_2305/tillsynsmail/A 40914-2025 tillsynsbegäran mail.docx", "A 40914-2025")</f>
        <v/>
      </c>
    </row>
    <row r="299" ht="15" customHeight="1">
      <c r="A299" t="inlineStr">
        <is>
          <t>A 41059-2025</t>
        </is>
      </c>
      <c r="B299" s="1" t="n">
        <v>45898.40703703704</v>
      </c>
      <c r="C299" s="1" t="n">
        <v>45970</v>
      </c>
      <c r="D299" t="inlineStr">
        <is>
          <t>JÄMTLANDS LÄN</t>
        </is>
      </c>
      <c r="E299" t="inlineStr">
        <is>
          <t>BRÄCKE</t>
        </is>
      </c>
      <c r="F299" t="inlineStr">
        <is>
          <t>SCA</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HYPERLINK("https://klasma.github.io/Logging_2305/artfynd/A 41059-2025 artfynd.xlsx", "A 41059-2025")</f>
        <v/>
      </c>
      <c r="T299">
        <f>HYPERLINK("https://klasma.github.io/Logging_2305/kartor/A 41059-2025 karta.png", "A 41059-2025")</f>
        <v/>
      </c>
      <c r="V299">
        <f>HYPERLINK("https://klasma.github.io/Logging_2305/klagomål/A 41059-2025 FSC-klagomål.docx", "A 41059-2025")</f>
        <v/>
      </c>
      <c r="W299">
        <f>HYPERLINK("https://klasma.github.io/Logging_2305/klagomålsmail/A 41059-2025 FSC-klagomål mail.docx", "A 41059-2025")</f>
        <v/>
      </c>
      <c r="X299">
        <f>HYPERLINK("https://klasma.github.io/Logging_2305/tillsyn/A 41059-2025 tillsynsbegäran.docx", "A 41059-2025")</f>
        <v/>
      </c>
      <c r="Y299">
        <f>HYPERLINK("https://klasma.github.io/Logging_2305/tillsynsmail/A 41059-2025 tillsynsbegäran mail.docx", "A 41059-2025")</f>
        <v/>
      </c>
    </row>
    <row r="300" ht="15" customHeight="1">
      <c r="A300" t="inlineStr">
        <is>
          <t>A 40842-2025</t>
        </is>
      </c>
      <c r="B300" s="1" t="n">
        <v>45897.53200231482</v>
      </c>
      <c r="C300" s="1" t="n">
        <v>45970</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22651-2025</t>
        </is>
      </c>
      <c r="B301" s="1" t="n">
        <v>45789.46907407408</v>
      </c>
      <c r="C301" s="1" t="n">
        <v>45970</v>
      </c>
      <c r="D301" t="inlineStr">
        <is>
          <t>JÄMTLANDS LÄN</t>
        </is>
      </c>
      <c r="E301" t="inlineStr">
        <is>
          <t>BRÄCKE</t>
        </is>
      </c>
      <c r="F301" t="inlineStr">
        <is>
          <t>SCA</t>
        </is>
      </c>
      <c r="G301" t="n">
        <v>2.3</v>
      </c>
      <c r="H301" t="n">
        <v>1</v>
      </c>
      <c r="I301" t="n">
        <v>1</v>
      </c>
      <c r="J301" t="n">
        <v>0</v>
      </c>
      <c r="K301" t="n">
        <v>0</v>
      </c>
      <c r="L301" t="n">
        <v>0</v>
      </c>
      <c r="M301" t="n">
        <v>0</v>
      </c>
      <c r="N301" t="n">
        <v>0</v>
      </c>
      <c r="O301" t="n">
        <v>0</v>
      </c>
      <c r="P301" t="n">
        <v>0</v>
      </c>
      <c r="Q301" t="n">
        <v>1</v>
      </c>
      <c r="R301" s="2" t="inlineStr">
        <is>
          <t>Guckusko</t>
        </is>
      </c>
      <c r="S301">
        <f>HYPERLINK("https://klasma.github.io/Logging_2305/artfynd/A 22651-2025 artfynd.xlsx", "A 22651-2025")</f>
        <v/>
      </c>
      <c r="T301">
        <f>HYPERLINK("https://klasma.github.io/Logging_2305/kartor/A 22651-2025 karta.png", "A 22651-2025")</f>
        <v/>
      </c>
      <c r="V301">
        <f>HYPERLINK("https://klasma.github.io/Logging_2305/klagomål/A 22651-2025 FSC-klagomål.docx", "A 22651-2025")</f>
        <v/>
      </c>
      <c r="W301">
        <f>HYPERLINK("https://klasma.github.io/Logging_2305/klagomålsmail/A 22651-2025 FSC-klagomål mail.docx", "A 22651-2025")</f>
        <v/>
      </c>
      <c r="X301">
        <f>HYPERLINK("https://klasma.github.io/Logging_2305/tillsyn/A 22651-2025 tillsynsbegäran.docx", "A 22651-2025")</f>
        <v/>
      </c>
      <c r="Y301">
        <f>HYPERLINK("https://klasma.github.io/Logging_2305/tillsynsmail/A 22651-2025 tillsynsbegäran mail.docx", "A 22651-2025")</f>
        <v/>
      </c>
    </row>
    <row r="302" ht="15" customHeight="1">
      <c r="A302" t="inlineStr">
        <is>
          <t>A 23460-2025</t>
        </is>
      </c>
      <c r="B302" s="1" t="n">
        <v>45792.42776620371</v>
      </c>
      <c r="C302" s="1" t="n">
        <v>45970</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40792-2025</t>
        </is>
      </c>
      <c r="B303" s="1" t="n">
        <v>45897.44855324074</v>
      </c>
      <c r="C303" s="1" t="n">
        <v>45970</v>
      </c>
      <c r="D303" t="inlineStr">
        <is>
          <t>JÄMTLANDS LÄN</t>
        </is>
      </c>
      <c r="E303" t="inlineStr">
        <is>
          <t>BRÄCKE</t>
        </is>
      </c>
      <c r="F303" t="inlineStr">
        <is>
          <t>SCA</t>
        </is>
      </c>
      <c r="G303" t="n">
        <v>1.7</v>
      </c>
      <c r="H303" t="n">
        <v>0</v>
      </c>
      <c r="I303" t="n">
        <v>0</v>
      </c>
      <c r="J303" t="n">
        <v>1</v>
      </c>
      <c r="K303" t="n">
        <v>0</v>
      </c>
      <c r="L303" t="n">
        <v>0</v>
      </c>
      <c r="M303" t="n">
        <v>0</v>
      </c>
      <c r="N303" t="n">
        <v>0</v>
      </c>
      <c r="O303" t="n">
        <v>1</v>
      </c>
      <c r="P303" t="n">
        <v>0</v>
      </c>
      <c r="Q303" t="n">
        <v>1</v>
      </c>
      <c r="R303" s="2" t="inlineStr">
        <is>
          <t>Lunglav</t>
        </is>
      </c>
      <c r="S303">
        <f>HYPERLINK("https://klasma.github.io/Logging_2305/artfynd/A 40792-2025 artfynd.xlsx", "A 40792-2025")</f>
        <v/>
      </c>
      <c r="T303">
        <f>HYPERLINK("https://klasma.github.io/Logging_2305/kartor/A 40792-2025 karta.png", "A 40792-2025")</f>
        <v/>
      </c>
      <c r="V303">
        <f>HYPERLINK("https://klasma.github.io/Logging_2305/klagomål/A 40792-2025 FSC-klagomål.docx", "A 40792-2025")</f>
        <v/>
      </c>
      <c r="W303">
        <f>HYPERLINK("https://klasma.github.io/Logging_2305/klagomålsmail/A 40792-2025 FSC-klagomål mail.docx", "A 40792-2025")</f>
        <v/>
      </c>
      <c r="X303">
        <f>HYPERLINK("https://klasma.github.io/Logging_2305/tillsyn/A 40792-2025 tillsynsbegäran.docx", "A 40792-2025")</f>
        <v/>
      </c>
      <c r="Y303">
        <f>HYPERLINK("https://klasma.github.io/Logging_2305/tillsynsmail/A 40792-2025 tillsynsbegäran mail.docx", "A 40792-2025")</f>
        <v/>
      </c>
    </row>
    <row r="304" ht="15" customHeight="1">
      <c r="A304" t="inlineStr">
        <is>
          <t>A 24094-2025</t>
        </is>
      </c>
      <c r="B304" s="1" t="n">
        <v>45796.57335648148</v>
      </c>
      <c r="C304" s="1" t="n">
        <v>45970</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Vedskivlav</t>
        </is>
      </c>
      <c r="S304">
        <f>HYPERLINK("https://klasma.github.io/Logging_2305/artfynd/A 24094-2025 artfynd.xlsx", "A 24094-2025")</f>
        <v/>
      </c>
      <c r="T304">
        <f>HYPERLINK("https://klasma.github.io/Logging_2305/kartor/A 24094-2025 karta.png", "A 24094-2025")</f>
        <v/>
      </c>
      <c r="V304">
        <f>HYPERLINK("https://klasma.github.io/Logging_2305/klagomål/A 24094-2025 FSC-klagomål.docx", "A 24094-2025")</f>
        <v/>
      </c>
      <c r="W304">
        <f>HYPERLINK("https://klasma.github.io/Logging_2305/klagomålsmail/A 24094-2025 FSC-klagomål mail.docx", "A 24094-2025")</f>
        <v/>
      </c>
      <c r="X304">
        <f>HYPERLINK("https://klasma.github.io/Logging_2305/tillsyn/A 24094-2025 tillsynsbegäran.docx", "A 24094-2025")</f>
        <v/>
      </c>
      <c r="Y304">
        <f>HYPERLINK("https://klasma.github.io/Logging_2305/tillsynsmail/A 24094-2025 tillsynsbegäran mail.docx", "A 24094-2025")</f>
        <v/>
      </c>
    </row>
    <row r="305" ht="15" customHeight="1">
      <c r="A305" t="inlineStr">
        <is>
          <t>A 40097-2023</t>
        </is>
      </c>
      <c r="B305" s="1" t="n">
        <v>45168</v>
      </c>
      <c r="C305" s="1" t="n">
        <v>45970</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15189-2025</t>
        </is>
      </c>
      <c r="B306" s="1" t="n">
        <v>45744.55259259259</v>
      </c>
      <c r="C306" s="1" t="n">
        <v>45970</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15189-2025 artfynd.xlsx", "A 15189-2025")</f>
        <v/>
      </c>
      <c r="T306">
        <f>HYPERLINK("https://klasma.github.io/Logging_2305/kartor/A 15189-2025 karta.png", "A 15189-2025")</f>
        <v/>
      </c>
      <c r="V306">
        <f>HYPERLINK("https://klasma.github.io/Logging_2305/klagomål/A 15189-2025 FSC-klagomål.docx", "A 15189-2025")</f>
        <v/>
      </c>
      <c r="W306">
        <f>HYPERLINK("https://klasma.github.io/Logging_2305/klagomålsmail/A 15189-2025 FSC-klagomål mail.docx", "A 15189-2025")</f>
        <v/>
      </c>
      <c r="X306">
        <f>HYPERLINK("https://klasma.github.io/Logging_2305/tillsyn/A 15189-2025 tillsynsbegäran.docx", "A 15189-2025")</f>
        <v/>
      </c>
      <c r="Y306">
        <f>HYPERLINK("https://klasma.github.io/Logging_2305/tillsynsmail/A 15189-2025 tillsynsbegäran mail.docx", "A 15189-2025")</f>
        <v/>
      </c>
      <c r="Z306">
        <f>HYPERLINK("https://klasma.github.io/Logging_2305/fåglar/A 15189-2025 prioriterade fågelarter.docx", "A 15189-2025")</f>
        <v/>
      </c>
    </row>
    <row r="307" ht="15" customHeight="1">
      <c r="A307" t="inlineStr">
        <is>
          <t>A 51910-2024</t>
        </is>
      </c>
      <c r="B307" s="1" t="n">
        <v>45607.59954861111</v>
      </c>
      <c r="C307" s="1" t="n">
        <v>45970</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45970</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24851-2025</t>
        </is>
      </c>
      <c r="B309" s="1" t="n">
        <v>45799.46967592592</v>
      </c>
      <c r="C309" s="1" t="n">
        <v>45970</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2463-2025</t>
        </is>
      </c>
      <c r="B310" s="1" t="n">
        <v>45674.46915509259</v>
      </c>
      <c r="C310" s="1" t="n">
        <v>45970</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25718-2025</t>
        </is>
      </c>
      <c r="B311" s="1" t="n">
        <v>45803.69876157407</v>
      </c>
      <c r="C311" s="1" t="n">
        <v>45970</v>
      </c>
      <c r="D311" t="inlineStr">
        <is>
          <t>JÄMTLANDS LÄN</t>
        </is>
      </c>
      <c r="E311" t="inlineStr">
        <is>
          <t>BRÄCKE</t>
        </is>
      </c>
      <c r="F311" t="inlineStr">
        <is>
          <t>SCA</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HYPERLINK("https://klasma.github.io/Logging_2305/artfynd/A 25718-2025 artfynd.xlsx", "A 25718-2025")</f>
        <v/>
      </c>
      <c r="T311">
        <f>HYPERLINK("https://klasma.github.io/Logging_2305/kartor/A 25718-2025 karta.png", "A 25718-2025")</f>
        <v/>
      </c>
      <c r="U311">
        <f>HYPERLINK("https://klasma.github.io/Logging_2305/knärot/A 25718-2025 karta knärot.png", "A 25718-2025")</f>
        <v/>
      </c>
      <c r="V311">
        <f>HYPERLINK("https://klasma.github.io/Logging_2305/klagomål/A 25718-2025 FSC-klagomål.docx", "A 25718-2025")</f>
        <v/>
      </c>
      <c r="W311">
        <f>HYPERLINK("https://klasma.github.io/Logging_2305/klagomålsmail/A 25718-2025 FSC-klagomål mail.docx", "A 25718-2025")</f>
        <v/>
      </c>
      <c r="X311">
        <f>HYPERLINK("https://klasma.github.io/Logging_2305/tillsyn/A 25718-2025 tillsynsbegäran.docx", "A 25718-2025")</f>
        <v/>
      </c>
      <c r="Y311">
        <f>HYPERLINK("https://klasma.github.io/Logging_2305/tillsynsmail/A 25718-2025 tillsynsbegäran mail.docx", "A 25718-2025")</f>
        <v/>
      </c>
    </row>
    <row r="312" ht="15" customHeight="1">
      <c r="A312" t="inlineStr">
        <is>
          <t>A 51177-2025</t>
        </is>
      </c>
      <c r="B312" s="1" t="n">
        <v>45947.61255787037</v>
      </c>
      <c r="C312" s="1" t="n">
        <v>45970</v>
      </c>
      <c r="D312" t="inlineStr">
        <is>
          <t>JÄMTLANDS LÄN</t>
        </is>
      </c>
      <c r="E312" t="inlineStr">
        <is>
          <t>BRÄCKE</t>
        </is>
      </c>
      <c r="G312" t="n">
        <v>9.6</v>
      </c>
      <c r="H312" t="n">
        <v>0</v>
      </c>
      <c r="I312" t="n">
        <v>0</v>
      </c>
      <c r="J312" t="n">
        <v>1</v>
      </c>
      <c r="K312" t="n">
        <v>0</v>
      </c>
      <c r="L312" t="n">
        <v>0</v>
      </c>
      <c r="M312" t="n">
        <v>0</v>
      </c>
      <c r="N312" t="n">
        <v>0</v>
      </c>
      <c r="O312" t="n">
        <v>1</v>
      </c>
      <c r="P312" t="n">
        <v>0</v>
      </c>
      <c r="Q312" t="n">
        <v>1</v>
      </c>
      <c r="R312" s="2" t="inlineStr">
        <is>
          <t>Granticka</t>
        </is>
      </c>
      <c r="S312">
        <f>HYPERLINK("https://klasma.github.io/Logging_2305/artfynd/A 51177-2025 artfynd.xlsx", "A 51177-2025")</f>
        <v/>
      </c>
      <c r="T312">
        <f>HYPERLINK("https://klasma.github.io/Logging_2305/kartor/A 51177-2025 karta.png", "A 51177-2025")</f>
        <v/>
      </c>
      <c r="V312">
        <f>HYPERLINK("https://klasma.github.io/Logging_2305/klagomål/A 51177-2025 FSC-klagomål.docx", "A 51177-2025")</f>
        <v/>
      </c>
      <c r="W312">
        <f>HYPERLINK("https://klasma.github.io/Logging_2305/klagomålsmail/A 51177-2025 FSC-klagomål mail.docx", "A 51177-2025")</f>
        <v/>
      </c>
      <c r="X312">
        <f>HYPERLINK("https://klasma.github.io/Logging_2305/tillsyn/A 51177-2025 tillsynsbegäran.docx", "A 51177-2025")</f>
        <v/>
      </c>
      <c r="Y312">
        <f>HYPERLINK("https://klasma.github.io/Logging_2305/tillsynsmail/A 51177-2025 tillsynsbegäran mail.docx", "A 51177-2025")</f>
        <v/>
      </c>
    </row>
    <row r="313" ht="15" customHeight="1">
      <c r="A313" t="inlineStr">
        <is>
          <t>A 27061-2025</t>
        </is>
      </c>
      <c r="B313" s="1" t="n">
        <v>45811.6360300926</v>
      </c>
      <c r="C313" s="1" t="n">
        <v>45970</v>
      </c>
      <c r="D313" t="inlineStr">
        <is>
          <t>JÄMTLANDS LÄN</t>
        </is>
      </c>
      <c r="E313" t="inlineStr">
        <is>
          <t>BRÄCKE</t>
        </is>
      </c>
      <c r="F313" t="inlineStr">
        <is>
          <t>SCA</t>
        </is>
      </c>
      <c r="G313" t="n">
        <v>18.9</v>
      </c>
      <c r="H313" t="n">
        <v>0</v>
      </c>
      <c r="I313" t="n">
        <v>0</v>
      </c>
      <c r="J313" t="n">
        <v>1</v>
      </c>
      <c r="K313" t="n">
        <v>0</v>
      </c>
      <c r="L313" t="n">
        <v>0</v>
      </c>
      <c r="M313" t="n">
        <v>0</v>
      </c>
      <c r="N313" t="n">
        <v>0</v>
      </c>
      <c r="O313" t="n">
        <v>1</v>
      </c>
      <c r="P313" t="n">
        <v>0</v>
      </c>
      <c r="Q313" t="n">
        <v>1</v>
      </c>
      <c r="R313" s="2" t="inlineStr">
        <is>
          <t>Lunglav</t>
        </is>
      </c>
      <c r="S313">
        <f>HYPERLINK("https://klasma.github.io/Logging_2305/artfynd/A 27061-2025 artfynd.xlsx", "A 27061-2025")</f>
        <v/>
      </c>
      <c r="T313">
        <f>HYPERLINK("https://klasma.github.io/Logging_2305/kartor/A 27061-2025 karta.png", "A 27061-2025")</f>
        <v/>
      </c>
      <c r="V313">
        <f>HYPERLINK("https://klasma.github.io/Logging_2305/klagomål/A 27061-2025 FSC-klagomål.docx", "A 27061-2025")</f>
        <v/>
      </c>
      <c r="W313">
        <f>HYPERLINK("https://klasma.github.io/Logging_2305/klagomålsmail/A 27061-2025 FSC-klagomål mail.docx", "A 27061-2025")</f>
        <v/>
      </c>
      <c r="X313">
        <f>HYPERLINK("https://klasma.github.io/Logging_2305/tillsyn/A 27061-2025 tillsynsbegäran.docx", "A 27061-2025")</f>
        <v/>
      </c>
      <c r="Y313">
        <f>HYPERLINK("https://klasma.github.io/Logging_2305/tillsynsmail/A 27061-2025 tillsynsbegäran mail.docx", "A 27061-2025")</f>
        <v/>
      </c>
    </row>
    <row r="314" ht="15" customHeight="1">
      <c r="A314" t="inlineStr">
        <is>
          <t>A 14628-2022</t>
        </is>
      </c>
      <c r="B314" s="1" t="n">
        <v>44655</v>
      </c>
      <c r="C314" s="1" t="n">
        <v>45970</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53832-2024</t>
        </is>
      </c>
      <c r="B315" s="1" t="n">
        <v>45615</v>
      </c>
      <c r="C315" s="1" t="n">
        <v>45970</v>
      </c>
      <c r="D315" t="inlineStr">
        <is>
          <t>JÄMTLANDS LÄN</t>
        </is>
      </c>
      <c r="E315" t="inlineStr">
        <is>
          <t>BRÄCKE</t>
        </is>
      </c>
      <c r="F315" t="inlineStr">
        <is>
          <t>SCA</t>
        </is>
      </c>
      <c r="G315" t="n">
        <v>4</v>
      </c>
      <c r="H315" t="n">
        <v>0</v>
      </c>
      <c r="I315" t="n">
        <v>1</v>
      </c>
      <c r="J315" t="n">
        <v>0</v>
      </c>
      <c r="K315" t="n">
        <v>0</v>
      </c>
      <c r="L315" t="n">
        <v>0</v>
      </c>
      <c r="M315" t="n">
        <v>0</v>
      </c>
      <c r="N315" t="n">
        <v>0</v>
      </c>
      <c r="O315" t="n">
        <v>0</v>
      </c>
      <c r="P315" t="n">
        <v>0</v>
      </c>
      <c r="Q315" t="n">
        <v>1</v>
      </c>
      <c r="R315" s="2" t="inlineStr">
        <is>
          <t>Dropptaggsvamp</t>
        </is>
      </c>
      <c r="S315">
        <f>HYPERLINK("https://klasma.github.io/Logging_2305/artfynd/A 53832-2024 artfynd.xlsx", "A 53832-2024")</f>
        <v/>
      </c>
      <c r="T315">
        <f>HYPERLINK("https://klasma.github.io/Logging_2305/kartor/A 53832-2024 karta.png", "A 53832-2024")</f>
        <v/>
      </c>
      <c r="V315">
        <f>HYPERLINK("https://klasma.github.io/Logging_2305/klagomål/A 53832-2024 FSC-klagomål.docx", "A 53832-2024")</f>
        <v/>
      </c>
      <c r="W315">
        <f>HYPERLINK("https://klasma.github.io/Logging_2305/klagomålsmail/A 53832-2024 FSC-klagomål mail.docx", "A 53832-2024")</f>
        <v/>
      </c>
      <c r="X315">
        <f>HYPERLINK("https://klasma.github.io/Logging_2305/tillsyn/A 53832-2024 tillsynsbegäran.docx", "A 53832-2024")</f>
        <v/>
      </c>
      <c r="Y315">
        <f>HYPERLINK("https://klasma.github.io/Logging_2305/tillsynsmail/A 53832-2024 tillsynsbegäran mail.docx", "A 53832-2024")</f>
        <v/>
      </c>
    </row>
    <row r="316" ht="15" customHeight="1">
      <c r="A316" t="inlineStr">
        <is>
          <t>A 15366-2022</t>
        </is>
      </c>
      <c r="B316" s="1" t="n">
        <v>44659</v>
      </c>
      <c r="C316" s="1" t="n">
        <v>45970</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27860-2025</t>
        </is>
      </c>
      <c r="B317" s="1" t="n">
        <v>45817.41630787037</v>
      </c>
      <c r="C317" s="1" t="n">
        <v>45970</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52226-2025</t>
        </is>
      </c>
      <c r="B318" s="1" t="n">
        <v>45953.44850694444</v>
      </c>
      <c r="C318" s="1" t="n">
        <v>45970</v>
      </c>
      <c r="D318" t="inlineStr">
        <is>
          <t>JÄMTLANDS LÄN</t>
        </is>
      </c>
      <c r="E318" t="inlineStr">
        <is>
          <t>BRÄCKE</t>
        </is>
      </c>
      <c r="F318" t="inlineStr">
        <is>
          <t>SCA</t>
        </is>
      </c>
      <c r="G318" t="n">
        <v>15.7</v>
      </c>
      <c r="H318" t="n">
        <v>0</v>
      </c>
      <c r="I318" t="n">
        <v>0</v>
      </c>
      <c r="J318" t="n">
        <v>1</v>
      </c>
      <c r="K318" t="n">
        <v>0</v>
      </c>
      <c r="L318" t="n">
        <v>0</v>
      </c>
      <c r="M318" t="n">
        <v>0</v>
      </c>
      <c r="N318" t="n">
        <v>0</v>
      </c>
      <c r="O318" t="n">
        <v>1</v>
      </c>
      <c r="P318" t="n">
        <v>0</v>
      </c>
      <c r="Q318" t="n">
        <v>1</v>
      </c>
      <c r="R318" s="2" t="inlineStr">
        <is>
          <t>Brunpudrad nållav</t>
        </is>
      </c>
      <c r="S318">
        <f>HYPERLINK("https://klasma.github.io/Logging_2305/artfynd/A 52226-2025 artfynd.xlsx", "A 52226-2025")</f>
        <v/>
      </c>
      <c r="T318">
        <f>HYPERLINK("https://klasma.github.io/Logging_2305/kartor/A 52226-2025 karta.png", "A 52226-2025")</f>
        <v/>
      </c>
      <c r="V318">
        <f>HYPERLINK("https://klasma.github.io/Logging_2305/klagomål/A 52226-2025 FSC-klagomål.docx", "A 52226-2025")</f>
        <v/>
      </c>
      <c r="W318">
        <f>HYPERLINK("https://klasma.github.io/Logging_2305/klagomålsmail/A 52226-2025 FSC-klagomål mail.docx", "A 52226-2025")</f>
        <v/>
      </c>
      <c r="X318">
        <f>HYPERLINK("https://klasma.github.io/Logging_2305/tillsyn/A 52226-2025 tillsynsbegäran.docx", "A 52226-2025")</f>
        <v/>
      </c>
      <c r="Y318">
        <f>HYPERLINK("https://klasma.github.io/Logging_2305/tillsynsmail/A 52226-2025 tillsynsbegäran mail.docx", "A 52226-2025")</f>
        <v/>
      </c>
    </row>
    <row r="319" ht="15" customHeight="1">
      <c r="A319" t="inlineStr">
        <is>
          <t>A 28676-2025</t>
        </is>
      </c>
      <c r="B319" s="1" t="n">
        <v>45819.67771990741</v>
      </c>
      <c r="C319" s="1" t="n">
        <v>45970</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9816-2024</t>
        </is>
      </c>
      <c r="B320" s="1" t="n">
        <v>45363.04525462963</v>
      </c>
      <c r="C320" s="1" t="n">
        <v>45970</v>
      </c>
      <c r="D320" t="inlineStr">
        <is>
          <t>JÄMTLANDS LÄN</t>
        </is>
      </c>
      <c r="E320" t="inlineStr">
        <is>
          <t>BRÄCKE</t>
        </is>
      </c>
      <c r="F320" t="inlineStr">
        <is>
          <t>SCA</t>
        </is>
      </c>
      <c r="G320" t="n">
        <v>2.1</v>
      </c>
      <c r="H320" t="n">
        <v>1</v>
      </c>
      <c r="I320" t="n">
        <v>0</v>
      </c>
      <c r="J320" t="n">
        <v>0</v>
      </c>
      <c r="K320" t="n">
        <v>1</v>
      </c>
      <c r="L320" t="n">
        <v>0</v>
      </c>
      <c r="M320" t="n">
        <v>0</v>
      </c>
      <c r="N320" t="n">
        <v>0</v>
      </c>
      <c r="O320" t="n">
        <v>1</v>
      </c>
      <c r="P320" t="n">
        <v>1</v>
      </c>
      <c r="Q320" t="n">
        <v>1</v>
      </c>
      <c r="R320" s="2" t="inlineStr">
        <is>
          <t>Knärot</t>
        </is>
      </c>
      <c r="S320">
        <f>HYPERLINK("https://klasma.github.io/Logging_2305/artfynd/A 9816-2024 artfynd.xlsx", "A 9816-2024")</f>
        <v/>
      </c>
      <c r="T320">
        <f>HYPERLINK("https://klasma.github.io/Logging_2305/kartor/A 9816-2024 karta.png", "A 9816-2024")</f>
        <v/>
      </c>
      <c r="U320">
        <f>HYPERLINK("https://klasma.github.io/Logging_2305/knärot/A 9816-2024 karta knärot.png", "A 9816-2024")</f>
        <v/>
      </c>
      <c r="V320">
        <f>HYPERLINK("https://klasma.github.io/Logging_2305/klagomål/A 9816-2024 FSC-klagomål.docx", "A 9816-2024")</f>
        <v/>
      </c>
      <c r="W320">
        <f>HYPERLINK("https://klasma.github.io/Logging_2305/klagomålsmail/A 9816-2024 FSC-klagomål mail.docx", "A 9816-2024")</f>
        <v/>
      </c>
      <c r="X320">
        <f>HYPERLINK("https://klasma.github.io/Logging_2305/tillsyn/A 9816-2024 tillsynsbegäran.docx", "A 9816-2024")</f>
        <v/>
      </c>
      <c r="Y320">
        <f>HYPERLINK("https://klasma.github.io/Logging_2305/tillsynsmail/A 9816-2024 tillsynsbegäran mail.docx", "A 9816-2024")</f>
        <v/>
      </c>
    </row>
    <row r="321" ht="15" customHeight="1">
      <c r="A321" t="inlineStr">
        <is>
          <t>A 49325-2023</t>
        </is>
      </c>
      <c r="B321" s="1" t="n">
        <v>45210</v>
      </c>
      <c r="C321" s="1" t="n">
        <v>45970</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58777-2023</t>
        </is>
      </c>
      <c r="B322" s="1" t="n">
        <v>45251.96747685185</v>
      </c>
      <c r="C322" s="1" t="n">
        <v>45970</v>
      </c>
      <c r="D322" t="inlineStr">
        <is>
          <t>JÄMTLANDS LÄN</t>
        </is>
      </c>
      <c r="E322" t="inlineStr">
        <is>
          <t>BRÄCKE</t>
        </is>
      </c>
      <c r="F322" t="inlineStr">
        <is>
          <t>SCA</t>
        </is>
      </c>
      <c r="G322" t="n">
        <v>1.1</v>
      </c>
      <c r="H322" t="n">
        <v>0</v>
      </c>
      <c r="I322" t="n">
        <v>0</v>
      </c>
      <c r="J322" t="n">
        <v>1</v>
      </c>
      <c r="K322" t="n">
        <v>0</v>
      </c>
      <c r="L322" t="n">
        <v>0</v>
      </c>
      <c r="M322" t="n">
        <v>0</v>
      </c>
      <c r="N322" t="n">
        <v>0</v>
      </c>
      <c r="O322" t="n">
        <v>1</v>
      </c>
      <c r="P322" t="n">
        <v>0</v>
      </c>
      <c r="Q322" t="n">
        <v>1</v>
      </c>
      <c r="R322" s="2" t="inlineStr">
        <is>
          <t>Igelkott</t>
        </is>
      </c>
      <c r="S322">
        <f>HYPERLINK("https://klasma.github.io/Logging_2305/artfynd/A 58777-2023 artfynd.xlsx", "A 58777-2023")</f>
        <v/>
      </c>
      <c r="T322">
        <f>HYPERLINK("https://klasma.github.io/Logging_2305/kartor/A 58777-2023 karta.png", "A 58777-2023")</f>
        <v/>
      </c>
      <c r="V322">
        <f>HYPERLINK("https://klasma.github.io/Logging_2305/klagomål/A 58777-2023 FSC-klagomål.docx", "A 58777-2023")</f>
        <v/>
      </c>
      <c r="W322">
        <f>HYPERLINK("https://klasma.github.io/Logging_2305/klagomålsmail/A 58777-2023 FSC-klagomål mail.docx", "A 58777-2023")</f>
        <v/>
      </c>
      <c r="X322">
        <f>HYPERLINK("https://klasma.github.io/Logging_2305/tillsyn/A 58777-2023 tillsynsbegäran.docx", "A 58777-2023")</f>
        <v/>
      </c>
      <c r="Y322">
        <f>HYPERLINK("https://klasma.github.io/Logging_2305/tillsynsmail/A 58777-2023 tillsynsbegäran mail.docx", "A 58777-2023")</f>
        <v/>
      </c>
    </row>
    <row r="323" ht="15" customHeight="1">
      <c r="A323" t="inlineStr">
        <is>
          <t>A 50513-2023</t>
        </is>
      </c>
      <c r="B323" s="1" t="n">
        <v>45216</v>
      </c>
      <c r="C323" s="1" t="n">
        <v>45970</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31450-2025</t>
        </is>
      </c>
      <c r="B324" s="1" t="n">
        <v>45833.53162037037</v>
      </c>
      <c r="C324" s="1" t="n">
        <v>45970</v>
      </c>
      <c r="D324" t="inlineStr">
        <is>
          <t>JÄMTLANDS LÄN</t>
        </is>
      </c>
      <c r="E324" t="inlineStr">
        <is>
          <t>BRÄCKE</t>
        </is>
      </c>
      <c r="F324" t="inlineStr">
        <is>
          <t>SCA</t>
        </is>
      </c>
      <c r="G324" t="n">
        <v>1.6</v>
      </c>
      <c r="H324" t="n">
        <v>1</v>
      </c>
      <c r="I324" t="n">
        <v>1</v>
      </c>
      <c r="J324" t="n">
        <v>0</v>
      </c>
      <c r="K324" t="n">
        <v>0</v>
      </c>
      <c r="L324" t="n">
        <v>0</v>
      </c>
      <c r="M324" t="n">
        <v>0</v>
      </c>
      <c r="N324" t="n">
        <v>0</v>
      </c>
      <c r="O324" t="n">
        <v>0</v>
      </c>
      <c r="P324" t="n">
        <v>0</v>
      </c>
      <c r="Q324" t="n">
        <v>1</v>
      </c>
      <c r="R324" s="2" t="inlineStr">
        <is>
          <t>Plattlummer</t>
        </is>
      </c>
      <c r="S324">
        <f>HYPERLINK("https://klasma.github.io/Logging_2305/artfynd/A 31450-2025 artfynd.xlsx", "A 31450-2025")</f>
        <v/>
      </c>
      <c r="T324">
        <f>HYPERLINK("https://klasma.github.io/Logging_2305/kartor/A 31450-2025 karta.png", "A 31450-2025")</f>
        <v/>
      </c>
      <c r="V324">
        <f>HYPERLINK("https://klasma.github.io/Logging_2305/klagomål/A 31450-2025 FSC-klagomål.docx", "A 31450-2025")</f>
        <v/>
      </c>
      <c r="W324">
        <f>HYPERLINK("https://klasma.github.io/Logging_2305/klagomålsmail/A 31450-2025 FSC-klagomål mail.docx", "A 31450-2025")</f>
        <v/>
      </c>
      <c r="X324">
        <f>HYPERLINK("https://klasma.github.io/Logging_2305/tillsyn/A 31450-2025 tillsynsbegäran.docx", "A 31450-2025")</f>
        <v/>
      </c>
      <c r="Y324">
        <f>HYPERLINK("https://klasma.github.io/Logging_2305/tillsynsmail/A 31450-2025 tillsynsbegäran mail.docx", "A 31450-2025")</f>
        <v/>
      </c>
    </row>
    <row r="325" ht="15" customHeight="1">
      <c r="A325" t="inlineStr">
        <is>
          <t>A 44214-2025</t>
        </is>
      </c>
      <c r="B325" s="1" t="n">
        <v>45915.63579861111</v>
      </c>
      <c r="C325" s="1" t="n">
        <v>45970</v>
      </c>
      <c r="D325" t="inlineStr">
        <is>
          <t>JÄMTLANDS LÄN</t>
        </is>
      </c>
      <c r="E325" t="inlineStr">
        <is>
          <t>BRÄCKE</t>
        </is>
      </c>
      <c r="F325" t="inlineStr">
        <is>
          <t>SCA</t>
        </is>
      </c>
      <c r="G325" t="n">
        <v>4.9</v>
      </c>
      <c r="H325" t="n">
        <v>0</v>
      </c>
      <c r="I325" t="n">
        <v>0</v>
      </c>
      <c r="J325" t="n">
        <v>0</v>
      </c>
      <c r="K325" t="n">
        <v>0</v>
      </c>
      <c r="L325" t="n">
        <v>0</v>
      </c>
      <c r="M325" t="n">
        <v>0</v>
      </c>
      <c r="N325" t="n">
        <v>0</v>
      </c>
      <c r="O325" t="n">
        <v>1</v>
      </c>
      <c r="P325" t="n">
        <v>0</v>
      </c>
      <c r="Q325" t="n">
        <v>1</v>
      </c>
      <c r="R325" s="2" t="inlineStr">
        <is>
          <t>Gelatinfingersvamp</t>
        </is>
      </c>
      <c r="S325">
        <f>HYPERLINK("https://klasma.github.io/Logging_2305/artfynd/A 44214-2025 artfynd.xlsx", "A 44214-2025")</f>
        <v/>
      </c>
      <c r="T325">
        <f>HYPERLINK("https://klasma.github.io/Logging_2305/kartor/A 44214-2025 karta.png", "A 44214-2025")</f>
        <v/>
      </c>
      <c r="V325">
        <f>HYPERLINK("https://klasma.github.io/Logging_2305/klagomål/A 44214-2025 FSC-klagomål.docx", "A 44214-2025")</f>
        <v/>
      </c>
      <c r="W325">
        <f>HYPERLINK("https://klasma.github.io/Logging_2305/klagomålsmail/A 44214-2025 FSC-klagomål mail.docx", "A 44214-2025")</f>
        <v/>
      </c>
      <c r="X325">
        <f>HYPERLINK("https://klasma.github.io/Logging_2305/tillsyn/A 44214-2025 tillsynsbegäran.docx", "A 44214-2025")</f>
        <v/>
      </c>
      <c r="Y325">
        <f>HYPERLINK("https://klasma.github.io/Logging_2305/tillsynsmail/A 44214-2025 tillsynsbegäran mail.docx", "A 44214-2025")</f>
        <v/>
      </c>
    </row>
    <row r="326" ht="15" customHeight="1">
      <c r="A326" t="inlineStr">
        <is>
          <t>A 44934-2025</t>
        </is>
      </c>
      <c r="B326" s="1" t="n">
        <v>45918.5737962963</v>
      </c>
      <c r="C326" s="1" t="n">
        <v>45970</v>
      </c>
      <c r="D326" t="inlineStr">
        <is>
          <t>JÄMTLANDS LÄN</t>
        </is>
      </c>
      <c r="E326" t="inlineStr">
        <is>
          <t>BRÄCKE</t>
        </is>
      </c>
      <c r="G326" t="n">
        <v>0.5</v>
      </c>
      <c r="H326" t="n">
        <v>0</v>
      </c>
      <c r="I326" t="n">
        <v>0</v>
      </c>
      <c r="J326" t="n">
        <v>1</v>
      </c>
      <c r="K326" t="n">
        <v>0</v>
      </c>
      <c r="L326" t="n">
        <v>0</v>
      </c>
      <c r="M326" t="n">
        <v>0</v>
      </c>
      <c r="N326" t="n">
        <v>0</v>
      </c>
      <c r="O326" t="n">
        <v>1</v>
      </c>
      <c r="P326" t="n">
        <v>0</v>
      </c>
      <c r="Q326" t="n">
        <v>1</v>
      </c>
      <c r="R326" s="2" t="inlineStr">
        <is>
          <t>Lunglav</t>
        </is>
      </c>
      <c r="S326">
        <f>HYPERLINK("https://klasma.github.io/Logging_2305/artfynd/A 44934-2025 artfynd.xlsx", "A 44934-2025")</f>
        <v/>
      </c>
      <c r="T326">
        <f>HYPERLINK("https://klasma.github.io/Logging_2305/kartor/A 44934-2025 karta.png", "A 44934-2025")</f>
        <v/>
      </c>
      <c r="V326">
        <f>HYPERLINK("https://klasma.github.io/Logging_2305/klagomål/A 44934-2025 FSC-klagomål.docx", "A 44934-2025")</f>
        <v/>
      </c>
      <c r="W326">
        <f>HYPERLINK("https://klasma.github.io/Logging_2305/klagomålsmail/A 44934-2025 FSC-klagomål mail.docx", "A 44934-2025")</f>
        <v/>
      </c>
      <c r="X326">
        <f>HYPERLINK("https://klasma.github.io/Logging_2305/tillsyn/A 44934-2025 tillsynsbegäran.docx", "A 44934-2025")</f>
        <v/>
      </c>
      <c r="Y326">
        <f>HYPERLINK("https://klasma.github.io/Logging_2305/tillsynsmail/A 44934-2025 tillsynsbegäran mail.docx", "A 44934-2025")</f>
        <v/>
      </c>
    </row>
    <row r="327" ht="15" customHeight="1">
      <c r="A327" t="inlineStr">
        <is>
          <t>A 44872-2025</t>
        </is>
      </c>
      <c r="B327" s="1" t="n">
        <v>45918.46957175926</v>
      </c>
      <c r="C327" s="1" t="n">
        <v>45970</v>
      </c>
      <c r="D327" t="inlineStr">
        <is>
          <t>JÄMTLANDS LÄN</t>
        </is>
      </c>
      <c r="E327" t="inlineStr">
        <is>
          <t>BRÄCKE</t>
        </is>
      </c>
      <c r="G327" t="n">
        <v>0.9</v>
      </c>
      <c r="H327" t="n">
        <v>0</v>
      </c>
      <c r="I327" t="n">
        <v>1</v>
      </c>
      <c r="J327" t="n">
        <v>0</v>
      </c>
      <c r="K327" t="n">
        <v>0</v>
      </c>
      <c r="L327" t="n">
        <v>0</v>
      </c>
      <c r="M327" t="n">
        <v>0</v>
      </c>
      <c r="N327" t="n">
        <v>0</v>
      </c>
      <c r="O327" t="n">
        <v>0</v>
      </c>
      <c r="P327" t="n">
        <v>0</v>
      </c>
      <c r="Q327" t="n">
        <v>1</v>
      </c>
      <c r="R327" s="2" t="inlineStr">
        <is>
          <t>Underviol</t>
        </is>
      </c>
      <c r="S327">
        <f>HYPERLINK("https://klasma.github.io/Logging_2305/artfynd/A 44872-2025 artfynd.xlsx", "A 44872-2025")</f>
        <v/>
      </c>
      <c r="T327">
        <f>HYPERLINK("https://klasma.github.io/Logging_2305/kartor/A 44872-2025 karta.png", "A 44872-2025")</f>
        <v/>
      </c>
      <c r="V327">
        <f>HYPERLINK("https://klasma.github.io/Logging_2305/klagomål/A 44872-2025 FSC-klagomål.docx", "A 44872-2025")</f>
        <v/>
      </c>
      <c r="W327">
        <f>HYPERLINK("https://klasma.github.io/Logging_2305/klagomålsmail/A 44872-2025 FSC-klagomål mail.docx", "A 44872-2025")</f>
        <v/>
      </c>
      <c r="X327">
        <f>HYPERLINK("https://klasma.github.io/Logging_2305/tillsyn/A 44872-2025 tillsynsbegäran.docx", "A 44872-2025")</f>
        <v/>
      </c>
      <c r="Y327">
        <f>HYPERLINK("https://klasma.github.io/Logging_2305/tillsynsmail/A 44872-2025 tillsynsbegäran mail.docx", "A 44872-2025")</f>
        <v/>
      </c>
    </row>
    <row r="328" ht="15" customHeight="1">
      <c r="A328" t="inlineStr">
        <is>
          <t>A 34226-2025</t>
        </is>
      </c>
      <c r="B328" s="1" t="n">
        <v>45845.656875</v>
      </c>
      <c r="C328" s="1" t="n">
        <v>45970</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4851-2025</t>
        </is>
      </c>
      <c r="B329" s="1" t="n">
        <v>45688.67340277778</v>
      </c>
      <c r="C329" s="1" t="n">
        <v>45970</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45970</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34911-2025</t>
        </is>
      </c>
      <c r="B331" s="1" t="n">
        <v>45849.53545138889</v>
      </c>
      <c r="C331" s="1" t="n">
        <v>45970</v>
      </c>
      <c r="D331" t="inlineStr">
        <is>
          <t>JÄMTLANDS LÄN</t>
        </is>
      </c>
      <c r="E331" t="inlineStr">
        <is>
          <t>BRÄCKE</t>
        </is>
      </c>
      <c r="F331" t="inlineStr">
        <is>
          <t>Sveaskog</t>
        </is>
      </c>
      <c r="G331" t="n">
        <v>7.2</v>
      </c>
      <c r="H331" t="n">
        <v>1</v>
      </c>
      <c r="I331" t="n">
        <v>1</v>
      </c>
      <c r="J331" t="n">
        <v>0</v>
      </c>
      <c r="K331" t="n">
        <v>0</v>
      </c>
      <c r="L331" t="n">
        <v>0</v>
      </c>
      <c r="M331" t="n">
        <v>0</v>
      </c>
      <c r="N331" t="n">
        <v>0</v>
      </c>
      <c r="O331" t="n">
        <v>0</v>
      </c>
      <c r="P331" t="n">
        <v>0</v>
      </c>
      <c r="Q331" t="n">
        <v>1</v>
      </c>
      <c r="R331" s="2" t="inlineStr">
        <is>
          <t>Guckusko</t>
        </is>
      </c>
      <c r="S331">
        <f>HYPERLINK("https://klasma.github.io/Logging_2305/artfynd/A 34911-2025 artfynd.xlsx", "A 34911-2025")</f>
        <v/>
      </c>
      <c r="T331">
        <f>HYPERLINK("https://klasma.github.io/Logging_2305/kartor/A 34911-2025 karta.png", "A 34911-2025")</f>
        <v/>
      </c>
      <c r="V331">
        <f>HYPERLINK("https://klasma.github.io/Logging_2305/klagomål/A 34911-2025 FSC-klagomål.docx", "A 34911-2025")</f>
        <v/>
      </c>
      <c r="W331">
        <f>HYPERLINK("https://klasma.github.io/Logging_2305/klagomålsmail/A 34911-2025 FSC-klagomål mail.docx", "A 34911-2025")</f>
        <v/>
      </c>
      <c r="X331">
        <f>HYPERLINK("https://klasma.github.io/Logging_2305/tillsyn/A 34911-2025 tillsynsbegäran.docx", "A 34911-2025")</f>
        <v/>
      </c>
      <c r="Y331">
        <f>HYPERLINK("https://klasma.github.io/Logging_2305/tillsynsmail/A 34911-2025 tillsynsbegäran mail.docx", "A 34911-2025")</f>
        <v/>
      </c>
    </row>
    <row r="332" ht="15" customHeight="1">
      <c r="A332" t="inlineStr">
        <is>
          <t>A 35210-2025</t>
        </is>
      </c>
      <c r="B332" s="1" t="n">
        <v>45853.44842592593</v>
      </c>
      <c r="C332" s="1" t="n">
        <v>45970</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35210-2025 artfynd.xlsx", "A 35210-2025")</f>
        <v/>
      </c>
      <c r="T332">
        <f>HYPERLINK("https://klasma.github.io/Logging_2305/kartor/A 35210-2025 karta.png", "A 35210-2025")</f>
        <v/>
      </c>
      <c r="V332">
        <f>HYPERLINK("https://klasma.github.io/Logging_2305/klagomål/A 35210-2025 FSC-klagomål.docx", "A 35210-2025")</f>
        <v/>
      </c>
      <c r="W332">
        <f>HYPERLINK("https://klasma.github.io/Logging_2305/klagomålsmail/A 35210-2025 FSC-klagomål mail.docx", "A 35210-2025")</f>
        <v/>
      </c>
      <c r="X332">
        <f>HYPERLINK("https://klasma.github.io/Logging_2305/tillsyn/A 35210-2025 tillsynsbegäran.docx", "A 35210-2025")</f>
        <v/>
      </c>
      <c r="Y332">
        <f>HYPERLINK("https://klasma.github.io/Logging_2305/tillsynsmail/A 35210-2025 tillsynsbegäran mail.docx", "A 35210-2025")</f>
        <v/>
      </c>
    </row>
    <row r="333" ht="15" customHeight="1">
      <c r="A333" t="inlineStr">
        <is>
          <t>A 35328-2025</t>
        </is>
      </c>
      <c r="B333" s="1" t="n">
        <v>45854.53034722222</v>
      </c>
      <c r="C333" s="1" t="n">
        <v>45970</v>
      </c>
      <c r="D333" t="inlineStr">
        <is>
          <t>JÄMTLANDS LÄN</t>
        </is>
      </c>
      <c r="E333" t="inlineStr">
        <is>
          <t>BRÄCKE</t>
        </is>
      </c>
      <c r="F333" t="inlineStr">
        <is>
          <t>Sveaskog</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HYPERLINK("https://klasma.github.io/Logging_2305/artfynd/A 35328-2025 artfynd.xlsx", "A 35328-2025")</f>
        <v/>
      </c>
      <c r="T333">
        <f>HYPERLINK("https://klasma.github.io/Logging_2305/kartor/A 35328-2025 karta.png", "A 35328-2025")</f>
        <v/>
      </c>
      <c r="V333">
        <f>HYPERLINK("https://klasma.github.io/Logging_2305/klagomål/A 35328-2025 FSC-klagomål.docx", "A 35328-2025")</f>
        <v/>
      </c>
      <c r="W333">
        <f>HYPERLINK("https://klasma.github.io/Logging_2305/klagomålsmail/A 35328-2025 FSC-klagomål mail.docx", "A 35328-2025")</f>
        <v/>
      </c>
      <c r="X333">
        <f>HYPERLINK("https://klasma.github.io/Logging_2305/tillsyn/A 35328-2025 tillsynsbegäran.docx", "A 35328-2025")</f>
        <v/>
      </c>
      <c r="Y333">
        <f>HYPERLINK("https://klasma.github.io/Logging_2305/tillsynsmail/A 35328-2025 tillsynsbegäran mail.docx", "A 35328-2025")</f>
        <v/>
      </c>
    </row>
    <row r="334" ht="15" customHeight="1">
      <c r="A334" t="inlineStr">
        <is>
          <t>A 35579-2025</t>
        </is>
      </c>
      <c r="B334" s="1" t="n">
        <v>45856.67818287037</v>
      </c>
      <c r="C334" s="1" t="n">
        <v>45970</v>
      </c>
      <c r="D334" t="inlineStr">
        <is>
          <t>JÄMTLANDS LÄN</t>
        </is>
      </c>
      <c r="E334" t="inlineStr">
        <is>
          <t>BRÄCKE</t>
        </is>
      </c>
      <c r="F334" t="inlineStr">
        <is>
          <t>SCA</t>
        </is>
      </c>
      <c r="G334" t="n">
        <v>5.2</v>
      </c>
      <c r="H334" t="n">
        <v>0</v>
      </c>
      <c r="I334" t="n">
        <v>0</v>
      </c>
      <c r="J334" t="n">
        <v>1</v>
      </c>
      <c r="K334" t="n">
        <v>0</v>
      </c>
      <c r="L334" t="n">
        <v>0</v>
      </c>
      <c r="M334" t="n">
        <v>0</v>
      </c>
      <c r="N334" t="n">
        <v>0</v>
      </c>
      <c r="O334" t="n">
        <v>1</v>
      </c>
      <c r="P334" t="n">
        <v>0</v>
      </c>
      <c r="Q334" t="n">
        <v>1</v>
      </c>
      <c r="R334" s="2" t="inlineStr">
        <is>
          <t>Tallticka</t>
        </is>
      </c>
      <c r="S334">
        <f>HYPERLINK("https://klasma.github.io/Logging_2305/artfynd/A 35579-2025 artfynd.xlsx", "A 35579-2025")</f>
        <v/>
      </c>
      <c r="T334">
        <f>HYPERLINK("https://klasma.github.io/Logging_2305/kartor/A 35579-2025 karta.png", "A 35579-2025")</f>
        <v/>
      </c>
      <c r="V334">
        <f>HYPERLINK("https://klasma.github.io/Logging_2305/klagomål/A 35579-2025 FSC-klagomål.docx", "A 35579-2025")</f>
        <v/>
      </c>
      <c r="W334">
        <f>HYPERLINK("https://klasma.github.io/Logging_2305/klagomålsmail/A 35579-2025 FSC-klagomål mail.docx", "A 35579-2025")</f>
        <v/>
      </c>
      <c r="X334">
        <f>HYPERLINK("https://klasma.github.io/Logging_2305/tillsyn/A 35579-2025 tillsynsbegäran.docx", "A 35579-2025")</f>
        <v/>
      </c>
      <c r="Y334">
        <f>HYPERLINK("https://klasma.github.io/Logging_2305/tillsynsmail/A 35579-2025 tillsynsbegäran mail.docx", "A 35579-2025")</f>
        <v/>
      </c>
    </row>
    <row r="335" ht="15" customHeight="1">
      <c r="A335" t="inlineStr">
        <is>
          <t>A 57797-2023</t>
        </is>
      </c>
      <c r="B335" s="1" t="n">
        <v>45246</v>
      </c>
      <c r="C335" s="1" t="n">
        <v>45970</v>
      </c>
      <c r="D335" t="inlineStr">
        <is>
          <t>JÄMTLANDS LÄN</t>
        </is>
      </c>
      <c r="E335" t="inlineStr">
        <is>
          <t>BRÄCKE</t>
        </is>
      </c>
      <c r="F335" t="inlineStr">
        <is>
          <t>SCA</t>
        </is>
      </c>
      <c r="G335" t="n">
        <v>2.7</v>
      </c>
      <c r="H335" t="n">
        <v>0</v>
      </c>
      <c r="I335" t="n">
        <v>1</v>
      </c>
      <c r="J335" t="n">
        <v>0</v>
      </c>
      <c r="K335" t="n">
        <v>0</v>
      </c>
      <c r="L335" t="n">
        <v>0</v>
      </c>
      <c r="M335" t="n">
        <v>0</v>
      </c>
      <c r="N335" t="n">
        <v>0</v>
      </c>
      <c r="O335" t="n">
        <v>0</v>
      </c>
      <c r="P335" t="n">
        <v>0</v>
      </c>
      <c r="Q335" t="n">
        <v>1</v>
      </c>
      <c r="R335" s="2" t="inlineStr">
        <is>
          <t>Korallblylav</t>
        </is>
      </c>
      <c r="S335">
        <f>HYPERLINK("https://klasma.github.io/Logging_2305/artfynd/A 57797-2023 artfynd.xlsx", "A 57797-2023")</f>
        <v/>
      </c>
      <c r="T335">
        <f>HYPERLINK("https://klasma.github.io/Logging_2305/kartor/A 57797-2023 karta.png", "A 57797-2023")</f>
        <v/>
      </c>
      <c r="V335">
        <f>HYPERLINK("https://klasma.github.io/Logging_2305/klagomål/A 57797-2023 FSC-klagomål.docx", "A 57797-2023")</f>
        <v/>
      </c>
      <c r="W335">
        <f>HYPERLINK("https://klasma.github.io/Logging_2305/klagomålsmail/A 57797-2023 FSC-klagomål mail.docx", "A 57797-2023")</f>
        <v/>
      </c>
      <c r="X335">
        <f>HYPERLINK("https://klasma.github.io/Logging_2305/tillsyn/A 57797-2023 tillsynsbegäran.docx", "A 57797-2023")</f>
        <v/>
      </c>
      <c r="Y335">
        <f>HYPERLINK("https://klasma.github.io/Logging_2305/tillsynsmail/A 57797-2023 tillsynsbegäran mail.docx", "A 57797-2023")</f>
        <v/>
      </c>
    </row>
    <row r="336" ht="15" customHeight="1">
      <c r="A336" t="inlineStr">
        <is>
          <t>A 37248-2025</t>
        </is>
      </c>
      <c r="B336" s="1" t="n">
        <v>45876.40665509259</v>
      </c>
      <c r="C336" s="1" t="n">
        <v>45970</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37922-2025</t>
        </is>
      </c>
      <c r="B337" s="1" t="n">
        <v>45881.5750462963</v>
      </c>
      <c r="C337" s="1" t="n">
        <v>45970</v>
      </c>
      <c r="D337" t="inlineStr">
        <is>
          <t>JÄMTLANDS LÄN</t>
        </is>
      </c>
      <c r="E337" t="inlineStr">
        <is>
          <t>BRÄCKE</t>
        </is>
      </c>
      <c r="F337" t="inlineStr">
        <is>
          <t>SCA</t>
        </is>
      </c>
      <c r="G337" t="n">
        <v>2.1</v>
      </c>
      <c r="H337" t="n">
        <v>1</v>
      </c>
      <c r="I337" t="n">
        <v>1</v>
      </c>
      <c r="J337" t="n">
        <v>0</v>
      </c>
      <c r="K337" t="n">
        <v>0</v>
      </c>
      <c r="L337" t="n">
        <v>0</v>
      </c>
      <c r="M337" t="n">
        <v>0</v>
      </c>
      <c r="N337" t="n">
        <v>0</v>
      </c>
      <c r="O337" t="n">
        <v>0</v>
      </c>
      <c r="P337" t="n">
        <v>0</v>
      </c>
      <c r="Q337" t="n">
        <v>1</v>
      </c>
      <c r="R337" s="2" t="inlineStr">
        <is>
          <t>Plattlummer</t>
        </is>
      </c>
      <c r="S337">
        <f>HYPERLINK("https://klasma.github.io/Logging_2305/artfynd/A 37922-2025 artfynd.xlsx", "A 37922-2025")</f>
        <v/>
      </c>
      <c r="T337">
        <f>HYPERLINK("https://klasma.github.io/Logging_2305/kartor/A 37922-2025 karta.png", "A 37922-2025")</f>
        <v/>
      </c>
      <c r="V337">
        <f>HYPERLINK("https://klasma.github.io/Logging_2305/klagomål/A 37922-2025 FSC-klagomål.docx", "A 37922-2025")</f>
        <v/>
      </c>
      <c r="W337">
        <f>HYPERLINK("https://klasma.github.io/Logging_2305/klagomålsmail/A 37922-2025 FSC-klagomål mail.docx", "A 37922-2025")</f>
        <v/>
      </c>
      <c r="X337">
        <f>HYPERLINK("https://klasma.github.io/Logging_2305/tillsyn/A 37922-2025 tillsynsbegäran.docx", "A 37922-2025")</f>
        <v/>
      </c>
      <c r="Y337">
        <f>HYPERLINK("https://klasma.github.io/Logging_2305/tillsynsmail/A 37922-2025 tillsynsbegäran mail.docx", "A 37922-2025")</f>
        <v/>
      </c>
    </row>
    <row r="338" ht="15" customHeight="1">
      <c r="A338" t="inlineStr">
        <is>
          <t>A 38158-2025</t>
        </is>
      </c>
      <c r="B338" s="1" t="n">
        <v>45882.61518518518</v>
      </c>
      <c r="C338" s="1" t="n">
        <v>45970</v>
      </c>
      <c r="D338" t="inlineStr">
        <is>
          <t>JÄMTLANDS LÄN</t>
        </is>
      </c>
      <c r="E338" t="inlineStr">
        <is>
          <t>BRÄCKE</t>
        </is>
      </c>
      <c r="F338" t="inlineStr">
        <is>
          <t>SCA</t>
        </is>
      </c>
      <c r="G338" t="n">
        <v>19.9</v>
      </c>
      <c r="H338" t="n">
        <v>0</v>
      </c>
      <c r="I338" t="n">
        <v>0</v>
      </c>
      <c r="J338" t="n">
        <v>1</v>
      </c>
      <c r="K338" t="n">
        <v>0</v>
      </c>
      <c r="L338" t="n">
        <v>0</v>
      </c>
      <c r="M338" t="n">
        <v>0</v>
      </c>
      <c r="N338" t="n">
        <v>0</v>
      </c>
      <c r="O338" t="n">
        <v>1</v>
      </c>
      <c r="P338" t="n">
        <v>0</v>
      </c>
      <c r="Q338" t="n">
        <v>1</v>
      </c>
      <c r="R338" s="2" t="inlineStr">
        <is>
          <t>Rödbrun klubbdyna</t>
        </is>
      </c>
      <c r="S338">
        <f>HYPERLINK("https://klasma.github.io/Logging_2305/artfynd/A 38158-2025 artfynd.xlsx", "A 38158-2025")</f>
        <v/>
      </c>
      <c r="T338">
        <f>HYPERLINK("https://klasma.github.io/Logging_2305/kartor/A 38158-2025 karta.png", "A 38158-2025")</f>
        <v/>
      </c>
      <c r="V338">
        <f>HYPERLINK("https://klasma.github.io/Logging_2305/klagomål/A 38158-2025 FSC-klagomål.docx", "A 38158-2025")</f>
        <v/>
      </c>
      <c r="W338">
        <f>HYPERLINK("https://klasma.github.io/Logging_2305/klagomålsmail/A 38158-2025 FSC-klagomål mail.docx", "A 38158-2025")</f>
        <v/>
      </c>
      <c r="X338">
        <f>HYPERLINK("https://klasma.github.io/Logging_2305/tillsyn/A 38158-2025 tillsynsbegäran.docx", "A 38158-2025")</f>
        <v/>
      </c>
      <c r="Y338">
        <f>HYPERLINK("https://klasma.github.io/Logging_2305/tillsynsmail/A 38158-2025 tillsynsbegäran mail.docx", "A 38158-2025")</f>
        <v/>
      </c>
    </row>
    <row r="339" ht="15" customHeight="1">
      <c r="A339" t="inlineStr">
        <is>
          <t>A 37976-2025</t>
        </is>
      </c>
      <c r="B339" s="1" t="n">
        <v>45881.67775462963</v>
      </c>
      <c r="C339" s="1" t="n">
        <v>45970</v>
      </c>
      <c r="D339" t="inlineStr">
        <is>
          <t>JÄMTLANDS LÄN</t>
        </is>
      </c>
      <c r="E339" t="inlineStr">
        <is>
          <t>BRÄCKE</t>
        </is>
      </c>
      <c r="F339" t="inlineStr">
        <is>
          <t>SCA</t>
        </is>
      </c>
      <c r="G339" t="n">
        <v>11.3</v>
      </c>
      <c r="H339" t="n">
        <v>0</v>
      </c>
      <c r="I339" t="n">
        <v>0</v>
      </c>
      <c r="J339" t="n">
        <v>1</v>
      </c>
      <c r="K339" t="n">
        <v>0</v>
      </c>
      <c r="L339" t="n">
        <v>0</v>
      </c>
      <c r="M339" t="n">
        <v>0</v>
      </c>
      <c r="N339" t="n">
        <v>0</v>
      </c>
      <c r="O339" t="n">
        <v>1</v>
      </c>
      <c r="P339" t="n">
        <v>0</v>
      </c>
      <c r="Q339" t="n">
        <v>1</v>
      </c>
      <c r="R339" s="2" t="inlineStr">
        <is>
          <t>Lunglav</t>
        </is>
      </c>
      <c r="S339">
        <f>HYPERLINK("https://klasma.github.io/Logging_2305/artfynd/A 37976-2025 artfynd.xlsx", "A 37976-2025")</f>
        <v/>
      </c>
      <c r="T339">
        <f>HYPERLINK("https://klasma.github.io/Logging_2305/kartor/A 37976-2025 karta.png", "A 37976-2025")</f>
        <v/>
      </c>
      <c r="V339">
        <f>HYPERLINK("https://klasma.github.io/Logging_2305/klagomål/A 37976-2025 FSC-klagomål.docx", "A 37976-2025")</f>
        <v/>
      </c>
      <c r="W339">
        <f>HYPERLINK("https://klasma.github.io/Logging_2305/klagomålsmail/A 37976-2025 FSC-klagomål mail.docx", "A 37976-2025")</f>
        <v/>
      </c>
      <c r="X339">
        <f>HYPERLINK("https://klasma.github.io/Logging_2305/tillsyn/A 37976-2025 tillsynsbegäran.docx", "A 37976-2025")</f>
        <v/>
      </c>
      <c r="Y339">
        <f>HYPERLINK("https://klasma.github.io/Logging_2305/tillsynsmail/A 37976-2025 tillsynsbegäran mail.docx", "A 37976-2025")</f>
        <v/>
      </c>
    </row>
    <row r="340" ht="15" customHeight="1">
      <c r="A340" t="inlineStr">
        <is>
          <t>A 46626-2025</t>
        </is>
      </c>
      <c r="B340" s="1" t="n">
        <v>45926.4487037037</v>
      </c>
      <c r="C340" s="1" t="n">
        <v>45970</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46626-2025 artfynd.xlsx", "A 46626-2025")</f>
        <v/>
      </c>
      <c r="T340">
        <f>HYPERLINK("https://klasma.github.io/Logging_2305/kartor/A 46626-2025 karta.png", "A 46626-2025")</f>
        <v/>
      </c>
      <c r="V340">
        <f>HYPERLINK("https://klasma.github.io/Logging_2305/klagomål/A 46626-2025 FSC-klagomål.docx", "A 46626-2025")</f>
        <v/>
      </c>
      <c r="W340">
        <f>HYPERLINK("https://klasma.github.io/Logging_2305/klagomålsmail/A 46626-2025 FSC-klagomål mail.docx", "A 46626-2025")</f>
        <v/>
      </c>
      <c r="X340">
        <f>HYPERLINK("https://klasma.github.io/Logging_2305/tillsyn/A 46626-2025 tillsynsbegäran.docx", "A 46626-2025")</f>
        <v/>
      </c>
      <c r="Y340">
        <f>HYPERLINK("https://klasma.github.io/Logging_2305/tillsynsmail/A 46626-2025 tillsynsbegäran mail.docx", "A 46626-2025")</f>
        <v/>
      </c>
    </row>
    <row r="341" ht="15" customHeight="1">
      <c r="A341" t="inlineStr">
        <is>
          <t>A 46435-2025</t>
        </is>
      </c>
      <c r="B341" s="1" t="n">
        <v>45925.63583333333</v>
      </c>
      <c r="C341" s="1" t="n">
        <v>45970</v>
      </c>
      <c r="D341" t="inlineStr">
        <is>
          <t>JÄMTLANDS LÄN</t>
        </is>
      </c>
      <c r="E341" t="inlineStr">
        <is>
          <t>BRÄCKE</t>
        </is>
      </c>
      <c r="F341" t="inlineStr">
        <is>
          <t>SCA</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HYPERLINK("https://klasma.github.io/Logging_2305/artfynd/A 46435-2025 artfynd.xlsx", "A 46435-2025")</f>
        <v/>
      </c>
      <c r="T341">
        <f>HYPERLINK("https://klasma.github.io/Logging_2305/kartor/A 46435-2025 karta.png", "A 46435-2025")</f>
        <v/>
      </c>
      <c r="V341">
        <f>HYPERLINK("https://klasma.github.io/Logging_2305/klagomål/A 46435-2025 FSC-klagomål.docx", "A 46435-2025")</f>
        <v/>
      </c>
      <c r="W341">
        <f>HYPERLINK("https://klasma.github.io/Logging_2305/klagomålsmail/A 46435-2025 FSC-klagomål mail.docx", "A 46435-2025")</f>
        <v/>
      </c>
      <c r="X341">
        <f>HYPERLINK("https://klasma.github.io/Logging_2305/tillsyn/A 46435-2025 tillsynsbegäran.docx", "A 46435-2025")</f>
        <v/>
      </c>
      <c r="Y341">
        <f>HYPERLINK("https://klasma.github.io/Logging_2305/tillsynsmail/A 46435-2025 tillsynsbegäran mail.docx", "A 46435-2025")</f>
        <v/>
      </c>
    </row>
    <row r="342" ht="15" customHeight="1">
      <c r="A342" t="inlineStr">
        <is>
          <t>A 39701-2022</t>
        </is>
      </c>
      <c r="B342" s="1" t="n">
        <v>44818</v>
      </c>
      <c r="C342" s="1" t="n">
        <v>45970</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45970</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45970</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45970</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45970</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45970</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45970</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45970</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45970</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45970</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51022-2022</t>
        </is>
      </c>
      <c r="B352" s="1" t="n">
        <v>44867</v>
      </c>
      <c r="C352" s="1" t="n">
        <v>45970</v>
      </c>
      <c r="D352" t="inlineStr">
        <is>
          <t>JÄMTLANDS LÄN</t>
        </is>
      </c>
      <c r="E352" t="inlineStr">
        <is>
          <t>BRÄCKE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45970</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45970</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45970</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45970</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45970</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43421-2022</t>
        </is>
      </c>
      <c r="B358" s="1" t="n">
        <v>44834</v>
      </c>
      <c r="C358" s="1" t="n">
        <v>45970</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45970</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45970</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45970</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45970</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45970</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45970</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45970</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45970</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45970</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45970</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45970</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45970</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45970</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45970</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45970</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45970</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45970</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45970</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45970</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45970</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45970</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45970</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45970</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45970</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45970</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45970</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45970</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45970</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45970</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45970</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45970</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45970</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45970</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45970</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45970</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45970</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45970</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45970</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45970</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45970</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45970</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45970</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45970</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45970</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45970</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45970</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45970</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45970</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45970</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45970</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45970</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45970</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45970</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45970</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45970</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45970</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45970</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45970</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45970</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45970</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45970</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45970</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27258-2021</t>
        </is>
      </c>
      <c r="B421" s="1" t="n">
        <v>44350.93927083333</v>
      </c>
      <c r="C421" s="1" t="n">
        <v>45970</v>
      </c>
      <c r="D421" t="inlineStr">
        <is>
          <t>JÄMTLANDS LÄN</t>
        </is>
      </c>
      <c r="E421" t="inlineStr">
        <is>
          <t>BRÄCKE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45970</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45970</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45970</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45970</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45970</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45970</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45970</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45970</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45970</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45970</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21654-2022</t>
        </is>
      </c>
      <c r="B432" s="1" t="n">
        <v>44706.94207175926</v>
      </c>
      <c r="C432" s="1" t="n">
        <v>45970</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21656-2022</t>
        </is>
      </c>
      <c r="B433" s="1" t="n">
        <v>44706.9421875</v>
      </c>
      <c r="C433" s="1" t="n">
        <v>45970</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45970</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63579-2021</t>
        </is>
      </c>
      <c r="B435" s="1" t="n">
        <v>44508</v>
      </c>
      <c r="C435" s="1" t="n">
        <v>45970</v>
      </c>
      <c r="D435" t="inlineStr">
        <is>
          <t>JÄMTLANDS LÄN</t>
        </is>
      </c>
      <c r="E435" t="inlineStr">
        <is>
          <t>BRÄCKE</t>
        </is>
      </c>
      <c r="G435" t="n">
        <v>1.4</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45970</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45970</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45970</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45970</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3866-2025</t>
        </is>
      </c>
      <c r="B440" s="1" t="n">
        <v>45684.31995370371</v>
      </c>
      <c r="C440" s="1" t="n">
        <v>45970</v>
      </c>
      <c r="D440" t="inlineStr">
        <is>
          <t>JÄMTLANDS LÄN</t>
        </is>
      </c>
      <c r="E440" t="inlineStr">
        <is>
          <t>BRÄCKE</t>
        </is>
      </c>
      <c r="G440" t="n">
        <v>0.6</v>
      </c>
      <c r="H440" t="n">
        <v>0</v>
      </c>
      <c r="I440" t="n">
        <v>0</v>
      </c>
      <c r="J440" t="n">
        <v>0</v>
      </c>
      <c r="K440" t="n">
        <v>0</v>
      </c>
      <c r="L440" t="n">
        <v>0</v>
      </c>
      <c r="M440" t="n">
        <v>0</v>
      </c>
      <c r="N440" t="n">
        <v>0</v>
      </c>
      <c r="O440" t="n">
        <v>0</v>
      </c>
      <c r="P440" t="n">
        <v>0</v>
      </c>
      <c r="Q440" t="n">
        <v>0</v>
      </c>
      <c r="R440" s="2" t="inlineStr"/>
    </row>
    <row r="441" ht="15" customHeight="1">
      <c r="A441" t="inlineStr">
        <is>
          <t>A 40769-2021</t>
        </is>
      </c>
      <c r="B441" s="1" t="n">
        <v>44420</v>
      </c>
      <c r="C441" s="1" t="n">
        <v>45970</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47257-2022</t>
        </is>
      </c>
      <c r="B442" s="1" t="n">
        <v>44852</v>
      </c>
      <c r="C442" s="1" t="n">
        <v>45970</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45970</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45970</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11093-2024</t>
        </is>
      </c>
      <c r="B445" s="1" t="n">
        <v>45370.94986111111</v>
      </c>
      <c r="C445" s="1" t="n">
        <v>45970</v>
      </c>
      <c r="D445" t="inlineStr">
        <is>
          <t>JÄMTLANDS LÄN</t>
        </is>
      </c>
      <c r="E445" t="inlineStr">
        <is>
          <t>BRÄCKE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45691-2022</t>
        </is>
      </c>
      <c r="B446" s="1" t="n">
        <v>44845.95319444445</v>
      </c>
      <c r="C446" s="1" t="n">
        <v>45970</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55523-2022</t>
        </is>
      </c>
      <c r="B447" s="1" t="n">
        <v>44887.94924768519</v>
      </c>
      <c r="C447" s="1" t="n">
        <v>45970</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45970</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30719-2022</t>
        </is>
      </c>
      <c r="B449" s="1" t="n">
        <v>44763.94347222222</v>
      </c>
      <c r="C449" s="1" t="n">
        <v>45970</v>
      </c>
      <c r="D449" t="inlineStr">
        <is>
          <t>JÄMTLANDS LÄN</t>
        </is>
      </c>
      <c r="E449" t="inlineStr">
        <is>
          <t>BRÄCKE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29325-2022</t>
        </is>
      </c>
      <c r="B450" s="1" t="n">
        <v>44751.94157407407</v>
      </c>
      <c r="C450" s="1" t="n">
        <v>45970</v>
      </c>
      <c r="D450" t="inlineStr">
        <is>
          <t>JÄMTLANDS LÄN</t>
        </is>
      </c>
      <c r="E450" t="inlineStr">
        <is>
          <t>BRÄCKE</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45970</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45970</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6516-2024</t>
        </is>
      </c>
      <c r="B453" s="1" t="n">
        <v>45341</v>
      </c>
      <c r="C453" s="1" t="n">
        <v>45970</v>
      </c>
      <c r="D453" t="inlineStr">
        <is>
          <t>JÄMTLANDS LÄN</t>
        </is>
      </c>
      <c r="E453" t="inlineStr">
        <is>
          <t>BRÄCKE</t>
        </is>
      </c>
      <c r="G453" t="n">
        <v>0.3</v>
      </c>
      <c r="H453" t="n">
        <v>0</v>
      </c>
      <c r="I453" t="n">
        <v>0</v>
      </c>
      <c r="J453" t="n">
        <v>0</v>
      </c>
      <c r="K453" t="n">
        <v>0</v>
      </c>
      <c r="L453" t="n">
        <v>0</v>
      </c>
      <c r="M453" t="n">
        <v>0</v>
      </c>
      <c r="N453" t="n">
        <v>0</v>
      </c>
      <c r="O453" t="n">
        <v>0</v>
      </c>
      <c r="P453" t="n">
        <v>0</v>
      </c>
      <c r="Q453" t="n">
        <v>0</v>
      </c>
      <c r="R453" s="2" t="inlineStr"/>
    </row>
    <row r="454" ht="15" customHeight="1">
      <c r="A454" t="inlineStr">
        <is>
          <t>A 13095-2025</t>
        </is>
      </c>
      <c r="B454" s="1" t="n">
        <v>45734.65609953704</v>
      </c>
      <c r="C454" s="1" t="n">
        <v>45970</v>
      </c>
      <c r="D454" t="inlineStr">
        <is>
          <t>JÄMTLANDS LÄN</t>
        </is>
      </c>
      <c r="E454" t="inlineStr">
        <is>
          <t>BRÄCKE</t>
        </is>
      </c>
      <c r="G454" t="n">
        <v>7.9</v>
      </c>
      <c r="H454" t="n">
        <v>0</v>
      </c>
      <c r="I454" t="n">
        <v>0</v>
      </c>
      <c r="J454" t="n">
        <v>0</v>
      </c>
      <c r="K454" t="n">
        <v>0</v>
      </c>
      <c r="L454" t="n">
        <v>0</v>
      </c>
      <c r="M454" t="n">
        <v>0</v>
      </c>
      <c r="N454" t="n">
        <v>0</v>
      </c>
      <c r="O454" t="n">
        <v>0</v>
      </c>
      <c r="P454" t="n">
        <v>0</v>
      </c>
      <c r="Q454" t="n">
        <v>0</v>
      </c>
      <c r="R454" s="2" t="inlineStr"/>
    </row>
    <row r="455" ht="15" customHeight="1">
      <c r="A455" t="inlineStr">
        <is>
          <t>A 16733-2021</t>
        </is>
      </c>
      <c r="B455" s="1" t="n">
        <v>44293</v>
      </c>
      <c r="C455" s="1" t="n">
        <v>45970</v>
      </c>
      <c r="D455" t="inlineStr">
        <is>
          <t>JÄMTLANDS LÄN</t>
        </is>
      </c>
      <c r="E455" t="inlineStr">
        <is>
          <t>BRÄCKE</t>
        </is>
      </c>
      <c r="G455" t="n">
        <v>4</v>
      </c>
      <c r="H455" t="n">
        <v>0</v>
      </c>
      <c r="I455" t="n">
        <v>0</v>
      </c>
      <c r="J455" t="n">
        <v>0</v>
      </c>
      <c r="K455" t="n">
        <v>0</v>
      </c>
      <c r="L455" t="n">
        <v>0</v>
      </c>
      <c r="M455" t="n">
        <v>0</v>
      </c>
      <c r="N455" t="n">
        <v>0</v>
      </c>
      <c r="O455" t="n">
        <v>0</v>
      </c>
      <c r="P455" t="n">
        <v>0</v>
      </c>
      <c r="Q455" t="n">
        <v>0</v>
      </c>
      <c r="R455" s="2" t="inlineStr"/>
    </row>
    <row r="456" ht="15" customHeight="1">
      <c r="A456" t="inlineStr">
        <is>
          <t>A 51821-2023</t>
        </is>
      </c>
      <c r="B456" s="1" t="n">
        <v>45222</v>
      </c>
      <c r="C456" s="1" t="n">
        <v>45970</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4170-2024</t>
        </is>
      </c>
      <c r="B457" s="1" t="n">
        <v>45323.94685185186</v>
      </c>
      <c r="C457" s="1" t="n">
        <v>45970</v>
      </c>
      <c r="D457" t="inlineStr">
        <is>
          <t>JÄMTLANDS LÄN</t>
        </is>
      </c>
      <c r="E457" t="inlineStr">
        <is>
          <t>BRÄCKE</t>
        </is>
      </c>
      <c r="F457" t="inlineStr">
        <is>
          <t>SCA</t>
        </is>
      </c>
      <c r="G457" t="n">
        <v>9.1</v>
      </c>
      <c r="H457" t="n">
        <v>0</v>
      </c>
      <c r="I457" t="n">
        <v>0</v>
      </c>
      <c r="J457" t="n">
        <v>0</v>
      </c>
      <c r="K457" t="n">
        <v>0</v>
      </c>
      <c r="L457" t="n">
        <v>0</v>
      </c>
      <c r="M457" t="n">
        <v>0</v>
      </c>
      <c r="N457" t="n">
        <v>0</v>
      </c>
      <c r="O457" t="n">
        <v>0</v>
      </c>
      <c r="P457" t="n">
        <v>0</v>
      </c>
      <c r="Q457" t="n">
        <v>0</v>
      </c>
      <c r="R457" s="2" t="inlineStr"/>
    </row>
    <row r="458" ht="15" customHeight="1">
      <c r="A458" t="inlineStr">
        <is>
          <t>A 46623-2022</t>
        </is>
      </c>
      <c r="B458" s="1" t="n">
        <v>44848.95137731481</v>
      </c>
      <c r="C458" s="1" t="n">
        <v>45970</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45970</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48816-2022</t>
        </is>
      </c>
      <c r="B460" s="1" t="n">
        <v>44859</v>
      </c>
      <c r="C460" s="1" t="n">
        <v>45970</v>
      </c>
      <c r="D460" t="inlineStr">
        <is>
          <t>JÄMTLANDS LÄN</t>
        </is>
      </c>
      <c r="E460" t="inlineStr">
        <is>
          <t>BRÄCKE</t>
        </is>
      </c>
      <c r="G460" t="n">
        <v>13.3</v>
      </c>
      <c r="H460" t="n">
        <v>0</v>
      </c>
      <c r="I460" t="n">
        <v>0</v>
      </c>
      <c r="J460" t="n">
        <v>0</v>
      </c>
      <c r="K460" t="n">
        <v>0</v>
      </c>
      <c r="L460" t="n">
        <v>0</v>
      </c>
      <c r="M460" t="n">
        <v>0</v>
      </c>
      <c r="N460" t="n">
        <v>0</v>
      </c>
      <c r="O460" t="n">
        <v>0</v>
      </c>
      <c r="P460" t="n">
        <v>0</v>
      </c>
      <c r="Q460" t="n">
        <v>0</v>
      </c>
      <c r="R460" s="2" t="inlineStr"/>
    </row>
    <row r="461" ht="15" customHeight="1">
      <c r="A461" t="inlineStr">
        <is>
          <t>A 26139-2022</t>
        </is>
      </c>
      <c r="B461" s="1" t="n">
        <v>44734</v>
      </c>
      <c r="C461" s="1" t="n">
        <v>45970</v>
      </c>
      <c r="D461" t="inlineStr">
        <is>
          <t>JÄMTLANDS LÄN</t>
        </is>
      </c>
      <c r="E461" t="inlineStr">
        <is>
          <t>BRÄCKE</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61143-2020</t>
        </is>
      </c>
      <c r="B462" s="1" t="n">
        <v>44154</v>
      </c>
      <c r="C462" s="1" t="n">
        <v>45970</v>
      </c>
      <c r="D462" t="inlineStr">
        <is>
          <t>JÄMTLANDS LÄN</t>
        </is>
      </c>
      <c r="E462" t="inlineStr">
        <is>
          <t>BRÄCKE</t>
        </is>
      </c>
      <c r="G462" t="n">
        <v>12.6</v>
      </c>
      <c r="H462" t="n">
        <v>0</v>
      </c>
      <c r="I462" t="n">
        <v>0</v>
      </c>
      <c r="J462" t="n">
        <v>0</v>
      </c>
      <c r="K462" t="n">
        <v>0</v>
      </c>
      <c r="L462" t="n">
        <v>0</v>
      </c>
      <c r="M462" t="n">
        <v>0</v>
      </c>
      <c r="N462" t="n">
        <v>0</v>
      </c>
      <c r="O462" t="n">
        <v>0</v>
      </c>
      <c r="P462" t="n">
        <v>0</v>
      </c>
      <c r="Q462" t="n">
        <v>0</v>
      </c>
      <c r="R462" s="2" t="inlineStr"/>
    </row>
    <row r="463" ht="15" customHeight="1">
      <c r="A463" t="inlineStr">
        <is>
          <t>A 66285-2021</t>
        </is>
      </c>
      <c r="B463" s="1" t="n">
        <v>44518</v>
      </c>
      <c r="C463" s="1" t="n">
        <v>45970</v>
      </c>
      <c r="D463" t="inlineStr">
        <is>
          <t>JÄMTLANDS LÄN</t>
        </is>
      </c>
      <c r="E463" t="inlineStr">
        <is>
          <t>BRÄCKE</t>
        </is>
      </c>
      <c r="G463" t="n">
        <v>11.9</v>
      </c>
      <c r="H463" t="n">
        <v>0</v>
      </c>
      <c r="I463" t="n">
        <v>0</v>
      </c>
      <c r="J463" t="n">
        <v>0</v>
      </c>
      <c r="K463" t="n">
        <v>0</v>
      </c>
      <c r="L463" t="n">
        <v>0</v>
      </c>
      <c r="M463" t="n">
        <v>0</v>
      </c>
      <c r="N463" t="n">
        <v>0</v>
      </c>
      <c r="O463" t="n">
        <v>0</v>
      </c>
      <c r="P463" t="n">
        <v>0</v>
      </c>
      <c r="Q463" t="n">
        <v>0</v>
      </c>
      <c r="R463" s="2" t="inlineStr"/>
    </row>
    <row r="464" ht="15" customHeight="1">
      <c r="A464" t="inlineStr">
        <is>
          <t>A 19810-2022</t>
        </is>
      </c>
      <c r="B464" s="1" t="n">
        <v>44694.93921296296</v>
      </c>
      <c r="C464" s="1" t="n">
        <v>45970</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45970</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49861-2022</t>
        </is>
      </c>
      <c r="B466" s="1" t="n">
        <v>44862</v>
      </c>
      <c r="C466" s="1" t="n">
        <v>45970</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44742.42644675926</v>
      </c>
      <c r="C467" s="1" t="n">
        <v>45970</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17738-2022</t>
        </is>
      </c>
      <c r="B468" s="1" t="n">
        <v>44680.95217592592</v>
      </c>
      <c r="C468" s="1" t="n">
        <v>45970</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47559-2021</t>
        </is>
      </c>
      <c r="B469" s="1" t="n">
        <v>44447</v>
      </c>
      <c r="C469" s="1" t="n">
        <v>45970</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20069-2022</t>
        </is>
      </c>
      <c r="B470" s="1" t="n">
        <v>44697.94190972222</v>
      </c>
      <c r="C470" s="1" t="n">
        <v>45970</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45970</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20624-2023</t>
        </is>
      </c>
      <c r="B472" s="1" t="n">
        <v>45057.94346064814</v>
      </c>
      <c r="C472" s="1" t="n">
        <v>45970</v>
      </c>
      <c r="D472" t="inlineStr">
        <is>
          <t>JÄMTLANDS LÄN</t>
        </is>
      </c>
      <c r="E472" t="inlineStr">
        <is>
          <t>BRÄCKE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24214-2023</t>
        </is>
      </c>
      <c r="B473" s="1" t="n">
        <v>45079.5752199074</v>
      </c>
      <c r="C473" s="1" t="n">
        <v>45970</v>
      </c>
      <c r="D473" t="inlineStr">
        <is>
          <t>JÄMTLANDS LÄN</t>
        </is>
      </c>
      <c r="E473" t="inlineStr">
        <is>
          <t>BRÄCKE</t>
        </is>
      </c>
      <c r="G473" t="n">
        <v>5.6</v>
      </c>
      <c r="H473" t="n">
        <v>0</v>
      </c>
      <c r="I473" t="n">
        <v>0</v>
      </c>
      <c r="J473" t="n">
        <v>0</v>
      </c>
      <c r="K473" t="n">
        <v>0</v>
      </c>
      <c r="L473" t="n">
        <v>0</v>
      </c>
      <c r="M473" t="n">
        <v>0</v>
      </c>
      <c r="N473" t="n">
        <v>0</v>
      </c>
      <c r="O473" t="n">
        <v>0</v>
      </c>
      <c r="P473" t="n">
        <v>0</v>
      </c>
      <c r="Q473" t="n">
        <v>0</v>
      </c>
      <c r="R473" s="2" t="inlineStr"/>
    </row>
    <row r="474" ht="15" customHeight="1">
      <c r="A474" t="inlineStr">
        <is>
          <t>A 24026-2024</t>
        </is>
      </c>
      <c r="B474" s="1" t="n">
        <v>45456.45159722222</v>
      </c>
      <c r="C474" s="1" t="n">
        <v>45970</v>
      </c>
      <c r="D474" t="inlineStr">
        <is>
          <t>JÄMTLANDS LÄN</t>
        </is>
      </c>
      <c r="E474" t="inlineStr">
        <is>
          <t>BRÄCKE</t>
        </is>
      </c>
      <c r="F474" t="inlineStr">
        <is>
          <t>Övriga Aktiebolag</t>
        </is>
      </c>
      <c r="G474" t="n">
        <v>23.7</v>
      </c>
      <c r="H474" t="n">
        <v>0</v>
      </c>
      <c r="I474" t="n">
        <v>0</v>
      </c>
      <c r="J474" t="n">
        <v>0</v>
      </c>
      <c r="K474" t="n">
        <v>0</v>
      </c>
      <c r="L474" t="n">
        <v>0</v>
      </c>
      <c r="M474" t="n">
        <v>0</v>
      </c>
      <c r="N474" t="n">
        <v>0</v>
      </c>
      <c r="O474" t="n">
        <v>0</v>
      </c>
      <c r="P474" t="n">
        <v>0</v>
      </c>
      <c r="Q474" t="n">
        <v>0</v>
      </c>
      <c r="R474" s="2" t="inlineStr"/>
    </row>
    <row r="475" ht="15" customHeight="1">
      <c r="A475" t="inlineStr">
        <is>
          <t>A 62953-2021</t>
        </is>
      </c>
      <c r="B475" s="1" t="n">
        <v>44504</v>
      </c>
      <c r="C475" s="1" t="n">
        <v>45970</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31978-2022</t>
        </is>
      </c>
      <c r="B476" s="1" t="n">
        <v>44777.95574074074</v>
      </c>
      <c r="C476" s="1" t="n">
        <v>45970</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45970</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54035-2021</t>
        </is>
      </c>
      <c r="B478" s="1" t="n">
        <v>44470</v>
      </c>
      <c r="C478" s="1" t="n">
        <v>45970</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35501-2022</t>
        </is>
      </c>
      <c r="B479" s="1" t="n">
        <v>44798.94827546296</v>
      </c>
      <c r="C479" s="1" t="n">
        <v>45970</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48425-2023</t>
        </is>
      </c>
      <c r="B480" s="1" t="n">
        <v>45205</v>
      </c>
      <c r="C480" s="1" t="n">
        <v>45970</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46024-2022</t>
        </is>
      </c>
      <c r="B481" s="1" t="n">
        <v>44846.92635416667</v>
      </c>
      <c r="C481" s="1" t="n">
        <v>45970</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12036-2023</t>
        </is>
      </c>
      <c r="B482" s="1" t="n">
        <v>44995</v>
      </c>
      <c r="C482" s="1" t="n">
        <v>45970</v>
      </c>
      <c r="D482" t="inlineStr">
        <is>
          <t>JÄMTLANDS LÄN</t>
        </is>
      </c>
      <c r="E482" t="inlineStr">
        <is>
          <t>BRÄCKE</t>
        </is>
      </c>
      <c r="G482" t="n">
        <v>16.3</v>
      </c>
      <c r="H482" t="n">
        <v>0</v>
      </c>
      <c r="I482" t="n">
        <v>0</v>
      </c>
      <c r="J482" t="n">
        <v>0</v>
      </c>
      <c r="K482" t="n">
        <v>0</v>
      </c>
      <c r="L482" t="n">
        <v>0</v>
      </c>
      <c r="M482" t="n">
        <v>0</v>
      </c>
      <c r="N482" t="n">
        <v>0</v>
      </c>
      <c r="O482" t="n">
        <v>0</v>
      </c>
      <c r="P482" t="n">
        <v>0</v>
      </c>
      <c r="Q482" t="n">
        <v>0</v>
      </c>
      <c r="R482" s="2" t="inlineStr"/>
    </row>
    <row r="483" ht="15" customHeight="1">
      <c r="A483" t="inlineStr">
        <is>
          <t>A 6362-2024</t>
        </is>
      </c>
      <c r="B483" s="1" t="n">
        <v>45338</v>
      </c>
      <c r="C483" s="1" t="n">
        <v>45970</v>
      </c>
      <c r="D483" t="inlineStr">
        <is>
          <t>JÄMTLANDS LÄN</t>
        </is>
      </c>
      <c r="E483" t="inlineStr">
        <is>
          <t>BRÄCKE</t>
        </is>
      </c>
      <c r="G483" t="n">
        <v>4</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45970</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35010-2022</t>
        </is>
      </c>
      <c r="B485" s="1" t="n">
        <v>44796.94616898148</v>
      </c>
      <c r="C485" s="1" t="n">
        <v>45970</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23444-2022</t>
        </is>
      </c>
      <c r="B486" s="1" t="n">
        <v>44720.94118055556</v>
      </c>
      <c r="C486" s="1" t="n">
        <v>45970</v>
      </c>
      <c r="D486" t="inlineStr">
        <is>
          <t>JÄMTLANDS LÄN</t>
        </is>
      </c>
      <c r="E486" t="inlineStr">
        <is>
          <t>BRÄCKE</t>
        </is>
      </c>
      <c r="G486" t="n">
        <v>1.9</v>
      </c>
      <c r="H486" t="n">
        <v>0</v>
      </c>
      <c r="I486" t="n">
        <v>0</v>
      </c>
      <c r="J486" t="n">
        <v>0</v>
      </c>
      <c r="K486" t="n">
        <v>0</v>
      </c>
      <c r="L486" t="n">
        <v>0</v>
      </c>
      <c r="M486" t="n">
        <v>0</v>
      </c>
      <c r="N486" t="n">
        <v>0</v>
      </c>
      <c r="O486" t="n">
        <v>0</v>
      </c>
      <c r="P486" t="n">
        <v>0</v>
      </c>
      <c r="Q486" t="n">
        <v>0</v>
      </c>
      <c r="R486" s="2" t="inlineStr"/>
    </row>
    <row r="487" ht="15" customHeight="1">
      <c r="A487" t="inlineStr">
        <is>
          <t>A 57088-2024</t>
        </is>
      </c>
      <c r="B487" s="1" t="n">
        <v>45629.35652777777</v>
      </c>
      <c r="C487" s="1" t="n">
        <v>45970</v>
      </c>
      <c r="D487" t="inlineStr">
        <is>
          <t>JÄMTLANDS LÄN</t>
        </is>
      </c>
      <c r="E487" t="inlineStr">
        <is>
          <t>BRÄCKE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17568-2023</t>
        </is>
      </c>
      <c r="B488" s="1" t="n">
        <v>45036</v>
      </c>
      <c r="C488" s="1" t="n">
        <v>45970</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47560-2021</t>
        </is>
      </c>
      <c r="B489" s="1" t="n">
        <v>44447.94313657407</v>
      </c>
      <c r="C489" s="1" t="n">
        <v>45970</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4542-2022</t>
        </is>
      </c>
      <c r="B490" s="1" t="n">
        <v>44590</v>
      </c>
      <c r="C490" s="1" t="n">
        <v>45970</v>
      </c>
      <c r="D490" t="inlineStr">
        <is>
          <t>JÄMTLANDS LÄN</t>
        </is>
      </c>
      <c r="E490" t="inlineStr">
        <is>
          <t>BRÄCKE</t>
        </is>
      </c>
      <c r="G490" t="n">
        <v>18.5</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45970</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45970</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45970</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10536-2022</t>
        </is>
      </c>
      <c r="B494" s="1" t="n">
        <v>44623.92185185185</v>
      </c>
      <c r="C494" s="1" t="n">
        <v>45970</v>
      </c>
      <c r="D494" t="inlineStr">
        <is>
          <t>JÄMTLANDS LÄN</t>
        </is>
      </c>
      <c r="E494" t="inlineStr">
        <is>
          <t>BRÄCKE</t>
        </is>
      </c>
      <c r="G494" t="n">
        <v>3.1</v>
      </c>
      <c r="H494" t="n">
        <v>0</v>
      </c>
      <c r="I494" t="n">
        <v>0</v>
      </c>
      <c r="J494" t="n">
        <v>0</v>
      </c>
      <c r="K494" t="n">
        <v>0</v>
      </c>
      <c r="L494" t="n">
        <v>0</v>
      </c>
      <c r="M494" t="n">
        <v>0</v>
      </c>
      <c r="N494" t="n">
        <v>0</v>
      </c>
      <c r="O494" t="n">
        <v>0</v>
      </c>
      <c r="P494" t="n">
        <v>0</v>
      </c>
      <c r="Q494" t="n">
        <v>0</v>
      </c>
      <c r="R494" s="2" t="inlineStr"/>
    </row>
    <row r="495" ht="15" customHeight="1">
      <c r="A495" t="inlineStr">
        <is>
          <t>A 54334-2023</t>
        </is>
      </c>
      <c r="B495" s="1" t="n">
        <v>45232.95790509259</v>
      </c>
      <c r="C495" s="1" t="n">
        <v>45970</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46860-2023</t>
        </is>
      </c>
      <c r="B496" s="1" t="n">
        <v>45200.12724537037</v>
      </c>
      <c r="C496" s="1" t="n">
        <v>45970</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49085-2023</t>
        </is>
      </c>
      <c r="B497" s="1" t="n">
        <v>45204</v>
      </c>
      <c r="C497" s="1" t="n">
        <v>45970</v>
      </c>
      <c r="D497" t="inlineStr">
        <is>
          <t>JÄMTLANDS LÄN</t>
        </is>
      </c>
      <c r="E497" t="inlineStr">
        <is>
          <t>BRÄCKE</t>
        </is>
      </c>
      <c r="G497" t="n">
        <v>2.1</v>
      </c>
      <c r="H497" t="n">
        <v>0</v>
      </c>
      <c r="I497" t="n">
        <v>0</v>
      </c>
      <c r="J497" t="n">
        <v>0</v>
      </c>
      <c r="K497" t="n">
        <v>0</v>
      </c>
      <c r="L497" t="n">
        <v>0</v>
      </c>
      <c r="M497" t="n">
        <v>0</v>
      </c>
      <c r="N497" t="n">
        <v>0</v>
      </c>
      <c r="O497" t="n">
        <v>0</v>
      </c>
      <c r="P497" t="n">
        <v>0</v>
      </c>
      <c r="Q497" t="n">
        <v>0</v>
      </c>
      <c r="R497" s="2" t="inlineStr"/>
    </row>
    <row r="498" ht="15" customHeight="1">
      <c r="A498" t="inlineStr">
        <is>
          <t>A 4882-2025</t>
        </is>
      </c>
      <c r="B498" s="1" t="n">
        <v>45688.67729166667</v>
      </c>
      <c r="C498" s="1" t="n">
        <v>45970</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48284-2021</t>
        </is>
      </c>
      <c r="B499" s="1" t="n">
        <v>44449.75931712963</v>
      </c>
      <c r="C499" s="1" t="n">
        <v>45970</v>
      </c>
      <c r="D499" t="inlineStr">
        <is>
          <t>JÄMTLANDS LÄN</t>
        </is>
      </c>
      <c r="E499" t="inlineStr">
        <is>
          <t>BRÄCKE</t>
        </is>
      </c>
      <c r="G499" t="n">
        <v>12.9</v>
      </c>
      <c r="H499" t="n">
        <v>0</v>
      </c>
      <c r="I499" t="n">
        <v>0</v>
      </c>
      <c r="J499" t="n">
        <v>0</v>
      </c>
      <c r="K499" t="n">
        <v>0</v>
      </c>
      <c r="L499" t="n">
        <v>0</v>
      </c>
      <c r="M499" t="n">
        <v>0</v>
      </c>
      <c r="N499" t="n">
        <v>0</v>
      </c>
      <c r="O499" t="n">
        <v>0</v>
      </c>
      <c r="P499" t="n">
        <v>0</v>
      </c>
      <c r="Q499" t="n">
        <v>0</v>
      </c>
      <c r="R499" s="2" t="inlineStr"/>
    </row>
    <row r="500" ht="15" customHeight="1">
      <c r="A500" t="inlineStr">
        <is>
          <t>A 1127-2025</t>
        </is>
      </c>
      <c r="B500" s="1" t="n">
        <v>45666.67756944444</v>
      </c>
      <c r="C500" s="1" t="n">
        <v>45970</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45970</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21183-2023</t>
        </is>
      </c>
      <c r="B502" s="1" t="n">
        <v>45058</v>
      </c>
      <c r="C502" s="1" t="n">
        <v>45970</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39509-2023</t>
        </is>
      </c>
      <c r="B503" s="1" t="n">
        <v>45166.95824074074</v>
      </c>
      <c r="C503" s="1" t="n">
        <v>45970</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45970</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45970</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49189-2024</t>
        </is>
      </c>
      <c r="B506" s="1" t="n">
        <v>45595.34502314815</v>
      </c>
      <c r="C506" s="1" t="n">
        <v>45970</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30592-2021</t>
        </is>
      </c>
      <c r="B507" s="1" t="n">
        <v>44364.93850694445</v>
      </c>
      <c r="C507" s="1" t="n">
        <v>45970</v>
      </c>
      <c r="D507" t="inlineStr">
        <is>
          <t>JÄMTLANDS LÄN</t>
        </is>
      </c>
      <c r="E507" t="inlineStr">
        <is>
          <t>BRÄCKE</t>
        </is>
      </c>
      <c r="F507" t="inlineStr">
        <is>
          <t>SCA</t>
        </is>
      </c>
      <c r="G507" t="n">
        <v>22.4</v>
      </c>
      <c r="H507" t="n">
        <v>0</v>
      </c>
      <c r="I507" t="n">
        <v>0</v>
      </c>
      <c r="J507" t="n">
        <v>0</v>
      </c>
      <c r="K507" t="n">
        <v>0</v>
      </c>
      <c r="L507" t="n">
        <v>0</v>
      </c>
      <c r="M507" t="n">
        <v>0</v>
      </c>
      <c r="N507" t="n">
        <v>0</v>
      </c>
      <c r="O507" t="n">
        <v>0</v>
      </c>
      <c r="P507" t="n">
        <v>0</v>
      </c>
      <c r="Q507" t="n">
        <v>0</v>
      </c>
      <c r="R507" s="2" t="inlineStr"/>
    </row>
    <row r="508" ht="15" customHeight="1">
      <c r="A508" t="inlineStr">
        <is>
          <t>A 23747-2021</t>
        </is>
      </c>
      <c r="B508" s="1" t="n">
        <v>44334</v>
      </c>
      <c r="C508" s="1" t="n">
        <v>45970</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61662-2022</t>
        </is>
      </c>
      <c r="B509" s="1" t="n">
        <v>44916.96359953703</v>
      </c>
      <c r="C509" s="1" t="n">
        <v>45970</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172-2025</t>
        </is>
      </c>
      <c r="B510" s="1" t="n">
        <v>45659.6565625</v>
      </c>
      <c r="C510" s="1" t="n">
        <v>45970</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59417-2023</t>
        </is>
      </c>
      <c r="B511" s="1" t="n">
        <v>45253</v>
      </c>
      <c r="C511" s="1" t="n">
        <v>45970</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40693-2024</t>
        </is>
      </c>
      <c r="B512" s="1" t="n">
        <v>45558.40670138889</v>
      </c>
      <c r="C512" s="1" t="n">
        <v>45970</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61787-2023</t>
        </is>
      </c>
      <c r="B513" s="1" t="n">
        <v>45265.95765046297</v>
      </c>
      <c r="C513" s="1" t="n">
        <v>45970</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25674-2023</t>
        </is>
      </c>
      <c r="B514" s="1" t="n">
        <v>45089</v>
      </c>
      <c r="C514" s="1" t="n">
        <v>45970</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46601-2022</t>
        </is>
      </c>
      <c r="B515" s="1" t="n">
        <v>44848</v>
      </c>
      <c r="C515" s="1" t="n">
        <v>45970</v>
      </c>
      <c r="D515" t="inlineStr">
        <is>
          <t>JÄMTLANDS LÄN</t>
        </is>
      </c>
      <c r="E515" t="inlineStr">
        <is>
          <t>BRÄCKE</t>
        </is>
      </c>
      <c r="G515" t="n">
        <v>2.7</v>
      </c>
      <c r="H515" t="n">
        <v>0</v>
      </c>
      <c r="I515" t="n">
        <v>0</v>
      </c>
      <c r="J515" t="n">
        <v>0</v>
      </c>
      <c r="K515" t="n">
        <v>0</v>
      </c>
      <c r="L515" t="n">
        <v>0</v>
      </c>
      <c r="M515" t="n">
        <v>0</v>
      </c>
      <c r="N515" t="n">
        <v>0</v>
      </c>
      <c r="O515" t="n">
        <v>0</v>
      </c>
      <c r="P515" t="n">
        <v>0</v>
      </c>
      <c r="Q515" t="n">
        <v>0</v>
      </c>
      <c r="R515" s="2" t="inlineStr"/>
    </row>
    <row r="516" ht="15" customHeight="1">
      <c r="A516" t="inlineStr">
        <is>
          <t>A 32101-2021</t>
        </is>
      </c>
      <c r="B516" s="1" t="n">
        <v>44370.94097222222</v>
      </c>
      <c r="C516" s="1" t="n">
        <v>45970</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52610-2024</t>
        </is>
      </c>
      <c r="B517" s="1" t="n">
        <v>45609.78957175926</v>
      </c>
      <c r="C517" s="1" t="n">
        <v>45970</v>
      </c>
      <c r="D517" t="inlineStr">
        <is>
          <t>JÄMTLANDS LÄN</t>
        </is>
      </c>
      <c r="E517" t="inlineStr">
        <is>
          <t>BRÄCKE</t>
        </is>
      </c>
      <c r="G517" t="n">
        <v>16.7</v>
      </c>
      <c r="H517" t="n">
        <v>0</v>
      </c>
      <c r="I517" t="n">
        <v>0</v>
      </c>
      <c r="J517" t="n">
        <v>0</v>
      </c>
      <c r="K517" t="n">
        <v>0</v>
      </c>
      <c r="L517" t="n">
        <v>0</v>
      </c>
      <c r="M517" t="n">
        <v>0</v>
      </c>
      <c r="N517" t="n">
        <v>0</v>
      </c>
      <c r="O517" t="n">
        <v>0</v>
      </c>
      <c r="P517" t="n">
        <v>0</v>
      </c>
      <c r="Q517" t="n">
        <v>0</v>
      </c>
      <c r="R517" s="2" t="inlineStr"/>
    </row>
    <row r="518" ht="15" customHeight="1">
      <c r="A518" t="inlineStr">
        <is>
          <t>A 20267-2024</t>
        </is>
      </c>
      <c r="B518" s="1" t="n">
        <v>45434.9487962963</v>
      </c>
      <c r="C518" s="1" t="n">
        <v>45970</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26437-2022</t>
        </is>
      </c>
      <c r="B519" s="1" t="n">
        <v>44736.93912037037</v>
      </c>
      <c r="C519" s="1" t="n">
        <v>45970</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13033-2023</t>
        </is>
      </c>
      <c r="B520" s="1" t="n">
        <v>45001</v>
      </c>
      <c r="C520" s="1" t="n">
        <v>45970</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21366-2021</t>
        </is>
      </c>
      <c r="B521" s="1" t="n">
        <v>44320</v>
      </c>
      <c r="C521" s="1" t="n">
        <v>45970</v>
      </c>
      <c r="D521" t="inlineStr">
        <is>
          <t>JÄMTLANDS LÄN</t>
        </is>
      </c>
      <c r="E521" t="inlineStr">
        <is>
          <t>BRÄCKE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17905-2025</t>
        </is>
      </c>
      <c r="B522" s="1" t="n">
        <v>45758.71907407408</v>
      </c>
      <c r="C522" s="1" t="n">
        <v>45970</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49646-2023</t>
        </is>
      </c>
      <c r="B523" s="1" t="n">
        <v>45211</v>
      </c>
      <c r="C523" s="1" t="n">
        <v>45970</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20667-2022</t>
        </is>
      </c>
      <c r="B524" s="1" t="n">
        <v>44700.65226851852</v>
      </c>
      <c r="C524" s="1" t="n">
        <v>45970</v>
      </c>
      <c r="D524" t="inlineStr">
        <is>
          <t>JÄMTLANDS LÄN</t>
        </is>
      </c>
      <c r="E524" t="inlineStr">
        <is>
          <t>BRÄCKE</t>
        </is>
      </c>
      <c r="G524" t="n">
        <v>13.8</v>
      </c>
      <c r="H524" t="n">
        <v>0</v>
      </c>
      <c r="I524" t="n">
        <v>0</v>
      </c>
      <c r="J524" t="n">
        <v>0</v>
      </c>
      <c r="K524" t="n">
        <v>0</v>
      </c>
      <c r="L524" t="n">
        <v>0</v>
      </c>
      <c r="M524" t="n">
        <v>0</v>
      </c>
      <c r="N524" t="n">
        <v>0</v>
      </c>
      <c r="O524" t="n">
        <v>0</v>
      </c>
      <c r="P524" t="n">
        <v>0</v>
      </c>
      <c r="Q524" t="n">
        <v>0</v>
      </c>
      <c r="R524" s="2" t="inlineStr"/>
    </row>
    <row r="525" ht="15" customHeight="1">
      <c r="A525" t="inlineStr">
        <is>
          <t>A 2483-2025</t>
        </is>
      </c>
      <c r="B525" s="1" t="n">
        <v>45673</v>
      </c>
      <c r="C525" s="1" t="n">
        <v>45970</v>
      </c>
      <c r="D525" t="inlineStr">
        <is>
          <t>JÄMTLANDS LÄN</t>
        </is>
      </c>
      <c r="E525" t="inlineStr">
        <is>
          <t>BRÄCKE</t>
        </is>
      </c>
      <c r="G525" t="n">
        <v>6.3</v>
      </c>
      <c r="H525" t="n">
        <v>0</v>
      </c>
      <c r="I525" t="n">
        <v>0</v>
      </c>
      <c r="J525" t="n">
        <v>0</v>
      </c>
      <c r="K525" t="n">
        <v>0</v>
      </c>
      <c r="L525" t="n">
        <v>0</v>
      </c>
      <c r="M525" t="n">
        <v>0</v>
      </c>
      <c r="N525" t="n">
        <v>0</v>
      </c>
      <c r="O525" t="n">
        <v>0</v>
      </c>
      <c r="P525" t="n">
        <v>0</v>
      </c>
      <c r="Q525" t="n">
        <v>0</v>
      </c>
      <c r="R525" s="2" t="inlineStr"/>
    </row>
    <row r="526" ht="15" customHeight="1">
      <c r="A526" t="inlineStr">
        <is>
          <t>A 61079-2024</t>
        </is>
      </c>
      <c r="B526" s="1" t="n">
        <v>45645.51072916666</v>
      </c>
      <c r="C526" s="1" t="n">
        <v>45970</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5052-2024</t>
        </is>
      </c>
      <c r="B527" s="1" t="n">
        <v>45329.93077546296</v>
      </c>
      <c r="C527" s="1" t="n">
        <v>45970</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5053-2024</t>
        </is>
      </c>
      <c r="B528" s="1" t="n">
        <v>45329.93084490741</v>
      </c>
      <c r="C528" s="1" t="n">
        <v>45970</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2179-2025</t>
        </is>
      </c>
      <c r="B529" s="1" t="n">
        <v>45673.34421296296</v>
      </c>
      <c r="C529" s="1" t="n">
        <v>45970</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2197-2025</t>
        </is>
      </c>
      <c r="B530" s="1" t="n">
        <v>45673.38782407407</v>
      </c>
      <c r="C530" s="1" t="n">
        <v>45970</v>
      </c>
      <c r="D530" t="inlineStr">
        <is>
          <t>JÄMTLANDS LÄN</t>
        </is>
      </c>
      <c r="E530" t="inlineStr">
        <is>
          <t>BRÄCKE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40711-2022</t>
        </is>
      </c>
      <c r="B531" s="1" t="n">
        <v>44820</v>
      </c>
      <c r="C531" s="1" t="n">
        <v>45970</v>
      </c>
      <c r="D531" t="inlineStr">
        <is>
          <t>JÄMTLANDS LÄN</t>
        </is>
      </c>
      <c r="E531" t="inlineStr">
        <is>
          <t>BRÄCKE</t>
        </is>
      </c>
      <c r="G531" t="n">
        <v>5.4</v>
      </c>
      <c r="H531" t="n">
        <v>0</v>
      </c>
      <c r="I531" t="n">
        <v>0</v>
      </c>
      <c r="J531" t="n">
        <v>0</v>
      </c>
      <c r="K531" t="n">
        <v>0</v>
      </c>
      <c r="L531" t="n">
        <v>0</v>
      </c>
      <c r="M531" t="n">
        <v>0</v>
      </c>
      <c r="N531" t="n">
        <v>0</v>
      </c>
      <c r="O531" t="n">
        <v>0</v>
      </c>
      <c r="P531" t="n">
        <v>0</v>
      </c>
      <c r="Q531" t="n">
        <v>0</v>
      </c>
      <c r="R531" s="2" t="inlineStr"/>
    </row>
    <row r="532" ht="15" customHeight="1">
      <c r="A532" t="inlineStr">
        <is>
          <t>A 23081-2024</t>
        </is>
      </c>
      <c r="B532" s="1" t="n">
        <v>45450.50152777778</v>
      </c>
      <c r="C532" s="1" t="n">
        <v>45970</v>
      </c>
      <c r="D532" t="inlineStr">
        <is>
          <t>JÄMTLANDS LÄN</t>
        </is>
      </c>
      <c r="E532" t="inlineStr">
        <is>
          <t>BRÄCKE</t>
        </is>
      </c>
      <c r="G532" t="n">
        <v>0.6</v>
      </c>
      <c r="H532" t="n">
        <v>0</v>
      </c>
      <c r="I532" t="n">
        <v>0</v>
      </c>
      <c r="J532" t="n">
        <v>0</v>
      </c>
      <c r="K532" t="n">
        <v>0</v>
      </c>
      <c r="L532" t="n">
        <v>0</v>
      </c>
      <c r="M532" t="n">
        <v>0</v>
      </c>
      <c r="N532" t="n">
        <v>0</v>
      </c>
      <c r="O532" t="n">
        <v>0</v>
      </c>
      <c r="P532" t="n">
        <v>0</v>
      </c>
      <c r="Q532" t="n">
        <v>0</v>
      </c>
      <c r="R532" s="2" t="inlineStr"/>
    </row>
    <row r="533" ht="15" customHeight="1">
      <c r="A533" t="inlineStr">
        <is>
          <t>A 30483-2022</t>
        </is>
      </c>
      <c r="B533" s="1" t="n">
        <v>44761.94037037037</v>
      </c>
      <c r="C533" s="1" t="n">
        <v>45970</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61663-2022</t>
        </is>
      </c>
      <c r="B534" s="1" t="n">
        <v>44916</v>
      </c>
      <c r="C534" s="1" t="n">
        <v>45970</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2581-2025</t>
        </is>
      </c>
      <c r="B535" s="1" t="n">
        <v>45674.67771990741</v>
      </c>
      <c r="C535" s="1" t="n">
        <v>45970</v>
      </c>
      <c r="D535" t="inlineStr">
        <is>
          <t>JÄMTLANDS LÄN</t>
        </is>
      </c>
      <c r="E535" t="inlineStr">
        <is>
          <t>BRÄCKE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24717-2022</t>
        </is>
      </c>
      <c r="B536" s="1" t="n">
        <v>44727</v>
      </c>
      <c r="C536" s="1" t="n">
        <v>45970</v>
      </c>
      <c r="D536" t="inlineStr">
        <is>
          <t>JÄMTLANDS LÄN</t>
        </is>
      </c>
      <c r="E536" t="inlineStr">
        <is>
          <t>BRÄCKE</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15201-2024</t>
        </is>
      </c>
      <c r="B537" s="1" t="n">
        <v>45400.43778935185</v>
      </c>
      <c r="C537" s="1" t="n">
        <v>45970</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45970</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5482-2025</t>
        </is>
      </c>
      <c r="B539" s="1" t="n">
        <v>45693.34427083333</v>
      </c>
      <c r="C539" s="1" t="n">
        <v>45970</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35896-2023</t>
        </is>
      </c>
      <c r="B540" s="1" t="n">
        <v>45148</v>
      </c>
      <c r="C540" s="1" t="n">
        <v>45970</v>
      </c>
      <c r="D540" t="inlineStr">
        <is>
          <t>JÄMTLANDS LÄN</t>
        </is>
      </c>
      <c r="E540" t="inlineStr">
        <is>
          <t>BRÄCKE</t>
        </is>
      </c>
      <c r="G540" t="n">
        <v>3.6</v>
      </c>
      <c r="H540" t="n">
        <v>0</v>
      </c>
      <c r="I540" t="n">
        <v>0</v>
      </c>
      <c r="J540" t="n">
        <v>0</v>
      </c>
      <c r="K540" t="n">
        <v>0</v>
      </c>
      <c r="L540" t="n">
        <v>0</v>
      </c>
      <c r="M540" t="n">
        <v>0</v>
      </c>
      <c r="N540" t="n">
        <v>0</v>
      </c>
      <c r="O540" t="n">
        <v>0</v>
      </c>
      <c r="P540" t="n">
        <v>0</v>
      </c>
      <c r="Q540" t="n">
        <v>0</v>
      </c>
      <c r="R540" s="2" t="inlineStr"/>
    </row>
    <row r="541" ht="15" customHeight="1">
      <c r="A541" t="inlineStr">
        <is>
          <t>A 17016-2024</t>
        </is>
      </c>
      <c r="B541" s="1" t="n">
        <v>45411</v>
      </c>
      <c r="C541" s="1" t="n">
        <v>45970</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34409-2021</t>
        </is>
      </c>
      <c r="B542" s="1" t="n">
        <v>44379</v>
      </c>
      <c r="C542" s="1" t="n">
        <v>45970</v>
      </c>
      <c r="D542" t="inlineStr">
        <is>
          <t>JÄMTLANDS LÄN</t>
        </is>
      </c>
      <c r="E542" t="inlineStr">
        <is>
          <t>BRÄCKE</t>
        </is>
      </c>
      <c r="F542" t="inlineStr">
        <is>
          <t>SCA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51540-2024</t>
        </is>
      </c>
      <c r="B543" s="1" t="n">
        <v>45604</v>
      </c>
      <c r="C543" s="1" t="n">
        <v>45970</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14664-2024</t>
        </is>
      </c>
      <c r="B544" s="1" t="n">
        <v>45397.41673611111</v>
      </c>
      <c r="C544" s="1" t="n">
        <v>45970</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40430-2023</t>
        </is>
      </c>
      <c r="B545" s="1" t="n">
        <v>45169</v>
      </c>
      <c r="C545" s="1" t="n">
        <v>45970</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16073-2021</t>
        </is>
      </c>
      <c r="B546" s="1" t="n">
        <v>44287</v>
      </c>
      <c r="C546" s="1" t="n">
        <v>45970</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9996-2025</t>
        </is>
      </c>
      <c r="B547" s="1" t="n">
        <v>45719.44133101852</v>
      </c>
      <c r="C547" s="1" t="n">
        <v>45970</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38456-2025</t>
        </is>
      </c>
      <c r="B548" s="1" t="n">
        <v>45883.69831018519</v>
      </c>
      <c r="C548" s="1" t="n">
        <v>45970</v>
      </c>
      <c r="D548" t="inlineStr">
        <is>
          <t>JÄMTLANDS LÄN</t>
        </is>
      </c>
      <c r="E548" t="inlineStr">
        <is>
          <t>BRÄCKE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38333-2025</t>
        </is>
      </c>
      <c r="B549" s="1" t="n">
        <v>45883.49164351852</v>
      </c>
      <c r="C549" s="1" t="n">
        <v>45970</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38461-2025</t>
        </is>
      </c>
      <c r="B550" s="1" t="n">
        <v>45883.71962962963</v>
      </c>
      <c r="C550" s="1" t="n">
        <v>45970</v>
      </c>
      <c r="D550" t="inlineStr">
        <is>
          <t>JÄMTLANDS LÄN</t>
        </is>
      </c>
      <c r="E550" t="inlineStr">
        <is>
          <t>BRÄCKE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52137-2023</t>
        </is>
      </c>
      <c r="B551" s="1" t="n">
        <v>45223</v>
      </c>
      <c r="C551" s="1" t="n">
        <v>45970</v>
      </c>
      <c r="D551" t="inlineStr">
        <is>
          <t>JÄMTLANDS LÄN</t>
        </is>
      </c>
      <c r="E551" t="inlineStr">
        <is>
          <t>BRÄCKE</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59405-2022</t>
        </is>
      </c>
      <c r="B552" s="1" t="n">
        <v>44906</v>
      </c>
      <c r="C552" s="1" t="n">
        <v>45970</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13166-2024</t>
        </is>
      </c>
      <c r="B553" s="1" t="n">
        <v>45386.40141203703</v>
      </c>
      <c r="C553" s="1" t="n">
        <v>45970</v>
      </c>
      <c r="D553" t="inlineStr">
        <is>
          <t>JÄMTLANDS LÄN</t>
        </is>
      </c>
      <c r="E553" t="inlineStr">
        <is>
          <t>BRÄCKE</t>
        </is>
      </c>
      <c r="G553" t="n">
        <v>7.3</v>
      </c>
      <c r="H553" t="n">
        <v>0</v>
      </c>
      <c r="I553" t="n">
        <v>0</v>
      </c>
      <c r="J553" t="n">
        <v>0</v>
      </c>
      <c r="K553" t="n">
        <v>0</v>
      </c>
      <c r="L553" t="n">
        <v>0</v>
      </c>
      <c r="M553" t="n">
        <v>0</v>
      </c>
      <c r="N553" t="n">
        <v>0</v>
      </c>
      <c r="O553" t="n">
        <v>0</v>
      </c>
      <c r="P553" t="n">
        <v>0</v>
      </c>
      <c r="Q553" t="n">
        <v>0</v>
      </c>
      <c r="R553" s="2" t="inlineStr"/>
    </row>
    <row r="554" ht="15" customHeight="1">
      <c r="A554" t="inlineStr">
        <is>
          <t>A 38381-2025</t>
        </is>
      </c>
      <c r="B554" s="1" t="n">
        <v>45883.57380787037</v>
      </c>
      <c r="C554" s="1" t="n">
        <v>45970</v>
      </c>
      <c r="D554" t="inlineStr">
        <is>
          <t>JÄMTLANDS LÄN</t>
        </is>
      </c>
      <c r="E554" t="inlineStr">
        <is>
          <t>BRÄCKE</t>
        </is>
      </c>
      <c r="G554" t="n">
        <v>11.1</v>
      </c>
      <c r="H554" t="n">
        <v>0</v>
      </c>
      <c r="I554" t="n">
        <v>0</v>
      </c>
      <c r="J554" t="n">
        <v>0</v>
      </c>
      <c r="K554" t="n">
        <v>0</v>
      </c>
      <c r="L554" t="n">
        <v>0</v>
      </c>
      <c r="M554" t="n">
        <v>0</v>
      </c>
      <c r="N554" t="n">
        <v>0</v>
      </c>
      <c r="O554" t="n">
        <v>0</v>
      </c>
      <c r="P554" t="n">
        <v>0</v>
      </c>
      <c r="Q554" t="n">
        <v>0</v>
      </c>
      <c r="R554" s="2" t="inlineStr"/>
    </row>
    <row r="555" ht="15" customHeight="1">
      <c r="A555" t="inlineStr">
        <is>
          <t>A 38278-2025</t>
        </is>
      </c>
      <c r="B555" s="1" t="n">
        <v>45883.41405092592</v>
      </c>
      <c r="C555" s="1" t="n">
        <v>45970</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49330-2023</t>
        </is>
      </c>
      <c r="B556" s="1" t="n">
        <v>45210.94927083333</v>
      </c>
      <c r="C556" s="1" t="n">
        <v>45970</v>
      </c>
      <c r="D556" t="inlineStr">
        <is>
          <t>JÄMTLANDS LÄN</t>
        </is>
      </c>
      <c r="E556" t="inlineStr">
        <is>
          <t>BRÄCKE</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24874-2024</t>
        </is>
      </c>
      <c r="B557" s="1" t="n">
        <v>45461.52280092592</v>
      </c>
      <c r="C557" s="1" t="n">
        <v>45970</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24878-2024</t>
        </is>
      </c>
      <c r="B558" s="1" t="n">
        <v>45461.55193287037</v>
      </c>
      <c r="C558" s="1" t="n">
        <v>45970</v>
      </c>
      <c r="D558" t="inlineStr">
        <is>
          <t>JÄMTLANDS LÄN</t>
        </is>
      </c>
      <c r="E558" t="inlineStr">
        <is>
          <t>BRÄCKE</t>
        </is>
      </c>
      <c r="G558" t="n">
        <v>3.8</v>
      </c>
      <c r="H558" t="n">
        <v>0</v>
      </c>
      <c r="I558" t="n">
        <v>0</v>
      </c>
      <c r="J558" t="n">
        <v>0</v>
      </c>
      <c r="K558" t="n">
        <v>0</v>
      </c>
      <c r="L558" t="n">
        <v>0</v>
      </c>
      <c r="M558" t="n">
        <v>0</v>
      </c>
      <c r="N558" t="n">
        <v>0</v>
      </c>
      <c r="O558" t="n">
        <v>0</v>
      </c>
      <c r="P558" t="n">
        <v>0</v>
      </c>
      <c r="Q558" t="n">
        <v>0</v>
      </c>
      <c r="R558" s="2" t="inlineStr"/>
    </row>
    <row r="559" ht="15" customHeight="1">
      <c r="A559" t="inlineStr">
        <is>
          <t>A 38123-2025</t>
        </is>
      </c>
      <c r="B559" s="1" t="n">
        <v>45882.55259259259</v>
      </c>
      <c r="C559" s="1" t="n">
        <v>45970</v>
      </c>
      <c r="D559" t="inlineStr">
        <is>
          <t>JÄMTLANDS LÄN</t>
        </is>
      </c>
      <c r="E559" t="inlineStr">
        <is>
          <t>BRÄCKE</t>
        </is>
      </c>
      <c r="G559" t="n">
        <v>3.8</v>
      </c>
      <c r="H559" t="n">
        <v>0</v>
      </c>
      <c r="I559" t="n">
        <v>0</v>
      </c>
      <c r="J559" t="n">
        <v>0</v>
      </c>
      <c r="K559" t="n">
        <v>0</v>
      </c>
      <c r="L559" t="n">
        <v>0</v>
      </c>
      <c r="M559" t="n">
        <v>0</v>
      </c>
      <c r="N559" t="n">
        <v>0</v>
      </c>
      <c r="O559" t="n">
        <v>0</v>
      </c>
      <c r="P559" t="n">
        <v>0</v>
      </c>
      <c r="Q559" t="n">
        <v>0</v>
      </c>
      <c r="R559" s="2" t="inlineStr"/>
    </row>
    <row r="560" ht="15" customHeight="1">
      <c r="A560" t="inlineStr">
        <is>
          <t>A 38304-2025</t>
        </is>
      </c>
      <c r="B560" s="1" t="n">
        <v>45883.46912037037</v>
      </c>
      <c r="C560" s="1" t="n">
        <v>45970</v>
      </c>
      <c r="D560" t="inlineStr">
        <is>
          <t>JÄMTLANDS LÄN</t>
        </is>
      </c>
      <c r="E560" t="inlineStr">
        <is>
          <t>BRÄCKE</t>
        </is>
      </c>
      <c r="G560" t="n">
        <v>10</v>
      </c>
      <c r="H560" t="n">
        <v>0</v>
      </c>
      <c r="I560" t="n">
        <v>0</v>
      </c>
      <c r="J560" t="n">
        <v>0</v>
      </c>
      <c r="K560" t="n">
        <v>0</v>
      </c>
      <c r="L560" t="n">
        <v>0</v>
      </c>
      <c r="M560" t="n">
        <v>0</v>
      </c>
      <c r="N560" t="n">
        <v>0</v>
      </c>
      <c r="O560" t="n">
        <v>0</v>
      </c>
      <c r="P560" t="n">
        <v>0</v>
      </c>
      <c r="Q560" t="n">
        <v>0</v>
      </c>
      <c r="R560" s="2" t="inlineStr"/>
    </row>
    <row r="561" ht="15" customHeight="1">
      <c r="A561" t="inlineStr">
        <is>
          <t>A 13180-2024</t>
        </is>
      </c>
      <c r="B561" s="1" t="n">
        <v>45386.43207175926</v>
      </c>
      <c r="C561" s="1" t="n">
        <v>45970</v>
      </c>
      <c r="D561" t="inlineStr">
        <is>
          <t>JÄMTLANDS LÄN</t>
        </is>
      </c>
      <c r="E561" t="inlineStr">
        <is>
          <t>BRÄCKE</t>
        </is>
      </c>
      <c r="G561" t="n">
        <v>1.8</v>
      </c>
      <c r="H561" t="n">
        <v>0</v>
      </c>
      <c r="I561" t="n">
        <v>0</v>
      </c>
      <c r="J561" t="n">
        <v>0</v>
      </c>
      <c r="K561" t="n">
        <v>0</v>
      </c>
      <c r="L561" t="n">
        <v>0</v>
      </c>
      <c r="M561" t="n">
        <v>0</v>
      </c>
      <c r="N561" t="n">
        <v>0</v>
      </c>
      <c r="O561" t="n">
        <v>0</v>
      </c>
      <c r="P561" t="n">
        <v>0</v>
      </c>
      <c r="Q561" t="n">
        <v>0</v>
      </c>
      <c r="R561" s="2" t="inlineStr"/>
    </row>
    <row r="562" ht="15" customHeight="1">
      <c r="A562" t="inlineStr">
        <is>
          <t>A 36209-2023</t>
        </is>
      </c>
      <c r="B562" s="1" t="n">
        <v>45149</v>
      </c>
      <c r="C562" s="1" t="n">
        <v>45970</v>
      </c>
      <c r="D562" t="inlineStr">
        <is>
          <t>JÄMTLANDS LÄN</t>
        </is>
      </c>
      <c r="E562" t="inlineStr">
        <is>
          <t>BRÄCKE</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32961-2022</t>
        </is>
      </c>
      <c r="B563" s="1" t="n">
        <v>44784.92487268519</v>
      </c>
      <c r="C563" s="1" t="n">
        <v>45970</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62102-2024</t>
        </is>
      </c>
      <c r="B564" s="1" t="n">
        <v>45656.51145833333</v>
      </c>
      <c r="C564" s="1" t="n">
        <v>45970</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38326-2025</t>
        </is>
      </c>
      <c r="B565" s="1" t="n">
        <v>45883.49070601852</v>
      </c>
      <c r="C565" s="1" t="n">
        <v>45970</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38328-2025</t>
        </is>
      </c>
      <c r="B566" s="1" t="n">
        <v>45883.4909837963</v>
      </c>
      <c r="C566" s="1" t="n">
        <v>45970</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38358-2025</t>
        </is>
      </c>
      <c r="B567" s="1" t="n">
        <v>45883.5327662037</v>
      </c>
      <c r="C567" s="1" t="n">
        <v>45970</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38361-2025</t>
        </is>
      </c>
      <c r="B568" s="1" t="n">
        <v>45883.53303240741</v>
      </c>
      <c r="C568" s="1" t="n">
        <v>45970</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38391-2025</t>
        </is>
      </c>
      <c r="B569" s="1" t="n">
        <v>45883.57501157407</v>
      </c>
      <c r="C569" s="1" t="n">
        <v>45970</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29572-2024</t>
        </is>
      </c>
      <c r="B570" s="1" t="n">
        <v>45484.55929398148</v>
      </c>
      <c r="C570" s="1" t="n">
        <v>45970</v>
      </c>
      <c r="D570" t="inlineStr">
        <is>
          <t>JÄMTLANDS LÄN</t>
        </is>
      </c>
      <c r="E570" t="inlineStr">
        <is>
          <t>BRÄCKE</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67613-2020</t>
        </is>
      </c>
      <c r="B571" s="1" t="n">
        <v>44181</v>
      </c>
      <c r="C571" s="1" t="n">
        <v>45970</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44403-2023</t>
        </is>
      </c>
      <c r="B572" s="1" t="n">
        <v>45188.94601851852</v>
      </c>
      <c r="C572" s="1" t="n">
        <v>45970</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1080-2025</t>
        </is>
      </c>
      <c r="B573" s="1" t="n">
        <v>45666.61513888889</v>
      </c>
      <c r="C573" s="1" t="n">
        <v>45970</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22978-2024</t>
        </is>
      </c>
      <c r="B574" s="1" t="n">
        <v>45449</v>
      </c>
      <c r="C574" s="1" t="n">
        <v>45970</v>
      </c>
      <c r="D574" t="inlineStr">
        <is>
          <t>JÄMTLANDS LÄN</t>
        </is>
      </c>
      <c r="E574" t="inlineStr">
        <is>
          <t>BRÄCKE</t>
        </is>
      </c>
      <c r="G574" t="n">
        <v>3.9</v>
      </c>
      <c r="H574" t="n">
        <v>0</v>
      </c>
      <c r="I574" t="n">
        <v>0</v>
      </c>
      <c r="J574" t="n">
        <v>0</v>
      </c>
      <c r="K574" t="n">
        <v>0</v>
      </c>
      <c r="L574" t="n">
        <v>0</v>
      </c>
      <c r="M574" t="n">
        <v>0</v>
      </c>
      <c r="N574" t="n">
        <v>0</v>
      </c>
      <c r="O574" t="n">
        <v>0</v>
      </c>
      <c r="P574" t="n">
        <v>0</v>
      </c>
      <c r="Q574" t="n">
        <v>0</v>
      </c>
      <c r="R574" s="2" t="inlineStr"/>
    </row>
    <row r="575" ht="15" customHeight="1">
      <c r="A575" t="inlineStr">
        <is>
          <t>A 16707-2024</t>
        </is>
      </c>
      <c r="B575" s="1" t="n">
        <v>45409.07706018518</v>
      </c>
      <c r="C575" s="1" t="n">
        <v>45970</v>
      </c>
      <c r="D575" t="inlineStr">
        <is>
          <t>JÄMTLANDS LÄN</t>
        </is>
      </c>
      <c r="E575" t="inlineStr">
        <is>
          <t>BRÄCKE</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45970</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61144-2020</t>
        </is>
      </c>
      <c r="B577" s="1" t="n">
        <v>44154</v>
      </c>
      <c r="C577" s="1" t="n">
        <v>45970</v>
      </c>
      <c r="D577" t="inlineStr">
        <is>
          <t>JÄMTLANDS LÄN</t>
        </is>
      </c>
      <c r="E577" t="inlineStr">
        <is>
          <t>BRÄCKE</t>
        </is>
      </c>
      <c r="G577" t="n">
        <v>12.8</v>
      </c>
      <c r="H577" t="n">
        <v>0</v>
      </c>
      <c r="I577" t="n">
        <v>0</v>
      </c>
      <c r="J577" t="n">
        <v>0</v>
      </c>
      <c r="K577" t="n">
        <v>0</v>
      </c>
      <c r="L577" t="n">
        <v>0</v>
      </c>
      <c r="M577" t="n">
        <v>0</v>
      </c>
      <c r="N577" t="n">
        <v>0</v>
      </c>
      <c r="O577" t="n">
        <v>0</v>
      </c>
      <c r="P577" t="n">
        <v>0</v>
      </c>
      <c r="Q577" t="n">
        <v>0</v>
      </c>
      <c r="R577" s="2" t="inlineStr"/>
    </row>
    <row r="578" ht="15" customHeight="1">
      <c r="A578" t="inlineStr">
        <is>
          <t>A 38324-2025</t>
        </is>
      </c>
      <c r="B578" s="1" t="n">
        <v>45883.49037037037</v>
      </c>
      <c r="C578" s="1" t="n">
        <v>45970</v>
      </c>
      <c r="D578" t="inlineStr">
        <is>
          <t>JÄMTLANDS LÄN</t>
        </is>
      </c>
      <c r="E578" t="inlineStr">
        <is>
          <t>BRÄCKE</t>
        </is>
      </c>
      <c r="F578" t="inlineStr">
        <is>
          <t>SCA</t>
        </is>
      </c>
      <c r="G578" t="n">
        <v>7</v>
      </c>
      <c r="H578" t="n">
        <v>0</v>
      </c>
      <c r="I578" t="n">
        <v>0</v>
      </c>
      <c r="J578" t="n">
        <v>0</v>
      </c>
      <c r="K578" t="n">
        <v>0</v>
      </c>
      <c r="L578" t="n">
        <v>0</v>
      </c>
      <c r="M578" t="n">
        <v>0</v>
      </c>
      <c r="N578" t="n">
        <v>0</v>
      </c>
      <c r="O578" t="n">
        <v>0</v>
      </c>
      <c r="P578" t="n">
        <v>0</v>
      </c>
      <c r="Q578" t="n">
        <v>0</v>
      </c>
      <c r="R578" s="2" t="inlineStr"/>
    </row>
    <row r="579" ht="15" customHeight="1">
      <c r="A579" t="inlineStr">
        <is>
          <t>A 38329-2025</t>
        </is>
      </c>
      <c r="B579" s="1" t="n">
        <v>45883.49111111111</v>
      </c>
      <c r="C579" s="1" t="n">
        <v>45970</v>
      </c>
      <c r="D579" t="inlineStr">
        <is>
          <t>JÄMTLANDS LÄN</t>
        </is>
      </c>
      <c r="E579" t="inlineStr">
        <is>
          <t>BRÄCKE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48440-2024</t>
        </is>
      </c>
      <c r="B580" s="1" t="n">
        <v>45590.67774305555</v>
      </c>
      <c r="C580" s="1" t="n">
        <v>45970</v>
      </c>
      <c r="D580" t="inlineStr">
        <is>
          <t>JÄMTLANDS LÄN</t>
        </is>
      </c>
      <c r="E580" t="inlineStr">
        <is>
          <t>BRÄCKE</t>
        </is>
      </c>
      <c r="G580" t="n">
        <v>3.5</v>
      </c>
      <c r="H580" t="n">
        <v>0</v>
      </c>
      <c r="I580" t="n">
        <v>0</v>
      </c>
      <c r="J580" t="n">
        <v>0</v>
      </c>
      <c r="K580" t="n">
        <v>0</v>
      </c>
      <c r="L580" t="n">
        <v>0</v>
      </c>
      <c r="M580" t="n">
        <v>0</v>
      </c>
      <c r="N580" t="n">
        <v>0</v>
      </c>
      <c r="O580" t="n">
        <v>0</v>
      </c>
      <c r="P580" t="n">
        <v>0</v>
      </c>
      <c r="Q580" t="n">
        <v>0</v>
      </c>
      <c r="R580" s="2" t="inlineStr"/>
    </row>
    <row r="581" ht="15" customHeight="1">
      <c r="A581" t="inlineStr">
        <is>
          <t>A 38352-2025</t>
        </is>
      </c>
      <c r="B581" s="1" t="n">
        <v>45883.53186342592</v>
      </c>
      <c r="C581" s="1" t="n">
        <v>45970</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38353-2025</t>
        </is>
      </c>
      <c r="B582" s="1" t="n">
        <v>45883.53201388889</v>
      </c>
      <c r="C582" s="1" t="n">
        <v>45970</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38378-2025</t>
        </is>
      </c>
      <c r="B583" s="1" t="n">
        <v>45883.57368055556</v>
      </c>
      <c r="C583" s="1" t="n">
        <v>45970</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38379-2025</t>
        </is>
      </c>
      <c r="B584" s="1" t="n">
        <v>45883.57377314815</v>
      </c>
      <c r="C584" s="1" t="n">
        <v>45970</v>
      </c>
      <c r="D584" t="inlineStr">
        <is>
          <t>JÄMTLANDS LÄN</t>
        </is>
      </c>
      <c r="E584" t="inlineStr">
        <is>
          <t>BRÄCKE</t>
        </is>
      </c>
      <c r="G584" t="n">
        <v>0.7</v>
      </c>
      <c r="H584" t="n">
        <v>0</v>
      </c>
      <c r="I584" t="n">
        <v>0</v>
      </c>
      <c r="J584" t="n">
        <v>0</v>
      </c>
      <c r="K584" t="n">
        <v>0</v>
      </c>
      <c r="L584" t="n">
        <v>0</v>
      </c>
      <c r="M584" t="n">
        <v>0</v>
      </c>
      <c r="N584" t="n">
        <v>0</v>
      </c>
      <c r="O584" t="n">
        <v>0</v>
      </c>
      <c r="P584" t="n">
        <v>0</v>
      </c>
      <c r="Q584" t="n">
        <v>0</v>
      </c>
      <c r="R584" s="2" t="inlineStr"/>
    </row>
    <row r="585" ht="15" customHeight="1">
      <c r="A585" t="inlineStr">
        <is>
          <t>A 56822-2022</t>
        </is>
      </c>
      <c r="B585" s="1" t="n">
        <v>44894.44673611111</v>
      </c>
      <c r="C585" s="1" t="n">
        <v>45970</v>
      </c>
      <c r="D585" t="inlineStr">
        <is>
          <t>JÄMTLANDS LÄN</t>
        </is>
      </c>
      <c r="E585" t="inlineStr">
        <is>
          <t>BRÄCKE</t>
        </is>
      </c>
      <c r="G585" t="n">
        <v>1.2</v>
      </c>
      <c r="H585" t="n">
        <v>0</v>
      </c>
      <c r="I585" t="n">
        <v>0</v>
      </c>
      <c r="J585" t="n">
        <v>0</v>
      </c>
      <c r="K585" t="n">
        <v>0</v>
      </c>
      <c r="L585" t="n">
        <v>0</v>
      </c>
      <c r="M585" t="n">
        <v>0</v>
      </c>
      <c r="N585" t="n">
        <v>0</v>
      </c>
      <c r="O585" t="n">
        <v>0</v>
      </c>
      <c r="P585" t="n">
        <v>0</v>
      </c>
      <c r="Q585" t="n">
        <v>0</v>
      </c>
      <c r="R585" s="2" t="inlineStr"/>
    </row>
    <row r="586" ht="15" customHeight="1">
      <c r="A586" t="inlineStr">
        <is>
          <t>A 38459-2025</t>
        </is>
      </c>
      <c r="B586" s="1" t="n">
        <v>45883.71927083333</v>
      </c>
      <c r="C586" s="1" t="n">
        <v>45970</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31342-2021</t>
        </is>
      </c>
      <c r="B587" s="1" t="n">
        <v>44368.93855324074</v>
      </c>
      <c r="C587" s="1" t="n">
        <v>45970</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20003-2024</t>
        </is>
      </c>
      <c r="B588" s="1" t="n">
        <v>45433.94275462963</v>
      </c>
      <c r="C588" s="1" t="n">
        <v>45970</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20009-2024</t>
        </is>
      </c>
      <c r="B589" s="1" t="n">
        <v>45433.94325231481</v>
      </c>
      <c r="C589" s="1" t="n">
        <v>45970</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30479-2022</t>
        </is>
      </c>
      <c r="B590" s="1" t="n">
        <v>44761.94013888889</v>
      </c>
      <c r="C590" s="1" t="n">
        <v>45970</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50260-2024</t>
        </is>
      </c>
      <c r="B591" s="1" t="n">
        <v>45600</v>
      </c>
      <c r="C591" s="1" t="n">
        <v>45970</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37957-2021</t>
        </is>
      </c>
      <c r="B592" s="1" t="n">
        <v>44403</v>
      </c>
      <c r="C592" s="1" t="n">
        <v>45970</v>
      </c>
      <c r="D592" t="inlineStr">
        <is>
          <t>JÄMTLANDS LÄN</t>
        </is>
      </c>
      <c r="E592" t="inlineStr">
        <is>
          <t>BRÄCKE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29941-2023</t>
        </is>
      </c>
      <c r="B593" s="1" t="n">
        <v>45107</v>
      </c>
      <c r="C593" s="1" t="n">
        <v>45970</v>
      </c>
      <c r="D593" t="inlineStr">
        <is>
          <t>JÄMTLANDS LÄN</t>
        </is>
      </c>
      <c r="E593" t="inlineStr">
        <is>
          <t>BRÄCKE</t>
        </is>
      </c>
      <c r="G593" t="n">
        <v>6.1</v>
      </c>
      <c r="H593" t="n">
        <v>0</v>
      </c>
      <c r="I593" t="n">
        <v>0</v>
      </c>
      <c r="J593" t="n">
        <v>0</v>
      </c>
      <c r="K593" t="n">
        <v>0</v>
      </c>
      <c r="L593" t="n">
        <v>0</v>
      </c>
      <c r="M593" t="n">
        <v>0</v>
      </c>
      <c r="N593" t="n">
        <v>0</v>
      </c>
      <c r="O593" t="n">
        <v>0</v>
      </c>
      <c r="P593" t="n">
        <v>0</v>
      </c>
      <c r="Q593" t="n">
        <v>0</v>
      </c>
      <c r="R593" s="2" t="inlineStr"/>
    </row>
    <row r="594" ht="15" customHeight="1">
      <c r="A594" t="inlineStr">
        <is>
          <t>A 31467-2023</t>
        </is>
      </c>
      <c r="B594" s="1" t="n">
        <v>45104</v>
      </c>
      <c r="C594" s="1" t="n">
        <v>45970</v>
      </c>
      <c r="D594" t="inlineStr">
        <is>
          <t>JÄMTLANDS LÄN</t>
        </is>
      </c>
      <c r="E594" t="inlineStr">
        <is>
          <t>BRÄCKE</t>
        </is>
      </c>
      <c r="G594" t="n">
        <v>5.2</v>
      </c>
      <c r="H594" t="n">
        <v>0</v>
      </c>
      <c r="I594" t="n">
        <v>0</v>
      </c>
      <c r="J594" t="n">
        <v>0</v>
      </c>
      <c r="K594" t="n">
        <v>0</v>
      </c>
      <c r="L594" t="n">
        <v>0</v>
      </c>
      <c r="M594" t="n">
        <v>0</v>
      </c>
      <c r="N594" t="n">
        <v>0</v>
      </c>
      <c r="O594" t="n">
        <v>0</v>
      </c>
      <c r="P594" t="n">
        <v>0</v>
      </c>
      <c r="Q594" t="n">
        <v>0</v>
      </c>
      <c r="R594" s="2" t="inlineStr"/>
    </row>
    <row r="595" ht="15" customHeight="1">
      <c r="A595" t="inlineStr">
        <is>
          <t>A 31471-2023</t>
        </is>
      </c>
      <c r="B595" s="1" t="n">
        <v>45104</v>
      </c>
      <c r="C595" s="1" t="n">
        <v>45970</v>
      </c>
      <c r="D595" t="inlineStr">
        <is>
          <t>JÄMTLANDS LÄN</t>
        </is>
      </c>
      <c r="E595" t="inlineStr">
        <is>
          <t>BRÄCKE</t>
        </is>
      </c>
      <c r="G595" t="n">
        <v>0.3</v>
      </c>
      <c r="H595" t="n">
        <v>0</v>
      </c>
      <c r="I595" t="n">
        <v>0</v>
      </c>
      <c r="J595" t="n">
        <v>0</v>
      </c>
      <c r="K595" t="n">
        <v>0</v>
      </c>
      <c r="L595" t="n">
        <v>0</v>
      </c>
      <c r="M595" t="n">
        <v>0</v>
      </c>
      <c r="N595" t="n">
        <v>0</v>
      </c>
      <c r="O595" t="n">
        <v>0</v>
      </c>
      <c r="P595" t="n">
        <v>0</v>
      </c>
      <c r="Q595" t="n">
        <v>0</v>
      </c>
      <c r="R595" s="2" t="inlineStr"/>
    </row>
    <row r="596" ht="15" customHeight="1">
      <c r="A596" t="inlineStr">
        <is>
          <t>A 10769-2025</t>
        </is>
      </c>
      <c r="B596" s="1" t="n">
        <v>45722.4690625</v>
      </c>
      <c r="C596" s="1" t="n">
        <v>45970</v>
      </c>
      <c r="D596" t="inlineStr">
        <is>
          <t>JÄMTLANDS LÄN</t>
        </is>
      </c>
      <c r="E596" t="inlineStr">
        <is>
          <t>BRÄCKE</t>
        </is>
      </c>
      <c r="F596" t="inlineStr">
        <is>
          <t>SCA</t>
        </is>
      </c>
      <c r="G596" t="n">
        <v>18.7</v>
      </c>
      <c r="H596" t="n">
        <v>0</v>
      </c>
      <c r="I596" t="n">
        <v>0</v>
      </c>
      <c r="J596" t="n">
        <v>0</v>
      </c>
      <c r="K596" t="n">
        <v>0</v>
      </c>
      <c r="L596" t="n">
        <v>0</v>
      </c>
      <c r="M596" t="n">
        <v>0</v>
      </c>
      <c r="N596" t="n">
        <v>0</v>
      </c>
      <c r="O596" t="n">
        <v>0</v>
      </c>
      <c r="P596" t="n">
        <v>0</v>
      </c>
      <c r="Q596" t="n">
        <v>0</v>
      </c>
      <c r="R596" s="2" t="inlineStr"/>
    </row>
    <row r="597" ht="15" customHeight="1">
      <c r="A597" t="inlineStr">
        <is>
          <t>A 45381-2024</t>
        </is>
      </c>
      <c r="B597" s="1" t="n">
        <v>45576.53155092592</v>
      </c>
      <c r="C597" s="1" t="n">
        <v>45970</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17209-2023</t>
        </is>
      </c>
      <c r="B598" s="1" t="n">
        <v>45034</v>
      </c>
      <c r="C598" s="1" t="n">
        <v>45970</v>
      </c>
      <c r="D598" t="inlineStr">
        <is>
          <t>JÄMTLANDS LÄN</t>
        </is>
      </c>
      <c r="E598" t="inlineStr">
        <is>
          <t>BRÄCKE</t>
        </is>
      </c>
      <c r="G598" t="n">
        <v>11.1</v>
      </c>
      <c r="H598" t="n">
        <v>0</v>
      </c>
      <c r="I598" t="n">
        <v>0</v>
      </c>
      <c r="J598" t="n">
        <v>0</v>
      </c>
      <c r="K598" t="n">
        <v>0</v>
      </c>
      <c r="L598" t="n">
        <v>0</v>
      </c>
      <c r="M598" t="n">
        <v>0</v>
      </c>
      <c r="N598" t="n">
        <v>0</v>
      </c>
      <c r="O598" t="n">
        <v>0</v>
      </c>
      <c r="P598" t="n">
        <v>0</v>
      </c>
      <c r="Q598" t="n">
        <v>0</v>
      </c>
      <c r="R598" s="2" t="inlineStr"/>
    </row>
    <row r="599" ht="15" customHeight="1">
      <c r="A599" t="inlineStr">
        <is>
          <t>A 4381-2023</t>
        </is>
      </c>
      <c r="B599" s="1" t="n">
        <v>44955</v>
      </c>
      <c r="C599" s="1" t="n">
        <v>45970</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35903-2024</t>
        </is>
      </c>
      <c r="B600" s="1" t="n">
        <v>45533.40648148148</v>
      </c>
      <c r="C600" s="1" t="n">
        <v>45970</v>
      </c>
      <c r="D600" t="inlineStr">
        <is>
          <t>JÄMTLANDS LÄN</t>
        </is>
      </c>
      <c r="E600" t="inlineStr">
        <is>
          <t>BRÄCKE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37824-2025</t>
        </is>
      </c>
      <c r="B601" s="1" t="n">
        <v>45881.40686342592</v>
      </c>
      <c r="C601" s="1" t="n">
        <v>45970</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38241-2025</t>
        </is>
      </c>
      <c r="B602" s="1" t="n">
        <v>45883.36541666667</v>
      </c>
      <c r="C602" s="1" t="n">
        <v>45970</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38245-2025</t>
        </is>
      </c>
      <c r="B603" s="1" t="n">
        <v>45883.36563657408</v>
      </c>
      <c r="C603" s="1" t="n">
        <v>45970</v>
      </c>
      <c r="D603" t="inlineStr">
        <is>
          <t>JÄMTLANDS LÄN</t>
        </is>
      </c>
      <c r="E603" t="inlineStr">
        <is>
          <t>BRÄCKE</t>
        </is>
      </c>
      <c r="G603" t="n">
        <v>4.8</v>
      </c>
      <c r="H603" t="n">
        <v>0</v>
      </c>
      <c r="I603" t="n">
        <v>0</v>
      </c>
      <c r="J603" t="n">
        <v>0</v>
      </c>
      <c r="K603" t="n">
        <v>0</v>
      </c>
      <c r="L603" t="n">
        <v>0</v>
      </c>
      <c r="M603" t="n">
        <v>0</v>
      </c>
      <c r="N603" t="n">
        <v>0</v>
      </c>
      <c r="O603" t="n">
        <v>0</v>
      </c>
      <c r="P603" t="n">
        <v>0</v>
      </c>
      <c r="Q603" t="n">
        <v>0</v>
      </c>
      <c r="R603" s="2" t="inlineStr"/>
    </row>
    <row r="604" ht="15" customHeight="1">
      <c r="A604" t="inlineStr">
        <is>
          <t>A 47439-2025</t>
        </is>
      </c>
      <c r="B604" s="1" t="n">
        <v>45930.63744212963</v>
      </c>
      <c r="C604" s="1" t="n">
        <v>45970</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2035-2022</t>
        </is>
      </c>
      <c r="B605" s="1" t="n">
        <v>44575.6277662037</v>
      </c>
      <c r="C605" s="1" t="n">
        <v>45970</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30102-2021</t>
        </is>
      </c>
      <c r="B606" s="1" t="n">
        <v>44363</v>
      </c>
      <c r="C606" s="1" t="n">
        <v>45970</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21117-2023</t>
        </is>
      </c>
      <c r="B607" s="1" t="n">
        <v>45061</v>
      </c>
      <c r="C607" s="1" t="n">
        <v>45970</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6788-2025</t>
        </is>
      </c>
      <c r="B608" s="1" t="n">
        <v>45700.65692129629</v>
      </c>
      <c r="C608" s="1" t="n">
        <v>45970</v>
      </c>
      <c r="D608" t="inlineStr">
        <is>
          <t>JÄMTLANDS LÄN</t>
        </is>
      </c>
      <c r="E608" t="inlineStr">
        <is>
          <t>BRÄCKE</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47320-2025</t>
        </is>
      </c>
      <c r="B609" s="1" t="n">
        <v>45930.55255787037</v>
      </c>
      <c r="C609" s="1" t="n">
        <v>45970</v>
      </c>
      <c r="D609" t="inlineStr">
        <is>
          <t>JÄMTLANDS LÄN</t>
        </is>
      </c>
      <c r="E609" t="inlineStr">
        <is>
          <t>BRÄCKE</t>
        </is>
      </c>
      <c r="G609" t="n">
        <v>1.9</v>
      </c>
      <c r="H609" t="n">
        <v>0</v>
      </c>
      <c r="I609" t="n">
        <v>0</v>
      </c>
      <c r="J609" t="n">
        <v>0</v>
      </c>
      <c r="K609" t="n">
        <v>0</v>
      </c>
      <c r="L609" t="n">
        <v>0</v>
      </c>
      <c r="M609" t="n">
        <v>0</v>
      </c>
      <c r="N609" t="n">
        <v>0</v>
      </c>
      <c r="O609" t="n">
        <v>0</v>
      </c>
      <c r="P609" t="n">
        <v>0</v>
      </c>
      <c r="Q609" t="n">
        <v>0</v>
      </c>
      <c r="R609" s="2" t="inlineStr"/>
    </row>
    <row r="610" ht="15" customHeight="1">
      <c r="A610" t="inlineStr">
        <is>
          <t>A 1914-2025</t>
        </is>
      </c>
      <c r="B610" s="1" t="n">
        <v>45671.65984953703</v>
      </c>
      <c r="C610" s="1" t="n">
        <v>45970</v>
      </c>
      <c r="D610" t="inlineStr">
        <is>
          <t>JÄMTLANDS LÄN</t>
        </is>
      </c>
      <c r="E610" t="inlineStr">
        <is>
          <t>BRÄCKE</t>
        </is>
      </c>
      <c r="G610" t="n">
        <v>2.9</v>
      </c>
      <c r="H610" t="n">
        <v>0</v>
      </c>
      <c r="I610" t="n">
        <v>0</v>
      </c>
      <c r="J610" t="n">
        <v>0</v>
      </c>
      <c r="K610" t="n">
        <v>0</v>
      </c>
      <c r="L610" t="n">
        <v>0</v>
      </c>
      <c r="M610" t="n">
        <v>0</v>
      </c>
      <c r="N610" t="n">
        <v>0</v>
      </c>
      <c r="O610" t="n">
        <v>0</v>
      </c>
      <c r="P610" t="n">
        <v>0</v>
      </c>
      <c r="Q610" t="n">
        <v>0</v>
      </c>
      <c r="R610" s="2" t="inlineStr"/>
    </row>
    <row r="611" ht="15" customHeight="1">
      <c r="A611" t="inlineStr">
        <is>
          <t>A 39087-2025</t>
        </is>
      </c>
      <c r="B611" s="1" t="n">
        <v>45888.49076388889</v>
      </c>
      <c r="C611" s="1" t="n">
        <v>45970</v>
      </c>
      <c r="D611" t="inlineStr">
        <is>
          <t>JÄMTLANDS LÄN</t>
        </is>
      </c>
      <c r="E611" t="inlineStr">
        <is>
          <t>BRÄCKE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45970</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47474-2025</t>
        </is>
      </c>
      <c r="B613" s="1" t="n">
        <v>45930.67776620371</v>
      </c>
      <c r="C613" s="1" t="n">
        <v>45970</v>
      </c>
      <c r="D613" t="inlineStr">
        <is>
          <t>JÄMTLANDS LÄN</t>
        </is>
      </c>
      <c r="E613" t="inlineStr">
        <is>
          <t>BRÄCKE</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38847-2025</t>
        </is>
      </c>
      <c r="B614" s="1" t="n">
        <v>45887.54438657407</v>
      </c>
      <c r="C614" s="1" t="n">
        <v>45970</v>
      </c>
      <c r="D614" t="inlineStr">
        <is>
          <t>JÄMTLANDS LÄN</t>
        </is>
      </c>
      <c r="E614" t="inlineStr">
        <is>
          <t>BRÄCKE</t>
        </is>
      </c>
      <c r="G614" t="n">
        <v>4</v>
      </c>
      <c r="H614" t="n">
        <v>0</v>
      </c>
      <c r="I614" t="n">
        <v>0</v>
      </c>
      <c r="J614" t="n">
        <v>0</v>
      </c>
      <c r="K614" t="n">
        <v>0</v>
      </c>
      <c r="L614" t="n">
        <v>0</v>
      </c>
      <c r="M614" t="n">
        <v>0</v>
      </c>
      <c r="N614" t="n">
        <v>0</v>
      </c>
      <c r="O614" t="n">
        <v>0</v>
      </c>
      <c r="P614" t="n">
        <v>0</v>
      </c>
      <c r="Q614" t="n">
        <v>0</v>
      </c>
      <c r="R614" s="2" t="inlineStr"/>
    </row>
    <row r="615" ht="15" customHeight="1">
      <c r="A615" t="inlineStr">
        <is>
          <t>A 47319-2025</t>
        </is>
      </c>
      <c r="B615" s="1" t="n">
        <v>45930.55253472222</v>
      </c>
      <c r="C615" s="1" t="n">
        <v>45970</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46875-2025</t>
        </is>
      </c>
      <c r="B616" s="1" t="n">
        <v>45929.34453703704</v>
      </c>
      <c r="C616" s="1" t="n">
        <v>45970</v>
      </c>
      <c r="D616" t="inlineStr">
        <is>
          <t>JÄMTLANDS LÄN</t>
        </is>
      </c>
      <c r="E616" t="inlineStr">
        <is>
          <t>BRÄCKE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54863-2024</t>
        </is>
      </c>
      <c r="B617" s="1" t="n">
        <v>45618.59431712963</v>
      </c>
      <c r="C617" s="1" t="n">
        <v>45970</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54865-2024</t>
        </is>
      </c>
      <c r="B618" s="1" t="n">
        <v>45618.59471064815</v>
      </c>
      <c r="C618" s="1" t="n">
        <v>45970</v>
      </c>
      <c r="D618" t="inlineStr">
        <is>
          <t>JÄMTLANDS LÄN</t>
        </is>
      </c>
      <c r="E618" t="inlineStr">
        <is>
          <t>BRÄCKE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47117-2025</t>
        </is>
      </c>
      <c r="B619" s="1" t="n">
        <v>45929.67751157407</v>
      </c>
      <c r="C619" s="1" t="n">
        <v>45970</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47070-2025</t>
        </is>
      </c>
      <c r="B620" s="1" t="n">
        <v>45929.63621527778</v>
      </c>
      <c r="C620" s="1" t="n">
        <v>45970</v>
      </c>
      <c r="D620" t="inlineStr">
        <is>
          <t>JÄMTLANDS LÄN</t>
        </is>
      </c>
      <c r="E620" t="inlineStr">
        <is>
          <t>BRÄCKE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29189-2024</t>
        </is>
      </c>
      <c r="B621" s="1" t="n">
        <v>45482.55164351852</v>
      </c>
      <c r="C621" s="1" t="n">
        <v>45970</v>
      </c>
      <c r="D621" t="inlineStr">
        <is>
          <t>JÄMTLANDS LÄN</t>
        </is>
      </c>
      <c r="E621" t="inlineStr">
        <is>
          <t>BRÄCKE</t>
        </is>
      </c>
      <c r="F621" t="inlineStr">
        <is>
          <t>Övriga Aktiebolag</t>
        </is>
      </c>
      <c r="G621" t="n">
        <v>6.6</v>
      </c>
      <c r="H621" t="n">
        <v>0</v>
      </c>
      <c r="I621" t="n">
        <v>0</v>
      </c>
      <c r="J621" t="n">
        <v>0</v>
      </c>
      <c r="K621" t="n">
        <v>0</v>
      </c>
      <c r="L621" t="n">
        <v>0</v>
      </c>
      <c r="M621" t="n">
        <v>0</v>
      </c>
      <c r="N621" t="n">
        <v>0</v>
      </c>
      <c r="O621" t="n">
        <v>0</v>
      </c>
      <c r="P621" t="n">
        <v>0</v>
      </c>
      <c r="Q621" t="n">
        <v>0</v>
      </c>
      <c r="R621" s="2" t="inlineStr"/>
    </row>
    <row r="622" ht="15" customHeight="1">
      <c r="A622" t="inlineStr">
        <is>
          <t>A 32471-2021</t>
        </is>
      </c>
      <c r="B622" s="1" t="n">
        <v>44371</v>
      </c>
      <c r="C622" s="1" t="n">
        <v>45970</v>
      </c>
      <c r="D622" t="inlineStr">
        <is>
          <t>JÄMTLANDS LÄN</t>
        </is>
      </c>
      <c r="E622" t="inlineStr">
        <is>
          <t>BRÄCKE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47120-2025</t>
        </is>
      </c>
      <c r="B623" s="1" t="n">
        <v>45929.67829861111</v>
      </c>
      <c r="C623" s="1" t="n">
        <v>45970</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38811-2025</t>
        </is>
      </c>
      <c r="B624" s="1" t="n">
        <v>45887.48994212963</v>
      </c>
      <c r="C624" s="1" t="n">
        <v>45970</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38812-2025</t>
        </is>
      </c>
      <c r="B625" s="1" t="n">
        <v>45887.49016203704</v>
      </c>
      <c r="C625" s="1" t="n">
        <v>45970</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38835-2025</t>
        </is>
      </c>
      <c r="B626" s="1" t="n">
        <v>45887.53195601852</v>
      </c>
      <c r="C626" s="1" t="n">
        <v>45970</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61973-2024</t>
        </is>
      </c>
      <c r="B627" s="1" t="n">
        <v>45653.61484953704</v>
      </c>
      <c r="C627" s="1" t="n">
        <v>45970</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57412-2023</t>
        </is>
      </c>
      <c r="B628" s="1" t="n">
        <v>45245</v>
      </c>
      <c r="C628" s="1" t="n">
        <v>45970</v>
      </c>
      <c r="D628" t="inlineStr">
        <is>
          <t>JÄMTLANDS LÄN</t>
        </is>
      </c>
      <c r="E628" t="inlineStr">
        <is>
          <t>BRÄCKE</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57419-2023</t>
        </is>
      </c>
      <c r="B629" s="1" t="n">
        <v>45245.96983796296</v>
      </c>
      <c r="C629" s="1" t="n">
        <v>45970</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18640-2024</t>
        </is>
      </c>
      <c r="B630" s="1" t="n">
        <v>45425.96644675926</v>
      </c>
      <c r="C630" s="1" t="n">
        <v>45970</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21086-2024</t>
        </is>
      </c>
      <c r="B631" s="1" t="n">
        <v>45439.92791666667</v>
      </c>
      <c r="C631" s="1" t="n">
        <v>45970</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18626-2024</t>
        </is>
      </c>
      <c r="B632" s="1" t="n">
        <v>45425.96429398148</v>
      </c>
      <c r="C632" s="1" t="n">
        <v>45970</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13668-2024</t>
        </is>
      </c>
      <c r="B633" s="1" t="n">
        <v>45387</v>
      </c>
      <c r="C633" s="1" t="n">
        <v>45970</v>
      </c>
      <c r="D633" t="inlineStr">
        <is>
          <t>JÄMTLANDS LÄN</t>
        </is>
      </c>
      <c r="E633" t="inlineStr">
        <is>
          <t>BRÄCKE</t>
        </is>
      </c>
      <c r="G633" t="n">
        <v>8.1</v>
      </c>
      <c r="H633" t="n">
        <v>0</v>
      </c>
      <c r="I633" t="n">
        <v>0</v>
      </c>
      <c r="J633" t="n">
        <v>0</v>
      </c>
      <c r="K633" t="n">
        <v>0</v>
      </c>
      <c r="L633" t="n">
        <v>0</v>
      </c>
      <c r="M633" t="n">
        <v>0</v>
      </c>
      <c r="N633" t="n">
        <v>0</v>
      </c>
      <c r="O633" t="n">
        <v>0</v>
      </c>
      <c r="P633" t="n">
        <v>0</v>
      </c>
      <c r="Q633" t="n">
        <v>0</v>
      </c>
      <c r="R633" s="2" t="inlineStr"/>
    </row>
    <row r="634" ht="15" customHeight="1">
      <c r="A634" t="inlineStr">
        <is>
          <t>A 8739-2025</t>
        </is>
      </c>
      <c r="B634" s="1" t="n">
        <v>45712.55239583334</v>
      </c>
      <c r="C634" s="1" t="n">
        <v>45970</v>
      </c>
      <c r="D634" t="inlineStr">
        <is>
          <t>JÄMTLANDS LÄN</t>
        </is>
      </c>
      <c r="E634" t="inlineStr">
        <is>
          <t>BRÄCKE</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31521-2022</t>
        </is>
      </c>
      <c r="B635" s="1" t="n">
        <v>44774.949375</v>
      </c>
      <c r="C635" s="1" t="n">
        <v>45970</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39052-2025</t>
        </is>
      </c>
      <c r="B636" s="1" t="n">
        <v>45888.44829861111</v>
      </c>
      <c r="C636" s="1" t="n">
        <v>45970</v>
      </c>
      <c r="D636" t="inlineStr">
        <is>
          <t>JÄMTLANDS LÄN</t>
        </is>
      </c>
      <c r="E636" t="inlineStr">
        <is>
          <t>BRÄCKE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35244-2021</t>
        </is>
      </c>
      <c r="B637" s="1" t="n">
        <v>44384.58844907407</v>
      </c>
      <c r="C637" s="1" t="n">
        <v>45970</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41401-2023</t>
        </is>
      </c>
      <c r="B638" s="1" t="n">
        <v>45174</v>
      </c>
      <c r="C638" s="1" t="n">
        <v>45970</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22001-2024</t>
        </is>
      </c>
      <c r="B639" s="1" t="n">
        <v>45443.56649305556</v>
      </c>
      <c r="C639" s="1" t="n">
        <v>45970</v>
      </c>
      <c r="D639" t="inlineStr">
        <is>
          <t>JÄMTLANDS LÄN</t>
        </is>
      </c>
      <c r="E639" t="inlineStr">
        <is>
          <t>BRÄCKE</t>
        </is>
      </c>
      <c r="F639" t="inlineStr">
        <is>
          <t>Övriga Aktiebolag</t>
        </is>
      </c>
      <c r="G639" t="n">
        <v>9</v>
      </c>
      <c r="H639" t="n">
        <v>0</v>
      </c>
      <c r="I639" t="n">
        <v>0</v>
      </c>
      <c r="J639" t="n">
        <v>0</v>
      </c>
      <c r="K639" t="n">
        <v>0</v>
      </c>
      <c r="L639" t="n">
        <v>0</v>
      </c>
      <c r="M639" t="n">
        <v>0</v>
      </c>
      <c r="N639" t="n">
        <v>0</v>
      </c>
      <c r="O639" t="n">
        <v>0</v>
      </c>
      <c r="P639" t="n">
        <v>0</v>
      </c>
      <c r="Q639" t="n">
        <v>0</v>
      </c>
      <c r="R639" s="2" t="inlineStr"/>
    </row>
    <row r="640" ht="15" customHeight="1">
      <c r="A640" t="inlineStr">
        <is>
          <t>A 22116-2024</t>
        </is>
      </c>
      <c r="B640" s="1" t="n">
        <v>45443.95230324074</v>
      </c>
      <c r="C640" s="1" t="n">
        <v>45970</v>
      </c>
      <c r="D640" t="inlineStr">
        <is>
          <t>JÄMTLANDS LÄN</t>
        </is>
      </c>
      <c r="E640" t="inlineStr">
        <is>
          <t>BRÄCKE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14601-2025</t>
        </is>
      </c>
      <c r="B641" s="1" t="n">
        <v>45742.36497685185</v>
      </c>
      <c r="C641" s="1" t="n">
        <v>45970</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22121-2024</t>
        </is>
      </c>
      <c r="B642" s="1" t="n">
        <v>45443.95271990741</v>
      </c>
      <c r="C642" s="1" t="n">
        <v>45970</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25718-2024</t>
        </is>
      </c>
      <c r="B643" s="1" t="n">
        <v>45463.94467592592</v>
      </c>
      <c r="C643" s="1" t="n">
        <v>45970</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54274-2022</t>
        </is>
      </c>
      <c r="B644" s="1" t="n">
        <v>44879</v>
      </c>
      <c r="C644" s="1" t="n">
        <v>45970</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59008-2024</t>
        </is>
      </c>
      <c r="B645" s="1" t="n">
        <v>45636.65724537037</v>
      </c>
      <c r="C645" s="1" t="n">
        <v>45970</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11371-2025</t>
        </is>
      </c>
      <c r="B646" s="1" t="n">
        <v>45726.55258101852</v>
      </c>
      <c r="C646" s="1" t="n">
        <v>45970</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23534-2024</t>
        </is>
      </c>
      <c r="B647" s="1" t="n">
        <v>45453.95170138889</v>
      </c>
      <c r="C647" s="1" t="n">
        <v>45970</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26025-2024</t>
        </is>
      </c>
      <c r="B648" s="1" t="n">
        <v>45467.96188657408</v>
      </c>
      <c r="C648" s="1" t="n">
        <v>45970</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16634-2025</t>
        </is>
      </c>
      <c r="B649" s="1" t="n">
        <v>45754.3653125</v>
      </c>
      <c r="C649" s="1" t="n">
        <v>45970</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13525-2022</t>
        </is>
      </c>
      <c r="B650" s="1" t="n">
        <v>44648</v>
      </c>
      <c r="C650" s="1" t="n">
        <v>45970</v>
      </c>
      <c r="D650" t="inlineStr">
        <is>
          <t>JÄMTLANDS LÄN</t>
        </is>
      </c>
      <c r="E650" t="inlineStr">
        <is>
          <t>BRÄCKE</t>
        </is>
      </c>
      <c r="G650" t="n">
        <v>0.5</v>
      </c>
      <c r="H650" t="n">
        <v>0</v>
      </c>
      <c r="I650" t="n">
        <v>0</v>
      </c>
      <c r="J650" t="n">
        <v>0</v>
      </c>
      <c r="K650" t="n">
        <v>0</v>
      </c>
      <c r="L650" t="n">
        <v>0</v>
      </c>
      <c r="M650" t="n">
        <v>0</v>
      </c>
      <c r="N650" t="n">
        <v>0</v>
      </c>
      <c r="O650" t="n">
        <v>0</v>
      </c>
      <c r="P650" t="n">
        <v>0</v>
      </c>
      <c r="Q650" t="n">
        <v>0</v>
      </c>
      <c r="R650" s="2" t="inlineStr"/>
    </row>
    <row r="651" ht="15" customHeight="1">
      <c r="A651" t="inlineStr">
        <is>
          <t>A 4914-2025</t>
        </is>
      </c>
      <c r="B651" s="1" t="n">
        <v>45688.68173611111</v>
      </c>
      <c r="C651" s="1" t="n">
        <v>45970</v>
      </c>
      <c r="D651" t="inlineStr">
        <is>
          <t>JÄMTLANDS LÄN</t>
        </is>
      </c>
      <c r="E651" t="inlineStr">
        <is>
          <t>BRÄCKE</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60654-2024</t>
        </is>
      </c>
      <c r="B652" s="1" t="n">
        <v>45644</v>
      </c>
      <c r="C652" s="1" t="n">
        <v>45970</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1863-2022</t>
        </is>
      </c>
      <c r="B653" s="1" t="n">
        <v>44574</v>
      </c>
      <c r="C653" s="1" t="n">
        <v>45970</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1865-2022</t>
        </is>
      </c>
      <c r="B654" s="1" t="n">
        <v>44574</v>
      </c>
      <c r="C654" s="1" t="n">
        <v>45970</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60417-2022</t>
        </is>
      </c>
      <c r="B655" s="1" t="n">
        <v>44910.97158564815</v>
      </c>
      <c r="C655" s="1" t="n">
        <v>45970</v>
      </c>
      <c r="D655" t="inlineStr">
        <is>
          <t>JÄMTLANDS LÄN</t>
        </is>
      </c>
      <c r="E655" t="inlineStr">
        <is>
          <t>BRÄCKE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24010-2024</t>
        </is>
      </c>
      <c r="B656" s="1" t="n">
        <v>45456.40370370371</v>
      </c>
      <c r="C656" s="1" t="n">
        <v>45970</v>
      </c>
      <c r="D656" t="inlineStr">
        <is>
          <t>JÄMTLANDS LÄN</t>
        </is>
      </c>
      <c r="E656" t="inlineStr">
        <is>
          <t>BRÄCKE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3528-2024</t>
        </is>
      </c>
      <c r="B657" s="1" t="n">
        <v>45320</v>
      </c>
      <c r="C657" s="1" t="n">
        <v>45970</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44445-2022</t>
        </is>
      </c>
      <c r="B658" s="1" t="n">
        <v>44839.95482638889</v>
      </c>
      <c r="C658" s="1" t="n">
        <v>45970</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59774-2024</t>
        </is>
      </c>
      <c r="B659" s="1" t="n">
        <v>45639.56954861111</v>
      </c>
      <c r="C659" s="1" t="n">
        <v>45970</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34873-2021</t>
        </is>
      </c>
      <c r="B660" s="1" t="n">
        <v>44382</v>
      </c>
      <c r="C660" s="1" t="n">
        <v>45970</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17606-2025</t>
        </is>
      </c>
      <c r="B661" s="1" t="n">
        <v>45757.73796296296</v>
      </c>
      <c r="C661" s="1" t="n">
        <v>45970</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25056-2023</t>
        </is>
      </c>
      <c r="B662" s="1" t="n">
        <v>45085.94633101852</v>
      </c>
      <c r="C662" s="1" t="n">
        <v>45970</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37238-2021</t>
        </is>
      </c>
      <c r="B663" s="1" t="n">
        <v>44396.93490740741</v>
      </c>
      <c r="C663" s="1" t="n">
        <v>45970</v>
      </c>
      <c r="D663" t="inlineStr">
        <is>
          <t>JÄMTLANDS LÄN</t>
        </is>
      </c>
      <c r="E663" t="inlineStr">
        <is>
          <t>BRÄCKE</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37375-2021</t>
        </is>
      </c>
      <c r="B664" s="1" t="n">
        <v>44397</v>
      </c>
      <c r="C664" s="1" t="n">
        <v>45970</v>
      </c>
      <c r="D664" t="inlineStr">
        <is>
          <t>JÄMTLANDS LÄN</t>
        </is>
      </c>
      <c r="E664" t="inlineStr">
        <is>
          <t>BRÄCKE</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41175-2023</t>
        </is>
      </c>
      <c r="B665" s="1" t="n">
        <v>45170</v>
      </c>
      <c r="C665" s="1" t="n">
        <v>45970</v>
      </c>
      <c r="D665" t="inlineStr">
        <is>
          <t>JÄMTLANDS LÄN</t>
        </is>
      </c>
      <c r="E665" t="inlineStr">
        <is>
          <t>BRÄCKE</t>
        </is>
      </c>
      <c r="G665" t="n">
        <v>1.6</v>
      </c>
      <c r="H665" t="n">
        <v>0</v>
      </c>
      <c r="I665" t="n">
        <v>0</v>
      </c>
      <c r="J665" t="n">
        <v>0</v>
      </c>
      <c r="K665" t="n">
        <v>0</v>
      </c>
      <c r="L665" t="n">
        <v>0</v>
      </c>
      <c r="M665" t="n">
        <v>0</v>
      </c>
      <c r="N665" t="n">
        <v>0</v>
      </c>
      <c r="O665" t="n">
        <v>0</v>
      </c>
      <c r="P665" t="n">
        <v>0</v>
      </c>
      <c r="Q665" t="n">
        <v>0</v>
      </c>
      <c r="R665" s="2" t="inlineStr"/>
    </row>
    <row r="666" ht="15" customHeight="1">
      <c r="A666" t="inlineStr">
        <is>
          <t>A 23491-2025</t>
        </is>
      </c>
      <c r="B666" s="1" t="n">
        <v>45792.46924768519</v>
      </c>
      <c r="C666" s="1" t="n">
        <v>45970</v>
      </c>
      <c r="D666" t="inlineStr">
        <is>
          <t>JÄMTLANDS LÄN</t>
        </is>
      </c>
      <c r="E666" t="inlineStr">
        <is>
          <t>BRÄCKE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47550-2024</t>
        </is>
      </c>
      <c r="B667" s="1" t="n">
        <v>45587.66041666667</v>
      </c>
      <c r="C667" s="1" t="n">
        <v>45970</v>
      </c>
      <c r="D667" t="inlineStr">
        <is>
          <t>JÄMTLANDS LÄN</t>
        </is>
      </c>
      <c r="E667" t="inlineStr">
        <is>
          <t>BRÄCKE</t>
        </is>
      </c>
      <c r="G667" t="n">
        <v>5.3</v>
      </c>
      <c r="H667" t="n">
        <v>0</v>
      </c>
      <c r="I667" t="n">
        <v>0</v>
      </c>
      <c r="J667" t="n">
        <v>0</v>
      </c>
      <c r="K667" t="n">
        <v>0</v>
      </c>
      <c r="L667" t="n">
        <v>0</v>
      </c>
      <c r="M667" t="n">
        <v>0</v>
      </c>
      <c r="N667" t="n">
        <v>0</v>
      </c>
      <c r="O667" t="n">
        <v>0</v>
      </c>
      <c r="P667" t="n">
        <v>0</v>
      </c>
      <c r="Q667" t="n">
        <v>0</v>
      </c>
      <c r="R667" s="2" t="inlineStr"/>
    </row>
    <row r="668" ht="15" customHeight="1">
      <c r="A668" t="inlineStr">
        <is>
          <t>A 15779-2025</t>
        </is>
      </c>
      <c r="B668" s="1" t="n">
        <v>45748.60634259259</v>
      </c>
      <c r="C668" s="1" t="n">
        <v>45970</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37048-2021</t>
        </is>
      </c>
      <c r="B669" s="1" t="n">
        <v>44393.93534722222</v>
      </c>
      <c r="C669" s="1" t="n">
        <v>45970</v>
      </c>
      <c r="D669" t="inlineStr">
        <is>
          <t>JÄMTLANDS LÄN</t>
        </is>
      </c>
      <c r="E669" t="inlineStr">
        <is>
          <t>BRÄCKE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26029-2024</t>
        </is>
      </c>
      <c r="B670" s="1" t="n">
        <v>45467.96262731482</v>
      </c>
      <c r="C670" s="1" t="n">
        <v>45970</v>
      </c>
      <c r="D670" t="inlineStr">
        <is>
          <t>JÄMTLANDS LÄN</t>
        </is>
      </c>
      <c r="E670" t="inlineStr">
        <is>
          <t>BRÄCKE</t>
        </is>
      </c>
      <c r="F670" t="inlineStr">
        <is>
          <t>SCA</t>
        </is>
      </c>
      <c r="G670" t="n">
        <v>40.9</v>
      </c>
      <c r="H670" t="n">
        <v>0</v>
      </c>
      <c r="I670" t="n">
        <v>0</v>
      </c>
      <c r="J670" t="n">
        <v>0</v>
      </c>
      <c r="K670" t="n">
        <v>0</v>
      </c>
      <c r="L670" t="n">
        <v>0</v>
      </c>
      <c r="M670" t="n">
        <v>0</v>
      </c>
      <c r="N670" t="n">
        <v>0</v>
      </c>
      <c r="O670" t="n">
        <v>0</v>
      </c>
      <c r="P670" t="n">
        <v>0</v>
      </c>
      <c r="Q670" t="n">
        <v>0</v>
      </c>
      <c r="R670" s="2" t="inlineStr"/>
      <c r="U670">
        <f>HYPERLINK("https://klasma.github.io/Logging_2305/knärot/A 26029-2024 karta knärot.png", "A 26029-2024")</f>
        <v/>
      </c>
      <c r="V670">
        <f>HYPERLINK("https://klasma.github.io/Logging_2305/klagomål/A 26029-2024 FSC-klagomål.docx", "A 26029-2024")</f>
        <v/>
      </c>
      <c r="W670">
        <f>HYPERLINK("https://klasma.github.io/Logging_2305/klagomålsmail/A 26029-2024 FSC-klagomål mail.docx", "A 26029-2024")</f>
        <v/>
      </c>
      <c r="X670">
        <f>HYPERLINK("https://klasma.github.io/Logging_2305/tillsyn/A 26029-2024 tillsynsbegäran.docx", "A 26029-2024")</f>
        <v/>
      </c>
      <c r="Y670">
        <f>HYPERLINK("https://klasma.github.io/Logging_2305/tillsynsmail/A 26029-2024 tillsynsbegäran mail.docx", "A 26029-2024")</f>
        <v/>
      </c>
    </row>
    <row r="671" ht="15" customHeight="1">
      <c r="A671" t="inlineStr">
        <is>
          <t>A 19088-2021</t>
        </is>
      </c>
      <c r="B671" s="1" t="n">
        <v>44308</v>
      </c>
      <c r="C671" s="1" t="n">
        <v>45970</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35506-2023</t>
        </is>
      </c>
      <c r="B672" s="1" t="n">
        <v>45146</v>
      </c>
      <c r="C672" s="1" t="n">
        <v>45970</v>
      </c>
      <c r="D672" t="inlineStr">
        <is>
          <t>JÄMTLANDS LÄN</t>
        </is>
      </c>
      <c r="E672" t="inlineStr">
        <is>
          <t>BRÄCKE</t>
        </is>
      </c>
      <c r="G672" t="n">
        <v>2.1</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45970</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31692-2024</t>
        </is>
      </c>
      <c r="B674" s="1" t="n">
        <v>45507.95684027778</v>
      </c>
      <c r="C674" s="1" t="n">
        <v>45970</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31713-2024</t>
        </is>
      </c>
      <c r="B675" s="1" t="n">
        <v>45508.95126157408</v>
      </c>
      <c r="C675" s="1" t="n">
        <v>45970</v>
      </c>
      <c r="D675" t="inlineStr">
        <is>
          <t>JÄMTLANDS LÄN</t>
        </is>
      </c>
      <c r="E675" t="inlineStr">
        <is>
          <t>BRÄCKE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45970</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57066-2024</t>
        </is>
      </c>
      <c r="B677" s="1" t="n">
        <v>45629.35359953704</v>
      </c>
      <c r="C677" s="1" t="n">
        <v>45970</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57069-2024</t>
        </is>
      </c>
      <c r="B678" s="1" t="n">
        <v>45629.35391203704</v>
      </c>
      <c r="C678" s="1" t="n">
        <v>45970</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45970</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3239-2022</t>
        </is>
      </c>
      <c r="B680" s="1" t="n">
        <v>44582.93296296296</v>
      </c>
      <c r="C680" s="1" t="n">
        <v>45970</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35564-2021</t>
        </is>
      </c>
      <c r="B681" s="1" t="n">
        <v>44385.93597222222</v>
      </c>
      <c r="C681" s="1" t="n">
        <v>45970</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33998-2023</t>
        </is>
      </c>
      <c r="B682" s="1" t="n">
        <v>45134</v>
      </c>
      <c r="C682" s="1" t="n">
        <v>45970</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6768-2023</t>
        </is>
      </c>
      <c r="B683" s="1" t="n">
        <v>44966.93079861111</v>
      </c>
      <c r="C683" s="1" t="n">
        <v>45970</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c r="U683">
        <f>HYPERLINK("https://klasma.github.io/Logging_2305/knärot/A 6768-2023 karta knärot.png", "A 6768-2023")</f>
        <v/>
      </c>
      <c r="V683">
        <f>HYPERLINK("https://klasma.github.io/Logging_2305/klagomål/A 6768-2023 FSC-klagomål.docx", "A 6768-2023")</f>
        <v/>
      </c>
      <c r="W683">
        <f>HYPERLINK("https://klasma.github.io/Logging_2305/klagomålsmail/A 6768-2023 FSC-klagomål mail.docx", "A 6768-2023")</f>
        <v/>
      </c>
      <c r="X683">
        <f>HYPERLINK("https://klasma.github.io/Logging_2305/tillsyn/A 6768-2023 tillsynsbegäran.docx", "A 6768-2023")</f>
        <v/>
      </c>
      <c r="Y683">
        <f>HYPERLINK("https://klasma.github.io/Logging_2305/tillsynsmail/A 6768-2023 tillsynsbegäran mail.docx", "A 6768-2023")</f>
        <v/>
      </c>
    </row>
    <row r="684" ht="15" customHeight="1">
      <c r="A684" t="inlineStr">
        <is>
          <t>A 12452-2025</t>
        </is>
      </c>
      <c r="B684" s="1" t="n">
        <v>45730.51483796296</v>
      </c>
      <c r="C684" s="1" t="n">
        <v>45970</v>
      </c>
      <c r="D684" t="inlineStr">
        <is>
          <t>JÄMTLANDS LÄN</t>
        </is>
      </c>
      <c r="E684" t="inlineStr">
        <is>
          <t>BRÄCKE</t>
        </is>
      </c>
      <c r="G684" t="n">
        <v>2.5</v>
      </c>
      <c r="H684" t="n">
        <v>0</v>
      </c>
      <c r="I684" t="n">
        <v>0</v>
      </c>
      <c r="J684" t="n">
        <v>0</v>
      </c>
      <c r="K684" t="n">
        <v>0</v>
      </c>
      <c r="L684" t="n">
        <v>0</v>
      </c>
      <c r="M684" t="n">
        <v>0</v>
      </c>
      <c r="N684" t="n">
        <v>0</v>
      </c>
      <c r="O684" t="n">
        <v>0</v>
      </c>
      <c r="P684" t="n">
        <v>0</v>
      </c>
      <c r="Q684" t="n">
        <v>0</v>
      </c>
      <c r="R684" s="2" t="inlineStr"/>
    </row>
    <row r="685" ht="15" customHeight="1">
      <c r="A685" t="inlineStr">
        <is>
          <t>A 51558-2022</t>
        </is>
      </c>
      <c r="B685" s="1" t="n">
        <v>44869.9497337963</v>
      </c>
      <c r="C685" s="1" t="n">
        <v>45970</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38105-2024</t>
        </is>
      </c>
      <c r="B686" s="1" t="n">
        <v>45545.36538194444</v>
      </c>
      <c r="C686" s="1" t="n">
        <v>45970</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45970</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9970-2025</t>
        </is>
      </c>
      <c r="B688" s="1" t="n">
        <v>45719.38614583333</v>
      </c>
      <c r="C688" s="1" t="n">
        <v>45970</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64037-2023</t>
        </is>
      </c>
      <c r="B689" s="1" t="n">
        <v>45278.94344907408</v>
      </c>
      <c r="C689" s="1" t="n">
        <v>45970</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54568-2022</t>
        </is>
      </c>
      <c r="B690" s="1" t="n">
        <v>44882.95480324074</v>
      </c>
      <c r="C690" s="1" t="n">
        <v>45970</v>
      </c>
      <c r="D690" t="inlineStr">
        <is>
          <t>JÄMTLANDS LÄN</t>
        </is>
      </c>
      <c r="E690" t="inlineStr">
        <is>
          <t>BRÄCKE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24053-2022</t>
        </is>
      </c>
      <c r="B691" s="1" t="n">
        <v>44724.93731481482</v>
      </c>
      <c r="C691" s="1" t="n">
        <v>45970</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27256-2021</t>
        </is>
      </c>
      <c r="B692" s="1" t="n">
        <v>44350</v>
      </c>
      <c r="C692" s="1" t="n">
        <v>45970</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58547-2022</t>
        </is>
      </c>
      <c r="B693" s="1" t="n">
        <v>44894</v>
      </c>
      <c r="C693" s="1" t="n">
        <v>45970</v>
      </c>
      <c r="D693" t="inlineStr">
        <is>
          <t>JÄMTLANDS LÄN</t>
        </is>
      </c>
      <c r="E693" t="inlineStr">
        <is>
          <t>BRÄCKE</t>
        </is>
      </c>
      <c r="G693" t="n">
        <v>0.6</v>
      </c>
      <c r="H693" t="n">
        <v>0</v>
      </c>
      <c r="I693" t="n">
        <v>0</v>
      </c>
      <c r="J693" t="n">
        <v>0</v>
      </c>
      <c r="K693" t="n">
        <v>0</v>
      </c>
      <c r="L693" t="n">
        <v>0</v>
      </c>
      <c r="M693" t="n">
        <v>0</v>
      </c>
      <c r="N693" t="n">
        <v>0</v>
      </c>
      <c r="O693" t="n">
        <v>0</v>
      </c>
      <c r="P693" t="n">
        <v>0</v>
      </c>
      <c r="Q693" t="n">
        <v>0</v>
      </c>
      <c r="R693" s="2" t="inlineStr"/>
    </row>
    <row r="694" ht="15" customHeight="1">
      <c r="A694" t="inlineStr">
        <is>
          <t>A 41722-2023</t>
        </is>
      </c>
      <c r="B694" s="1" t="n">
        <v>45176.4012037037</v>
      </c>
      <c r="C694" s="1" t="n">
        <v>45970</v>
      </c>
      <c r="D694" t="inlineStr">
        <is>
          <t>JÄMTLANDS LÄN</t>
        </is>
      </c>
      <c r="E694" t="inlineStr">
        <is>
          <t>BRÄCKE</t>
        </is>
      </c>
      <c r="G694" t="n">
        <v>21.3</v>
      </c>
      <c r="H694" t="n">
        <v>0</v>
      </c>
      <c r="I694" t="n">
        <v>0</v>
      </c>
      <c r="J694" t="n">
        <v>0</v>
      </c>
      <c r="K694" t="n">
        <v>0</v>
      </c>
      <c r="L694" t="n">
        <v>0</v>
      </c>
      <c r="M694" t="n">
        <v>0</v>
      </c>
      <c r="N694" t="n">
        <v>0</v>
      </c>
      <c r="O694" t="n">
        <v>0</v>
      </c>
      <c r="P694" t="n">
        <v>0</v>
      </c>
      <c r="Q694" t="n">
        <v>0</v>
      </c>
      <c r="R694" s="2" t="inlineStr"/>
    </row>
    <row r="695" ht="15" customHeight="1">
      <c r="A695" t="inlineStr">
        <is>
          <t>A 21637-2021</t>
        </is>
      </c>
      <c r="B695" s="1" t="n">
        <v>44321</v>
      </c>
      <c r="C695" s="1" t="n">
        <v>45970</v>
      </c>
      <c r="D695" t="inlineStr">
        <is>
          <t>JÄMTLANDS LÄN</t>
        </is>
      </c>
      <c r="E695" t="inlineStr">
        <is>
          <t>BRÄCKE</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65096-2023</t>
        </is>
      </c>
      <c r="B696" s="1" t="n">
        <v>45288</v>
      </c>
      <c r="C696" s="1" t="n">
        <v>45970</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47318-2025</t>
        </is>
      </c>
      <c r="B697" s="1" t="n">
        <v>45930.55251157407</v>
      </c>
      <c r="C697" s="1" t="n">
        <v>45970</v>
      </c>
      <c r="D697" t="inlineStr">
        <is>
          <t>JÄMTLANDS LÄN</t>
        </is>
      </c>
      <c r="E697" t="inlineStr">
        <is>
          <t>BRÄCKE</t>
        </is>
      </c>
      <c r="G697" t="n">
        <v>0.4</v>
      </c>
      <c r="H697" t="n">
        <v>0</v>
      </c>
      <c r="I697" t="n">
        <v>0</v>
      </c>
      <c r="J697" t="n">
        <v>0</v>
      </c>
      <c r="K697" t="n">
        <v>0</v>
      </c>
      <c r="L697" t="n">
        <v>0</v>
      </c>
      <c r="M697" t="n">
        <v>0</v>
      </c>
      <c r="N697" t="n">
        <v>0</v>
      </c>
      <c r="O697" t="n">
        <v>0</v>
      </c>
      <c r="P697" t="n">
        <v>0</v>
      </c>
      <c r="Q697" t="n">
        <v>0</v>
      </c>
      <c r="R697" s="2" t="inlineStr"/>
    </row>
    <row r="698" ht="15" customHeight="1">
      <c r="A698" t="inlineStr">
        <is>
          <t>A 19486-2023</t>
        </is>
      </c>
      <c r="B698" s="1" t="n">
        <v>45049</v>
      </c>
      <c r="C698" s="1" t="n">
        <v>45970</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63716-2023</t>
        </is>
      </c>
      <c r="B699" s="1" t="n">
        <v>45275</v>
      </c>
      <c r="C699" s="1" t="n">
        <v>45970</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44384.59356481482</v>
      </c>
      <c r="C700" s="1" t="n">
        <v>45970</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52023-2022</t>
        </is>
      </c>
      <c r="B701" s="1" t="n">
        <v>44872.95675925926</v>
      </c>
      <c r="C701" s="1" t="n">
        <v>45970</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32636-2024</t>
        </is>
      </c>
      <c r="B702" s="1" t="n">
        <v>45513.96137731482</v>
      </c>
      <c r="C702" s="1" t="n">
        <v>45970</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3697-2025</t>
        </is>
      </c>
      <c r="B703" s="1" t="n">
        <v>45681.46973379629</v>
      </c>
      <c r="C703" s="1" t="n">
        <v>45970</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3862-2025</t>
        </is>
      </c>
      <c r="B704" s="1" t="n">
        <v>45684.31023148148</v>
      </c>
      <c r="C704" s="1" t="n">
        <v>45970</v>
      </c>
      <c r="D704" t="inlineStr">
        <is>
          <t>JÄMTLANDS LÄN</t>
        </is>
      </c>
      <c r="E704" t="inlineStr">
        <is>
          <t>BRÄCKE</t>
        </is>
      </c>
      <c r="G704" t="n">
        <v>7</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45970</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58767-2023</t>
        </is>
      </c>
      <c r="B706" s="1" t="n">
        <v>45251.96665509259</v>
      </c>
      <c r="C706" s="1" t="n">
        <v>45970</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34410-2021</t>
        </is>
      </c>
      <c r="B707" s="1" t="n">
        <v>44379.94194444444</v>
      </c>
      <c r="C707" s="1" t="n">
        <v>45970</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39086-2025</t>
        </is>
      </c>
      <c r="B708" s="1" t="n">
        <v>45888.49046296296</v>
      </c>
      <c r="C708" s="1" t="n">
        <v>45970</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55663-2023</t>
        </is>
      </c>
      <c r="B709" s="1" t="n">
        <v>45238.96738425926</v>
      </c>
      <c r="C709" s="1" t="n">
        <v>45970</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45342-2023</t>
        </is>
      </c>
      <c r="B710" s="1" t="n">
        <v>45191.93817129629</v>
      </c>
      <c r="C710" s="1" t="n">
        <v>45970</v>
      </c>
      <c r="D710" t="inlineStr">
        <is>
          <t>JÄMTLANDS LÄN</t>
        </is>
      </c>
      <c r="E710" t="inlineStr">
        <is>
          <t>BRÄCKE</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23064-2024</t>
        </is>
      </c>
      <c r="B711" s="1" t="n">
        <v>45450.44827546296</v>
      </c>
      <c r="C711" s="1" t="n">
        <v>45970</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18600-2024</t>
        </is>
      </c>
      <c r="B712" s="1" t="n">
        <v>45425.92462962963</v>
      </c>
      <c r="C712" s="1" t="n">
        <v>45970</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31558-2024</t>
        </is>
      </c>
      <c r="B713" s="1" t="n">
        <v>45505</v>
      </c>
      <c r="C713" s="1" t="n">
        <v>45970</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20532-2025</t>
        </is>
      </c>
      <c r="B714" s="1" t="n">
        <v>45775.61515046296</v>
      </c>
      <c r="C714" s="1" t="n">
        <v>45970</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34137-2023</t>
        </is>
      </c>
      <c r="B715" s="1" t="n">
        <v>45135</v>
      </c>
      <c r="C715" s="1" t="n">
        <v>45970</v>
      </c>
      <c r="D715" t="inlineStr">
        <is>
          <t>JÄMTLANDS LÄN</t>
        </is>
      </c>
      <c r="E715" t="inlineStr">
        <is>
          <t>BRÄCKE</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45436-2022</t>
        </is>
      </c>
      <c r="B716" s="1" t="n">
        <v>44844.95355324074</v>
      </c>
      <c r="C716" s="1" t="n">
        <v>45970</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104-2025</t>
        </is>
      </c>
      <c r="B717" s="1" t="n">
        <v>45659</v>
      </c>
      <c r="C717" s="1" t="n">
        <v>45970</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3249-2025</t>
        </is>
      </c>
      <c r="B718" s="1" t="n">
        <v>45679.53177083333</v>
      </c>
      <c r="C718" s="1" t="n">
        <v>45970</v>
      </c>
      <c r="D718" t="inlineStr">
        <is>
          <t>JÄMTLANDS LÄN</t>
        </is>
      </c>
      <c r="E718" t="inlineStr">
        <is>
          <t>BRÄCKE</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52712-2022</t>
        </is>
      </c>
      <c r="B719" s="1" t="n">
        <v>44874</v>
      </c>
      <c r="C719" s="1" t="n">
        <v>45970</v>
      </c>
      <c r="D719" t="inlineStr">
        <is>
          <t>JÄMTLANDS LÄN</t>
        </is>
      </c>
      <c r="E719" t="inlineStr">
        <is>
          <t>BRÄCKE</t>
        </is>
      </c>
      <c r="F719" t="inlineStr">
        <is>
          <t>SCA</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49339-2024</t>
        </is>
      </c>
      <c r="B720" s="1" t="n">
        <v>45595.59420138889</v>
      </c>
      <c r="C720" s="1" t="n">
        <v>45970</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45970</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45970</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26522-2024</t>
        </is>
      </c>
      <c r="B723" s="1" t="n">
        <v>45469</v>
      </c>
      <c r="C723" s="1" t="n">
        <v>45970</v>
      </c>
      <c r="D723" t="inlineStr">
        <is>
          <t>JÄMTLANDS LÄN</t>
        </is>
      </c>
      <c r="E723" t="inlineStr">
        <is>
          <t>BRÄCKE</t>
        </is>
      </c>
      <c r="G723" t="n">
        <v>14.1</v>
      </c>
      <c r="H723" t="n">
        <v>0</v>
      </c>
      <c r="I723" t="n">
        <v>0</v>
      </c>
      <c r="J723" t="n">
        <v>0</v>
      </c>
      <c r="K723" t="n">
        <v>0</v>
      </c>
      <c r="L723" t="n">
        <v>0</v>
      </c>
      <c r="M723" t="n">
        <v>0</v>
      </c>
      <c r="N723" t="n">
        <v>0</v>
      </c>
      <c r="O723" t="n">
        <v>0</v>
      </c>
      <c r="P723" t="n">
        <v>0</v>
      </c>
      <c r="Q723" t="n">
        <v>0</v>
      </c>
      <c r="R723" s="2" t="inlineStr"/>
    </row>
    <row r="724" ht="15" customHeight="1">
      <c r="A724" t="inlineStr">
        <is>
          <t>A 6291-2025</t>
        </is>
      </c>
      <c r="B724" s="1" t="n">
        <v>45698.65653935185</v>
      </c>
      <c r="C724" s="1" t="n">
        <v>45970</v>
      </c>
      <c r="D724" t="inlineStr">
        <is>
          <t>JÄMTLANDS LÄN</t>
        </is>
      </c>
      <c r="E724" t="inlineStr">
        <is>
          <t>BRÄCKE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40775-2023</t>
        </is>
      </c>
      <c r="B725" s="1" t="n">
        <v>45170.95685185185</v>
      </c>
      <c r="C725" s="1" t="n">
        <v>45970</v>
      </c>
      <c r="D725" t="inlineStr">
        <is>
          <t>JÄMTLANDS LÄN</t>
        </is>
      </c>
      <c r="E725" t="inlineStr">
        <is>
          <t>BRÄCKE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18057-2025</t>
        </is>
      </c>
      <c r="B726" s="1" t="n">
        <v>45761.47681712963</v>
      </c>
      <c r="C726" s="1" t="n">
        <v>45970</v>
      </c>
      <c r="D726" t="inlineStr">
        <is>
          <t>JÄMTLANDS LÄN</t>
        </is>
      </c>
      <c r="E726" t="inlineStr">
        <is>
          <t>BRÄCKE</t>
        </is>
      </c>
      <c r="G726" t="n">
        <v>4.3</v>
      </c>
      <c r="H726" t="n">
        <v>0</v>
      </c>
      <c r="I726" t="n">
        <v>0</v>
      </c>
      <c r="J726" t="n">
        <v>0</v>
      </c>
      <c r="K726" t="n">
        <v>0</v>
      </c>
      <c r="L726" t="n">
        <v>0</v>
      </c>
      <c r="M726" t="n">
        <v>0</v>
      </c>
      <c r="N726" t="n">
        <v>0</v>
      </c>
      <c r="O726" t="n">
        <v>0</v>
      </c>
      <c r="P726" t="n">
        <v>0</v>
      </c>
      <c r="Q726" t="n">
        <v>0</v>
      </c>
      <c r="R726" s="2" t="inlineStr"/>
    </row>
    <row r="727" ht="15" customHeight="1">
      <c r="A727" t="inlineStr">
        <is>
          <t>A 18065-2025</t>
        </is>
      </c>
      <c r="B727" s="1" t="n">
        <v>45761.48989583334</v>
      </c>
      <c r="C727" s="1" t="n">
        <v>45970</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4123-2025</t>
        </is>
      </c>
      <c r="B728" s="1" t="n">
        <v>45685.27107638889</v>
      </c>
      <c r="C728" s="1" t="n">
        <v>45970</v>
      </c>
      <c r="D728" t="inlineStr">
        <is>
          <t>JÄMTLANDS LÄN</t>
        </is>
      </c>
      <c r="E728" t="inlineStr">
        <is>
          <t>BRÄCKE</t>
        </is>
      </c>
      <c r="G728" t="n">
        <v>0.3</v>
      </c>
      <c r="H728" t="n">
        <v>0</v>
      </c>
      <c r="I728" t="n">
        <v>0</v>
      </c>
      <c r="J728" t="n">
        <v>0</v>
      </c>
      <c r="K728" t="n">
        <v>0</v>
      </c>
      <c r="L728" t="n">
        <v>0</v>
      </c>
      <c r="M728" t="n">
        <v>0</v>
      </c>
      <c r="N728" t="n">
        <v>0</v>
      </c>
      <c r="O728" t="n">
        <v>0</v>
      </c>
      <c r="P728" t="n">
        <v>0</v>
      </c>
      <c r="Q728" t="n">
        <v>0</v>
      </c>
      <c r="R728" s="2" t="inlineStr"/>
    </row>
    <row r="729" ht="15" customHeight="1">
      <c r="A729" t="inlineStr">
        <is>
          <t>A 60870-2023</t>
        </is>
      </c>
      <c r="B729" s="1" t="n">
        <v>45260.96667824074</v>
      </c>
      <c r="C729" s="1" t="n">
        <v>45970</v>
      </c>
      <c r="D729" t="inlineStr">
        <is>
          <t>JÄMTLANDS LÄN</t>
        </is>
      </c>
      <c r="E729" t="inlineStr">
        <is>
          <t>BRÄCKE</t>
        </is>
      </c>
      <c r="G729" t="n">
        <v>6.1</v>
      </c>
      <c r="H729" t="n">
        <v>0</v>
      </c>
      <c r="I729" t="n">
        <v>0</v>
      </c>
      <c r="J729" t="n">
        <v>0</v>
      </c>
      <c r="K729" t="n">
        <v>0</v>
      </c>
      <c r="L729" t="n">
        <v>0</v>
      </c>
      <c r="M729" t="n">
        <v>0</v>
      </c>
      <c r="N729" t="n">
        <v>0</v>
      </c>
      <c r="O729" t="n">
        <v>0</v>
      </c>
      <c r="P729" t="n">
        <v>0</v>
      </c>
      <c r="Q729" t="n">
        <v>0</v>
      </c>
      <c r="R729" s="2" t="inlineStr"/>
    </row>
    <row r="730" ht="15" customHeight="1">
      <c r="A730" t="inlineStr">
        <is>
          <t>A 30488-2024</t>
        </is>
      </c>
      <c r="B730" s="1" t="n">
        <v>45491.95037037037</v>
      </c>
      <c r="C730" s="1" t="n">
        <v>45970</v>
      </c>
      <c r="D730" t="inlineStr">
        <is>
          <t>JÄMTLANDS LÄN</t>
        </is>
      </c>
      <c r="E730" t="inlineStr">
        <is>
          <t>BRÄCKE</t>
        </is>
      </c>
      <c r="F730" t="inlineStr">
        <is>
          <t>Naturvårdsverket</t>
        </is>
      </c>
      <c r="G730" t="n">
        <v>3.7</v>
      </c>
      <c r="H730" t="n">
        <v>0</v>
      </c>
      <c r="I730" t="n">
        <v>0</v>
      </c>
      <c r="J730" t="n">
        <v>0</v>
      </c>
      <c r="K730" t="n">
        <v>0</v>
      </c>
      <c r="L730" t="n">
        <v>0</v>
      </c>
      <c r="M730" t="n">
        <v>0</v>
      </c>
      <c r="N730" t="n">
        <v>0</v>
      </c>
      <c r="O730" t="n">
        <v>0</v>
      </c>
      <c r="P730" t="n">
        <v>0</v>
      </c>
      <c r="Q730" t="n">
        <v>0</v>
      </c>
      <c r="R730" s="2" t="inlineStr"/>
    </row>
    <row r="731" ht="15" customHeight="1">
      <c r="A731" t="inlineStr">
        <is>
          <t>A 33773-2024</t>
        </is>
      </c>
      <c r="B731" s="1" t="n">
        <v>45520</v>
      </c>
      <c r="C731" s="1" t="n">
        <v>45970</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33774-2024</t>
        </is>
      </c>
      <c r="B732" s="1" t="n">
        <v>45520</v>
      </c>
      <c r="C732" s="1" t="n">
        <v>45970</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45939-2024</t>
        </is>
      </c>
      <c r="B733" s="1" t="n">
        <v>45580.53155092592</v>
      </c>
      <c r="C733" s="1" t="n">
        <v>45970</v>
      </c>
      <c r="D733" t="inlineStr">
        <is>
          <t>JÄMTLANDS LÄN</t>
        </is>
      </c>
      <c r="E733" t="inlineStr">
        <is>
          <t>BRÄCKE</t>
        </is>
      </c>
      <c r="F733" t="inlineStr">
        <is>
          <t>Naturvårdsverket</t>
        </is>
      </c>
      <c r="G733" t="n">
        <v>0.9</v>
      </c>
      <c r="H733" t="n">
        <v>0</v>
      </c>
      <c r="I733" t="n">
        <v>0</v>
      </c>
      <c r="J733" t="n">
        <v>0</v>
      </c>
      <c r="K733" t="n">
        <v>0</v>
      </c>
      <c r="L733" t="n">
        <v>0</v>
      </c>
      <c r="M733" t="n">
        <v>0</v>
      </c>
      <c r="N733" t="n">
        <v>0</v>
      </c>
      <c r="O733" t="n">
        <v>0</v>
      </c>
      <c r="P733" t="n">
        <v>0</v>
      </c>
      <c r="Q733" t="n">
        <v>0</v>
      </c>
      <c r="R733" s="2" t="inlineStr"/>
    </row>
    <row r="734" ht="15" customHeight="1">
      <c r="A734" t="inlineStr">
        <is>
          <t>A 8865-2023</t>
        </is>
      </c>
      <c r="B734" s="1" t="n">
        <v>44978</v>
      </c>
      <c r="C734" s="1" t="n">
        <v>45970</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38775-2025</t>
        </is>
      </c>
      <c r="B735" s="1" t="n">
        <v>45887.42667824074</v>
      </c>
      <c r="C735" s="1" t="n">
        <v>45970</v>
      </c>
      <c r="D735" t="inlineStr">
        <is>
          <t>JÄMTLANDS LÄN</t>
        </is>
      </c>
      <c r="E735" t="inlineStr">
        <is>
          <t>BRÄCKE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29130-2024</t>
        </is>
      </c>
      <c r="B736" s="1" t="n">
        <v>45482.35856481481</v>
      </c>
      <c r="C736" s="1" t="n">
        <v>45970</v>
      </c>
      <c r="D736" t="inlineStr">
        <is>
          <t>JÄMTLANDS LÄN</t>
        </is>
      </c>
      <c r="E736" t="inlineStr">
        <is>
          <t>BRÄCKE</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29323-2023</t>
        </is>
      </c>
      <c r="B737" s="1" t="n">
        <v>45105</v>
      </c>
      <c r="C737" s="1" t="n">
        <v>45970</v>
      </c>
      <c r="D737" t="inlineStr">
        <is>
          <t>JÄMTLANDS LÄN</t>
        </is>
      </c>
      <c r="E737" t="inlineStr">
        <is>
          <t>BRÄCKE</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23752-2023</t>
        </is>
      </c>
      <c r="B738" s="1" t="n">
        <v>45077.92935185185</v>
      </c>
      <c r="C738" s="1" t="n">
        <v>45970</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38834-2025</t>
        </is>
      </c>
      <c r="B739" s="1" t="n">
        <v>45887.53174768519</v>
      </c>
      <c r="C739" s="1" t="n">
        <v>45970</v>
      </c>
      <c r="D739" t="inlineStr">
        <is>
          <t>JÄMTLANDS LÄN</t>
        </is>
      </c>
      <c r="E739" t="inlineStr">
        <is>
          <t>BRÄCKE</t>
        </is>
      </c>
      <c r="F739" t="inlineStr">
        <is>
          <t>SCA</t>
        </is>
      </c>
      <c r="G739" t="n">
        <v>6.3</v>
      </c>
      <c r="H739" t="n">
        <v>0</v>
      </c>
      <c r="I739" t="n">
        <v>0</v>
      </c>
      <c r="J739" t="n">
        <v>0</v>
      </c>
      <c r="K739" t="n">
        <v>0</v>
      </c>
      <c r="L739" t="n">
        <v>0</v>
      </c>
      <c r="M739" t="n">
        <v>0</v>
      </c>
      <c r="N739" t="n">
        <v>0</v>
      </c>
      <c r="O739" t="n">
        <v>0</v>
      </c>
      <c r="P739" t="n">
        <v>0</v>
      </c>
      <c r="Q739" t="n">
        <v>0</v>
      </c>
      <c r="R739" s="2" t="inlineStr"/>
    </row>
    <row r="740" ht="15" customHeight="1">
      <c r="A740" t="inlineStr">
        <is>
          <t>A 38842-2025</t>
        </is>
      </c>
      <c r="B740" s="1" t="n">
        <v>45887.54003472222</v>
      </c>
      <c r="C740" s="1" t="n">
        <v>45970</v>
      </c>
      <c r="D740" t="inlineStr">
        <is>
          <t>JÄMTLANDS LÄN</t>
        </is>
      </c>
      <c r="E740" t="inlineStr">
        <is>
          <t>BRÄCKE</t>
        </is>
      </c>
      <c r="G740" t="n">
        <v>6.3</v>
      </c>
      <c r="H740" t="n">
        <v>0</v>
      </c>
      <c r="I740" t="n">
        <v>0</v>
      </c>
      <c r="J740" t="n">
        <v>0</v>
      </c>
      <c r="K740" t="n">
        <v>0</v>
      </c>
      <c r="L740" t="n">
        <v>0</v>
      </c>
      <c r="M740" t="n">
        <v>0</v>
      </c>
      <c r="N740" t="n">
        <v>0</v>
      </c>
      <c r="O740" t="n">
        <v>0</v>
      </c>
      <c r="P740" t="n">
        <v>0</v>
      </c>
      <c r="Q740" t="n">
        <v>0</v>
      </c>
      <c r="R740" s="2" t="inlineStr"/>
    </row>
    <row r="741" ht="15" customHeight="1">
      <c r="A741" t="inlineStr">
        <is>
          <t>A 45304-2022</t>
        </is>
      </c>
      <c r="B741" s="1" t="n">
        <v>44841</v>
      </c>
      <c r="C741" s="1" t="n">
        <v>45970</v>
      </c>
      <c r="D741" t="inlineStr">
        <is>
          <t>JÄMTLANDS LÄN</t>
        </is>
      </c>
      <c r="E741" t="inlineStr">
        <is>
          <t>BRÄCKE</t>
        </is>
      </c>
      <c r="G741" t="n">
        <v>3.8</v>
      </c>
      <c r="H741" t="n">
        <v>0</v>
      </c>
      <c r="I741" t="n">
        <v>0</v>
      </c>
      <c r="J741" t="n">
        <v>0</v>
      </c>
      <c r="K741" t="n">
        <v>0</v>
      </c>
      <c r="L741" t="n">
        <v>0</v>
      </c>
      <c r="M741" t="n">
        <v>0</v>
      </c>
      <c r="N741" t="n">
        <v>0</v>
      </c>
      <c r="O741" t="n">
        <v>0</v>
      </c>
      <c r="P741" t="n">
        <v>0</v>
      </c>
      <c r="Q741" t="n">
        <v>0</v>
      </c>
      <c r="R741" s="2" t="inlineStr"/>
    </row>
    <row r="742" ht="15" customHeight="1">
      <c r="A742" t="inlineStr">
        <is>
          <t>A 44444-2022</t>
        </is>
      </c>
      <c r="B742" s="1" t="n">
        <v>44839.95474537037</v>
      </c>
      <c r="C742" s="1" t="n">
        <v>45970</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17252-2025</t>
        </is>
      </c>
      <c r="B743" s="1" t="n">
        <v>45756.5109837963</v>
      </c>
      <c r="C743" s="1" t="n">
        <v>45970</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51559-2022</t>
        </is>
      </c>
      <c r="B744" s="1" t="n">
        <v>44869</v>
      </c>
      <c r="C744" s="1" t="n">
        <v>45970</v>
      </c>
      <c r="D744" t="inlineStr">
        <is>
          <t>JÄMTLANDS LÄN</t>
        </is>
      </c>
      <c r="E744" t="inlineStr">
        <is>
          <t>BRÄCKE</t>
        </is>
      </c>
      <c r="F744" t="inlineStr">
        <is>
          <t>SCA</t>
        </is>
      </c>
      <c r="G744" t="n">
        <v>21.1</v>
      </c>
      <c r="H744" t="n">
        <v>0</v>
      </c>
      <c r="I744" t="n">
        <v>0</v>
      </c>
      <c r="J744" t="n">
        <v>0</v>
      </c>
      <c r="K744" t="n">
        <v>0</v>
      </c>
      <c r="L744" t="n">
        <v>0</v>
      </c>
      <c r="M744" t="n">
        <v>0</v>
      </c>
      <c r="N744" t="n">
        <v>0</v>
      </c>
      <c r="O744" t="n">
        <v>0</v>
      </c>
      <c r="P744" t="n">
        <v>0</v>
      </c>
      <c r="Q744" t="n">
        <v>0</v>
      </c>
      <c r="R744" s="2" t="inlineStr"/>
    </row>
    <row r="745" ht="15" customHeight="1">
      <c r="A745" t="inlineStr">
        <is>
          <t>A 30487-2024</t>
        </is>
      </c>
      <c r="B745" s="1" t="n">
        <v>45491.95027777777</v>
      </c>
      <c r="C745" s="1" t="n">
        <v>45970</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5005-2025</t>
        </is>
      </c>
      <c r="B746" s="1" t="n">
        <v>45691.36862268519</v>
      </c>
      <c r="C746" s="1" t="n">
        <v>45970</v>
      </c>
      <c r="D746" t="inlineStr">
        <is>
          <t>JÄMTLANDS LÄN</t>
        </is>
      </c>
      <c r="E746" t="inlineStr">
        <is>
          <t>BRÄCKE</t>
        </is>
      </c>
      <c r="G746" t="n">
        <v>9.5</v>
      </c>
      <c r="H746" t="n">
        <v>0</v>
      </c>
      <c r="I746" t="n">
        <v>0</v>
      </c>
      <c r="J746" t="n">
        <v>0</v>
      </c>
      <c r="K746" t="n">
        <v>0</v>
      </c>
      <c r="L746" t="n">
        <v>0</v>
      </c>
      <c r="M746" t="n">
        <v>0</v>
      </c>
      <c r="N746" t="n">
        <v>0</v>
      </c>
      <c r="O746" t="n">
        <v>0</v>
      </c>
      <c r="P746" t="n">
        <v>0</v>
      </c>
      <c r="Q746" t="n">
        <v>0</v>
      </c>
      <c r="R746" s="2" t="inlineStr"/>
    </row>
    <row r="747" ht="15" customHeight="1">
      <c r="A747" t="inlineStr">
        <is>
          <t>A 73102-2021</t>
        </is>
      </c>
      <c r="B747" s="1" t="n">
        <v>44550.45236111111</v>
      </c>
      <c r="C747" s="1" t="n">
        <v>45970</v>
      </c>
      <c r="D747" t="inlineStr">
        <is>
          <t>JÄMTLANDS LÄN</t>
        </is>
      </c>
      <c r="E747" t="inlineStr">
        <is>
          <t>BRÄCKE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20760-2024</t>
        </is>
      </c>
      <c r="B748" s="1" t="n">
        <v>45436.92543981481</v>
      </c>
      <c r="C748" s="1" t="n">
        <v>45970</v>
      </c>
      <c r="D748" t="inlineStr">
        <is>
          <t>JÄMTLANDS LÄN</t>
        </is>
      </c>
      <c r="E748" t="inlineStr">
        <is>
          <t>BRÄCKE</t>
        </is>
      </c>
      <c r="G748" t="n">
        <v>10.9</v>
      </c>
      <c r="H748" t="n">
        <v>0</v>
      </c>
      <c r="I748" t="n">
        <v>0</v>
      </c>
      <c r="J748" t="n">
        <v>0</v>
      </c>
      <c r="K748" t="n">
        <v>0</v>
      </c>
      <c r="L748" t="n">
        <v>0</v>
      </c>
      <c r="M748" t="n">
        <v>0</v>
      </c>
      <c r="N748" t="n">
        <v>0</v>
      </c>
      <c r="O748" t="n">
        <v>0</v>
      </c>
      <c r="P748" t="n">
        <v>0</v>
      </c>
      <c r="Q748" t="n">
        <v>0</v>
      </c>
      <c r="R748" s="2" t="inlineStr"/>
    </row>
    <row r="749" ht="15" customHeight="1">
      <c r="A749" t="inlineStr">
        <is>
          <t>A 39088-2025</t>
        </is>
      </c>
      <c r="B749" s="1" t="n">
        <v>45888.49105324074</v>
      </c>
      <c r="C749" s="1" t="n">
        <v>45970</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38007-2024</t>
        </is>
      </c>
      <c r="B750" s="1" t="n">
        <v>45544.62063657407</v>
      </c>
      <c r="C750" s="1" t="n">
        <v>45970</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39117-2025</t>
        </is>
      </c>
      <c r="B751" s="1" t="n">
        <v>45888.55275462963</v>
      </c>
      <c r="C751" s="1" t="n">
        <v>45970</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42959-2024</t>
        </is>
      </c>
      <c r="B752" s="1" t="n">
        <v>45567.37144675926</v>
      </c>
      <c r="C752" s="1" t="n">
        <v>45970</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53278-2022</t>
        </is>
      </c>
      <c r="B753" s="1" t="n">
        <v>44876.94785879629</v>
      </c>
      <c r="C753" s="1" t="n">
        <v>45970</v>
      </c>
      <c r="D753" t="inlineStr">
        <is>
          <t>JÄMTLANDS LÄN</t>
        </is>
      </c>
      <c r="E753" t="inlineStr">
        <is>
          <t>BRÄCKE</t>
        </is>
      </c>
      <c r="G753" t="n">
        <v>2</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45970</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57420-2023</t>
        </is>
      </c>
      <c r="B755" s="1" t="n">
        <v>45245.96990740741</v>
      </c>
      <c r="C755" s="1" t="n">
        <v>45970</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63292-2023</t>
        </is>
      </c>
      <c r="B756" s="1" t="n">
        <v>45273.94680555556</v>
      </c>
      <c r="C756" s="1" t="n">
        <v>45970</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52846-2022</t>
        </is>
      </c>
      <c r="B757" s="1" t="n">
        <v>44875</v>
      </c>
      <c r="C757" s="1" t="n">
        <v>45970</v>
      </c>
      <c r="D757" t="inlineStr">
        <is>
          <t>JÄMTLANDS LÄN</t>
        </is>
      </c>
      <c r="E757" t="inlineStr">
        <is>
          <t>BRÄCKE</t>
        </is>
      </c>
      <c r="F757" t="inlineStr">
        <is>
          <t>Övriga Aktiebolag</t>
        </is>
      </c>
      <c r="G757" t="n">
        <v>13.1</v>
      </c>
      <c r="H757" t="n">
        <v>0</v>
      </c>
      <c r="I757" t="n">
        <v>0</v>
      </c>
      <c r="J757" t="n">
        <v>0</v>
      </c>
      <c r="K757" t="n">
        <v>0</v>
      </c>
      <c r="L757" t="n">
        <v>0</v>
      </c>
      <c r="M757" t="n">
        <v>0</v>
      </c>
      <c r="N757" t="n">
        <v>0</v>
      </c>
      <c r="O757" t="n">
        <v>0</v>
      </c>
      <c r="P757" t="n">
        <v>0</v>
      </c>
      <c r="Q757" t="n">
        <v>0</v>
      </c>
      <c r="R757" s="2" t="inlineStr"/>
    </row>
    <row r="758" ht="15" customHeight="1">
      <c r="A758" t="inlineStr">
        <is>
          <t>A 60178-2022</t>
        </is>
      </c>
      <c r="B758" s="1" t="n">
        <v>44909</v>
      </c>
      <c r="C758" s="1" t="n">
        <v>45970</v>
      </c>
      <c r="D758" t="inlineStr">
        <is>
          <t>JÄMTLANDS LÄN</t>
        </is>
      </c>
      <c r="E758" t="inlineStr">
        <is>
          <t>BRÄCKE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56656-2022</t>
        </is>
      </c>
      <c r="B759" s="1" t="n">
        <v>44893</v>
      </c>
      <c r="C759" s="1" t="n">
        <v>45970</v>
      </c>
      <c r="D759" t="inlineStr">
        <is>
          <t>JÄMTLANDS LÄN</t>
        </is>
      </c>
      <c r="E759" t="inlineStr">
        <is>
          <t>BRÄCKE</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52021-2022</t>
        </is>
      </c>
      <c r="B760" s="1" t="n">
        <v>44872.95638888889</v>
      </c>
      <c r="C760" s="1" t="n">
        <v>45970</v>
      </c>
      <c r="D760" t="inlineStr">
        <is>
          <t>JÄMTLANDS LÄN</t>
        </is>
      </c>
      <c r="E760" t="inlineStr">
        <is>
          <t>BRÄCKE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38336-2024</t>
        </is>
      </c>
      <c r="B761" s="1" t="n">
        <v>45545.68386574074</v>
      </c>
      <c r="C761" s="1" t="n">
        <v>45970</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50840-2023</t>
        </is>
      </c>
      <c r="B762" s="1" t="n">
        <v>45217</v>
      </c>
      <c r="C762" s="1" t="n">
        <v>45970</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46793-2021</t>
        </is>
      </c>
      <c r="B763" s="1" t="n">
        <v>44445</v>
      </c>
      <c r="C763" s="1" t="n">
        <v>45970</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53152-2024</t>
        </is>
      </c>
      <c r="B764" s="1" t="n">
        <v>45611.62123842593</v>
      </c>
      <c r="C764" s="1" t="n">
        <v>45970</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20276-2023</t>
        </is>
      </c>
      <c r="B765" s="1" t="n">
        <v>45055.94465277778</v>
      </c>
      <c r="C765" s="1" t="n">
        <v>45970</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54571-2021</t>
        </is>
      </c>
      <c r="B766" s="1" t="n">
        <v>44473</v>
      </c>
      <c r="C766" s="1" t="n">
        <v>45970</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44481.92091435185</v>
      </c>
      <c r="C767" s="1" t="n">
        <v>45970</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3247-2025</t>
        </is>
      </c>
      <c r="B768" s="1" t="n">
        <v>45679.5315625</v>
      </c>
      <c r="C768" s="1" t="n">
        <v>45970</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20798-2024</t>
        </is>
      </c>
      <c r="B769" s="1" t="n">
        <v>45438.94798611111</v>
      </c>
      <c r="C769" s="1" t="n">
        <v>45970</v>
      </c>
      <c r="D769" t="inlineStr">
        <is>
          <t>JÄMTLANDS LÄN</t>
        </is>
      </c>
      <c r="E769" t="inlineStr">
        <is>
          <t>BRÄCKE</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47230-2025</t>
        </is>
      </c>
      <c r="B770" s="1" t="n">
        <v>45930.40326388889</v>
      </c>
      <c r="C770" s="1" t="n">
        <v>45970</v>
      </c>
      <c r="D770" t="inlineStr">
        <is>
          <t>JÄMTLANDS LÄN</t>
        </is>
      </c>
      <c r="E770" t="inlineStr">
        <is>
          <t>BRÄCKE</t>
        </is>
      </c>
      <c r="G770" t="n">
        <v>2.1</v>
      </c>
      <c r="H770" t="n">
        <v>0</v>
      </c>
      <c r="I770" t="n">
        <v>0</v>
      </c>
      <c r="J770" t="n">
        <v>0</v>
      </c>
      <c r="K770" t="n">
        <v>0</v>
      </c>
      <c r="L770" t="n">
        <v>0</v>
      </c>
      <c r="M770" t="n">
        <v>0</v>
      </c>
      <c r="N770" t="n">
        <v>0</v>
      </c>
      <c r="O770" t="n">
        <v>0</v>
      </c>
      <c r="P770" t="n">
        <v>0</v>
      </c>
      <c r="Q770" t="n">
        <v>0</v>
      </c>
      <c r="R770" s="2" t="inlineStr"/>
    </row>
    <row r="771" ht="15" customHeight="1">
      <c r="A771" t="inlineStr">
        <is>
          <t>A 39344-2025</t>
        </is>
      </c>
      <c r="B771" s="1" t="n">
        <v>45889.53175925926</v>
      </c>
      <c r="C771" s="1" t="n">
        <v>45970</v>
      </c>
      <c r="D771" t="inlineStr">
        <is>
          <t>JÄMTLANDS LÄN</t>
        </is>
      </c>
      <c r="E771" t="inlineStr">
        <is>
          <t>BRÄCKE</t>
        </is>
      </c>
      <c r="F771" t="inlineStr">
        <is>
          <t>SCA</t>
        </is>
      </c>
      <c r="G771" t="n">
        <v>9.6</v>
      </c>
      <c r="H771" t="n">
        <v>0</v>
      </c>
      <c r="I771" t="n">
        <v>0</v>
      </c>
      <c r="J771" t="n">
        <v>0</v>
      </c>
      <c r="K771" t="n">
        <v>0</v>
      </c>
      <c r="L771" t="n">
        <v>0</v>
      </c>
      <c r="M771" t="n">
        <v>0</v>
      </c>
      <c r="N771" t="n">
        <v>0</v>
      </c>
      <c r="O771" t="n">
        <v>0</v>
      </c>
      <c r="P771" t="n">
        <v>0</v>
      </c>
      <c r="Q771" t="n">
        <v>0</v>
      </c>
      <c r="R771" s="2" t="inlineStr"/>
    </row>
    <row r="772" ht="15" customHeight="1">
      <c r="A772" t="inlineStr">
        <is>
          <t>A 27799-2024</t>
        </is>
      </c>
      <c r="B772" s="1" t="n">
        <v>45475.56605324074</v>
      </c>
      <c r="C772" s="1" t="n">
        <v>45970</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9707-2025</t>
        </is>
      </c>
      <c r="B773" s="1" t="n">
        <v>45716.38592592593</v>
      </c>
      <c r="C773" s="1" t="n">
        <v>45970</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19584-2024</t>
        </is>
      </c>
      <c r="B774" s="1" t="n">
        <v>45429</v>
      </c>
      <c r="C774" s="1" t="n">
        <v>45970</v>
      </c>
      <c r="D774" t="inlineStr">
        <is>
          <t>JÄMTLANDS LÄN</t>
        </is>
      </c>
      <c r="E774" t="inlineStr">
        <is>
          <t>BRÄCKE</t>
        </is>
      </c>
      <c r="G774" t="n">
        <v>2.6</v>
      </c>
      <c r="H774" t="n">
        <v>0</v>
      </c>
      <c r="I774" t="n">
        <v>0</v>
      </c>
      <c r="J774" t="n">
        <v>0</v>
      </c>
      <c r="K774" t="n">
        <v>0</v>
      </c>
      <c r="L774" t="n">
        <v>0</v>
      </c>
      <c r="M774" t="n">
        <v>0</v>
      </c>
      <c r="N774" t="n">
        <v>0</v>
      </c>
      <c r="O774" t="n">
        <v>0</v>
      </c>
      <c r="P774" t="n">
        <v>0</v>
      </c>
      <c r="Q774" t="n">
        <v>0</v>
      </c>
      <c r="R774" s="2" t="inlineStr"/>
    </row>
    <row r="775" ht="15" customHeight="1">
      <c r="A775" t="inlineStr">
        <is>
          <t>A 48435-2023</t>
        </is>
      </c>
      <c r="B775" s="1" t="n">
        <v>45205</v>
      </c>
      <c r="C775" s="1" t="n">
        <v>45970</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28796-2023</t>
        </is>
      </c>
      <c r="B776" s="1" t="n">
        <v>45096</v>
      </c>
      <c r="C776" s="1" t="n">
        <v>45970</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39326-2024</t>
        </is>
      </c>
      <c r="B777" s="1" t="n">
        <v>45551.42741898148</v>
      </c>
      <c r="C777" s="1" t="n">
        <v>45970</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20095-2023</t>
        </is>
      </c>
      <c r="B778" s="1" t="n">
        <v>45054.94199074074</v>
      </c>
      <c r="C778" s="1" t="n">
        <v>45970</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39532-2025</t>
        </is>
      </c>
      <c r="B779" s="1" t="n">
        <v>45890.44847222222</v>
      </c>
      <c r="C779" s="1" t="n">
        <v>45970</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39376-2025</t>
        </is>
      </c>
      <c r="B780" s="1" t="n">
        <v>45889.59425925926</v>
      </c>
      <c r="C780" s="1" t="n">
        <v>45970</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45970</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45970</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18267-2025</t>
        </is>
      </c>
      <c r="B783" s="1" t="n">
        <v>45762.36527777778</v>
      </c>
      <c r="C783" s="1" t="n">
        <v>45970</v>
      </c>
      <c r="D783" t="inlineStr">
        <is>
          <t>JÄMTLANDS LÄN</t>
        </is>
      </c>
      <c r="E783" t="inlineStr">
        <is>
          <t>BRÄCKE</t>
        </is>
      </c>
      <c r="G783" t="n">
        <v>0.6</v>
      </c>
      <c r="H783" t="n">
        <v>0</v>
      </c>
      <c r="I783" t="n">
        <v>0</v>
      </c>
      <c r="J783" t="n">
        <v>0</v>
      </c>
      <c r="K783" t="n">
        <v>0</v>
      </c>
      <c r="L783" t="n">
        <v>0</v>
      </c>
      <c r="M783" t="n">
        <v>0</v>
      </c>
      <c r="N783" t="n">
        <v>0</v>
      </c>
      <c r="O783" t="n">
        <v>0</v>
      </c>
      <c r="P783" t="n">
        <v>0</v>
      </c>
      <c r="Q783" t="n">
        <v>0</v>
      </c>
      <c r="R783" s="2" t="inlineStr"/>
    </row>
    <row r="784" ht="15" customHeight="1">
      <c r="A784" t="inlineStr">
        <is>
          <t>A 41922-2023</t>
        </is>
      </c>
      <c r="B784" s="1" t="n">
        <v>45176</v>
      </c>
      <c r="C784" s="1" t="n">
        <v>45970</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45970</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23746-2021</t>
        </is>
      </c>
      <c r="B786" s="1" t="n">
        <v>44334.93716435185</v>
      </c>
      <c r="C786" s="1" t="n">
        <v>45970</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11699-2025</t>
        </is>
      </c>
      <c r="B787" s="1" t="n">
        <v>45727.57402777778</v>
      </c>
      <c r="C787" s="1" t="n">
        <v>45970</v>
      </c>
      <c r="D787" t="inlineStr">
        <is>
          <t>JÄMTLANDS LÄN</t>
        </is>
      </c>
      <c r="E787" t="inlineStr">
        <is>
          <t>BRÄCKE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48416-2024</t>
        </is>
      </c>
      <c r="B788" s="1" t="n">
        <v>45590.64153935185</v>
      </c>
      <c r="C788" s="1" t="n">
        <v>45970</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39487-2025</t>
        </is>
      </c>
      <c r="B789" s="1" t="n">
        <v>45890.3650462963</v>
      </c>
      <c r="C789" s="1" t="n">
        <v>45970</v>
      </c>
      <c r="D789" t="inlineStr">
        <is>
          <t>JÄMTLANDS LÄN</t>
        </is>
      </c>
      <c r="E789" t="inlineStr">
        <is>
          <t>BRÄCKE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11550-2023</t>
        </is>
      </c>
      <c r="B790" s="1" t="n">
        <v>44993</v>
      </c>
      <c r="C790" s="1" t="n">
        <v>45970</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23767-2023</t>
        </is>
      </c>
      <c r="B791" s="1" t="n">
        <v>45077</v>
      </c>
      <c r="C791" s="1" t="n">
        <v>45970</v>
      </c>
      <c r="D791" t="inlineStr">
        <is>
          <t>JÄMTLANDS LÄN</t>
        </is>
      </c>
      <c r="E791" t="inlineStr">
        <is>
          <t>BRÄCKE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23773-2023</t>
        </is>
      </c>
      <c r="B792" s="1" t="n">
        <v>45077.94631944445</v>
      </c>
      <c r="C792" s="1" t="n">
        <v>45970</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3180-2024</t>
        </is>
      </c>
      <c r="B793" s="1" t="n">
        <v>45316.64880787037</v>
      </c>
      <c r="C793" s="1" t="n">
        <v>45970</v>
      </c>
      <c r="D793" t="inlineStr">
        <is>
          <t>JÄMTLANDS LÄN</t>
        </is>
      </c>
      <c r="E793" t="inlineStr">
        <is>
          <t>BRÄCKE</t>
        </is>
      </c>
      <c r="G793" t="n">
        <v>4.7</v>
      </c>
      <c r="H793" t="n">
        <v>0</v>
      </c>
      <c r="I793" t="n">
        <v>0</v>
      </c>
      <c r="J793" t="n">
        <v>0</v>
      </c>
      <c r="K793" t="n">
        <v>0</v>
      </c>
      <c r="L793" t="n">
        <v>0</v>
      </c>
      <c r="M793" t="n">
        <v>0</v>
      </c>
      <c r="N793" t="n">
        <v>0</v>
      </c>
      <c r="O793" t="n">
        <v>0</v>
      </c>
      <c r="P793" t="n">
        <v>0</v>
      </c>
      <c r="Q793" t="n">
        <v>0</v>
      </c>
      <c r="R793" s="2" t="inlineStr"/>
    </row>
    <row r="794" ht="15" customHeight="1">
      <c r="A794" t="inlineStr">
        <is>
          <t>A 3182-2024</t>
        </is>
      </c>
      <c r="B794" s="1" t="n">
        <v>45316.65004629629</v>
      </c>
      <c r="C794" s="1" t="n">
        <v>45970</v>
      </c>
      <c r="D794" t="inlineStr">
        <is>
          <t>JÄMTLANDS LÄN</t>
        </is>
      </c>
      <c r="E794" t="inlineStr">
        <is>
          <t>BRÄCKE</t>
        </is>
      </c>
      <c r="G794" t="n">
        <v>2.6</v>
      </c>
      <c r="H794" t="n">
        <v>0</v>
      </c>
      <c r="I794" t="n">
        <v>0</v>
      </c>
      <c r="J794" t="n">
        <v>0</v>
      </c>
      <c r="K794" t="n">
        <v>0</v>
      </c>
      <c r="L794" t="n">
        <v>0</v>
      </c>
      <c r="M794" t="n">
        <v>0</v>
      </c>
      <c r="N794" t="n">
        <v>0</v>
      </c>
      <c r="O794" t="n">
        <v>0</v>
      </c>
      <c r="P794" t="n">
        <v>0</v>
      </c>
      <c r="Q794" t="n">
        <v>0</v>
      </c>
      <c r="R794" s="2" t="inlineStr"/>
    </row>
    <row r="795" ht="15" customHeight="1">
      <c r="A795" t="inlineStr">
        <is>
          <t>A 56686-2023</t>
        </is>
      </c>
      <c r="B795" s="1" t="n">
        <v>45243.96622685185</v>
      </c>
      <c r="C795" s="1" t="n">
        <v>45970</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44500.93565972222</v>
      </c>
      <c r="C796" s="1" t="n">
        <v>45970</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45970</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57586-2024</t>
        </is>
      </c>
      <c r="B798" s="1" t="n">
        <v>45630.49229166667</v>
      </c>
      <c r="C798" s="1" t="n">
        <v>45970</v>
      </c>
      <c r="D798" t="inlineStr">
        <is>
          <t>JÄMTLANDS LÄN</t>
        </is>
      </c>
      <c r="E798" t="inlineStr">
        <is>
          <t>BRÄCKE</t>
        </is>
      </c>
      <c r="G798" t="n">
        <v>0.1</v>
      </c>
      <c r="H798" t="n">
        <v>0</v>
      </c>
      <c r="I798" t="n">
        <v>0</v>
      </c>
      <c r="J798" t="n">
        <v>0</v>
      </c>
      <c r="K798" t="n">
        <v>0</v>
      </c>
      <c r="L798" t="n">
        <v>0</v>
      </c>
      <c r="M798" t="n">
        <v>0</v>
      </c>
      <c r="N798" t="n">
        <v>0</v>
      </c>
      <c r="O798" t="n">
        <v>0</v>
      </c>
      <c r="P798" t="n">
        <v>0</v>
      </c>
      <c r="Q798" t="n">
        <v>0</v>
      </c>
      <c r="R798" s="2" t="inlineStr"/>
    </row>
    <row r="799" ht="15" customHeight="1">
      <c r="A799" t="inlineStr">
        <is>
          <t>A 13906-2025</t>
        </is>
      </c>
      <c r="B799" s="1" t="n">
        <v>45737.6359375</v>
      </c>
      <c r="C799" s="1" t="n">
        <v>45970</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55468-2024</t>
        </is>
      </c>
      <c r="B800" s="1" t="n">
        <v>45622.43024305555</v>
      </c>
      <c r="C800" s="1" t="n">
        <v>45970</v>
      </c>
      <c r="D800" t="inlineStr">
        <is>
          <t>JÄMTLANDS LÄN</t>
        </is>
      </c>
      <c r="E800" t="inlineStr">
        <is>
          <t>BRÄCKE</t>
        </is>
      </c>
      <c r="G800" t="n">
        <v>5.6</v>
      </c>
      <c r="H800" t="n">
        <v>0</v>
      </c>
      <c r="I800" t="n">
        <v>0</v>
      </c>
      <c r="J800" t="n">
        <v>0</v>
      </c>
      <c r="K800" t="n">
        <v>0</v>
      </c>
      <c r="L800" t="n">
        <v>0</v>
      </c>
      <c r="M800" t="n">
        <v>0</v>
      </c>
      <c r="N800" t="n">
        <v>0</v>
      </c>
      <c r="O800" t="n">
        <v>0</v>
      </c>
      <c r="P800" t="n">
        <v>0</v>
      </c>
      <c r="Q800" t="n">
        <v>0</v>
      </c>
      <c r="R800" s="2" t="inlineStr"/>
    </row>
    <row r="801" ht="15" customHeight="1">
      <c r="A801" t="inlineStr">
        <is>
          <t>A 59932-2022</t>
        </is>
      </c>
      <c r="B801" s="1" t="n">
        <v>44909.36262731482</v>
      </c>
      <c r="C801" s="1" t="n">
        <v>45970</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37959-2024</t>
        </is>
      </c>
      <c r="B802" s="1" t="n">
        <v>45544.53870370371</v>
      </c>
      <c r="C802" s="1" t="n">
        <v>45970</v>
      </c>
      <c r="D802" t="inlineStr">
        <is>
          <t>JÄMTLANDS LÄN</t>
        </is>
      </c>
      <c r="E802" t="inlineStr">
        <is>
          <t>BRÄCKE</t>
        </is>
      </c>
      <c r="G802" t="n">
        <v>6.5</v>
      </c>
      <c r="H802" t="n">
        <v>0</v>
      </c>
      <c r="I802" t="n">
        <v>0</v>
      </c>
      <c r="J802" t="n">
        <v>0</v>
      </c>
      <c r="K802" t="n">
        <v>0</v>
      </c>
      <c r="L802" t="n">
        <v>0</v>
      </c>
      <c r="M802" t="n">
        <v>0</v>
      </c>
      <c r="N802" t="n">
        <v>0</v>
      </c>
      <c r="O802" t="n">
        <v>0</v>
      </c>
      <c r="P802" t="n">
        <v>0</v>
      </c>
      <c r="Q802" t="n">
        <v>0</v>
      </c>
      <c r="R802" s="2" t="inlineStr"/>
    </row>
    <row r="803" ht="15" customHeight="1">
      <c r="A803" t="inlineStr">
        <is>
          <t>A 14290-2025</t>
        </is>
      </c>
      <c r="B803" s="1" t="n">
        <v>45740.67755787037</v>
      </c>
      <c r="C803" s="1" t="n">
        <v>45970</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48433-2023</t>
        </is>
      </c>
      <c r="B804" s="1" t="n">
        <v>45205</v>
      </c>
      <c r="C804" s="1" t="n">
        <v>45970</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13244-2023</t>
        </is>
      </c>
      <c r="B805" s="1" t="n">
        <v>45002</v>
      </c>
      <c r="C805" s="1" t="n">
        <v>45970</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48473-2023</t>
        </is>
      </c>
      <c r="B806" s="1" t="n">
        <v>45206.95770833334</v>
      </c>
      <c r="C806" s="1" t="n">
        <v>45970</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45970</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28135-2024</t>
        </is>
      </c>
      <c r="B808" s="1" t="n">
        <v>45476</v>
      </c>
      <c r="C808" s="1" t="n">
        <v>45970</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49043-2023</t>
        </is>
      </c>
      <c r="B809" s="1" t="n">
        <v>45209.95743055556</v>
      </c>
      <c r="C809" s="1" t="n">
        <v>45970</v>
      </c>
      <c r="D809" t="inlineStr">
        <is>
          <t>JÄMTLANDS LÄN</t>
        </is>
      </c>
      <c r="E809" t="inlineStr">
        <is>
          <t>BRÄCKE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34315-2022</t>
        </is>
      </c>
      <c r="B810" s="1" t="n">
        <v>44792</v>
      </c>
      <c r="C810" s="1" t="n">
        <v>45970</v>
      </c>
      <c r="D810" t="inlineStr">
        <is>
          <t>JÄMTLANDS LÄN</t>
        </is>
      </c>
      <c r="E810" t="inlineStr">
        <is>
          <t>BRÄCKE</t>
        </is>
      </c>
      <c r="G810" t="n">
        <v>4.9</v>
      </c>
      <c r="H810" t="n">
        <v>0</v>
      </c>
      <c r="I810" t="n">
        <v>0</v>
      </c>
      <c r="J810" t="n">
        <v>0</v>
      </c>
      <c r="K810" t="n">
        <v>0</v>
      </c>
      <c r="L810" t="n">
        <v>0</v>
      </c>
      <c r="M810" t="n">
        <v>0</v>
      </c>
      <c r="N810" t="n">
        <v>0</v>
      </c>
      <c r="O810" t="n">
        <v>0</v>
      </c>
      <c r="P810" t="n">
        <v>0</v>
      </c>
      <c r="Q810" t="n">
        <v>0</v>
      </c>
      <c r="R810" s="2" t="inlineStr"/>
    </row>
    <row r="811" ht="15" customHeight="1">
      <c r="A811" t="inlineStr">
        <is>
          <t>A 49707-2024</t>
        </is>
      </c>
      <c r="B811" s="1" t="n">
        <v>45596.69832175926</v>
      </c>
      <c r="C811" s="1" t="n">
        <v>45970</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57942-2023</t>
        </is>
      </c>
      <c r="B812" s="1" t="n">
        <v>45244</v>
      </c>
      <c r="C812" s="1" t="n">
        <v>45970</v>
      </c>
      <c r="D812" t="inlineStr">
        <is>
          <t>JÄMTLANDS LÄN</t>
        </is>
      </c>
      <c r="E812" t="inlineStr">
        <is>
          <t>BRÄCKE</t>
        </is>
      </c>
      <c r="G812" t="n">
        <v>3.9</v>
      </c>
      <c r="H812" t="n">
        <v>0</v>
      </c>
      <c r="I812" t="n">
        <v>0</v>
      </c>
      <c r="J812" t="n">
        <v>0</v>
      </c>
      <c r="K812" t="n">
        <v>0</v>
      </c>
      <c r="L812" t="n">
        <v>0</v>
      </c>
      <c r="M812" t="n">
        <v>0</v>
      </c>
      <c r="N812" t="n">
        <v>0</v>
      </c>
      <c r="O812" t="n">
        <v>0</v>
      </c>
      <c r="P812" t="n">
        <v>0</v>
      </c>
      <c r="Q812" t="n">
        <v>0</v>
      </c>
      <c r="R812" s="2" t="inlineStr"/>
    </row>
    <row r="813" ht="15" customHeight="1">
      <c r="A813" t="inlineStr">
        <is>
          <t>A 44324-2023</t>
        </is>
      </c>
      <c r="B813" s="1" t="n">
        <v>45188</v>
      </c>
      <c r="C813" s="1" t="n">
        <v>45970</v>
      </c>
      <c r="D813" t="inlineStr">
        <is>
          <t>JÄMTLANDS LÄN</t>
        </is>
      </c>
      <c r="E813" t="inlineStr">
        <is>
          <t>BRÄCKE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39506-2025</t>
        </is>
      </c>
      <c r="B814" s="1" t="n">
        <v>45890.40703703704</v>
      </c>
      <c r="C814" s="1" t="n">
        <v>45970</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4861-2025</t>
        </is>
      </c>
      <c r="B815" s="1" t="n">
        <v>45688.67481481482</v>
      </c>
      <c r="C815" s="1" t="n">
        <v>45970</v>
      </c>
      <c r="D815" t="inlineStr">
        <is>
          <t>JÄMTLANDS LÄN</t>
        </is>
      </c>
      <c r="E815" t="inlineStr">
        <is>
          <t>BRÄCKE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33870-2023</t>
        </is>
      </c>
      <c r="B816" s="1" t="n">
        <v>45133.95326388889</v>
      </c>
      <c r="C816" s="1" t="n">
        <v>45970</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15261-2025</t>
        </is>
      </c>
      <c r="B817" s="1" t="n">
        <v>45744</v>
      </c>
      <c r="C817" s="1" t="n">
        <v>45970</v>
      </c>
      <c r="D817" t="inlineStr">
        <is>
          <t>JÄMTLANDS LÄN</t>
        </is>
      </c>
      <c r="E817" t="inlineStr">
        <is>
          <t>BRÄCKE</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45970</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47826-2025</t>
        </is>
      </c>
      <c r="B819" s="1" t="n">
        <v>45932.34487268519</v>
      </c>
      <c r="C819" s="1" t="n">
        <v>45970</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39662-2024</t>
        </is>
      </c>
      <c r="B820" s="1" t="n">
        <v>45552.51068287037</v>
      </c>
      <c r="C820" s="1" t="n">
        <v>45970</v>
      </c>
      <c r="D820" t="inlineStr">
        <is>
          <t>JÄMTLANDS LÄN</t>
        </is>
      </c>
      <c r="E820" t="inlineStr">
        <is>
          <t>BRÄCKE</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45970</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20093-2023</t>
        </is>
      </c>
      <c r="B822" s="1" t="n">
        <v>45054.94181712963</v>
      </c>
      <c r="C822" s="1" t="n">
        <v>45970</v>
      </c>
      <c r="D822" t="inlineStr">
        <is>
          <t>JÄMTLANDS LÄN</t>
        </is>
      </c>
      <c r="E822" t="inlineStr">
        <is>
          <t>BRÄCKE</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11545-2025</t>
        </is>
      </c>
      <c r="B823" s="1" t="n">
        <v>45727</v>
      </c>
      <c r="C823" s="1" t="n">
        <v>45970</v>
      </c>
      <c r="D823" t="inlineStr">
        <is>
          <t>JÄMTLANDS LÄN</t>
        </is>
      </c>
      <c r="E823" t="inlineStr">
        <is>
          <t>BRÄCKE</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2954-2023</t>
        </is>
      </c>
      <c r="B824" s="1" t="n">
        <v>44945.62861111111</v>
      </c>
      <c r="C824" s="1" t="n">
        <v>45970</v>
      </c>
      <c r="D824" t="inlineStr">
        <is>
          <t>JÄMTLANDS LÄN</t>
        </is>
      </c>
      <c r="E824" t="inlineStr">
        <is>
          <t>BRÄCKE</t>
        </is>
      </c>
      <c r="F824" t="inlineStr">
        <is>
          <t>Övriga Aktiebolag</t>
        </is>
      </c>
      <c r="G824" t="n">
        <v>5.7</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45970</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8891-2025</t>
        </is>
      </c>
      <c r="B826" s="1" t="n">
        <v>45713.39917824074</v>
      </c>
      <c r="C826" s="1" t="n">
        <v>45970</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15423-2025</t>
        </is>
      </c>
      <c r="B827" s="1" t="n">
        <v>45747.4640162037</v>
      </c>
      <c r="C827" s="1" t="n">
        <v>45970</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19342-2025</t>
        </is>
      </c>
      <c r="B828" s="1" t="n">
        <v>45769.59520833333</v>
      </c>
      <c r="C828" s="1" t="n">
        <v>45970</v>
      </c>
      <c r="D828" t="inlineStr">
        <is>
          <t>JÄMTLANDS LÄN</t>
        </is>
      </c>
      <c r="E828" t="inlineStr">
        <is>
          <t>BRÄCKE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30287-2024</t>
        </is>
      </c>
      <c r="B829" s="1" t="n">
        <v>45490.6452199074</v>
      </c>
      <c r="C829" s="1" t="n">
        <v>45970</v>
      </c>
      <c r="D829" t="inlineStr">
        <is>
          <t>JÄMTLANDS LÄN</t>
        </is>
      </c>
      <c r="E829" t="inlineStr">
        <is>
          <t>BRÄCKE</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45970</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6213-2025</t>
        </is>
      </c>
      <c r="B831" s="1" t="n">
        <v>45698.51072916666</v>
      </c>
      <c r="C831" s="1" t="n">
        <v>45970</v>
      </c>
      <c r="D831" t="inlineStr">
        <is>
          <t>JÄMTLANDS LÄN</t>
        </is>
      </c>
      <c r="E831" t="inlineStr">
        <is>
          <t>BRÄCKE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20513-2024</t>
        </is>
      </c>
      <c r="B832" s="1" t="n">
        <v>45435.94380787037</v>
      </c>
      <c r="C832" s="1" t="n">
        <v>45970</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17907-2025</t>
        </is>
      </c>
      <c r="B833" s="1" t="n">
        <v>45758.73046296297</v>
      </c>
      <c r="C833" s="1" t="n">
        <v>45970</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58740-2023</t>
        </is>
      </c>
      <c r="B834" s="1" t="n">
        <v>45251.92890046296</v>
      </c>
      <c r="C834" s="1" t="n">
        <v>45970</v>
      </c>
      <c r="D834" t="inlineStr">
        <is>
          <t>JÄMTLANDS LÄN</t>
        </is>
      </c>
      <c r="E834" t="inlineStr">
        <is>
          <t>BRÄCKE</t>
        </is>
      </c>
      <c r="G834" t="n">
        <v>1.4</v>
      </c>
      <c r="H834" t="n">
        <v>0</v>
      </c>
      <c r="I834" t="n">
        <v>0</v>
      </c>
      <c r="J834" t="n">
        <v>0</v>
      </c>
      <c r="K834" t="n">
        <v>0</v>
      </c>
      <c r="L834" t="n">
        <v>0</v>
      </c>
      <c r="M834" t="n">
        <v>0</v>
      </c>
      <c r="N834" t="n">
        <v>0</v>
      </c>
      <c r="O834" t="n">
        <v>0</v>
      </c>
      <c r="P834" t="n">
        <v>0</v>
      </c>
      <c r="Q834" t="n">
        <v>0</v>
      </c>
      <c r="R834" s="2" t="inlineStr"/>
    </row>
    <row r="835" ht="15" customHeight="1">
      <c r="A835" t="inlineStr">
        <is>
          <t>A 26444-2022</t>
        </is>
      </c>
      <c r="B835" s="1" t="n">
        <v>44738.93929398148</v>
      </c>
      <c r="C835" s="1" t="n">
        <v>45970</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35395-2024</t>
        </is>
      </c>
      <c r="B836" s="1" t="n">
        <v>45531.403125</v>
      </c>
      <c r="C836" s="1" t="n">
        <v>45970</v>
      </c>
      <c r="D836" t="inlineStr">
        <is>
          <t>JÄMTLANDS LÄN</t>
        </is>
      </c>
      <c r="E836" t="inlineStr">
        <is>
          <t>BRÄCKE</t>
        </is>
      </c>
      <c r="F836" t="inlineStr">
        <is>
          <t>SCA</t>
        </is>
      </c>
      <c r="G836" t="n">
        <v>23.2</v>
      </c>
      <c r="H836" t="n">
        <v>0</v>
      </c>
      <c r="I836" t="n">
        <v>0</v>
      </c>
      <c r="J836" t="n">
        <v>0</v>
      </c>
      <c r="K836" t="n">
        <v>0</v>
      </c>
      <c r="L836" t="n">
        <v>0</v>
      </c>
      <c r="M836" t="n">
        <v>0</v>
      </c>
      <c r="N836" t="n">
        <v>0</v>
      </c>
      <c r="O836" t="n">
        <v>0</v>
      </c>
      <c r="P836" t="n">
        <v>0</v>
      </c>
      <c r="Q836" t="n">
        <v>0</v>
      </c>
      <c r="R836" s="2" t="inlineStr"/>
    </row>
    <row r="837" ht="15" customHeight="1">
      <c r="A837" t="inlineStr">
        <is>
          <t>A 35400-2024</t>
        </is>
      </c>
      <c r="B837" s="1" t="n">
        <v>45531.40457175926</v>
      </c>
      <c r="C837" s="1" t="n">
        <v>45970</v>
      </c>
      <c r="D837" t="inlineStr">
        <is>
          <t>JÄMTLANDS LÄN</t>
        </is>
      </c>
      <c r="E837" t="inlineStr">
        <is>
          <t>BRÄCKE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20803-2021</t>
        </is>
      </c>
      <c r="B838" s="1" t="n">
        <v>44316</v>
      </c>
      <c r="C838" s="1" t="n">
        <v>45970</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45970</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22986-2023</t>
        </is>
      </c>
      <c r="B840" s="1" t="n">
        <v>45072.94140046297</v>
      </c>
      <c r="C840" s="1" t="n">
        <v>45970</v>
      </c>
      <c r="D840" t="inlineStr">
        <is>
          <t>JÄMTLANDS LÄN</t>
        </is>
      </c>
      <c r="E840" t="inlineStr">
        <is>
          <t>BRÄCKE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2064-2024</t>
        </is>
      </c>
      <c r="B841" s="1" t="n">
        <v>45308</v>
      </c>
      <c r="C841" s="1" t="n">
        <v>45970</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26100-2021</t>
        </is>
      </c>
      <c r="B842" s="1" t="n">
        <v>44344.93584490741</v>
      </c>
      <c r="C842" s="1" t="n">
        <v>45970</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8052-2022</t>
        </is>
      </c>
      <c r="B843" s="1" t="n">
        <v>44609</v>
      </c>
      <c r="C843" s="1" t="n">
        <v>45970</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39272-2025</t>
        </is>
      </c>
      <c r="B844" s="1" t="n">
        <v>45889.38640046296</v>
      </c>
      <c r="C844" s="1" t="n">
        <v>45970</v>
      </c>
      <c r="D844" t="inlineStr">
        <is>
          <t>JÄMTLANDS LÄN</t>
        </is>
      </c>
      <c r="E844" t="inlineStr">
        <is>
          <t>BRÄCKE</t>
        </is>
      </c>
      <c r="F844" t="inlineStr">
        <is>
          <t>SCA</t>
        </is>
      </c>
      <c r="G844" t="n">
        <v>13.1</v>
      </c>
      <c r="H844" t="n">
        <v>0</v>
      </c>
      <c r="I844" t="n">
        <v>0</v>
      </c>
      <c r="J844" t="n">
        <v>0</v>
      </c>
      <c r="K844" t="n">
        <v>0</v>
      </c>
      <c r="L844" t="n">
        <v>0</v>
      </c>
      <c r="M844" t="n">
        <v>0</v>
      </c>
      <c r="N844" t="n">
        <v>0</v>
      </c>
      <c r="O844" t="n">
        <v>0</v>
      </c>
      <c r="P844" t="n">
        <v>0</v>
      </c>
      <c r="Q844" t="n">
        <v>0</v>
      </c>
      <c r="R844" s="2" t="inlineStr"/>
    </row>
    <row r="845" ht="15" customHeight="1">
      <c r="A845" t="inlineStr">
        <is>
          <t>A 26351-2023</t>
        </is>
      </c>
      <c r="B845" s="1" t="n">
        <v>45091</v>
      </c>
      <c r="C845" s="1" t="n">
        <v>45970</v>
      </c>
      <c r="D845" t="inlineStr">
        <is>
          <t>JÄMTLANDS LÄN</t>
        </is>
      </c>
      <c r="E845" t="inlineStr">
        <is>
          <t>BRÄCKE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61483-2024</t>
        </is>
      </c>
      <c r="B846" s="1" t="n">
        <v>45646.52915509259</v>
      </c>
      <c r="C846" s="1" t="n">
        <v>45970</v>
      </c>
      <c r="D846" t="inlineStr">
        <is>
          <t>JÄMTLANDS LÄN</t>
        </is>
      </c>
      <c r="E846" t="inlineStr">
        <is>
          <t>BRÄCKE</t>
        </is>
      </c>
      <c r="F846" t="inlineStr">
        <is>
          <t>Övriga Aktiebolag</t>
        </is>
      </c>
      <c r="G846" t="n">
        <v>13.8</v>
      </c>
      <c r="H846" t="n">
        <v>0</v>
      </c>
      <c r="I846" t="n">
        <v>0</v>
      </c>
      <c r="J846" t="n">
        <v>0</v>
      </c>
      <c r="K846" t="n">
        <v>0</v>
      </c>
      <c r="L846" t="n">
        <v>0</v>
      </c>
      <c r="M846" t="n">
        <v>0</v>
      </c>
      <c r="N846" t="n">
        <v>0</v>
      </c>
      <c r="O846" t="n">
        <v>0</v>
      </c>
      <c r="P846" t="n">
        <v>0</v>
      </c>
      <c r="Q846" t="n">
        <v>0</v>
      </c>
      <c r="R846" s="2" t="inlineStr"/>
    </row>
    <row r="847" ht="15" customHeight="1">
      <c r="A847" t="inlineStr">
        <is>
          <t>A 24195-2023</t>
        </is>
      </c>
      <c r="B847" s="1" t="n">
        <v>45079</v>
      </c>
      <c r="C847" s="1" t="n">
        <v>45970</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50151-2023</t>
        </is>
      </c>
      <c r="B848" s="1" t="n">
        <v>45208</v>
      </c>
      <c r="C848" s="1" t="n">
        <v>45970</v>
      </c>
      <c r="D848" t="inlineStr">
        <is>
          <t>JÄMTLANDS LÄN</t>
        </is>
      </c>
      <c r="E848" t="inlineStr">
        <is>
          <t>BRÄCKE</t>
        </is>
      </c>
      <c r="G848" t="n">
        <v>0.8</v>
      </c>
      <c r="H848" t="n">
        <v>0</v>
      </c>
      <c r="I848" t="n">
        <v>0</v>
      </c>
      <c r="J848" t="n">
        <v>0</v>
      </c>
      <c r="K848" t="n">
        <v>0</v>
      </c>
      <c r="L848" t="n">
        <v>0</v>
      </c>
      <c r="M848" t="n">
        <v>0</v>
      </c>
      <c r="N848" t="n">
        <v>0</v>
      </c>
      <c r="O848" t="n">
        <v>0</v>
      </c>
      <c r="P848" t="n">
        <v>0</v>
      </c>
      <c r="Q848" t="n">
        <v>0</v>
      </c>
      <c r="R848" s="2" t="inlineStr"/>
    </row>
    <row r="849" ht="15" customHeight="1">
      <c r="A849" t="inlineStr">
        <is>
          <t>A 12889-2024</t>
        </is>
      </c>
      <c r="B849" s="1" t="n">
        <v>45385</v>
      </c>
      <c r="C849" s="1" t="n">
        <v>45970</v>
      </c>
      <c r="D849" t="inlineStr">
        <is>
          <t>JÄMTLANDS LÄN</t>
        </is>
      </c>
      <c r="E849" t="inlineStr">
        <is>
          <t>BRÄCKE</t>
        </is>
      </c>
      <c r="F849" t="inlineStr">
        <is>
          <t>Kyrkan</t>
        </is>
      </c>
      <c r="G849" t="n">
        <v>12.1</v>
      </c>
      <c r="H849" t="n">
        <v>0</v>
      </c>
      <c r="I849" t="n">
        <v>0</v>
      </c>
      <c r="J849" t="n">
        <v>0</v>
      </c>
      <c r="K849" t="n">
        <v>0</v>
      </c>
      <c r="L849" t="n">
        <v>0</v>
      </c>
      <c r="M849" t="n">
        <v>0</v>
      </c>
      <c r="N849" t="n">
        <v>0</v>
      </c>
      <c r="O849" t="n">
        <v>0</v>
      </c>
      <c r="P849" t="n">
        <v>0</v>
      </c>
      <c r="Q849" t="n">
        <v>0</v>
      </c>
      <c r="R849" s="2" t="inlineStr"/>
    </row>
    <row r="850" ht="15" customHeight="1">
      <c r="A850" t="inlineStr">
        <is>
          <t>A 12640-2025</t>
        </is>
      </c>
      <c r="B850" s="1" t="n">
        <v>45733.38606481482</v>
      </c>
      <c r="C850" s="1" t="n">
        <v>45970</v>
      </c>
      <c r="D850" t="inlineStr">
        <is>
          <t>JÄMTLANDS LÄN</t>
        </is>
      </c>
      <c r="E850" t="inlineStr">
        <is>
          <t>BRÄCKE</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12900-2023</t>
        </is>
      </c>
      <c r="B851" s="1" t="n">
        <v>45001</v>
      </c>
      <c r="C851" s="1" t="n">
        <v>45970</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64495-2020</t>
        </is>
      </c>
      <c r="B852" s="1" t="n">
        <v>44168</v>
      </c>
      <c r="C852" s="1" t="n">
        <v>45970</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46952-2021</t>
        </is>
      </c>
      <c r="B853" s="1" t="n">
        <v>44446</v>
      </c>
      <c r="C853" s="1" t="n">
        <v>45970</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47714-2025</t>
        </is>
      </c>
      <c r="B854" s="1" t="n">
        <v>45931.61553240741</v>
      </c>
      <c r="C854" s="1" t="n">
        <v>45970</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56687-2023</t>
        </is>
      </c>
      <c r="B855" s="1" t="n">
        <v>45243.96633101852</v>
      </c>
      <c r="C855" s="1" t="n">
        <v>45970</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56688-2023</t>
        </is>
      </c>
      <c r="B856" s="1" t="n">
        <v>45243.96645833334</v>
      </c>
      <c r="C856" s="1" t="n">
        <v>45970</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16059-2024</t>
        </is>
      </c>
      <c r="B857" s="1" t="n">
        <v>45406.04950231482</v>
      </c>
      <c r="C857" s="1" t="n">
        <v>45970</v>
      </c>
      <c r="D857" t="inlineStr">
        <is>
          <t>JÄMTLANDS LÄN</t>
        </is>
      </c>
      <c r="E857" t="inlineStr">
        <is>
          <t>BRÄCKE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16372-2023</t>
        </is>
      </c>
      <c r="B858" s="1" t="n">
        <v>45028.94083333333</v>
      </c>
      <c r="C858" s="1" t="n">
        <v>45970</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16512-2024</t>
        </is>
      </c>
      <c r="B859" s="1" t="n">
        <v>45408.39922453704</v>
      </c>
      <c r="C859" s="1" t="n">
        <v>45970</v>
      </c>
      <c r="D859" t="inlineStr">
        <is>
          <t>JÄMTLANDS LÄN</t>
        </is>
      </c>
      <c r="E859" t="inlineStr">
        <is>
          <t>BRÄCKE</t>
        </is>
      </c>
      <c r="G859" t="n">
        <v>3.2</v>
      </c>
      <c r="H859" t="n">
        <v>0</v>
      </c>
      <c r="I859" t="n">
        <v>0</v>
      </c>
      <c r="J859" t="n">
        <v>0</v>
      </c>
      <c r="K859" t="n">
        <v>0</v>
      </c>
      <c r="L859" t="n">
        <v>0</v>
      </c>
      <c r="M859" t="n">
        <v>0</v>
      </c>
      <c r="N859" t="n">
        <v>0</v>
      </c>
      <c r="O859" t="n">
        <v>0</v>
      </c>
      <c r="P859" t="n">
        <v>0</v>
      </c>
      <c r="Q859" t="n">
        <v>0</v>
      </c>
      <c r="R859" s="2" t="inlineStr"/>
    </row>
    <row r="860" ht="15" customHeight="1">
      <c r="A860" t="inlineStr">
        <is>
          <t>A 21380-2024</t>
        </is>
      </c>
      <c r="B860" s="1" t="n">
        <v>45440</v>
      </c>
      <c r="C860" s="1" t="n">
        <v>45970</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21381-2024</t>
        </is>
      </c>
      <c r="B861" s="1" t="n">
        <v>45440.95402777778</v>
      </c>
      <c r="C861" s="1" t="n">
        <v>45970</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25883-2024</t>
        </is>
      </c>
      <c r="B862" s="1" t="n">
        <v>45467.49233796296</v>
      </c>
      <c r="C862" s="1" t="n">
        <v>45970</v>
      </c>
      <c r="D862" t="inlineStr">
        <is>
          <t>JÄMTLANDS LÄN</t>
        </is>
      </c>
      <c r="E862" t="inlineStr">
        <is>
          <t>BRÄCKE</t>
        </is>
      </c>
      <c r="G862" t="n">
        <v>1.8</v>
      </c>
      <c r="H862" t="n">
        <v>0</v>
      </c>
      <c r="I862" t="n">
        <v>0</v>
      </c>
      <c r="J862" t="n">
        <v>0</v>
      </c>
      <c r="K862" t="n">
        <v>0</v>
      </c>
      <c r="L862" t="n">
        <v>0</v>
      </c>
      <c r="M862" t="n">
        <v>0</v>
      </c>
      <c r="N862" t="n">
        <v>0</v>
      </c>
      <c r="O862" t="n">
        <v>0</v>
      </c>
      <c r="P862" t="n">
        <v>0</v>
      </c>
      <c r="Q862" t="n">
        <v>0</v>
      </c>
      <c r="R862" s="2" t="inlineStr"/>
    </row>
    <row r="863" ht="15" customHeight="1">
      <c r="A863" t="inlineStr">
        <is>
          <t>A 4365-2023</t>
        </is>
      </c>
      <c r="B863" s="1" t="n">
        <v>44954</v>
      </c>
      <c r="C863" s="1" t="n">
        <v>45970</v>
      </c>
      <c r="D863" t="inlineStr">
        <is>
          <t>JÄMTLANDS LÄN</t>
        </is>
      </c>
      <c r="E863" t="inlineStr">
        <is>
          <t>BRÄCKE</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67612-2020</t>
        </is>
      </c>
      <c r="B864" s="1" t="n">
        <v>44181</v>
      </c>
      <c r="C864" s="1" t="n">
        <v>45970</v>
      </c>
      <c r="D864" t="inlineStr">
        <is>
          <t>JÄMTLANDS LÄN</t>
        </is>
      </c>
      <c r="E864" t="inlineStr">
        <is>
          <t>BRÄCKE</t>
        </is>
      </c>
      <c r="G864" t="n">
        <v>1.8</v>
      </c>
      <c r="H864" t="n">
        <v>0</v>
      </c>
      <c r="I864" t="n">
        <v>0</v>
      </c>
      <c r="J864" t="n">
        <v>0</v>
      </c>
      <c r="K864" t="n">
        <v>0</v>
      </c>
      <c r="L864" t="n">
        <v>0</v>
      </c>
      <c r="M864" t="n">
        <v>0</v>
      </c>
      <c r="N864" t="n">
        <v>0</v>
      </c>
      <c r="O864" t="n">
        <v>0</v>
      </c>
      <c r="P864" t="n">
        <v>0</v>
      </c>
      <c r="Q864" t="n">
        <v>0</v>
      </c>
      <c r="R864" s="2" t="inlineStr"/>
    </row>
    <row r="865" ht="15" customHeight="1">
      <c r="A865" t="inlineStr">
        <is>
          <t>A 62074-2023</t>
        </is>
      </c>
      <c r="B865" s="1" t="n">
        <v>45266</v>
      </c>
      <c r="C865" s="1" t="n">
        <v>45970</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20879-2023</t>
        </is>
      </c>
      <c r="B866" s="1" t="n">
        <v>45058.94399305555</v>
      </c>
      <c r="C866" s="1" t="n">
        <v>45970</v>
      </c>
      <c r="D866" t="inlineStr">
        <is>
          <t>JÄMTLANDS LÄN</t>
        </is>
      </c>
      <c r="E866" t="inlineStr">
        <is>
          <t>BRÄCKE</t>
        </is>
      </c>
      <c r="F866" t="inlineStr">
        <is>
          <t>Naturvårdsverket</t>
        </is>
      </c>
      <c r="G866" t="n">
        <v>0.9</v>
      </c>
      <c r="H866" t="n">
        <v>0</v>
      </c>
      <c r="I866" t="n">
        <v>0</v>
      </c>
      <c r="J866" t="n">
        <v>0</v>
      </c>
      <c r="K866" t="n">
        <v>0</v>
      </c>
      <c r="L866" t="n">
        <v>0</v>
      </c>
      <c r="M866" t="n">
        <v>0</v>
      </c>
      <c r="N866" t="n">
        <v>0</v>
      </c>
      <c r="O866" t="n">
        <v>0</v>
      </c>
      <c r="P866" t="n">
        <v>0</v>
      </c>
      <c r="Q866" t="n">
        <v>0</v>
      </c>
      <c r="R866" s="2" t="inlineStr"/>
    </row>
    <row r="867" ht="15" customHeight="1">
      <c r="A867" t="inlineStr">
        <is>
          <t>A 43123-2023</t>
        </is>
      </c>
      <c r="B867" s="1" t="n">
        <v>45182</v>
      </c>
      <c r="C867" s="1" t="n">
        <v>45970</v>
      </c>
      <c r="D867" t="inlineStr">
        <is>
          <t>JÄMTLANDS LÄN</t>
        </is>
      </c>
      <c r="E867" t="inlineStr">
        <is>
          <t>BRÄCKE</t>
        </is>
      </c>
      <c r="F867" t="inlineStr">
        <is>
          <t>Naturvårdsverket</t>
        </is>
      </c>
      <c r="G867" t="n">
        <v>9.9</v>
      </c>
      <c r="H867" t="n">
        <v>0</v>
      </c>
      <c r="I867" t="n">
        <v>0</v>
      </c>
      <c r="J867" t="n">
        <v>0</v>
      </c>
      <c r="K867" t="n">
        <v>0</v>
      </c>
      <c r="L867" t="n">
        <v>0</v>
      </c>
      <c r="M867" t="n">
        <v>0</v>
      </c>
      <c r="N867" t="n">
        <v>0</v>
      </c>
      <c r="O867" t="n">
        <v>0</v>
      </c>
      <c r="P867" t="n">
        <v>0</v>
      </c>
      <c r="Q867" t="n">
        <v>0</v>
      </c>
      <c r="R867" s="2" t="inlineStr"/>
    </row>
    <row r="868" ht="15" customHeight="1">
      <c r="A868" t="inlineStr">
        <is>
          <t>A 26353-2023</t>
        </is>
      </c>
      <c r="B868" s="1" t="n">
        <v>45091.94232638889</v>
      </c>
      <c r="C868" s="1" t="n">
        <v>45970</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27354-2023</t>
        </is>
      </c>
      <c r="B869" s="1" t="n">
        <v>45096</v>
      </c>
      <c r="C869" s="1" t="n">
        <v>45970</v>
      </c>
      <c r="D869" t="inlineStr">
        <is>
          <t>JÄMTLANDS LÄN</t>
        </is>
      </c>
      <c r="E869" t="inlineStr">
        <is>
          <t>BRÄCKE</t>
        </is>
      </c>
      <c r="G869" t="n">
        <v>2.3</v>
      </c>
      <c r="H869" t="n">
        <v>0</v>
      </c>
      <c r="I869" t="n">
        <v>0</v>
      </c>
      <c r="J869" t="n">
        <v>0</v>
      </c>
      <c r="K869" t="n">
        <v>0</v>
      </c>
      <c r="L869" t="n">
        <v>0</v>
      </c>
      <c r="M869" t="n">
        <v>0</v>
      </c>
      <c r="N869" t="n">
        <v>0</v>
      </c>
      <c r="O869" t="n">
        <v>0</v>
      </c>
      <c r="P869" t="n">
        <v>0</v>
      </c>
      <c r="Q869" t="n">
        <v>0</v>
      </c>
      <c r="R869" s="2" t="inlineStr"/>
    </row>
    <row r="870" ht="15" customHeight="1">
      <c r="A870" t="inlineStr">
        <is>
          <t>A 47983-2021</t>
        </is>
      </c>
      <c r="B870" s="1" t="n">
        <v>44448</v>
      </c>
      <c r="C870" s="1" t="n">
        <v>45970</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6622-2025</t>
        </is>
      </c>
      <c r="B871" s="1" t="n">
        <v>45700.36594907408</v>
      </c>
      <c r="C871" s="1" t="n">
        <v>45970</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48480-2023</t>
        </is>
      </c>
      <c r="B872" s="1" t="n">
        <v>45206.95831018518</v>
      </c>
      <c r="C872" s="1" t="n">
        <v>45970</v>
      </c>
      <c r="D872" t="inlineStr">
        <is>
          <t>JÄMTLANDS LÄN</t>
        </is>
      </c>
      <c r="E872" t="inlineStr">
        <is>
          <t>BRÄCKE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41825-2024</t>
        </is>
      </c>
      <c r="B873" s="1" t="n">
        <v>45561.39943287037</v>
      </c>
      <c r="C873" s="1" t="n">
        <v>45970</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48067-2025</t>
        </is>
      </c>
      <c r="B874" s="1" t="n">
        <v>45932.69829861111</v>
      </c>
      <c r="C874" s="1" t="n">
        <v>45970</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14798-2023</t>
        </is>
      </c>
      <c r="B875" s="1" t="n">
        <v>45014.61738425926</v>
      </c>
      <c r="C875" s="1" t="n">
        <v>45970</v>
      </c>
      <c r="D875" t="inlineStr">
        <is>
          <t>JÄMTLANDS LÄN</t>
        </is>
      </c>
      <c r="E875" t="inlineStr">
        <is>
          <t>BRÄCKE</t>
        </is>
      </c>
      <c r="G875" t="n">
        <v>3.5</v>
      </c>
      <c r="H875" t="n">
        <v>0</v>
      </c>
      <c r="I875" t="n">
        <v>0</v>
      </c>
      <c r="J875" t="n">
        <v>0</v>
      </c>
      <c r="K875" t="n">
        <v>0</v>
      </c>
      <c r="L875" t="n">
        <v>0</v>
      </c>
      <c r="M875" t="n">
        <v>0</v>
      </c>
      <c r="N875" t="n">
        <v>0</v>
      </c>
      <c r="O875" t="n">
        <v>0</v>
      </c>
      <c r="P875" t="n">
        <v>0</v>
      </c>
      <c r="Q875" t="n">
        <v>0</v>
      </c>
      <c r="R875" s="2" t="inlineStr"/>
    </row>
    <row r="876" ht="15" customHeight="1">
      <c r="A876" t="inlineStr">
        <is>
          <t>A 9824-2025</t>
        </is>
      </c>
      <c r="B876" s="1" t="n">
        <v>45716</v>
      </c>
      <c r="C876" s="1" t="n">
        <v>45970</v>
      </c>
      <c r="D876" t="inlineStr">
        <is>
          <t>JÄMTLANDS LÄN</t>
        </is>
      </c>
      <c r="E876" t="inlineStr">
        <is>
          <t>BRÄCKE</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49721-2024</t>
        </is>
      </c>
      <c r="B877" s="1" t="n">
        <v>45596.72841435186</v>
      </c>
      <c r="C877" s="1" t="n">
        <v>45970</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10088-2025</t>
        </is>
      </c>
      <c r="B878" s="1" t="n">
        <v>45719.57335648148</v>
      </c>
      <c r="C878" s="1" t="n">
        <v>45970</v>
      </c>
      <c r="D878" t="inlineStr">
        <is>
          <t>JÄMTLANDS LÄN</t>
        </is>
      </c>
      <c r="E878" t="inlineStr">
        <is>
          <t>BRÄCKE</t>
        </is>
      </c>
      <c r="G878" t="n">
        <v>3</v>
      </c>
      <c r="H878" t="n">
        <v>0</v>
      </c>
      <c r="I878" t="n">
        <v>0</v>
      </c>
      <c r="J878" t="n">
        <v>0</v>
      </c>
      <c r="K878" t="n">
        <v>0</v>
      </c>
      <c r="L878" t="n">
        <v>0</v>
      </c>
      <c r="M878" t="n">
        <v>0</v>
      </c>
      <c r="N878" t="n">
        <v>0</v>
      </c>
      <c r="O878" t="n">
        <v>0</v>
      </c>
      <c r="P878" t="n">
        <v>0</v>
      </c>
      <c r="Q878" t="n">
        <v>0</v>
      </c>
      <c r="R878" s="2" t="inlineStr"/>
    </row>
    <row r="879" ht="15" customHeight="1">
      <c r="A879" t="inlineStr">
        <is>
          <t>A 16322-2025</t>
        </is>
      </c>
      <c r="B879" s="1" t="n">
        <v>45751.34886574074</v>
      </c>
      <c r="C879" s="1" t="n">
        <v>45970</v>
      </c>
      <c r="D879" t="inlineStr">
        <is>
          <t>JÄMTLANDS LÄN</t>
        </is>
      </c>
      <c r="E879" t="inlineStr">
        <is>
          <t>BRÄCKE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10106-2025</t>
        </is>
      </c>
      <c r="B880" s="1" t="n">
        <v>45719.58611111111</v>
      </c>
      <c r="C880" s="1" t="n">
        <v>45970</v>
      </c>
      <c r="D880" t="inlineStr">
        <is>
          <t>JÄMTLANDS LÄN</t>
        </is>
      </c>
      <c r="E880" t="inlineStr">
        <is>
          <t>BRÄCKE</t>
        </is>
      </c>
      <c r="G880" t="n">
        <v>4</v>
      </c>
      <c r="H880" t="n">
        <v>0</v>
      </c>
      <c r="I880" t="n">
        <v>0</v>
      </c>
      <c r="J880" t="n">
        <v>0</v>
      </c>
      <c r="K880" t="n">
        <v>0</v>
      </c>
      <c r="L880" t="n">
        <v>0</v>
      </c>
      <c r="M880" t="n">
        <v>0</v>
      </c>
      <c r="N880" t="n">
        <v>0</v>
      </c>
      <c r="O880" t="n">
        <v>0</v>
      </c>
      <c r="P880" t="n">
        <v>0</v>
      </c>
      <c r="Q880" t="n">
        <v>0</v>
      </c>
      <c r="R880" s="2" t="inlineStr"/>
    </row>
    <row r="881" ht="15" customHeight="1">
      <c r="A881" t="inlineStr">
        <is>
          <t>A 58758-2023</t>
        </is>
      </c>
      <c r="B881" s="1" t="n">
        <v>45251.93006944445</v>
      </c>
      <c r="C881" s="1" t="n">
        <v>45970</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56640-2021</t>
        </is>
      </c>
      <c r="B882" s="1" t="n">
        <v>44480</v>
      </c>
      <c r="C882" s="1" t="n">
        <v>45970</v>
      </c>
      <c r="D882" t="inlineStr">
        <is>
          <t>JÄMTLANDS LÄN</t>
        </is>
      </c>
      <c r="E882" t="inlineStr">
        <is>
          <t>BRÄCKE</t>
        </is>
      </c>
      <c r="G882" t="n">
        <v>2.7</v>
      </c>
      <c r="H882" t="n">
        <v>0</v>
      </c>
      <c r="I882" t="n">
        <v>0</v>
      </c>
      <c r="J882" t="n">
        <v>0</v>
      </c>
      <c r="K882" t="n">
        <v>0</v>
      </c>
      <c r="L882" t="n">
        <v>0</v>
      </c>
      <c r="M882" t="n">
        <v>0</v>
      </c>
      <c r="N882" t="n">
        <v>0</v>
      </c>
      <c r="O882" t="n">
        <v>0</v>
      </c>
      <c r="P882" t="n">
        <v>0</v>
      </c>
      <c r="Q882" t="n">
        <v>0</v>
      </c>
      <c r="R882" s="2" t="inlineStr"/>
    </row>
    <row r="883" ht="15" customHeight="1">
      <c r="A883" t="inlineStr">
        <is>
          <t>A 47868-2025</t>
        </is>
      </c>
      <c r="B883" s="1" t="n">
        <v>45932.44094907407</v>
      </c>
      <c r="C883" s="1" t="n">
        <v>45970</v>
      </c>
      <c r="D883" t="inlineStr">
        <is>
          <t>JÄMTLANDS LÄN</t>
        </is>
      </c>
      <c r="E883" t="inlineStr">
        <is>
          <t>BRÄCKE</t>
        </is>
      </c>
      <c r="F883" t="inlineStr">
        <is>
          <t>Kyrkan</t>
        </is>
      </c>
      <c r="G883" t="n">
        <v>5.9</v>
      </c>
      <c r="H883" t="n">
        <v>0</v>
      </c>
      <c r="I883" t="n">
        <v>0</v>
      </c>
      <c r="J883" t="n">
        <v>0</v>
      </c>
      <c r="K883" t="n">
        <v>0</v>
      </c>
      <c r="L883" t="n">
        <v>0</v>
      </c>
      <c r="M883" t="n">
        <v>0</v>
      </c>
      <c r="N883" t="n">
        <v>0</v>
      </c>
      <c r="O883" t="n">
        <v>0</v>
      </c>
      <c r="P883" t="n">
        <v>0</v>
      </c>
      <c r="Q883" t="n">
        <v>0</v>
      </c>
      <c r="R883" s="2" t="inlineStr"/>
    </row>
    <row r="884" ht="15" customHeight="1">
      <c r="A884" t="inlineStr">
        <is>
          <t>A 2065-2024</t>
        </is>
      </c>
      <c r="B884" s="1" t="n">
        <v>45308.97871527778</v>
      </c>
      <c r="C884" s="1" t="n">
        <v>45970</v>
      </c>
      <c r="D884" t="inlineStr">
        <is>
          <t>JÄMTLANDS LÄN</t>
        </is>
      </c>
      <c r="E884" t="inlineStr">
        <is>
          <t>BRÄCKE</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47186-2023</t>
        </is>
      </c>
      <c r="B885" s="1" t="n">
        <v>45201</v>
      </c>
      <c r="C885" s="1" t="n">
        <v>45970</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39535-2025</t>
        </is>
      </c>
      <c r="B886" s="1" t="n">
        <v>45890.44881944444</v>
      </c>
      <c r="C886" s="1" t="n">
        <v>45970</v>
      </c>
      <c r="D886" t="inlineStr">
        <is>
          <t>JÄMTLANDS LÄN</t>
        </is>
      </c>
      <c r="E886" t="inlineStr">
        <is>
          <t>BRÄCKE</t>
        </is>
      </c>
      <c r="G886" t="n">
        <v>6.4</v>
      </c>
      <c r="H886" t="n">
        <v>0</v>
      </c>
      <c r="I886" t="n">
        <v>0</v>
      </c>
      <c r="J886" t="n">
        <v>0</v>
      </c>
      <c r="K886" t="n">
        <v>0</v>
      </c>
      <c r="L886" t="n">
        <v>0</v>
      </c>
      <c r="M886" t="n">
        <v>0</v>
      </c>
      <c r="N886" t="n">
        <v>0</v>
      </c>
      <c r="O886" t="n">
        <v>0</v>
      </c>
      <c r="P886" t="n">
        <v>0</v>
      </c>
      <c r="Q886" t="n">
        <v>0</v>
      </c>
      <c r="R886" s="2" t="inlineStr"/>
    </row>
    <row r="887" ht="15" customHeight="1">
      <c r="A887" t="inlineStr">
        <is>
          <t>A 41183-2023</t>
        </is>
      </c>
      <c r="B887" s="1" t="n">
        <v>45170</v>
      </c>
      <c r="C887" s="1" t="n">
        <v>45970</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26278-2024</t>
        </is>
      </c>
      <c r="B888" s="1" t="n">
        <v>45468.68905092592</v>
      </c>
      <c r="C888" s="1" t="n">
        <v>45970</v>
      </c>
      <c r="D888" t="inlineStr">
        <is>
          <t>JÄMTLANDS LÄN</t>
        </is>
      </c>
      <c r="E888" t="inlineStr">
        <is>
          <t>BRÄCKE</t>
        </is>
      </c>
      <c r="G888" t="n">
        <v>1.7</v>
      </c>
      <c r="H888" t="n">
        <v>0</v>
      </c>
      <c r="I888" t="n">
        <v>0</v>
      </c>
      <c r="J888" t="n">
        <v>0</v>
      </c>
      <c r="K888" t="n">
        <v>0</v>
      </c>
      <c r="L888" t="n">
        <v>0</v>
      </c>
      <c r="M888" t="n">
        <v>0</v>
      </c>
      <c r="N888" t="n">
        <v>0</v>
      </c>
      <c r="O888" t="n">
        <v>0</v>
      </c>
      <c r="P888" t="n">
        <v>0</v>
      </c>
      <c r="Q888" t="n">
        <v>0</v>
      </c>
      <c r="R888" s="2" t="inlineStr"/>
    </row>
    <row r="889" ht="15" customHeight="1">
      <c r="A889" t="inlineStr">
        <is>
          <t>A 10532-2022</t>
        </is>
      </c>
      <c r="B889" s="1" t="n">
        <v>44623</v>
      </c>
      <c r="C889" s="1" t="n">
        <v>45970</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39680-2025</t>
        </is>
      </c>
      <c r="B890" s="1" t="n">
        <v>45890.65677083333</v>
      </c>
      <c r="C890" s="1" t="n">
        <v>45970</v>
      </c>
      <c r="D890" t="inlineStr">
        <is>
          <t>JÄMTLANDS LÄN</t>
        </is>
      </c>
      <c r="E890" t="inlineStr">
        <is>
          <t>BRÄCKE</t>
        </is>
      </c>
      <c r="G890" t="n">
        <v>3.3</v>
      </c>
      <c r="H890" t="n">
        <v>0</v>
      </c>
      <c r="I890" t="n">
        <v>0</v>
      </c>
      <c r="J890" t="n">
        <v>0</v>
      </c>
      <c r="K890" t="n">
        <v>0</v>
      </c>
      <c r="L890" t="n">
        <v>0</v>
      </c>
      <c r="M890" t="n">
        <v>0</v>
      </c>
      <c r="N890" t="n">
        <v>0</v>
      </c>
      <c r="O890" t="n">
        <v>0</v>
      </c>
      <c r="P890" t="n">
        <v>0</v>
      </c>
      <c r="Q890" t="n">
        <v>0</v>
      </c>
      <c r="R890" s="2" t="inlineStr"/>
    </row>
    <row r="891" ht="15" customHeight="1">
      <c r="A891" t="inlineStr">
        <is>
          <t>A 11309-2025</t>
        </is>
      </c>
      <c r="B891" s="1" t="n">
        <v>45726</v>
      </c>
      <c r="C891" s="1" t="n">
        <v>45970</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39377-2025</t>
        </is>
      </c>
      <c r="B892" s="1" t="n">
        <v>45889.59434027778</v>
      </c>
      <c r="C892" s="1" t="n">
        <v>45970</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47873-2025</t>
        </is>
      </c>
      <c r="B893" s="1" t="n">
        <v>45932.4528587963</v>
      </c>
      <c r="C893" s="1" t="n">
        <v>45970</v>
      </c>
      <c r="D893" t="inlineStr">
        <is>
          <t>JÄMTLANDS LÄN</t>
        </is>
      </c>
      <c r="E893" t="inlineStr">
        <is>
          <t>BRÄCKE</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49591-2024</t>
        </is>
      </c>
      <c r="B894" s="1" t="n">
        <v>45596.5525</v>
      </c>
      <c r="C894" s="1" t="n">
        <v>45970</v>
      </c>
      <c r="D894" t="inlineStr">
        <is>
          <t>JÄMTLANDS LÄN</t>
        </is>
      </c>
      <c r="E894" t="inlineStr">
        <is>
          <t>BRÄCKE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39273-2025</t>
        </is>
      </c>
      <c r="B895" s="1" t="n">
        <v>45889.38655092593</v>
      </c>
      <c r="C895" s="1" t="n">
        <v>45970</v>
      </c>
      <c r="D895" t="inlineStr">
        <is>
          <t>JÄMTLANDS LÄN</t>
        </is>
      </c>
      <c r="E895" t="inlineStr">
        <is>
          <t>BRÄCKE</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39385-2025</t>
        </is>
      </c>
      <c r="B896" s="1" t="n">
        <v>45889.61550925926</v>
      </c>
      <c r="C896" s="1" t="n">
        <v>45970</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39355-2025</t>
        </is>
      </c>
      <c r="B897" s="1" t="n">
        <v>45889.55252314815</v>
      </c>
      <c r="C897" s="1" t="n">
        <v>45970</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39505-2025</t>
        </is>
      </c>
      <c r="B898" s="1" t="n">
        <v>45890.40689814815</v>
      </c>
      <c r="C898" s="1" t="n">
        <v>45970</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26350-2023</t>
        </is>
      </c>
      <c r="B899" s="1" t="n">
        <v>45091.9421412037</v>
      </c>
      <c r="C899" s="1" t="n">
        <v>45970</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48562-2025</t>
        </is>
      </c>
      <c r="B900" s="1" t="n">
        <v>45936.43636574074</v>
      </c>
      <c r="C900" s="1" t="n">
        <v>45970</v>
      </c>
      <c r="D900" t="inlineStr">
        <is>
          <t>JÄMTLANDS LÄN</t>
        </is>
      </c>
      <c r="E900" t="inlineStr">
        <is>
          <t>BRÄCKE</t>
        </is>
      </c>
      <c r="F900" t="inlineStr">
        <is>
          <t>Övriga Aktiebolag</t>
        </is>
      </c>
      <c r="G900" t="n">
        <v>6.6</v>
      </c>
      <c r="H900" t="n">
        <v>0</v>
      </c>
      <c r="I900" t="n">
        <v>0</v>
      </c>
      <c r="J900" t="n">
        <v>0</v>
      </c>
      <c r="K900" t="n">
        <v>0</v>
      </c>
      <c r="L900" t="n">
        <v>0</v>
      </c>
      <c r="M900" t="n">
        <v>0</v>
      </c>
      <c r="N900" t="n">
        <v>0</v>
      </c>
      <c r="O900" t="n">
        <v>0</v>
      </c>
      <c r="P900" t="n">
        <v>0</v>
      </c>
      <c r="Q900" t="n">
        <v>0</v>
      </c>
      <c r="R900" s="2" t="inlineStr"/>
    </row>
    <row r="901" ht="15" customHeight="1">
      <c r="A901" t="inlineStr">
        <is>
          <t>A 26665-2021</t>
        </is>
      </c>
      <c r="B901" s="1" t="n">
        <v>44348</v>
      </c>
      <c r="C901" s="1" t="n">
        <v>45970</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5004-2023</t>
        </is>
      </c>
      <c r="B902" s="1" t="n">
        <v>44956</v>
      </c>
      <c r="C902" s="1" t="n">
        <v>45970</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5169-2025</t>
        </is>
      </c>
      <c r="B903" s="1" t="n">
        <v>45691.61571759259</v>
      </c>
      <c r="C903" s="1" t="n">
        <v>45970</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11438-2025</t>
        </is>
      </c>
      <c r="B904" s="1" t="n">
        <v>45726.61552083334</v>
      </c>
      <c r="C904" s="1" t="n">
        <v>45970</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39933-2025</t>
        </is>
      </c>
      <c r="B905" s="1" t="n">
        <v>45891.71150462963</v>
      </c>
      <c r="C905" s="1" t="n">
        <v>45970</v>
      </c>
      <c r="D905" t="inlineStr">
        <is>
          <t>JÄMTLANDS LÄN</t>
        </is>
      </c>
      <c r="E905" t="inlineStr">
        <is>
          <t>BRÄCKE</t>
        </is>
      </c>
      <c r="G905" t="n">
        <v>15.1</v>
      </c>
      <c r="H905" t="n">
        <v>0</v>
      </c>
      <c r="I905" t="n">
        <v>0</v>
      </c>
      <c r="J905" t="n">
        <v>0</v>
      </c>
      <c r="K905" t="n">
        <v>0</v>
      </c>
      <c r="L905" t="n">
        <v>0</v>
      </c>
      <c r="M905" t="n">
        <v>0</v>
      </c>
      <c r="N905" t="n">
        <v>0</v>
      </c>
      <c r="O905" t="n">
        <v>0</v>
      </c>
      <c r="P905" t="n">
        <v>0</v>
      </c>
      <c r="Q905" t="n">
        <v>0</v>
      </c>
      <c r="R905" s="2" t="inlineStr"/>
    </row>
    <row r="906" ht="15" customHeight="1">
      <c r="A906" t="inlineStr">
        <is>
          <t>A 23723-2025</t>
        </is>
      </c>
      <c r="B906" s="1" t="n">
        <v>45793</v>
      </c>
      <c r="C906" s="1" t="n">
        <v>45970</v>
      </c>
      <c r="D906" t="inlineStr">
        <is>
          <t>JÄMTLANDS LÄN</t>
        </is>
      </c>
      <c r="E906" t="inlineStr">
        <is>
          <t>BRÄCKE</t>
        </is>
      </c>
      <c r="F906" t="inlineStr">
        <is>
          <t>SCA</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28766-2024</t>
        </is>
      </c>
      <c r="B907" s="1" t="n">
        <v>45478</v>
      </c>
      <c r="C907" s="1" t="n">
        <v>45970</v>
      </c>
      <c r="D907" t="inlineStr">
        <is>
          <t>JÄMTLANDS LÄN</t>
        </is>
      </c>
      <c r="E907" t="inlineStr">
        <is>
          <t>BRÄCKE</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59650-2024</t>
        </is>
      </c>
      <c r="B908" s="1" t="n">
        <v>45639.34488425926</v>
      </c>
      <c r="C908" s="1" t="n">
        <v>45970</v>
      </c>
      <c r="D908" t="inlineStr">
        <is>
          <t>JÄMTLANDS LÄN</t>
        </is>
      </c>
      <c r="E908" t="inlineStr">
        <is>
          <t>BRÄCKE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39767-2025</t>
        </is>
      </c>
      <c r="B909" s="1" t="n">
        <v>45891.44828703703</v>
      </c>
      <c r="C909" s="1" t="n">
        <v>45970</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51042-2023</t>
        </is>
      </c>
      <c r="B910" s="1" t="n">
        <v>45218.62233796297</v>
      </c>
      <c r="C910" s="1" t="n">
        <v>45970</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64643-2023</t>
        </is>
      </c>
      <c r="B911" s="1" t="n">
        <v>45281</v>
      </c>
      <c r="C911" s="1" t="n">
        <v>45970</v>
      </c>
      <c r="D911" t="inlineStr">
        <is>
          <t>JÄMTLANDS LÄN</t>
        </is>
      </c>
      <c r="E911" t="inlineStr">
        <is>
          <t>BRÄCKE</t>
        </is>
      </c>
      <c r="G911" t="n">
        <v>0.6</v>
      </c>
      <c r="H911" t="n">
        <v>0</v>
      </c>
      <c r="I911" t="n">
        <v>0</v>
      </c>
      <c r="J911" t="n">
        <v>0</v>
      </c>
      <c r="K911" t="n">
        <v>0</v>
      </c>
      <c r="L911" t="n">
        <v>0</v>
      </c>
      <c r="M911" t="n">
        <v>0</v>
      </c>
      <c r="N911" t="n">
        <v>0</v>
      </c>
      <c r="O911" t="n">
        <v>0</v>
      </c>
      <c r="P911" t="n">
        <v>0</v>
      </c>
      <c r="Q911" t="n">
        <v>0</v>
      </c>
      <c r="R911" s="2" t="inlineStr"/>
    </row>
    <row r="912" ht="15" customHeight="1">
      <c r="A912" t="inlineStr">
        <is>
          <t>A 41552-2024</t>
        </is>
      </c>
      <c r="B912" s="1" t="n">
        <v>45560.51988425926</v>
      </c>
      <c r="C912" s="1" t="n">
        <v>45970</v>
      </c>
      <c r="D912" t="inlineStr">
        <is>
          <t>JÄMTLANDS LÄN</t>
        </is>
      </c>
      <c r="E912" t="inlineStr">
        <is>
          <t>BRÄCKE</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26302-2024</t>
        </is>
      </c>
      <c r="B913" s="1" t="n">
        <v>45468.9328587963</v>
      </c>
      <c r="C913" s="1" t="n">
        <v>45970</v>
      </c>
      <c r="D913" t="inlineStr">
        <is>
          <t>JÄMTLANDS LÄN</t>
        </is>
      </c>
      <c r="E913" t="inlineStr">
        <is>
          <t>BRÄCKE</t>
        </is>
      </c>
      <c r="G913" t="n">
        <v>0.5</v>
      </c>
      <c r="H913" t="n">
        <v>0</v>
      </c>
      <c r="I913" t="n">
        <v>0</v>
      </c>
      <c r="J913" t="n">
        <v>0</v>
      </c>
      <c r="K913" t="n">
        <v>0</v>
      </c>
      <c r="L913" t="n">
        <v>0</v>
      </c>
      <c r="M913" t="n">
        <v>0</v>
      </c>
      <c r="N913" t="n">
        <v>0</v>
      </c>
      <c r="O913" t="n">
        <v>0</v>
      </c>
      <c r="P913" t="n">
        <v>0</v>
      </c>
      <c r="Q913" t="n">
        <v>0</v>
      </c>
      <c r="R913" s="2" t="inlineStr"/>
    </row>
    <row r="914" ht="15" customHeight="1">
      <c r="A914" t="inlineStr">
        <is>
          <t>A 3840-2024</t>
        </is>
      </c>
      <c r="B914" s="1" t="n">
        <v>45321.94605324074</v>
      </c>
      <c r="C914" s="1" t="n">
        <v>45970</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41450-2024</t>
        </is>
      </c>
      <c r="B915" s="1" t="n">
        <v>45560.40653935185</v>
      </c>
      <c r="C915" s="1" t="n">
        <v>45970</v>
      </c>
      <c r="D915" t="inlineStr">
        <is>
          <t>JÄMTLANDS LÄN</t>
        </is>
      </c>
      <c r="E915" t="inlineStr">
        <is>
          <t>BRÄCKE</t>
        </is>
      </c>
      <c r="G915" t="n">
        <v>7.5</v>
      </c>
      <c r="H915" t="n">
        <v>0</v>
      </c>
      <c r="I915" t="n">
        <v>0</v>
      </c>
      <c r="J915" t="n">
        <v>0</v>
      </c>
      <c r="K915" t="n">
        <v>0</v>
      </c>
      <c r="L915" t="n">
        <v>0</v>
      </c>
      <c r="M915" t="n">
        <v>0</v>
      </c>
      <c r="N915" t="n">
        <v>0</v>
      </c>
      <c r="O915" t="n">
        <v>0</v>
      </c>
      <c r="P915" t="n">
        <v>0</v>
      </c>
      <c r="Q915" t="n">
        <v>0</v>
      </c>
      <c r="R915" s="2" t="inlineStr"/>
    </row>
    <row r="916" ht="15" customHeight="1">
      <c r="A916" t="inlineStr">
        <is>
          <t>A 3025-2021</t>
        </is>
      </c>
      <c r="B916" s="1" t="n">
        <v>44216</v>
      </c>
      <c r="C916" s="1" t="n">
        <v>45970</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47746-2024</t>
        </is>
      </c>
      <c r="B917" s="1" t="n">
        <v>45588.53438657407</v>
      </c>
      <c r="C917" s="1" t="n">
        <v>45970</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40094-2023</t>
        </is>
      </c>
      <c r="B918" s="1" t="n">
        <v>45168</v>
      </c>
      <c r="C918" s="1" t="n">
        <v>45970</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5536-2025</t>
        </is>
      </c>
      <c r="B919" s="1" t="n">
        <v>45693.44846064815</v>
      </c>
      <c r="C919" s="1" t="n">
        <v>45970</v>
      </c>
      <c r="D919" t="inlineStr">
        <is>
          <t>JÄMTLANDS LÄN</t>
        </is>
      </c>
      <c r="E919" t="inlineStr">
        <is>
          <t>BRÄCKE</t>
        </is>
      </c>
      <c r="F919" t="inlineStr">
        <is>
          <t>SCA</t>
        </is>
      </c>
      <c r="G919" t="n">
        <v>5.1</v>
      </c>
      <c r="H919" t="n">
        <v>0</v>
      </c>
      <c r="I919" t="n">
        <v>0</v>
      </c>
      <c r="J919" t="n">
        <v>0</v>
      </c>
      <c r="K919" t="n">
        <v>0</v>
      </c>
      <c r="L919" t="n">
        <v>0</v>
      </c>
      <c r="M919" t="n">
        <v>0</v>
      </c>
      <c r="N919" t="n">
        <v>0</v>
      </c>
      <c r="O919" t="n">
        <v>0</v>
      </c>
      <c r="P919" t="n">
        <v>0</v>
      </c>
      <c r="Q919" t="n">
        <v>0</v>
      </c>
      <c r="R919" s="2" t="inlineStr"/>
    </row>
    <row r="920" ht="15" customHeight="1">
      <c r="A920" t="inlineStr">
        <is>
          <t>A 5537-2025</t>
        </is>
      </c>
      <c r="B920" s="1" t="n">
        <v>45693.44858796296</v>
      </c>
      <c r="C920" s="1" t="n">
        <v>45970</v>
      </c>
      <c r="D920" t="inlineStr">
        <is>
          <t>JÄMTLANDS LÄN</t>
        </is>
      </c>
      <c r="E920" t="inlineStr">
        <is>
          <t>BRÄCKE</t>
        </is>
      </c>
      <c r="G920" t="n">
        <v>3</v>
      </c>
      <c r="H920" t="n">
        <v>0</v>
      </c>
      <c r="I920" t="n">
        <v>0</v>
      </c>
      <c r="J920" t="n">
        <v>0</v>
      </c>
      <c r="K920" t="n">
        <v>0</v>
      </c>
      <c r="L920" t="n">
        <v>0</v>
      </c>
      <c r="M920" t="n">
        <v>0</v>
      </c>
      <c r="N920" t="n">
        <v>0</v>
      </c>
      <c r="O920" t="n">
        <v>0</v>
      </c>
      <c r="P920" t="n">
        <v>0</v>
      </c>
      <c r="Q920" t="n">
        <v>0</v>
      </c>
      <c r="R920" s="2" t="inlineStr"/>
    </row>
    <row r="921" ht="15" customHeight="1">
      <c r="A921" t="inlineStr">
        <is>
          <t>A 41936-2023</t>
        </is>
      </c>
      <c r="B921" s="1" t="n">
        <v>45176.94594907408</v>
      </c>
      <c r="C921" s="1" t="n">
        <v>45970</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61149-2023</t>
        </is>
      </c>
      <c r="B922" s="1" t="n">
        <v>45261.96777777778</v>
      </c>
      <c r="C922" s="1" t="n">
        <v>45970</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10309-2023</t>
        </is>
      </c>
      <c r="B923" s="1" t="n">
        <v>44986</v>
      </c>
      <c r="C923" s="1" t="n">
        <v>45970</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14503-2024</t>
        </is>
      </c>
      <c r="B924" s="1" t="n">
        <v>45394.60408564815</v>
      </c>
      <c r="C924" s="1" t="n">
        <v>45970</v>
      </c>
      <c r="D924" t="inlineStr">
        <is>
          <t>JÄMTLANDS LÄN</t>
        </is>
      </c>
      <c r="E924" t="inlineStr">
        <is>
          <t>BRÄCKE</t>
        </is>
      </c>
      <c r="G924" t="n">
        <v>15.2</v>
      </c>
      <c r="H924" t="n">
        <v>0</v>
      </c>
      <c r="I924" t="n">
        <v>0</v>
      </c>
      <c r="J924" t="n">
        <v>0</v>
      </c>
      <c r="K924" t="n">
        <v>0</v>
      </c>
      <c r="L924" t="n">
        <v>0</v>
      </c>
      <c r="M924" t="n">
        <v>0</v>
      </c>
      <c r="N924" t="n">
        <v>0</v>
      </c>
      <c r="O924" t="n">
        <v>0</v>
      </c>
      <c r="P924" t="n">
        <v>0</v>
      </c>
      <c r="Q924" t="n">
        <v>0</v>
      </c>
      <c r="R924" s="2" t="inlineStr"/>
    </row>
    <row r="925" ht="15" customHeight="1">
      <c r="A925" t="inlineStr">
        <is>
          <t>A 33112-2024</t>
        </is>
      </c>
      <c r="B925" s="1" t="n">
        <v>45517.92994212963</v>
      </c>
      <c r="C925" s="1" t="n">
        <v>45970</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30569-2024</t>
        </is>
      </c>
      <c r="B926" s="1" t="n">
        <v>45492.95690972222</v>
      </c>
      <c r="C926" s="1" t="n">
        <v>45970</v>
      </c>
      <c r="D926" t="inlineStr">
        <is>
          <t>JÄMTLANDS LÄN</t>
        </is>
      </c>
      <c r="E926" t="inlineStr">
        <is>
          <t>BRÄCKE</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18066-2025</t>
        </is>
      </c>
      <c r="B927" s="1" t="n">
        <v>45761.49002314815</v>
      </c>
      <c r="C927" s="1" t="n">
        <v>45970</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14474-2025</t>
        </is>
      </c>
      <c r="B928" s="1" t="n">
        <v>45741.57782407408</v>
      </c>
      <c r="C928" s="1" t="n">
        <v>45970</v>
      </c>
      <c r="D928" t="inlineStr">
        <is>
          <t>JÄMTLANDS LÄN</t>
        </is>
      </c>
      <c r="E928" t="inlineStr">
        <is>
          <t>BRÄCKE</t>
        </is>
      </c>
      <c r="G928" t="n">
        <v>3.2</v>
      </c>
      <c r="H928" t="n">
        <v>0</v>
      </c>
      <c r="I928" t="n">
        <v>0</v>
      </c>
      <c r="J928" t="n">
        <v>0</v>
      </c>
      <c r="K928" t="n">
        <v>0</v>
      </c>
      <c r="L928" t="n">
        <v>0</v>
      </c>
      <c r="M928" t="n">
        <v>0</v>
      </c>
      <c r="N928" t="n">
        <v>0</v>
      </c>
      <c r="O928" t="n">
        <v>0</v>
      </c>
      <c r="P928" t="n">
        <v>0</v>
      </c>
      <c r="Q928" t="n">
        <v>0</v>
      </c>
      <c r="R928" s="2" t="inlineStr"/>
    </row>
    <row r="929" ht="15" customHeight="1">
      <c r="A929" t="inlineStr">
        <is>
          <t>A 11548-2023</t>
        </is>
      </c>
      <c r="B929" s="1" t="n">
        <v>44993.9484837963</v>
      </c>
      <c r="C929" s="1" t="n">
        <v>45970</v>
      </c>
      <c r="D929" t="inlineStr">
        <is>
          <t>JÄMTLANDS LÄN</t>
        </is>
      </c>
      <c r="E929" t="inlineStr">
        <is>
          <t>BRÄCKE</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12891-2024</t>
        </is>
      </c>
      <c r="B930" s="1" t="n">
        <v>45385</v>
      </c>
      <c r="C930" s="1" t="n">
        <v>45970</v>
      </c>
      <c r="D930" t="inlineStr">
        <is>
          <t>JÄMTLANDS LÄN</t>
        </is>
      </c>
      <c r="E930" t="inlineStr">
        <is>
          <t>BRÄCKE</t>
        </is>
      </c>
      <c r="F930" t="inlineStr">
        <is>
          <t>Kyrkan</t>
        </is>
      </c>
      <c r="G930" t="n">
        <v>0.4</v>
      </c>
      <c r="H930" t="n">
        <v>0</v>
      </c>
      <c r="I930" t="n">
        <v>0</v>
      </c>
      <c r="J930" t="n">
        <v>0</v>
      </c>
      <c r="K930" t="n">
        <v>0</v>
      </c>
      <c r="L930" t="n">
        <v>0</v>
      </c>
      <c r="M930" t="n">
        <v>0</v>
      </c>
      <c r="N930" t="n">
        <v>0</v>
      </c>
      <c r="O930" t="n">
        <v>0</v>
      </c>
      <c r="P930" t="n">
        <v>0</v>
      </c>
      <c r="Q930" t="n">
        <v>0</v>
      </c>
      <c r="R930" s="2" t="inlineStr"/>
    </row>
    <row r="931" ht="15" customHeight="1">
      <c r="A931" t="inlineStr">
        <is>
          <t>A 39996-2024</t>
        </is>
      </c>
      <c r="B931" s="1" t="n">
        <v>45553.63585648148</v>
      </c>
      <c r="C931" s="1" t="n">
        <v>45970</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49399-2024</t>
        </is>
      </c>
      <c r="B932" s="1" t="n">
        <v>45595.67138888889</v>
      </c>
      <c r="C932" s="1" t="n">
        <v>45970</v>
      </c>
      <c r="D932" t="inlineStr">
        <is>
          <t>JÄMTLANDS LÄN</t>
        </is>
      </c>
      <c r="E932" t="inlineStr">
        <is>
          <t>BRÄCKE</t>
        </is>
      </c>
      <c r="F932" t="inlineStr">
        <is>
          <t>SCA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49400-2024</t>
        </is>
      </c>
      <c r="B933" s="1" t="n">
        <v>45595.67152777778</v>
      </c>
      <c r="C933" s="1" t="n">
        <v>45970</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38302-2024</t>
        </is>
      </c>
      <c r="B934" s="1" t="n">
        <v>45545.63614583333</v>
      </c>
      <c r="C934" s="1" t="n">
        <v>45970</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12762-2025</t>
        </is>
      </c>
      <c r="B935" s="1" t="n">
        <v>45733.57340277778</v>
      </c>
      <c r="C935" s="1" t="n">
        <v>45970</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783-2025</t>
        </is>
      </c>
      <c r="B936" s="1" t="n">
        <v>45665.49290509259</v>
      </c>
      <c r="C936" s="1" t="n">
        <v>45970</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13019-2023</t>
        </is>
      </c>
      <c r="B937" s="1" t="n">
        <v>45001</v>
      </c>
      <c r="C937" s="1" t="n">
        <v>45970</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45722-2024</t>
        </is>
      </c>
      <c r="B938" s="1" t="n">
        <v>45579.59447916667</v>
      </c>
      <c r="C938" s="1" t="n">
        <v>45970</v>
      </c>
      <c r="D938" t="inlineStr">
        <is>
          <t>JÄMTLANDS LÄN</t>
        </is>
      </c>
      <c r="E938" t="inlineStr">
        <is>
          <t>BRÄCKE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53113-2022</t>
        </is>
      </c>
      <c r="B939" s="1" t="n">
        <v>44873</v>
      </c>
      <c r="C939" s="1" t="n">
        <v>45970</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53941-2022</t>
        </is>
      </c>
      <c r="B940" s="1" t="n">
        <v>44880</v>
      </c>
      <c r="C940" s="1" t="n">
        <v>45970</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29314-2021</t>
        </is>
      </c>
      <c r="B941" s="1" t="n">
        <v>44361</v>
      </c>
      <c r="C941" s="1" t="n">
        <v>45970</v>
      </c>
      <c r="D941" t="inlineStr">
        <is>
          <t>JÄMTLANDS LÄN</t>
        </is>
      </c>
      <c r="E941" t="inlineStr">
        <is>
          <t>BRÄCKE</t>
        </is>
      </c>
      <c r="G941" t="n">
        <v>9.6</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45970</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48706-2025</t>
        </is>
      </c>
      <c r="B943" s="1" t="n">
        <v>45936.62423611111</v>
      </c>
      <c r="C943" s="1" t="n">
        <v>45970</v>
      </c>
      <c r="D943" t="inlineStr">
        <is>
          <t>JÄMTLANDS LÄN</t>
        </is>
      </c>
      <c r="E943" t="inlineStr">
        <is>
          <t>BRÄCKE</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3179-2024</t>
        </is>
      </c>
      <c r="B944" s="1" t="n">
        <v>45316</v>
      </c>
      <c r="C944" s="1" t="n">
        <v>45970</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56732-2022</t>
        </is>
      </c>
      <c r="B945" s="1" t="n">
        <v>44893.94966435185</v>
      </c>
      <c r="C945" s="1" t="n">
        <v>45970</v>
      </c>
      <c r="D945" t="inlineStr">
        <is>
          <t>JÄMTLANDS LÄN</t>
        </is>
      </c>
      <c r="E945" t="inlineStr">
        <is>
          <t>BRÄCKE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17097-2025</t>
        </is>
      </c>
      <c r="B946" s="1" t="n">
        <v>45755</v>
      </c>
      <c r="C946" s="1" t="n">
        <v>45970</v>
      </c>
      <c r="D946" t="inlineStr">
        <is>
          <t>JÄMTLANDS LÄN</t>
        </is>
      </c>
      <c r="E946" t="inlineStr">
        <is>
          <t>BRÄCKE</t>
        </is>
      </c>
      <c r="F946" t="inlineStr">
        <is>
          <t>SCA</t>
        </is>
      </c>
      <c r="G946" t="n">
        <v>29.9</v>
      </c>
      <c r="H946" t="n">
        <v>0</v>
      </c>
      <c r="I946" t="n">
        <v>0</v>
      </c>
      <c r="J946" t="n">
        <v>0</v>
      </c>
      <c r="K946" t="n">
        <v>0</v>
      </c>
      <c r="L946" t="n">
        <v>0</v>
      </c>
      <c r="M946" t="n">
        <v>0</v>
      </c>
      <c r="N946" t="n">
        <v>0</v>
      </c>
      <c r="O946" t="n">
        <v>0</v>
      </c>
      <c r="P946" t="n">
        <v>0</v>
      </c>
      <c r="Q946" t="n">
        <v>0</v>
      </c>
      <c r="R946" s="2" t="inlineStr"/>
    </row>
    <row r="947" ht="15" customHeight="1">
      <c r="A947" t="inlineStr">
        <is>
          <t>A 58039-2021</t>
        </is>
      </c>
      <c r="B947" s="1" t="n">
        <v>44487</v>
      </c>
      <c r="C947" s="1" t="n">
        <v>45970</v>
      </c>
      <c r="D947" t="inlineStr">
        <is>
          <t>JÄMTLANDS LÄN</t>
        </is>
      </c>
      <c r="E947" t="inlineStr">
        <is>
          <t>BRÄCKE</t>
        </is>
      </c>
      <c r="G947" t="n">
        <v>7.4</v>
      </c>
      <c r="H947" t="n">
        <v>0</v>
      </c>
      <c r="I947" t="n">
        <v>0</v>
      </c>
      <c r="J947" t="n">
        <v>0</v>
      </c>
      <c r="K947" t="n">
        <v>0</v>
      </c>
      <c r="L947" t="n">
        <v>0</v>
      </c>
      <c r="M947" t="n">
        <v>0</v>
      </c>
      <c r="N947" t="n">
        <v>0</v>
      </c>
      <c r="O947" t="n">
        <v>0</v>
      </c>
      <c r="P947" t="n">
        <v>0</v>
      </c>
      <c r="Q947" t="n">
        <v>0</v>
      </c>
      <c r="R947" s="2" t="inlineStr"/>
    </row>
    <row r="948" ht="15" customHeight="1">
      <c r="A948" t="inlineStr">
        <is>
          <t>A 11331-2024</t>
        </is>
      </c>
      <c r="B948" s="1" t="n">
        <v>45372.04696759259</v>
      </c>
      <c r="C948" s="1" t="n">
        <v>45970</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38280-2021</t>
        </is>
      </c>
      <c r="B949" s="1" t="n">
        <v>44405</v>
      </c>
      <c r="C949" s="1" t="n">
        <v>45970</v>
      </c>
      <c r="D949" t="inlineStr">
        <is>
          <t>JÄMTLANDS LÄN</t>
        </is>
      </c>
      <c r="E949" t="inlineStr">
        <is>
          <t>BRÄCKE</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17313-2025</t>
        </is>
      </c>
      <c r="B950" s="1" t="n">
        <v>45756.61498842593</v>
      </c>
      <c r="C950" s="1" t="n">
        <v>45970</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51441-2023</t>
        </is>
      </c>
      <c r="B951" s="1" t="n">
        <v>45219</v>
      </c>
      <c r="C951" s="1" t="n">
        <v>45970</v>
      </c>
      <c r="D951" t="inlineStr">
        <is>
          <t>JÄMTLANDS LÄN</t>
        </is>
      </c>
      <c r="E951" t="inlineStr">
        <is>
          <t>BRÄCKE</t>
        </is>
      </c>
      <c r="G951" t="n">
        <v>1.2</v>
      </c>
      <c r="H951" t="n">
        <v>0</v>
      </c>
      <c r="I951" t="n">
        <v>0</v>
      </c>
      <c r="J951" t="n">
        <v>0</v>
      </c>
      <c r="K951" t="n">
        <v>0</v>
      </c>
      <c r="L951" t="n">
        <v>0</v>
      </c>
      <c r="M951" t="n">
        <v>0</v>
      </c>
      <c r="N951" t="n">
        <v>0</v>
      </c>
      <c r="O951" t="n">
        <v>0</v>
      </c>
      <c r="P951" t="n">
        <v>0</v>
      </c>
      <c r="Q951" t="n">
        <v>0</v>
      </c>
      <c r="R951" s="2" t="inlineStr"/>
    </row>
    <row r="952" ht="15" customHeight="1">
      <c r="A952" t="inlineStr">
        <is>
          <t>A 40765-2023</t>
        </is>
      </c>
      <c r="B952" s="1" t="n">
        <v>45170</v>
      </c>
      <c r="C952" s="1" t="n">
        <v>45970</v>
      </c>
      <c r="D952" t="inlineStr">
        <is>
          <t>JÄMTLANDS LÄN</t>
        </is>
      </c>
      <c r="E952" t="inlineStr">
        <is>
          <t>BRÄCKE</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38943-2024</t>
        </is>
      </c>
      <c r="B953" s="1" t="n">
        <v>45548.34490740741</v>
      </c>
      <c r="C953" s="1" t="n">
        <v>45970</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18036-2025</t>
        </is>
      </c>
      <c r="B954" s="1" t="n">
        <v>45761.45518518519</v>
      </c>
      <c r="C954" s="1" t="n">
        <v>45970</v>
      </c>
      <c r="D954" t="inlineStr">
        <is>
          <t>JÄMTLANDS LÄN</t>
        </is>
      </c>
      <c r="E954" t="inlineStr">
        <is>
          <t>BRÄCKE</t>
        </is>
      </c>
      <c r="G954" t="n">
        <v>19.5</v>
      </c>
      <c r="H954" t="n">
        <v>0</v>
      </c>
      <c r="I954" t="n">
        <v>0</v>
      </c>
      <c r="J954" t="n">
        <v>0</v>
      </c>
      <c r="K954" t="n">
        <v>0</v>
      </c>
      <c r="L954" t="n">
        <v>0</v>
      </c>
      <c r="M954" t="n">
        <v>0</v>
      </c>
      <c r="N954" t="n">
        <v>0</v>
      </c>
      <c r="O954" t="n">
        <v>0</v>
      </c>
      <c r="P954" t="n">
        <v>0</v>
      </c>
      <c r="Q954" t="n">
        <v>0</v>
      </c>
      <c r="R954" s="2" t="inlineStr"/>
    </row>
    <row r="955" ht="15" customHeight="1">
      <c r="A955" t="inlineStr">
        <is>
          <t>A 48177-2025</t>
        </is>
      </c>
      <c r="B955" s="1" t="n">
        <v>45933.44846064815</v>
      </c>
      <c r="C955" s="1" t="n">
        <v>45970</v>
      </c>
      <c r="D955" t="inlineStr">
        <is>
          <t>JÄMTLANDS LÄN</t>
        </is>
      </c>
      <c r="E955" t="inlineStr">
        <is>
          <t>BRÄCKE</t>
        </is>
      </c>
      <c r="F955" t="inlineStr">
        <is>
          <t>SCA</t>
        </is>
      </c>
      <c r="G955" t="n">
        <v>13.9</v>
      </c>
      <c r="H955" t="n">
        <v>0</v>
      </c>
      <c r="I955" t="n">
        <v>0</v>
      </c>
      <c r="J955" t="n">
        <v>0</v>
      </c>
      <c r="K955" t="n">
        <v>0</v>
      </c>
      <c r="L955" t="n">
        <v>0</v>
      </c>
      <c r="M955" t="n">
        <v>0</v>
      </c>
      <c r="N955" t="n">
        <v>0</v>
      </c>
      <c r="O955" t="n">
        <v>0</v>
      </c>
      <c r="P955" t="n">
        <v>0</v>
      </c>
      <c r="Q955" t="n">
        <v>0</v>
      </c>
      <c r="R955" s="2" t="inlineStr"/>
    </row>
    <row r="956" ht="15" customHeight="1">
      <c r="A956" t="inlineStr">
        <is>
          <t>A 50220-2023</t>
        </is>
      </c>
      <c r="B956" s="1" t="n">
        <v>45215</v>
      </c>
      <c r="C956" s="1" t="n">
        <v>45970</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3031-2023</t>
        </is>
      </c>
      <c r="B957" s="1" t="n">
        <v>44945</v>
      </c>
      <c r="C957" s="1" t="n">
        <v>45970</v>
      </c>
      <c r="D957" t="inlineStr">
        <is>
          <t>JÄMTLANDS LÄN</t>
        </is>
      </c>
      <c r="E957" t="inlineStr">
        <is>
          <t>BRÄCKE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3033-2023</t>
        </is>
      </c>
      <c r="B958" s="1" t="n">
        <v>44945</v>
      </c>
      <c r="C958" s="1" t="n">
        <v>45970</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3036-2023</t>
        </is>
      </c>
      <c r="B959" s="1" t="n">
        <v>44945.94201388889</v>
      </c>
      <c r="C959" s="1" t="n">
        <v>45970</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18984-2022</t>
        </is>
      </c>
      <c r="B960" s="1" t="n">
        <v>44690</v>
      </c>
      <c r="C960" s="1" t="n">
        <v>45970</v>
      </c>
      <c r="D960" t="inlineStr">
        <is>
          <t>JÄMTLANDS LÄN</t>
        </is>
      </c>
      <c r="E960" t="inlineStr">
        <is>
          <t>BRÄCKE</t>
        </is>
      </c>
      <c r="G960" t="n">
        <v>2.7</v>
      </c>
      <c r="H960" t="n">
        <v>0</v>
      </c>
      <c r="I960" t="n">
        <v>0</v>
      </c>
      <c r="J960" t="n">
        <v>0</v>
      </c>
      <c r="K960" t="n">
        <v>0</v>
      </c>
      <c r="L960" t="n">
        <v>0</v>
      </c>
      <c r="M960" t="n">
        <v>0</v>
      </c>
      <c r="N960" t="n">
        <v>0</v>
      </c>
      <c r="O960" t="n">
        <v>0</v>
      </c>
      <c r="P960" t="n">
        <v>0</v>
      </c>
      <c r="Q960" t="n">
        <v>0</v>
      </c>
      <c r="R960" s="2" t="inlineStr"/>
    </row>
    <row r="961" ht="15" customHeight="1">
      <c r="A961" t="inlineStr">
        <is>
          <t>A 6399-2021</t>
        </is>
      </c>
      <c r="B961" s="1" t="n">
        <v>44232</v>
      </c>
      <c r="C961" s="1" t="n">
        <v>45970</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8422-2022</t>
        </is>
      </c>
      <c r="B962" s="1" t="n">
        <v>44610</v>
      </c>
      <c r="C962" s="1" t="n">
        <v>45970</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52529-2024</t>
        </is>
      </c>
      <c r="B963" s="1" t="n">
        <v>45609.61483796296</v>
      </c>
      <c r="C963" s="1" t="n">
        <v>45970</v>
      </c>
      <c r="D963" t="inlineStr">
        <is>
          <t>JÄMTLANDS LÄN</t>
        </is>
      </c>
      <c r="E963" t="inlineStr">
        <is>
          <t>BRÄCKE</t>
        </is>
      </c>
      <c r="G963" t="n">
        <v>3.6</v>
      </c>
      <c r="H963" t="n">
        <v>0</v>
      </c>
      <c r="I963" t="n">
        <v>0</v>
      </c>
      <c r="J963" t="n">
        <v>0</v>
      </c>
      <c r="K963" t="n">
        <v>0</v>
      </c>
      <c r="L963" t="n">
        <v>0</v>
      </c>
      <c r="M963" t="n">
        <v>0</v>
      </c>
      <c r="N963" t="n">
        <v>0</v>
      </c>
      <c r="O963" t="n">
        <v>0</v>
      </c>
      <c r="P963" t="n">
        <v>0</v>
      </c>
      <c r="Q963" t="n">
        <v>0</v>
      </c>
      <c r="R963" s="2" t="inlineStr"/>
    </row>
    <row r="964" ht="15" customHeight="1">
      <c r="A964" t="inlineStr">
        <is>
          <t>A 48507-2023</t>
        </is>
      </c>
      <c r="B964" s="1" t="n">
        <v>45207.94034722223</v>
      </c>
      <c r="C964" s="1" t="n">
        <v>45970</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56895-2021</t>
        </is>
      </c>
      <c r="B965" s="1" t="n">
        <v>44481.92086805555</v>
      </c>
      <c r="C965" s="1" t="n">
        <v>45970</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3390-2024</t>
        </is>
      </c>
      <c r="B966" s="1" t="n">
        <v>45317.94108796296</v>
      </c>
      <c r="C966" s="1" t="n">
        <v>45970</v>
      </c>
      <c r="D966" t="inlineStr">
        <is>
          <t>JÄMTLANDS LÄN</t>
        </is>
      </c>
      <c r="E966" t="inlineStr">
        <is>
          <t>BRÄCKE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22980-2024</t>
        </is>
      </c>
      <c r="B967" s="1" t="n">
        <v>45449.90008101852</v>
      </c>
      <c r="C967" s="1" t="n">
        <v>45970</v>
      </c>
      <c r="D967" t="inlineStr">
        <is>
          <t>JÄMTLANDS LÄN</t>
        </is>
      </c>
      <c r="E967" t="inlineStr">
        <is>
          <t>BRÄCKE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3020-2023</t>
        </is>
      </c>
      <c r="B968" s="1" t="n">
        <v>44945.9396412037</v>
      </c>
      <c r="C968" s="1" t="n">
        <v>45970</v>
      </c>
      <c r="D968" t="inlineStr">
        <is>
          <t>JÄMTLANDS LÄN</t>
        </is>
      </c>
      <c r="E968" t="inlineStr">
        <is>
          <t>BRÄCKE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55512-2022</t>
        </is>
      </c>
      <c r="B969" s="1" t="n">
        <v>44887</v>
      </c>
      <c r="C969" s="1" t="n">
        <v>45970</v>
      </c>
      <c r="D969" t="inlineStr">
        <is>
          <t>JÄMTLANDS LÄN</t>
        </is>
      </c>
      <c r="E969" t="inlineStr">
        <is>
          <t>BRÄCKE</t>
        </is>
      </c>
      <c r="G969" t="n">
        <v>3.9</v>
      </c>
      <c r="H969" t="n">
        <v>0</v>
      </c>
      <c r="I969" t="n">
        <v>0</v>
      </c>
      <c r="J969" t="n">
        <v>0</v>
      </c>
      <c r="K969" t="n">
        <v>0</v>
      </c>
      <c r="L969" t="n">
        <v>0</v>
      </c>
      <c r="M969" t="n">
        <v>0</v>
      </c>
      <c r="N969" t="n">
        <v>0</v>
      </c>
      <c r="O969" t="n">
        <v>0</v>
      </c>
      <c r="P969" t="n">
        <v>0</v>
      </c>
      <c r="Q969" t="n">
        <v>0</v>
      </c>
      <c r="R969" s="2" t="inlineStr"/>
    </row>
    <row r="970" ht="15" customHeight="1">
      <c r="A970" t="inlineStr">
        <is>
          <t>A 18982-2025</t>
        </is>
      </c>
      <c r="B970" s="1" t="n">
        <v>45764.55288194444</v>
      </c>
      <c r="C970" s="1" t="n">
        <v>45970</v>
      </c>
      <c r="D970" t="inlineStr">
        <is>
          <t>JÄMTLANDS LÄN</t>
        </is>
      </c>
      <c r="E970" t="inlineStr">
        <is>
          <t>BRÄCKE</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55520-2022</t>
        </is>
      </c>
      <c r="B971" s="1" t="n">
        <v>44887</v>
      </c>
      <c r="C971" s="1" t="n">
        <v>45970</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55529-2022</t>
        </is>
      </c>
      <c r="B972" s="1" t="n">
        <v>44887.95256944445</v>
      </c>
      <c r="C972" s="1" t="n">
        <v>45970</v>
      </c>
      <c r="D972" t="inlineStr">
        <is>
          <t>JÄMTLANDS LÄN</t>
        </is>
      </c>
      <c r="E972" t="inlineStr">
        <is>
          <t>BRÄCKE</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3032-2023</t>
        </is>
      </c>
      <c r="B973" s="1" t="n">
        <v>44945.9412962963</v>
      </c>
      <c r="C973" s="1" t="n">
        <v>45970</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48900-2023</t>
        </is>
      </c>
      <c r="B974" s="1" t="n">
        <v>45209</v>
      </c>
      <c r="C974" s="1" t="n">
        <v>45970</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36551-2024</t>
        </is>
      </c>
      <c r="B975" s="1" t="n">
        <v>45537.468125</v>
      </c>
      <c r="C975" s="1" t="n">
        <v>45970</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60954-2023</t>
        </is>
      </c>
      <c r="B976" s="1" t="n">
        <v>45261.45638888889</v>
      </c>
      <c r="C976" s="1" t="n">
        <v>45970</v>
      </c>
      <c r="D976" t="inlineStr">
        <is>
          <t>JÄMTLANDS LÄN</t>
        </is>
      </c>
      <c r="E976" t="inlineStr">
        <is>
          <t>BRÄCKE</t>
        </is>
      </c>
      <c r="G976" t="n">
        <v>8.4</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45970</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45970</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34807-2024</t>
        </is>
      </c>
      <c r="B979" s="1" t="n">
        <v>45526.69046296296</v>
      </c>
      <c r="C979" s="1" t="n">
        <v>45970</v>
      </c>
      <c r="D979" t="inlineStr">
        <is>
          <t>JÄMTLANDS LÄN</t>
        </is>
      </c>
      <c r="E979" t="inlineStr">
        <is>
          <t>BRÄCKE</t>
        </is>
      </c>
      <c r="G979" t="n">
        <v>5.3</v>
      </c>
      <c r="H979" t="n">
        <v>0</v>
      </c>
      <c r="I979" t="n">
        <v>0</v>
      </c>
      <c r="J979" t="n">
        <v>0</v>
      </c>
      <c r="K979" t="n">
        <v>0</v>
      </c>
      <c r="L979" t="n">
        <v>0</v>
      </c>
      <c r="M979" t="n">
        <v>0</v>
      </c>
      <c r="N979" t="n">
        <v>0</v>
      </c>
      <c r="O979" t="n">
        <v>0</v>
      </c>
      <c r="P979" t="n">
        <v>0</v>
      </c>
      <c r="Q979" t="n">
        <v>0</v>
      </c>
      <c r="R979" s="2" t="inlineStr"/>
    </row>
    <row r="980" ht="15" customHeight="1">
      <c r="A980" t="inlineStr">
        <is>
          <t>A 24049-2023</t>
        </is>
      </c>
      <c r="B980" s="1" t="n">
        <v>45078.93966435185</v>
      </c>
      <c r="C980" s="1" t="n">
        <v>45970</v>
      </c>
      <c r="D980" t="inlineStr">
        <is>
          <t>JÄMTLANDS LÄN</t>
        </is>
      </c>
      <c r="E980" t="inlineStr">
        <is>
          <t>BRÄCKE</t>
        </is>
      </c>
      <c r="G980" t="n">
        <v>15.2</v>
      </c>
      <c r="H980" t="n">
        <v>0</v>
      </c>
      <c r="I980" t="n">
        <v>0</v>
      </c>
      <c r="J980" t="n">
        <v>0</v>
      </c>
      <c r="K980" t="n">
        <v>0</v>
      </c>
      <c r="L980" t="n">
        <v>0</v>
      </c>
      <c r="M980" t="n">
        <v>0</v>
      </c>
      <c r="N980" t="n">
        <v>0</v>
      </c>
      <c r="O980" t="n">
        <v>0</v>
      </c>
      <c r="P980" t="n">
        <v>0</v>
      </c>
      <c r="Q980" t="n">
        <v>0</v>
      </c>
      <c r="R980" s="2" t="inlineStr"/>
    </row>
    <row r="981" ht="15" customHeight="1">
      <c r="A981" t="inlineStr">
        <is>
          <t>A 30874-2024</t>
        </is>
      </c>
      <c r="B981" s="1" t="n">
        <v>45498.3091087963</v>
      </c>
      <c r="C981" s="1" t="n">
        <v>45970</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44755.94486111111</v>
      </c>
      <c r="C982" s="1" t="n">
        <v>45970</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15243-2025</t>
        </is>
      </c>
      <c r="B983" s="1" t="n">
        <v>45744.61537037037</v>
      </c>
      <c r="C983" s="1" t="n">
        <v>45970</v>
      </c>
      <c r="D983" t="inlineStr">
        <is>
          <t>JÄMTLANDS LÄN</t>
        </is>
      </c>
      <c r="E983" t="inlineStr">
        <is>
          <t>BRÄCKE</t>
        </is>
      </c>
      <c r="F983" t="inlineStr">
        <is>
          <t>SCA</t>
        </is>
      </c>
      <c r="G983" t="n">
        <v>4.8</v>
      </c>
      <c r="H983" t="n">
        <v>0</v>
      </c>
      <c r="I983" t="n">
        <v>0</v>
      </c>
      <c r="J983" t="n">
        <v>0</v>
      </c>
      <c r="K983" t="n">
        <v>0</v>
      </c>
      <c r="L983" t="n">
        <v>0</v>
      </c>
      <c r="M983" t="n">
        <v>0</v>
      </c>
      <c r="N983" t="n">
        <v>0</v>
      </c>
      <c r="O983" t="n">
        <v>0</v>
      </c>
      <c r="P983" t="n">
        <v>0</v>
      </c>
      <c r="Q983" t="n">
        <v>0</v>
      </c>
      <c r="R983" s="2" t="inlineStr"/>
    </row>
    <row r="984" ht="15" customHeight="1">
      <c r="A984" t="inlineStr">
        <is>
          <t>A 68968-2020</t>
        </is>
      </c>
      <c r="B984" s="1" t="n">
        <v>44187</v>
      </c>
      <c r="C984" s="1" t="n">
        <v>45970</v>
      </c>
      <c r="D984" t="inlineStr">
        <is>
          <t>JÄMTLANDS LÄN</t>
        </is>
      </c>
      <c r="E984" t="inlineStr">
        <is>
          <t>BRÄCKE</t>
        </is>
      </c>
      <c r="G984" t="n">
        <v>14.2</v>
      </c>
      <c r="H984" t="n">
        <v>0</v>
      </c>
      <c r="I984" t="n">
        <v>0</v>
      </c>
      <c r="J984" t="n">
        <v>0</v>
      </c>
      <c r="K984" t="n">
        <v>0</v>
      </c>
      <c r="L984" t="n">
        <v>0</v>
      </c>
      <c r="M984" t="n">
        <v>0</v>
      </c>
      <c r="N984" t="n">
        <v>0</v>
      </c>
      <c r="O984" t="n">
        <v>0</v>
      </c>
      <c r="P984" t="n">
        <v>0</v>
      </c>
      <c r="Q984" t="n">
        <v>0</v>
      </c>
      <c r="R984" s="2" t="inlineStr"/>
    </row>
    <row r="985" ht="15" customHeight="1">
      <c r="A985" t="inlineStr">
        <is>
          <t>A 59419-2023</t>
        </is>
      </c>
      <c r="B985" s="1" t="n">
        <v>45253.96864583333</v>
      </c>
      <c r="C985" s="1" t="n">
        <v>45970</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53522-2023</t>
        </is>
      </c>
      <c r="B986" s="1" t="n">
        <v>45223</v>
      </c>
      <c r="C986" s="1" t="n">
        <v>45970</v>
      </c>
      <c r="D986" t="inlineStr">
        <is>
          <t>JÄMTLANDS LÄN</t>
        </is>
      </c>
      <c r="E986" t="inlineStr">
        <is>
          <t>BRÄCKE</t>
        </is>
      </c>
      <c r="G986" t="n">
        <v>1.4</v>
      </c>
      <c r="H986" t="n">
        <v>0</v>
      </c>
      <c r="I986" t="n">
        <v>0</v>
      </c>
      <c r="J986" t="n">
        <v>0</v>
      </c>
      <c r="K986" t="n">
        <v>0</v>
      </c>
      <c r="L986" t="n">
        <v>0</v>
      </c>
      <c r="M986" t="n">
        <v>0</v>
      </c>
      <c r="N986" t="n">
        <v>0</v>
      </c>
      <c r="O986" t="n">
        <v>0</v>
      </c>
      <c r="P986" t="n">
        <v>0</v>
      </c>
      <c r="Q986" t="n">
        <v>0</v>
      </c>
      <c r="R986" s="2" t="inlineStr"/>
    </row>
    <row r="987" ht="15" customHeight="1">
      <c r="A987" t="inlineStr">
        <is>
          <t>A 55662-2023</t>
        </is>
      </c>
      <c r="B987" s="1" t="n">
        <v>45238.96730324074</v>
      </c>
      <c r="C987" s="1" t="n">
        <v>45970</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29835-2022</t>
        </is>
      </c>
      <c r="B988" s="1" t="n">
        <v>44755.94592592592</v>
      </c>
      <c r="C988" s="1" t="n">
        <v>45970</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60666-2024</t>
        </is>
      </c>
      <c r="B989" s="1" t="n">
        <v>45644.44833333333</v>
      </c>
      <c r="C989" s="1" t="n">
        <v>45970</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61362-2024</t>
        </is>
      </c>
      <c r="B990" s="1" t="n">
        <v>45646.3857175926</v>
      </c>
      <c r="C990" s="1" t="n">
        <v>45970</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37238-2023</t>
        </is>
      </c>
      <c r="B991" s="1" t="n">
        <v>45155.95366898148</v>
      </c>
      <c r="C991" s="1" t="n">
        <v>45970</v>
      </c>
      <c r="D991" t="inlineStr">
        <is>
          <t>JÄMTLANDS LÄN</t>
        </is>
      </c>
      <c r="E991" t="inlineStr">
        <is>
          <t>BRÄCKE</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40410-2023</t>
        </is>
      </c>
      <c r="B992" s="1" t="n">
        <v>45169</v>
      </c>
      <c r="C992" s="1" t="n">
        <v>45970</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58491-2024</t>
        </is>
      </c>
      <c r="B993" s="1" t="n">
        <v>45635.40408564815</v>
      </c>
      <c r="C993" s="1" t="n">
        <v>45970</v>
      </c>
      <c r="D993" t="inlineStr">
        <is>
          <t>JÄMTLANDS LÄN</t>
        </is>
      </c>
      <c r="E993" t="inlineStr">
        <is>
          <t>BRÄCKE</t>
        </is>
      </c>
      <c r="G993" t="n">
        <v>0.6</v>
      </c>
      <c r="H993" t="n">
        <v>0</v>
      </c>
      <c r="I993" t="n">
        <v>0</v>
      </c>
      <c r="J993" t="n">
        <v>0</v>
      </c>
      <c r="K993" t="n">
        <v>0</v>
      </c>
      <c r="L993" t="n">
        <v>0</v>
      </c>
      <c r="M993" t="n">
        <v>0</v>
      </c>
      <c r="N993" t="n">
        <v>0</v>
      </c>
      <c r="O993" t="n">
        <v>0</v>
      </c>
      <c r="P993" t="n">
        <v>0</v>
      </c>
      <c r="Q993" t="n">
        <v>0</v>
      </c>
      <c r="R993" s="2" t="inlineStr"/>
    </row>
    <row r="994" ht="15" customHeight="1">
      <c r="A994" t="inlineStr">
        <is>
          <t>A 24432-2024</t>
        </is>
      </c>
      <c r="B994" s="1" t="n">
        <v>45457.96054398148</v>
      </c>
      <c r="C994" s="1" t="n">
        <v>45970</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51161-2023</t>
        </is>
      </c>
      <c r="B995" s="1" t="n">
        <v>45219.38019675926</v>
      </c>
      <c r="C995" s="1" t="n">
        <v>45970</v>
      </c>
      <c r="D995" t="inlineStr">
        <is>
          <t>JÄMTLANDS LÄN</t>
        </is>
      </c>
      <c r="E995" t="inlineStr">
        <is>
          <t>BRÄCKE</t>
        </is>
      </c>
      <c r="G995" t="n">
        <v>2.5</v>
      </c>
      <c r="H995" t="n">
        <v>0</v>
      </c>
      <c r="I995" t="n">
        <v>0</v>
      </c>
      <c r="J995" t="n">
        <v>0</v>
      </c>
      <c r="K995" t="n">
        <v>0</v>
      </c>
      <c r="L995" t="n">
        <v>0</v>
      </c>
      <c r="M995" t="n">
        <v>0</v>
      </c>
      <c r="N995" t="n">
        <v>0</v>
      </c>
      <c r="O995" t="n">
        <v>0</v>
      </c>
      <c r="P995" t="n">
        <v>0</v>
      </c>
      <c r="Q995" t="n">
        <v>0</v>
      </c>
      <c r="R995" s="2" t="inlineStr"/>
    </row>
    <row r="996" ht="15" customHeight="1">
      <c r="A996" t="inlineStr">
        <is>
          <t>A 41313-2024</t>
        </is>
      </c>
      <c r="B996" s="1" t="n">
        <v>45559.6359837963</v>
      </c>
      <c r="C996" s="1" t="n">
        <v>45970</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22985-2023</t>
        </is>
      </c>
      <c r="B997" s="1" t="n">
        <v>45072</v>
      </c>
      <c r="C997" s="1" t="n">
        <v>45970</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18645-2024</t>
        </is>
      </c>
      <c r="B998" s="1" t="n">
        <v>45425.96738425926</v>
      </c>
      <c r="C998" s="1" t="n">
        <v>45970</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44082-2024</t>
        </is>
      </c>
      <c r="B999" s="1" t="n">
        <v>45572.61549768518</v>
      </c>
      <c r="C999" s="1" t="n">
        <v>45970</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25934-2024</t>
        </is>
      </c>
      <c r="B1000" s="1" t="n">
        <v>45467.62287037037</v>
      </c>
      <c r="C1000" s="1" t="n">
        <v>45970</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36497-2023</t>
        </is>
      </c>
      <c r="B1001" s="1" t="n">
        <v>45152</v>
      </c>
      <c r="C1001" s="1" t="n">
        <v>45970</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2829-2021</t>
        </is>
      </c>
      <c r="B1002" s="1" t="n">
        <v>44215</v>
      </c>
      <c r="C1002" s="1" t="n">
        <v>45970</v>
      </c>
      <c r="D1002" t="inlineStr">
        <is>
          <t>JÄMTLANDS LÄN</t>
        </is>
      </c>
      <c r="E1002" t="inlineStr">
        <is>
          <t>BRÄCKE</t>
        </is>
      </c>
      <c r="F1002" t="inlineStr">
        <is>
          <t>SCA</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16466-2024</t>
        </is>
      </c>
      <c r="B1003" s="1" t="n">
        <v>45408.050625</v>
      </c>
      <c r="C1003" s="1" t="n">
        <v>45970</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13083-2025</t>
        </is>
      </c>
      <c r="B1004" s="1" t="n">
        <v>45734</v>
      </c>
      <c r="C1004" s="1" t="n">
        <v>45970</v>
      </c>
      <c r="D1004" t="inlineStr">
        <is>
          <t>JÄMTLANDS LÄN</t>
        </is>
      </c>
      <c r="E1004" t="inlineStr">
        <is>
          <t>BRÄCKE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4887-2025</t>
        </is>
      </c>
      <c r="B1005" s="1" t="n">
        <v>45688.67800925926</v>
      </c>
      <c r="C1005" s="1" t="n">
        <v>45970</v>
      </c>
      <c r="D1005" t="inlineStr">
        <is>
          <t>JÄMTLANDS LÄN</t>
        </is>
      </c>
      <c r="E1005" t="inlineStr">
        <is>
          <t>BRÄCKE</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58082-2023</t>
        </is>
      </c>
      <c r="B1006" s="1" t="n">
        <v>45247.96538194444</v>
      </c>
      <c r="C1006" s="1" t="n">
        <v>45970</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26910-2024</t>
        </is>
      </c>
      <c r="B1007" s="1" t="n">
        <v>45470.76403935185</v>
      </c>
      <c r="C1007" s="1" t="n">
        <v>45970</v>
      </c>
      <c r="D1007" t="inlineStr">
        <is>
          <t>JÄMTLANDS LÄN</t>
        </is>
      </c>
      <c r="E1007" t="inlineStr">
        <is>
          <t>BRÄCKE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49727-2023</t>
        </is>
      </c>
      <c r="B1008" s="1" t="n">
        <v>45208</v>
      </c>
      <c r="C1008" s="1" t="n">
        <v>45970</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49709-2024</t>
        </is>
      </c>
      <c r="B1009" s="1" t="n">
        <v>45596.69858796296</v>
      </c>
      <c r="C1009" s="1" t="n">
        <v>45970</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51167-2023</t>
        </is>
      </c>
      <c r="B1010" s="1" t="n">
        <v>45219.38388888889</v>
      </c>
      <c r="C1010" s="1" t="n">
        <v>45970</v>
      </c>
      <c r="D1010" t="inlineStr">
        <is>
          <t>JÄMTLANDS LÄN</t>
        </is>
      </c>
      <c r="E1010" t="inlineStr">
        <is>
          <t>BRÄCKE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51378-2024</t>
        </is>
      </c>
      <c r="B1011" s="1" t="n">
        <v>45604.38572916666</v>
      </c>
      <c r="C1011" s="1" t="n">
        <v>45970</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45577-2023</t>
        </is>
      </c>
      <c r="B1012" s="1" t="n">
        <v>45194</v>
      </c>
      <c r="C1012" s="1" t="n">
        <v>45970</v>
      </c>
      <c r="D1012" t="inlineStr">
        <is>
          <t>JÄMTLANDS LÄN</t>
        </is>
      </c>
      <c r="E1012" t="inlineStr">
        <is>
          <t>BRÄCKE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14266-2025</t>
        </is>
      </c>
      <c r="B1013" s="1" t="n">
        <v>45740.63572916666</v>
      </c>
      <c r="C1013" s="1" t="n">
        <v>45970</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8253-2024</t>
        </is>
      </c>
      <c r="B1014" s="1" t="n">
        <v>45350</v>
      </c>
      <c r="C1014" s="1" t="n">
        <v>45970</v>
      </c>
      <c r="D1014" t="inlineStr">
        <is>
          <t>JÄMTLANDS LÄN</t>
        </is>
      </c>
      <c r="E1014" t="inlineStr">
        <is>
          <t>BRÄCKE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3248-2025</t>
        </is>
      </c>
      <c r="B1015" s="1" t="n">
        <v>45679.53173611111</v>
      </c>
      <c r="C1015" s="1" t="n">
        <v>45970</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39745-2025</t>
        </is>
      </c>
      <c r="B1016" s="1" t="n">
        <v>45891.38579861111</v>
      </c>
      <c r="C1016" s="1" t="n">
        <v>45970</v>
      </c>
      <c r="D1016" t="inlineStr">
        <is>
          <t>JÄMTLANDS LÄN</t>
        </is>
      </c>
      <c r="E1016" t="inlineStr">
        <is>
          <t>BRÄCKE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4915-2025</t>
        </is>
      </c>
      <c r="B1017" s="1" t="n">
        <v>45688.68184027778</v>
      </c>
      <c r="C1017" s="1" t="n">
        <v>45970</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48660-2025</t>
        </is>
      </c>
      <c r="B1018" s="1" t="n">
        <v>45936.56836805555</v>
      </c>
      <c r="C1018" s="1" t="n">
        <v>45970</v>
      </c>
      <c r="D1018" t="inlineStr">
        <is>
          <t>JÄMTLANDS LÄN</t>
        </is>
      </c>
      <c r="E1018" t="inlineStr">
        <is>
          <t>BRÄCKE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19615-2025</t>
        </is>
      </c>
      <c r="B1019" s="1" t="n">
        <v>45770.61519675926</v>
      </c>
      <c r="C1019" s="1" t="n">
        <v>45970</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4121-2025</t>
        </is>
      </c>
      <c r="B1020" s="1" t="n">
        <v>45685.26607638889</v>
      </c>
      <c r="C1020" s="1" t="n">
        <v>45970</v>
      </c>
      <c r="D1020" t="inlineStr">
        <is>
          <t>JÄMTLANDS LÄN</t>
        </is>
      </c>
      <c r="E1020" t="inlineStr">
        <is>
          <t>BRÄCKE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39901-2025</t>
        </is>
      </c>
      <c r="B1021" s="1" t="n">
        <v>45891.63577546296</v>
      </c>
      <c r="C1021" s="1" t="n">
        <v>45970</v>
      </c>
      <c r="D1021" t="inlineStr">
        <is>
          <t>JÄMTLANDS LÄN</t>
        </is>
      </c>
      <c r="E1021" t="inlineStr">
        <is>
          <t>BRÄCKE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43551-2023</t>
        </is>
      </c>
      <c r="B1022" s="1" t="n">
        <v>45181</v>
      </c>
      <c r="C1022" s="1" t="n">
        <v>45970</v>
      </c>
      <c r="D1022" t="inlineStr">
        <is>
          <t>JÄMTLANDS LÄN</t>
        </is>
      </c>
      <c r="E1022" t="inlineStr">
        <is>
          <t>BRÄCKE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31843-2022</t>
        </is>
      </c>
      <c r="B1023" s="1" t="n">
        <v>44776.94121527778</v>
      </c>
      <c r="C1023" s="1" t="n">
        <v>45970</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45970</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45010-2023</t>
        </is>
      </c>
      <c r="B1025" s="1" t="n">
        <v>45190.96116898148</v>
      </c>
      <c r="C1025" s="1" t="n">
        <v>45970</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45013-2023</t>
        </is>
      </c>
      <c r="B1026" s="1" t="n">
        <v>45190.96158564815</v>
      </c>
      <c r="C1026" s="1" t="n">
        <v>45970</v>
      </c>
      <c r="D1026" t="inlineStr">
        <is>
          <t>JÄMTLANDS LÄN</t>
        </is>
      </c>
      <c r="E1026" t="inlineStr">
        <is>
          <t>BRÄCKE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57590-2024</t>
        </is>
      </c>
      <c r="B1027" s="1" t="n">
        <v>45630.49729166667</v>
      </c>
      <c r="C1027" s="1" t="n">
        <v>45970</v>
      </c>
      <c r="D1027" t="inlineStr">
        <is>
          <t>JÄMTLANDS LÄN</t>
        </is>
      </c>
      <c r="E1027" t="inlineStr">
        <is>
          <t>BRÄCKE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23771-2023</t>
        </is>
      </c>
      <c r="B1028" s="1" t="n">
        <v>45077</v>
      </c>
      <c r="C1028" s="1" t="n">
        <v>45970</v>
      </c>
      <c r="D1028" t="inlineStr">
        <is>
          <t>JÄMTLANDS LÄN</t>
        </is>
      </c>
      <c r="E1028" t="inlineStr">
        <is>
          <t>BRÄCKE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30685-2023</t>
        </is>
      </c>
      <c r="B1029" s="1" t="n">
        <v>45112.56471064815</v>
      </c>
      <c r="C1029" s="1" t="n">
        <v>45970</v>
      </c>
      <c r="D1029" t="inlineStr">
        <is>
          <t>JÄMTLANDS LÄN</t>
        </is>
      </c>
      <c r="E1029" t="inlineStr">
        <is>
          <t>BRÄCKE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24307-2024</t>
        </is>
      </c>
      <c r="B1030" s="1" t="n">
        <v>45457.49471064815</v>
      </c>
      <c r="C1030" s="1" t="n">
        <v>45970</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57473-2024</t>
        </is>
      </c>
      <c r="B1031" s="1" t="n">
        <v>45630.34438657408</v>
      </c>
      <c r="C1031" s="1" t="n">
        <v>45970</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25413-2024</t>
        </is>
      </c>
      <c r="B1032" s="1" t="n">
        <v>45462</v>
      </c>
      <c r="C1032" s="1" t="n">
        <v>45970</v>
      </c>
      <c r="D1032" t="inlineStr">
        <is>
          <t>JÄMTLANDS LÄN</t>
        </is>
      </c>
      <c r="E1032" t="inlineStr">
        <is>
          <t>BRÄCKE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55997-2024</t>
        </is>
      </c>
      <c r="B1033" s="1" t="n">
        <v>45623.6984837963</v>
      </c>
      <c r="C1033" s="1" t="n">
        <v>45970</v>
      </c>
      <c r="D1033" t="inlineStr">
        <is>
          <t>JÄMTLANDS LÄN</t>
        </is>
      </c>
      <c r="E1033" t="inlineStr">
        <is>
          <t>BRÄCKE</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51416-2024</t>
        </is>
      </c>
      <c r="B1034" s="1" t="n">
        <v>45604.44829861111</v>
      </c>
      <c r="C1034" s="1" t="n">
        <v>45970</v>
      </c>
      <c r="D1034" t="inlineStr">
        <is>
          <t>JÄMTLANDS LÄN</t>
        </is>
      </c>
      <c r="E1034" t="inlineStr">
        <is>
          <t>BRÄCKE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73106-2021</t>
        </is>
      </c>
      <c r="B1035" s="1" t="n">
        <v>44550.45646990741</v>
      </c>
      <c r="C1035" s="1" t="n">
        <v>45970</v>
      </c>
      <c r="D1035" t="inlineStr">
        <is>
          <t>JÄMTLANDS LÄN</t>
        </is>
      </c>
      <c r="E1035" t="inlineStr">
        <is>
          <t>BRÄCKE</t>
        </is>
      </c>
      <c r="F1035" t="inlineStr">
        <is>
          <t>Sveaskog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52714-2022</t>
        </is>
      </c>
      <c r="B1036" s="1" t="n">
        <v>44874.95511574074</v>
      </c>
      <c r="C1036" s="1" t="n">
        <v>45970</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3737-2025</t>
        </is>
      </c>
      <c r="B1037" s="1" t="n">
        <v>45681.57335648148</v>
      </c>
      <c r="C1037" s="1" t="n">
        <v>45970</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58848-2024</t>
        </is>
      </c>
      <c r="B1038" s="1" t="n">
        <v>45636.38657407407</v>
      </c>
      <c r="C1038" s="1" t="n">
        <v>45970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49260-2025</t>
        </is>
      </c>
      <c r="B1039" s="1" t="n">
        <v>45938.49702546297</v>
      </c>
      <c r="C1039" s="1" t="n">
        <v>45970</v>
      </c>
      <c r="D1039" t="inlineStr">
        <is>
          <t>JÄMTLANDS LÄN</t>
        </is>
      </c>
      <c r="E1039" t="inlineStr">
        <is>
          <t>BRÄCKE</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49276-2025</t>
        </is>
      </c>
      <c r="B1040" s="1" t="n">
        <v>45938.50738425926</v>
      </c>
      <c r="C1040" s="1" t="n">
        <v>45970</v>
      </c>
      <c r="D1040" t="inlineStr">
        <is>
          <t>JÄMTLANDS LÄN</t>
        </is>
      </c>
      <c r="E1040" t="inlineStr">
        <is>
          <t>BRÄCKE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62249-2021</t>
        </is>
      </c>
      <c r="B1041" s="1" t="n">
        <v>44503</v>
      </c>
      <c r="C1041" s="1" t="n">
        <v>45970</v>
      </c>
      <c r="D1041" t="inlineStr">
        <is>
          <t>JÄMTLANDS LÄN</t>
        </is>
      </c>
      <c r="E1041" t="inlineStr">
        <is>
          <t>BRÄCKE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49292-2025</t>
        </is>
      </c>
      <c r="B1042" s="1" t="n">
        <v>45938.53203703704</v>
      </c>
      <c r="C1042" s="1" t="n">
        <v>45970</v>
      </c>
      <c r="D1042" t="inlineStr">
        <is>
          <t>JÄMTLANDS LÄN</t>
        </is>
      </c>
      <c r="E1042" t="inlineStr">
        <is>
          <t>BRÄCKE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41311-2024</t>
        </is>
      </c>
      <c r="B1043" s="1" t="n">
        <v>45559.63569444444</v>
      </c>
      <c r="C1043" s="1" t="n">
        <v>45970</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41315-2024</t>
        </is>
      </c>
      <c r="B1044" s="1" t="n">
        <v>45559.63628472222</v>
      </c>
      <c r="C1044" s="1" t="n">
        <v>45970</v>
      </c>
      <c r="D1044" t="inlineStr">
        <is>
          <t>JÄMTLANDS LÄN</t>
        </is>
      </c>
      <c r="E1044" t="inlineStr">
        <is>
          <t>BRÄCKE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45970</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20100-2023</t>
        </is>
      </c>
      <c r="B1046" s="1" t="n">
        <v>45054.94239583334</v>
      </c>
      <c r="C1046" s="1" t="n">
        <v>45970</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20101-2023</t>
        </is>
      </c>
      <c r="B1047" s="1" t="n">
        <v>45054.94247685185</v>
      </c>
      <c r="C1047" s="1" t="n">
        <v>45970</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44841-2024</t>
        </is>
      </c>
      <c r="B1048" s="1" t="n">
        <v>45574.71900462963</v>
      </c>
      <c r="C1048" s="1" t="n">
        <v>45970</v>
      </c>
      <c r="D1048" t="inlineStr">
        <is>
          <t>JÄMTLANDS LÄN</t>
        </is>
      </c>
      <c r="E1048" t="inlineStr">
        <is>
          <t>BRÄCKE</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40411-2025</t>
        </is>
      </c>
      <c r="B1049" s="1" t="n">
        <v>45895.57373842593</v>
      </c>
      <c r="C1049" s="1" t="n">
        <v>45970</v>
      </c>
      <c r="D1049" t="inlineStr">
        <is>
          <t>JÄMTLANDS LÄN</t>
        </is>
      </c>
      <c r="E1049" t="inlineStr">
        <is>
          <t>BRÄCKE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40607-2025</t>
        </is>
      </c>
      <c r="B1050" s="1" t="n">
        <v>45896</v>
      </c>
      <c r="C1050" s="1" t="n">
        <v>45970</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40334-2025</t>
        </is>
      </c>
      <c r="B1051" s="1" t="n">
        <v>45895</v>
      </c>
      <c r="C1051" s="1" t="n">
        <v>45970</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37173-2024</t>
        </is>
      </c>
      <c r="B1052" s="1" t="n">
        <v>45539.63597222222</v>
      </c>
      <c r="C1052" s="1" t="n">
        <v>45970</v>
      </c>
      <c r="D1052" t="inlineStr">
        <is>
          <t>JÄMTLANDS LÄN</t>
        </is>
      </c>
      <c r="E1052" t="inlineStr">
        <is>
          <t>BRÄCKE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41418-2024</t>
        </is>
      </c>
      <c r="B1053" s="1" t="n">
        <v>45560.34599537037</v>
      </c>
      <c r="C1053" s="1" t="n">
        <v>45970</v>
      </c>
      <c r="D1053" t="inlineStr">
        <is>
          <t>JÄMTLANDS LÄN</t>
        </is>
      </c>
      <c r="E1053" t="inlineStr">
        <is>
          <t>BRÄCKE</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41419-2024</t>
        </is>
      </c>
      <c r="B1054" s="1" t="n">
        <v>45560</v>
      </c>
      <c r="C1054" s="1" t="n">
        <v>45970</v>
      </c>
      <c r="D1054" t="inlineStr">
        <is>
          <t>JÄMTLANDS LÄN</t>
        </is>
      </c>
      <c r="E1054" t="inlineStr">
        <is>
          <t>BRÄCKE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48851-2025</t>
        </is>
      </c>
      <c r="B1055" s="1" t="n">
        <v>45937.42969907408</v>
      </c>
      <c r="C1055" s="1" t="n">
        <v>45970</v>
      </c>
      <c r="D1055" t="inlineStr">
        <is>
          <t>JÄMTLANDS LÄN</t>
        </is>
      </c>
      <c r="E1055" t="inlineStr">
        <is>
          <t>BRÄCKE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52723-2023</t>
        </is>
      </c>
      <c r="B1056" s="1" t="n">
        <v>45225</v>
      </c>
      <c r="C1056" s="1" t="n">
        <v>45970</v>
      </c>
      <c r="D1056" t="inlineStr">
        <is>
          <t>JÄMTLANDS LÄN</t>
        </is>
      </c>
      <c r="E1056" t="inlineStr">
        <is>
          <t>BRÄCKE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20157-2025</t>
        </is>
      </c>
      <c r="B1057" s="1" t="n">
        <v>45772.56060185185</v>
      </c>
      <c r="C1057" s="1" t="n">
        <v>45970</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12063-2023</t>
        </is>
      </c>
      <c r="B1058" s="1" t="n">
        <v>44996</v>
      </c>
      <c r="C1058" s="1" t="n">
        <v>45970</v>
      </c>
      <c r="D1058" t="inlineStr">
        <is>
          <t>JÄMTLANDS LÄN</t>
        </is>
      </c>
      <c r="E1058" t="inlineStr">
        <is>
          <t>BRÄCKE</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31567-2024</t>
        </is>
      </c>
      <c r="B1059" s="1" t="n">
        <v>45505.96689814814</v>
      </c>
      <c r="C1059" s="1" t="n">
        <v>45970</v>
      </c>
      <c r="D1059" t="inlineStr">
        <is>
          <t>JÄMTLANDS LÄN</t>
        </is>
      </c>
      <c r="E1059" t="inlineStr">
        <is>
          <t>BRÄCKE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48982-2025</t>
        </is>
      </c>
      <c r="B1060" s="1" t="n">
        <v>45937.57377314815</v>
      </c>
      <c r="C1060" s="1" t="n">
        <v>45970</v>
      </c>
      <c r="D1060" t="inlineStr">
        <is>
          <t>JÄMTLANDS LÄN</t>
        </is>
      </c>
      <c r="E1060" t="inlineStr">
        <is>
          <t>BRÄCKE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55436-2024</t>
        </is>
      </c>
      <c r="B1061" s="1" t="n">
        <v>45622.4022337963</v>
      </c>
      <c r="C1061" s="1" t="n">
        <v>45970</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4893-2025</t>
        </is>
      </c>
      <c r="B1062" s="1" t="n">
        <v>45688.67871527778</v>
      </c>
      <c r="C1062" s="1" t="n">
        <v>45970</v>
      </c>
      <c r="D1062" t="inlineStr">
        <is>
          <t>JÄMTLANDS LÄN</t>
        </is>
      </c>
      <c r="E1062" t="inlineStr">
        <is>
          <t>BRÄCKE</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20756-2025</t>
        </is>
      </c>
      <c r="B1063" s="1" t="n">
        <v>45776.57333333333</v>
      </c>
      <c r="C1063" s="1" t="n">
        <v>45970</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14373-2024</t>
        </is>
      </c>
      <c r="B1064" s="1" t="n">
        <v>45393</v>
      </c>
      <c r="C1064" s="1" t="n">
        <v>45970</v>
      </c>
      <c r="D1064" t="inlineStr">
        <is>
          <t>JÄMTLANDS LÄN</t>
        </is>
      </c>
      <c r="E1064" t="inlineStr">
        <is>
          <t>BRÄCKE</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20778-2025</t>
        </is>
      </c>
      <c r="B1065" s="1" t="n">
        <v>45776.59439814815</v>
      </c>
      <c r="C1065" s="1" t="n">
        <v>45970</v>
      </c>
      <c r="D1065" t="inlineStr">
        <is>
          <t>JÄMTLANDS LÄN</t>
        </is>
      </c>
      <c r="E1065" t="inlineStr">
        <is>
          <t>BRÄCKE</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9387-2025</t>
        </is>
      </c>
      <c r="B1066" s="1" t="n">
        <v>45715.34461805555</v>
      </c>
      <c r="C1066" s="1" t="n">
        <v>45970</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18206-2023</t>
        </is>
      </c>
      <c r="B1067" s="1" t="n">
        <v>45041</v>
      </c>
      <c r="C1067" s="1" t="n">
        <v>45970</v>
      </c>
      <c r="D1067" t="inlineStr">
        <is>
          <t>JÄMTLANDS LÄN</t>
        </is>
      </c>
      <c r="E1067" t="inlineStr">
        <is>
          <t>BRÄCKE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14868-2021</t>
        </is>
      </c>
      <c r="B1068" s="1" t="n">
        <v>44280</v>
      </c>
      <c r="C1068" s="1" t="n">
        <v>45970</v>
      </c>
      <c r="D1068" t="inlineStr">
        <is>
          <t>JÄMTLANDS LÄN</t>
        </is>
      </c>
      <c r="E1068" t="inlineStr">
        <is>
          <t>BRÄCKE</t>
        </is>
      </c>
      <c r="F1068" t="inlineStr">
        <is>
          <t>SCA</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49255-2025</t>
        </is>
      </c>
      <c r="B1069" s="1" t="n">
        <v>45938.49164351852</v>
      </c>
      <c r="C1069" s="1" t="n">
        <v>45970</v>
      </c>
      <c r="D1069" t="inlineStr">
        <is>
          <t>JÄMTLANDS LÄN</t>
        </is>
      </c>
      <c r="E1069" t="inlineStr">
        <is>
          <t>BRÄCKE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20870-2025</t>
        </is>
      </c>
      <c r="B1070" s="1" t="n">
        <v>45777.34517361111</v>
      </c>
      <c r="C1070" s="1" t="n">
        <v>45970</v>
      </c>
      <c r="D1070" t="inlineStr">
        <is>
          <t>JÄMTLANDS LÄN</t>
        </is>
      </c>
      <c r="E1070" t="inlineStr">
        <is>
          <t>BRÄCKE</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53724-2024</t>
        </is>
      </c>
      <c r="B1071" s="1" t="n">
        <v>45615.45042824074</v>
      </c>
      <c r="C1071" s="1" t="n">
        <v>45970</v>
      </c>
      <c r="D1071" t="inlineStr">
        <is>
          <t>JÄMTLANDS LÄN</t>
        </is>
      </c>
      <c r="E1071" t="inlineStr">
        <is>
          <t>BRÄCKE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20909-2025</t>
        </is>
      </c>
      <c r="B1072" s="1" t="n">
        <v>45777.40672453704</v>
      </c>
      <c r="C1072" s="1" t="n">
        <v>45970</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48784-2024</t>
        </is>
      </c>
      <c r="B1073" s="1" t="n">
        <v>45593.63570601852</v>
      </c>
      <c r="C1073" s="1" t="n">
        <v>45970</v>
      </c>
      <c r="D1073" t="inlineStr">
        <is>
          <t>JÄMTLANDS LÄN</t>
        </is>
      </c>
      <c r="E1073" t="inlineStr">
        <is>
          <t>BRÄCKE</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45974-2024</t>
        </is>
      </c>
      <c r="B1074" s="1" t="n">
        <v>45580.59408564815</v>
      </c>
      <c r="C1074" s="1" t="n">
        <v>45970</v>
      </c>
      <c r="D1074" t="inlineStr">
        <is>
          <t>JÄMTLANDS LÄN</t>
        </is>
      </c>
      <c r="E1074" t="inlineStr">
        <is>
          <t>BRÄCKE</t>
        </is>
      </c>
      <c r="F1074" t="inlineStr">
        <is>
          <t>Naturvårdsverket</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49046-2025</t>
        </is>
      </c>
      <c r="B1075" s="1" t="n">
        <v>45937.63693287037</v>
      </c>
      <c r="C1075" s="1" t="n">
        <v>45970</v>
      </c>
      <c r="D1075" t="inlineStr">
        <is>
          <t>JÄMTLANDS LÄN</t>
        </is>
      </c>
      <c r="E1075" t="inlineStr">
        <is>
          <t>BRÄCKE</t>
        </is>
      </c>
      <c r="F1075" t="inlineStr">
        <is>
          <t>SCA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21305-2025</t>
        </is>
      </c>
      <c r="B1076" s="1" t="n">
        <v>45781.40665509259</v>
      </c>
      <c r="C1076" s="1" t="n">
        <v>45970</v>
      </c>
      <c r="D1076" t="inlineStr">
        <is>
          <t>JÄMTLANDS LÄN</t>
        </is>
      </c>
      <c r="E1076" t="inlineStr">
        <is>
          <t>BRÄCKE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21368-2025</t>
        </is>
      </c>
      <c r="B1077" s="1" t="n">
        <v>45782.44824074074</v>
      </c>
      <c r="C1077" s="1" t="n">
        <v>45970</v>
      </c>
      <c r="D1077" t="inlineStr">
        <is>
          <t>JÄMTLANDS LÄN</t>
        </is>
      </c>
      <c r="E1077" t="inlineStr">
        <is>
          <t>BRÄCKE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53696-2024</t>
        </is>
      </c>
      <c r="B1078" s="1" t="n">
        <v>45615.3857175926</v>
      </c>
      <c r="C1078" s="1" t="n">
        <v>45970</v>
      </c>
      <c r="D1078" t="inlineStr">
        <is>
          <t>JÄMTLANDS LÄN</t>
        </is>
      </c>
      <c r="E1078" t="inlineStr">
        <is>
          <t>BRÄCKE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34646-2024</t>
        </is>
      </c>
      <c r="B1079" s="1" t="n">
        <v>45526.4784375</v>
      </c>
      <c r="C1079" s="1" t="n">
        <v>45970</v>
      </c>
      <c r="D1079" t="inlineStr">
        <is>
          <t>JÄMTLANDS LÄN</t>
        </is>
      </c>
      <c r="E1079" t="inlineStr">
        <is>
          <t>BRÄCKE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29409-2024</t>
        </is>
      </c>
      <c r="B1080" s="1" t="n">
        <v>45483.67341435186</v>
      </c>
      <c r="C1080" s="1" t="n">
        <v>45970</v>
      </c>
      <c r="D1080" t="inlineStr">
        <is>
          <t>JÄMTLANDS LÄN</t>
        </is>
      </c>
      <c r="E1080" t="inlineStr">
        <is>
          <t>BRÄCKE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21551-2025</t>
        </is>
      </c>
      <c r="B1081" s="1" t="n">
        <v>45782.67771990741</v>
      </c>
      <c r="C1081" s="1" t="n">
        <v>45970</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58776-2023</t>
        </is>
      </c>
      <c r="B1082" s="1" t="n">
        <v>45251.96740740741</v>
      </c>
      <c r="C1082" s="1" t="n">
        <v>45970</v>
      </c>
      <c r="D1082" t="inlineStr">
        <is>
          <t>JÄMTLANDS LÄN</t>
        </is>
      </c>
      <c r="E1082" t="inlineStr">
        <is>
          <t>BRÄCKE</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41236-2025</t>
        </is>
      </c>
      <c r="B1083" s="1" t="n">
        <v>45898.59565972222</v>
      </c>
      <c r="C1083" s="1" t="n">
        <v>45970</v>
      </c>
      <c r="D1083" t="inlineStr">
        <is>
          <t>JÄMTLANDS LÄN</t>
        </is>
      </c>
      <c r="E1083" t="inlineStr">
        <is>
          <t>BRÄCKE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41285-2025</t>
        </is>
      </c>
      <c r="B1084" s="1" t="n">
        <v>45898.63637731481</v>
      </c>
      <c r="C1084" s="1" t="n">
        <v>45970</v>
      </c>
      <c r="D1084" t="inlineStr">
        <is>
          <t>JÄMTLANDS LÄN</t>
        </is>
      </c>
      <c r="E1084" t="inlineStr">
        <is>
          <t>BRÄCKE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21549-2025</t>
        </is>
      </c>
      <c r="B1085" s="1" t="n">
        <v>45782.67743055556</v>
      </c>
      <c r="C1085" s="1" t="n">
        <v>45970</v>
      </c>
      <c r="D1085" t="inlineStr">
        <is>
          <t>JÄMTLANDS LÄN</t>
        </is>
      </c>
      <c r="E1085" t="inlineStr">
        <is>
          <t>BRÄCKE</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21449-2025</t>
        </is>
      </c>
      <c r="B1086" s="1" t="n">
        <v>45782.55255787037</v>
      </c>
      <c r="C1086" s="1" t="n">
        <v>45970</v>
      </c>
      <c r="D1086" t="inlineStr">
        <is>
          <t>JÄMTLANDS LÄN</t>
        </is>
      </c>
      <c r="E1086" t="inlineStr">
        <is>
          <t>BRÄCKE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21450-2025</t>
        </is>
      </c>
      <c r="B1087" s="1" t="n">
        <v>45782.55275462963</v>
      </c>
      <c r="C1087" s="1" t="n">
        <v>45970</v>
      </c>
      <c r="D1087" t="inlineStr">
        <is>
          <t>JÄMTLANDS LÄN</t>
        </is>
      </c>
      <c r="E1087" t="inlineStr">
        <is>
          <t>BRÄCKE</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40749-2025</t>
        </is>
      </c>
      <c r="B1088" s="1" t="n">
        <v>45897.38248842592</v>
      </c>
      <c r="C1088" s="1" t="n">
        <v>45970</v>
      </c>
      <c r="D1088" t="inlineStr">
        <is>
          <t>JÄMTLANDS LÄN</t>
        </is>
      </c>
      <c r="E1088" t="inlineStr">
        <is>
          <t>BRÄCKE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21486-2025</t>
        </is>
      </c>
      <c r="B1089" s="1" t="n">
        <v>45782.59521990741</v>
      </c>
      <c r="C1089" s="1" t="n">
        <v>45970</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18982-2022</t>
        </is>
      </c>
      <c r="B1090" s="1" t="n">
        <v>44690.92626157407</v>
      </c>
      <c r="C1090" s="1" t="n">
        <v>45970</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49185-2024</t>
        </is>
      </c>
      <c r="B1091" s="1" t="n">
        <v>45595.34466435185</v>
      </c>
      <c r="C1091" s="1" t="n">
        <v>45970</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63713-2023</t>
        </is>
      </c>
      <c r="B1092" s="1" t="n">
        <v>45275</v>
      </c>
      <c r="C1092" s="1" t="n">
        <v>45970</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41297-2025</t>
        </is>
      </c>
      <c r="B1093" s="1" t="n">
        <v>45898.66872685185</v>
      </c>
      <c r="C1093" s="1" t="n">
        <v>45970</v>
      </c>
      <c r="D1093" t="inlineStr">
        <is>
          <t>JÄMTLANDS LÄN</t>
        </is>
      </c>
      <c r="E1093" t="inlineStr">
        <is>
          <t>BRÄCKE</t>
        </is>
      </c>
      <c r="F1093" t="inlineStr">
        <is>
          <t>Övriga Aktiebolag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26919-2024</t>
        </is>
      </c>
      <c r="B1094" s="1" t="n">
        <v>45470.93050925926</v>
      </c>
      <c r="C1094" s="1" t="n">
        <v>45970</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52227-2024</t>
        </is>
      </c>
      <c r="B1095" s="1" t="n">
        <v>45608.60768518518</v>
      </c>
      <c r="C1095" s="1" t="n">
        <v>45970</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29751-2023</t>
        </is>
      </c>
      <c r="B1096" s="1" t="n">
        <v>45107</v>
      </c>
      <c r="C1096" s="1" t="n">
        <v>45970</v>
      </c>
      <c r="D1096" t="inlineStr">
        <is>
          <t>JÄMTLANDS LÄN</t>
        </is>
      </c>
      <c r="E1096" t="inlineStr">
        <is>
          <t>BRÄCKE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40793-2025</t>
        </is>
      </c>
      <c r="B1097" s="1" t="n">
        <v>45897.44868055556</v>
      </c>
      <c r="C1097" s="1" t="n">
        <v>45970</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40868-2025</t>
        </is>
      </c>
      <c r="B1098" s="1" t="n">
        <v>45897.57365740741</v>
      </c>
      <c r="C1098" s="1" t="n">
        <v>45970</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40869-2025</t>
        </is>
      </c>
      <c r="B1099" s="1" t="n">
        <v>45897.57383101852</v>
      </c>
      <c r="C1099" s="1" t="n">
        <v>45970</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34647-2024</t>
        </is>
      </c>
      <c r="B1100" s="1" t="n">
        <v>45526.47844907407</v>
      </c>
      <c r="C1100" s="1" t="n">
        <v>45970</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42480-2024</t>
        </is>
      </c>
      <c r="B1101" s="1" t="n">
        <v>45565.49185185185</v>
      </c>
      <c r="C1101" s="1" t="n">
        <v>45970</v>
      </c>
      <c r="D1101" t="inlineStr">
        <is>
          <t>JÄMTLANDS LÄN</t>
        </is>
      </c>
      <c r="E1101" t="inlineStr">
        <is>
          <t>BRÄCKE</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50813-2024</t>
        </is>
      </c>
      <c r="B1102" s="1" t="n">
        <v>45602</v>
      </c>
      <c r="C1102" s="1" t="n">
        <v>45970</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53260-2024</t>
        </is>
      </c>
      <c r="B1103" s="1" t="n">
        <v>45614</v>
      </c>
      <c r="C1103" s="1" t="n">
        <v>45970</v>
      </c>
      <c r="D1103" t="inlineStr">
        <is>
          <t>JÄMTLANDS LÄN</t>
        </is>
      </c>
      <c r="E1103" t="inlineStr">
        <is>
          <t>BRÄCKE</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40809-2025</t>
        </is>
      </c>
      <c r="B1104" s="1" t="n">
        <v>45897.46936342592</v>
      </c>
      <c r="C1104" s="1" t="n">
        <v>45970</v>
      </c>
      <c r="D1104" t="inlineStr">
        <is>
          <t>JÄMTLANDS LÄN</t>
        </is>
      </c>
      <c r="E1104" t="inlineStr">
        <is>
          <t>BRÄCKE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40834-2025</t>
        </is>
      </c>
      <c r="B1105" s="1" t="n">
        <v>45897.51135416667</v>
      </c>
      <c r="C1105" s="1" t="n">
        <v>45970</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40843-2025</t>
        </is>
      </c>
      <c r="B1106" s="1" t="n">
        <v>45897.5321412037</v>
      </c>
      <c r="C1106" s="1" t="n">
        <v>45970</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49291-2024</t>
        </is>
      </c>
      <c r="B1107" s="1" t="n">
        <v>45595.53299768519</v>
      </c>
      <c r="C1107" s="1" t="n">
        <v>45970</v>
      </c>
      <c r="D1107" t="inlineStr">
        <is>
          <t>JÄMTLANDS LÄN</t>
        </is>
      </c>
      <c r="E1107" t="inlineStr">
        <is>
          <t>BRÄCKE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56429-2024</t>
        </is>
      </c>
      <c r="B1108" s="1" t="n">
        <v>45625.40149305556</v>
      </c>
      <c r="C1108" s="1" t="n">
        <v>45970</v>
      </c>
      <c r="D1108" t="inlineStr">
        <is>
          <t>JÄMTLANDS LÄN</t>
        </is>
      </c>
      <c r="E1108" t="inlineStr">
        <is>
          <t>BRÄCKE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56432-2024</t>
        </is>
      </c>
      <c r="B1109" s="1" t="n">
        <v>45625.40679398148</v>
      </c>
      <c r="C1109" s="1" t="n">
        <v>45970</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22000-2025</t>
        </is>
      </c>
      <c r="B1110" s="1" t="n">
        <v>45784.69851851852</v>
      </c>
      <c r="C1110" s="1" t="n">
        <v>45970</v>
      </c>
      <c r="D1110" t="inlineStr">
        <is>
          <t>JÄMTLANDS LÄN</t>
        </is>
      </c>
      <c r="E1110" t="inlineStr">
        <is>
          <t>BRÄCKE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22936-2024</t>
        </is>
      </c>
      <c r="B1111" s="1" t="n">
        <v>45448.94478009259</v>
      </c>
      <c r="C1111" s="1" t="n">
        <v>45970</v>
      </c>
      <c r="D1111" t="inlineStr">
        <is>
          <t>JÄMTLANDS LÄN</t>
        </is>
      </c>
      <c r="E1111" t="inlineStr">
        <is>
          <t>BRÄCKE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53046-2023</t>
        </is>
      </c>
      <c r="B1112" s="1" t="n">
        <v>45226.96388888889</v>
      </c>
      <c r="C1112" s="1" t="n">
        <v>45970</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21961-2025</t>
        </is>
      </c>
      <c r="B1113" s="1" t="n">
        <v>45784.61517361111</v>
      </c>
      <c r="C1113" s="1" t="n">
        <v>45970</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32963-2022</t>
        </is>
      </c>
      <c r="B1114" s="1" t="n">
        <v>44784.92496527778</v>
      </c>
      <c r="C1114" s="1" t="n">
        <v>45970</v>
      </c>
      <c r="D1114" t="inlineStr">
        <is>
          <t>JÄMTLANDS LÄN</t>
        </is>
      </c>
      <c r="E1114" t="inlineStr">
        <is>
          <t>BRÄCKE</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21634-2025</t>
        </is>
      </c>
      <c r="B1115" s="1" t="n">
        <v>45783.42775462963</v>
      </c>
      <c r="C1115" s="1" t="n">
        <v>45970</v>
      </c>
      <c r="D1115" t="inlineStr">
        <is>
          <t>JÄMTLANDS LÄN</t>
        </is>
      </c>
      <c r="E1115" t="inlineStr">
        <is>
          <t>BRÄCKE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9438-2025</t>
        </is>
      </c>
      <c r="B1116" s="1" t="n">
        <v>45715.41347222222</v>
      </c>
      <c r="C1116" s="1" t="n">
        <v>45970</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31470-2023</t>
        </is>
      </c>
      <c r="B1117" s="1" t="n">
        <v>45104</v>
      </c>
      <c r="C1117" s="1" t="n">
        <v>45970</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33033-2023</t>
        </is>
      </c>
      <c r="B1118" s="1" t="n">
        <v>45125.95037037037</v>
      </c>
      <c r="C1118" s="1" t="n">
        <v>45970</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68763-2021</t>
        </is>
      </c>
      <c r="B1119" s="1" t="n">
        <v>44529</v>
      </c>
      <c r="C1119" s="1" t="n">
        <v>45970</v>
      </c>
      <c r="D1119" t="inlineStr">
        <is>
          <t>JÄMTLANDS LÄN</t>
        </is>
      </c>
      <c r="E1119" t="inlineStr">
        <is>
          <t>BRÄCKE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41187-2025</t>
        </is>
      </c>
      <c r="B1120" s="1" t="n">
        <v>45898.56390046296</v>
      </c>
      <c r="C1120" s="1" t="n">
        <v>45970</v>
      </c>
      <c r="D1120" t="inlineStr">
        <is>
          <t>JÄMTLANDS LÄN</t>
        </is>
      </c>
      <c r="E1120" t="inlineStr">
        <is>
          <t>BRÄCKE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22164-2025</t>
        </is>
      </c>
      <c r="B1121" s="1" t="n">
        <v>45785.59428240741</v>
      </c>
      <c r="C1121" s="1" t="n">
        <v>45970</v>
      </c>
      <c r="D1121" t="inlineStr">
        <is>
          <t>JÄMTLANDS LÄN</t>
        </is>
      </c>
      <c r="E1121" t="inlineStr">
        <is>
          <t>BRÄCKE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22167-2025</t>
        </is>
      </c>
      <c r="B1122" s="1" t="n">
        <v>45785.59498842592</v>
      </c>
      <c r="C1122" s="1" t="n">
        <v>45970</v>
      </c>
      <c r="D1122" t="inlineStr">
        <is>
          <t>JÄMTLANDS LÄN</t>
        </is>
      </c>
      <c r="E1122" t="inlineStr">
        <is>
          <t>BRÄCKE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50591-2024</t>
        </is>
      </c>
      <c r="B1123" s="1" t="n">
        <v>45601.6190625</v>
      </c>
      <c r="C1123" s="1" t="n">
        <v>45970</v>
      </c>
      <c r="D1123" t="inlineStr">
        <is>
          <t>JÄMTLANDS LÄN</t>
        </is>
      </c>
      <c r="E1123" t="inlineStr">
        <is>
          <t>BRÄCKE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48482-2023</t>
        </is>
      </c>
      <c r="B1124" s="1" t="n">
        <v>45206.95846064815</v>
      </c>
      <c r="C1124" s="1" t="n">
        <v>45970</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29003-2024</t>
        </is>
      </c>
      <c r="B1125" s="1" t="n">
        <v>45481.52758101852</v>
      </c>
      <c r="C1125" s="1" t="n">
        <v>45970</v>
      </c>
      <c r="D1125" t="inlineStr">
        <is>
          <t>JÄMTLANDS LÄN</t>
        </is>
      </c>
      <c r="E1125" t="inlineStr">
        <is>
          <t>BRÄCKE</t>
        </is>
      </c>
      <c r="F1125" t="inlineStr">
        <is>
          <t>Övriga Aktiebolag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41196-2025</t>
        </is>
      </c>
      <c r="B1126" s="1" t="n">
        <v>45898.57332175926</v>
      </c>
      <c r="C1126" s="1" t="n">
        <v>45970</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40900-2025</t>
        </is>
      </c>
      <c r="B1127" s="1" t="n">
        <v>45897.61546296296</v>
      </c>
      <c r="C1127" s="1" t="n">
        <v>45970</v>
      </c>
      <c r="D1127" t="inlineStr">
        <is>
          <t>JÄMTLANDS LÄN</t>
        </is>
      </c>
      <c r="E1127" t="inlineStr">
        <is>
          <t>BRÄCKE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48080-2023</t>
        </is>
      </c>
      <c r="B1128" s="1" t="n">
        <v>45204.94569444445</v>
      </c>
      <c r="C1128" s="1" t="n">
        <v>45970</v>
      </c>
      <c r="D1128" t="inlineStr">
        <is>
          <t>JÄMTLANDS LÄN</t>
        </is>
      </c>
      <c r="E1128" t="inlineStr">
        <is>
          <t>BRÄCKE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41193-2025</t>
        </is>
      </c>
      <c r="B1129" s="1" t="n">
        <v>45898.56891203704</v>
      </c>
      <c r="C1129" s="1" t="n">
        <v>45970</v>
      </c>
      <c r="D1129" t="inlineStr">
        <is>
          <t>JÄMTLANDS LÄN</t>
        </is>
      </c>
      <c r="E1129" t="inlineStr">
        <is>
          <t>BRÄCKE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4491-2024</t>
        </is>
      </c>
      <c r="B1130" s="1" t="n">
        <v>45327</v>
      </c>
      <c r="C1130" s="1" t="n">
        <v>45970</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44694-2023</t>
        </is>
      </c>
      <c r="B1131" s="1" t="n">
        <v>45189.92251157408</v>
      </c>
      <c r="C1131" s="1" t="n">
        <v>45970</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45807-2024</t>
        </is>
      </c>
      <c r="B1132" s="1" t="n">
        <v>45579.69815972223</v>
      </c>
      <c r="C1132" s="1" t="n">
        <v>45970</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7756-2025</t>
        </is>
      </c>
      <c r="B1133" s="1" t="n">
        <v>45706.51079861111</v>
      </c>
      <c r="C1133" s="1" t="n">
        <v>45970</v>
      </c>
      <c r="D1133" t="inlineStr">
        <is>
          <t>JÄMTLANDS LÄN</t>
        </is>
      </c>
      <c r="E1133" t="inlineStr">
        <is>
          <t>BRÄCKE</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7757-2025</t>
        </is>
      </c>
      <c r="B1134" s="1" t="n">
        <v>45706.51085648148</v>
      </c>
      <c r="C1134" s="1" t="n">
        <v>45970</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41049-2025</t>
        </is>
      </c>
      <c r="B1135" s="1" t="n">
        <v>45898.40252314815</v>
      </c>
      <c r="C1135" s="1" t="n">
        <v>45970</v>
      </c>
      <c r="D1135" t="inlineStr">
        <is>
          <t>JÄMTLANDS LÄN</t>
        </is>
      </c>
      <c r="E1135" t="inlineStr">
        <is>
          <t>BRÄCKE</t>
        </is>
      </c>
      <c r="F1135" t="inlineStr">
        <is>
          <t>Övriga Aktiebolag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26923-2024</t>
        </is>
      </c>
      <c r="B1136" s="1" t="n">
        <v>45470.93094907407</v>
      </c>
      <c r="C1136" s="1" t="n">
        <v>45970</v>
      </c>
      <c r="D1136" t="inlineStr">
        <is>
          <t>JÄMTLANDS LÄN</t>
        </is>
      </c>
      <c r="E1136" t="inlineStr">
        <is>
          <t>BRÄCKE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22841-2025</t>
        </is>
      </c>
      <c r="B1137" s="1" t="n">
        <v>45789</v>
      </c>
      <c r="C1137" s="1" t="n">
        <v>45970</v>
      </c>
      <c r="D1137" t="inlineStr">
        <is>
          <t>JÄMTLANDS LÄN</t>
        </is>
      </c>
      <c r="E1137" t="inlineStr">
        <is>
          <t>BRÄCKE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40757-2025</t>
        </is>
      </c>
      <c r="B1138" s="1" t="n">
        <v>45897.39034722222</v>
      </c>
      <c r="C1138" s="1" t="n">
        <v>45970</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41060-2025</t>
        </is>
      </c>
      <c r="B1139" s="1" t="n">
        <v>45898.4071875</v>
      </c>
      <c r="C1139" s="1" t="n">
        <v>45970</v>
      </c>
      <c r="D1139" t="inlineStr">
        <is>
          <t>JÄMTLANDS LÄN</t>
        </is>
      </c>
      <c r="E1139" t="inlineStr">
        <is>
          <t>BRÄCKE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22940-2025</t>
        </is>
      </c>
      <c r="B1140" s="1" t="n">
        <v>45790.46918981482</v>
      </c>
      <c r="C1140" s="1" t="n">
        <v>45970</v>
      </c>
      <c r="D1140" t="inlineStr">
        <is>
          <t>JÄMTLANDS LÄN</t>
        </is>
      </c>
      <c r="E1140" t="inlineStr">
        <is>
          <t>BRÄCKE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22670-2025</t>
        </is>
      </c>
      <c r="B1141" s="1" t="n">
        <v>45789.49024305555</v>
      </c>
      <c r="C1141" s="1" t="n">
        <v>45970</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22958-2025</t>
        </is>
      </c>
      <c r="B1142" s="1" t="n">
        <v>45790.53184027778</v>
      </c>
      <c r="C1142" s="1" t="n">
        <v>45970</v>
      </c>
      <c r="D1142" t="inlineStr">
        <is>
          <t>JÄMTLANDS LÄN</t>
        </is>
      </c>
      <c r="E1142" t="inlineStr">
        <is>
          <t>BRÄCKE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22957-2025</t>
        </is>
      </c>
      <c r="B1143" s="1" t="n">
        <v>45790.53179398148</v>
      </c>
      <c r="C1143" s="1" t="n">
        <v>45970</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40871-2025</t>
        </is>
      </c>
      <c r="B1144" s="1" t="n">
        <v>45897.57418981481</v>
      </c>
      <c r="C1144" s="1" t="n">
        <v>45970</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40832-2025</t>
        </is>
      </c>
      <c r="B1145" s="1" t="n">
        <v>45897.51096064815</v>
      </c>
      <c r="C1145" s="1" t="n">
        <v>45970</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22313-2025</t>
        </is>
      </c>
      <c r="B1146" s="1" t="n">
        <v>45786.38583333333</v>
      </c>
      <c r="C1146" s="1" t="n">
        <v>45970</v>
      </c>
      <c r="D1146" t="inlineStr">
        <is>
          <t>JÄMTLANDS LÄN</t>
        </is>
      </c>
      <c r="E1146" t="inlineStr">
        <is>
          <t>BRÄCKE</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40903-2025</t>
        </is>
      </c>
      <c r="B1147" s="1" t="n">
        <v>45897.61609953704</v>
      </c>
      <c r="C1147" s="1" t="n">
        <v>45970</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6378-2025</t>
        </is>
      </c>
      <c r="B1148" s="1" t="n">
        <v>45699.40689814815</v>
      </c>
      <c r="C1148" s="1" t="n">
        <v>45970</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22772-2025</t>
        </is>
      </c>
      <c r="B1149" s="1" t="n">
        <v>45789.63618055556</v>
      </c>
      <c r="C1149" s="1" t="n">
        <v>45970</v>
      </c>
      <c r="D1149" t="inlineStr">
        <is>
          <t>JÄMTLANDS LÄN</t>
        </is>
      </c>
      <c r="E1149" t="inlineStr">
        <is>
          <t>BRÄCKE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22792-2025</t>
        </is>
      </c>
      <c r="B1150" s="1" t="n">
        <v>45789.65681712963</v>
      </c>
      <c r="C1150" s="1" t="n">
        <v>45970</v>
      </c>
      <c r="D1150" t="inlineStr">
        <is>
          <t>JÄMTLANDS LÄN</t>
        </is>
      </c>
      <c r="E1150" t="inlineStr">
        <is>
          <t>BRÄCKE</t>
        </is>
      </c>
      <c r="F1150" t="inlineStr">
        <is>
          <t>SCA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22652-2025</t>
        </is>
      </c>
      <c r="B1151" s="1" t="n">
        <v>45789.46920138889</v>
      </c>
      <c r="C1151" s="1" t="n">
        <v>45970</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36549-2024</t>
        </is>
      </c>
      <c r="B1152" s="1" t="n">
        <v>45537.46791666667</v>
      </c>
      <c r="C1152" s="1" t="n">
        <v>45970</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13069-2025</t>
        </is>
      </c>
      <c r="B1153" s="1" t="n">
        <v>45734.61494212963</v>
      </c>
      <c r="C1153" s="1" t="n">
        <v>45970</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22816-2025</t>
        </is>
      </c>
      <c r="B1154" s="1" t="n">
        <v>45789.69841435185</v>
      </c>
      <c r="C1154" s="1" t="n">
        <v>45970</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49666-2025</t>
        </is>
      </c>
      <c r="B1155" s="1" t="n">
        <v>45939.63657407407</v>
      </c>
      <c r="C1155" s="1" t="n">
        <v>45970</v>
      </c>
      <c r="D1155" t="inlineStr">
        <is>
          <t>JÄMTLANDS LÄN</t>
        </is>
      </c>
      <c r="E1155" t="inlineStr">
        <is>
          <t>BRÄCKE</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41094-2025</t>
        </is>
      </c>
      <c r="B1156" s="1" t="n">
        <v>45898.44246527777</v>
      </c>
      <c r="C1156" s="1" t="n">
        <v>45970</v>
      </c>
      <c r="D1156" t="inlineStr">
        <is>
          <t>JÄMTLANDS LÄN</t>
        </is>
      </c>
      <c r="E1156" t="inlineStr">
        <is>
          <t>BRÄCKE</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23211-2025</t>
        </is>
      </c>
      <c r="B1157" s="1" t="n">
        <v>45791.46956018519</v>
      </c>
      <c r="C1157" s="1" t="n">
        <v>45970</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10606-2025</t>
        </is>
      </c>
      <c r="B1158" s="1" t="n">
        <v>45721.59429398148</v>
      </c>
      <c r="C1158" s="1" t="n">
        <v>45970</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23298-2025</t>
        </is>
      </c>
      <c r="B1159" s="1" t="n">
        <v>45791.59456018519</v>
      </c>
      <c r="C1159" s="1" t="n">
        <v>45970</v>
      </c>
      <c r="D1159" t="inlineStr">
        <is>
          <t>JÄMTLANDS LÄN</t>
        </is>
      </c>
      <c r="E1159" t="inlineStr">
        <is>
          <t>BRÄCKE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23344-2025</t>
        </is>
      </c>
      <c r="B1160" s="1" t="n">
        <v>45791.65712962963</v>
      </c>
      <c r="C1160" s="1" t="n">
        <v>45970</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11093-2022</t>
        </is>
      </c>
      <c r="B1161" s="1" t="n">
        <v>44628</v>
      </c>
      <c r="C1161" s="1" t="n">
        <v>45970</v>
      </c>
      <c r="D1161" t="inlineStr">
        <is>
          <t>JÄMTLANDS LÄN</t>
        </is>
      </c>
      <c r="E1161" t="inlineStr">
        <is>
          <t>BRÄCKE</t>
        </is>
      </c>
      <c r="G1161" t="n">
        <v>16.4</v>
      </c>
      <c r="H1161" t="n">
        <v>0</v>
      </c>
      <c r="I1161" t="n">
        <v>0</v>
      </c>
      <c r="J1161" t="n">
        <v>0</v>
      </c>
      <c r="K1161" t="n">
        <v>0</v>
      </c>
      <c r="L1161" t="n">
        <v>0</v>
      </c>
      <c r="M1161" t="n">
        <v>0</v>
      </c>
      <c r="N1161" t="n">
        <v>0</v>
      </c>
      <c r="O1161" t="n">
        <v>0</v>
      </c>
      <c r="P1161" t="n">
        <v>0</v>
      </c>
      <c r="Q1161" t="n">
        <v>0</v>
      </c>
      <c r="R1161" s="2" t="inlineStr"/>
    </row>
    <row r="1162" ht="15" customHeight="1">
      <c r="A1162" t="inlineStr">
        <is>
          <t>A 14492-2024</t>
        </is>
      </c>
      <c r="B1162" s="1" t="n">
        <v>45394.58215277778</v>
      </c>
      <c r="C1162" s="1" t="n">
        <v>45970</v>
      </c>
      <c r="D1162" t="inlineStr">
        <is>
          <t>JÄMTLANDS LÄN</t>
        </is>
      </c>
      <c r="E1162" t="inlineStr">
        <is>
          <t>BRÄCKE</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41195-2025</t>
        </is>
      </c>
      <c r="B1163" s="1" t="n">
        <v>45898.57331018519</v>
      </c>
      <c r="C1163" s="1" t="n">
        <v>45970</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23363-2025</t>
        </is>
      </c>
      <c r="B1164" s="1" t="n">
        <v>45791.67775462963</v>
      </c>
      <c r="C1164" s="1" t="n">
        <v>45970</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39122-2024</t>
        </is>
      </c>
      <c r="B1165" s="1" t="n">
        <v>45548.5940162037</v>
      </c>
      <c r="C1165" s="1" t="n">
        <v>45970</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231-2025</t>
        </is>
      </c>
      <c r="B1166" s="1" t="n">
        <v>45660.36972222223</v>
      </c>
      <c r="C1166" s="1" t="n">
        <v>45970</v>
      </c>
      <c r="D1166" t="inlineStr">
        <is>
          <t>JÄMTLANDS LÄN</t>
        </is>
      </c>
      <c r="E1166" t="inlineStr">
        <is>
          <t>BRÄCKE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278-2025</t>
        </is>
      </c>
      <c r="B1167" s="1" t="n">
        <v>45660.49075231481</v>
      </c>
      <c r="C1167" s="1" t="n">
        <v>45970</v>
      </c>
      <c r="D1167" t="inlineStr">
        <is>
          <t>JÄMTLANDS LÄN</t>
        </is>
      </c>
      <c r="E1167" t="inlineStr">
        <is>
          <t>BRÄCKE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41257-2025</t>
        </is>
      </c>
      <c r="B1168" s="1" t="n">
        <v>45898.6084375</v>
      </c>
      <c r="C1168" s="1" t="n">
        <v>45970</v>
      </c>
      <c r="D1168" t="inlineStr">
        <is>
          <t>JÄMTLANDS LÄN</t>
        </is>
      </c>
      <c r="E1168" t="inlineStr">
        <is>
          <t>BRÄCKE</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23458-2025</t>
        </is>
      </c>
      <c r="B1169" s="1" t="n">
        <v>45792.42756944444</v>
      </c>
      <c r="C1169" s="1" t="n">
        <v>45970</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23583-2025</t>
        </is>
      </c>
      <c r="B1170" s="1" t="n">
        <v>45792.63043981481</v>
      </c>
      <c r="C1170" s="1" t="n">
        <v>45970</v>
      </c>
      <c r="D1170" t="inlineStr">
        <is>
          <t>JÄMTLANDS LÄN</t>
        </is>
      </c>
      <c r="E1170" t="inlineStr">
        <is>
          <t>BRÄCKE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17973-2025</t>
        </is>
      </c>
      <c r="B1171" s="1" t="n">
        <v>45761.36490740741</v>
      </c>
      <c r="C1171" s="1" t="n">
        <v>45970</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17977-2025</t>
        </is>
      </c>
      <c r="B1172" s="1" t="n">
        <v>45761.36550925926</v>
      </c>
      <c r="C1172" s="1" t="n">
        <v>45970</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51809-2023</t>
        </is>
      </c>
      <c r="B1173" s="1" t="n">
        <v>45222.96574074074</v>
      </c>
      <c r="C1173" s="1" t="n">
        <v>45970</v>
      </c>
      <c r="D1173" t="inlineStr">
        <is>
          <t>JÄMTLANDS LÄN</t>
        </is>
      </c>
      <c r="E1173" t="inlineStr">
        <is>
          <t>BRÄCKE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51832-2023</t>
        </is>
      </c>
      <c r="B1174" s="1" t="n">
        <v>45222.96841435185</v>
      </c>
      <c r="C1174" s="1" t="n">
        <v>45970</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41026-2025</t>
        </is>
      </c>
      <c r="B1175" s="1" t="n">
        <v>45898.36888888889</v>
      </c>
      <c r="C1175" s="1" t="n">
        <v>45970</v>
      </c>
      <c r="D1175" t="inlineStr">
        <is>
          <t>JÄMTLANDS LÄN</t>
        </is>
      </c>
      <c r="E1175" t="inlineStr">
        <is>
          <t>BRÄCKE</t>
        </is>
      </c>
      <c r="F1175" t="inlineStr">
        <is>
          <t>Övriga Aktiebolag</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40748-2025</t>
        </is>
      </c>
      <c r="B1176" s="1" t="n">
        <v>45897.38009259259</v>
      </c>
      <c r="C1176" s="1" t="n">
        <v>45970</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52249-2023</t>
        </is>
      </c>
      <c r="B1177" s="1" t="n">
        <v>45217</v>
      </c>
      <c r="C1177" s="1" t="n">
        <v>45970</v>
      </c>
      <c r="D1177" t="inlineStr">
        <is>
          <t>JÄMTLANDS LÄN</t>
        </is>
      </c>
      <c r="E1177" t="inlineStr">
        <is>
          <t>BRÄCKE</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29456-2024</t>
        </is>
      </c>
      <c r="B1178" s="1" t="n">
        <v>45483.96898148148</v>
      </c>
      <c r="C1178" s="1" t="n">
        <v>45970</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29460-2024</t>
        </is>
      </c>
      <c r="B1179" s="1" t="n">
        <v>45483.96952546296</v>
      </c>
      <c r="C1179" s="1" t="n">
        <v>45970</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40908-2025</t>
        </is>
      </c>
      <c r="B1180" s="1" t="n">
        <v>45897.61657407408</v>
      </c>
      <c r="C1180" s="1" t="n">
        <v>45970</v>
      </c>
      <c r="D1180" t="inlineStr">
        <is>
          <t>JÄMTLANDS LÄN</t>
        </is>
      </c>
      <c r="E1180" t="inlineStr">
        <is>
          <t>BRÄCKE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40959-2025</t>
        </is>
      </c>
      <c r="B1181" s="1" t="n">
        <v>45897.67890046296</v>
      </c>
      <c r="C1181" s="1" t="n">
        <v>45970</v>
      </c>
      <c r="D1181" t="inlineStr">
        <is>
          <t>JÄMTLANDS LÄN</t>
        </is>
      </c>
      <c r="E1181" t="inlineStr">
        <is>
          <t>BRÄCKE</t>
        </is>
      </c>
      <c r="F1181" t="inlineStr">
        <is>
          <t>Naturvårdsverket</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49826-2025</t>
        </is>
      </c>
      <c r="B1182" s="1" t="n">
        <v>45940.44829861111</v>
      </c>
      <c r="C1182" s="1" t="n">
        <v>45970</v>
      </c>
      <c r="D1182" t="inlineStr">
        <is>
          <t>JÄMTLANDS LÄN</t>
        </is>
      </c>
      <c r="E1182" t="inlineStr">
        <is>
          <t>BRÄCKE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50272-2025</t>
        </is>
      </c>
      <c r="B1183" s="1" t="n">
        <v>45944.365</v>
      </c>
      <c r="C1183" s="1" t="n">
        <v>45970</v>
      </c>
      <c r="D1183" t="inlineStr">
        <is>
          <t>JÄMTLANDS LÄN</t>
        </is>
      </c>
      <c r="E1183" t="inlineStr">
        <is>
          <t>BRÄCKE</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23320-2025</t>
        </is>
      </c>
      <c r="B1184" s="1" t="n">
        <v>45791.61528935185</v>
      </c>
      <c r="C1184" s="1" t="n">
        <v>45970</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41510-2025</t>
        </is>
      </c>
      <c r="B1185" s="1" t="n">
        <v>45901.53417824074</v>
      </c>
      <c r="C1185" s="1" t="n">
        <v>45970</v>
      </c>
      <c r="D1185" t="inlineStr">
        <is>
          <t>JÄMTLANDS LÄN</t>
        </is>
      </c>
      <c r="E1185" t="inlineStr">
        <is>
          <t>BRÄCKE</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50214-2025</t>
        </is>
      </c>
      <c r="B1186" s="1" t="n">
        <v>45943.67826388889</v>
      </c>
      <c r="C1186" s="1" t="n">
        <v>45970</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32671-2024</t>
        </is>
      </c>
      <c r="B1187" s="1" t="n">
        <v>45514.59587962963</v>
      </c>
      <c r="C1187" s="1" t="n">
        <v>45970</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41503-2025</t>
        </is>
      </c>
      <c r="B1188" s="1" t="n">
        <v>45901.51952546297</v>
      </c>
      <c r="C1188" s="1" t="n">
        <v>45970</v>
      </c>
      <c r="D1188" t="inlineStr">
        <is>
          <t>JÄMTLANDS LÄN</t>
        </is>
      </c>
      <c r="E1188" t="inlineStr">
        <is>
          <t>BRÄCKE</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41368-2025</t>
        </is>
      </c>
      <c r="B1189" s="1" t="n">
        <v>45900.5678125</v>
      </c>
      <c r="C1189" s="1" t="n">
        <v>45970</v>
      </c>
      <c r="D1189" t="inlineStr">
        <is>
          <t>JÄMTLANDS LÄN</t>
        </is>
      </c>
      <c r="E1189" t="inlineStr">
        <is>
          <t>BRÄCKE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50216-2025</t>
        </is>
      </c>
      <c r="B1190" s="1" t="n">
        <v>45943.67859953704</v>
      </c>
      <c r="C1190" s="1" t="n">
        <v>45970</v>
      </c>
      <c r="D1190" t="inlineStr">
        <is>
          <t>JÄMTLANDS LÄN</t>
        </is>
      </c>
      <c r="E1190" t="inlineStr">
        <is>
          <t>BRÄCKE</t>
        </is>
      </c>
      <c r="F1190" t="inlineStr">
        <is>
          <t>SCA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50256-2025</t>
        </is>
      </c>
      <c r="B1191" s="1" t="n">
        <v>45944.34435185185</v>
      </c>
      <c r="C1191" s="1" t="n">
        <v>45970</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50263-2025</t>
        </is>
      </c>
      <c r="B1192" s="1" t="n">
        <v>45944.34545138889</v>
      </c>
      <c r="C1192" s="1" t="n">
        <v>45970</v>
      </c>
      <c r="D1192" t="inlineStr">
        <is>
          <t>JÄMTLANDS LÄN</t>
        </is>
      </c>
      <c r="E1192" t="inlineStr">
        <is>
          <t>BRÄCKE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13762-2024</t>
        </is>
      </c>
      <c r="B1193" s="1" t="n">
        <v>45390</v>
      </c>
      <c r="C1193" s="1" t="n">
        <v>45970</v>
      </c>
      <c r="D1193" t="inlineStr">
        <is>
          <t>JÄMTLANDS LÄN</t>
        </is>
      </c>
      <c r="E1193" t="inlineStr">
        <is>
          <t>BRÄCKE</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24077-2025</t>
        </is>
      </c>
      <c r="B1194" s="1" t="n">
        <v>45796.55240740741</v>
      </c>
      <c r="C1194" s="1" t="n">
        <v>45970</v>
      </c>
      <c r="D1194" t="inlineStr">
        <is>
          <t>JÄMTLANDS LÄN</t>
        </is>
      </c>
      <c r="E1194" t="inlineStr">
        <is>
          <t>BRÄCKE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50079-2025</t>
        </is>
      </c>
      <c r="B1195" s="1" t="n">
        <v>45943.46916666667</v>
      </c>
      <c r="C1195" s="1" t="n">
        <v>45970</v>
      </c>
      <c r="D1195" t="inlineStr">
        <is>
          <t>JÄMTLANDS LÄN</t>
        </is>
      </c>
      <c r="E1195" t="inlineStr">
        <is>
          <t>BRÄCKE</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23303-2025</t>
        </is>
      </c>
      <c r="B1196" s="1" t="n">
        <v>45791</v>
      </c>
      <c r="C1196" s="1" t="n">
        <v>45970</v>
      </c>
      <c r="D1196" t="inlineStr">
        <is>
          <t>JÄMTLANDS LÄN</t>
        </is>
      </c>
      <c r="E1196" t="inlineStr">
        <is>
          <t>BRÄCKE</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27460-2024</t>
        </is>
      </c>
      <c r="B1197" s="1" t="n">
        <v>45474.44785879629</v>
      </c>
      <c r="C1197" s="1" t="n">
        <v>45970</v>
      </c>
      <c r="D1197" t="inlineStr">
        <is>
          <t>JÄMTLANDS LÄN</t>
        </is>
      </c>
      <c r="E1197" t="inlineStr">
        <is>
          <t>BRÄCKE</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24043-2025</t>
        </is>
      </c>
      <c r="B1198" s="1" t="n">
        <v>45796.49002314815</v>
      </c>
      <c r="C1198" s="1" t="n">
        <v>45970</v>
      </c>
      <c r="D1198" t="inlineStr">
        <is>
          <t>JÄMTLANDS LÄN</t>
        </is>
      </c>
      <c r="E1198" t="inlineStr">
        <is>
          <t>BRÄCKE</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57605-2024</t>
        </is>
      </c>
      <c r="B1199" s="1" t="n">
        <v>45630.53201388889</v>
      </c>
      <c r="C1199" s="1" t="n">
        <v>45970</v>
      </c>
      <c r="D1199" t="inlineStr">
        <is>
          <t>JÄMTLANDS LÄN</t>
        </is>
      </c>
      <c r="E1199" t="inlineStr">
        <is>
          <t>BRÄCKE</t>
        </is>
      </c>
      <c r="F1199" t="inlineStr">
        <is>
          <t>SCA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57623-2024</t>
        </is>
      </c>
      <c r="B1200" s="1" t="n">
        <v>45630.55260416667</v>
      </c>
      <c r="C1200" s="1" t="n">
        <v>45970</v>
      </c>
      <c r="D1200" t="inlineStr">
        <is>
          <t>JÄMTLANDS LÄN</t>
        </is>
      </c>
      <c r="E1200" t="inlineStr">
        <is>
          <t>BRÄCKE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9434-2025</t>
        </is>
      </c>
      <c r="B1201" s="1" t="n">
        <v>45715.41209490741</v>
      </c>
      <c r="C1201" s="1" t="n">
        <v>45970</v>
      </c>
      <c r="D1201" t="inlineStr">
        <is>
          <t>JÄMTLANDS LÄN</t>
        </is>
      </c>
      <c r="E1201" t="inlineStr">
        <is>
          <t>BRÄCKE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45970</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45005-2023</t>
        </is>
      </c>
      <c r="B1203" s="1" t="n">
        <v>45190</v>
      </c>
      <c r="C1203" s="1" t="n">
        <v>45970</v>
      </c>
      <c r="D1203" t="inlineStr">
        <is>
          <t>JÄMTLANDS LÄN</t>
        </is>
      </c>
      <c r="E1203" t="inlineStr">
        <is>
          <t>BRÄCKE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41367-2025</t>
        </is>
      </c>
      <c r="B1204" s="1" t="n">
        <v>45900.55118055556</v>
      </c>
      <c r="C1204" s="1" t="n">
        <v>45970</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27455-2024</t>
        </is>
      </c>
      <c r="B1205" s="1" t="n">
        <v>45474.43834490741</v>
      </c>
      <c r="C1205" s="1" t="n">
        <v>45970</v>
      </c>
      <c r="D1205" t="inlineStr">
        <is>
          <t>JÄMTLANDS LÄN</t>
        </is>
      </c>
      <c r="E1205" t="inlineStr">
        <is>
          <t>BRÄCKE</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23842-2025</t>
        </is>
      </c>
      <c r="B1206" s="1" t="n">
        <v>45793.61534722222</v>
      </c>
      <c r="C1206" s="1" t="n">
        <v>45970</v>
      </c>
      <c r="D1206" t="inlineStr">
        <is>
          <t>JÄMTLANDS LÄN</t>
        </is>
      </c>
      <c r="E1206" t="inlineStr">
        <is>
          <t>BRÄCKE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41345-2025</t>
        </is>
      </c>
      <c r="B1207" s="1" t="n">
        <v>45899.46903935185</v>
      </c>
      <c r="C1207" s="1" t="n">
        <v>45970</v>
      </c>
      <c r="D1207" t="inlineStr">
        <is>
          <t>JÄMTLANDS LÄN</t>
        </is>
      </c>
      <c r="E1207" t="inlineStr">
        <is>
          <t>BRÄCKE</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41526-2025</t>
        </is>
      </c>
      <c r="B1208" s="1" t="n">
        <v>45901.5528587963</v>
      </c>
      <c r="C1208" s="1" t="n">
        <v>45970</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29873-2024</t>
        </is>
      </c>
      <c r="B1209" s="1" t="n">
        <v>45485.94542824074</v>
      </c>
      <c r="C1209" s="1" t="n">
        <v>45970</v>
      </c>
      <c r="D1209" t="inlineStr">
        <is>
          <t>JÄMTLANDS LÄN</t>
        </is>
      </c>
      <c r="E1209" t="inlineStr">
        <is>
          <t>BRÄCKE</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45970</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15144-2024</t>
        </is>
      </c>
      <c r="B1211" s="1" t="n">
        <v>45399.94340277778</v>
      </c>
      <c r="C1211" s="1" t="n">
        <v>45970</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10110-2025</t>
        </is>
      </c>
      <c r="B1212" s="1" t="n">
        <v>45719.58855324074</v>
      </c>
      <c r="C1212" s="1" t="n">
        <v>45970</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50257-2025</t>
        </is>
      </c>
      <c r="B1213" s="1" t="n">
        <v>45944.34462962963</v>
      </c>
      <c r="C1213" s="1" t="n">
        <v>45970</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10130-2022</t>
        </is>
      </c>
      <c r="B1214" s="1" t="n">
        <v>44621.94561342592</v>
      </c>
      <c r="C1214" s="1" t="n">
        <v>45970</v>
      </c>
      <c r="D1214" t="inlineStr">
        <is>
          <t>JÄMTLANDS LÄN</t>
        </is>
      </c>
      <c r="E1214" t="inlineStr">
        <is>
          <t>BRÄCKE</t>
        </is>
      </c>
      <c r="F1214" t="inlineStr">
        <is>
          <t>SCA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50271-2025</t>
        </is>
      </c>
      <c r="B1215" s="1" t="n">
        <v>45944.35690972222</v>
      </c>
      <c r="C1215" s="1" t="n">
        <v>45970</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41647-2023</t>
        </is>
      </c>
      <c r="B1216" s="1" t="n">
        <v>45175.95690972222</v>
      </c>
      <c r="C1216" s="1" t="n">
        <v>45970</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45758-2024</t>
        </is>
      </c>
      <c r="B1217" s="1" t="n">
        <v>45579.6357175926</v>
      </c>
      <c r="C1217" s="1" t="n">
        <v>45970</v>
      </c>
      <c r="D1217" t="inlineStr">
        <is>
          <t>JÄMTLANDS LÄN</t>
        </is>
      </c>
      <c r="E1217" t="inlineStr">
        <is>
          <t>BRÄCKE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23539-2025</t>
        </is>
      </c>
      <c r="B1218" s="1" t="n">
        <v>45792</v>
      </c>
      <c r="C1218" s="1" t="n">
        <v>45970</v>
      </c>
      <c r="D1218" t="inlineStr">
        <is>
          <t>JÄMTLANDS LÄN</t>
        </is>
      </c>
      <c r="E1218" t="inlineStr">
        <is>
          <t>BRÄCKE</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782-2025</t>
        </is>
      </c>
      <c r="B1219" s="1" t="n">
        <v>45665.48423611111</v>
      </c>
      <c r="C1219" s="1" t="n">
        <v>45970</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1174-2025</t>
        </is>
      </c>
      <c r="B1220" s="1" t="n">
        <v>45667.34418981482</v>
      </c>
      <c r="C1220" s="1" t="n">
        <v>45970</v>
      </c>
      <c r="D1220" t="inlineStr">
        <is>
          <t>JÄMTLANDS LÄN</t>
        </is>
      </c>
      <c r="E1220" t="inlineStr">
        <is>
          <t>BRÄCKE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4635-2022</t>
        </is>
      </c>
      <c r="B1221" s="1" t="n">
        <v>44592.41413194445</v>
      </c>
      <c r="C1221" s="1" t="n">
        <v>45970</v>
      </c>
      <c r="D1221" t="inlineStr">
        <is>
          <t>JÄMTLANDS LÄN</t>
        </is>
      </c>
      <c r="E1221" t="inlineStr">
        <is>
          <t>BRÄCKE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24154-2025</t>
        </is>
      </c>
      <c r="B1222" s="1" t="n">
        <v>45796.65685185185</v>
      </c>
      <c r="C1222" s="1" t="n">
        <v>45970</v>
      </c>
      <c r="D1222" t="inlineStr">
        <is>
          <t>JÄMTLANDS LÄN</t>
        </is>
      </c>
      <c r="E1222" t="inlineStr">
        <is>
          <t>BRÄCKE</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21781-2023</t>
        </is>
      </c>
      <c r="B1223" s="1" t="n">
        <v>45065</v>
      </c>
      <c r="C1223" s="1" t="n">
        <v>45970</v>
      </c>
      <c r="D1223" t="inlineStr">
        <is>
          <t>JÄMTLANDS LÄN</t>
        </is>
      </c>
      <c r="E1223" t="inlineStr">
        <is>
          <t>BRÄCKE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25676-2023</t>
        </is>
      </c>
      <c r="B1224" s="1" t="n">
        <v>45089.93925925926</v>
      </c>
      <c r="C1224" s="1" t="n">
        <v>45970</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49526-2024</t>
        </is>
      </c>
      <c r="B1225" s="1" t="n">
        <v>45596.40731481482</v>
      </c>
      <c r="C1225" s="1" t="n">
        <v>45970</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48342-2024</t>
        </is>
      </c>
      <c r="B1226" s="1" t="n">
        <v>45590.55238425926</v>
      </c>
      <c r="C1226" s="1" t="n">
        <v>45970</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45950-2023</t>
        </is>
      </c>
      <c r="B1227" s="1" t="n">
        <v>45195</v>
      </c>
      <c r="C1227" s="1" t="n">
        <v>45970</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24456-2025</t>
        </is>
      </c>
      <c r="B1228" s="1" t="n">
        <v>45798.34450231482</v>
      </c>
      <c r="C1228" s="1" t="n">
        <v>45970</v>
      </c>
      <c r="D1228" t="inlineStr">
        <is>
          <t>JÄMTLANDS LÄN</t>
        </is>
      </c>
      <c r="E1228" t="inlineStr">
        <is>
          <t>BRÄCKE</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24436-2025</t>
        </is>
      </c>
      <c r="B1229" s="1" t="n">
        <v>45797.7922337963</v>
      </c>
      <c r="C1229" s="1" t="n">
        <v>45970</v>
      </c>
      <c r="D1229" t="inlineStr">
        <is>
          <t>JÄMTLANDS LÄN</t>
        </is>
      </c>
      <c r="E1229" t="inlineStr">
        <is>
          <t>BRÄCKE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24588-2025</t>
        </is>
      </c>
      <c r="B1230" s="1" t="n">
        <v>45798.53157407408</v>
      </c>
      <c r="C1230" s="1" t="n">
        <v>45970</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49032-2024</t>
        </is>
      </c>
      <c r="B1231" s="1" t="n">
        <v>45594.53152777778</v>
      </c>
      <c r="C1231" s="1" t="n">
        <v>45970</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24236-2025</t>
        </is>
      </c>
      <c r="B1232" s="1" t="n">
        <v>45797.38586805556</v>
      </c>
      <c r="C1232" s="1" t="n">
        <v>45970</v>
      </c>
      <c r="D1232" t="inlineStr">
        <is>
          <t>JÄMTLANDS LÄN</t>
        </is>
      </c>
      <c r="E1232" t="inlineStr">
        <is>
          <t>BRÄCKE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24454-2025</t>
        </is>
      </c>
      <c r="B1233" s="1" t="n">
        <v>45798.34436342592</v>
      </c>
      <c r="C1233" s="1" t="n">
        <v>45970</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10510-2025</t>
        </is>
      </c>
      <c r="B1234" s="1" t="n">
        <v>45721.40363425926</v>
      </c>
      <c r="C1234" s="1" t="n">
        <v>45970</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2774-2025</t>
        </is>
      </c>
      <c r="B1235" s="1" t="n">
        <v>45677.51086805556</v>
      </c>
      <c r="C1235" s="1" t="n">
        <v>45970</v>
      </c>
      <c r="D1235" t="inlineStr">
        <is>
          <t>JÄMTLANDS LÄN</t>
        </is>
      </c>
      <c r="E1235" t="inlineStr">
        <is>
          <t>BRÄCKE</t>
        </is>
      </c>
      <c r="F1235" t="inlineStr">
        <is>
          <t>SCA</t>
        </is>
      </c>
      <c r="G1235" t="n">
        <v>11.4</v>
      </c>
      <c r="H1235" t="n">
        <v>0</v>
      </c>
      <c r="I1235" t="n">
        <v>0</v>
      </c>
      <c r="J1235" t="n">
        <v>0</v>
      </c>
      <c r="K1235" t="n">
        <v>0</v>
      </c>
      <c r="L1235" t="n">
        <v>0</v>
      </c>
      <c r="M1235" t="n">
        <v>0</v>
      </c>
      <c r="N1235" t="n">
        <v>0</v>
      </c>
      <c r="O1235" t="n">
        <v>0</v>
      </c>
      <c r="P1235" t="n">
        <v>0</v>
      </c>
      <c r="Q1235" t="n">
        <v>0</v>
      </c>
      <c r="R1235" s="2" t="inlineStr"/>
      <c r="U1235">
        <f>HYPERLINK("https://klasma.github.io/Logging_2305/knärot/A 2774-2025 karta knärot.png", "A 2774-2025")</f>
        <v/>
      </c>
      <c r="V1235">
        <f>HYPERLINK("https://klasma.github.io/Logging_2305/klagomål/A 2774-2025 FSC-klagomål.docx", "A 2774-2025")</f>
        <v/>
      </c>
      <c r="W1235">
        <f>HYPERLINK("https://klasma.github.io/Logging_2305/klagomålsmail/A 2774-2025 FSC-klagomål mail.docx", "A 2774-2025")</f>
        <v/>
      </c>
      <c r="X1235">
        <f>HYPERLINK("https://klasma.github.io/Logging_2305/tillsyn/A 2774-2025 tillsynsbegäran.docx", "A 2774-2025")</f>
        <v/>
      </c>
      <c r="Y1235">
        <f>HYPERLINK("https://klasma.github.io/Logging_2305/tillsynsmail/A 2774-2025 tillsynsbegäran mail.docx", "A 2774-2025")</f>
        <v/>
      </c>
    </row>
    <row r="1236" ht="15" customHeight="1">
      <c r="A1236" t="inlineStr">
        <is>
          <t>A 55478-2024</t>
        </is>
      </c>
      <c r="B1236" s="1" t="n">
        <v>45622.43795138889</v>
      </c>
      <c r="C1236" s="1" t="n">
        <v>45970</v>
      </c>
      <c r="D1236" t="inlineStr">
        <is>
          <t>JÄMTLANDS LÄN</t>
        </is>
      </c>
      <c r="E1236" t="inlineStr">
        <is>
          <t>BRÄCKE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24502-2025</t>
        </is>
      </c>
      <c r="B1237" s="1" t="n">
        <v>45798.39761574074</v>
      </c>
      <c r="C1237" s="1" t="n">
        <v>45970</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24437-2025</t>
        </is>
      </c>
      <c r="B1238" s="1" t="n">
        <v>45797.79256944444</v>
      </c>
      <c r="C1238" s="1" t="n">
        <v>45970</v>
      </c>
      <c r="D1238" t="inlineStr">
        <is>
          <t>JÄMTLANDS LÄN</t>
        </is>
      </c>
      <c r="E1238" t="inlineStr">
        <is>
          <t>BRÄCKE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30480-2024</t>
        </is>
      </c>
      <c r="B1239" s="1" t="n">
        <v>45491.9494675926</v>
      </c>
      <c r="C1239" s="1" t="n">
        <v>45970</v>
      </c>
      <c r="D1239" t="inlineStr">
        <is>
          <t>JÄMTLANDS LÄN</t>
        </is>
      </c>
      <c r="E1239" t="inlineStr">
        <is>
          <t>BRÄCKE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24636-2025</t>
        </is>
      </c>
      <c r="B1240" s="1" t="n">
        <v>45798.61528935185</v>
      </c>
      <c r="C1240" s="1" t="n">
        <v>45970</v>
      </c>
      <c r="D1240" t="inlineStr">
        <is>
          <t>JÄMTLANDS LÄN</t>
        </is>
      </c>
      <c r="E1240" t="inlineStr">
        <is>
          <t>BRÄCKE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50262-2025</t>
        </is>
      </c>
      <c r="B1241" s="1" t="n">
        <v>45944.34542824074</v>
      </c>
      <c r="C1241" s="1" t="n">
        <v>45970</v>
      </c>
      <c r="D1241" t="inlineStr">
        <is>
          <t>JÄMTLANDS LÄN</t>
        </is>
      </c>
      <c r="E1241" t="inlineStr">
        <is>
          <t>BRÄCKE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50016-2025</t>
        </is>
      </c>
      <c r="B1242" s="1" t="n">
        <v>45943.35318287037</v>
      </c>
      <c r="C1242" s="1" t="n">
        <v>45970</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56493-2024</t>
        </is>
      </c>
      <c r="B1243" s="1" t="n">
        <v>45625.49034722222</v>
      </c>
      <c r="C1243" s="1" t="n">
        <v>45970</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24647-2025</t>
        </is>
      </c>
      <c r="B1244" s="1" t="n">
        <v>45798.63575231482</v>
      </c>
      <c r="C1244" s="1" t="n">
        <v>45970</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72025-2021</t>
        </is>
      </c>
      <c r="B1245" s="1" t="n">
        <v>44540</v>
      </c>
      <c r="C1245" s="1" t="n">
        <v>45970</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24427-2025</t>
        </is>
      </c>
      <c r="B1246" s="1" t="n">
        <v>45797.69851851852</v>
      </c>
      <c r="C1246" s="1" t="n">
        <v>45970</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24433-2025</t>
        </is>
      </c>
      <c r="B1247" s="1" t="n">
        <v>45797.75547453704</v>
      </c>
      <c r="C1247" s="1" t="n">
        <v>45970</v>
      </c>
      <c r="D1247" t="inlineStr">
        <is>
          <t>JÄMTLANDS LÄN</t>
        </is>
      </c>
      <c r="E1247" t="inlineStr">
        <is>
          <t>BRÄCKE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2245-2025</t>
        </is>
      </c>
      <c r="B1248" s="1" t="n">
        <v>45673.49019675926</v>
      </c>
      <c r="C1248" s="1" t="n">
        <v>45970</v>
      </c>
      <c r="D1248" t="inlineStr">
        <is>
          <t>JÄMTLANDS LÄN</t>
        </is>
      </c>
      <c r="E1248" t="inlineStr">
        <is>
          <t>BRÄCKE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24550-2025</t>
        </is>
      </c>
      <c r="B1249" s="1" t="n">
        <v>45798.44836805556</v>
      </c>
      <c r="C1249" s="1" t="n">
        <v>45970</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28765-2024</t>
        </is>
      </c>
      <c r="B1250" s="1" t="n">
        <v>45478.59344907408</v>
      </c>
      <c r="C1250" s="1" t="n">
        <v>45970</v>
      </c>
      <c r="D1250" t="inlineStr">
        <is>
          <t>JÄMTLANDS LÄN</t>
        </is>
      </c>
      <c r="E1250" t="inlineStr">
        <is>
          <t>BRÄCKE</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58086-2024</t>
        </is>
      </c>
      <c r="B1251" s="1" t="n">
        <v>45632.34436342592</v>
      </c>
      <c r="C1251" s="1" t="n">
        <v>45970</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45028-2023</t>
        </is>
      </c>
      <c r="B1252" s="1" t="n">
        <v>45190</v>
      </c>
      <c r="C1252" s="1" t="n">
        <v>45970</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45970</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24604-2025</t>
        </is>
      </c>
      <c r="B1254" s="1" t="n">
        <v>45798.5734375</v>
      </c>
      <c r="C1254" s="1" t="n">
        <v>45970</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40394-2023</t>
        </is>
      </c>
      <c r="B1255" s="1" t="n">
        <v>45169.93751157408</v>
      </c>
      <c r="C1255" s="1" t="n">
        <v>45970</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24784-2025</t>
        </is>
      </c>
      <c r="B1256" s="1" t="n">
        <v>45799.42741898148</v>
      </c>
      <c r="C1256" s="1" t="n">
        <v>45970</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39004-2023</t>
        </is>
      </c>
      <c r="B1257" s="1" t="n">
        <v>45162</v>
      </c>
      <c r="C1257" s="1" t="n">
        <v>45970</v>
      </c>
      <c r="D1257" t="inlineStr">
        <is>
          <t>JÄMTLANDS LÄN</t>
        </is>
      </c>
      <c r="E1257" t="inlineStr">
        <is>
          <t>BRÄCKE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42312-2025</t>
        </is>
      </c>
      <c r="B1258" s="1" t="n">
        <v>45904.65673611111</v>
      </c>
      <c r="C1258" s="1" t="n">
        <v>45970</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28903-2021</t>
        </is>
      </c>
      <c r="B1259" s="1" t="n">
        <v>44357</v>
      </c>
      <c r="C1259" s="1" t="n">
        <v>45970</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50520-2024</t>
        </is>
      </c>
      <c r="B1260" s="1" t="n">
        <v>45601.55320601852</v>
      </c>
      <c r="C1260" s="1" t="n">
        <v>45970</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49307-2024</t>
        </is>
      </c>
      <c r="B1261" s="1" t="n">
        <v>45595.55241898148</v>
      </c>
      <c r="C1261" s="1" t="n">
        <v>45970</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25101-2025</t>
        </is>
      </c>
      <c r="B1262" s="1" t="n">
        <v>45800.34444444445</v>
      </c>
      <c r="C1262" s="1" t="n">
        <v>45970</v>
      </c>
      <c r="D1262" t="inlineStr">
        <is>
          <t>JÄMTLANDS LÄN</t>
        </is>
      </c>
      <c r="E1262" t="inlineStr">
        <is>
          <t>BRÄCKE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25102-2025</t>
        </is>
      </c>
      <c r="B1263" s="1" t="n">
        <v>45800.34445601852</v>
      </c>
      <c r="C1263" s="1" t="n">
        <v>45970</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25159-2025</t>
        </is>
      </c>
      <c r="B1264" s="1" t="n">
        <v>45800.42804398148</v>
      </c>
      <c r="C1264" s="1" t="n">
        <v>45970</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1504-2025</t>
        </is>
      </c>
      <c r="B1265" s="1" t="n">
        <v>45670.42738425926</v>
      </c>
      <c r="C1265" s="1" t="n">
        <v>45970</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24850-2025</t>
        </is>
      </c>
      <c r="B1266" s="1" t="n">
        <v>45799.46958333333</v>
      </c>
      <c r="C1266" s="1" t="n">
        <v>45970</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2498-2025</t>
        </is>
      </c>
      <c r="B1267" s="1" t="n">
        <v>45674.5315625</v>
      </c>
      <c r="C1267" s="1" t="n">
        <v>45970</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2511-2025</t>
        </is>
      </c>
      <c r="B1268" s="1" t="n">
        <v>45674.57393518519</v>
      </c>
      <c r="C1268" s="1" t="n">
        <v>45970</v>
      </c>
      <c r="D1268" t="inlineStr">
        <is>
          <t>JÄMTLANDS LÄN</t>
        </is>
      </c>
      <c r="E1268" t="inlineStr">
        <is>
          <t>BRÄCKE</t>
        </is>
      </c>
      <c r="F1268" t="inlineStr">
        <is>
          <t>SCA</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1864-2022</t>
        </is>
      </c>
      <c r="B1269" s="1" t="n">
        <v>44574</v>
      </c>
      <c r="C1269" s="1" t="n">
        <v>45970</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53608-2024</t>
        </is>
      </c>
      <c r="B1270" s="1" t="n">
        <v>45614</v>
      </c>
      <c r="C1270" s="1" t="n">
        <v>45970</v>
      </c>
      <c r="D1270" t="inlineStr">
        <is>
          <t>JÄMTLANDS LÄN</t>
        </is>
      </c>
      <c r="E1270" t="inlineStr">
        <is>
          <t>BRÄCKE</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20625-2023</t>
        </is>
      </c>
      <c r="B1271" s="1" t="n">
        <v>45057.94351851852</v>
      </c>
      <c r="C1271" s="1" t="n">
        <v>45970</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25734-2025</t>
        </is>
      </c>
      <c r="B1272" s="1" t="n">
        <v>45803.76541666667</v>
      </c>
      <c r="C1272" s="1" t="n">
        <v>45970</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11310-2025</t>
        </is>
      </c>
      <c r="B1273" s="1" t="n">
        <v>45726.44832175926</v>
      </c>
      <c r="C1273" s="1" t="n">
        <v>45970</v>
      </c>
      <c r="D1273" t="inlineStr">
        <is>
          <t>JÄMTLANDS LÄN</t>
        </is>
      </c>
      <c r="E1273" t="inlineStr">
        <is>
          <t>BRÄCKE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50722-2025</t>
        </is>
      </c>
      <c r="B1274" s="1" t="n">
        <v>45946.34673611111</v>
      </c>
      <c r="C1274" s="1" t="n">
        <v>45970</v>
      </c>
      <c r="D1274" t="inlineStr">
        <is>
          <t>JÄMTLANDS LÄN</t>
        </is>
      </c>
      <c r="E1274" t="inlineStr">
        <is>
          <t>BRÄCKE</t>
        </is>
      </c>
      <c r="F1274" t="inlineStr">
        <is>
          <t>SCA</t>
        </is>
      </c>
      <c r="G1274" t="n">
        <v>22.7</v>
      </c>
      <c r="H1274" t="n">
        <v>0</v>
      </c>
      <c r="I1274" t="n">
        <v>0</v>
      </c>
      <c r="J1274" t="n">
        <v>0</v>
      </c>
      <c r="K1274" t="n">
        <v>0</v>
      </c>
      <c r="L1274" t="n">
        <v>0</v>
      </c>
      <c r="M1274" t="n">
        <v>0</v>
      </c>
      <c r="N1274" t="n">
        <v>0</v>
      </c>
      <c r="O1274" t="n">
        <v>0</v>
      </c>
      <c r="P1274" t="n">
        <v>0</v>
      </c>
      <c r="Q1274" t="n">
        <v>0</v>
      </c>
      <c r="R1274" s="2" t="inlineStr"/>
    </row>
    <row r="1275" ht="15" customHeight="1">
      <c r="A1275" t="inlineStr">
        <is>
          <t>A 25821-2025</t>
        </is>
      </c>
      <c r="B1275" s="1" t="n">
        <v>45804.43686342592</v>
      </c>
      <c r="C1275" s="1" t="n">
        <v>45970</v>
      </c>
      <c r="D1275" t="inlineStr">
        <is>
          <t>JÄMTLANDS LÄN</t>
        </is>
      </c>
      <c r="E1275" t="inlineStr">
        <is>
          <t>BRÄCKE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42131-2025</t>
        </is>
      </c>
      <c r="B1276" s="1" t="n">
        <v>45904.34542824074</v>
      </c>
      <c r="C1276" s="1" t="n">
        <v>45970</v>
      </c>
      <c r="D1276" t="inlineStr">
        <is>
          <t>JÄMTLANDS LÄN</t>
        </is>
      </c>
      <c r="E1276" t="inlineStr">
        <is>
          <t>BRÄCKE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42123-2025</t>
        </is>
      </c>
      <c r="B1277" s="1" t="n">
        <v>45904.34429398148</v>
      </c>
      <c r="C1277" s="1" t="n">
        <v>45970</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1201-2022</t>
        </is>
      </c>
      <c r="B1278" s="1" t="n">
        <v>44572</v>
      </c>
      <c r="C1278" s="1" t="n">
        <v>45970</v>
      </c>
      <c r="D1278" t="inlineStr">
        <is>
          <t>JÄMTLANDS LÄN</t>
        </is>
      </c>
      <c r="E1278" t="inlineStr">
        <is>
          <t>BRÄCKE</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3865-2025</t>
        </is>
      </c>
      <c r="B1279" s="1" t="n">
        <v>45684.31815972222</v>
      </c>
      <c r="C1279" s="1" t="n">
        <v>45970</v>
      </c>
      <c r="D1279" t="inlineStr">
        <is>
          <t>JÄMTLANDS LÄN</t>
        </is>
      </c>
      <c r="E1279" t="inlineStr">
        <is>
          <t>BRÄCKE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11313-2022</t>
        </is>
      </c>
      <c r="B1280" s="1" t="n">
        <v>44629.94712962963</v>
      </c>
      <c r="C1280" s="1" t="n">
        <v>45970</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5340-2025</t>
        </is>
      </c>
      <c r="B1281" s="1" t="n">
        <v>45692.55248842593</v>
      </c>
      <c r="C1281" s="1" t="n">
        <v>45970</v>
      </c>
      <c r="D1281" t="inlineStr">
        <is>
          <t>JÄMTLANDS LÄN</t>
        </is>
      </c>
      <c r="E1281" t="inlineStr">
        <is>
          <t>BRÄCKE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20014-2022</t>
        </is>
      </c>
      <c r="B1282" s="1" t="n">
        <v>44697.64387731482</v>
      </c>
      <c r="C1282" s="1" t="n">
        <v>45970</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26379-2025</t>
        </is>
      </c>
      <c r="B1283" s="1" t="n">
        <v>45806.48998842593</v>
      </c>
      <c r="C1283" s="1" t="n">
        <v>45970</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42128-2025</t>
        </is>
      </c>
      <c r="B1284" s="1" t="n">
        <v>45904.34517361111</v>
      </c>
      <c r="C1284" s="1" t="n">
        <v>45970</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42130-2025</t>
        </is>
      </c>
      <c r="B1285" s="1" t="n">
        <v>45904.34540509259</v>
      </c>
      <c r="C1285" s="1" t="n">
        <v>45970</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56491-2024</t>
        </is>
      </c>
      <c r="B1286" s="1" t="n">
        <v>45625.48987268518</v>
      </c>
      <c r="C1286" s="1" t="n">
        <v>45970</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42132-2025</t>
        </is>
      </c>
      <c r="B1287" s="1" t="n">
        <v>45904.34546296296</v>
      </c>
      <c r="C1287" s="1" t="n">
        <v>45970</v>
      </c>
      <c r="D1287" t="inlineStr">
        <is>
          <t>JÄMTLANDS LÄN</t>
        </is>
      </c>
      <c r="E1287" t="inlineStr">
        <is>
          <t>BRÄCKE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42270-2025</t>
        </is>
      </c>
      <c r="B1288" s="1" t="n">
        <v>45904.60445601852</v>
      </c>
      <c r="C1288" s="1" t="n">
        <v>45970</v>
      </c>
      <c r="D1288" t="inlineStr">
        <is>
          <t>JÄMTLANDS LÄN</t>
        </is>
      </c>
      <c r="E1288" t="inlineStr">
        <is>
          <t>BRÄCKE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42280-2025</t>
        </is>
      </c>
      <c r="B1289" s="1" t="n">
        <v>45904.61605324074</v>
      </c>
      <c r="C1289" s="1" t="n">
        <v>45970</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41547-2025</t>
        </is>
      </c>
      <c r="B1290" s="1" t="n">
        <v>45901.57991898148</v>
      </c>
      <c r="C1290" s="1" t="n">
        <v>45970</v>
      </c>
      <c r="D1290" t="inlineStr">
        <is>
          <t>JÄMTLANDS LÄN</t>
        </is>
      </c>
      <c r="E1290" t="inlineStr">
        <is>
          <t>BRÄCKE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41757-2025</t>
        </is>
      </c>
      <c r="B1291" s="1" t="n">
        <v>45902.50755787037</v>
      </c>
      <c r="C1291" s="1" t="n">
        <v>45970</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26298-2025</t>
        </is>
      </c>
      <c r="B1292" s="1" t="n">
        <v>45805.63619212963</v>
      </c>
      <c r="C1292" s="1" t="n">
        <v>45970</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30478-2022</t>
        </is>
      </c>
      <c r="B1293" s="1" t="n">
        <v>44761</v>
      </c>
      <c r="C1293" s="1" t="n">
        <v>45970</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30480-2022</t>
        </is>
      </c>
      <c r="B1294" s="1" t="n">
        <v>44761.94019675926</v>
      </c>
      <c r="C1294" s="1" t="n">
        <v>45970</v>
      </c>
      <c r="D1294" t="inlineStr">
        <is>
          <t>JÄMTLANDS LÄN</t>
        </is>
      </c>
      <c r="E1294" t="inlineStr">
        <is>
          <t>BRÄCKE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18265-2025</t>
        </is>
      </c>
      <c r="B1295" s="1" t="n">
        <v>45762.36525462963</v>
      </c>
      <c r="C1295" s="1" t="n">
        <v>45970</v>
      </c>
      <c r="D1295" t="inlineStr">
        <is>
          <t>JÄMTLANDS LÄN</t>
        </is>
      </c>
      <c r="E1295" t="inlineStr">
        <is>
          <t>BRÄCKE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4132-2025</t>
        </is>
      </c>
      <c r="B1296" s="1" t="n">
        <v>45685.34538194445</v>
      </c>
      <c r="C1296" s="1" t="n">
        <v>45970</v>
      </c>
      <c r="D1296" t="inlineStr">
        <is>
          <t>JÄMTLANDS LÄN</t>
        </is>
      </c>
      <c r="E1296" t="inlineStr">
        <is>
          <t>BRÄCKE</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41981-2025</t>
        </is>
      </c>
      <c r="B1297" s="1" t="n">
        <v>45903.53172453704</v>
      </c>
      <c r="C1297" s="1" t="n">
        <v>45970</v>
      </c>
      <c r="D1297" t="inlineStr">
        <is>
          <t>JÄMTLANDS LÄN</t>
        </is>
      </c>
      <c r="E1297" t="inlineStr">
        <is>
          <t>BRÄCKE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47235-2025</t>
        </is>
      </c>
      <c r="B1298" s="1" t="n">
        <v>45930.40729166667</v>
      </c>
      <c r="C1298" s="1" t="n">
        <v>45970</v>
      </c>
      <c r="D1298" t="inlineStr">
        <is>
          <t>JÄMTLANDS LÄN</t>
        </is>
      </c>
      <c r="E1298" t="inlineStr">
        <is>
          <t>BRÄCKE</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58903-2024</t>
        </is>
      </c>
      <c r="B1299" s="1" t="n">
        <v>45636.4775</v>
      </c>
      <c r="C1299" s="1" t="n">
        <v>45970</v>
      </c>
      <c r="D1299" t="inlineStr">
        <is>
          <t>JÄMTLANDS LÄN</t>
        </is>
      </c>
      <c r="E1299" t="inlineStr">
        <is>
          <t>BRÄCKE</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50669-2025</t>
        </is>
      </c>
      <c r="B1300" s="1" t="n">
        <v>45945.70633101852</v>
      </c>
      <c r="C1300" s="1" t="n">
        <v>45970</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51204-2025</t>
        </is>
      </c>
      <c r="B1301" s="1" t="n">
        <v>45947.63607638889</v>
      </c>
      <c r="C1301" s="1" t="n">
        <v>45970</v>
      </c>
      <c r="D1301" t="inlineStr">
        <is>
          <t>JÄMTLANDS LÄN</t>
        </is>
      </c>
      <c r="E1301" t="inlineStr">
        <is>
          <t>BRÄCKE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51205-2025</t>
        </is>
      </c>
      <c r="B1302" s="1" t="n">
        <v>45947.63615740741</v>
      </c>
      <c r="C1302" s="1" t="n">
        <v>45970</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54447-2023</t>
        </is>
      </c>
      <c r="B1303" s="1" t="n">
        <v>45233.44271990741</v>
      </c>
      <c r="C1303" s="1" t="n">
        <v>45970</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13165-2025</t>
        </is>
      </c>
      <c r="B1304" s="1" t="n">
        <v>45735.36491898148</v>
      </c>
      <c r="C1304" s="1" t="n">
        <v>45970</v>
      </c>
      <c r="D1304" t="inlineStr">
        <is>
          <t>JÄMTLANDS LÄN</t>
        </is>
      </c>
      <c r="E1304" t="inlineStr">
        <is>
          <t>BRÄCKE</t>
        </is>
      </c>
      <c r="F1304" t="inlineStr">
        <is>
          <t>SCA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42380-2025</t>
        </is>
      </c>
      <c r="B1305" s="1" t="n">
        <v>45905.34456018519</v>
      </c>
      <c r="C1305" s="1" t="n">
        <v>45970</v>
      </c>
      <c r="D1305" t="inlineStr">
        <is>
          <t>JÄMTLANDS LÄN</t>
        </is>
      </c>
      <c r="E1305" t="inlineStr">
        <is>
          <t>BRÄCKE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26736-2025</t>
        </is>
      </c>
      <c r="B1306" s="1" t="n">
        <v>45810.51644675926</v>
      </c>
      <c r="C1306" s="1" t="n">
        <v>45970</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42507-2025</t>
        </is>
      </c>
      <c r="B1307" s="1" t="n">
        <v>45905.53167824074</v>
      </c>
      <c r="C1307" s="1" t="n">
        <v>45970</v>
      </c>
      <c r="D1307" t="inlineStr">
        <is>
          <t>JÄMTLANDS LÄN</t>
        </is>
      </c>
      <c r="E1307" t="inlineStr">
        <is>
          <t>BRÄCKE</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42435-2025</t>
        </is>
      </c>
      <c r="B1308" s="1" t="n">
        <v>45905.42763888889</v>
      </c>
      <c r="C1308" s="1" t="n">
        <v>45970</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51452-2025</t>
        </is>
      </c>
      <c r="B1309" s="1" t="n">
        <v>45950.59430555555</v>
      </c>
      <c r="C1309" s="1" t="n">
        <v>45970</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42659-2025</t>
        </is>
      </c>
      <c r="B1310" s="1" t="n">
        <v>45907.56715277778</v>
      </c>
      <c r="C1310" s="1" t="n">
        <v>45970</v>
      </c>
      <c r="D1310" t="inlineStr">
        <is>
          <t>JÄMTLANDS LÄN</t>
        </is>
      </c>
      <c r="E1310" t="inlineStr">
        <is>
          <t>BRÄCKE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14607-2025</t>
        </is>
      </c>
      <c r="B1311" s="1" t="n">
        <v>45742.37540509259</v>
      </c>
      <c r="C1311" s="1" t="n">
        <v>45970</v>
      </c>
      <c r="D1311" t="inlineStr">
        <is>
          <t>JÄMTLANDS LÄN</t>
        </is>
      </c>
      <c r="E1311" t="inlineStr">
        <is>
          <t>BRÄCKE</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26818-2025</t>
        </is>
      </c>
      <c r="B1312" s="1" t="n">
        <v>45810.63622685185</v>
      </c>
      <c r="C1312" s="1" t="n">
        <v>45970</v>
      </c>
      <c r="D1312" t="inlineStr">
        <is>
          <t>JÄMTLANDS LÄN</t>
        </is>
      </c>
      <c r="E1312" t="inlineStr">
        <is>
          <t>BRÄCKE</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42784-2025</t>
        </is>
      </c>
      <c r="B1313" s="1" t="n">
        <v>45908.51035879629</v>
      </c>
      <c r="C1313" s="1" t="n">
        <v>45970</v>
      </c>
      <c r="D1313" t="inlineStr">
        <is>
          <t>JÄMTLANDS LÄN</t>
        </is>
      </c>
      <c r="E1313" t="inlineStr">
        <is>
          <t>BRÄCKE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12722-2025</t>
        </is>
      </c>
      <c r="B1314" s="1" t="n">
        <v>45733.48998842593</v>
      </c>
      <c r="C1314" s="1" t="n">
        <v>45970</v>
      </c>
      <c r="D1314" t="inlineStr">
        <is>
          <t>JÄMTLANDS LÄN</t>
        </is>
      </c>
      <c r="E1314" t="inlineStr">
        <is>
          <t>BRÄCKE</t>
        </is>
      </c>
      <c r="F1314" t="inlineStr">
        <is>
          <t>SCA</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59846-2024</t>
        </is>
      </c>
      <c r="B1315" s="1" t="n">
        <v>45639.67769675926</v>
      </c>
      <c r="C1315" s="1" t="n">
        <v>45970</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42379-2025</t>
        </is>
      </c>
      <c r="B1316" s="1" t="n">
        <v>45905.34443287037</v>
      </c>
      <c r="C1316" s="1" t="n">
        <v>45970</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42732-2025</t>
        </is>
      </c>
      <c r="B1317" s="1" t="n">
        <v>45908.40704861111</v>
      </c>
      <c r="C1317" s="1" t="n">
        <v>45970</v>
      </c>
      <c r="D1317" t="inlineStr">
        <is>
          <t>JÄMTLANDS LÄN</t>
        </is>
      </c>
      <c r="E1317" t="inlineStr">
        <is>
          <t>BRÄCKE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42590-2025</t>
        </is>
      </c>
      <c r="B1318" s="1" t="n">
        <v>45905.63607638889</v>
      </c>
      <c r="C1318" s="1" t="n">
        <v>45970</v>
      </c>
      <c r="D1318" t="inlineStr">
        <is>
          <t>JÄMTLANDS LÄN</t>
        </is>
      </c>
      <c r="E1318" t="inlineStr">
        <is>
          <t>BRÄCKE</t>
        </is>
      </c>
      <c r="F1318" t="inlineStr">
        <is>
          <t>SCA</t>
        </is>
      </c>
      <c r="G1318" t="n">
        <v>24.2</v>
      </c>
      <c r="H1318" t="n">
        <v>0</v>
      </c>
      <c r="I1318" t="n">
        <v>0</v>
      </c>
      <c r="J1318" t="n">
        <v>0</v>
      </c>
      <c r="K1318" t="n">
        <v>0</v>
      </c>
      <c r="L1318" t="n">
        <v>0</v>
      </c>
      <c r="M1318" t="n">
        <v>0</v>
      </c>
      <c r="N1318" t="n">
        <v>0</v>
      </c>
      <c r="O1318" t="n">
        <v>0</v>
      </c>
      <c r="P1318" t="n">
        <v>0</v>
      </c>
      <c r="Q1318" t="n">
        <v>0</v>
      </c>
      <c r="R1318" s="2" t="inlineStr"/>
    </row>
    <row r="1319" ht="15" customHeight="1">
      <c r="A1319" t="inlineStr">
        <is>
          <t>A 59245-2024</t>
        </is>
      </c>
      <c r="B1319" s="1" t="n">
        <v>45637.59230324074</v>
      </c>
      <c r="C1319" s="1" t="n">
        <v>45970</v>
      </c>
      <c r="D1319" t="inlineStr">
        <is>
          <t>JÄMTLANDS LÄN</t>
        </is>
      </c>
      <c r="E1319" t="inlineStr">
        <is>
          <t>BRÄCKE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43022-2025</t>
        </is>
      </c>
      <c r="B1320" s="1" t="n">
        <v>45909.51016203704</v>
      </c>
      <c r="C1320" s="1" t="n">
        <v>45970</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43254-2025</t>
        </is>
      </c>
      <c r="B1321" s="1" t="n">
        <v>45910.553125</v>
      </c>
      <c r="C1321" s="1" t="n">
        <v>45970</v>
      </c>
      <c r="D1321" t="inlineStr">
        <is>
          <t>JÄMTLANDS LÄN</t>
        </is>
      </c>
      <c r="E1321" t="inlineStr">
        <is>
          <t>BRÄCKE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51777-2025</t>
        </is>
      </c>
      <c r="B1322" s="1" t="n">
        <v>45951.65680555555</v>
      </c>
      <c r="C1322" s="1" t="n">
        <v>45970</v>
      </c>
      <c r="D1322" t="inlineStr">
        <is>
          <t>JÄMTLANDS LÄN</t>
        </is>
      </c>
      <c r="E1322" t="inlineStr">
        <is>
          <t>BRÄCKE</t>
        </is>
      </c>
      <c r="F1322" t="inlineStr">
        <is>
          <t>SCA</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51574-2025</t>
        </is>
      </c>
      <c r="B1323" s="1" t="n">
        <v>45951.34423611111</v>
      </c>
      <c r="C1323" s="1" t="n">
        <v>45970</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51625-2025</t>
        </is>
      </c>
      <c r="B1324" s="1" t="n">
        <v>45951.41704861111</v>
      </c>
      <c r="C1324" s="1" t="n">
        <v>45970</v>
      </c>
      <c r="D1324" t="inlineStr">
        <is>
          <t>JÄMTLANDS LÄN</t>
        </is>
      </c>
      <c r="E1324" t="inlineStr">
        <is>
          <t>BRÄCKE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45970</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13249-2025</t>
        </is>
      </c>
      <c r="B1326" s="1" t="n">
        <v>45735.48996527777</v>
      </c>
      <c r="C1326" s="1" t="n">
        <v>45970</v>
      </c>
      <c r="D1326" t="inlineStr">
        <is>
          <t>JÄMTLANDS LÄN</t>
        </is>
      </c>
      <c r="E1326" t="inlineStr">
        <is>
          <t>BRÄCKE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42933-2025</t>
        </is>
      </c>
      <c r="B1327" s="1" t="n">
        <v>45909.32215277778</v>
      </c>
      <c r="C1327" s="1" t="n">
        <v>45970</v>
      </c>
      <c r="D1327" t="inlineStr">
        <is>
          <t>JÄMTLANDS LÄN</t>
        </is>
      </c>
      <c r="E1327" t="inlineStr">
        <is>
          <t>BRÄCKE</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5167-2025</t>
        </is>
      </c>
      <c r="B1328" s="1" t="n">
        <v>45691.61539351852</v>
      </c>
      <c r="C1328" s="1" t="n">
        <v>45970</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51623-2025</t>
        </is>
      </c>
      <c r="B1329" s="1" t="n">
        <v>45951.41578703704</v>
      </c>
      <c r="C1329" s="1" t="n">
        <v>45970</v>
      </c>
      <c r="D1329" t="inlineStr">
        <is>
          <t>JÄMTLANDS LÄN</t>
        </is>
      </c>
      <c r="E1329" t="inlineStr">
        <is>
          <t>BRÄCKE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16317-2025</t>
        </is>
      </c>
      <c r="B1330" s="1" t="n">
        <v>45751.3480787037</v>
      </c>
      <c r="C1330" s="1" t="n">
        <v>45970</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51969-2025</t>
        </is>
      </c>
      <c r="B1331" s="1" t="n">
        <v>45952.55376157408</v>
      </c>
      <c r="C1331" s="1" t="n">
        <v>45970</v>
      </c>
      <c r="D1331" t="inlineStr">
        <is>
          <t>JÄMTLANDS LÄN</t>
        </is>
      </c>
      <c r="E1331" t="inlineStr">
        <is>
          <t>BRÄCKE</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24489-2025</t>
        </is>
      </c>
      <c r="B1332" s="1" t="n">
        <v>45798.3859375</v>
      </c>
      <c r="C1332" s="1" t="n">
        <v>45970</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45970</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51616-2025</t>
        </is>
      </c>
      <c r="B1334" s="1" t="n">
        <v>45951.40637731482</v>
      </c>
      <c r="C1334" s="1" t="n">
        <v>45970</v>
      </c>
      <c r="D1334" t="inlineStr">
        <is>
          <t>JÄMTLANDS LÄN</t>
        </is>
      </c>
      <c r="E1334" t="inlineStr">
        <is>
          <t>BRÄCKE</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51432-2023</t>
        </is>
      </c>
      <c r="B1335" s="1" t="n">
        <v>45219.96431712963</v>
      </c>
      <c r="C1335" s="1" t="n">
        <v>45970</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27041-2025</t>
        </is>
      </c>
      <c r="B1336" s="1" t="n">
        <v>45811.60465277778</v>
      </c>
      <c r="C1336" s="1" t="n">
        <v>45970</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16462-2024</t>
        </is>
      </c>
      <c r="B1337" s="1" t="n">
        <v>45408.05018518519</v>
      </c>
      <c r="C1337" s="1" t="n">
        <v>45970</v>
      </c>
      <c r="D1337" t="inlineStr">
        <is>
          <t>JÄMTLANDS LÄN</t>
        </is>
      </c>
      <c r="E1337" t="inlineStr">
        <is>
          <t>BRÄCKE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17182-2024</t>
        </is>
      </c>
      <c r="B1338" s="1" t="n">
        <v>45412.97984953703</v>
      </c>
      <c r="C1338" s="1" t="n">
        <v>45970</v>
      </c>
      <c r="D1338" t="inlineStr">
        <is>
          <t>JÄMTLANDS LÄN</t>
        </is>
      </c>
      <c r="E1338" t="inlineStr">
        <is>
          <t>BRÄCKE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51612-2025</t>
        </is>
      </c>
      <c r="B1339" s="1" t="n">
        <v>45951.39751157408</v>
      </c>
      <c r="C1339" s="1" t="n">
        <v>45970</v>
      </c>
      <c r="D1339" t="inlineStr">
        <is>
          <t>JÄMTLANDS LÄN</t>
        </is>
      </c>
      <c r="E1339" t="inlineStr">
        <is>
          <t>BRÄCKE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43180-2025</t>
        </is>
      </c>
      <c r="B1340" s="1" t="n">
        <v>45910.40699074074</v>
      </c>
      <c r="C1340" s="1" t="n">
        <v>45970</v>
      </c>
      <c r="D1340" t="inlineStr">
        <is>
          <t>JÄMTLANDS LÄN</t>
        </is>
      </c>
      <c r="E1340" t="inlineStr">
        <is>
          <t>BRÄCKE</t>
        </is>
      </c>
      <c r="F1340" t="inlineStr">
        <is>
          <t>SCA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42936-2025</t>
        </is>
      </c>
      <c r="B1341" s="1" t="n">
        <v>45909.32590277777</v>
      </c>
      <c r="C1341" s="1" t="n">
        <v>45970</v>
      </c>
      <c r="D1341" t="inlineStr">
        <is>
          <t>JÄMTLANDS LÄN</t>
        </is>
      </c>
      <c r="E1341" t="inlineStr">
        <is>
          <t>BRÄCKE</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51965-2025</t>
        </is>
      </c>
      <c r="B1342" s="1" t="n">
        <v>45952.55327546296</v>
      </c>
      <c r="C1342" s="1" t="n">
        <v>45970</v>
      </c>
      <c r="D1342" t="inlineStr">
        <is>
          <t>JÄMTLANDS LÄN</t>
        </is>
      </c>
      <c r="E1342" t="inlineStr">
        <is>
          <t>BRÄCKE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27197-2025</t>
        </is>
      </c>
      <c r="B1343" s="1" t="n">
        <v>45812.38596064815</v>
      </c>
      <c r="C1343" s="1" t="n">
        <v>45970</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7301-2025</t>
        </is>
      </c>
      <c r="B1344" s="1" t="n">
        <v>45702.65668981482</v>
      </c>
      <c r="C1344" s="1" t="n">
        <v>45970</v>
      </c>
      <c r="D1344" t="inlineStr">
        <is>
          <t>JÄMTLANDS LÄN</t>
        </is>
      </c>
      <c r="E1344" t="inlineStr">
        <is>
          <t>BRÄCKE</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51839-2025</t>
        </is>
      </c>
      <c r="B1345" s="1" t="n">
        <v>45952.34472222222</v>
      </c>
      <c r="C1345" s="1" t="n">
        <v>45970</v>
      </c>
      <c r="D1345" t="inlineStr">
        <is>
          <t>JÄMTLANDS LÄN</t>
        </is>
      </c>
      <c r="E1345" t="inlineStr">
        <is>
          <t>BRÄCKE</t>
        </is>
      </c>
      <c r="F1345" t="inlineStr">
        <is>
          <t>SCA</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25883-2022</t>
        </is>
      </c>
      <c r="B1346" s="1" t="n">
        <v>44733</v>
      </c>
      <c r="C1346" s="1" t="n">
        <v>45970</v>
      </c>
      <c r="D1346" t="inlineStr">
        <is>
          <t>JÄMTLANDS LÄN</t>
        </is>
      </c>
      <c r="E1346" t="inlineStr">
        <is>
          <t>BRÄCKE</t>
        </is>
      </c>
      <c r="F1346" t="inlineStr">
        <is>
          <t>Övriga Aktiebolag</t>
        </is>
      </c>
      <c r="G1346" t="n">
        <v>23.4</v>
      </c>
      <c r="H1346" t="n">
        <v>0</v>
      </c>
      <c r="I1346" t="n">
        <v>0</v>
      </c>
      <c r="J1346" t="n">
        <v>0</v>
      </c>
      <c r="K1346" t="n">
        <v>0</v>
      </c>
      <c r="L1346" t="n">
        <v>0</v>
      </c>
      <c r="M1346" t="n">
        <v>0</v>
      </c>
      <c r="N1346" t="n">
        <v>0</v>
      </c>
      <c r="O1346" t="n">
        <v>0</v>
      </c>
      <c r="P1346" t="n">
        <v>0</v>
      </c>
      <c r="Q1346" t="n">
        <v>0</v>
      </c>
      <c r="R1346" s="2" t="inlineStr"/>
    </row>
    <row r="1347" ht="15" customHeight="1">
      <c r="A1347" t="inlineStr">
        <is>
          <t>A 58498-2022</t>
        </is>
      </c>
      <c r="B1347" s="1" t="n">
        <v>44902.37547453704</v>
      </c>
      <c r="C1347" s="1" t="n">
        <v>45970</v>
      </c>
      <c r="D1347" t="inlineStr">
        <is>
          <t>JÄMTLANDS LÄN</t>
        </is>
      </c>
      <c r="E1347" t="inlineStr">
        <is>
          <t>BRÄCKE</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51858-2025</t>
        </is>
      </c>
      <c r="B1348" s="1" t="n">
        <v>45952.36511574074</v>
      </c>
      <c r="C1348" s="1" t="n">
        <v>45970</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24726-2022</t>
        </is>
      </c>
      <c r="B1349" s="1" t="n">
        <v>44727</v>
      </c>
      <c r="C1349" s="1" t="n">
        <v>45970</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51620-2025</t>
        </is>
      </c>
      <c r="B1350" s="1" t="n">
        <v>45951.4128125</v>
      </c>
      <c r="C1350" s="1" t="n">
        <v>45970</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51964-2025</t>
        </is>
      </c>
      <c r="B1351" s="1" t="n">
        <v>45952.55321759259</v>
      </c>
      <c r="C1351" s="1" t="n">
        <v>45970</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30685-2024</t>
        </is>
      </c>
      <c r="B1352" s="1" t="n">
        <v>45495.95159722222</v>
      </c>
      <c r="C1352" s="1" t="n">
        <v>45970</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51619-2025</t>
        </is>
      </c>
      <c r="B1353" s="1" t="n">
        <v>45951.41025462963</v>
      </c>
      <c r="C1353" s="1" t="n">
        <v>45970</v>
      </c>
      <c r="D1353" t="inlineStr">
        <is>
          <t>JÄMTLANDS LÄN</t>
        </is>
      </c>
      <c r="E1353" t="inlineStr">
        <is>
          <t>BRÄCKE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27453-2025</t>
        </is>
      </c>
      <c r="B1354" s="1" t="n">
        <v>45813.34454861111</v>
      </c>
      <c r="C1354" s="1" t="n">
        <v>45970</v>
      </c>
      <c r="D1354" t="inlineStr">
        <is>
          <t>JÄMTLANDS LÄN</t>
        </is>
      </c>
      <c r="E1354" t="inlineStr">
        <is>
          <t>BRÄCKE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5527-2025</t>
        </is>
      </c>
      <c r="B1355" s="1" t="n">
        <v>45693.42859953704</v>
      </c>
      <c r="C1355" s="1" t="n">
        <v>45970</v>
      </c>
      <c r="D1355" t="inlineStr">
        <is>
          <t>JÄMTLANDS LÄN</t>
        </is>
      </c>
      <c r="E1355" t="inlineStr">
        <is>
          <t>BRÄCKE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52229-2024</t>
        </is>
      </c>
      <c r="B1356" s="1" t="n">
        <v>45608.60803240741</v>
      </c>
      <c r="C1356" s="1" t="n">
        <v>45970</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52476-2025</t>
        </is>
      </c>
      <c r="B1357" s="1" t="n">
        <v>45954.46921296296</v>
      </c>
      <c r="C1357" s="1" t="n">
        <v>45970</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45970</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27511-2025</t>
        </is>
      </c>
      <c r="B1359" s="1" t="n">
        <v>45813.42799768518</v>
      </c>
      <c r="C1359" s="1" t="n">
        <v>45970</v>
      </c>
      <c r="D1359" t="inlineStr">
        <is>
          <t>JÄMTLANDS LÄN</t>
        </is>
      </c>
      <c r="E1359" t="inlineStr">
        <is>
          <t>BRÄCKE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52342-2025</t>
        </is>
      </c>
      <c r="B1360" s="1" t="n">
        <v>45953.71928240741</v>
      </c>
      <c r="C1360" s="1" t="n">
        <v>45970</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52343-2025</t>
        </is>
      </c>
      <c r="B1361" s="1" t="n">
        <v>45953.71953703704</v>
      </c>
      <c r="C1361" s="1" t="n">
        <v>45970</v>
      </c>
      <c r="D1361" t="inlineStr">
        <is>
          <t>JÄMTLANDS LÄN</t>
        </is>
      </c>
      <c r="E1361" t="inlineStr">
        <is>
          <t>BRÄCKE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52345-2025</t>
        </is>
      </c>
      <c r="B1362" s="1" t="n">
        <v>45953.71998842592</v>
      </c>
      <c r="C1362" s="1" t="n">
        <v>45970</v>
      </c>
      <c r="D1362" t="inlineStr">
        <is>
          <t>JÄMTLANDS LÄN</t>
        </is>
      </c>
      <c r="E1362" t="inlineStr">
        <is>
          <t>BRÄCKE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10476-2022</t>
        </is>
      </c>
      <c r="B1363" s="1" t="n">
        <v>44623</v>
      </c>
      <c r="C1363" s="1" t="n">
        <v>45970</v>
      </c>
      <c r="D1363" t="inlineStr">
        <is>
          <t>JÄMTLANDS LÄN</t>
        </is>
      </c>
      <c r="E1363" t="inlineStr">
        <is>
          <t>BRÄCKE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52346-2025</t>
        </is>
      </c>
      <c r="B1364" s="1" t="n">
        <v>45953</v>
      </c>
      <c r="C1364" s="1" t="n">
        <v>45970</v>
      </c>
      <c r="D1364" t="inlineStr">
        <is>
          <t>JÄMTLANDS LÄN</t>
        </is>
      </c>
      <c r="E1364" t="inlineStr">
        <is>
          <t>BRÄCKE</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10542-2022</t>
        </is>
      </c>
      <c r="B1365" s="1" t="n">
        <v>44623.92204861111</v>
      </c>
      <c r="C1365" s="1" t="n">
        <v>45970</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43723-2025</t>
        </is>
      </c>
      <c r="B1366" s="1" t="n">
        <v>45912.42844907408</v>
      </c>
      <c r="C1366" s="1" t="n">
        <v>45970</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43387-2025</t>
        </is>
      </c>
      <c r="B1367" s="1" t="n">
        <v>45911.3653587963</v>
      </c>
      <c r="C1367" s="1" t="n">
        <v>45970</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43416-2025</t>
        </is>
      </c>
      <c r="B1368" s="1" t="n">
        <v>45911.40685185185</v>
      </c>
      <c r="C1368" s="1" t="n">
        <v>45970</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27546-2025</t>
        </is>
      </c>
      <c r="B1369" s="1" t="n">
        <v>45813.46957175926</v>
      </c>
      <c r="C1369" s="1" t="n">
        <v>45970</v>
      </c>
      <c r="D1369" t="inlineStr">
        <is>
          <t>JÄMTLANDS LÄN</t>
        </is>
      </c>
      <c r="E1369" t="inlineStr">
        <is>
          <t>BRÄCKE</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58461-2023</t>
        </is>
      </c>
      <c r="B1370" s="1" t="n">
        <v>45250</v>
      </c>
      <c r="C1370" s="1" t="n">
        <v>45970</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5618-2025</t>
        </is>
      </c>
      <c r="B1371" s="1" t="n">
        <v>45693.61509259259</v>
      </c>
      <c r="C1371" s="1" t="n">
        <v>45970</v>
      </c>
      <c r="D1371" t="inlineStr">
        <is>
          <t>JÄMTLANDS LÄN</t>
        </is>
      </c>
      <c r="E1371" t="inlineStr">
        <is>
          <t>BRÄCKE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5621-2025</t>
        </is>
      </c>
      <c r="B1372" s="1" t="n">
        <v>45693.6357175926</v>
      </c>
      <c r="C1372" s="1" t="n">
        <v>45970</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17601-2025</t>
        </is>
      </c>
      <c r="B1373" s="1" t="n">
        <v>45757.71991898148</v>
      </c>
      <c r="C1373" s="1" t="n">
        <v>45970</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28198-2025</t>
        </is>
      </c>
      <c r="B1374" s="1" t="n">
        <v>45818.43175925926</v>
      </c>
      <c r="C1374" s="1" t="n">
        <v>45970</v>
      </c>
      <c r="D1374" t="inlineStr">
        <is>
          <t>JÄMTLANDS LÄN</t>
        </is>
      </c>
      <c r="E1374" t="inlineStr">
        <is>
          <t>BRÄCKE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52157-2025</t>
        </is>
      </c>
      <c r="B1375" s="1" t="n">
        <v>45953.3558912037</v>
      </c>
      <c r="C1375" s="1" t="n">
        <v>45970</v>
      </c>
      <c r="D1375" t="inlineStr">
        <is>
          <t>JÄMTLANDS LÄN</t>
        </is>
      </c>
      <c r="E1375" t="inlineStr">
        <is>
          <t>BRÄCKE</t>
        </is>
      </c>
      <c r="F1375" t="inlineStr">
        <is>
          <t>SCA</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43736-2025</t>
        </is>
      </c>
      <c r="B1376" s="1" t="n">
        <v>45912.44840277778</v>
      </c>
      <c r="C1376" s="1" t="n">
        <v>45970</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24492-2025</t>
        </is>
      </c>
      <c r="B1377" s="1" t="n">
        <v>45798.38611111111</v>
      </c>
      <c r="C1377" s="1" t="n">
        <v>45970</v>
      </c>
      <c r="D1377" t="inlineStr">
        <is>
          <t>JÄMTLANDS LÄN</t>
        </is>
      </c>
      <c r="E1377" t="inlineStr">
        <is>
          <t>BRÄCKE</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35880-2023</t>
        </is>
      </c>
      <c r="B1378" s="1" t="n">
        <v>45148</v>
      </c>
      <c r="C1378" s="1" t="n">
        <v>45970</v>
      </c>
      <c r="D1378" t="inlineStr">
        <is>
          <t>JÄMTLANDS LÄN</t>
        </is>
      </c>
      <c r="E1378" t="inlineStr">
        <is>
          <t>BRÄCKE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25895-2023</t>
        </is>
      </c>
      <c r="B1379" s="1" t="n">
        <v>45085</v>
      </c>
      <c r="C1379" s="1" t="n">
        <v>45970</v>
      </c>
      <c r="D1379" t="inlineStr">
        <is>
          <t>JÄMTLANDS LÄN</t>
        </is>
      </c>
      <c r="E1379" t="inlineStr">
        <is>
          <t>BRÄCKE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35424-2023</t>
        </is>
      </c>
      <c r="B1380" s="1" t="n">
        <v>45146.6240625</v>
      </c>
      <c r="C1380" s="1" t="n">
        <v>45970</v>
      </c>
      <c r="D1380" t="inlineStr">
        <is>
          <t>JÄMTLANDS LÄN</t>
        </is>
      </c>
      <c r="E1380" t="inlineStr">
        <is>
          <t>BRÄCKE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52468-2025</t>
        </is>
      </c>
      <c r="B1381" s="1" t="n">
        <v>45954.44833333333</v>
      </c>
      <c r="C1381" s="1" t="n">
        <v>45970</v>
      </c>
      <c r="D1381" t="inlineStr">
        <is>
          <t>JÄMTLANDS LÄN</t>
        </is>
      </c>
      <c r="E1381" t="inlineStr">
        <is>
          <t>BRÄCKE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43618-2025</t>
        </is>
      </c>
      <c r="B1382" s="1" t="n">
        <v>45911.67806712963</v>
      </c>
      <c r="C1382" s="1" t="n">
        <v>45970</v>
      </c>
      <c r="D1382" t="inlineStr">
        <is>
          <t>JÄMTLANDS LÄN</t>
        </is>
      </c>
      <c r="E1382" t="inlineStr">
        <is>
          <t>BRÄCKE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10369-2025</t>
        </is>
      </c>
      <c r="B1383" s="1" t="n">
        <v>45720.55243055556</v>
      </c>
      <c r="C1383" s="1" t="n">
        <v>45970</v>
      </c>
      <c r="D1383" t="inlineStr">
        <is>
          <t>JÄMTLANDS LÄN</t>
        </is>
      </c>
      <c r="E1383" t="inlineStr">
        <is>
          <t>BRÄCKE</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28173-2025</t>
        </is>
      </c>
      <c r="B1384" s="1" t="n">
        <v>45818.38231481481</v>
      </c>
      <c r="C1384" s="1" t="n">
        <v>45970</v>
      </c>
      <c r="D1384" t="inlineStr">
        <is>
          <t>JÄMTLANDS LÄN</t>
        </is>
      </c>
      <c r="E1384" t="inlineStr">
        <is>
          <t>BRÄCKE</t>
        </is>
      </c>
      <c r="F1384" t="inlineStr">
        <is>
          <t>Övriga Aktiebolag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19996-2024</t>
        </is>
      </c>
      <c r="B1385" s="1" t="n">
        <v>45433.92756944444</v>
      </c>
      <c r="C1385" s="1" t="n">
        <v>45970</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41694-2025</t>
        </is>
      </c>
      <c r="B1386" s="1" t="n">
        <v>45902</v>
      </c>
      <c r="C1386" s="1" t="n">
        <v>45970</v>
      </c>
      <c r="D1386" t="inlineStr">
        <is>
          <t>JÄMTLANDS LÄN</t>
        </is>
      </c>
      <c r="E1386" t="inlineStr">
        <is>
          <t>BRÄCKE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28210-2025</t>
        </is>
      </c>
      <c r="B1387" s="1" t="n">
        <v>45818.45143518518</v>
      </c>
      <c r="C1387" s="1" t="n">
        <v>45970</v>
      </c>
      <c r="D1387" t="inlineStr">
        <is>
          <t>JÄMTLANDS LÄN</t>
        </is>
      </c>
      <c r="E1387" t="inlineStr">
        <is>
          <t>BRÄCKE</t>
        </is>
      </c>
      <c r="F1387" t="inlineStr">
        <is>
          <t>Övriga Aktiebolag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28323-2025</t>
        </is>
      </c>
      <c r="B1388" s="1" t="n">
        <v>45818.64758101852</v>
      </c>
      <c r="C1388" s="1" t="n">
        <v>45970</v>
      </c>
      <c r="D1388" t="inlineStr">
        <is>
          <t>JÄMTLANDS LÄN</t>
        </is>
      </c>
      <c r="E1388" t="inlineStr">
        <is>
          <t>BRÄCKE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24490-2025</t>
        </is>
      </c>
      <c r="B1389" s="1" t="n">
        <v>45798.38594907407</v>
      </c>
      <c r="C1389" s="1" t="n">
        <v>45970</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9467-2025</t>
        </is>
      </c>
      <c r="B1390" s="1" t="n">
        <v>45715.46903935185</v>
      </c>
      <c r="C1390" s="1" t="n">
        <v>45970</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4857-2025</t>
        </is>
      </c>
      <c r="B1391" s="1" t="n">
        <v>45688.67418981482</v>
      </c>
      <c r="C1391" s="1" t="n">
        <v>45970</v>
      </c>
      <c r="D1391" t="inlineStr">
        <is>
          <t>JÄMTLANDS LÄN</t>
        </is>
      </c>
      <c r="E1391" t="inlineStr">
        <is>
          <t>BRÄCKE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9386-2025</t>
        </is>
      </c>
      <c r="B1392" s="1" t="n">
        <v>45715.34450231482</v>
      </c>
      <c r="C1392" s="1" t="n">
        <v>45970</v>
      </c>
      <c r="D1392" t="inlineStr">
        <is>
          <t>JÄMTLANDS LÄN</t>
        </is>
      </c>
      <c r="E1392" t="inlineStr">
        <is>
          <t>BRÄCKE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31517-2024</t>
        </is>
      </c>
      <c r="B1393" s="1" t="n">
        <v>45505</v>
      </c>
      <c r="C1393" s="1" t="n">
        <v>45970</v>
      </c>
      <c r="D1393" t="inlineStr">
        <is>
          <t>JÄMTLANDS LÄN</t>
        </is>
      </c>
      <c r="E1393" t="inlineStr">
        <is>
          <t>BRÄCKE</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28928-2025</t>
        </is>
      </c>
      <c r="B1394" s="1" t="n">
        <v>45820.67738425926</v>
      </c>
      <c r="C1394" s="1" t="n">
        <v>45970</v>
      </c>
      <c r="D1394" t="inlineStr">
        <is>
          <t>JÄMTLANDS LÄN</t>
        </is>
      </c>
      <c r="E1394" t="inlineStr">
        <is>
          <t>BRÄCKE</t>
        </is>
      </c>
      <c r="F1394" t="inlineStr">
        <is>
          <t>SCA</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55221-2024</t>
        </is>
      </c>
      <c r="B1395" s="1" t="n">
        <v>45621.57369212963</v>
      </c>
      <c r="C1395" s="1" t="n">
        <v>45970</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28675-2025</t>
        </is>
      </c>
      <c r="B1396" s="1" t="n">
        <v>45819.67756944444</v>
      </c>
      <c r="C1396" s="1" t="n">
        <v>45970</v>
      </c>
      <c r="D1396" t="inlineStr">
        <is>
          <t>JÄMTLANDS LÄN</t>
        </is>
      </c>
      <c r="E1396" t="inlineStr">
        <is>
          <t>BRÄCKE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57414-2023</t>
        </is>
      </c>
      <c r="B1397" s="1" t="n">
        <v>45245.96939814815</v>
      </c>
      <c r="C1397" s="1" t="n">
        <v>45970</v>
      </c>
      <c r="D1397" t="inlineStr">
        <is>
          <t>JÄMTLANDS LÄN</t>
        </is>
      </c>
      <c r="E1397" t="inlineStr">
        <is>
          <t>BRÄCKE</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51827-2023</t>
        </is>
      </c>
      <c r="B1398" s="1" t="n">
        <v>45222.96791666667</v>
      </c>
      <c r="C1398" s="1" t="n">
        <v>45970</v>
      </c>
      <c r="D1398" t="inlineStr">
        <is>
          <t>JÄMTLANDS LÄN</t>
        </is>
      </c>
      <c r="E1398" t="inlineStr">
        <is>
          <t>BRÄCKE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28636-2025</t>
        </is>
      </c>
      <c r="B1399" s="1" t="n">
        <v>45819.63576388889</v>
      </c>
      <c r="C1399" s="1" t="n">
        <v>45970</v>
      </c>
      <c r="D1399" t="inlineStr">
        <is>
          <t>JÄMTLANDS LÄN</t>
        </is>
      </c>
      <c r="E1399" t="inlineStr">
        <is>
          <t>BRÄCKE</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41831-2024</t>
        </is>
      </c>
      <c r="B1400" s="1" t="n">
        <v>45561.40703703704</v>
      </c>
      <c r="C1400" s="1" t="n">
        <v>45970</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59416-2023</t>
        </is>
      </c>
      <c r="B1401" s="1" t="n">
        <v>45253</v>
      </c>
      <c r="C1401" s="1" t="n">
        <v>45970</v>
      </c>
      <c r="D1401" t="inlineStr">
        <is>
          <t>JÄMTLANDS LÄN</t>
        </is>
      </c>
      <c r="E1401" t="inlineStr">
        <is>
          <t>BRÄCKE</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52344-2025</t>
        </is>
      </c>
      <c r="B1402" s="1" t="n">
        <v>45953.71978009259</v>
      </c>
      <c r="C1402" s="1" t="n">
        <v>45970</v>
      </c>
      <c r="D1402" t="inlineStr">
        <is>
          <t>JÄMTLANDS LÄN</t>
        </is>
      </c>
      <c r="E1402" t="inlineStr">
        <is>
          <t>BRÄCKE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52347-2025</t>
        </is>
      </c>
      <c r="B1403" s="1" t="n">
        <v>45953.72041666666</v>
      </c>
      <c r="C1403" s="1" t="n">
        <v>45970</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52202-2025</t>
        </is>
      </c>
      <c r="B1404" s="1" t="n">
        <v>45953.40715277778</v>
      </c>
      <c r="C1404" s="1" t="n">
        <v>45970</v>
      </c>
      <c r="D1404" t="inlineStr">
        <is>
          <t>JÄMTLANDS LÄN</t>
        </is>
      </c>
      <c r="E1404" t="inlineStr">
        <is>
          <t>BRÄCKE</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43591-2025</t>
        </is>
      </c>
      <c r="B1405" s="1" t="n">
        <v>45911.65681712963</v>
      </c>
      <c r="C1405" s="1" t="n">
        <v>45970</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48770-2023</t>
        </is>
      </c>
      <c r="B1406" s="1" t="n">
        <v>45208.9489699074</v>
      </c>
      <c r="C1406" s="1" t="n">
        <v>45970</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53578-2024</t>
        </is>
      </c>
      <c r="B1407" s="1" t="n">
        <v>45614</v>
      </c>
      <c r="C1407" s="1" t="n">
        <v>45970</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28937-2025</t>
        </is>
      </c>
      <c r="B1408" s="1" t="n">
        <v>45820.69825231482</v>
      </c>
      <c r="C1408" s="1" t="n">
        <v>45970</v>
      </c>
      <c r="D1408" t="inlineStr">
        <is>
          <t>JÄMTLANDS LÄN</t>
        </is>
      </c>
      <c r="E1408" t="inlineStr">
        <is>
          <t>BRÄCKE</t>
        </is>
      </c>
      <c r="F1408" t="inlineStr">
        <is>
          <t>SCA</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28656-2025</t>
        </is>
      </c>
      <c r="B1409" s="1" t="n">
        <v>45819.65671296296</v>
      </c>
      <c r="C1409" s="1" t="n">
        <v>45970</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29021-2025</t>
        </is>
      </c>
      <c r="B1410" s="1" t="n">
        <v>45821.42736111111</v>
      </c>
      <c r="C1410" s="1" t="n">
        <v>45970</v>
      </c>
      <c r="D1410" t="inlineStr">
        <is>
          <t>JÄMTLANDS LÄN</t>
        </is>
      </c>
      <c r="E1410" t="inlineStr">
        <is>
          <t>BRÄCKE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7123-2025</t>
        </is>
      </c>
      <c r="B1411" s="1" t="n">
        <v>45702.34427083333</v>
      </c>
      <c r="C1411" s="1" t="n">
        <v>45970</v>
      </c>
      <c r="D1411" t="inlineStr">
        <is>
          <t>JÄMTLANDS LÄN</t>
        </is>
      </c>
      <c r="E1411" t="inlineStr">
        <is>
          <t>BRÄCKE</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45126.94283564815</v>
      </c>
      <c r="C1412" s="1" t="n">
        <v>45970</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29124-2025</t>
        </is>
      </c>
      <c r="B1413" s="1" t="n">
        <v>45821.59456018519</v>
      </c>
      <c r="C1413" s="1" t="n">
        <v>45970</v>
      </c>
      <c r="D1413" t="inlineStr">
        <is>
          <t>JÄMTLANDS LÄN</t>
        </is>
      </c>
      <c r="E1413" t="inlineStr">
        <is>
          <t>BRÄCKE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32229-2023</t>
        </is>
      </c>
      <c r="B1414" s="1" t="n">
        <v>45119.94334490741</v>
      </c>
      <c r="C1414" s="1" t="n">
        <v>45970</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1672-2025</t>
        </is>
      </c>
      <c r="B1415" s="1" t="n">
        <v>45670.6781712963</v>
      </c>
      <c r="C1415" s="1" t="n">
        <v>45970</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41923-2023</t>
        </is>
      </c>
      <c r="B1416" s="1" t="n">
        <v>45176</v>
      </c>
      <c r="C1416" s="1" t="n">
        <v>45970</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29038-2025</t>
        </is>
      </c>
      <c r="B1417" s="1" t="n">
        <v>45821.44832175926</v>
      </c>
      <c r="C1417" s="1" t="n">
        <v>45970</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58467-2023</t>
        </is>
      </c>
      <c r="B1418" s="1" t="n">
        <v>45250.96192129629</v>
      </c>
      <c r="C1418" s="1" t="n">
        <v>45970</v>
      </c>
      <c r="D1418" t="inlineStr">
        <is>
          <t>JÄMTLANDS LÄN</t>
        </is>
      </c>
      <c r="E1418" t="inlineStr">
        <is>
          <t>BRÄCKE</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28972-2025</t>
        </is>
      </c>
      <c r="B1419" s="1" t="n">
        <v>45821.34505787037</v>
      </c>
      <c r="C1419" s="1" t="n">
        <v>45970</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35972-2023</t>
        </is>
      </c>
      <c r="B1420" s="1" t="n">
        <v>45148</v>
      </c>
      <c r="C1420" s="1" t="n">
        <v>45970</v>
      </c>
      <c r="D1420" t="inlineStr">
        <is>
          <t>JÄMTLANDS LÄN</t>
        </is>
      </c>
      <c r="E1420" t="inlineStr">
        <is>
          <t>BRÄCKE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29431-2025</t>
        </is>
      </c>
      <c r="B1421" s="1" t="n">
        <v>45824.65053240741</v>
      </c>
      <c r="C1421" s="1" t="n">
        <v>45970</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29091-2025</t>
        </is>
      </c>
      <c r="B1422" s="1" t="n">
        <v>45821.55241898148</v>
      </c>
      <c r="C1422" s="1" t="n">
        <v>45970</v>
      </c>
      <c r="D1422" t="inlineStr">
        <is>
          <t>JÄMTLANDS LÄN</t>
        </is>
      </c>
      <c r="E1422" t="inlineStr">
        <is>
          <t>BRÄCKE</t>
        </is>
      </c>
      <c r="F1422" t="inlineStr">
        <is>
          <t>SCA</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44247-2025</t>
        </is>
      </c>
      <c r="B1423" s="1" t="n">
        <v>45915.68195601852</v>
      </c>
      <c r="C1423" s="1" t="n">
        <v>45970</v>
      </c>
      <c r="D1423" t="inlineStr">
        <is>
          <t>JÄMTLANDS LÄN</t>
        </is>
      </c>
      <c r="E1423" t="inlineStr">
        <is>
          <t>BRÄCKE</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8386-2025</t>
        </is>
      </c>
      <c r="B1424" s="1" t="n">
        <v>45709.35850694445</v>
      </c>
      <c r="C1424" s="1" t="n">
        <v>45970</v>
      </c>
      <c r="D1424" t="inlineStr">
        <is>
          <t>JÄMTLANDS LÄN</t>
        </is>
      </c>
      <c r="E1424" t="inlineStr">
        <is>
          <t>BRÄCKE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29909-2025</t>
        </is>
      </c>
      <c r="B1425" s="1" t="n">
        <v>45826.40671296296</v>
      </c>
      <c r="C1425" s="1" t="n">
        <v>45970</v>
      </c>
      <c r="D1425" t="inlineStr">
        <is>
          <t>JÄMTLANDS LÄN</t>
        </is>
      </c>
      <c r="E1425" t="inlineStr">
        <is>
          <t>BRÄCKE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29763-2025</t>
        </is>
      </c>
      <c r="B1426" s="1" t="n">
        <v>45825.61837962963</v>
      </c>
      <c r="C1426" s="1" t="n">
        <v>45970</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18965-2025</t>
        </is>
      </c>
      <c r="B1427" s="1" t="n">
        <v>45764.53155092592</v>
      </c>
      <c r="C1427" s="1" t="n">
        <v>45970</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35766-2023</t>
        </is>
      </c>
      <c r="B1428" s="1" t="n">
        <v>45147</v>
      </c>
      <c r="C1428" s="1" t="n">
        <v>45970</v>
      </c>
      <c r="D1428" t="inlineStr">
        <is>
          <t>JÄMTLANDS LÄN</t>
        </is>
      </c>
      <c r="E1428" t="inlineStr">
        <is>
          <t>BRÄCKE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30014-2025</t>
        </is>
      </c>
      <c r="B1429" s="1" t="n">
        <v>45826.55246527777</v>
      </c>
      <c r="C1429" s="1" t="n">
        <v>45970</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30016-2025</t>
        </is>
      </c>
      <c r="B1430" s="1" t="n">
        <v>45826.55288194444</v>
      </c>
      <c r="C1430" s="1" t="n">
        <v>45970</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56499-2023</t>
        </is>
      </c>
      <c r="B1431" s="1" t="n">
        <v>45237</v>
      </c>
      <c r="C1431" s="1" t="n">
        <v>45970</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56525-2023</t>
        </is>
      </c>
      <c r="B1432" s="1" t="n">
        <v>45243.56650462963</v>
      </c>
      <c r="C1432" s="1" t="n">
        <v>45970</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28738-2022</t>
        </is>
      </c>
      <c r="B1433" s="1" t="n">
        <v>44748.94701388889</v>
      </c>
      <c r="C1433" s="1" t="n">
        <v>45970</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29996-2025</t>
        </is>
      </c>
      <c r="B1434" s="1" t="n">
        <v>45826.51090277778</v>
      </c>
      <c r="C1434" s="1" t="n">
        <v>45970</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29534-2025</t>
        </is>
      </c>
      <c r="B1435" s="1" t="n">
        <v>45825.34476851852</v>
      </c>
      <c r="C1435" s="1" t="n">
        <v>45970</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46798-2023</t>
        </is>
      </c>
      <c r="B1436" s="1" t="n">
        <v>45198</v>
      </c>
      <c r="C1436" s="1" t="n">
        <v>45970</v>
      </c>
      <c r="D1436" t="inlineStr">
        <is>
          <t>JÄMTLANDS LÄN</t>
        </is>
      </c>
      <c r="E1436" t="inlineStr">
        <is>
          <t>BRÄCKE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52127-2023</t>
        </is>
      </c>
      <c r="B1437" s="1" t="n">
        <v>45223.96543981481</v>
      </c>
      <c r="C1437" s="1" t="n">
        <v>45970</v>
      </c>
      <c r="D1437" t="inlineStr">
        <is>
          <t>JÄMTLANDS LÄN</t>
        </is>
      </c>
      <c r="E1437" t="inlineStr">
        <is>
          <t>BRÄCKE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54789-2023</t>
        </is>
      </c>
      <c r="B1438" s="1" t="n">
        <v>45236.48659722223</v>
      </c>
      <c r="C1438" s="1" t="n">
        <v>45970</v>
      </c>
      <c r="D1438" t="inlineStr">
        <is>
          <t>JÄMTLANDS LÄN</t>
        </is>
      </c>
      <c r="E1438" t="inlineStr">
        <is>
          <t>BRÄCKE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24531-2022</t>
        </is>
      </c>
      <c r="B1439" s="1" t="n">
        <v>44726</v>
      </c>
      <c r="C1439" s="1" t="n">
        <v>45970</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4122-2025</t>
        </is>
      </c>
      <c r="B1440" s="1" t="n">
        <v>45685.26828703703</v>
      </c>
      <c r="C1440" s="1" t="n">
        <v>45970</v>
      </c>
      <c r="D1440" t="inlineStr">
        <is>
          <t>JÄMTLANDS LÄN</t>
        </is>
      </c>
      <c r="E1440" t="inlineStr">
        <is>
          <t>BRÄCKE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52991-2025</t>
        </is>
      </c>
      <c r="B1441" s="1" t="n">
        <v>45957.71960648148</v>
      </c>
      <c r="C1441" s="1" t="n">
        <v>45970</v>
      </c>
      <c r="D1441" t="inlineStr">
        <is>
          <t>JÄMTLANDS LÄN</t>
        </is>
      </c>
      <c r="E1441" t="inlineStr">
        <is>
          <t>BRÄCKE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7943-2025</t>
        </is>
      </c>
      <c r="B1442" s="1" t="n">
        <v>45707.40697916667</v>
      </c>
      <c r="C1442" s="1" t="n">
        <v>45970</v>
      </c>
      <c r="D1442" t="inlineStr">
        <is>
          <t>JÄMTLANDS LÄN</t>
        </is>
      </c>
      <c r="E1442" t="inlineStr">
        <is>
          <t>BRÄCKE</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52781-2025</t>
        </is>
      </c>
      <c r="B1443" s="1" t="n">
        <v>45957.4228125</v>
      </c>
      <c r="C1443" s="1" t="n">
        <v>45970</v>
      </c>
      <c r="D1443" t="inlineStr">
        <is>
          <t>JÄMTLANDS LÄN</t>
        </is>
      </c>
      <c r="E1443" t="inlineStr">
        <is>
          <t>BRÄCKE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30310-2025</t>
        </is>
      </c>
      <c r="B1444" s="1" t="n">
        <v>45827.48996527777</v>
      </c>
      <c r="C1444" s="1" t="n">
        <v>45970</v>
      </c>
      <c r="D1444" t="inlineStr">
        <is>
          <t>JÄMTLANDS LÄN</t>
        </is>
      </c>
      <c r="E1444" t="inlineStr">
        <is>
          <t>BRÄCKE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30317-2025</t>
        </is>
      </c>
      <c r="B1445" s="1" t="n">
        <v>45827.49087962963</v>
      </c>
      <c r="C1445" s="1" t="n">
        <v>45970</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53210-2025</t>
        </is>
      </c>
      <c r="B1446" s="1" t="n">
        <v>45958.59469907408</v>
      </c>
      <c r="C1446" s="1" t="n">
        <v>45970</v>
      </c>
      <c r="D1446" t="inlineStr">
        <is>
          <t>JÄMTLANDS LÄN</t>
        </is>
      </c>
      <c r="E1446" t="inlineStr">
        <is>
          <t>BRÄCKE</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30393-2025</t>
        </is>
      </c>
      <c r="B1447" s="1" t="n">
        <v>45827.57416666667</v>
      </c>
      <c r="C1447" s="1" t="n">
        <v>45970</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24718-2022</t>
        </is>
      </c>
      <c r="B1448" s="1" t="n">
        <v>44727.94221064815</v>
      </c>
      <c r="C1448" s="1" t="n">
        <v>45970</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30424-2025</t>
        </is>
      </c>
      <c r="B1449" s="1" t="n">
        <v>45827.61495370371</v>
      </c>
      <c r="C1449" s="1" t="n">
        <v>45970</v>
      </c>
      <c r="D1449" t="inlineStr">
        <is>
          <t>JÄMTLANDS LÄN</t>
        </is>
      </c>
      <c r="E1449" t="inlineStr">
        <is>
          <t>BRÄCKE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30391-2025</t>
        </is>
      </c>
      <c r="B1450" s="1" t="n">
        <v>45827.57387731481</v>
      </c>
      <c r="C1450" s="1" t="n">
        <v>45970</v>
      </c>
      <c r="D1450" t="inlineStr">
        <is>
          <t>JÄMTLANDS LÄN</t>
        </is>
      </c>
      <c r="E1450" t="inlineStr">
        <is>
          <t>BRÄCKE</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30425-2025</t>
        </is>
      </c>
      <c r="B1451" s="1" t="n">
        <v>45827.61511574074</v>
      </c>
      <c r="C1451" s="1" t="n">
        <v>45970</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12732-2025</t>
        </is>
      </c>
      <c r="B1452" s="1" t="n">
        <v>45733.51090277778</v>
      </c>
      <c r="C1452" s="1" t="n">
        <v>45970</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58503-2022</t>
        </is>
      </c>
      <c r="B1453" s="1" t="n">
        <v>44902.38313657408</v>
      </c>
      <c r="C1453" s="1" t="n">
        <v>45970</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30392-2025</t>
        </is>
      </c>
      <c r="B1454" s="1" t="n">
        <v>45827.5740162037</v>
      </c>
      <c r="C1454" s="1" t="n">
        <v>45970</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30313-2025</t>
        </is>
      </c>
      <c r="B1455" s="1" t="n">
        <v>45827.49033564814</v>
      </c>
      <c r="C1455" s="1" t="n">
        <v>45970</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52760-2023</t>
        </is>
      </c>
      <c r="B1456" s="1" t="n">
        <v>45225</v>
      </c>
      <c r="C1456" s="1" t="n">
        <v>45970</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30732-2025</t>
        </is>
      </c>
      <c r="B1457" s="1" t="n">
        <v>45831.57324074074</v>
      </c>
      <c r="C1457" s="1" t="n">
        <v>45970</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53140-2025</t>
        </is>
      </c>
      <c r="B1458" s="1" t="n">
        <v>45958.4703125</v>
      </c>
      <c r="C1458" s="1" t="n">
        <v>45970</v>
      </c>
      <c r="D1458" t="inlineStr">
        <is>
          <t>JÄMTLANDS LÄN</t>
        </is>
      </c>
      <c r="E1458" t="inlineStr">
        <is>
          <t>BRÄCKE</t>
        </is>
      </c>
      <c r="F1458" t="inlineStr">
        <is>
          <t>Övriga Aktiebolag</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53270-2025</t>
        </is>
      </c>
      <c r="B1459" s="1" t="n">
        <v>45958.70261574074</v>
      </c>
      <c r="C1459" s="1" t="n">
        <v>45970</v>
      </c>
      <c r="D1459" t="inlineStr">
        <is>
          <t>JÄMTLANDS LÄN</t>
        </is>
      </c>
      <c r="E1459" t="inlineStr">
        <is>
          <t>BRÄCKE</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50223-2023</t>
        </is>
      </c>
      <c r="B1460" s="1" t="n">
        <v>45215.94747685185</v>
      </c>
      <c r="C1460" s="1" t="n">
        <v>45970</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30619-2025</t>
        </is>
      </c>
      <c r="B1461" s="1" t="n">
        <v>45831.46922453704</v>
      </c>
      <c r="C1461" s="1" t="n">
        <v>45970</v>
      </c>
      <c r="D1461" t="inlineStr">
        <is>
          <t>JÄMTLANDS LÄN</t>
        </is>
      </c>
      <c r="E1461" t="inlineStr">
        <is>
          <t>BRÄCKE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1881-2024</t>
        </is>
      </c>
      <c r="B1462" s="1" t="n">
        <v>45307.96266203704</v>
      </c>
      <c r="C1462" s="1" t="n">
        <v>45970</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44321-2023</t>
        </is>
      </c>
      <c r="B1463" s="1" t="n">
        <v>45188.65484953704</v>
      </c>
      <c r="C1463" s="1" t="n">
        <v>45970</v>
      </c>
      <c r="D1463" t="inlineStr">
        <is>
          <t>JÄMTLANDS LÄN</t>
        </is>
      </c>
      <c r="E1463" t="inlineStr">
        <is>
          <t>BRÄCKE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44328-2023</t>
        </is>
      </c>
      <c r="B1464" s="1" t="n">
        <v>45188.659375</v>
      </c>
      <c r="C1464" s="1" t="n">
        <v>45970</v>
      </c>
      <c r="D1464" t="inlineStr">
        <is>
          <t>JÄMTLANDS LÄN</t>
        </is>
      </c>
      <c r="E1464" t="inlineStr">
        <is>
          <t>BRÄCKE</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31138-2025</t>
        </is>
      </c>
      <c r="B1465" s="1" t="n">
        <v>45832.63618055556</v>
      </c>
      <c r="C1465" s="1" t="n">
        <v>45970</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44035-2025</t>
        </is>
      </c>
      <c r="B1466" s="1" t="n">
        <v>45915.49084490741</v>
      </c>
      <c r="C1466" s="1" t="n">
        <v>45970</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44030-2025</t>
        </is>
      </c>
      <c r="B1467" s="1" t="n">
        <v>45915.49006944444</v>
      </c>
      <c r="C1467" s="1" t="n">
        <v>45970</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53047-2023</t>
        </is>
      </c>
      <c r="B1468" s="1" t="n">
        <v>45226.96398148148</v>
      </c>
      <c r="C1468" s="1" t="n">
        <v>45970</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10486-2025</t>
        </is>
      </c>
      <c r="B1469" s="1" t="n">
        <v>45721.34410879629</v>
      </c>
      <c r="C1469" s="1" t="n">
        <v>45970</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53169-2025</t>
        </is>
      </c>
      <c r="B1470" s="1" t="n">
        <v>45958.51101851852</v>
      </c>
      <c r="C1470" s="1" t="n">
        <v>45970</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30714-2025</t>
        </is>
      </c>
      <c r="B1471" s="1" t="n">
        <v>45831.55284722222</v>
      </c>
      <c r="C1471" s="1" t="n">
        <v>45970</v>
      </c>
      <c r="D1471" t="inlineStr">
        <is>
          <t>JÄMTLANDS LÄN</t>
        </is>
      </c>
      <c r="E1471" t="inlineStr">
        <is>
          <t>BRÄCKE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31059-2025</t>
        </is>
      </c>
      <c r="B1472" s="1" t="n">
        <v>45832.5734837963</v>
      </c>
      <c r="C1472" s="1" t="n">
        <v>45970</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54328-2023</t>
        </is>
      </c>
      <c r="B1473" s="1" t="n">
        <v>45232.95774305556</v>
      </c>
      <c r="C1473" s="1" t="n">
        <v>45970</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53197-2025</t>
        </is>
      </c>
      <c r="B1474" s="1" t="n">
        <v>45958.57358796296</v>
      </c>
      <c r="C1474" s="1" t="n">
        <v>45970</v>
      </c>
      <c r="D1474" t="inlineStr">
        <is>
          <t>JÄMTLANDS LÄN</t>
        </is>
      </c>
      <c r="E1474" t="inlineStr">
        <is>
          <t>BRÄCKE</t>
        </is>
      </c>
      <c r="F1474" t="inlineStr">
        <is>
          <t>SCA</t>
        </is>
      </c>
      <c r="G1474" t="n">
        <v>43.4</v>
      </c>
      <c r="H1474" t="n">
        <v>0</v>
      </c>
      <c r="I1474" t="n">
        <v>0</v>
      </c>
      <c r="J1474" t="n">
        <v>0</v>
      </c>
      <c r="K1474" t="n">
        <v>0</v>
      </c>
      <c r="L1474" t="n">
        <v>0</v>
      </c>
      <c r="M1474" t="n">
        <v>0</v>
      </c>
      <c r="N1474" t="n">
        <v>0</v>
      </c>
      <c r="O1474" t="n">
        <v>0</v>
      </c>
      <c r="P1474" t="n">
        <v>0</v>
      </c>
      <c r="Q1474" t="n">
        <v>0</v>
      </c>
      <c r="R1474" s="2" t="inlineStr"/>
    </row>
    <row r="1475" ht="15" customHeight="1">
      <c r="A1475" t="inlineStr">
        <is>
          <t>A 53168-2025</t>
        </is>
      </c>
      <c r="B1475" s="1" t="n">
        <v>45958.51083333333</v>
      </c>
      <c r="C1475" s="1" t="n">
        <v>45970</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52771-2025</t>
        </is>
      </c>
      <c r="B1476" s="1" t="n">
        <v>45957.41019675926</v>
      </c>
      <c r="C1476" s="1" t="n">
        <v>45970</v>
      </c>
      <c r="D1476" t="inlineStr">
        <is>
          <t>JÄMTLANDS LÄN</t>
        </is>
      </c>
      <c r="E1476" t="inlineStr">
        <is>
          <t>BRÄCKE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52798-2025</t>
        </is>
      </c>
      <c r="B1477" s="1" t="n">
        <v>45957.44013888889</v>
      </c>
      <c r="C1477" s="1" t="n">
        <v>45970</v>
      </c>
      <c r="D1477" t="inlineStr">
        <is>
          <t>JÄMTLANDS LÄN</t>
        </is>
      </c>
      <c r="E1477" t="inlineStr">
        <is>
          <t>BRÄCKE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31668-2025</t>
        </is>
      </c>
      <c r="B1478" s="1" t="n">
        <v>45834.36533564814</v>
      </c>
      <c r="C1478" s="1" t="n">
        <v>45970</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53138-2025</t>
        </is>
      </c>
      <c r="B1479" s="1" t="n">
        <v>45958.47013888889</v>
      </c>
      <c r="C1479" s="1" t="n">
        <v>45970</v>
      </c>
      <c r="D1479" t="inlineStr">
        <is>
          <t>JÄMTLANDS LÄN</t>
        </is>
      </c>
      <c r="E1479" t="inlineStr">
        <is>
          <t>BRÄCKE</t>
        </is>
      </c>
      <c r="F1479" t="inlineStr">
        <is>
          <t>Övriga Aktiebolag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59369-2022</t>
        </is>
      </c>
      <c r="B1480" s="1" t="n">
        <v>44904.94859953703</v>
      </c>
      <c r="C1480" s="1" t="n">
        <v>45970</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31806-2025</t>
        </is>
      </c>
      <c r="B1481" s="1" t="n">
        <v>45834.55449074074</v>
      </c>
      <c r="C1481" s="1" t="n">
        <v>45970</v>
      </c>
      <c r="D1481" t="inlineStr">
        <is>
          <t>JÄMTLANDS LÄN</t>
        </is>
      </c>
      <c r="E1481" t="inlineStr">
        <is>
          <t>BRÄCKE</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31425-2025</t>
        </is>
      </c>
      <c r="B1482" s="1" t="n">
        <v>45833.49023148148</v>
      </c>
      <c r="C1482" s="1" t="n">
        <v>45970</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31482-2025</t>
        </is>
      </c>
      <c r="B1483" s="1" t="n">
        <v>45833.57390046296</v>
      </c>
      <c r="C1483" s="1" t="n">
        <v>45970</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53114-2025</t>
        </is>
      </c>
      <c r="B1484" s="1" t="n">
        <v>45958.44440972222</v>
      </c>
      <c r="C1484" s="1" t="n">
        <v>45970</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31794-2025</t>
        </is>
      </c>
      <c r="B1485" s="1" t="n">
        <v>45834.54390046297</v>
      </c>
      <c r="C1485" s="1" t="n">
        <v>45970</v>
      </c>
      <c r="D1485" t="inlineStr">
        <is>
          <t>JÄMTLANDS LÄN</t>
        </is>
      </c>
      <c r="E1485" t="inlineStr">
        <is>
          <t>BRÄCKE</t>
        </is>
      </c>
      <c r="F1485" t="inlineStr">
        <is>
          <t>Övriga Aktiebolag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44057-2025</t>
        </is>
      </c>
      <c r="B1486" s="1" t="n">
        <v>45915.53097222222</v>
      </c>
      <c r="C1486" s="1" t="n">
        <v>45970</v>
      </c>
      <c r="D1486" t="inlineStr">
        <is>
          <t>JÄMTLANDS LÄN</t>
        </is>
      </c>
      <c r="E1486" t="inlineStr">
        <is>
          <t>BRÄCKE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31819-2025</t>
        </is>
      </c>
      <c r="B1487" s="1" t="n">
        <v>45834.57891203704</v>
      </c>
      <c r="C1487" s="1" t="n">
        <v>45970</v>
      </c>
      <c r="D1487" t="inlineStr">
        <is>
          <t>JÄMTLANDS LÄN</t>
        </is>
      </c>
      <c r="E1487" t="inlineStr">
        <is>
          <t>BRÄCKE</t>
        </is>
      </c>
      <c r="F1487" t="inlineStr">
        <is>
          <t>Övriga Aktiebolag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31832-2025</t>
        </is>
      </c>
      <c r="B1488" s="1" t="n">
        <v>45834.59207175926</v>
      </c>
      <c r="C1488" s="1" t="n">
        <v>45970</v>
      </c>
      <c r="D1488" t="inlineStr">
        <is>
          <t>JÄMTLANDS LÄN</t>
        </is>
      </c>
      <c r="E1488" t="inlineStr">
        <is>
          <t>BRÄCKE</t>
        </is>
      </c>
      <c r="F1488" t="inlineStr">
        <is>
          <t>Övriga Aktiebolag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31274-2025</t>
        </is>
      </c>
      <c r="B1489" s="1" t="n">
        <v>45833.34435185185</v>
      </c>
      <c r="C1489" s="1" t="n">
        <v>45970</v>
      </c>
      <c r="D1489" t="inlineStr">
        <is>
          <t>JÄMTLANDS LÄN</t>
        </is>
      </c>
      <c r="E1489" t="inlineStr">
        <is>
          <t>BRÄCKE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23687-2022</t>
        </is>
      </c>
      <c r="B1490" s="1" t="n">
        <v>44721</v>
      </c>
      <c r="C1490" s="1" t="n">
        <v>45970</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19386-2025</t>
        </is>
      </c>
      <c r="B1491" s="1" t="n">
        <v>45769.65719907408</v>
      </c>
      <c r="C1491" s="1" t="n">
        <v>45970</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44216-2025</t>
        </is>
      </c>
      <c r="B1492" s="1" t="n">
        <v>45915.6359837963</v>
      </c>
      <c r="C1492" s="1" t="n">
        <v>45970</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31379-2025</t>
        </is>
      </c>
      <c r="B1493" s="1" t="n">
        <v>45833.44856481482</v>
      </c>
      <c r="C1493" s="1" t="n">
        <v>45970</v>
      </c>
      <c r="D1493" t="inlineStr">
        <is>
          <t>JÄMTLANDS LÄN</t>
        </is>
      </c>
      <c r="E1493" t="inlineStr">
        <is>
          <t>BRÄCKE</t>
        </is>
      </c>
      <c r="F1493" t="inlineStr">
        <is>
          <t>SCA</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53185-2025</t>
        </is>
      </c>
      <c r="B1494" s="1" t="n">
        <v>45958.55537037037</v>
      </c>
      <c r="C1494" s="1" t="n">
        <v>45970</v>
      </c>
      <c r="D1494" t="inlineStr">
        <is>
          <t>JÄMTLANDS LÄN</t>
        </is>
      </c>
      <c r="E1494" t="inlineStr">
        <is>
          <t>BRÄCKE</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44245-2025</t>
        </is>
      </c>
      <c r="B1495" s="1" t="n">
        <v>45915.67982638889</v>
      </c>
      <c r="C1495" s="1" t="n">
        <v>45970</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53139-2025</t>
        </is>
      </c>
      <c r="B1496" s="1" t="n">
        <v>45958.47019675926</v>
      </c>
      <c r="C1496" s="1" t="n">
        <v>45970</v>
      </c>
      <c r="D1496" t="inlineStr">
        <is>
          <t>JÄMTLANDS LÄN</t>
        </is>
      </c>
      <c r="E1496" t="inlineStr">
        <is>
          <t>BRÄCKE</t>
        </is>
      </c>
      <c r="F1496" t="inlineStr">
        <is>
          <t>Övriga Aktiebolag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54524-2022</t>
        </is>
      </c>
      <c r="B1497" s="1" t="n">
        <v>44882.74364583333</v>
      </c>
      <c r="C1497" s="1" t="n">
        <v>45970</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44959-2025</t>
        </is>
      </c>
      <c r="B1498" s="1" t="n">
        <v>45918.61537037037</v>
      </c>
      <c r="C1498" s="1" t="n">
        <v>45970</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31728-2025</t>
        </is>
      </c>
      <c r="B1499" s="1" t="n">
        <v>45834.46925925926</v>
      </c>
      <c r="C1499" s="1" t="n">
        <v>45970</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44831-2025</t>
        </is>
      </c>
      <c r="B1500" s="1" t="n">
        <v>45918.40663194445</v>
      </c>
      <c r="C1500" s="1" t="n">
        <v>45970</v>
      </c>
      <c r="D1500" t="inlineStr">
        <is>
          <t>JÄMTLANDS LÄN</t>
        </is>
      </c>
      <c r="E1500" t="inlineStr">
        <is>
          <t>BRÄCKE</t>
        </is>
      </c>
      <c r="F1500" t="inlineStr">
        <is>
          <t>Naturvårdsverket</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44840-2025</t>
        </is>
      </c>
      <c r="B1501" s="1" t="n">
        <v>45918.42769675926</v>
      </c>
      <c r="C1501" s="1" t="n">
        <v>45970</v>
      </c>
      <c r="D1501" t="inlineStr">
        <is>
          <t>JÄMTLANDS LÄN</t>
        </is>
      </c>
      <c r="E1501" t="inlineStr">
        <is>
          <t>BRÄCKE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54600-2023</t>
        </is>
      </c>
      <c r="B1502" s="1" t="n">
        <v>45233.95663194444</v>
      </c>
      <c r="C1502" s="1" t="n">
        <v>45970</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47500-2023</t>
        </is>
      </c>
      <c r="B1503" s="1" t="n">
        <v>45202.9425</v>
      </c>
      <c r="C1503" s="1" t="n">
        <v>45970</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48419-2023</t>
        </is>
      </c>
      <c r="B1504" s="1" t="n">
        <v>45205</v>
      </c>
      <c r="C1504" s="1" t="n">
        <v>45970</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31696-2025</t>
        </is>
      </c>
      <c r="B1505" s="1" t="n">
        <v>45834.40726851852</v>
      </c>
      <c r="C1505" s="1" t="n">
        <v>45970</v>
      </c>
      <c r="D1505" t="inlineStr">
        <is>
          <t>JÄMTLANDS LÄN</t>
        </is>
      </c>
      <c r="E1505" t="inlineStr">
        <is>
          <t>BRÄCKE</t>
        </is>
      </c>
      <c r="F1505" t="inlineStr">
        <is>
          <t>SCA</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53352-2025</t>
        </is>
      </c>
      <c r="B1506" s="1" t="n">
        <v>45959.44840277778</v>
      </c>
      <c r="C1506" s="1" t="n">
        <v>45970</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31749-2025</t>
        </is>
      </c>
      <c r="B1507" s="1" t="n">
        <v>45834.48164351852</v>
      </c>
      <c r="C1507" s="1" t="n">
        <v>45970</v>
      </c>
      <c r="D1507" t="inlineStr">
        <is>
          <t>JÄMTLANDS LÄN</t>
        </is>
      </c>
      <c r="E1507" t="inlineStr">
        <is>
          <t>BRÄCKE</t>
        </is>
      </c>
      <c r="F1507" t="inlineStr">
        <is>
          <t>Övriga Aktiebolag</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32149-2025</t>
        </is>
      </c>
      <c r="B1508" s="1" t="n">
        <v>45835.53086805555</v>
      </c>
      <c r="C1508" s="1" t="n">
        <v>45970</v>
      </c>
      <c r="D1508" t="inlineStr">
        <is>
          <t>JÄMTLANDS LÄN</t>
        </is>
      </c>
      <c r="E1508" t="inlineStr">
        <is>
          <t>BRÄCKE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31962-2025</t>
        </is>
      </c>
      <c r="B1509" s="1" t="n">
        <v>45835.34466435185</v>
      </c>
      <c r="C1509" s="1" t="n">
        <v>45970</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50514-2023</t>
        </is>
      </c>
      <c r="B1510" s="1" t="n">
        <v>45216</v>
      </c>
      <c r="C1510" s="1" t="n">
        <v>45970</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44847-2025</t>
        </is>
      </c>
      <c r="B1511" s="1" t="n">
        <v>45918.44200231481</v>
      </c>
      <c r="C1511" s="1" t="n">
        <v>45970</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18047-2025</t>
        </is>
      </c>
      <c r="B1512" s="1" t="n">
        <v>45761.46606481481</v>
      </c>
      <c r="C1512" s="1" t="n">
        <v>45970</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47486-2023</t>
        </is>
      </c>
      <c r="B1513" s="1" t="n">
        <v>45202.94155092593</v>
      </c>
      <c r="C1513" s="1" t="n">
        <v>45970</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47487-2023</t>
        </is>
      </c>
      <c r="B1514" s="1" t="n">
        <v>45202.94162037037</v>
      </c>
      <c r="C1514" s="1" t="n">
        <v>45970</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32659-2025</t>
        </is>
      </c>
      <c r="B1515" s="1" t="n">
        <v>45838.67873842592</v>
      </c>
      <c r="C1515" s="1" t="n">
        <v>45970</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32146-2025</t>
        </is>
      </c>
      <c r="B1516" s="1" t="n">
        <v>45835.52730324074</v>
      </c>
      <c r="C1516" s="1" t="n">
        <v>45970</v>
      </c>
      <c r="D1516" t="inlineStr">
        <is>
          <t>JÄMTLANDS LÄN</t>
        </is>
      </c>
      <c r="E1516" t="inlineStr">
        <is>
          <t>BRÄCKE</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32596-2025</t>
        </is>
      </c>
      <c r="B1517" s="1" t="n">
        <v>45838.61584490741</v>
      </c>
      <c r="C1517" s="1" t="n">
        <v>45970</v>
      </c>
      <c r="D1517" t="inlineStr">
        <is>
          <t>JÄMTLANDS LÄN</t>
        </is>
      </c>
      <c r="E1517" t="inlineStr">
        <is>
          <t>BRÄCKE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54986-2023</t>
        </is>
      </c>
      <c r="B1518" s="1" t="n">
        <v>45236.96729166667</v>
      </c>
      <c r="C1518" s="1" t="n">
        <v>45970</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32272-2025</t>
        </is>
      </c>
      <c r="B1519" s="1" t="n">
        <v>45835.6568287037</v>
      </c>
      <c r="C1519" s="1" t="n">
        <v>45970</v>
      </c>
      <c r="D1519" t="inlineStr">
        <is>
          <t>JÄMTLANDS LÄN</t>
        </is>
      </c>
      <c r="E1519" t="inlineStr">
        <is>
          <t>BRÄCKE</t>
        </is>
      </c>
      <c r="F1519" t="inlineStr">
        <is>
          <t>SCA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32443-2025</t>
        </is>
      </c>
      <c r="B1520" s="1" t="n">
        <v>45838.38613425926</v>
      </c>
      <c r="C1520" s="1" t="n">
        <v>45970</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44843-2025</t>
        </is>
      </c>
      <c r="B1521" s="1" t="n">
        <v>45918.43283564815</v>
      </c>
      <c r="C1521" s="1" t="n">
        <v>45970</v>
      </c>
      <c r="D1521" t="inlineStr">
        <is>
          <t>JÄMTLANDS LÄN</t>
        </is>
      </c>
      <c r="E1521" t="inlineStr">
        <is>
          <t>BRÄCKE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44854-2025</t>
        </is>
      </c>
      <c r="B1522" s="1" t="n">
        <v>45918.44819444444</v>
      </c>
      <c r="C1522" s="1" t="n">
        <v>45970</v>
      </c>
      <c r="D1522" t="inlineStr">
        <is>
          <t>JÄMTLANDS LÄN</t>
        </is>
      </c>
      <c r="E1522" t="inlineStr">
        <is>
          <t>BRÄCKE</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50515-2023</t>
        </is>
      </c>
      <c r="B1523" s="1" t="n">
        <v>45216</v>
      </c>
      <c r="C1523" s="1" t="n">
        <v>45970</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17420-2024</t>
        </is>
      </c>
      <c r="B1524" s="1" t="n">
        <v>45414.96395833333</v>
      </c>
      <c r="C1524" s="1" t="n">
        <v>45970</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55667-2023</t>
        </is>
      </c>
      <c r="B1525" s="1" t="n">
        <v>45238.96780092592</v>
      </c>
      <c r="C1525" s="1" t="n">
        <v>45970</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55668-2023</t>
        </is>
      </c>
      <c r="B1526" s="1" t="n">
        <v>45238</v>
      </c>
      <c r="C1526" s="1" t="n">
        <v>45970</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32281-2025</t>
        </is>
      </c>
      <c r="B1527" s="1" t="n">
        <v>45835.67778935185</v>
      </c>
      <c r="C1527" s="1" t="n">
        <v>45970</v>
      </c>
      <c r="D1527" t="inlineStr">
        <is>
          <t>JÄMTLANDS LÄN</t>
        </is>
      </c>
      <c r="E1527" t="inlineStr">
        <is>
          <t>BRÄCKE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44968-2025</t>
        </is>
      </c>
      <c r="B1528" s="1" t="n">
        <v>45918.63228009259</v>
      </c>
      <c r="C1528" s="1" t="n">
        <v>45970</v>
      </c>
      <c r="D1528" t="inlineStr">
        <is>
          <t>JÄMTLANDS LÄN</t>
        </is>
      </c>
      <c r="E1528" t="inlineStr">
        <is>
          <t>BRÄCKE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64302-2023</t>
        </is>
      </c>
      <c r="B1529" s="1" t="n">
        <v>45280</v>
      </c>
      <c r="C1529" s="1" t="n">
        <v>45970</v>
      </c>
      <c r="D1529" t="inlineStr">
        <is>
          <t>JÄMTLANDS LÄN</t>
        </is>
      </c>
      <c r="E1529" t="inlineStr">
        <is>
          <t>BRÄCKE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59586-2023</t>
        </is>
      </c>
      <c r="B1530" s="1" t="n">
        <v>45254.61172453704</v>
      </c>
      <c r="C1530" s="1" t="n">
        <v>45970</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56047-2024</t>
        </is>
      </c>
      <c r="B1531" s="1" t="n">
        <v>45624.34450231482</v>
      </c>
      <c r="C1531" s="1" t="n">
        <v>45970</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32851-2025</t>
        </is>
      </c>
      <c r="B1532" s="1" t="n">
        <v>45839.57388888889</v>
      </c>
      <c r="C1532" s="1" t="n">
        <v>45970</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32697-2025</t>
        </is>
      </c>
      <c r="B1533" s="1" t="n">
        <v>45839.34427083333</v>
      </c>
      <c r="C1533" s="1" t="n">
        <v>45970</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33275-2025</t>
        </is>
      </c>
      <c r="B1534" s="1" t="n">
        <v>45840.69829861111</v>
      </c>
      <c r="C1534" s="1" t="n">
        <v>45970</v>
      </c>
      <c r="D1534" t="inlineStr">
        <is>
          <t>JÄMTLANDS LÄN</t>
        </is>
      </c>
      <c r="E1534" t="inlineStr">
        <is>
          <t>BRÄCKE</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44957-2025</t>
        </is>
      </c>
      <c r="B1535" s="1" t="n">
        <v>45918.615</v>
      </c>
      <c r="C1535" s="1" t="n">
        <v>45970</v>
      </c>
      <c r="D1535" t="inlineStr">
        <is>
          <t>JÄMTLANDS LÄN</t>
        </is>
      </c>
      <c r="E1535" t="inlineStr">
        <is>
          <t>BRÄCKE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33133-2025</t>
        </is>
      </c>
      <c r="B1536" s="1" t="n">
        <v>45840.5050462963</v>
      </c>
      <c r="C1536" s="1" t="n">
        <v>45970</v>
      </c>
      <c r="D1536" t="inlineStr">
        <is>
          <t>JÄMTLANDS LÄN</t>
        </is>
      </c>
      <c r="E1536" t="inlineStr">
        <is>
          <t>BRÄCKE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32913-2025</t>
        </is>
      </c>
      <c r="B1537" s="1" t="n">
        <v>45839.63605324074</v>
      </c>
      <c r="C1537" s="1" t="n">
        <v>45970</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18983-2025</t>
        </is>
      </c>
      <c r="B1538" s="1" t="n">
        <v>45764.55618055556</v>
      </c>
      <c r="C1538" s="1" t="n">
        <v>45970</v>
      </c>
      <c r="D1538" t="inlineStr">
        <is>
          <t>JÄMTLANDS LÄN</t>
        </is>
      </c>
      <c r="E1538" t="inlineStr">
        <is>
          <t>BRÄCKE</t>
        </is>
      </c>
      <c r="G1538" t="n">
        <v>23.8</v>
      </c>
      <c r="H1538" t="n">
        <v>0</v>
      </c>
      <c r="I1538" t="n">
        <v>0</v>
      </c>
      <c r="J1538" t="n">
        <v>0</v>
      </c>
      <c r="K1538" t="n">
        <v>0</v>
      </c>
      <c r="L1538" t="n">
        <v>0</v>
      </c>
      <c r="M1538" t="n">
        <v>0</v>
      </c>
      <c r="N1538" t="n">
        <v>0</v>
      </c>
      <c r="O1538" t="n">
        <v>0</v>
      </c>
      <c r="P1538" t="n">
        <v>0</v>
      </c>
      <c r="Q1538" t="n">
        <v>0</v>
      </c>
      <c r="R1538" s="2" t="inlineStr"/>
    </row>
    <row r="1539" ht="15" customHeight="1">
      <c r="A1539" t="inlineStr">
        <is>
          <t>A 57783-2023</t>
        </is>
      </c>
      <c r="B1539" s="1" t="n">
        <v>45246.96743055555</v>
      </c>
      <c r="C1539" s="1" t="n">
        <v>45970</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57798-2023</t>
        </is>
      </c>
      <c r="B1540" s="1" t="n">
        <v>45246.96893518518</v>
      </c>
      <c r="C1540" s="1" t="n">
        <v>45970</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10103-2025</t>
        </is>
      </c>
      <c r="B1541" s="1" t="n">
        <v>45719.57978009259</v>
      </c>
      <c r="C1541" s="1" t="n">
        <v>45970</v>
      </c>
      <c r="D1541" t="inlineStr">
        <is>
          <t>JÄMTLANDS LÄN</t>
        </is>
      </c>
      <c r="E1541" t="inlineStr">
        <is>
          <t>BRÄCKE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43789-2022</t>
        </is>
      </c>
      <c r="B1542" s="1" t="n">
        <v>44837</v>
      </c>
      <c r="C1542" s="1" t="n">
        <v>45970</v>
      </c>
      <c r="D1542" t="inlineStr">
        <is>
          <t>JÄMTLANDS LÄN</t>
        </is>
      </c>
      <c r="E1542" t="inlineStr">
        <is>
          <t>BRÄCKE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8853-2025</t>
        </is>
      </c>
      <c r="B1543" s="1" t="n">
        <v>45713.34482638889</v>
      </c>
      <c r="C1543" s="1" t="n">
        <v>45970</v>
      </c>
      <c r="D1543" t="inlineStr">
        <is>
          <t>JÄMTLANDS LÄN</t>
        </is>
      </c>
      <c r="E1543" t="inlineStr">
        <is>
          <t>BRÄCKE</t>
        </is>
      </c>
      <c r="F1543" t="inlineStr">
        <is>
          <t>SCA</t>
        </is>
      </c>
      <c r="G1543" t="n">
        <v>15.7</v>
      </c>
      <c r="H1543" t="n">
        <v>0</v>
      </c>
      <c r="I1543" t="n">
        <v>0</v>
      </c>
      <c r="J1543" t="n">
        <v>0</v>
      </c>
      <c r="K1543" t="n">
        <v>0</v>
      </c>
      <c r="L1543" t="n">
        <v>0</v>
      </c>
      <c r="M1543" t="n">
        <v>0</v>
      </c>
      <c r="N1543" t="n">
        <v>0</v>
      </c>
      <c r="O1543" t="n">
        <v>0</v>
      </c>
      <c r="P1543" t="n">
        <v>0</v>
      </c>
      <c r="Q1543" t="n">
        <v>0</v>
      </c>
      <c r="R1543" s="2" t="inlineStr"/>
    </row>
    <row r="1544" ht="15" customHeight="1">
      <c r="A1544" t="inlineStr">
        <is>
          <t>A 33956-2025</t>
        </is>
      </c>
      <c r="B1544" s="1" t="n">
        <v>45842.67746527777</v>
      </c>
      <c r="C1544" s="1" t="n">
        <v>45970</v>
      </c>
      <c r="D1544" t="inlineStr">
        <is>
          <t>JÄMTLANDS LÄN</t>
        </is>
      </c>
      <c r="E1544" t="inlineStr">
        <is>
          <t>BRÄCKE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9706-2025</t>
        </is>
      </c>
      <c r="B1545" s="1" t="n">
        <v>45716.3858912037</v>
      </c>
      <c r="C1545" s="1" t="n">
        <v>45970</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33854-2025</t>
        </is>
      </c>
      <c r="B1546" s="1" t="n">
        <v>45842.51112268519</v>
      </c>
      <c r="C1546" s="1" t="n">
        <v>45970</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8958-2023</t>
        </is>
      </c>
      <c r="B1547" s="1" t="n">
        <v>44979.47976851852</v>
      </c>
      <c r="C1547" s="1" t="n">
        <v>45970</v>
      </c>
      <c r="D1547" t="inlineStr">
        <is>
          <t>JÄMTLANDS LÄN</t>
        </is>
      </c>
      <c r="E1547" t="inlineStr">
        <is>
          <t>BRÄCKE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33648-2025</t>
        </is>
      </c>
      <c r="B1548" s="1" t="n">
        <v>45841.65681712963</v>
      </c>
      <c r="C1548" s="1" t="n">
        <v>45970</v>
      </c>
      <c r="D1548" t="inlineStr">
        <is>
          <t>JÄMTLANDS LÄN</t>
        </is>
      </c>
      <c r="E1548" t="inlineStr">
        <is>
          <t>BRÄCKE</t>
        </is>
      </c>
      <c r="F1548" t="inlineStr">
        <is>
          <t>SCA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33868-2025</t>
        </is>
      </c>
      <c r="B1549" s="1" t="n">
        <v>45842.53967592592</v>
      </c>
      <c r="C1549" s="1" t="n">
        <v>45970</v>
      </c>
      <c r="D1549" t="inlineStr">
        <is>
          <t>JÄMTLANDS LÄN</t>
        </is>
      </c>
      <c r="E1549" t="inlineStr">
        <is>
          <t>BRÄCKE</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33900-2025</t>
        </is>
      </c>
      <c r="B1550" s="1" t="n">
        <v>45842.59454861111</v>
      </c>
      <c r="C1550" s="1" t="n">
        <v>45970</v>
      </c>
      <c r="D1550" t="inlineStr">
        <is>
          <t>JÄMTLANDS LÄN</t>
        </is>
      </c>
      <c r="E1550" t="inlineStr">
        <is>
          <t>BRÄCKE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33937-2025</t>
        </is>
      </c>
      <c r="B1551" s="1" t="n">
        <v>45842.63650462963</v>
      </c>
      <c r="C1551" s="1" t="n">
        <v>45970</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33902-2025</t>
        </is>
      </c>
      <c r="B1552" s="1" t="n">
        <v>45842.59513888889</v>
      </c>
      <c r="C1552" s="1" t="n">
        <v>45970</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33776-2025</t>
        </is>
      </c>
      <c r="B1553" s="1" t="n">
        <v>45842.39412037037</v>
      </c>
      <c r="C1553" s="1" t="n">
        <v>45970</v>
      </c>
      <c r="D1553" t="inlineStr">
        <is>
          <t>JÄMTLANDS LÄN</t>
        </is>
      </c>
      <c r="E1553" t="inlineStr">
        <is>
          <t>BRÄCKE</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33796-2025</t>
        </is>
      </c>
      <c r="B1554" s="1" t="n">
        <v>45842.43670138889</v>
      </c>
      <c r="C1554" s="1" t="n">
        <v>45970</v>
      </c>
      <c r="D1554" t="inlineStr">
        <is>
          <t>JÄMTLANDS LÄN</t>
        </is>
      </c>
      <c r="E1554" t="inlineStr">
        <is>
          <t>BRÄCKE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18255-2025</t>
        </is>
      </c>
      <c r="B1555" s="1" t="n">
        <v>45762.3446412037</v>
      </c>
      <c r="C1555" s="1" t="n">
        <v>45970</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33873-2025</t>
        </is>
      </c>
      <c r="B1556" s="1" t="n">
        <v>45842.54912037037</v>
      </c>
      <c r="C1556" s="1" t="n">
        <v>45970</v>
      </c>
      <c r="D1556" t="inlineStr">
        <is>
          <t>JÄMTLANDS LÄN</t>
        </is>
      </c>
      <c r="E1556" t="inlineStr">
        <is>
          <t>BRÄCKE</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34189-2025</t>
        </is>
      </c>
      <c r="B1557" s="1" t="n">
        <v>45845.61555555555</v>
      </c>
      <c r="C1557" s="1" t="n">
        <v>45970</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34338-2025</t>
        </is>
      </c>
      <c r="B1558" s="1" t="n">
        <v>45846.45711805556</v>
      </c>
      <c r="C1558" s="1" t="n">
        <v>45970</v>
      </c>
      <c r="D1558" t="inlineStr">
        <is>
          <t>JÄMTLANDS LÄN</t>
        </is>
      </c>
      <c r="E1558" t="inlineStr">
        <is>
          <t>BRÄCKE</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52754-2023</t>
        </is>
      </c>
      <c r="B1559" s="1" t="n">
        <v>45225.96831018518</v>
      </c>
      <c r="C1559" s="1" t="n">
        <v>45970</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8780-2025</t>
        </is>
      </c>
      <c r="B1560" s="1" t="n">
        <v>45712.615625</v>
      </c>
      <c r="C1560" s="1" t="n">
        <v>45970</v>
      </c>
      <c r="D1560" t="inlineStr">
        <is>
          <t>JÄMTLANDS LÄN</t>
        </is>
      </c>
      <c r="E1560" t="inlineStr">
        <is>
          <t>BRÄCKE</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10857-2024</t>
        </is>
      </c>
      <c r="B1561" s="1" t="n">
        <v>45370.01916666667</v>
      </c>
      <c r="C1561" s="1" t="n">
        <v>45970</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34294-2025</t>
        </is>
      </c>
      <c r="B1562" s="1" t="n">
        <v>45846.34422453704</v>
      </c>
      <c r="C1562" s="1" t="n">
        <v>45970</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34322-2025</t>
        </is>
      </c>
      <c r="B1563" s="1" t="n">
        <v>45846.42747685185</v>
      </c>
      <c r="C1563" s="1" t="n">
        <v>45970</v>
      </c>
      <c r="D1563" t="inlineStr">
        <is>
          <t>JÄMTLANDS LÄN</t>
        </is>
      </c>
      <c r="E1563" t="inlineStr">
        <is>
          <t>BRÄCKE</t>
        </is>
      </c>
      <c r="F1563" t="inlineStr">
        <is>
          <t>SCA</t>
        </is>
      </c>
      <c r="G1563" t="n">
        <v>32.6</v>
      </c>
      <c r="H1563" t="n">
        <v>0</v>
      </c>
      <c r="I1563" t="n">
        <v>0</v>
      </c>
      <c r="J1563" t="n">
        <v>0</v>
      </c>
      <c r="K1563" t="n">
        <v>0</v>
      </c>
      <c r="L1563" t="n">
        <v>0</v>
      </c>
      <c r="M1563" t="n">
        <v>0</v>
      </c>
      <c r="N1563" t="n">
        <v>0</v>
      </c>
      <c r="O1563" t="n">
        <v>0</v>
      </c>
      <c r="P1563" t="n">
        <v>0</v>
      </c>
      <c r="Q1563" t="n">
        <v>0</v>
      </c>
      <c r="R1563" s="2" t="inlineStr"/>
    </row>
    <row r="1564" ht="15" customHeight="1">
      <c r="A1564" t="inlineStr">
        <is>
          <t>A 58083-2023</t>
        </is>
      </c>
      <c r="B1564" s="1" t="n">
        <v>45247</v>
      </c>
      <c r="C1564" s="1" t="n">
        <v>45970</v>
      </c>
      <c r="D1564" t="inlineStr">
        <is>
          <t>JÄMTLANDS LÄN</t>
        </is>
      </c>
      <c r="E1564" t="inlineStr">
        <is>
          <t>BRÄCKE</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34087-2025</t>
        </is>
      </c>
      <c r="B1565" s="1" t="n">
        <v>45845.46913194445</v>
      </c>
      <c r="C1565" s="1" t="n">
        <v>45970</v>
      </c>
      <c r="D1565" t="inlineStr">
        <is>
          <t>JÄMTLANDS LÄN</t>
        </is>
      </c>
      <c r="E1565" t="inlineStr">
        <is>
          <t>BRÄCKE</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34155-2025</t>
        </is>
      </c>
      <c r="B1566" s="1" t="n">
        <v>45845.57334490741</v>
      </c>
      <c r="C1566" s="1" t="n">
        <v>45970</v>
      </c>
      <c r="D1566" t="inlineStr">
        <is>
          <t>JÄMTLANDS LÄN</t>
        </is>
      </c>
      <c r="E1566" t="inlineStr">
        <is>
          <t>BRÄCKE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20514-2024</t>
        </is>
      </c>
      <c r="B1567" s="1" t="n">
        <v>45435.94387731481</v>
      </c>
      <c r="C1567" s="1" t="n">
        <v>45970</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53943-2025</t>
        </is>
      </c>
      <c r="B1568" s="1" t="n">
        <v>45961.48997685185</v>
      </c>
      <c r="C1568" s="1" t="n">
        <v>45970</v>
      </c>
      <c r="D1568" t="inlineStr">
        <is>
          <t>JÄMTLANDS LÄN</t>
        </is>
      </c>
      <c r="E1568" t="inlineStr">
        <is>
          <t>BRÄCKE</t>
        </is>
      </c>
      <c r="F1568" t="inlineStr">
        <is>
          <t>SCA</t>
        </is>
      </c>
      <c r="G1568" t="n">
        <v>14.2</v>
      </c>
      <c r="H1568" t="n">
        <v>0</v>
      </c>
      <c r="I1568" t="n">
        <v>0</v>
      </c>
      <c r="J1568" t="n">
        <v>0</v>
      </c>
      <c r="K1568" t="n">
        <v>0</v>
      </c>
      <c r="L1568" t="n">
        <v>0</v>
      </c>
      <c r="M1568" t="n">
        <v>0</v>
      </c>
      <c r="N1568" t="n">
        <v>0</v>
      </c>
      <c r="O1568" t="n">
        <v>0</v>
      </c>
      <c r="P1568" t="n">
        <v>0</v>
      </c>
      <c r="Q1568" t="n">
        <v>0</v>
      </c>
      <c r="R1568" s="2" t="inlineStr"/>
    </row>
    <row r="1569" ht="15" customHeight="1">
      <c r="A1569" t="inlineStr">
        <is>
          <t>A 34773-2025</t>
        </is>
      </c>
      <c r="B1569" s="1" t="n">
        <v>45848.65672453704</v>
      </c>
      <c r="C1569" s="1" t="n">
        <v>45970</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34746-2025</t>
        </is>
      </c>
      <c r="B1570" s="1" t="n">
        <v>45848.61505787037</v>
      </c>
      <c r="C1570" s="1" t="n">
        <v>45970</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39930-2022</t>
        </is>
      </c>
      <c r="B1571" s="1" t="n">
        <v>44819</v>
      </c>
      <c r="C1571" s="1" t="n">
        <v>45970</v>
      </c>
      <c r="D1571" t="inlineStr">
        <is>
          <t>JÄMTLANDS LÄN</t>
        </is>
      </c>
      <c r="E1571" t="inlineStr">
        <is>
          <t>BRÄCKE</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34786-2025</t>
        </is>
      </c>
      <c r="B1572" s="1" t="n">
        <v>45848.67784722222</v>
      </c>
      <c r="C1572" s="1" t="n">
        <v>45970</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12524-2025</t>
        </is>
      </c>
      <c r="B1573" s="1" t="n">
        <v>45730.6775462963</v>
      </c>
      <c r="C1573" s="1" t="n">
        <v>45970</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12553-2025</t>
        </is>
      </c>
      <c r="B1574" s="1" t="n">
        <v>45731.34431712963</v>
      </c>
      <c r="C1574" s="1" t="n">
        <v>45970</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34518-2025</t>
        </is>
      </c>
      <c r="B1575" s="1" t="n">
        <v>45847.46910879629</v>
      </c>
      <c r="C1575" s="1" t="n">
        <v>45970</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34460-2025</t>
        </is>
      </c>
      <c r="B1576" s="1" t="n">
        <v>45847.34458333333</v>
      </c>
      <c r="C1576" s="1" t="n">
        <v>45970</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34613-2025</t>
        </is>
      </c>
      <c r="B1577" s="1" t="n">
        <v>45847.67751157407</v>
      </c>
      <c r="C1577" s="1" t="n">
        <v>45970</v>
      </c>
      <c r="D1577" t="inlineStr">
        <is>
          <t>JÄMTLANDS LÄN</t>
        </is>
      </c>
      <c r="E1577" t="inlineStr">
        <is>
          <t>BRÄCKE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34614-2025</t>
        </is>
      </c>
      <c r="B1578" s="1" t="n">
        <v>45847.67768518518</v>
      </c>
      <c r="C1578" s="1" t="n">
        <v>45970</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34783-2025</t>
        </is>
      </c>
      <c r="B1579" s="1" t="n">
        <v>45848.67740740741</v>
      </c>
      <c r="C1579" s="1" t="n">
        <v>45970</v>
      </c>
      <c r="D1579" t="inlineStr">
        <is>
          <t>JÄMTLANDS LÄN</t>
        </is>
      </c>
      <c r="E1579" t="inlineStr">
        <is>
          <t>BRÄCKE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34648-2025</t>
        </is>
      </c>
      <c r="B1580" s="1" t="n">
        <v>45848.34487268519</v>
      </c>
      <c r="C1580" s="1" t="n">
        <v>45970</v>
      </c>
      <c r="D1580" t="inlineStr">
        <is>
          <t>JÄMTLANDS LÄN</t>
        </is>
      </c>
      <c r="E1580" t="inlineStr">
        <is>
          <t>BRÄCKE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43785-2022</t>
        </is>
      </c>
      <c r="B1581" s="1" t="n">
        <v>44837</v>
      </c>
      <c r="C1581" s="1" t="n">
        <v>45970</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34680-2025</t>
        </is>
      </c>
      <c r="B1582" s="1" t="n">
        <v>45848.42799768518</v>
      </c>
      <c r="C1582" s="1" t="n">
        <v>45970</v>
      </c>
      <c r="D1582" t="inlineStr">
        <is>
          <t>JÄMTLANDS LÄN</t>
        </is>
      </c>
      <c r="E1582" t="inlineStr">
        <is>
          <t>BRÄCKE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59914-2022</t>
        </is>
      </c>
      <c r="B1583" s="1" t="n">
        <v>44908.96010416667</v>
      </c>
      <c r="C1583" s="1" t="n">
        <v>45970</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34469-2025</t>
        </is>
      </c>
      <c r="B1584" s="1" t="n">
        <v>45847.34608796296</v>
      </c>
      <c r="C1584" s="1" t="n">
        <v>45970</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34912-2025</t>
        </is>
      </c>
      <c r="B1585" s="1" t="n">
        <v>45849.5378587963</v>
      </c>
      <c r="C1585" s="1" t="n">
        <v>45970</v>
      </c>
      <c r="D1585" t="inlineStr">
        <is>
          <t>JÄMTLANDS LÄN</t>
        </is>
      </c>
      <c r="E1585" t="inlineStr">
        <is>
          <t>BRÄCKE</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34983-2025</t>
        </is>
      </c>
      <c r="B1586" s="1" t="n">
        <v>45849.71234953704</v>
      </c>
      <c r="C1586" s="1" t="n">
        <v>45970</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53868-2025</t>
        </is>
      </c>
      <c r="B1587" s="1" t="n">
        <v>45961.38594907407</v>
      </c>
      <c r="C1587" s="1" t="n">
        <v>45970</v>
      </c>
      <c r="D1587" t="inlineStr">
        <is>
          <t>JÄMTLANDS LÄN</t>
        </is>
      </c>
      <c r="E1587" t="inlineStr">
        <is>
          <t>BRÄCKE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34828-2025</t>
        </is>
      </c>
      <c r="B1588" s="1" t="n">
        <v>45849.38579861111</v>
      </c>
      <c r="C1588" s="1" t="n">
        <v>45970</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17577-2022</t>
        </is>
      </c>
      <c r="B1589" s="1" t="n">
        <v>44679</v>
      </c>
      <c r="C1589" s="1" t="n">
        <v>45970</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35060-2025</t>
        </is>
      </c>
      <c r="B1590" s="1" t="n">
        <v>45852.42747685185</v>
      </c>
      <c r="C1590" s="1" t="n">
        <v>45970</v>
      </c>
      <c r="D1590" t="inlineStr">
        <is>
          <t>JÄMTLANDS LÄN</t>
        </is>
      </c>
      <c r="E1590" t="inlineStr">
        <is>
          <t>BRÄCKE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54158-2025</t>
        </is>
      </c>
      <c r="B1591" s="1" t="n">
        <v>45964.50181712963</v>
      </c>
      <c r="C1591" s="1" t="n">
        <v>45970</v>
      </c>
      <c r="D1591" t="inlineStr">
        <is>
          <t>JÄMTLANDS LÄN</t>
        </is>
      </c>
      <c r="E1591" t="inlineStr">
        <is>
          <t>BRÄCKE</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35229-2025</t>
        </is>
      </c>
      <c r="B1592" s="1" t="n">
        <v>45853.59420138889</v>
      </c>
      <c r="C1592" s="1" t="n">
        <v>45970</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35325-2025</t>
        </is>
      </c>
      <c r="B1593" s="1" t="n">
        <v>45854.52606481482</v>
      </c>
      <c r="C1593" s="1" t="n">
        <v>45970</v>
      </c>
      <c r="D1593" t="inlineStr">
        <is>
          <t>JÄMTLANDS LÄN</t>
        </is>
      </c>
      <c r="E1593" t="inlineStr">
        <is>
          <t>BRÄCKE</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40791-2024</t>
        </is>
      </c>
      <c r="B1594" s="1" t="n">
        <v>45558.50222222223</v>
      </c>
      <c r="C1594" s="1" t="n">
        <v>45970</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35324-2025</t>
        </is>
      </c>
      <c r="B1595" s="1" t="n">
        <v>45854.51079861111</v>
      </c>
      <c r="C1595" s="1" t="n">
        <v>45970</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35326-2025</t>
        </is>
      </c>
      <c r="B1596" s="1" t="n">
        <v>45854.52724537037</v>
      </c>
      <c r="C1596" s="1" t="n">
        <v>45970</v>
      </c>
      <c r="D1596" t="inlineStr">
        <is>
          <t>JÄMTLANDS LÄN</t>
        </is>
      </c>
      <c r="E1596" t="inlineStr">
        <is>
          <t>BRÄCKE</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35327-2025</t>
        </is>
      </c>
      <c r="B1597" s="1" t="n">
        <v>45854.5283449074</v>
      </c>
      <c r="C1597" s="1" t="n">
        <v>45970</v>
      </c>
      <c r="D1597" t="inlineStr">
        <is>
          <t>JÄMTLANDS LÄN</t>
        </is>
      </c>
      <c r="E1597" t="inlineStr">
        <is>
          <t>BRÄCKE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29107-2025</t>
        </is>
      </c>
      <c r="B1598" s="1" t="n">
        <v>45821.58030092593</v>
      </c>
      <c r="C1598" s="1" t="n">
        <v>45970</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35331-2025</t>
        </is>
      </c>
      <c r="B1599" s="1" t="n">
        <v>45854.57344907407</v>
      </c>
      <c r="C1599" s="1" t="n">
        <v>45970</v>
      </c>
      <c r="D1599" t="inlineStr">
        <is>
          <t>JÄMTLANDS LÄN</t>
        </is>
      </c>
      <c r="E1599" t="inlineStr">
        <is>
          <t>BRÄCKE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54010-2025</t>
        </is>
      </c>
      <c r="B1600" s="1" t="n">
        <v>45961.6153125</v>
      </c>
      <c r="C1600" s="1" t="n">
        <v>45970</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54011-2025</t>
        </is>
      </c>
      <c r="B1601" s="1" t="n">
        <v>45961.61545138889</v>
      </c>
      <c r="C1601" s="1" t="n">
        <v>45970</v>
      </c>
      <c r="D1601" t="inlineStr">
        <is>
          <t>JÄMTLANDS LÄN</t>
        </is>
      </c>
      <c r="E1601" t="inlineStr">
        <is>
          <t>BRÄCKE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15944-2025</t>
        </is>
      </c>
      <c r="B1602" s="1" t="n">
        <v>45749.48545138889</v>
      </c>
      <c r="C1602" s="1" t="n">
        <v>45970</v>
      </c>
      <c r="D1602" t="inlineStr">
        <is>
          <t>JÄMTLANDS LÄN</t>
        </is>
      </c>
      <c r="E1602" t="inlineStr">
        <is>
          <t>BRÄCKE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35445-2025</t>
        </is>
      </c>
      <c r="B1603" s="1" t="n">
        <v>45855.53196759259</v>
      </c>
      <c r="C1603" s="1" t="n">
        <v>45970</v>
      </c>
      <c r="D1603" t="inlineStr">
        <is>
          <t>JÄMTLANDS LÄN</t>
        </is>
      </c>
      <c r="E1603" t="inlineStr">
        <is>
          <t>BRÄCKE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45970</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53829-2025</t>
        </is>
      </c>
      <c r="B1605" s="1" t="n">
        <v>45961.34475694445</v>
      </c>
      <c r="C1605" s="1" t="n">
        <v>45970</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3389-2024</t>
        </is>
      </c>
      <c r="B1606" s="1" t="n">
        <v>45317.9409837963</v>
      </c>
      <c r="C1606" s="1" t="n">
        <v>45970</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64266-2023</t>
        </is>
      </c>
      <c r="B1607" s="1" t="n">
        <v>45279.94579861111</v>
      </c>
      <c r="C1607" s="1" t="n">
        <v>45970</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60435-2023</t>
        </is>
      </c>
      <c r="B1608" s="1" t="n">
        <v>45258</v>
      </c>
      <c r="C1608" s="1" t="n">
        <v>45970</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57417-2023</t>
        </is>
      </c>
      <c r="B1609" s="1" t="n">
        <v>45245.96966435185</v>
      </c>
      <c r="C1609" s="1" t="n">
        <v>45970</v>
      </c>
      <c r="D1609" t="inlineStr">
        <is>
          <t>JÄMTLANDS LÄN</t>
        </is>
      </c>
      <c r="E1609" t="inlineStr">
        <is>
          <t>BRÄCKE</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14630-2025</t>
        </is>
      </c>
      <c r="B1610" s="1" t="n">
        <v>45742.42767361111</v>
      </c>
      <c r="C1610" s="1" t="n">
        <v>45970</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45970</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39937-2022</t>
        </is>
      </c>
      <c r="B1612" s="1" t="n">
        <v>44819.9487962963</v>
      </c>
      <c r="C1612" s="1" t="n">
        <v>45970</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35642-2025</t>
        </is>
      </c>
      <c r="B1613" s="1" t="n">
        <v>45859.48991898148</v>
      </c>
      <c r="C1613" s="1" t="n">
        <v>45970</v>
      </c>
      <c r="D1613" t="inlineStr">
        <is>
          <t>JÄMTLANDS LÄN</t>
        </is>
      </c>
      <c r="E1613" t="inlineStr">
        <is>
          <t>BRÄCKE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35712-2025</t>
        </is>
      </c>
      <c r="B1614" s="1" t="n">
        <v>45860.40660879629</v>
      </c>
      <c r="C1614" s="1" t="n">
        <v>45970</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35731-2025</t>
        </is>
      </c>
      <c r="B1615" s="1" t="n">
        <v>45860.46923611111</v>
      </c>
      <c r="C1615" s="1" t="n">
        <v>45970</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35668-2025</t>
        </is>
      </c>
      <c r="B1616" s="1" t="n">
        <v>45859.61552083334</v>
      </c>
      <c r="C1616" s="1" t="n">
        <v>45970</v>
      </c>
      <c r="D1616" t="inlineStr">
        <is>
          <t>JÄMTLANDS LÄN</t>
        </is>
      </c>
      <c r="E1616" t="inlineStr">
        <is>
          <t>BRÄCKE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35398-2024</t>
        </is>
      </c>
      <c r="B1617" s="1" t="n">
        <v>45531.40420138889</v>
      </c>
      <c r="C1617" s="1" t="n">
        <v>45970</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37504-2023</t>
        </is>
      </c>
      <c r="B1618" s="1" t="n">
        <v>45157.59725694444</v>
      </c>
      <c r="C1618" s="1" t="n">
        <v>45970</v>
      </c>
      <c r="D1618" t="inlineStr">
        <is>
          <t>JÄMTLANDS LÄN</t>
        </is>
      </c>
      <c r="E1618" t="inlineStr">
        <is>
          <t>BRÄCKE</t>
        </is>
      </c>
      <c r="F1618" t="inlineStr">
        <is>
          <t>Sveaskog</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54007-2025</t>
        </is>
      </c>
      <c r="B1619" s="1" t="n">
        <v>45961.61497685185</v>
      </c>
      <c r="C1619" s="1" t="n">
        <v>45970</v>
      </c>
      <c r="D1619" t="inlineStr">
        <is>
          <t>JÄMTLANDS LÄN</t>
        </is>
      </c>
      <c r="E1619" t="inlineStr">
        <is>
          <t>BRÄCKE</t>
        </is>
      </c>
      <c r="F1619" t="inlineStr">
        <is>
          <t>SCA</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54009-2025</t>
        </is>
      </c>
      <c r="B1620" s="1" t="n">
        <v>45961.61516203704</v>
      </c>
      <c r="C1620" s="1" t="n">
        <v>45970</v>
      </c>
      <c r="D1620" t="inlineStr">
        <is>
          <t>JÄMTLANDS LÄN</t>
        </is>
      </c>
      <c r="E1620" t="inlineStr">
        <is>
          <t>BRÄCKE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54160-2025</t>
        </is>
      </c>
      <c r="B1621" s="1" t="n">
        <v>45964.50528935185</v>
      </c>
      <c r="C1621" s="1" t="n">
        <v>45970</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35880-2025</t>
        </is>
      </c>
      <c r="B1622" s="1" t="n">
        <v>45862.38334490741</v>
      </c>
      <c r="C1622" s="1" t="n">
        <v>45970</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46939-2023</t>
        </is>
      </c>
      <c r="B1623" s="1" t="n">
        <v>45195</v>
      </c>
      <c r="C1623" s="1" t="n">
        <v>45970</v>
      </c>
      <c r="D1623" t="inlineStr">
        <is>
          <t>JÄMTLANDS LÄN</t>
        </is>
      </c>
      <c r="E1623" t="inlineStr">
        <is>
          <t>BRÄCKE</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53844-2025</t>
        </is>
      </c>
      <c r="B1624" s="1" t="n">
        <v>45961.36488425926</v>
      </c>
      <c r="C1624" s="1" t="n">
        <v>45970</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35879-2025</t>
        </is>
      </c>
      <c r="B1625" s="1" t="n">
        <v>45862.37929398148</v>
      </c>
      <c r="C1625" s="1" t="n">
        <v>45970</v>
      </c>
      <c r="D1625" t="inlineStr">
        <is>
          <t>JÄMTLANDS LÄN</t>
        </is>
      </c>
      <c r="E1625" t="inlineStr">
        <is>
          <t>BRÄCKE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14838-2025</t>
        </is>
      </c>
      <c r="B1626" s="1" t="n">
        <v>45743.38582175926</v>
      </c>
      <c r="C1626" s="1" t="n">
        <v>45970</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31520-2022</t>
        </is>
      </c>
      <c r="B1627" s="1" t="n">
        <v>44774.94930555556</v>
      </c>
      <c r="C1627" s="1" t="n">
        <v>45970</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54257-2025</t>
        </is>
      </c>
      <c r="B1628" s="1" t="n">
        <v>45964.65732638889</v>
      </c>
      <c r="C1628" s="1" t="n">
        <v>45970</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36392-2022</t>
        </is>
      </c>
      <c r="B1629" s="1" t="n">
        <v>44803.94673611111</v>
      </c>
      <c r="C1629" s="1" t="n">
        <v>45970</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1347-2025</t>
        </is>
      </c>
      <c r="B1630" s="1" t="n">
        <v>45667.61490740741</v>
      </c>
      <c r="C1630" s="1" t="n">
        <v>45970</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4904-2025</t>
        </is>
      </c>
      <c r="B1631" s="1" t="n">
        <v>45688.68020833333</v>
      </c>
      <c r="C1631" s="1" t="n">
        <v>45970</v>
      </c>
      <c r="D1631" t="inlineStr">
        <is>
          <t>JÄMTLANDS LÄN</t>
        </is>
      </c>
      <c r="E1631" t="inlineStr">
        <is>
          <t>BRÄCKE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35906-2025</t>
        </is>
      </c>
      <c r="B1632" s="1" t="n">
        <v>45862.51081018519</v>
      </c>
      <c r="C1632" s="1" t="n">
        <v>45970</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62871-2020</t>
        </is>
      </c>
      <c r="B1633" s="1" t="n">
        <v>44161</v>
      </c>
      <c r="C1633" s="1" t="n">
        <v>45970</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35908-2025</t>
        </is>
      </c>
      <c r="B1634" s="1" t="n">
        <v>45862.51113425926</v>
      </c>
      <c r="C1634" s="1" t="n">
        <v>45970</v>
      </c>
      <c r="D1634" t="inlineStr">
        <is>
          <t>JÄMTLANDS LÄN</t>
        </is>
      </c>
      <c r="E1634" t="inlineStr">
        <is>
          <t>BRÄCKE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45081-2025</t>
        </is>
      </c>
      <c r="B1635" s="1" t="n">
        <v>45919.36574074074</v>
      </c>
      <c r="C1635" s="1" t="n">
        <v>45970</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40313-2021</t>
        </is>
      </c>
      <c r="B1636" s="1" t="n">
        <v>44419.50186342592</v>
      </c>
      <c r="C1636" s="1" t="n">
        <v>45970</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45589-2025</t>
        </is>
      </c>
      <c r="B1637" s="1" t="n">
        <v>45922.67697916667</v>
      </c>
      <c r="C1637" s="1" t="n">
        <v>45970</v>
      </c>
      <c r="D1637" t="inlineStr">
        <is>
          <t>JÄMTLANDS LÄN</t>
        </is>
      </c>
      <c r="E1637" t="inlineStr">
        <is>
          <t>BRÄCKE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34138-2023</t>
        </is>
      </c>
      <c r="B1638" s="1" t="n">
        <v>45135</v>
      </c>
      <c r="C1638" s="1" t="n">
        <v>45970</v>
      </c>
      <c r="D1638" t="inlineStr">
        <is>
          <t>JÄMTLANDS LÄN</t>
        </is>
      </c>
      <c r="E1638" t="inlineStr">
        <is>
          <t>BRÄCKE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51270-2022</t>
        </is>
      </c>
      <c r="B1639" s="1" t="n">
        <v>44866</v>
      </c>
      <c r="C1639" s="1" t="n">
        <v>45970</v>
      </c>
      <c r="D1639" t="inlineStr">
        <is>
          <t>JÄMTLANDS LÄN</t>
        </is>
      </c>
      <c r="E1639" t="inlineStr">
        <is>
          <t>BRÄCKE</t>
        </is>
      </c>
      <c r="F1639" t="inlineStr">
        <is>
          <t>Kommuner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36034-2025</t>
        </is>
      </c>
      <c r="B1640" s="1" t="n">
        <v>45865.64755787037</v>
      </c>
      <c r="C1640" s="1" t="n">
        <v>45970</v>
      </c>
      <c r="D1640" t="inlineStr">
        <is>
          <t>JÄMTLANDS LÄN</t>
        </is>
      </c>
      <c r="E1640" t="inlineStr">
        <is>
          <t>BRÄCKE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46017-2025</t>
        </is>
      </c>
      <c r="B1641" s="1" t="n">
        <v>45924.42774305555</v>
      </c>
      <c r="C1641" s="1" t="n">
        <v>45970</v>
      </c>
      <c r="D1641" t="inlineStr">
        <is>
          <t>JÄMTLANDS LÄN</t>
        </is>
      </c>
      <c r="E1641" t="inlineStr">
        <is>
          <t>BRÄCKE</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15262-2025</t>
        </is>
      </c>
      <c r="B1642" s="1" t="n">
        <v>45744.65693287037</v>
      </c>
      <c r="C1642" s="1" t="n">
        <v>45970</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36169-2025</t>
        </is>
      </c>
      <c r="B1643" s="1" t="n">
        <v>45867.38596064815</v>
      </c>
      <c r="C1643" s="1" t="n">
        <v>45970</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58728-2022</t>
        </is>
      </c>
      <c r="B1644" s="1" t="n">
        <v>44902</v>
      </c>
      <c r="C1644" s="1" t="n">
        <v>45970</v>
      </c>
      <c r="D1644" t="inlineStr">
        <is>
          <t>JÄMTLANDS LÄN</t>
        </is>
      </c>
      <c r="E1644" t="inlineStr">
        <is>
          <t>BRÄCKE</t>
        </is>
      </c>
      <c r="G1644" t="n">
        <v>21.5</v>
      </c>
      <c r="H1644" t="n">
        <v>0</v>
      </c>
      <c r="I1644" t="n">
        <v>0</v>
      </c>
      <c r="J1644" t="n">
        <v>0</v>
      </c>
      <c r="K1644" t="n">
        <v>0</v>
      </c>
      <c r="L1644" t="n">
        <v>0</v>
      </c>
      <c r="M1644" t="n">
        <v>0</v>
      </c>
      <c r="N1644" t="n">
        <v>0</v>
      </c>
      <c r="O1644" t="n">
        <v>0</v>
      </c>
      <c r="P1644" t="n">
        <v>0</v>
      </c>
      <c r="Q1644" t="n">
        <v>0</v>
      </c>
      <c r="R1644" s="2" t="inlineStr"/>
    </row>
    <row r="1645" ht="15" customHeight="1">
      <c r="A1645" t="inlineStr">
        <is>
          <t>A 54681-2025</t>
        </is>
      </c>
      <c r="B1645" s="1" t="n">
        <v>45966.42777777778</v>
      </c>
      <c r="C1645" s="1" t="n">
        <v>45970</v>
      </c>
      <c r="D1645" t="inlineStr">
        <is>
          <t>JÄMTLANDS LÄN</t>
        </is>
      </c>
      <c r="E1645" t="inlineStr">
        <is>
          <t>BRÄCKE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45797-2025</t>
        </is>
      </c>
      <c r="B1646" s="1" t="n">
        <v>45923.57422453703</v>
      </c>
      <c r="C1646" s="1" t="n">
        <v>45970</v>
      </c>
      <c r="D1646" t="inlineStr">
        <is>
          <t>JÄMTLANDS LÄN</t>
        </is>
      </c>
      <c r="E1646" t="inlineStr">
        <is>
          <t>BRÄCKE</t>
        </is>
      </c>
      <c r="F1646" t="inlineStr">
        <is>
          <t>SCA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36311-2025</t>
        </is>
      </c>
      <c r="B1647" s="1" t="n">
        <v>45868.34434027778</v>
      </c>
      <c r="C1647" s="1" t="n">
        <v>45970</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54793-2025</t>
        </is>
      </c>
      <c r="B1648" s="1" t="n">
        <v>45966.63584490741</v>
      </c>
      <c r="C1648" s="1" t="n">
        <v>45970</v>
      </c>
      <c r="D1648" t="inlineStr">
        <is>
          <t>JÄMTLANDS LÄN</t>
        </is>
      </c>
      <c r="E1648" t="inlineStr">
        <is>
          <t>BRÄCKE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54799-2025</t>
        </is>
      </c>
      <c r="B1649" s="1" t="n">
        <v>45966.63707175926</v>
      </c>
      <c r="C1649" s="1" t="n">
        <v>45970</v>
      </c>
      <c r="D1649" t="inlineStr">
        <is>
          <t>JÄMTLANDS LÄN</t>
        </is>
      </c>
      <c r="E1649" t="inlineStr">
        <is>
          <t>BRÄCKE</t>
        </is>
      </c>
      <c r="G1649" t="n">
        <v>0</v>
      </c>
      <c r="H1649" t="n">
        <v>0</v>
      </c>
      <c r="I1649" t="n">
        <v>0</v>
      </c>
      <c r="J1649" t="n">
        <v>0</v>
      </c>
      <c r="K1649" t="n">
        <v>0</v>
      </c>
      <c r="L1649" t="n">
        <v>0</v>
      </c>
      <c r="M1649" t="n">
        <v>0</v>
      </c>
      <c r="N1649" t="n">
        <v>0</v>
      </c>
      <c r="O1649" t="n">
        <v>0</v>
      </c>
      <c r="P1649" t="n">
        <v>0</v>
      </c>
      <c r="Q1649" t="n">
        <v>0</v>
      </c>
      <c r="R1649" s="2" t="inlineStr"/>
    </row>
    <row r="1650" ht="15" customHeight="1">
      <c r="A1650" t="inlineStr">
        <is>
          <t>A 54775-2025</t>
        </is>
      </c>
      <c r="B1650" s="1" t="n">
        <v>45966.61333333333</v>
      </c>
      <c r="C1650" s="1" t="n">
        <v>45970</v>
      </c>
      <c r="D1650" t="inlineStr">
        <is>
          <t>JÄMTLANDS LÄN</t>
        </is>
      </c>
      <c r="E1650" t="inlineStr">
        <is>
          <t>BRÄCKE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51195-2024</t>
        </is>
      </c>
      <c r="B1651" s="1" t="n">
        <v>45603.61532407408</v>
      </c>
      <c r="C1651" s="1" t="n">
        <v>45970</v>
      </c>
      <c r="D1651" t="inlineStr">
        <is>
          <t>JÄMTLANDS LÄN</t>
        </is>
      </c>
      <c r="E1651" t="inlineStr">
        <is>
          <t>BRÄCKE</t>
        </is>
      </c>
      <c r="F1651" t="inlineStr">
        <is>
          <t>SCA</t>
        </is>
      </c>
      <c r="G1651" t="n">
        <v>17.4</v>
      </c>
      <c r="H1651" t="n">
        <v>0</v>
      </c>
      <c r="I1651" t="n">
        <v>0</v>
      </c>
      <c r="J1651" t="n">
        <v>0</v>
      </c>
      <c r="K1651" t="n">
        <v>0</v>
      </c>
      <c r="L1651" t="n">
        <v>0</v>
      </c>
      <c r="M1651" t="n">
        <v>0</v>
      </c>
      <c r="N1651" t="n">
        <v>0</v>
      </c>
      <c r="O1651" t="n">
        <v>0</v>
      </c>
      <c r="P1651" t="n">
        <v>0</v>
      </c>
      <c r="Q1651" t="n">
        <v>0</v>
      </c>
      <c r="R1651" s="2" t="inlineStr"/>
    </row>
    <row r="1652" ht="15" customHeight="1">
      <c r="A1652" t="inlineStr">
        <is>
          <t>A 36223-2025</t>
        </is>
      </c>
      <c r="B1652" s="1" t="n">
        <v>45867.51101851852</v>
      </c>
      <c r="C1652" s="1" t="n">
        <v>45970</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36222-2025</t>
        </is>
      </c>
      <c r="B1653" s="1" t="n">
        <v>45867.51087962963</v>
      </c>
      <c r="C1653" s="1" t="n">
        <v>45970</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36386-2025</t>
        </is>
      </c>
      <c r="B1654" s="1" t="n">
        <v>45868.59412037037</v>
      </c>
      <c r="C1654" s="1" t="n">
        <v>45970</v>
      </c>
      <c r="D1654" t="inlineStr">
        <is>
          <t>JÄMTLANDS LÄN</t>
        </is>
      </c>
      <c r="E1654" t="inlineStr">
        <is>
          <t>BRÄCKE</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50522-2024</t>
        </is>
      </c>
      <c r="B1655" s="1" t="n">
        <v>45601.55399305555</v>
      </c>
      <c r="C1655" s="1" t="n">
        <v>45970</v>
      </c>
      <c r="D1655" t="inlineStr">
        <is>
          <t>JÄMTLANDS LÄN</t>
        </is>
      </c>
      <c r="E1655" t="inlineStr">
        <is>
          <t>BRÄCKE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54323-2025</t>
        </is>
      </c>
      <c r="B1656" s="1" t="n">
        <v>45965.34454861111</v>
      </c>
      <c r="C1656" s="1" t="n">
        <v>45970</v>
      </c>
      <c r="D1656" t="inlineStr">
        <is>
          <t>JÄMTLANDS LÄN</t>
        </is>
      </c>
      <c r="E1656" t="inlineStr">
        <is>
          <t>BRÄCKE</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23443-2022</t>
        </is>
      </c>
      <c r="B1657" s="1" t="n">
        <v>44720.94112268519</v>
      </c>
      <c r="C1657" s="1" t="n">
        <v>45970</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58078-2023</t>
        </is>
      </c>
      <c r="B1658" s="1" t="n">
        <v>45247.965</v>
      </c>
      <c r="C1658" s="1" t="n">
        <v>45970</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36534-2025</t>
        </is>
      </c>
      <c r="B1659" s="1" t="n">
        <v>45869.61495370371</v>
      </c>
      <c r="C1659" s="1" t="n">
        <v>45970</v>
      </c>
      <c r="D1659" t="inlineStr">
        <is>
          <t>JÄMTLANDS LÄN</t>
        </is>
      </c>
      <c r="E1659" t="inlineStr">
        <is>
          <t>BRÄCKE</t>
        </is>
      </c>
      <c r="F1659" t="inlineStr">
        <is>
          <t>SCA</t>
        </is>
      </c>
      <c r="G1659" t="n">
        <v>22.1</v>
      </c>
      <c r="H1659" t="n">
        <v>0</v>
      </c>
      <c r="I1659" t="n">
        <v>0</v>
      </c>
      <c r="J1659" t="n">
        <v>0</v>
      </c>
      <c r="K1659" t="n">
        <v>0</v>
      </c>
      <c r="L1659" t="n">
        <v>0</v>
      </c>
      <c r="M1659" t="n">
        <v>0</v>
      </c>
      <c r="N1659" t="n">
        <v>0</v>
      </c>
      <c r="O1659" t="n">
        <v>0</v>
      </c>
      <c r="P1659" t="n">
        <v>0</v>
      </c>
      <c r="Q1659" t="n">
        <v>0</v>
      </c>
      <c r="R1659" s="2" t="inlineStr"/>
    </row>
    <row r="1660" ht="15" customHeight="1">
      <c r="A1660" t="inlineStr">
        <is>
          <t>A 46131-2025</t>
        </is>
      </c>
      <c r="B1660" s="1" t="n">
        <v>45924.59469907408</v>
      </c>
      <c r="C1660" s="1" t="n">
        <v>45970</v>
      </c>
      <c r="D1660" t="inlineStr">
        <is>
          <t>JÄMTLANDS LÄN</t>
        </is>
      </c>
      <c r="E1660" t="inlineStr">
        <is>
          <t>BRÄCKE</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46069-2025</t>
        </is>
      </c>
      <c r="B1661" s="1" t="n">
        <v>45924.48994212963</v>
      </c>
      <c r="C1661" s="1" t="n">
        <v>45970</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52983-2022</t>
        </is>
      </c>
      <c r="B1662" s="1" t="n">
        <v>44875.92745370371</v>
      </c>
      <c r="C1662" s="1" t="n">
        <v>45970</v>
      </c>
      <c r="D1662" t="inlineStr">
        <is>
          <t>JÄMTLANDS LÄN</t>
        </is>
      </c>
      <c r="E1662" t="inlineStr">
        <is>
          <t>BRÄCKE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60015-2021</t>
        </is>
      </c>
      <c r="B1663" s="1" t="n">
        <v>44494.94096064815</v>
      </c>
      <c r="C1663" s="1" t="n">
        <v>45970</v>
      </c>
      <c r="D1663" t="inlineStr">
        <is>
          <t>JÄMTLANDS LÄN</t>
        </is>
      </c>
      <c r="E1663" t="inlineStr">
        <is>
          <t>BRÄCKE</t>
        </is>
      </c>
      <c r="G1663" t="n">
        <v>18.7</v>
      </c>
      <c r="H1663" t="n">
        <v>0</v>
      </c>
      <c r="I1663" t="n">
        <v>0</v>
      </c>
      <c r="J1663" t="n">
        <v>0</v>
      </c>
      <c r="K1663" t="n">
        <v>0</v>
      </c>
      <c r="L1663" t="n">
        <v>0</v>
      </c>
      <c r="M1663" t="n">
        <v>0</v>
      </c>
      <c r="N1663" t="n">
        <v>0</v>
      </c>
      <c r="O1663" t="n">
        <v>0</v>
      </c>
      <c r="P1663" t="n">
        <v>0</v>
      </c>
      <c r="Q1663" t="n">
        <v>0</v>
      </c>
      <c r="R1663" s="2" t="inlineStr"/>
    </row>
    <row r="1664" ht="15" customHeight="1">
      <c r="A1664" t="inlineStr">
        <is>
          <t>A 34102-2025</t>
        </is>
      </c>
      <c r="B1664" s="1" t="n">
        <v>45845.49</v>
      </c>
      <c r="C1664" s="1" t="n">
        <v>45970</v>
      </c>
      <c r="D1664" t="inlineStr">
        <is>
          <t>JÄMTLANDS LÄN</t>
        </is>
      </c>
      <c r="E1664" t="inlineStr">
        <is>
          <t>BRÄCKE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36507-2025</t>
        </is>
      </c>
      <c r="B1665" s="1" t="n">
        <v>45869.57335648148</v>
      </c>
      <c r="C1665" s="1" t="n">
        <v>45970</v>
      </c>
      <c r="D1665" t="inlineStr">
        <is>
          <t>JÄMTLANDS LÄN</t>
        </is>
      </c>
      <c r="E1665" t="inlineStr">
        <is>
          <t>BRÄCKE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36508-2025</t>
        </is>
      </c>
      <c r="B1666" s="1" t="n">
        <v>45869.57351851852</v>
      </c>
      <c r="C1666" s="1" t="n">
        <v>45970</v>
      </c>
      <c r="D1666" t="inlineStr">
        <is>
          <t>JÄMTLANDS LÄN</t>
        </is>
      </c>
      <c r="E1666" t="inlineStr">
        <is>
          <t>BRÄCKE</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45703-2025</t>
        </is>
      </c>
      <c r="B1667" s="1" t="n">
        <v>45923.40854166666</v>
      </c>
      <c r="C1667" s="1" t="n">
        <v>45970</v>
      </c>
      <c r="D1667" t="inlineStr">
        <is>
          <t>JÄMTLANDS LÄN</t>
        </is>
      </c>
      <c r="E1667" t="inlineStr">
        <is>
          <t>BRÄCKE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38862-2024</t>
        </is>
      </c>
      <c r="B1668" s="1" t="n">
        <v>45547.63063657407</v>
      </c>
      <c r="C1668" s="1" t="n">
        <v>45970</v>
      </c>
      <c r="D1668" t="inlineStr">
        <is>
          <t>JÄMTLANDS LÄN</t>
        </is>
      </c>
      <c r="E1668" t="inlineStr">
        <is>
          <t>BRÄCKE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52022-2022</t>
        </is>
      </c>
      <c r="B1669" s="1" t="n">
        <v>44872.95662037037</v>
      </c>
      <c r="C1669" s="1" t="n">
        <v>45970</v>
      </c>
      <c r="D1669" t="inlineStr">
        <is>
          <t>JÄMTLANDS LÄN</t>
        </is>
      </c>
      <c r="E1669" t="inlineStr">
        <is>
          <t>BRÄCKE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46004-2025</t>
        </is>
      </c>
      <c r="B1670" s="1" t="n">
        <v>45924.40741898148</v>
      </c>
      <c r="C1670" s="1" t="n">
        <v>45970</v>
      </c>
      <c r="D1670" t="inlineStr">
        <is>
          <t>JÄMTLANDS LÄN</t>
        </is>
      </c>
      <c r="E1670" t="inlineStr">
        <is>
          <t>BRÄCKE</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31526-2024</t>
        </is>
      </c>
      <c r="B1671" s="1" t="n">
        <v>45505.95956018518</v>
      </c>
      <c r="C1671" s="1" t="n">
        <v>45970</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44753-2022</t>
        </is>
      </c>
      <c r="B1672" s="1" t="n">
        <v>44840</v>
      </c>
      <c r="C1672" s="1" t="n">
        <v>45970</v>
      </c>
      <c r="D1672" t="inlineStr">
        <is>
          <t>JÄMTLANDS LÄN</t>
        </is>
      </c>
      <c r="E1672" t="inlineStr">
        <is>
          <t>BRÄCKE</t>
        </is>
      </c>
      <c r="F1672" t="inlineStr">
        <is>
          <t>SCA</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23013-2021</t>
        </is>
      </c>
      <c r="B1673" s="1" t="n">
        <v>44328</v>
      </c>
      <c r="C1673" s="1" t="n">
        <v>45970</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6345-2023</t>
        </is>
      </c>
      <c r="B1674" s="1" t="n">
        <v>44960</v>
      </c>
      <c r="C1674" s="1" t="n">
        <v>45970</v>
      </c>
      <c r="D1674" t="inlineStr">
        <is>
          <t>JÄMTLANDS LÄN</t>
        </is>
      </c>
      <c r="E1674" t="inlineStr">
        <is>
          <t>BRÄCKE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36970-2025</t>
        </is>
      </c>
      <c r="B1675" s="1" t="n">
        <v>45874.63700231481</v>
      </c>
      <c r="C1675" s="1" t="n">
        <v>45970</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54642-2025</t>
        </is>
      </c>
      <c r="B1676" s="1" t="n">
        <v>45966.36555555555</v>
      </c>
      <c r="C1676" s="1" t="n">
        <v>45970</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28077-2024</t>
        </is>
      </c>
      <c r="B1677" s="1" t="n">
        <v>45476.58508101852</v>
      </c>
      <c r="C1677" s="1" t="n">
        <v>45970</v>
      </c>
      <c r="D1677" t="inlineStr">
        <is>
          <t>JÄMTLANDS LÄN</t>
        </is>
      </c>
      <c r="E1677" t="inlineStr">
        <is>
          <t>BRÄCKE</t>
        </is>
      </c>
      <c r="G1677" t="n">
        <v>18.3</v>
      </c>
      <c r="H1677" t="n">
        <v>0</v>
      </c>
      <c r="I1677" t="n">
        <v>0</v>
      </c>
      <c r="J1677" t="n">
        <v>0</v>
      </c>
      <c r="K1677" t="n">
        <v>0</v>
      </c>
      <c r="L1677" t="n">
        <v>0</v>
      </c>
      <c r="M1677" t="n">
        <v>0</v>
      </c>
      <c r="N1677" t="n">
        <v>0</v>
      </c>
      <c r="O1677" t="n">
        <v>0</v>
      </c>
      <c r="P1677" t="n">
        <v>0</v>
      </c>
      <c r="Q1677" t="n">
        <v>0</v>
      </c>
      <c r="R1677" s="2" t="inlineStr"/>
    </row>
    <row r="1678" ht="15" customHeight="1">
      <c r="A1678" t="inlineStr">
        <is>
          <t>A 29028-2024</t>
        </is>
      </c>
      <c r="B1678" s="1" t="n">
        <v>45481.59387731482</v>
      </c>
      <c r="C1678" s="1" t="n">
        <v>45970</v>
      </c>
      <c r="D1678" t="inlineStr">
        <is>
          <t>JÄMTLANDS LÄN</t>
        </is>
      </c>
      <c r="E1678" t="inlineStr">
        <is>
          <t>BRÄCKE</t>
        </is>
      </c>
      <c r="F1678" t="inlineStr">
        <is>
          <t>Övriga Aktiebolag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1799-2024</t>
        </is>
      </c>
      <c r="B1679" s="1" t="n">
        <v>45307</v>
      </c>
      <c r="C1679" s="1" t="n">
        <v>45970</v>
      </c>
      <c r="D1679" t="inlineStr">
        <is>
          <t>JÄMTLANDS LÄN</t>
        </is>
      </c>
      <c r="E1679" t="inlineStr">
        <is>
          <t>BRÄCKE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46070-2025</t>
        </is>
      </c>
      <c r="B1680" s="1" t="n">
        <v>45924.49011574074</v>
      </c>
      <c r="C1680" s="1" t="n">
        <v>45970</v>
      </c>
      <c r="D1680" t="inlineStr">
        <is>
          <t>JÄMTLANDS LÄN</t>
        </is>
      </c>
      <c r="E1680" t="inlineStr">
        <is>
          <t>BRÄCKE</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55976-2024</t>
        </is>
      </c>
      <c r="B1681" s="1" t="n">
        <v>45623.65659722222</v>
      </c>
      <c r="C1681" s="1" t="n">
        <v>45970</v>
      </c>
      <c r="D1681" t="inlineStr">
        <is>
          <t>JÄMTLANDS LÄN</t>
        </is>
      </c>
      <c r="E1681" t="inlineStr">
        <is>
          <t>BRÄCKE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19667-2025</t>
        </is>
      </c>
      <c r="B1682" s="1" t="n">
        <v>45770.69820601852</v>
      </c>
      <c r="C1682" s="1" t="n">
        <v>45970</v>
      </c>
      <c r="D1682" t="inlineStr">
        <is>
          <t>JÄMTLANDS LÄN</t>
        </is>
      </c>
      <c r="E1682" t="inlineStr">
        <is>
          <t>BRÄCKE</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46005-2025</t>
        </is>
      </c>
      <c r="B1683" s="1" t="n">
        <v>45924.40751157407</v>
      </c>
      <c r="C1683" s="1" t="n">
        <v>45970</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46093-2025</t>
        </is>
      </c>
      <c r="B1684" s="1" t="n">
        <v>45924.53166666667</v>
      </c>
      <c r="C1684" s="1" t="n">
        <v>45970</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54422-2025</t>
        </is>
      </c>
      <c r="B1685" s="1" t="n">
        <v>45965.48649305556</v>
      </c>
      <c r="C1685" s="1" t="n">
        <v>45970</v>
      </c>
      <c r="D1685" t="inlineStr">
        <is>
          <t>JÄMTLANDS LÄN</t>
        </is>
      </c>
      <c r="E1685" t="inlineStr">
        <is>
          <t>BRÄCKE</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37116-2025</t>
        </is>
      </c>
      <c r="B1686" s="1" t="n">
        <v>45875.51150462963</v>
      </c>
      <c r="C1686" s="1" t="n">
        <v>45970</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37241-2025</t>
        </is>
      </c>
      <c r="B1687" s="1" t="n">
        <v>45876.38599537037</v>
      </c>
      <c r="C1687" s="1" t="n">
        <v>45970</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27280-2024</t>
        </is>
      </c>
      <c r="B1688" s="1" t="n">
        <v>45471.92576388889</v>
      </c>
      <c r="C1688" s="1" t="n">
        <v>45970</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37117-2025</t>
        </is>
      </c>
      <c r="B1689" s="1" t="n">
        <v>45875.51163194444</v>
      </c>
      <c r="C1689" s="1" t="n">
        <v>45970</v>
      </c>
      <c r="D1689" t="inlineStr">
        <is>
          <t>JÄMTLANDS LÄN</t>
        </is>
      </c>
      <c r="E1689" t="inlineStr">
        <is>
          <t>BRÄCKE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54315-2025</t>
        </is>
      </c>
      <c r="B1690" s="1" t="n">
        <v>45965.32789351852</v>
      </c>
      <c r="C1690" s="1" t="n">
        <v>45970</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65433-2021</t>
        </is>
      </c>
      <c r="B1691" s="1" t="n">
        <v>44515.93875</v>
      </c>
      <c r="C1691" s="1" t="n">
        <v>45970</v>
      </c>
      <c r="D1691" t="inlineStr">
        <is>
          <t>JÄMTLANDS LÄN</t>
        </is>
      </c>
      <c r="E1691" t="inlineStr">
        <is>
          <t>BRÄCKE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41314-2024</t>
        </is>
      </c>
      <c r="B1692" s="1" t="n">
        <v>45559.63613425926</v>
      </c>
      <c r="C1692" s="1" t="n">
        <v>45970</v>
      </c>
      <c r="D1692" t="inlineStr">
        <is>
          <t>JÄMTLANDS LÄN</t>
        </is>
      </c>
      <c r="E1692" t="inlineStr">
        <is>
          <t>BRÄCKE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54316-2025</t>
        </is>
      </c>
      <c r="B1693" s="1" t="n">
        <v>45965.32975694445</v>
      </c>
      <c r="C1693" s="1" t="n">
        <v>45970</v>
      </c>
      <c r="D1693" t="inlineStr">
        <is>
          <t>JÄMTLANDS LÄN</t>
        </is>
      </c>
      <c r="E1693" t="inlineStr">
        <is>
          <t>BRÄCKE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37185-2025</t>
        </is>
      </c>
      <c r="B1694" s="1" t="n">
        <v>45875.63608796296</v>
      </c>
      <c r="C1694" s="1" t="n">
        <v>45970</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46180-2025</t>
        </is>
      </c>
      <c r="B1695" s="1" t="n">
        <v>45924.65664351852</v>
      </c>
      <c r="C1695" s="1" t="n">
        <v>45970</v>
      </c>
      <c r="D1695" t="inlineStr">
        <is>
          <t>JÄMTLANDS LÄN</t>
        </is>
      </c>
      <c r="E1695" t="inlineStr">
        <is>
          <t>BRÄCKE</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37074-2025</t>
        </is>
      </c>
      <c r="B1696" s="1" t="n">
        <v>45875.40717592592</v>
      </c>
      <c r="C1696" s="1" t="n">
        <v>45970</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45698-2025</t>
        </is>
      </c>
      <c r="B1697" s="1" t="n">
        <v>45923.39917824074</v>
      </c>
      <c r="C1697" s="1" t="n">
        <v>45970</v>
      </c>
      <c r="D1697" t="inlineStr">
        <is>
          <t>JÄMTLANDS LÄN</t>
        </is>
      </c>
      <c r="E1697" t="inlineStr">
        <is>
          <t>BRÄCKE</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37093-2025</t>
        </is>
      </c>
      <c r="B1698" s="1" t="n">
        <v>45875.46909722222</v>
      </c>
      <c r="C1698" s="1" t="n">
        <v>45970</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37412-2025</t>
        </is>
      </c>
      <c r="B1699" s="1" t="n">
        <v>45877.46915509259</v>
      </c>
      <c r="C1699" s="1" t="n">
        <v>45970</v>
      </c>
      <c r="D1699" t="inlineStr">
        <is>
          <t>JÄMTLANDS LÄN</t>
        </is>
      </c>
      <c r="E1699" t="inlineStr">
        <is>
          <t>BRÄCKE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59910-2022</t>
        </is>
      </c>
      <c r="B1700" s="1" t="n">
        <v>44908</v>
      </c>
      <c r="C1700" s="1" t="n">
        <v>45970</v>
      </c>
      <c r="D1700" t="inlineStr">
        <is>
          <t>JÄMTLANDS LÄN</t>
        </is>
      </c>
      <c r="E1700" t="inlineStr">
        <is>
          <t>BRÄCKE</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59915-2022</t>
        </is>
      </c>
      <c r="B1701" s="1" t="n">
        <v>44908.96019675926</v>
      </c>
      <c r="C1701" s="1" t="n">
        <v>45970</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37403-2025</t>
        </is>
      </c>
      <c r="B1702" s="1" t="n">
        <v>45877.44828703703</v>
      </c>
      <c r="C1702" s="1" t="n">
        <v>45970</v>
      </c>
      <c r="D1702" t="inlineStr">
        <is>
          <t>JÄMTLANDS LÄN</t>
        </is>
      </c>
      <c r="E1702" t="inlineStr">
        <is>
          <t>BRÄCKE</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37411-2025</t>
        </is>
      </c>
      <c r="B1703" s="1" t="n">
        <v>45877.46912037037</v>
      </c>
      <c r="C1703" s="1" t="n">
        <v>45970</v>
      </c>
      <c r="D1703" t="inlineStr">
        <is>
          <t>JÄMTLANDS LÄN</t>
        </is>
      </c>
      <c r="E1703" t="inlineStr">
        <is>
          <t>BRÄCKE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37459-2025</t>
        </is>
      </c>
      <c r="B1704" s="1" t="n">
        <v>45877.57327546296</v>
      </c>
      <c r="C1704" s="1" t="n">
        <v>45970</v>
      </c>
      <c r="D1704" t="inlineStr">
        <is>
          <t>JÄMTLANDS LÄN</t>
        </is>
      </c>
      <c r="E1704" t="inlineStr">
        <is>
          <t>BRÄCKE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56641-2022</t>
        </is>
      </c>
      <c r="B1705" s="1" t="n">
        <v>44893</v>
      </c>
      <c r="C1705" s="1" t="n">
        <v>45970</v>
      </c>
      <c r="D1705" t="inlineStr">
        <is>
          <t>JÄMTLANDS LÄN</t>
        </is>
      </c>
      <c r="E1705" t="inlineStr">
        <is>
          <t>BRÄCKE</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9553-2024</t>
        </is>
      </c>
      <c r="B1706" s="1" t="n">
        <v>45360.03491898148</v>
      </c>
      <c r="C1706" s="1" t="n">
        <v>45970</v>
      </c>
      <c r="D1706" t="inlineStr">
        <is>
          <t>JÄMTLANDS LÄN</t>
        </is>
      </c>
      <c r="E1706" t="inlineStr">
        <is>
          <t>BRÄCKE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37423-2025</t>
        </is>
      </c>
      <c r="B1707" s="1" t="n">
        <v>45877.48996527777</v>
      </c>
      <c r="C1707" s="1" t="n">
        <v>45970</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37938-2025</t>
        </is>
      </c>
      <c r="B1708" s="1" t="n">
        <v>45880</v>
      </c>
      <c r="C1708" s="1" t="n">
        <v>45970</v>
      </c>
      <c r="D1708" t="inlineStr">
        <is>
          <t>JÄMTLANDS LÄN</t>
        </is>
      </c>
      <c r="E1708" t="inlineStr">
        <is>
          <t>BRÄCKE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37394-2025</t>
        </is>
      </c>
      <c r="B1709" s="1" t="n">
        <v>45877.4275462963</v>
      </c>
      <c r="C1709" s="1" t="n">
        <v>45970</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31888-2024</t>
        </is>
      </c>
      <c r="B1710" s="1" t="n">
        <v>45509</v>
      </c>
      <c r="C1710" s="1" t="n">
        <v>45970</v>
      </c>
      <c r="D1710" t="inlineStr">
        <is>
          <t>JÄMTLANDS LÄN</t>
        </is>
      </c>
      <c r="E1710" t="inlineStr">
        <is>
          <t>BRÄCKE</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37709-2025</t>
        </is>
      </c>
      <c r="B1711" s="1" t="n">
        <v>45880.59458333333</v>
      </c>
      <c r="C1711" s="1" t="n">
        <v>45970</v>
      </c>
      <c r="D1711" t="inlineStr">
        <is>
          <t>JÄMTLANDS LÄN</t>
        </is>
      </c>
      <c r="E1711" t="inlineStr">
        <is>
          <t>BRÄCKE</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37377-2025</t>
        </is>
      </c>
      <c r="B1712" s="1" t="n">
        <v>45877.3653125</v>
      </c>
      <c r="C1712" s="1" t="n">
        <v>45970</v>
      </c>
      <c r="D1712" t="inlineStr">
        <is>
          <t>JÄMTLANDS LÄN</t>
        </is>
      </c>
      <c r="E1712" t="inlineStr">
        <is>
          <t>BRÄCKE</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37405-2025</t>
        </is>
      </c>
      <c r="B1713" s="1" t="n">
        <v>45877.44858796296</v>
      </c>
      <c r="C1713" s="1" t="n">
        <v>45970</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37460-2025</t>
        </is>
      </c>
      <c r="B1714" s="1" t="n">
        <v>45877.57342592593</v>
      </c>
      <c r="C1714" s="1" t="n">
        <v>45970</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37585-2025</t>
        </is>
      </c>
      <c r="B1715" s="1" t="n">
        <v>45880.40076388889</v>
      </c>
      <c r="C1715" s="1" t="n">
        <v>45970</v>
      </c>
      <c r="D1715" t="inlineStr">
        <is>
          <t>JÄMTLANDS LÄN</t>
        </is>
      </c>
      <c r="E1715" t="inlineStr">
        <is>
          <t>BRÄCKE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45741-2025</t>
        </is>
      </c>
      <c r="B1716" s="1" t="n">
        <v>45923.46953703704</v>
      </c>
      <c r="C1716" s="1" t="n">
        <v>45970</v>
      </c>
      <c r="D1716" t="inlineStr">
        <is>
          <t>JÄMTLANDS LÄN</t>
        </is>
      </c>
      <c r="E1716" t="inlineStr">
        <is>
          <t>BRÄCKE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10815-2022</t>
        </is>
      </c>
      <c r="B1717" s="1" t="n">
        <v>44627</v>
      </c>
      <c r="C1717" s="1" t="n">
        <v>45970</v>
      </c>
      <c r="D1717" t="inlineStr">
        <is>
          <t>JÄMTLANDS LÄN</t>
        </is>
      </c>
      <c r="E1717" t="inlineStr">
        <is>
          <t>BRÄCKE</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54741-2025</t>
        </is>
      </c>
      <c r="B1718" s="1" t="n">
        <v>45966.57350694444</v>
      </c>
      <c r="C1718" s="1" t="n">
        <v>45970</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53407-2022</t>
        </is>
      </c>
      <c r="B1719" s="1" t="n">
        <v>44874</v>
      </c>
      <c r="C1719" s="1" t="n">
        <v>45970</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60325-2021</t>
        </is>
      </c>
      <c r="B1720" s="1" t="n">
        <v>44495.94054398148</v>
      </c>
      <c r="C1720" s="1" t="n">
        <v>45970</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37464-2025</t>
        </is>
      </c>
      <c r="B1721" s="1" t="n">
        <v>45877.57395833333</v>
      </c>
      <c r="C1721" s="1" t="n">
        <v>45970</v>
      </c>
      <c r="D1721" t="inlineStr">
        <is>
          <t>JÄMTLANDS LÄN</t>
        </is>
      </c>
      <c r="E1721" t="inlineStr">
        <is>
          <t>BRÄCKE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29314-2021</t>
        </is>
      </c>
      <c r="B1722" s="1" t="n">
        <v>44361</v>
      </c>
      <c r="C1722" s="1" t="n">
        <v>45970</v>
      </c>
      <c r="D1722" t="inlineStr">
        <is>
          <t>JÄMTLANDS LÄN</t>
        </is>
      </c>
      <c r="E1722" t="inlineStr">
        <is>
          <t>BRÄCKE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38025-2025</t>
        </is>
      </c>
      <c r="B1723" s="1" t="n">
        <v>45882.34527777778</v>
      </c>
      <c r="C1723" s="1" t="n">
        <v>45970</v>
      </c>
      <c r="D1723" t="inlineStr">
        <is>
          <t>JÄMTLANDS LÄN</t>
        </is>
      </c>
      <c r="E1723" t="inlineStr">
        <is>
          <t>BRÄCKE</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37974-2025</t>
        </is>
      </c>
      <c r="B1724" s="1" t="n">
        <v>45881.67743055556</v>
      </c>
      <c r="C1724" s="1" t="n">
        <v>45970</v>
      </c>
      <c r="D1724" t="inlineStr">
        <is>
          <t>JÄMTLANDS LÄN</t>
        </is>
      </c>
      <c r="E1724" t="inlineStr">
        <is>
          <t>BRÄCKE</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14178-2021</t>
        </is>
      </c>
      <c r="B1725" s="1" t="n">
        <v>44278</v>
      </c>
      <c r="C1725" s="1" t="n">
        <v>45970</v>
      </c>
      <c r="D1725" t="inlineStr">
        <is>
          <t>JÄMTLANDS LÄN</t>
        </is>
      </c>
      <c r="E1725" t="inlineStr">
        <is>
          <t>BRÄCKE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45971-2025</t>
        </is>
      </c>
      <c r="B1726" s="1" t="n">
        <v>45924.36534722222</v>
      </c>
      <c r="C1726" s="1" t="n">
        <v>45970</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45740-2025</t>
        </is>
      </c>
      <c r="B1727" s="1" t="n">
        <v>45923.46938657408</v>
      </c>
      <c r="C1727" s="1" t="n">
        <v>45970</v>
      </c>
      <c r="D1727" t="inlineStr">
        <is>
          <t>JÄMTLANDS LÄN</t>
        </is>
      </c>
      <c r="E1727" t="inlineStr">
        <is>
          <t>BRÄCKE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43910-2023</t>
        </is>
      </c>
      <c r="B1728" s="1" t="n">
        <v>45182</v>
      </c>
      <c r="C1728" s="1" t="n">
        <v>45970</v>
      </c>
      <c r="D1728" t="inlineStr">
        <is>
          <t>JÄMTLANDS LÄN</t>
        </is>
      </c>
      <c r="E1728" t="inlineStr">
        <is>
          <t>BRÄCKE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38095-2025</t>
        </is>
      </c>
      <c r="B1729" s="1" t="n">
        <v>45882.49050925926</v>
      </c>
      <c r="C1729" s="1" t="n">
        <v>45970</v>
      </c>
      <c r="D1729" t="inlineStr">
        <is>
          <t>JÄMTLANDS LÄN</t>
        </is>
      </c>
      <c r="E1729" t="inlineStr">
        <is>
          <t>BRÄCKE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38072-2025</t>
        </is>
      </c>
      <c r="B1730" s="1" t="n">
        <v>45882</v>
      </c>
      <c r="C1730" s="1" t="n">
        <v>45970</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11830-2024</t>
        </is>
      </c>
      <c r="B1731" s="1" t="n">
        <v>45376.35451388889</v>
      </c>
      <c r="C1731" s="1" t="n">
        <v>45970</v>
      </c>
      <c r="D1731" t="inlineStr">
        <is>
          <t>JÄMTLANDS LÄN</t>
        </is>
      </c>
      <c r="E1731" t="inlineStr">
        <is>
          <t>BRÄCKE</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37887-2025</t>
        </is>
      </c>
      <c r="B1732" s="1" t="n">
        <v>45881.51099537037</v>
      </c>
      <c r="C1732" s="1" t="n">
        <v>45970</v>
      </c>
      <c r="D1732" t="inlineStr">
        <is>
          <t>JÄMTLANDS LÄN</t>
        </is>
      </c>
      <c r="E1732" t="inlineStr">
        <is>
          <t>BRÄCKE</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54372-2025</t>
        </is>
      </c>
      <c r="B1733" s="1" t="n">
        <v>45965.41297453704</v>
      </c>
      <c r="C1733" s="1" t="n">
        <v>45970</v>
      </c>
      <c r="D1733" t="inlineStr">
        <is>
          <t>JÄMTLANDS LÄN</t>
        </is>
      </c>
      <c r="E1733" t="inlineStr">
        <is>
          <t>BRÄCKE</t>
        </is>
      </c>
      <c r="F1733" t="inlineStr">
        <is>
          <t>Övriga Aktiebolag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45970</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41738-2023</t>
        </is>
      </c>
      <c r="B1735" s="1" t="n">
        <v>45176.418125</v>
      </c>
      <c r="C1735" s="1" t="n">
        <v>45970</v>
      </c>
      <c r="D1735" t="inlineStr">
        <is>
          <t>JÄMTLANDS LÄN</t>
        </is>
      </c>
      <c r="E1735" t="inlineStr">
        <is>
          <t>BRÄCKE</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7027-2022</t>
        </is>
      </c>
      <c r="B1736" s="1" t="n">
        <v>44603.46644675926</v>
      </c>
      <c r="C1736" s="1" t="n">
        <v>45970</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38030-2025</t>
        </is>
      </c>
      <c r="B1737" s="1" t="n">
        <v>45882.36521990741</v>
      </c>
      <c r="C1737" s="1" t="n">
        <v>45970</v>
      </c>
      <c r="D1737" t="inlineStr">
        <is>
          <t>JÄMTLANDS LÄN</t>
        </is>
      </c>
      <c r="E1737" t="inlineStr">
        <is>
          <t>BRÄCKE</t>
        </is>
      </c>
      <c r="F1737" t="inlineStr">
        <is>
          <t>SCA</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45414-2024</t>
        </is>
      </c>
      <c r="B1738" s="1" t="n">
        <v>45576.5943287037</v>
      </c>
      <c r="C1738" s="1" t="n">
        <v>45970</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55028-2025</t>
        </is>
      </c>
      <c r="B1739" s="1" t="n">
        <v>45967.63650462963</v>
      </c>
      <c r="C1739" s="1" t="n">
        <v>45970</v>
      </c>
      <c r="D1739" t="inlineStr">
        <is>
          <t>JÄMTLANDS LÄN</t>
        </is>
      </c>
      <c r="E1739" t="inlineStr">
        <is>
          <t>BRÄCKE</t>
        </is>
      </c>
      <c r="F1739" t="inlineStr">
        <is>
          <t>SCA</t>
        </is>
      </c>
      <c r="G1739" t="n">
        <v>16.4</v>
      </c>
      <c r="H1739" t="n">
        <v>0</v>
      </c>
      <c r="I1739" t="n">
        <v>0</v>
      </c>
      <c r="J1739" t="n">
        <v>0</v>
      </c>
      <c r="K1739" t="n">
        <v>0</v>
      </c>
      <c r="L1739" t="n">
        <v>0</v>
      </c>
      <c r="M1739" t="n">
        <v>0</v>
      </c>
      <c r="N1739" t="n">
        <v>0</v>
      </c>
      <c r="O1739" t="n">
        <v>0</v>
      </c>
      <c r="P1739" t="n">
        <v>0</v>
      </c>
      <c r="Q1739" t="n">
        <v>0</v>
      </c>
      <c r="R1739" s="2" t="inlineStr"/>
    </row>
    <row r="1740" ht="15" customHeight="1">
      <c r="A1740" t="inlineStr">
        <is>
          <t>A 54451-2023</t>
        </is>
      </c>
      <c r="B1740" s="1" t="n">
        <v>45233.44581018519</v>
      </c>
      <c r="C1740" s="1" t="n">
        <v>45970</v>
      </c>
      <c r="D1740" t="inlineStr">
        <is>
          <t>JÄMTLANDS LÄN</t>
        </is>
      </c>
      <c r="E1740" t="inlineStr">
        <is>
          <t>BRÄCKE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46625-2025</t>
        </is>
      </c>
      <c r="B1741" s="1" t="n">
        <v>45926.44857638889</v>
      </c>
      <c r="C1741" s="1" t="n">
        <v>45970</v>
      </c>
      <c r="D1741" t="inlineStr">
        <is>
          <t>JÄMTLANDS LÄN</t>
        </is>
      </c>
      <c r="E1741" t="inlineStr">
        <is>
          <t>BRÄCKE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54885-2025</t>
        </is>
      </c>
      <c r="B1742" s="1" t="n">
        <v>45967.34465277778</v>
      </c>
      <c r="C1742" s="1" t="n">
        <v>45970</v>
      </c>
      <c r="D1742" t="inlineStr">
        <is>
          <t>JÄMTLANDS LÄN</t>
        </is>
      </c>
      <c r="E1742" t="inlineStr">
        <is>
          <t>BRÄCKE</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54886-2025</t>
        </is>
      </c>
      <c r="B1743" s="1" t="n">
        <v>45967.34481481482</v>
      </c>
      <c r="C1743" s="1" t="n">
        <v>45970</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54888-2025</t>
        </is>
      </c>
      <c r="B1744" s="1" t="n">
        <v>45967.34487268519</v>
      </c>
      <c r="C1744" s="1" t="n">
        <v>45970</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33538-2021</t>
        </is>
      </c>
      <c r="B1745" s="1" t="n">
        <v>44377</v>
      </c>
      <c r="C1745" s="1" t="n">
        <v>45970</v>
      </c>
      <c r="D1745" t="inlineStr">
        <is>
          <t>JÄMTLANDS LÄN</t>
        </is>
      </c>
      <c r="E1745" t="inlineStr">
        <is>
          <t>BRÄCKE</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46623-2025</t>
        </is>
      </c>
      <c r="B1746" s="1" t="n">
        <v>45926.44829861111</v>
      </c>
      <c r="C1746" s="1" t="n">
        <v>45970</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46624-2025</t>
        </is>
      </c>
      <c r="B1747" s="1" t="n">
        <v>45926.44844907407</v>
      </c>
      <c r="C1747" s="1" t="n">
        <v>45970</v>
      </c>
      <c r="D1747" t="inlineStr">
        <is>
          <t>JÄMTLANDS LÄN</t>
        </is>
      </c>
      <c r="E1747" t="inlineStr">
        <is>
          <t>BRÄCKE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20265-2023</t>
        </is>
      </c>
      <c r="B1748" s="1" t="n">
        <v>45055.94337962963</v>
      </c>
      <c r="C1748" s="1" t="n">
        <v>45970</v>
      </c>
      <c r="D1748" t="inlineStr">
        <is>
          <t>JÄMTLANDS LÄN</t>
        </is>
      </c>
      <c r="E1748" t="inlineStr">
        <is>
          <t>BRÄCKE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66859-2020</t>
        </is>
      </c>
      <c r="B1749" s="1" t="n">
        <v>44179</v>
      </c>
      <c r="C1749" s="1" t="n">
        <v>45970</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46216-2025</t>
        </is>
      </c>
      <c r="B1750" s="1" t="n">
        <v>45924.84655092593</v>
      </c>
      <c r="C1750" s="1" t="n">
        <v>45970</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22981-2024</t>
        </is>
      </c>
      <c r="B1751" s="1" t="n">
        <v>45449.90369212963</v>
      </c>
      <c r="C1751" s="1" t="n">
        <v>45970</v>
      </c>
      <c r="D1751" t="inlineStr">
        <is>
          <t>JÄMTLANDS LÄN</t>
        </is>
      </c>
      <c r="E1751" t="inlineStr">
        <is>
          <t>BRÄCKE</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46217-2025</t>
        </is>
      </c>
      <c r="B1752" s="1" t="n">
        <v>45924.8475925926</v>
      </c>
      <c r="C1752" s="1" t="n">
        <v>45970</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46686-2025</t>
        </is>
      </c>
      <c r="B1753" s="1" t="n">
        <v>45926.55258101852</v>
      </c>
      <c r="C1753" s="1" t="n">
        <v>45970</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55149-2025</t>
        </is>
      </c>
      <c r="B1754" s="1" t="n">
        <v>45968.44840277778</v>
      </c>
      <c r="C1754" s="1" t="n">
        <v>45970</v>
      </c>
      <c r="D1754" t="inlineStr">
        <is>
          <t>JÄMTLANDS LÄN</t>
        </is>
      </c>
      <c r="E1754" t="inlineStr">
        <is>
          <t>BRÄCKE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55138-2025</t>
        </is>
      </c>
      <c r="B1755" s="1" t="n">
        <v>45968.42784722222</v>
      </c>
      <c r="C1755" s="1" t="n">
        <v>45970</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54887-2025</t>
        </is>
      </c>
      <c r="B1756" s="1" t="n">
        <v>45967.34484953704</v>
      </c>
      <c r="C1756" s="1" t="n">
        <v>45970</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46218-2025</t>
        </is>
      </c>
      <c r="B1757" s="1" t="n">
        <v>45924.851875</v>
      </c>
      <c r="C1757" s="1" t="n">
        <v>45970</v>
      </c>
      <c r="D1757" t="inlineStr">
        <is>
          <t>JÄMTLANDS LÄN</t>
        </is>
      </c>
      <c r="E1757" t="inlineStr">
        <is>
          <t>BRÄCKE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45970</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c r="A1759" t="inlineStr">
        <is>
          <t>A 55069-2025</t>
        </is>
      </c>
      <c r="B1759" s="1" t="n">
        <v>45967.72344907407</v>
      </c>
      <c r="C1759" s="1" t="n">
        <v>45970</v>
      </c>
      <c r="D1759" t="inlineStr">
        <is>
          <t>JÄMTLANDS LÄN</t>
        </is>
      </c>
      <c r="E1759" t="inlineStr">
        <is>
          <t>BRÄCKE</t>
        </is>
      </c>
      <c r="G1759" t="n">
        <v>2</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2025-11-09T10:08:13Z</dcterms:created>
  <dcterms:modified xmlns:dcterms="http://purl.org/dc/terms/" xmlns:xsi="http://www.w3.org/2001/XMLSchema-instance" xsi:type="dcterms:W3CDTF">2025-11-09T10:08:14Z</dcterms:modified>
</cp:coreProperties>
</file>