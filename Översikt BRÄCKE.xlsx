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45660</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45660</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45660</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45660</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45660</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45660</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45660</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45660</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45660</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45660</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45660</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45660</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45660</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45660</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45660</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45660</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45660</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45660</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45660</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45660</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45660</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45660</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45660</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45660</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45660</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45660</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45660</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45660</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45660</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45660</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45660</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45660</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45660</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45660</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45660</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45660</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45660</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45660</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45660</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45660</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45660</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45660</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45660</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45660</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45660</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45660</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45660</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45660</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45660</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45660</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45660</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45660</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45660</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45660</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45660</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45660</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45660</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45660</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45660</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45660</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45660</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45660</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45660</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45660</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45660</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45660</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45660</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45660</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45660</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45660</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45660</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45660</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45660</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45660</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45660</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45660</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45660</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45660</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45660</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45660</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45660</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45660</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45660</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45660</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45660</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45660</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45660</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45660</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45660</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45660</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45660</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45660</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45660</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45660</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45660</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45660</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45660</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45660</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45660</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45660</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45660</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45660</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45660</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45660</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45660</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45660</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45660</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45660</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45660</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45660</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45660</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45660</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45660</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45660</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45660</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45660</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45660</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45660</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45660</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45660</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60613-2024</t>
        </is>
      </c>
      <c r="B171" s="1" t="n">
        <v>45644</v>
      </c>
      <c r="C171" s="1" t="n">
        <v>45660</v>
      </c>
      <c r="D171" t="inlineStr">
        <is>
          <t>JÄMTLANDS LÄN</t>
        </is>
      </c>
      <c r="E171" t="inlineStr">
        <is>
          <t>BRÄCKE</t>
        </is>
      </c>
      <c r="F171" t="inlineStr">
        <is>
          <t>SCA</t>
        </is>
      </c>
      <c r="G171" t="n">
        <v>16.3</v>
      </c>
      <c r="H171" t="n">
        <v>0</v>
      </c>
      <c r="I171" t="n">
        <v>1</v>
      </c>
      <c r="J171" t="n">
        <v>2</v>
      </c>
      <c r="K171" t="n">
        <v>0</v>
      </c>
      <c r="L171" t="n">
        <v>0</v>
      </c>
      <c r="M171" t="n">
        <v>0</v>
      </c>
      <c r="N171" t="n">
        <v>0</v>
      </c>
      <c r="O171" t="n">
        <v>2</v>
      </c>
      <c r="P171" t="n">
        <v>0</v>
      </c>
      <c r="Q171" t="n">
        <v>3</v>
      </c>
      <c r="R171" s="2" t="inlineStr">
        <is>
          <t>Dvärgbägarlav
Mörk kolflarnlav
Stor aspticka</t>
        </is>
      </c>
      <c r="S171">
        <f>HYPERLINK("https://klasma.github.io/Logging_2305/artfynd/A 60613-2024 artfynd.xlsx", "A 60613-2024")</f>
        <v/>
      </c>
      <c r="T171">
        <f>HYPERLINK("https://klasma.github.io/Logging_2305/kartor/A 60613-2024 karta.png", "A 60613-2024")</f>
        <v/>
      </c>
      <c r="U171">
        <f>HYPERLINK("https://klasma.github.io/Logging_2305/knärot/A 60613-2024 karta knärot.png", "A 60613-2024")</f>
        <v/>
      </c>
      <c r="V171">
        <f>HYPERLINK("https://klasma.github.io/Logging_2305/klagomål/A 60613-2024 FSC-klagomål.docx", "A 60613-2024")</f>
        <v/>
      </c>
      <c r="W171">
        <f>HYPERLINK("https://klasma.github.io/Logging_2305/klagomålsmail/A 60613-2024 FSC-klagomål mail.docx", "A 60613-2024")</f>
        <v/>
      </c>
      <c r="X171">
        <f>HYPERLINK("https://klasma.github.io/Logging_2305/tillsyn/A 60613-2024 tillsynsbegäran.docx", "A 60613-2024")</f>
        <v/>
      </c>
      <c r="Y171">
        <f>HYPERLINK("https://klasma.github.io/Logging_2305/tillsynsmail/A 60613-2024 tillsynsbegäran mail.docx", "A 60613-2024")</f>
        <v/>
      </c>
    </row>
    <row r="172" ht="15" customHeight="1">
      <c r="A172" t="inlineStr">
        <is>
          <t>A 60610-2024</t>
        </is>
      </c>
      <c r="B172" s="1" t="n">
        <v>45644</v>
      </c>
      <c r="C172" s="1" t="n">
        <v>45660</v>
      </c>
      <c r="D172" t="inlineStr">
        <is>
          <t>JÄMTLANDS LÄN</t>
        </is>
      </c>
      <c r="E172" t="inlineStr">
        <is>
          <t>BRÄCKE</t>
        </is>
      </c>
      <c r="F172" t="inlineStr">
        <is>
          <t>SCA</t>
        </is>
      </c>
      <c r="G172" t="n">
        <v>1.1</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HYPERLINK("https://klasma.github.io/Logging_2305/artfynd/A 60610-2024 artfynd.xlsx", "A 60610-2024")</f>
        <v/>
      </c>
      <c r="T172">
        <f>HYPERLINK("https://klasma.github.io/Logging_2305/kartor/A 60610-2024 karta.png", "A 60610-2024")</f>
        <v/>
      </c>
      <c r="V172">
        <f>HYPERLINK("https://klasma.github.io/Logging_2305/klagomål/A 60610-2024 FSC-klagomål.docx", "A 60610-2024")</f>
        <v/>
      </c>
      <c r="W172">
        <f>HYPERLINK("https://klasma.github.io/Logging_2305/klagomålsmail/A 60610-2024 FSC-klagomål mail.docx", "A 60610-2024")</f>
        <v/>
      </c>
      <c r="X172">
        <f>HYPERLINK("https://klasma.github.io/Logging_2305/tillsyn/A 60610-2024 tillsynsbegäran.docx", "A 60610-2024")</f>
        <v/>
      </c>
      <c r="Y172">
        <f>HYPERLINK("https://klasma.github.io/Logging_2305/tillsynsmail/A 60610-2024 tillsynsbegäran mail.docx", "A 60610-2024")</f>
        <v/>
      </c>
    </row>
    <row r="173" ht="15" customHeight="1">
      <c r="A173" t="inlineStr">
        <is>
          <t>A 28341-2019</t>
        </is>
      </c>
      <c r="B173" s="1" t="n">
        <v>43623</v>
      </c>
      <c r="C173" s="1" t="n">
        <v>45660</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45660</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45660</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45660</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45660</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45660</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45660</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45660</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45660</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45660</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45660</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45660</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45660</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45660</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45660</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45660</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45660</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45660</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45660</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45660</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45660</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45660</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45660</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45660</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45660</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45660</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45660</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45660</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45660</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45660</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45660</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45660</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45660</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45660</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45660</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45660</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45660</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45660</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45660</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45660</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45660</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45660</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45660</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45660</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45660</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45660</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45660</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45660</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45660</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45660</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45660</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45660</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45660</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45660</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45660</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45660</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45660</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45660</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45660</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45660</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45660</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45660</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45660</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45660</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45660</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45660</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45660</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45660</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45660</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45660</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45660</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45660</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45660</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45660</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45660</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45660</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45660</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45660</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45660</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45660</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45660</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45660</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45660</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45660</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45660</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45660</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45660</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45660</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45660</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45660</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45660</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45660</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45660</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45660</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45660</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45660</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45660</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45660</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45660</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45660</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45660</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45660</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45660</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45660</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45660</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45660</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45660</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45660</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45660</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45660</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45660</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45660</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45660</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45660</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45660</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45660</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45660</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45660</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45660</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45660</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45660</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45660</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45660</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45660</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45660</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45660</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45660</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45660</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45660</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45660</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45660</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45660</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45660</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45660</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45660</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45660</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45660</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45660</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45660</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45660</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45660</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45660</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45660</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45660</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45660</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45660</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45660</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45660</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45660</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45660</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45660</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45660</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45660</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45660</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45660</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45660</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45660</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45660</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45660</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45660</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45660</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45660</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45660</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45660</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45660</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45660</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45660</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45660</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45660</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45660</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45660</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45660</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45660</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45660</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45660</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45660</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45660</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45660</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45660</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45660</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45660</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45660</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45660</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45660</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45660</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45660</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45660</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45660</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45660</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45660</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45660</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45660</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45660</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45660</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45660</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45660</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45660</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45660</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45660</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45660</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45660</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45660</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45660</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45660</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45660</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45660</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45660</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45660</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45660</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45660</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45660</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45660</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45660</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45660</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45660</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45660</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45660</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45660</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45660</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45660</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45660</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45660</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45660</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45660</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45660</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45660</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45660</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45660</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45660</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45660</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45660</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45660</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45660</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45660</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45660</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45660</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45660</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45660</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45660</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45660</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45660</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45660</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45660</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45660</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45660</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45660</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45660</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45660</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45660</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45660</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45660</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45660</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45660</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45660</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45660</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45660</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45660</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45660</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45660</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45660</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45660</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45660</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45660</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45660</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45660</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45660</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45660</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45660</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45660</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45660</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45660</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45660</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45660</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45660</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45660</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45660</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45660</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45660</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45660</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45660</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45660</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45660</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45660</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45660</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45660</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45660</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45660</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45660</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45660</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45660</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45660</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45660</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45660</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45660</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45660</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45660</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45660</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45660</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45660</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45660</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45660</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45660</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45660</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45660</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45660</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45660</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45660</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45660</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45660</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45660</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45660</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45660</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45660</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45660</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45660</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45660</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45660</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45660</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45660</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45660</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45660</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45660</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45660</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45660</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45660</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45660</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45660</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45660</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45660</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45660</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45660</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45660</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45660</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45660</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45660</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45660</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45660</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45660</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45660</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45660</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45660</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45660</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45660</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45660</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45660</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45660</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45660</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45660</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45660</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45660</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45660</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45660</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45660</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45660</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45660</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45660</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45660</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45660</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45660</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45660</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45660</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45660</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45660</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45660</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45660</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45660</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45660</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45660</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45660</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45660</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45660</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45660</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45660</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45660</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45660</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45660</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45660</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45660</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45660</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45660</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45660</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45660</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45660</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45660</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45660</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45660</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45660</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45660</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45660</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45660</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45660</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45660</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45660</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45660</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45660</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45660</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45660</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45660</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45660</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45660</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45660</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45660</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45660</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45660</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45660</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45660</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45660</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45660</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45660</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45660</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45660</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45660</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45660</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45660</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45660</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45660</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45660</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45660</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45660</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45660</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45660</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45660</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45660</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45660</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45660</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45660</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45660</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45660</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45660</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45660</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45660</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45660</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45660</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45660</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45660</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45660</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45660</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45660</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45660</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45660</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45660</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45660</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45660</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45660</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45660</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45660</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45660</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45660</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45660</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45660</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45660</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45660</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45660</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45660</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45660</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45660</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45660</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45660</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45660</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45660</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45660</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45660</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45660</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45660</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45660</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45660</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45660</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45660</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45660</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45660</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45660</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45660</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45660</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45660</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45660</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45660</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45660</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45660</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45660</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45660</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45660</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45660</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45660</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45660</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45660</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45660</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45660</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45660</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45660</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45660</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45660</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45660</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45660</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45660</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45660</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45660</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45660</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45660</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45660</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45660</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45660</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45660</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45660</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45660</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45660</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45660</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45660</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45660</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45660</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45660</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45660</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45660</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45660</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45660</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45660</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45660</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45660</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45660</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45660</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45660</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45660</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45660</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45660</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45660</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45660</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45660</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45660</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45660</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45660</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45660</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45660</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45660</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45660</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45660</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45660</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45660</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45660</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45660</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45660</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45660</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45660</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45660</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45660</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45660</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45660</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45660</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45660</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45660</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45660</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45660</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45660</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45660</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45660</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45660</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45660</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45660</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45660</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45660</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45660</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45660</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45660</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45660</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45660</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45660</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45660</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45660</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45660</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45660</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45660</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45660</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45660</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45660</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45660</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45660</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45660</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45660</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45660</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45660</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45660</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45660</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45660</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45660</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45660</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45660</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45660</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45660</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45660</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45660</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45660</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45660</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45660</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45660</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45660</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45660</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45660</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45660</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45660</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45660</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45660</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45660</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45660</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45660</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45660</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45660</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45660</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45660</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45660</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45660</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45660</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45660</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45660</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45660</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45660</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45660</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45660</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45660</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45660</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45660</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45660</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45660</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45660</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45660</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45660</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45660</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45660</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45660</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45660</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45660</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45660</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45660</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45660</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45660</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45660</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45660</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45660</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45660</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45660</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45660</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45660</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45660</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45660</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45660</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45660</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45660</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45660</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45660</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45660</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45660</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45660</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45660</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45660</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45660</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45660</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45660</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45660</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45660</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45660</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45660</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45660</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45660</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45660</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45660</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45660</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45660</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45660</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45660</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45660</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45660</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45660</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45660</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45660</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45660</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45660</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45660</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45660</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45660</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45660</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45660</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45660</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45660</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45660</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45660</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45660</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45660</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45660</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45660</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45660</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45660</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45660</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45660</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45660</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45660</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45660</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45660</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45660</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45660</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45660</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45660</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45660</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45660</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45660</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45660</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45660</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45660</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45660</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45660</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45660</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45660</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45660</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45660</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45660</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45660</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45660</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45660</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45660</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45660</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45660</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45660</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45660</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45660</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45660</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45660</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45660</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45660</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45660</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45660</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45660</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45660</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45660</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45660</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45660</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45660</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45660</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45660</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45660</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45660</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45660</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45660</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45660</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45660</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45660</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45660</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45660</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45660</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45660</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45660</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45660</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45660</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45660</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45660</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45660</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45660</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45660</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45660</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45660</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45660</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45660</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45660</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45660</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45660</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45660</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45660</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45660</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45660</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45660</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45660</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45660</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45660</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45660</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45660</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45660</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45660</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45660</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45660</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45660</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45660</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45660</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45660</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45660</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45660</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45660</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45660</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45660</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45660</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45660</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45660</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45660</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45660</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45660</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45660</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45660</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45660</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45660</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45660</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45660</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45660</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45660</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45660</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45660</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45660</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45660</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45660</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45660</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45660</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45660</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45660</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45660</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45660</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45660</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45660</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45660</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45660</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45660</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45660</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45660</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45660</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45660</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45660</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45660</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45660</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45660</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45660</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45660</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45660</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45660</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45660</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45660</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45660</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45660</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45660</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45660</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45660</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45660</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45660</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45660</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45660</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45660</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45660</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45660</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45660</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45660</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45660</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45660</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45660</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45660</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45660</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45660</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45660</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45660</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45660</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45660</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45660</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45660</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45660</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45660</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45660</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45660</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45660</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45660</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45660</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45660</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45660</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45660</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45660</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45660</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45660</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45660</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45660</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45660</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45660</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45660</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45660</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45660</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45660</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45660</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45660</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45660</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45660</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45660</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45660</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45660</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45660</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45660</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45660</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45660</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45660</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45660</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45660</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45660</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45660</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45660</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45660</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45660</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45660</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45660</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45660</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45660</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45660</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45660</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45660</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45660</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45660</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45660</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45660</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45660</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45660</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45660</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45660</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45660</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45660</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45660</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45660</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45660</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45660</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45660</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45660</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45660</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45660</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45660</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45660</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45660</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45660</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45660</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45660</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45660</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45660</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45660</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45660</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45660</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45660</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45660</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45660</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45660</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45660</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45660</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45660</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45660</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45660</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45660</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45660</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45660</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45660</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45660</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45660</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45660</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45660</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45660</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45660</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45660</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45660</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45660</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45660</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45660</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45660</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45660</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45660</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45660</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45660</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45660</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45660</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45660</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45660</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45660</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45660</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45660</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45660</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45660</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45660</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45660</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45660</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45660</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45660</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45660</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45660</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45660</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45660</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45660</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45660</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45660</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45660</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45660</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45660</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45660</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45660</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45660</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45660</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45660</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45660</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45660</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45660</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45660</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45660</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45660</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45660</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45660</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45660</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45660</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45660</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45660</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45660</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45660</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45660</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45660</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45660</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45660</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45660</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45660</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45660</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45660</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45660</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45660</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45660</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45660</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45660</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45660</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45660</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45660</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45660</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45660</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45660</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45660</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45660</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45660</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45660</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45660</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45660</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45660</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45660</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45660</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45660</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45660</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45660</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45660</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45660</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45660</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45660</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45660</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45660</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45660</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45660</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45660</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45660</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45660</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45660</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45660</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45660</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45660</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45660</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45660</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45660</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45660</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45660</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45660</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45660</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45660</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45660</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45660</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45660</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45660</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45660</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45660</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45660</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45660</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45660</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45660</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45660</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45660</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45660</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45660</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45660</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45660</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45660</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45660</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45660</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45660</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45660</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45660</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45660</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45660</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45660</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45660</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45660</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45660</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45660</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45660</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45660</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45660</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45660</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45660</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45660</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45660</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45660</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45660</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45660</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45660</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45660</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45660</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45660</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45660</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45660</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45660</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45660</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45660</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45660</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45660</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45660</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45660</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45660</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45660</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45660</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45660</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45660</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45660</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45660</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45660</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45660</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45660</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45660</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45660</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45660</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45660</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45660</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45660</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45660</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45660</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45660</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45660</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45660</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45660</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45660</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45660</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45660</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45660</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45660</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45660</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45660</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45660</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45660</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45660</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45660</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45660</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45660</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45660</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45660</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45660</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45660</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45660</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45660</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45660</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45660</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45660</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45660</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45660</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45660</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45660</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45660</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45660</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45660</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45660</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45660</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45660</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45660</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45660</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45660</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45660</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45660</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45660</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45660</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45660</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45660</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45660</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45660</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45660</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45660</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45660</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45660</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45660</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45660</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45660</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45660</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45660</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45660</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45660</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45660</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45660</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45660</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45660</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45660</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45660</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45660</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45660</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45660</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45660</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45660</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45660</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45660</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45660</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45660</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45660</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45660</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45660</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45660</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45660</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45660</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45660</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45660</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45660</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45660</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45660</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45660</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45660</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45660</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45660</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45660</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45660</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45660</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45660</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45660</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45660</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45660</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45660</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45660</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45660</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45660</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45660</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45660</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45660</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45660</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45660</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45660</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45660</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45660</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45660</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45660</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45660</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45660</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45660</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45660</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45660</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45660</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45660</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45660</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45660</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45660</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45660</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45660</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45660</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45660</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45660</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45660</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45660</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45660</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45660</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45660</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45660</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45660</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45660</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45660</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45660</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45660</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45660</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45660</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45660</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45660</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45660</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45660</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45660</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45660</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45660</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45660</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45660</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45660</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45660</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45660</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45660</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45660</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45660</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45660</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45660</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45660</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45660</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45660</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45660</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45660</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45660</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45660</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45660</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45660</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45660</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45660</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45660</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45660</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45660</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45660</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45660</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45660</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45660</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45660</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45660</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45660</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45660</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45660</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45660</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45660</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45660</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45660</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45660</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45660</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45660</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45660</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45660</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45660</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45660</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45660</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45660</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45660</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45660</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45660</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45660</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45660</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45660</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45660</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45660</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45660</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45660</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45660</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45660</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45660</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45660</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45660</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45660</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45660</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45660</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45660</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45660</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45660</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45660</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45660</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45660</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45660</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45660</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45660</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45660</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45660</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45660</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45660</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45660</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45660</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45660</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45660</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45660</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45660</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45660</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45660</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45660</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45660</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45660</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45660</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45660</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45660</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45660</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45660</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45660</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45660</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45660</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45660</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45660</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45660</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45660</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45660</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45660</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45660</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45660</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45660</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45660</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45660</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45660</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45660</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45660</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45660</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45660</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45660</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45660</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45660</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45660</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45660</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45660</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45660</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45660</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45660</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45660</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45660</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45660</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45660</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45660</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45660</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45660</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45660</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45660</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45660</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45660</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45660</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45660</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45660</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45660</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45660</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45660</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45660</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45660</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45660</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45660</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45660</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45660</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45660</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45660</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45660</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45660</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45660</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45660</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45660</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45660</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45660</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45660</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45660</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45660</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45660</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45660</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45660</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45660</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45660</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45660</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45660</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45660</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45660</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45660</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45660</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45660</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45660</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45660</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45660</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45660</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45660</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45660</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45660</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45660</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45660</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45660</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45660</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45660</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45660</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45660</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45660</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45660</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45660</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45660</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45660</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45660</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45660</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45660</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45660</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45660</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45660</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45660</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45660</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45660</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45660</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45660</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45660</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45660</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45660</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45660</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45660</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45660</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45660</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45660</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45660</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45660</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45660</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45660</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45660</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45660</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45660</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45660</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45660</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45660</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45660</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45660</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45660</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45660</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45660</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45660</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45660</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45660</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45660</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45660</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45660</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45660</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45660</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45660</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45660</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45660</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45660</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45660</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45660</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45660</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45660</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45660</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45660</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45660</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45660</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45660</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45660</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45660</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45660</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45660</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45660</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45660</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45660</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45660</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45660</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45660</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45660</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45660</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45660</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45660</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45660</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45660</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45660</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45660</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45660</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45660</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45660</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45660</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45660</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45660</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45660</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45660</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45660</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45660</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45660</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45660</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45660</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45660</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45660</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45660</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45660</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45660</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45660</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45660</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45660</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45660</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45660</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45660</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45660</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45660</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45660</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45660</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45660</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45660</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45660</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45660</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45660</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45660</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45660</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45660</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45660</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45660</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45660</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45660</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45660</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45660</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45660</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45660</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45660</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45660</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45660</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45660</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45660</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45660</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45660</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45660</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45660</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45660</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45660</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45660</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45660</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45660</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45660</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45660</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45660</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45660</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45660</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45660</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45660</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45660</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45660</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45660</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45660</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45660</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45660</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45660</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45660</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45660</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45660</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45660</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45660</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45660</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45660</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45660</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45660</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45660</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45660</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45660</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45660</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45660</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45660</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45660</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45660</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45660</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45660</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45660</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45660</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45660</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45660</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45660</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45660</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45660</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45660</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45660</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45660</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45660</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45660</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45660</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45660</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45660</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45660</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45660</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45660</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45660</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45660</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45660</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45660</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45660</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45660</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45660</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45660</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45660</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45660</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45660</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45660</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45660</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45660</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45660</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45660</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45660</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45660</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45660</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45660</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45660</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45660</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45660</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45660</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45660</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45660</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45660</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45660</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45660</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45660</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45660</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45660</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45660</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45660</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45660</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45660</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45660</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45660</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45660</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45660</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45660</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45660</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45660</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45660</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45660</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45660</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45660</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45660</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45660</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45660</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45660</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45660</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45660</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45660</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45660</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45660</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45660</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45660</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45660</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45660</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45660</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45660</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45660</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45660</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45660</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45660</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45660</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45660</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45660</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45660</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45660</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45660</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45660</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45660</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45660</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45660</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45660</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45660</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45660</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45660</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45660</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45660</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45660</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45660</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45660</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45660</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45660</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45660</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45660</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45660</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45660</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45660</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45660</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45660</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45660</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45660</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45660</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45660</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45660</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45660</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45660</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45660</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45660</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45660</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45660</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45660</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45660</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45660</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45660</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45660</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45660</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45660</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45660</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45660</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45660</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45660</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45660</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45660</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45660</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45660</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45660</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45660</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45660</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45660</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45660</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45660</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45660</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45660</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45660</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45660</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45660</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45660</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45660</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45660</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45660</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45660</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45660</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45660</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45660</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45660</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45660</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45660</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45660</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45660</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45660</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45660</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45660</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45660</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45660</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45660</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45660</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45660</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45660</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45660</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45660</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45660</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45660</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45660</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45660</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45660</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45660</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45660</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45660</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45660</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45660</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45660</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45660</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45660</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45660</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45660</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45660</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45660</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45660</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45660</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45660</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45660</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45660</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45660</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45660</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45660</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45660</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45660</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45660</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45660</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45660</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45660</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45660</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45660</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45660</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45660</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45660</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45660</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45660</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45660</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45660</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45660</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45660</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45660</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45660</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45660</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45660</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45660</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45660</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45660</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45660</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45660</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45660</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45660</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45660</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45660</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45660</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45660</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45660</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45660</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45660</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45660</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45660</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45660</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45660</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45660</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45660</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45660</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45660</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45660</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45660</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45660</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45660</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45660</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45660</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45660</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45660</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45660</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45660</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45660</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45660</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45660</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45660</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45660</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45660</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45660</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45660</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45660</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45660</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45660</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45660</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45660</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45660</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45660</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45660</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45660</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45660</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45660</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45660</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45660</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45660</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45660</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45660</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45660</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45660</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45660</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45660</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45660</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45660</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45660</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45660</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45660</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45660</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45660</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45660</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45660</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45660</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45660</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45660</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45660</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45660</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45660</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45660</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45660</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45660</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45660</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45660</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45660</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45660</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45660</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45660</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45660</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45660</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45660</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45660</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45660</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45660</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45660</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45660</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45660</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45660</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45660</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45660</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45660</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45660</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45660</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45660</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45660</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45660</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45660</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45660</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45660</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45660</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45660</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45660</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45660</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45660</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45660</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45660</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45660</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45660</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45660</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45660</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45660</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45660</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45660</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45660</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45660</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45660</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45660</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45660</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45660</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45660</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45660</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45660</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45660</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45660</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45660</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45660</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45660</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45660</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45660</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45660</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45660</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45660</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45660</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45660</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45660</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45660</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45660</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45660</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45660</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45660</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45660</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45660</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45660</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45660</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45660</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45660</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45660</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45660</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45660</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45660</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45660</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45660</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45660</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45660</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45660</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45660</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45660</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45660</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45660</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45660</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45660</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45660</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45660</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45660</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45660</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45660</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45660</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45660</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45660</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45660</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45660</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45660</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45660</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45660</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45660</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45660</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45660</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45660</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45660</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45660</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45660</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45660</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45660</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45660</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45660</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45660</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45660</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45660</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45660</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45660</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45660</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45660</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45660</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45660</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45660</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45660</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45660</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45660</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45660</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45660</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45660</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45660</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45660</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45660</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45660</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45660</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45660</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45660</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45660</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45660</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45660</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45660</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45660</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45660</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45660</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45660</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45660</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45660</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45660</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45660</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45660</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45660</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45660</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45660</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45660</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45660</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45660</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45660</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45660</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45660</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45660</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45660</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45660</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45660</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45660</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45660</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45660</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45660</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45660</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45660</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45660</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45660</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45660</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45660</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45660</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45660</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45660</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45660</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45660</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45660</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45660</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45660</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45660</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45660</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45660</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45660</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45660</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45660</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45660</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45660</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45660</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45660</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45660</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45660</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45660</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45660</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45660</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45660</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45660</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45660</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45660</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45660</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45660</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45660</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45660</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45660</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45660</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45660</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45660</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45660</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45660</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45660</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45660</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45660</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45660</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45660</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45660</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45660</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45660</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45660</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45660</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45660</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45660</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45660</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45660</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45660</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45660</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45660</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45660</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45660</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45660</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45660</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45660</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45660</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45660</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45660</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45660</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45660</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45660</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45660</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45660</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45660</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45660</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45660</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45660</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45660</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45660</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45660</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45660</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45660</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45660</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45660</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45660</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45660</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45660</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45660</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45660</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45660</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45660</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45660</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45660</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45660</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45660</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45660</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45660</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45660</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45660</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58491-2024</t>
        </is>
      </c>
      <c r="B2355" s="1" t="n">
        <v>45635</v>
      </c>
      <c r="C2355" s="1" t="n">
        <v>45660</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58537-2024</t>
        </is>
      </c>
      <c r="B2356" s="1" t="n">
        <v>45635</v>
      </c>
      <c r="C2356" s="1" t="n">
        <v>45660</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45660</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45660</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45660</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59008-2024</t>
        </is>
      </c>
      <c r="B2360" s="1" t="n">
        <v>45636</v>
      </c>
      <c r="C2360" s="1" t="n">
        <v>45660</v>
      </c>
      <c r="D2360" t="inlineStr">
        <is>
          <t>JÄMTLANDS LÄN</t>
        </is>
      </c>
      <c r="E2360" t="inlineStr">
        <is>
          <t>BRÄCKE</t>
        </is>
      </c>
      <c r="F2360" t="inlineStr">
        <is>
          <t>SCA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59021-2024</t>
        </is>
      </c>
      <c r="B2361" s="1" t="n">
        <v>45636</v>
      </c>
      <c r="C2361" s="1" t="n">
        <v>45660</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45660</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45660</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45660</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59760-2024</t>
        </is>
      </c>
      <c r="B2365" s="1" t="n">
        <v>45639</v>
      </c>
      <c r="C2365" s="1" t="n">
        <v>45660</v>
      </c>
      <c r="D2365" t="inlineStr">
        <is>
          <t>JÄMTLANDS LÄN</t>
        </is>
      </c>
      <c r="E2365" t="inlineStr">
        <is>
          <t>BRÄCKE</t>
        </is>
      </c>
      <c r="F2365" t="inlineStr">
        <is>
          <t>SCA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45660</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45660</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59846-2024</t>
        </is>
      </c>
      <c r="B2368" s="1" t="n">
        <v>45639</v>
      </c>
      <c r="C2368" s="1" t="n">
        <v>45660</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59763-2024</t>
        </is>
      </c>
      <c r="B2369" s="1" t="n">
        <v>45639</v>
      </c>
      <c r="C2369" s="1" t="n">
        <v>45660</v>
      </c>
      <c r="D2369" t="inlineStr">
        <is>
          <t>JÄMTLANDS LÄN</t>
        </is>
      </c>
      <c r="E2369" t="inlineStr">
        <is>
          <t>BRÄCKE</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45660</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45660</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45660</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45660</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45660</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60666-2024</t>
        </is>
      </c>
      <c r="B2375" s="1" t="n">
        <v>45644</v>
      </c>
      <c r="C2375" s="1" t="n">
        <v>45660</v>
      </c>
      <c r="D2375" t="inlineStr">
        <is>
          <t>JÄMTLANDS LÄN</t>
        </is>
      </c>
      <c r="E2375" t="inlineStr">
        <is>
          <t>BRÄCKE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61158-2024</t>
        </is>
      </c>
      <c r="B2376" s="1" t="n">
        <v>45645</v>
      </c>
      <c r="C2376" s="1" t="n">
        <v>45660</v>
      </c>
      <c r="D2376" t="inlineStr">
        <is>
          <t>JÄMTLANDS LÄN</t>
        </is>
      </c>
      <c r="E2376" t="inlineStr">
        <is>
          <t>BRÄCKE</t>
        </is>
      </c>
      <c r="F2376" t="inlineStr">
        <is>
          <t>SCA</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61079-2024</t>
        </is>
      </c>
      <c r="B2377" s="1" t="n">
        <v>45645</v>
      </c>
      <c r="C2377" s="1" t="n">
        <v>45660</v>
      </c>
      <c r="D2377" t="inlineStr">
        <is>
          <t>JÄMTLANDS LÄN</t>
        </is>
      </c>
      <c r="E2377" t="inlineStr">
        <is>
          <t>BRÄCKE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45660</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61362-2024</t>
        </is>
      </c>
      <c r="B2379" s="1" t="n">
        <v>45646</v>
      </c>
      <c r="C2379" s="1" t="n">
        <v>45660</v>
      </c>
      <c r="D2379" t="inlineStr">
        <is>
          <t>JÄMTLANDS LÄN</t>
        </is>
      </c>
      <c r="E2379" t="inlineStr">
        <is>
          <t>BRÄCKE</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61483-2024</t>
        </is>
      </c>
      <c r="B2380" s="1" t="n">
        <v>45646</v>
      </c>
      <c r="C2380" s="1" t="n">
        <v>45660</v>
      </c>
      <c r="D2380" t="inlineStr">
        <is>
          <t>JÄMTLANDS LÄN</t>
        </is>
      </c>
      <c r="E2380" t="inlineStr">
        <is>
          <t>BRÄCKE</t>
        </is>
      </c>
      <c r="F2380" t="inlineStr">
        <is>
          <t>Övriga Aktiebolag</t>
        </is>
      </c>
      <c r="G2380" t="n">
        <v>13.8</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45660</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61973-2024</t>
        </is>
      </c>
      <c r="B2382" s="1" t="n">
        <v>45653</v>
      </c>
      <c r="C2382" s="1" t="n">
        <v>45660</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45660</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103-2025</t>
        </is>
      </c>
      <c r="B2384" s="1" t="n">
        <v>45659</v>
      </c>
      <c r="C2384" s="1" t="n">
        <v>45660</v>
      </c>
      <c r="D2384" t="inlineStr">
        <is>
          <t>JÄMTLANDS LÄN</t>
        </is>
      </c>
      <c r="E2384" t="inlineStr">
        <is>
          <t>BRÄCKE</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104-2025</t>
        </is>
      </c>
      <c r="B2385" s="1" t="n">
        <v>45659</v>
      </c>
      <c r="C2385" s="1" t="n">
        <v>45660</v>
      </c>
      <c r="D2385" t="inlineStr">
        <is>
          <t>JÄMTLANDS LÄN</t>
        </is>
      </c>
      <c r="E2385" t="inlineStr">
        <is>
          <t>BRÄCKE</t>
        </is>
      </c>
      <c r="F2385" t="inlineStr">
        <is>
          <t>SCA</t>
        </is>
      </c>
      <c r="G2385" t="n">
        <v>1.7</v>
      </c>
      <c r="H2385" t="n">
        <v>0</v>
      </c>
      <c r="I2385" t="n">
        <v>0</v>
      </c>
      <c r="J2385" t="n">
        <v>0</v>
      </c>
      <c r="K2385" t="n">
        <v>0</v>
      </c>
      <c r="L2385" t="n">
        <v>0</v>
      </c>
      <c r="M2385" t="n">
        <v>0</v>
      </c>
      <c r="N2385" t="n">
        <v>0</v>
      </c>
      <c r="O2385" t="n">
        <v>0</v>
      </c>
      <c r="P2385" t="n">
        <v>0</v>
      </c>
      <c r="Q2385" t="n">
        <v>0</v>
      </c>
      <c r="R2385" s="2" t="inlineStr"/>
    </row>
    <row r="2386">
      <c r="A2386" t="inlineStr">
        <is>
          <t>A 172-2025</t>
        </is>
      </c>
      <c r="B2386" s="1" t="n">
        <v>45659</v>
      </c>
      <c r="C2386" s="1" t="n">
        <v>45660</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2025-01-03T15:43:34Z</dcterms:created>
  <dcterms:modified xmlns:dcterms="http://purl.org/dc/terms/" xmlns:xsi="http://www.w3.org/2001/XMLSchema-instance" xsi:type="dcterms:W3CDTF">2025-01-03T15:43:36Z</dcterms:modified>
</cp:coreProperties>
</file>