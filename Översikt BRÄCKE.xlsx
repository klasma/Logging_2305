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45511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45511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45511</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45511</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45511</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45511</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45511</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45511</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45511</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45511</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45511</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45511</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45511</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45511</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45511</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45511</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45511</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45511</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45511</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45511</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45511</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45511</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45511</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45511</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45511</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45511</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45511</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45511</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45511</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45511</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45511</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45511</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45511</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45511</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45511</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45511</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45511</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45511</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45511</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45511</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45511</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45511</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45511</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45511</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45511</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45511</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45511</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45511</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45511</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45511</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45511</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45511</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45511</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45511</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45511</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45511</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45511</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45511</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45511</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45511</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45511</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45511</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45511</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45511</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45511</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45511</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45511</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45511</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45511</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45511</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45511</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45511</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45511</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45511</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45511</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45511</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45511</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45511</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45511</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45511</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45511</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45511</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45511</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45511</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45511</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45511</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45511</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45511</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45511</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45511</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45511</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45511</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45511</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45511</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45511</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45511</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45511</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45511</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45511</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45511</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45511</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45511</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29690-2024</t>
        </is>
      </c>
      <c r="B104" s="1" t="n">
        <v>45485</v>
      </c>
      <c r="C104" s="1" t="n">
        <v>45511</v>
      </c>
      <c r="D104" t="inlineStr">
        <is>
          <t>JÄMTLANDS LÄN</t>
        </is>
      </c>
      <c r="E104" t="inlineStr">
        <is>
          <t>BRÄCKE</t>
        </is>
      </c>
      <c r="F104" t="inlineStr">
        <is>
          <t>SCA</t>
        </is>
      </c>
      <c r="G104" t="n">
        <v>12.7</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29690-2024 artfynd.xlsx", "A 29690-2024")</f>
        <v/>
      </c>
      <c r="T104">
        <f>HYPERLINK("https://klasma.github.io/Logging_2305/kartor/A 29690-2024 karta.png", "A 29690-2024")</f>
        <v/>
      </c>
      <c r="V104">
        <f>HYPERLINK("https://klasma.github.io/Logging_2305/klagomål/A 29690-2024 FSC-klagomål.docx", "A 29690-2024")</f>
        <v/>
      </c>
      <c r="W104">
        <f>HYPERLINK("https://klasma.github.io/Logging_2305/klagomålsmail/A 29690-2024 FSC-klagomål mail.docx", "A 29690-2024")</f>
        <v/>
      </c>
      <c r="X104">
        <f>HYPERLINK("https://klasma.github.io/Logging_2305/tillsyn/A 29690-2024 tillsynsbegäran.docx", "A 29690-2024")</f>
        <v/>
      </c>
      <c r="Y104">
        <f>HYPERLINK("https://klasma.github.io/Logging_2305/tillsynsmail/A 29690-2024 tillsynsbegäran mail.docx", "A 29690-2024")</f>
        <v/>
      </c>
    </row>
    <row r="105" ht="15" customHeight="1">
      <c r="A105" t="inlineStr">
        <is>
          <t>A 29689-2024</t>
        </is>
      </c>
      <c r="B105" s="1" t="n">
        <v>45485</v>
      </c>
      <c r="C105" s="1" t="n">
        <v>45511</v>
      </c>
      <c r="D105" t="inlineStr">
        <is>
          <t>JÄMTLANDS LÄN</t>
        </is>
      </c>
      <c r="E105" t="inlineStr">
        <is>
          <t>BRÄCKE</t>
        </is>
      </c>
      <c r="F105" t="inlineStr">
        <is>
          <t>SCA</t>
        </is>
      </c>
      <c r="G105" t="n">
        <v>6.3</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29689-2024 artfynd.xlsx", "A 29689-2024")</f>
        <v/>
      </c>
      <c r="T105">
        <f>HYPERLINK("https://klasma.github.io/Logging_2305/kartor/A 29689-2024 karta.png", "A 29689-2024")</f>
        <v/>
      </c>
      <c r="V105">
        <f>HYPERLINK("https://klasma.github.io/Logging_2305/klagomål/A 29689-2024 FSC-klagomål.docx", "A 29689-2024")</f>
        <v/>
      </c>
      <c r="W105">
        <f>HYPERLINK("https://klasma.github.io/Logging_2305/klagomålsmail/A 29689-2024 FSC-klagomål mail.docx", "A 29689-2024")</f>
        <v/>
      </c>
      <c r="X105">
        <f>HYPERLINK("https://klasma.github.io/Logging_2305/tillsyn/A 29689-2024 tillsynsbegäran.docx", "A 29689-2024")</f>
        <v/>
      </c>
      <c r="Y105">
        <f>HYPERLINK("https://klasma.github.io/Logging_2305/tillsynsmail/A 29689-2024 tillsynsbegäran mail.docx", "A 29689-2024")</f>
        <v/>
      </c>
    </row>
    <row r="106" ht="15" customHeight="1">
      <c r="A106" t="inlineStr">
        <is>
          <t>A 30989-2024</t>
        </is>
      </c>
      <c r="B106" s="1" t="n">
        <v>45499</v>
      </c>
      <c r="C106" s="1" t="n">
        <v>45511</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45511</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45511</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45511</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45511</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45511</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45511</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45511</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45511</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45511</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45511</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45511</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45511</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45511</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45511</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45511</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45511</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45511</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45511</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45511</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45511</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45511</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45511</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45511</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45511</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45511</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45511</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45511</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45511</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45511</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45511</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45511</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45511</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45511</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45511</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45511</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45511</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45511</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45511</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45511</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45511</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45511</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45511</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45511</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45511</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45511</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45511</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45511</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45511</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45511</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45511</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45511</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45511</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45511</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45511</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45511</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45511</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45511</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45511</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45511</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45511</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45511</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45505</v>
      </c>
      <c r="C168" s="1" t="n">
        <v>45511</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45511</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45511</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45511</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45511</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45511</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45511</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45511</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45511</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45511</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45511</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45511</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45511</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45511</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45511</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45511</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45511</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45511</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45511</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45511</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45511</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45511</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45511</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45511</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45511</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45511</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45511</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45511</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45511</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45511</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45511</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45511</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45511</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45511</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45511</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45511</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45511</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45511</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45511</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45511</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45511</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45511</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45511</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45511</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45511</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45511</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45511</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45511</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45511</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45511</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45511</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45511</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45511</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45511</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45511</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45511</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45511</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45511</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45511</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45511</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45511</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45511</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45511</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45511</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45511</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45511</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45511</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45511</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45511</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45511</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45511</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45511</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45511</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45511</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45511</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45511</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45511</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45511</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45511</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45511</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45511</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31470-2024</t>
        </is>
      </c>
      <c r="B249" s="1" t="n">
        <v>45505</v>
      </c>
      <c r="C249" s="1" t="n">
        <v>45511</v>
      </c>
      <c r="D249" t="inlineStr">
        <is>
          <t>JÄMTLANDS LÄN</t>
        </is>
      </c>
      <c r="E249" t="inlineStr">
        <is>
          <t>BRÄCKE</t>
        </is>
      </c>
      <c r="F249" t="inlineStr">
        <is>
          <t>SCA</t>
        </is>
      </c>
      <c r="G249" t="n">
        <v>12.1</v>
      </c>
      <c r="H249" t="n">
        <v>0</v>
      </c>
      <c r="I249" t="n">
        <v>1</v>
      </c>
      <c r="J249" t="n">
        <v>0</v>
      </c>
      <c r="K249" t="n">
        <v>0</v>
      </c>
      <c r="L249" t="n">
        <v>0</v>
      </c>
      <c r="M249" t="n">
        <v>0</v>
      </c>
      <c r="N249" t="n">
        <v>0</v>
      </c>
      <c r="O249" t="n">
        <v>0</v>
      </c>
      <c r="P249" t="n">
        <v>0</v>
      </c>
      <c r="Q249" t="n">
        <v>1</v>
      </c>
      <c r="R249" s="2" t="inlineStr">
        <is>
          <t>Stuplav</t>
        </is>
      </c>
      <c r="S249">
        <f>HYPERLINK("https://klasma.github.io/Logging_2305/artfynd/A 31470-2024 artfynd.xlsx", "A 31470-2024")</f>
        <v/>
      </c>
      <c r="T249">
        <f>HYPERLINK("https://klasma.github.io/Logging_2305/kartor/A 31470-2024 karta.png",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row>
    <row r="250" ht="15" customHeight="1">
      <c r="A250" t="inlineStr">
        <is>
          <t>A 31479-2024</t>
        </is>
      </c>
      <c r="B250" s="1" t="n">
        <v>45506</v>
      </c>
      <c r="C250" s="1" t="n">
        <v>45511</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17852-2019</t>
        </is>
      </c>
      <c r="B251" s="1" t="n">
        <v>43556</v>
      </c>
      <c r="C251" s="1" t="n">
        <v>45511</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45511</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45511</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45511</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45511</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45511</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45511</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45511</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45511</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45511</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45511</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45511</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45511</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45511</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45511</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45511</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45511</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45511</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45511</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45511</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45511</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45511</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45511</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45511</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45511</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45511</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45511</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45511</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45511</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45511</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45511</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45511</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45511</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45511</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45511</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45511</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45511</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45511</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45511</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45511</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45511</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45511</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45511</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45511</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45511</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45511</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45511</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45511</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45511</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45511</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45511</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45511</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45511</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45511</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45511</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45511</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45511</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45511</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45511</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45511</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45511</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45511</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45511</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45511</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45511</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45511</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45511</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45511</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45511</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45511</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45511</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45511</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45511</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45511</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45511</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45511</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45511</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45511</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45511</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45511</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45511</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45511</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45511</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45511</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45511</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45511</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45511</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45511</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45511</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45511</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45511</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45511</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45511</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45511</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45511</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45511</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45511</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45511</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45511</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45511</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45511</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45511</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45511</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45511</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45511</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45511</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45511</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45511</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45511</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45511</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45511</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45511</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45511</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45511</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45511</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45511</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45511</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45511</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45511</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45511</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45511</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45511</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45511</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45511</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45511</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45511</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45511</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45511</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45511</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45511</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45511</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45511</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45511</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45511</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45511</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45511</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45511</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45511</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45511</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45511</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45511</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45511</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45511</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45511</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45511</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45511</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45511</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45511</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45511</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45511</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45511</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45511</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45511</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45511</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45511</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45511</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45511</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45511</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45511</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45511</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45511</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45511</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45511</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45511</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45511</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45511</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45511</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45511</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45511</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45511</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45511</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45511</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45511</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45511</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45511</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45511</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45511</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45511</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45511</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45511</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45511</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45511</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45511</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45511</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45511</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45511</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45511</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45511</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45511</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45511</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45511</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45511</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45511</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45511</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45511</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45511</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45511</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45511</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45511</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45511</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45511</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45511</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45511</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45511</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45511</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45511</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45511</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45511</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45511</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45511</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45511</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45511</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45511</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45511</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45511</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45511</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45511</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45511</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45511</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45511</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45511</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45511</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45511</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45511</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45511</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45511</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45511</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45511</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45511</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45511</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45511</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45511</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45511</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45511</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45511</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45511</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45511</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45511</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45511</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45511</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45511</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45511</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45511</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45511</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45511</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45511</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45511</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45511</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45511</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45511</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45511</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45511</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45511</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45511</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45511</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45511</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45511</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45511</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45511</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45511</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45511</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45511</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45511</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45511</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45511</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45511</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45511</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45511</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45511</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45511</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45511</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45511</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45511</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45511</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45511</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45511</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45511</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45511</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45511</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45511</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45511</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45511</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45511</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45511</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45511</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45511</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45511</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45511</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45511</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45511</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45511</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45511</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45511</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45511</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45511</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45511</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45511</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45511</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45511</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45511</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45511</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45511</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45511</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45511</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45511</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45511</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45511</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45511</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45511</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45511</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45511</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45511</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45511</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45511</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45511</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45511</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45511</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45511</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45511</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45511</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45511</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45511</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45511</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45511</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45511</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45511</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45511</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45511</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45511</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45511</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45511</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45511</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45511</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45511</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45511</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45511</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45511</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45511</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45511</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45511</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45511</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45511</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45511</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45511</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45511</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45511</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45511</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45511</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45511</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45511</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45511</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45511</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45511</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45511</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45511</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45511</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45511</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45511</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45511</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45511</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45511</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45511</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45511</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45511</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45511</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45511</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45511</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45511</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45511</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45511</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45511</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45511</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45511</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45511</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45511</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45511</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45511</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45511</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45511</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45511</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45511</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45511</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45511</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45511</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45511</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45511</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45511</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45511</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45511</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45511</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45511</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45511</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45511</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45511</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45511</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45511</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45511</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45511</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45511</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45511</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45511</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45511</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45511</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45511</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45511</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45511</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45511</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45511</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45511</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45511</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45511</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45511</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45511</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45511</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45511</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45511</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45511</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45511</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45511</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45511</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45511</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45511</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45511</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45511</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45511</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45511</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45511</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45511</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45511</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45511</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45511</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45511</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45511</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45511</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45511</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45511</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45511</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45511</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45511</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45511</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45511</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45511</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45511</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45511</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45511</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45511</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45511</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45511</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45511</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45511</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45511</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45511</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45511</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45511</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45511</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45511</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45511</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45511</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45511</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45511</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45511</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45511</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45511</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45511</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45511</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45511</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45511</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45511</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45511</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45511</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45511</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45511</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45511</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45511</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45511</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45511</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45511</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45511</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45511</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45511</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45511</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45511</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45511</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45511</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45511</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45511</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45511</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45511</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45511</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45511</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45511</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45511</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45511</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45511</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45511</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45511</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45511</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45511</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45511</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45511</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45511</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45511</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45511</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45511</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45511</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45511</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45511</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45511</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45511</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45511</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45511</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45511</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45511</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45511</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45511</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45511</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45511</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45511</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45511</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45511</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45511</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45511</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45511</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45511</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45511</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45511</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45511</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45511</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45511</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45511</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45511</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45511</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45511</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45511</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45511</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45511</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45511</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45511</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45511</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45511</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45511</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45511</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45511</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45511</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45511</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45511</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45511</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45511</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45511</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45511</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45511</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45511</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45511</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45511</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45511</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45511</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45511</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45511</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45511</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45511</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45511</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45511</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45511</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45511</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45511</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45511</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45511</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45511</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45511</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45511</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45511</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45511</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45511</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45511</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45511</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45511</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45511</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45511</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45511</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45511</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45511</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45511</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45511</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45511</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45511</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45511</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45511</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45511</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45511</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45511</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45511</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45511</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45511</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45511</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45511</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45511</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45511</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45511</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45511</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45511</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45511</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45511</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45511</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45511</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45511</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45511</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45511</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45511</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45511</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45511</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45511</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45511</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45511</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45511</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45511</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45511</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45511</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45511</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45511</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45511</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45511</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45511</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45511</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45511</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45511</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45511</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45511</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45511</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45511</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45511</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45511</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45511</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45511</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45511</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45511</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45511</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45511</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45511</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45511</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45511</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45511</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45511</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45511</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45511</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45511</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45511</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45511</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45511</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45511</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45511</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45511</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45511</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45511</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45511</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45511</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45511</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45511</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45511</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45511</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45511</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45511</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45511</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45511</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45511</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45511</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45511</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45511</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45511</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45511</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45511</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45511</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45511</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45511</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45511</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45511</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45511</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45511</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45511</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45511</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45511</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45511</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45511</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45511</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45511</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45511</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45511</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45511</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45511</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45511</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45511</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45511</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45511</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45511</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45511</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45511</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45511</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45511</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45511</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45511</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45511</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45511</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45511</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45511</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45511</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45511</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45511</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45511</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45511</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45511</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45511</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45511</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45511</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45511</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45511</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45511</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45511</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45511</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45511</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45511</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45511</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45511</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45511</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45511</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45511</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45511</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45511</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45511</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45511</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45511</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45511</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45511</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45511</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45511</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45511</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45511</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45511</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45511</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45511</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45511</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45511</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45511</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45511</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45511</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45511</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45511</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45511</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45511</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45511</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45511</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45511</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45511</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45511</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45511</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45511</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45511</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45511</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45511</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45511</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45511</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45511</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45511</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45511</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45511</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45511</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45511</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45511</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45511</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45511</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45511</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45511</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45511</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45511</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45511</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45511</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45511</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45511</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45511</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45511</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45511</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45511</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45511</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45511</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45511</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45511</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45511</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45511</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45511</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45511</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45511</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45511</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45511</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45511</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45511</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45511</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45511</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45511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45511</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45511</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45511</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45511</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45511</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45511</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45511</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45511</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45511</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45511</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45511</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45511</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45511</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45511</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45511</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45511</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45511</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45511</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45511</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45511</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45511</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45511</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45511</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45511</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45511</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45511</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45511</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45511</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45511</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45511</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45511</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45511</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45511</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45511</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45511</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45511</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45511</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45511</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45511</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45511</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45511</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45511</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45511</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45511</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45511</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45511</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45511</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45511</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45511</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45511</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45511</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45511</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45511</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45511</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45511</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45511</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45511</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45511</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45511</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45511</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45511</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45511</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45511</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45511</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45511</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45511</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45511</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45511</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45511</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45511</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45511</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45511</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45511</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45511</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45511</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45511</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45511</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45511</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45511</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45511</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45511</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45511</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45511</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45511</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45511</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45511</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45511</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45511</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45511</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45511</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45511</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45511</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45511</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45511</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45511</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45511</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45511</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45511</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45511</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45511</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45511</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45511</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45511</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45511</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45511</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45511</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45511</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45511</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45511</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45511</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45511</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45511</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45511</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45511</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45511</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45511</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45511</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45511</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45511</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45511</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45511</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45511</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45511</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45511</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45511</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45511</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45511</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45511</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45511</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45511</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45511</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45511</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45511</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45511</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45511</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45511</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45511</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45511</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45511</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45511</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45511</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45511</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45511</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45511</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45511</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45511</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45511</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45511</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45511</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45511</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45511</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45511</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45511</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45511</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45511</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45511</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45511</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45511</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45511</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45511</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45511</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45511</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45511</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45511</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45511</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45511</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45511</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45511</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45511</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45511</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45511</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45511</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45511</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45511</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45511</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45511</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45511</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45511</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45511</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45511</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45511</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45511</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45511</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45511</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45511</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45511</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45511</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45511</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45511</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45511</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45511</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45511</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45511</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45511</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45511</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45511</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45511</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45511</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45511</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45511</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45511</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45511</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45511</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45511</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45511</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45511</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45511</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45511</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45511</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45511</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45511</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45511</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45511</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45511</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45511</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45511</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45511</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45511</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45511</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45511</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45511</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45511</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45511</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45511</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45511</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45511</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45511</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45511</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45511</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45511</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45511</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45511</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45511</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45511</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45511</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45511</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45511</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45511</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45511</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45511</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45511</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45511</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45511</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45511</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45511</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45511</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45511</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45511</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45511</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45511</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45511</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45511</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45511</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45511</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45511</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45511</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45511</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45511</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45511</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45511</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45511</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45511</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45511</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45511</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45511</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45511</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45511</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45511</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45511</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45511</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45511</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45511</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45511</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45511</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45511</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45511</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45511</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45511</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45511</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45511</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45511</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45511</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45511</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45511</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45511</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45511</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45511</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45511</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45511</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45511</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45511</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45511</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45511</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45511</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45511</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45511</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45511</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45511</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45511</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45511</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45511</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45511</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45511</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45511</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45511</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45511</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45511</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45511</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45511</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45511</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45511</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45511</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45511</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45511</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45511</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45511</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45511</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45511</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45511</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45511</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45511</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45511</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45511</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45511</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45511</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45511</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45511</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45511</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45511</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45511</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45511</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45511</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45511</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45511</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45511</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45511</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45511</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45511</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45511</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45511</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45511</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45511</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45511</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45511</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45511</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45511</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45511</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45511</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45511</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45511</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45511</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45511</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45511</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45511</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45511</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45511</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45511</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45511</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45511</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45511</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45511</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45511</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45511</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45511</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45511</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45511</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45511</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45511</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45511</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45511</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45511</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45511</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45511</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45511</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45511</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45511</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45511</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45511</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45511</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45511</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45511</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45511</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45511</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45511</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45511</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45511</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45511</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45511</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45511</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45511</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45511</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45511</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45511</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45511</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45511</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45511</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45511</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45511</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45511</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45511</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45511</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45511</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45511</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45511</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45511</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45511</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45511</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45511</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45511</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45511</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45511</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45511</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45511</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45511</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45511</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45511</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45511</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45511</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45511</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45511</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45511</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45511</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45511</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45511</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45511</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45511</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45511</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45511</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45511</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45511</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45511</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45511</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45511</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45511</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45511</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45511</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45511</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45511</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45511</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45511</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45511</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45511</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45511</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45511</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45511</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45511</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45511</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45511</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45511</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45511</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45511</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45511</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45511</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45511</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45511</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45511</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45511</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45511</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45511</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45511</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45511</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45511</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45511</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45511</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45511</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45511</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45511</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45511</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45511</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45511</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45511</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45511</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45511</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45511</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45511</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45511</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45511</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45511</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45511</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45511</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45511</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45511</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45511</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45511</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45511</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45511</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45511</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45511</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45511</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45511</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45511</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45511</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45511</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45511</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45511</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45511</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45511</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45511</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45511</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45511</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45511</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45511</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45511</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45511</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45511</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45511</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45511</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45511</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45511</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45511</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45511</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45511</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45511</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45511</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45511</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45511</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45511</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45511</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45511</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45511</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45511</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45511</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45511</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45511</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45511</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45511</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45511</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45511</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45511</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45511</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45511</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45511</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45511</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45511</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45511</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45511</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45511</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45511</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45511</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45511</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45511</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45511</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45511</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45511</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45511</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45511</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45511</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45511</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45511</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45511</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45511</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45511</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45511</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45511</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45511</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45511</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45511</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45511</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45511</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45511</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45511</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45511</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45511</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45511</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45511</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45511</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45511</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45511</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45511</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45511</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45511</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45511</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45511</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45511</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45511</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45511</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45511</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45511</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45511</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45511</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45511</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45511</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45511</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45511</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45511</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45511</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45511</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45511</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45511</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45511</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45511</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45511</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45511</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45511</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45511</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45511</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45511</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45511</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45511</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45511</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45511</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45511</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45511</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45511</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45511</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45511</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45511</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45511</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45511</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45511</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45511</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45511</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45511</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45511</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45511</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45511</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45511</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45511</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45511</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45511</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45511</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45511</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45511</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45511</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45511</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45511</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45511</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45511</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45511</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45511</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45511</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45511</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45511</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45511</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45511</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45511</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45511</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45511</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45511</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45511</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45511</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45511</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45511</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45511</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45511</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45511</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45511</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45511</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45511</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45511</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45511</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45511</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45511</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45511</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45511</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45511</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45511</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45511</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45511</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45511</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45511</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45511</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45511</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45511</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45511</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45511</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45511</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45511</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45511</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45511</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45511</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45511</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45511</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45511</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45511</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45511</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45511</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45511</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45511</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45511</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45511</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45511</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45511</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45511</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45511</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45511</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45511</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45511</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45511</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45511</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45511</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45511</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45511</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45511</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45511</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45511</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45511</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45511</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45511</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45511</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45511</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45511</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45511</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45511</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45511</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45511</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45511</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45511</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45511</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45511</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45511</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45511</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45511</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45511</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45511</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45511</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45511</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45511</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45511</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45511</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45511</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45511</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45511</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45511</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45511</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45511</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45511</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45511</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45511</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45511</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45511</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45511</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45511</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45511</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45511</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45511</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45511</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45511</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45511</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45511</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45511</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45511</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45511</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45511</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45511</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45511</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45511</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45511</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45511</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45511</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45511</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45511</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45511</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45511</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45511</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45511</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45511</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45511</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45511</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45511</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45511</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45511</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45511</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45511</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45511</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45511</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45511</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45511</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45511</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45511</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45511</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45511</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45511</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45511</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45511</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45511</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45511</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45511</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45511</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45511</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45511</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45511</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45511</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45511</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45511</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45511</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45511</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45511</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45511</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45511</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45511</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45511</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45511</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45511</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45511</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45511</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45511</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45511</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45511</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45511</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45511</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45511</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45511</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45511</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45511</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45511</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45511</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45511</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45511</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45511</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45511</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45511</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45511</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45511</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45511</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45511</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45511</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45511</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45511</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45511</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45511</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45511</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45511</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45511</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45511</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45511</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45511</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45511</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45511</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45511</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45511</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45511</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45511</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45511</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45511</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45511</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45511</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45511</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45511</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45511</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45511</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45511</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45511</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45511</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45511</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45511</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45511</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45511</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45511</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45511</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45511</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45511</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45511</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45511</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45511</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45511</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45511</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45511</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45511</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45511</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45511</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45511</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45511</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45511</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45511</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45511</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45511</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45511</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45511</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45511</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45511</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45511</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45511</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45511</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45511</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45511</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45511</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45511</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45511</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45511</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45511</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45511</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45511</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45511</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45511</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45511</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45511</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45511</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45511</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45511</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45511</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45511</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45511</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45511</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45511</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45511</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45511</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45511</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45511</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45511</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45511</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45511</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45511</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45511</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45511</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45511</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45511</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45511</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45511</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45511</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45511</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45511</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45511</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45511</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45511</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45511</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45511</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45511</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45511</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45511</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45511</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45511</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45511</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45511</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45511</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45511</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45511</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45511</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45511</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45511</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45511</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45511</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45511</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45511</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45511</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45511</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45511</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45511</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45511</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45511</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45511</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45511</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45511</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45511</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45511</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45511</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45511</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45511</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45511</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45511</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45511</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45511</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45511</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45511</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45511</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45511</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45511</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45511</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45511</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28635-2024</t>
        </is>
      </c>
      <c r="B2006" s="1" t="n">
        <v>45478</v>
      </c>
      <c r="C2006" s="1" t="n">
        <v>45511</v>
      </c>
      <c r="D2006" t="inlineStr">
        <is>
          <t>JÄMTLANDS LÄN</t>
        </is>
      </c>
      <c r="E2006" t="inlineStr">
        <is>
          <t>BRÄCKE</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28553-2024</t>
        </is>
      </c>
      <c r="B2007" s="1" t="n">
        <v>45478</v>
      </c>
      <c r="C2007" s="1" t="n">
        <v>45511</v>
      </c>
      <c r="D2007" t="inlineStr">
        <is>
          <t>JÄMTLANDS LÄN</t>
        </is>
      </c>
      <c r="E2007" t="inlineStr">
        <is>
          <t>BRÄCKE</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28765-2024</t>
        </is>
      </c>
      <c r="B2008" s="1" t="n">
        <v>45478</v>
      </c>
      <c r="C2008" s="1" t="n">
        <v>45511</v>
      </c>
      <c r="D2008" t="inlineStr">
        <is>
          <t>JÄMTLANDS LÄN</t>
        </is>
      </c>
      <c r="E2008" t="inlineStr">
        <is>
          <t>BRÄCKE</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28616-2024</t>
        </is>
      </c>
      <c r="B2009" s="1" t="n">
        <v>45478</v>
      </c>
      <c r="C2009" s="1" t="n">
        <v>45511</v>
      </c>
      <c r="D2009" t="inlineStr">
        <is>
          <t>JÄMTLANDS LÄN</t>
        </is>
      </c>
      <c r="E2009" t="inlineStr">
        <is>
          <t>BRÄCKE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45511</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29103-2024</t>
        </is>
      </c>
      <c r="B2011" s="1" t="n">
        <v>45482</v>
      </c>
      <c r="C2011" s="1" t="n">
        <v>45511</v>
      </c>
      <c r="D2011" t="inlineStr">
        <is>
          <t>JÄMTLANDS LÄN</t>
        </is>
      </c>
      <c r="E2011" t="inlineStr">
        <is>
          <t>BRÄCKE</t>
        </is>
      </c>
      <c r="F2011" t="inlineStr">
        <is>
          <t>SCA</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29028-2024</t>
        </is>
      </c>
      <c r="B2012" s="1" t="n">
        <v>45481</v>
      </c>
      <c r="C2012" s="1" t="n">
        <v>45511</v>
      </c>
      <c r="D2012" t="inlineStr">
        <is>
          <t>JÄMTLANDS LÄN</t>
        </is>
      </c>
      <c r="E2012" t="inlineStr">
        <is>
          <t>BRÄCKE</t>
        </is>
      </c>
      <c r="F2012" t="inlineStr">
        <is>
          <t>Övriga Aktiebolag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29003-2024</t>
        </is>
      </c>
      <c r="B2013" s="1" t="n">
        <v>45481</v>
      </c>
      <c r="C2013" s="1" t="n">
        <v>45511</v>
      </c>
      <c r="D2013" t="inlineStr">
        <is>
          <t>JÄMTLANDS LÄN</t>
        </is>
      </c>
      <c r="E2013" t="inlineStr">
        <is>
          <t>BRÄCKE</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29130-2024</t>
        </is>
      </c>
      <c r="B2014" s="1" t="n">
        <v>45482</v>
      </c>
      <c r="C2014" s="1" t="n">
        <v>45511</v>
      </c>
      <c r="D2014" t="inlineStr">
        <is>
          <t>JÄMTLANDS LÄN</t>
        </is>
      </c>
      <c r="E2014" t="inlineStr">
        <is>
          <t>BRÄCKE</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29189-2024</t>
        </is>
      </c>
      <c r="B2015" s="1" t="n">
        <v>45482</v>
      </c>
      <c r="C2015" s="1" t="n">
        <v>45511</v>
      </c>
      <c r="D2015" t="inlineStr">
        <is>
          <t>JÄMTLANDS LÄN</t>
        </is>
      </c>
      <c r="E2015" t="inlineStr">
        <is>
          <t>BRÄCKE</t>
        </is>
      </c>
      <c r="F2015" t="inlineStr">
        <is>
          <t>Övriga Aktiebolag</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29162-2024</t>
        </is>
      </c>
      <c r="B2016" s="1" t="n">
        <v>45482</v>
      </c>
      <c r="C2016" s="1" t="n">
        <v>45511</v>
      </c>
      <c r="D2016" t="inlineStr">
        <is>
          <t>JÄMTLANDS LÄN</t>
        </is>
      </c>
      <c r="E2016" t="inlineStr">
        <is>
          <t>BRÄCKE</t>
        </is>
      </c>
      <c r="F2016" t="inlineStr">
        <is>
          <t>Övriga Aktiebolag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29203-2024</t>
        </is>
      </c>
      <c r="B2017" s="1" t="n">
        <v>45482</v>
      </c>
      <c r="C2017" s="1" t="n">
        <v>45511</v>
      </c>
      <c r="D2017" t="inlineStr">
        <is>
          <t>JÄMTLANDS LÄN</t>
        </is>
      </c>
      <c r="E2017" t="inlineStr">
        <is>
          <t>BRÄCKE</t>
        </is>
      </c>
      <c r="F2017" t="inlineStr">
        <is>
          <t>Övriga Aktiebolag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29215-2024</t>
        </is>
      </c>
      <c r="B2018" s="1" t="n">
        <v>45482</v>
      </c>
      <c r="C2018" s="1" t="n">
        <v>45511</v>
      </c>
      <c r="D2018" t="inlineStr">
        <is>
          <t>JÄMTLANDS LÄN</t>
        </is>
      </c>
      <c r="E2018" t="inlineStr">
        <is>
          <t>BRÄCKE</t>
        </is>
      </c>
      <c r="F2018" t="inlineStr">
        <is>
          <t>Övriga Aktiebolag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29262-2024</t>
        </is>
      </c>
      <c r="B2019" s="1" t="n">
        <v>45483</v>
      </c>
      <c r="C2019" s="1" t="n">
        <v>45511</v>
      </c>
      <c r="D2019" t="inlineStr">
        <is>
          <t>JÄMTLANDS LÄN</t>
        </is>
      </c>
      <c r="E2019" t="inlineStr">
        <is>
          <t>BRÄCKE</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29272-2024</t>
        </is>
      </c>
      <c r="B2020" s="1" t="n">
        <v>45483</v>
      </c>
      <c r="C2020" s="1" t="n">
        <v>45511</v>
      </c>
      <c r="D2020" t="inlineStr">
        <is>
          <t>JÄMTLANDS LÄN</t>
        </is>
      </c>
      <c r="E2020" t="inlineStr">
        <is>
          <t>BRÄCKE</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29348-2024</t>
        </is>
      </c>
      <c r="B2021" s="1" t="n">
        <v>45483</v>
      </c>
      <c r="C2021" s="1" t="n">
        <v>45511</v>
      </c>
      <c r="D2021" t="inlineStr">
        <is>
          <t>JÄMTLANDS LÄN</t>
        </is>
      </c>
      <c r="E2021" t="inlineStr">
        <is>
          <t>BRÄCKE</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29409-2024</t>
        </is>
      </c>
      <c r="B2022" s="1" t="n">
        <v>45483</v>
      </c>
      <c r="C2022" s="1" t="n">
        <v>45511</v>
      </c>
      <c r="D2022" t="inlineStr">
        <is>
          <t>JÄMTLANDS LÄN</t>
        </is>
      </c>
      <c r="E2022" t="inlineStr">
        <is>
          <t>BRÄCKE</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29460-2024</t>
        </is>
      </c>
      <c r="B2023" s="1" t="n">
        <v>45484</v>
      </c>
      <c r="C2023" s="1" t="n">
        <v>45511</v>
      </c>
      <c r="D2023" t="inlineStr">
        <is>
          <t>JÄMTLANDS LÄN</t>
        </is>
      </c>
      <c r="E2023" t="inlineStr">
        <is>
          <t>BRÄCKE</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29456-2024</t>
        </is>
      </c>
      <c r="B2024" s="1" t="n">
        <v>45484</v>
      </c>
      <c r="C2024" s="1" t="n">
        <v>45511</v>
      </c>
      <c r="D2024" t="inlineStr">
        <is>
          <t>JÄMTLANDS LÄN</t>
        </is>
      </c>
      <c r="E2024" t="inlineStr">
        <is>
          <t>BRÄCKE</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29493-2024</t>
        </is>
      </c>
      <c r="B2025" s="1" t="n">
        <v>45484</v>
      </c>
      <c r="C2025" s="1" t="n">
        <v>45511</v>
      </c>
      <c r="D2025" t="inlineStr">
        <is>
          <t>JÄMTLANDS LÄN</t>
        </is>
      </c>
      <c r="E2025" t="inlineStr">
        <is>
          <t>BRÄCKE</t>
        </is>
      </c>
      <c r="F2025" t="inlineStr">
        <is>
          <t>Övriga Aktiebolag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29521-2024</t>
        </is>
      </c>
      <c r="B2026" s="1" t="n">
        <v>45484</v>
      </c>
      <c r="C2026" s="1" t="n">
        <v>45511</v>
      </c>
      <c r="D2026" t="inlineStr">
        <is>
          <t>JÄMTLANDS LÄN</t>
        </is>
      </c>
      <c r="E2026" t="inlineStr">
        <is>
          <t>BRÄCKE</t>
        </is>
      </c>
      <c r="F2026" t="inlineStr">
        <is>
          <t>Övriga Aktiebolag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29572-2024</t>
        </is>
      </c>
      <c r="B2027" s="1" t="n">
        <v>45484</v>
      </c>
      <c r="C2027" s="1" t="n">
        <v>45511</v>
      </c>
      <c r="D2027" t="inlineStr">
        <is>
          <t>JÄMTLANDS LÄN</t>
        </is>
      </c>
      <c r="E2027" t="inlineStr">
        <is>
          <t>BRÄCKE</t>
        </is>
      </c>
      <c r="F2027" t="inlineStr">
        <is>
          <t>Övriga Aktiebolag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29546-2024</t>
        </is>
      </c>
      <c r="B2028" s="1" t="n">
        <v>45484</v>
      </c>
      <c r="C2028" s="1" t="n">
        <v>45511</v>
      </c>
      <c r="D2028" t="inlineStr">
        <is>
          <t>JÄMTLANDS LÄN</t>
        </is>
      </c>
      <c r="E2028" t="inlineStr">
        <is>
          <t>BRÄCKE</t>
        </is>
      </c>
      <c r="F2028" t="inlineStr">
        <is>
          <t>Övriga Aktiebolag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29638-2024</t>
        </is>
      </c>
      <c r="B2029" s="1" t="n">
        <v>45484</v>
      </c>
      <c r="C2029" s="1" t="n">
        <v>45511</v>
      </c>
      <c r="D2029" t="inlineStr">
        <is>
          <t>JÄMTLANDS LÄN</t>
        </is>
      </c>
      <c r="E2029" t="inlineStr">
        <is>
          <t>BRÄCKE</t>
        </is>
      </c>
      <c r="F2029" t="inlineStr">
        <is>
          <t>Kommuner</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29637-2024</t>
        </is>
      </c>
      <c r="B2030" s="1" t="n">
        <v>45484</v>
      </c>
      <c r="C2030" s="1" t="n">
        <v>45511</v>
      </c>
      <c r="D2030" t="inlineStr">
        <is>
          <t>JÄMTLANDS LÄN</t>
        </is>
      </c>
      <c r="E2030" t="inlineStr">
        <is>
          <t>BRÄCKE</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29872-2024</t>
        </is>
      </c>
      <c r="B2031" s="1" t="n">
        <v>45486</v>
      </c>
      <c r="C2031" s="1" t="n">
        <v>45511</v>
      </c>
      <c r="D2031" t="inlineStr">
        <is>
          <t>JÄMTLANDS LÄN</t>
        </is>
      </c>
      <c r="E2031" t="inlineStr">
        <is>
          <t>BRÄCKE</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29873-2024</t>
        </is>
      </c>
      <c r="B2032" s="1" t="n">
        <v>45486</v>
      </c>
      <c r="C2032" s="1" t="n">
        <v>45511</v>
      </c>
      <c r="D2032" t="inlineStr">
        <is>
          <t>JÄMTLANDS LÄN</t>
        </is>
      </c>
      <c r="E2032" t="inlineStr">
        <is>
          <t>BRÄCKE</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29868-2024</t>
        </is>
      </c>
      <c r="B2033" s="1" t="n">
        <v>45486</v>
      </c>
      <c r="C2033" s="1" t="n">
        <v>45511</v>
      </c>
      <c r="D2033" t="inlineStr">
        <is>
          <t>JÄMTLANDS LÄN</t>
        </is>
      </c>
      <c r="E2033" t="inlineStr">
        <is>
          <t>BRÄCKE</t>
        </is>
      </c>
      <c r="F2033" t="inlineStr">
        <is>
          <t>SCA</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45511</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45511</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30480-2024</t>
        </is>
      </c>
      <c r="B2036" s="1" t="n">
        <v>45492</v>
      </c>
      <c r="C2036" s="1" t="n">
        <v>45511</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30488-2024</t>
        </is>
      </c>
      <c r="B2037" s="1" t="n">
        <v>45492</v>
      </c>
      <c r="C2037" s="1" t="n">
        <v>45511</v>
      </c>
      <c r="D2037" t="inlineStr">
        <is>
          <t>JÄMTLANDS LÄN</t>
        </is>
      </c>
      <c r="E2037" t="inlineStr">
        <is>
          <t>BRÄCKE</t>
        </is>
      </c>
      <c r="F2037" t="inlineStr">
        <is>
          <t>Naturvårdsverket</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30463-2024</t>
        </is>
      </c>
      <c r="B2038" s="1" t="n">
        <v>45492</v>
      </c>
      <c r="C2038" s="1" t="n">
        <v>45511</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30487-2024</t>
        </is>
      </c>
      <c r="B2039" s="1" t="n">
        <v>45492</v>
      </c>
      <c r="C2039" s="1" t="n">
        <v>45511</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45511</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45511</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45511</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45511</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30874-2024</t>
        </is>
      </c>
      <c r="B2044" s="1" t="n">
        <v>45498</v>
      </c>
      <c r="C2044" s="1" t="n">
        <v>45511</v>
      </c>
      <c r="D2044" t="inlineStr">
        <is>
          <t>JÄMTLANDS LÄN</t>
        </is>
      </c>
      <c r="E2044" t="inlineStr">
        <is>
          <t>BRÄCKE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30933-2024</t>
        </is>
      </c>
      <c r="B2045" s="1" t="n">
        <v>45498</v>
      </c>
      <c r="C2045" s="1" t="n">
        <v>45511</v>
      </c>
      <c r="D2045" t="inlineStr">
        <is>
          <t>JÄMTLANDS LÄN</t>
        </is>
      </c>
      <c r="E2045" t="inlineStr">
        <is>
          <t>BRÄCKE</t>
        </is>
      </c>
      <c r="G2045" t="n">
        <v>13.8</v>
      </c>
      <c r="H2045" t="n">
        <v>0</v>
      </c>
      <c r="I2045" t="n">
        <v>0</v>
      </c>
      <c r="J2045" t="n">
        <v>0</v>
      </c>
      <c r="K2045" t="n">
        <v>0</v>
      </c>
      <c r="L2045" t="n">
        <v>0</v>
      </c>
      <c r="M2045" t="n">
        <v>0</v>
      </c>
      <c r="N2045" t="n">
        <v>0</v>
      </c>
      <c r="O2045" t="n">
        <v>0</v>
      </c>
      <c r="P2045" t="n">
        <v>0</v>
      </c>
      <c r="Q2045" t="n">
        <v>0</v>
      </c>
      <c r="R2045" s="2" t="inlineStr"/>
    </row>
    <row r="2046" ht="15" customHeight="1">
      <c r="A2046" t="inlineStr">
        <is>
          <t>A 30991-2024</t>
        </is>
      </c>
      <c r="B2046" s="1" t="n">
        <v>45499</v>
      </c>
      <c r="C2046" s="1" t="n">
        <v>45511</v>
      </c>
      <c r="D2046" t="inlineStr">
        <is>
          <t>JÄMTLANDS LÄN</t>
        </is>
      </c>
      <c r="E2046" t="inlineStr">
        <is>
          <t>BRÄCKE</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30990-2024</t>
        </is>
      </c>
      <c r="B2047" s="1" t="n">
        <v>45499</v>
      </c>
      <c r="C2047" s="1" t="n">
        <v>45511</v>
      </c>
      <c r="D2047" t="inlineStr">
        <is>
          <t>JÄMTLANDS LÄN</t>
        </is>
      </c>
      <c r="E2047" t="inlineStr">
        <is>
          <t>BRÄCKE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45511</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31403-2024</t>
        </is>
      </c>
      <c r="B2049" s="1" t="n">
        <v>45505</v>
      </c>
      <c r="C2049" s="1" t="n">
        <v>45511</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31558-2024</t>
        </is>
      </c>
      <c r="B2050" s="1" t="n">
        <v>45505</v>
      </c>
      <c r="C2050" s="1" t="n">
        <v>45511</v>
      </c>
      <c r="D2050" t="inlineStr">
        <is>
          <t>JÄMTLANDS LÄN</t>
        </is>
      </c>
      <c r="E2050" t="inlineStr">
        <is>
          <t>BRÄCKE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31466-2024</t>
        </is>
      </c>
      <c r="B2051" s="1" t="n">
        <v>45506</v>
      </c>
      <c r="C2051" s="1" t="n">
        <v>45511</v>
      </c>
      <c r="D2051" t="inlineStr">
        <is>
          <t>JÄMTLANDS LÄN</t>
        </is>
      </c>
      <c r="E2051" t="inlineStr">
        <is>
          <t>BRÄCKE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31567-2024</t>
        </is>
      </c>
      <c r="B2052" s="1" t="n">
        <v>45506</v>
      </c>
      <c r="C2052" s="1" t="n">
        <v>45511</v>
      </c>
      <c r="D2052" t="inlineStr">
        <is>
          <t>JÄMTLANDS LÄN</t>
        </is>
      </c>
      <c r="E2052" t="inlineStr">
        <is>
          <t>BRÄCKE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31566-2024</t>
        </is>
      </c>
      <c r="B2053" s="1" t="n">
        <v>45506</v>
      </c>
      <c r="C2053" s="1" t="n">
        <v>45511</v>
      </c>
      <c r="D2053" t="inlineStr">
        <is>
          <t>JÄMTLANDS LÄN</t>
        </is>
      </c>
      <c r="E2053" t="inlineStr">
        <is>
          <t>BRÄCKE</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31519-2024</t>
        </is>
      </c>
      <c r="B2054" s="1" t="n">
        <v>45505</v>
      </c>
      <c r="C2054" s="1" t="n">
        <v>45511</v>
      </c>
      <c r="D2054" t="inlineStr">
        <is>
          <t>JÄMTLANDS LÄN</t>
        </is>
      </c>
      <c r="E2054" t="inlineStr">
        <is>
          <t>BRÄCKE</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31469-2024</t>
        </is>
      </c>
      <c r="B2055" s="1" t="n">
        <v>45505</v>
      </c>
      <c r="C2055" s="1" t="n">
        <v>45511</v>
      </c>
      <c r="D2055" t="inlineStr">
        <is>
          <t>JÄMTLANDS LÄN</t>
        </is>
      </c>
      <c r="E2055" t="inlineStr">
        <is>
          <t>BRÄCKE</t>
        </is>
      </c>
      <c r="F2055" t="inlineStr">
        <is>
          <t>SCA</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31468-2024</t>
        </is>
      </c>
      <c r="B2056" s="1" t="n">
        <v>45506</v>
      </c>
      <c r="C2056" s="1" t="n">
        <v>45511</v>
      </c>
      <c r="D2056" t="inlineStr">
        <is>
          <t>JÄMTLANDS LÄN</t>
        </is>
      </c>
      <c r="E2056" t="inlineStr">
        <is>
          <t>BRÄCKE</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31508-2024</t>
        </is>
      </c>
      <c r="B2057" s="1" t="n">
        <v>45505</v>
      </c>
      <c r="C2057" s="1" t="n">
        <v>45511</v>
      </c>
      <c r="D2057" t="inlineStr">
        <is>
          <t>JÄMTLANDS LÄN</t>
        </is>
      </c>
      <c r="E2057" t="inlineStr">
        <is>
          <t>BRÄCKE</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31526-2024</t>
        </is>
      </c>
      <c r="B2058" s="1" t="n">
        <v>45506</v>
      </c>
      <c r="C2058" s="1" t="n">
        <v>45511</v>
      </c>
      <c r="D2058" t="inlineStr">
        <is>
          <t>JÄMTLANDS LÄN</t>
        </is>
      </c>
      <c r="E2058" t="inlineStr">
        <is>
          <t>BRÄCKE</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31467-2024</t>
        </is>
      </c>
      <c r="B2059" s="1" t="n">
        <v>45506</v>
      </c>
      <c r="C2059" s="1" t="n">
        <v>45511</v>
      </c>
      <c r="D2059" t="inlineStr">
        <is>
          <t>JÄMTLANDS LÄN</t>
        </is>
      </c>
      <c r="E2059" t="inlineStr">
        <is>
          <t>BRÄCKE</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31517-2024</t>
        </is>
      </c>
      <c r="B2060" s="1" t="n">
        <v>45505</v>
      </c>
      <c r="C2060" s="1" t="n">
        <v>45511</v>
      </c>
      <c r="D2060" t="inlineStr">
        <is>
          <t>JÄMTLANDS LÄN</t>
        </is>
      </c>
      <c r="E2060" t="inlineStr">
        <is>
          <t>BRÄCKE</t>
        </is>
      </c>
      <c r="F2060" t="inlineStr">
        <is>
          <t>SCA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31525-2024</t>
        </is>
      </c>
      <c r="B2061" s="1" t="n">
        <v>45506</v>
      </c>
      <c r="C2061" s="1" t="n">
        <v>45511</v>
      </c>
      <c r="D2061" t="inlineStr">
        <is>
          <t>JÄMTLANDS LÄN</t>
        </is>
      </c>
      <c r="E2061" t="inlineStr">
        <is>
          <t>BRÄCKE</t>
        </is>
      </c>
      <c r="F2061" t="inlineStr">
        <is>
          <t>SCA</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31692-2024</t>
        </is>
      </c>
      <c r="B2062" s="1" t="n">
        <v>45508</v>
      </c>
      <c r="C2062" s="1" t="n">
        <v>45511</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31713-2024</t>
        </is>
      </c>
      <c r="B2063" s="1" t="n">
        <v>45509</v>
      </c>
      <c r="C2063" s="1" t="n">
        <v>45511</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31745-2024</t>
        </is>
      </c>
      <c r="B2064" s="1" t="n">
        <v>45509</v>
      </c>
      <c r="C2064" s="1" t="n">
        <v>45511</v>
      </c>
      <c r="D2064" t="inlineStr">
        <is>
          <t>JÄMTLANDS LÄN</t>
        </is>
      </c>
      <c r="E2064" t="inlineStr">
        <is>
          <t>BRÄCKE</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31756-2024</t>
        </is>
      </c>
      <c r="B2065" s="1" t="n">
        <v>45509</v>
      </c>
      <c r="C2065" s="1" t="n">
        <v>45511</v>
      </c>
      <c r="D2065" t="inlineStr">
        <is>
          <t>JÄMTLANDS LÄN</t>
        </is>
      </c>
      <c r="E2065" t="inlineStr">
        <is>
          <t>BRÄCKE</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31888-2024</t>
        </is>
      </c>
      <c r="B2066" s="1" t="n">
        <v>45509</v>
      </c>
      <c r="C2066" s="1" t="n">
        <v>45511</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c r="A2067" t="inlineStr">
        <is>
          <t>A 32060-2024</t>
        </is>
      </c>
      <c r="B2067" s="1" t="n">
        <v>45511</v>
      </c>
      <c r="C2067" s="1" t="n">
        <v>45511</v>
      </c>
      <c r="D2067" t="inlineStr">
        <is>
          <t>JÄMTLANDS LÄN</t>
        </is>
      </c>
      <c r="E2067" t="inlineStr">
        <is>
          <t>BRÄCKE</t>
        </is>
      </c>
      <c r="G2067" t="n">
        <v>2.1</v>
      </c>
      <c r="H2067" t="n">
        <v>0</v>
      </c>
      <c r="I2067" t="n">
        <v>0</v>
      </c>
      <c r="J2067" t="n">
        <v>0</v>
      </c>
      <c r="K2067" t="n">
        <v>0</v>
      </c>
      <c r="L2067" t="n">
        <v>0</v>
      </c>
      <c r="M2067" t="n">
        <v>0</v>
      </c>
      <c r="N2067" t="n">
        <v>0</v>
      </c>
      <c r="O2067" t="n">
        <v>0</v>
      </c>
      <c r="P2067" t="n">
        <v>0</v>
      </c>
      <c r="Q2067" t="n">
        <v>0</v>
      </c>
      <c r="R2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2024-08-07T10:42:55Z</dcterms:created>
  <dcterms:modified xmlns:dcterms="http://purl.org/dc/terms/" xmlns:xsi="http://www.w3.org/2001/XMLSchema-instance" xsi:type="dcterms:W3CDTF">2024-08-07T10:42:57Z</dcterms:modified>
</cp:coreProperties>
</file>