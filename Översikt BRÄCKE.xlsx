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45847</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45847</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45847</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45847</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45847</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45847</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45847</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45847</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45847</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45847</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45847</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45847</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45847</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45847</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45847</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45847</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45847</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45847</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45847</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45847</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45847</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45847</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45847</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45847</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45847</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45847</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45847</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45847</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45847</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45847</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45847</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45847</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45847</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45847</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45847</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45847</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45847</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45847</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45847</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45847</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45847</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45847</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45847</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45847</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45847</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45847</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45847</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45847</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45847</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45847</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45847</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45847</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70806-2021</t>
        </is>
      </c>
      <c r="B63" s="1" t="n">
        <v>44537</v>
      </c>
      <c r="C63" s="1" t="n">
        <v>45847</v>
      </c>
      <c r="D63" t="inlineStr">
        <is>
          <t>JÄMTLANDS LÄN</t>
        </is>
      </c>
      <c r="E63" t="inlineStr">
        <is>
          <t>BRÄCKE</t>
        </is>
      </c>
      <c r="G63" t="n">
        <v>3.9</v>
      </c>
      <c r="H63" t="n">
        <v>2</v>
      </c>
      <c r="I63" t="n">
        <v>2</v>
      </c>
      <c r="J63" t="n">
        <v>5</v>
      </c>
      <c r="K63" t="n">
        <v>1</v>
      </c>
      <c r="L63" t="n">
        <v>0</v>
      </c>
      <c r="M63" t="n">
        <v>0</v>
      </c>
      <c r="N63" t="n">
        <v>0</v>
      </c>
      <c r="O63" t="n">
        <v>6</v>
      </c>
      <c r="P63" t="n">
        <v>1</v>
      </c>
      <c r="Q63" t="n">
        <v>8</v>
      </c>
      <c r="R63" s="2" t="inlineStr">
        <is>
          <t>Knärot
Garnlav
Lunglav
Tretåig hackspett
Ullticka
Vedskivlav
Luddlav
Vanlig flatbagge</t>
        </is>
      </c>
      <c r="S63">
        <f>HYPERLINK("https://klasma.github.io/Logging_2305/artfynd/A 70806-2021 artfynd.xlsx", "A 70806-2021")</f>
        <v/>
      </c>
      <c r="T63">
        <f>HYPERLINK("https://klasma.github.io/Logging_2305/kartor/A 70806-2021 karta.png", "A 70806-2021")</f>
        <v/>
      </c>
      <c r="U63">
        <f>HYPERLINK("https://klasma.github.io/Logging_2305/knärot/A 70806-2021 karta knärot.png", "A 70806-2021")</f>
        <v/>
      </c>
      <c r="V63">
        <f>HYPERLINK("https://klasma.github.io/Logging_2305/klagomål/A 70806-2021 FSC-klagomål.docx", "A 70806-2021")</f>
        <v/>
      </c>
      <c r="W63">
        <f>HYPERLINK("https://klasma.github.io/Logging_2305/klagomålsmail/A 70806-2021 FSC-klagomål mail.docx", "A 70806-2021")</f>
        <v/>
      </c>
      <c r="X63">
        <f>HYPERLINK("https://klasma.github.io/Logging_2305/tillsyn/A 70806-2021 tillsynsbegäran.docx", "A 70806-2021")</f>
        <v/>
      </c>
      <c r="Y63">
        <f>HYPERLINK("https://klasma.github.io/Logging_2305/tillsynsmail/A 70806-2021 tillsynsbegäran mail.docx", "A 70806-2021")</f>
        <v/>
      </c>
      <c r="Z63">
        <f>HYPERLINK("https://klasma.github.io/Logging_2305/fåglar/A 70806-2021 prioriterade fågelarter.docx", "A 70806-2021")</f>
        <v/>
      </c>
    </row>
    <row r="64" ht="15" customHeight="1">
      <c r="A64" t="inlineStr">
        <is>
          <t>A 20617-2023</t>
        </is>
      </c>
      <c r="B64" s="1" t="n">
        <v>45057</v>
      </c>
      <c r="C64" s="1" t="n">
        <v>45847</v>
      </c>
      <c r="D64" t="inlineStr">
        <is>
          <t>JÄMTLANDS LÄN</t>
        </is>
      </c>
      <c r="E64" t="inlineStr">
        <is>
          <t>BRÄCKE</t>
        </is>
      </c>
      <c r="F64" t="inlineStr">
        <is>
          <t>SCA</t>
        </is>
      </c>
      <c r="G64" t="n">
        <v>10.5</v>
      </c>
      <c r="H64" t="n">
        <v>3</v>
      </c>
      <c r="I64" t="n">
        <v>6</v>
      </c>
      <c r="J64" t="n">
        <v>1</v>
      </c>
      <c r="K64" t="n">
        <v>0</v>
      </c>
      <c r="L64" t="n">
        <v>0</v>
      </c>
      <c r="M64" t="n">
        <v>0</v>
      </c>
      <c r="N64" t="n">
        <v>0</v>
      </c>
      <c r="O64" t="n">
        <v>1</v>
      </c>
      <c r="P64" t="n">
        <v>0</v>
      </c>
      <c r="Q64" t="n">
        <v>8</v>
      </c>
      <c r="R64" s="2" t="inlineStr">
        <is>
          <t>Lunglav
Guckusko
Kransrams
Stuplav
Svart trolldruva
Tibast
Tvåblad
Blåsippa</t>
        </is>
      </c>
      <c r="S64">
        <f>HYPERLINK("https://klasma.github.io/Logging_2305/artfynd/A 20617-2023 artfynd.xlsx", "A 20617-2023")</f>
        <v/>
      </c>
      <c r="T64">
        <f>HYPERLINK("https://klasma.github.io/Logging_2305/kartor/A 20617-2023 karta.png", "A 20617-2023")</f>
        <v/>
      </c>
      <c r="V64">
        <f>HYPERLINK("https://klasma.github.io/Logging_2305/klagomål/A 20617-2023 FSC-klagomål.docx", "A 20617-2023")</f>
        <v/>
      </c>
      <c r="W64">
        <f>HYPERLINK("https://klasma.github.io/Logging_2305/klagomålsmail/A 20617-2023 FSC-klagomål mail.docx", "A 20617-2023")</f>
        <v/>
      </c>
      <c r="X64">
        <f>HYPERLINK("https://klasma.github.io/Logging_2305/tillsyn/A 20617-2023 tillsynsbegäran.docx", "A 20617-2023")</f>
        <v/>
      </c>
      <c r="Y64">
        <f>HYPERLINK("https://klasma.github.io/Logging_2305/tillsynsmail/A 20617-2023 tillsynsbegäran mail.docx", "A 20617-2023")</f>
        <v/>
      </c>
    </row>
    <row r="65" ht="15" customHeight="1">
      <c r="A65" t="inlineStr">
        <is>
          <t>A 49336-2023</t>
        </is>
      </c>
      <c r="B65" s="1" t="n">
        <v>45210</v>
      </c>
      <c r="C65" s="1" t="n">
        <v>45847</v>
      </c>
      <c r="D65" t="inlineStr">
        <is>
          <t>JÄMTLANDS LÄN</t>
        </is>
      </c>
      <c r="E65" t="inlineStr">
        <is>
          <t>BRÄCKE</t>
        </is>
      </c>
      <c r="F65" t="inlineStr">
        <is>
          <t>SCA</t>
        </is>
      </c>
      <c r="G65" t="n">
        <v>3.5</v>
      </c>
      <c r="H65" t="n">
        <v>5</v>
      </c>
      <c r="I65" t="n">
        <v>3</v>
      </c>
      <c r="J65" t="n">
        <v>3</v>
      </c>
      <c r="K65" t="n">
        <v>1</v>
      </c>
      <c r="L65" t="n">
        <v>0</v>
      </c>
      <c r="M65" t="n">
        <v>0</v>
      </c>
      <c r="N65" t="n">
        <v>0</v>
      </c>
      <c r="O65" t="n">
        <v>4</v>
      </c>
      <c r="P65" t="n">
        <v>1</v>
      </c>
      <c r="Q65" t="n">
        <v>8</v>
      </c>
      <c r="R65" s="2" t="inlineStr">
        <is>
          <t>Knärot
Lunglav
Spillkråka
Ullticka
Grönkulla
Kransrams
Spindelblomster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51037-2023</t>
        </is>
      </c>
      <c r="B66" s="1" t="n">
        <v>45218</v>
      </c>
      <c r="C66" s="1" t="n">
        <v>45847</v>
      </c>
      <c r="D66" t="inlineStr">
        <is>
          <t>JÄMTLANDS LÄN</t>
        </is>
      </c>
      <c r="E66" t="inlineStr">
        <is>
          <t>BRÄCKE</t>
        </is>
      </c>
      <c r="G66" t="n">
        <v>6.8</v>
      </c>
      <c r="H66" t="n">
        <v>1</v>
      </c>
      <c r="I66" t="n">
        <v>4</v>
      </c>
      <c r="J66" t="n">
        <v>3</v>
      </c>
      <c r="K66" t="n">
        <v>1</v>
      </c>
      <c r="L66" t="n">
        <v>0</v>
      </c>
      <c r="M66" t="n">
        <v>0</v>
      </c>
      <c r="N66" t="n">
        <v>0</v>
      </c>
      <c r="O66" t="n">
        <v>4</v>
      </c>
      <c r="P66" t="n">
        <v>1</v>
      </c>
      <c r="Q66" t="n">
        <v>8</v>
      </c>
      <c r="R66" s="2" t="inlineStr">
        <is>
          <t>Doftticka
Kolflarnlav
Lunglav
Skrovellav
Bårdlav
Gytterlav
Luddlav
Stuplav</t>
        </is>
      </c>
      <c r="S66">
        <f>HYPERLINK("https://klasma.github.io/Logging_2305/artfynd/A 51037-2023 artfynd.xlsx", "A 51037-2023")</f>
        <v/>
      </c>
      <c r="T66">
        <f>HYPERLINK("https://klasma.github.io/Logging_2305/kartor/A 51037-2023 karta.png", "A 51037-2023")</f>
        <v/>
      </c>
      <c r="V66">
        <f>HYPERLINK("https://klasma.github.io/Logging_2305/klagomål/A 51037-2023 FSC-klagomål.docx", "A 51037-2023")</f>
        <v/>
      </c>
      <c r="W66">
        <f>HYPERLINK("https://klasma.github.io/Logging_2305/klagomålsmail/A 51037-2023 FSC-klagomål mail.docx", "A 51037-2023")</f>
        <v/>
      </c>
      <c r="X66">
        <f>HYPERLINK("https://klasma.github.io/Logging_2305/tillsyn/A 51037-2023 tillsynsbegäran.docx", "A 51037-2023")</f>
        <v/>
      </c>
      <c r="Y66">
        <f>HYPERLINK("https://klasma.github.io/Logging_2305/tillsynsmail/A 51037-2023 tillsynsbegäran mail.docx", "A 51037-2023")</f>
        <v/>
      </c>
    </row>
    <row r="67" ht="15" customHeight="1">
      <c r="A67" t="inlineStr">
        <is>
          <t>A 51820-2023</t>
        </is>
      </c>
      <c r="B67" s="1" t="n">
        <v>45223</v>
      </c>
      <c r="C67" s="1" t="n">
        <v>45847</v>
      </c>
      <c r="D67" t="inlineStr">
        <is>
          <t>JÄMTLANDS LÄN</t>
        </is>
      </c>
      <c r="E67" t="inlineStr">
        <is>
          <t>BRÄCKE</t>
        </is>
      </c>
      <c r="F67" t="inlineStr">
        <is>
          <t>SCA</t>
        </is>
      </c>
      <c r="G67" t="n">
        <v>3.4</v>
      </c>
      <c r="H67" t="n">
        <v>1</v>
      </c>
      <c r="I67" t="n">
        <v>2</v>
      </c>
      <c r="J67" t="n">
        <v>6</v>
      </c>
      <c r="K67" t="n">
        <v>0</v>
      </c>
      <c r="L67" t="n">
        <v>0</v>
      </c>
      <c r="M67" t="n">
        <v>0</v>
      </c>
      <c r="N67" t="n">
        <v>0</v>
      </c>
      <c r="O67" t="n">
        <v>6</v>
      </c>
      <c r="P67" t="n">
        <v>0</v>
      </c>
      <c r="Q67" t="n">
        <v>8</v>
      </c>
      <c r="R67" s="2" t="inlineStr">
        <is>
          <t>Granticka
Rosenticka
Tretåig hackspett
Ullticka
Vedtrappmossa
Vitgrynig nållav
Gulnål
Vedticka</t>
        </is>
      </c>
      <c r="S67">
        <f>HYPERLINK("https://klasma.github.io/Logging_2305/artfynd/A 51820-2023 artfynd.xlsx", "A 51820-2023")</f>
        <v/>
      </c>
      <c r="T67">
        <f>HYPERLINK("https://klasma.github.io/Logging_2305/kartor/A 51820-2023 karta.png", "A 51820-2023")</f>
        <v/>
      </c>
      <c r="V67">
        <f>HYPERLINK("https://klasma.github.io/Logging_2305/klagomål/A 51820-2023 FSC-klagomål.docx", "A 51820-2023")</f>
        <v/>
      </c>
      <c r="W67">
        <f>HYPERLINK("https://klasma.github.io/Logging_2305/klagomålsmail/A 51820-2023 FSC-klagomål mail.docx", "A 51820-2023")</f>
        <v/>
      </c>
      <c r="X67">
        <f>HYPERLINK("https://klasma.github.io/Logging_2305/tillsyn/A 51820-2023 tillsynsbegäran.docx", "A 51820-2023")</f>
        <v/>
      </c>
      <c r="Y67">
        <f>HYPERLINK("https://klasma.github.io/Logging_2305/tillsynsmail/A 51820-2023 tillsynsbegäran mail.docx", "A 51820-2023")</f>
        <v/>
      </c>
      <c r="Z67">
        <f>HYPERLINK("https://klasma.github.io/Logging_2305/fåglar/A 51820-2023 prioriterade fågelarter.docx", "A 51820-2023")</f>
        <v/>
      </c>
    </row>
    <row r="68" ht="15" customHeight="1">
      <c r="A68" t="inlineStr">
        <is>
          <t>A 51805-2023</t>
        </is>
      </c>
      <c r="B68" s="1" t="n">
        <v>45222</v>
      </c>
      <c r="C68" s="1" t="n">
        <v>45847</v>
      </c>
      <c r="D68" t="inlineStr">
        <is>
          <t>JÄMTLANDS LÄN</t>
        </is>
      </c>
      <c r="E68" t="inlineStr">
        <is>
          <t>BRÄCKE</t>
        </is>
      </c>
      <c r="F68" t="inlineStr">
        <is>
          <t>Naturvårdsverket</t>
        </is>
      </c>
      <c r="G68" t="n">
        <v>4</v>
      </c>
      <c r="H68" t="n">
        <v>1</v>
      </c>
      <c r="I68" t="n">
        <v>2</v>
      </c>
      <c r="J68" t="n">
        <v>5</v>
      </c>
      <c r="K68" t="n">
        <v>1</v>
      </c>
      <c r="L68" t="n">
        <v>0</v>
      </c>
      <c r="M68" t="n">
        <v>0</v>
      </c>
      <c r="N68" t="n">
        <v>0</v>
      </c>
      <c r="O68" t="n">
        <v>6</v>
      </c>
      <c r="P68" t="n">
        <v>1</v>
      </c>
      <c r="Q68" t="n">
        <v>8</v>
      </c>
      <c r="R68" s="2" t="inlineStr">
        <is>
          <t>Knärot
Dvärgbägarlav
Lunglav
Mörk kolflarnlav
Vedflamlav
Vedskivlav
Dropptaggsvamp
Skinnlav</t>
        </is>
      </c>
      <c r="S68">
        <f>HYPERLINK("https://klasma.github.io/Logging_2305/artfynd/A 51805-2023 artfynd.xlsx", "A 51805-2023")</f>
        <v/>
      </c>
      <c r="T68">
        <f>HYPERLINK("https://klasma.github.io/Logging_2305/kartor/A 51805-2023 karta.png", "A 51805-2023")</f>
        <v/>
      </c>
      <c r="U68">
        <f>HYPERLINK("https://klasma.github.io/Logging_2305/knärot/A 51805-2023 karta knärot.png", "A 51805-2023")</f>
        <v/>
      </c>
      <c r="V68">
        <f>HYPERLINK("https://klasma.github.io/Logging_2305/klagomål/A 51805-2023 FSC-klagomål.docx", "A 51805-2023")</f>
        <v/>
      </c>
      <c r="W68">
        <f>HYPERLINK("https://klasma.github.io/Logging_2305/klagomålsmail/A 51805-2023 FSC-klagomål mail.docx", "A 51805-2023")</f>
        <v/>
      </c>
      <c r="X68">
        <f>HYPERLINK("https://klasma.github.io/Logging_2305/tillsyn/A 51805-2023 tillsynsbegäran.docx", "A 51805-2023")</f>
        <v/>
      </c>
      <c r="Y68">
        <f>HYPERLINK("https://klasma.github.io/Logging_2305/tillsynsmail/A 51805-2023 tillsynsbegäran mail.docx", "A 51805-2023")</f>
        <v/>
      </c>
    </row>
    <row r="69" ht="15" customHeight="1">
      <c r="A69" t="inlineStr">
        <is>
          <t>A 51819-2023</t>
        </is>
      </c>
      <c r="B69" s="1" t="n">
        <v>45223</v>
      </c>
      <c r="C69" s="1" t="n">
        <v>45847</v>
      </c>
      <c r="D69" t="inlineStr">
        <is>
          <t>JÄMTLANDS LÄN</t>
        </is>
      </c>
      <c r="E69" t="inlineStr">
        <is>
          <t>BRÄCKE</t>
        </is>
      </c>
      <c r="F69" t="inlineStr">
        <is>
          <t>SCA</t>
        </is>
      </c>
      <c r="G69" t="n">
        <v>3.9</v>
      </c>
      <c r="H69" t="n">
        <v>0</v>
      </c>
      <c r="I69" t="n">
        <v>4</v>
      </c>
      <c r="J69" t="n">
        <v>3</v>
      </c>
      <c r="K69" t="n">
        <v>1</v>
      </c>
      <c r="L69" t="n">
        <v>0</v>
      </c>
      <c r="M69" t="n">
        <v>0</v>
      </c>
      <c r="N69" t="n">
        <v>0</v>
      </c>
      <c r="O69" t="n">
        <v>4</v>
      </c>
      <c r="P69" t="n">
        <v>1</v>
      </c>
      <c r="Q69" t="n">
        <v>8</v>
      </c>
      <c r="R69" s="2" t="inlineStr">
        <is>
          <t>Smalskaftslav
Lunglav
Skrovellav
Ullticka
Bårdlav
Korallblylav
Luddlav
Stuplav</t>
        </is>
      </c>
      <c r="S69">
        <f>HYPERLINK("https://klasma.github.io/Logging_2305/artfynd/A 51819-2023 artfynd.xlsx", "A 51819-2023")</f>
        <v/>
      </c>
      <c r="T69">
        <f>HYPERLINK("https://klasma.github.io/Logging_2305/kartor/A 51819-2023 karta.png", "A 51819-2023")</f>
        <v/>
      </c>
      <c r="V69">
        <f>HYPERLINK("https://klasma.github.io/Logging_2305/klagomål/A 51819-2023 FSC-klagomål.docx", "A 51819-2023")</f>
        <v/>
      </c>
      <c r="W69">
        <f>HYPERLINK("https://klasma.github.io/Logging_2305/klagomålsmail/A 51819-2023 FSC-klagomål mail.docx", "A 51819-2023")</f>
        <v/>
      </c>
      <c r="X69">
        <f>HYPERLINK("https://klasma.github.io/Logging_2305/tillsyn/A 51819-2023 tillsynsbegäran.docx", "A 51819-2023")</f>
        <v/>
      </c>
      <c r="Y69">
        <f>HYPERLINK("https://klasma.github.io/Logging_2305/tillsynsmail/A 51819-2023 tillsynsbegäran mail.docx", "A 51819-2023")</f>
        <v/>
      </c>
    </row>
    <row r="70" ht="15" customHeight="1">
      <c r="A70" t="inlineStr">
        <is>
          <t>A 25866-2024</t>
        </is>
      </c>
      <c r="B70" s="1" t="n">
        <v>45467</v>
      </c>
      <c r="C70" s="1" t="n">
        <v>45847</v>
      </c>
      <c r="D70" t="inlineStr">
        <is>
          <t>JÄMTLANDS LÄN</t>
        </is>
      </c>
      <c r="E70" t="inlineStr">
        <is>
          <t>BRÄCKE</t>
        </is>
      </c>
      <c r="G70" t="n">
        <v>18.7</v>
      </c>
      <c r="H70" t="n">
        <v>1</v>
      </c>
      <c r="I70" t="n">
        <v>0</v>
      </c>
      <c r="J70" t="n">
        <v>7</v>
      </c>
      <c r="K70" t="n">
        <v>1</v>
      </c>
      <c r="L70" t="n">
        <v>0</v>
      </c>
      <c r="M70" t="n">
        <v>0</v>
      </c>
      <c r="N70" t="n">
        <v>0</v>
      </c>
      <c r="O70" t="n">
        <v>8</v>
      </c>
      <c r="P70" t="n">
        <v>1</v>
      </c>
      <c r="Q70" t="n">
        <v>8</v>
      </c>
      <c r="R70" s="2" t="inlineStr">
        <is>
          <t>Knärot
Doftskinn
Garnlav
Granticka
Kandelabersvamp
Koralltaggsvamp
Lunglav
Ullticka</t>
        </is>
      </c>
      <c r="S70">
        <f>HYPERLINK("https://klasma.github.io/Logging_2305/artfynd/A 25866-2024 artfynd.xlsx", "A 25866-2024")</f>
        <v/>
      </c>
      <c r="T70">
        <f>HYPERLINK("https://klasma.github.io/Logging_2305/kartor/A 25866-2024 karta.png", "A 25866-2024")</f>
        <v/>
      </c>
      <c r="U70">
        <f>HYPERLINK("https://klasma.github.io/Logging_2305/knärot/A 25866-2024 karta knärot.png", "A 25866-2024")</f>
        <v/>
      </c>
      <c r="V70">
        <f>HYPERLINK("https://klasma.github.io/Logging_2305/klagomål/A 25866-2024 FSC-klagomål.docx", "A 25866-2024")</f>
        <v/>
      </c>
      <c r="W70">
        <f>HYPERLINK("https://klasma.github.io/Logging_2305/klagomålsmail/A 25866-2024 FSC-klagomål mail.docx", "A 25866-2024")</f>
        <v/>
      </c>
      <c r="X70">
        <f>HYPERLINK("https://klasma.github.io/Logging_2305/tillsyn/A 25866-2024 tillsynsbegäran.docx", "A 25866-2024")</f>
        <v/>
      </c>
      <c r="Y70">
        <f>HYPERLINK("https://klasma.github.io/Logging_2305/tillsynsmail/A 25866-2024 tillsynsbegäran mail.docx", "A 25866-2024")</f>
        <v/>
      </c>
    </row>
    <row r="71" ht="15" customHeight="1">
      <c r="A71" t="inlineStr">
        <is>
          <t>A 49372-2024</t>
        </is>
      </c>
      <c r="B71" s="1" t="n">
        <v>45595</v>
      </c>
      <c r="C71" s="1" t="n">
        <v>45847</v>
      </c>
      <c r="D71" t="inlineStr">
        <is>
          <t>JÄMTLANDS LÄN</t>
        </is>
      </c>
      <c r="E71" t="inlineStr">
        <is>
          <t>BRÄCKE</t>
        </is>
      </c>
      <c r="F71" t="inlineStr">
        <is>
          <t>SCA</t>
        </is>
      </c>
      <c r="G71" t="n">
        <v>11.1</v>
      </c>
      <c r="H71" t="n">
        <v>1</v>
      </c>
      <c r="I71" t="n">
        <v>1</v>
      </c>
      <c r="J71" t="n">
        <v>5</v>
      </c>
      <c r="K71" t="n">
        <v>2</v>
      </c>
      <c r="L71" t="n">
        <v>0</v>
      </c>
      <c r="M71" t="n">
        <v>0</v>
      </c>
      <c r="N71" t="n">
        <v>0</v>
      </c>
      <c r="O71" t="n">
        <v>7</v>
      </c>
      <c r="P71" t="n">
        <v>2</v>
      </c>
      <c r="Q71" t="n">
        <v>8</v>
      </c>
      <c r="R71" s="2" t="inlineStr">
        <is>
          <t>Doftticka
Rynkskinn
Doftskinn
Gammelgransskål
Garnlav
Granticka
Lunglav
Dropptaggsvamp</t>
        </is>
      </c>
      <c r="S71">
        <f>HYPERLINK("https://klasma.github.io/Logging_2305/artfynd/A 49372-2024 artfynd.xlsx", "A 49372-2024")</f>
        <v/>
      </c>
      <c r="T71">
        <f>HYPERLINK("https://klasma.github.io/Logging_2305/kartor/A 49372-2024 karta.png", "A 49372-2024")</f>
        <v/>
      </c>
      <c r="U71">
        <f>HYPERLINK("https://klasma.github.io/Logging_2305/knärot/A 49372-2024 karta knärot.png", "A 49372-2024")</f>
        <v/>
      </c>
      <c r="V71">
        <f>HYPERLINK("https://klasma.github.io/Logging_2305/klagomål/A 49372-2024 FSC-klagomål.docx", "A 49372-2024")</f>
        <v/>
      </c>
      <c r="W71">
        <f>HYPERLINK("https://klasma.github.io/Logging_2305/klagomålsmail/A 49372-2024 FSC-klagomål mail.docx", "A 49372-2024")</f>
        <v/>
      </c>
      <c r="X71">
        <f>HYPERLINK("https://klasma.github.io/Logging_2305/tillsyn/A 49372-2024 tillsynsbegäran.docx", "A 49372-2024")</f>
        <v/>
      </c>
      <c r="Y71">
        <f>HYPERLINK("https://klasma.github.io/Logging_2305/tillsynsmail/A 49372-2024 tillsynsbegäran mail.docx", "A 49372-2024")</f>
        <v/>
      </c>
    </row>
    <row r="72" ht="15" customHeight="1">
      <c r="A72" t="inlineStr">
        <is>
          <t>A 53437-2024</t>
        </is>
      </c>
      <c r="B72" s="1" t="n">
        <v>45614</v>
      </c>
      <c r="C72" s="1" t="n">
        <v>45847</v>
      </c>
      <c r="D72" t="inlineStr">
        <is>
          <t>JÄMTLANDS LÄN</t>
        </is>
      </c>
      <c r="E72" t="inlineStr">
        <is>
          <t>BRÄCKE</t>
        </is>
      </c>
      <c r="F72" t="inlineStr">
        <is>
          <t>SCA</t>
        </is>
      </c>
      <c r="G72" t="n">
        <v>13.5</v>
      </c>
      <c r="H72" t="n">
        <v>1</v>
      </c>
      <c r="I72" t="n">
        <v>1</v>
      </c>
      <c r="J72" t="n">
        <v>6</v>
      </c>
      <c r="K72" t="n">
        <v>1</v>
      </c>
      <c r="L72" t="n">
        <v>0</v>
      </c>
      <c r="M72" t="n">
        <v>0</v>
      </c>
      <c r="N72" t="n">
        <v>0</v>
      </c>
      <c r="O72" t="n">
        <v>7</v>
      </c>
      <c r="P72" t="n">
        <v>1</v>
      </c>
      <c r="Q72" t="n">
        <v>8</v>
      </c>
      <c r="R72" s="2" t="inlineStr">
        <is>
          <t>Knärot
Garnlav
Granticka
Gränsticka
Lunglav
Stjärntagging
Ullticka
Vedticka</t>
        </is>
      </c>
      <c r="S72">
        <f>HYPERLINK("https://klasma.github.io/Logging_2305/artfynd/A 53437-2024 artfynd.xlsx", "A 53437-2024")</f>
        <v/>
      </c>
      <c r="T72">
        <f>HYPERLINK("https://klasma.github.io/Logging_2305/kartor/A 53437-2024 karta.png", "A 53437-2024")</f>
        <v/>
      </c>
      <c r="U72">
        <f>HYPERLINK("https://klasma.github.io/Logging_2305/knärot/A 53437-2024 karta knärot.png", "A 53437-2024")</f>
        <v/>
      </c>
      <c r="V72">
        <f>HYPERLINK("https://klasma.github.io/Logging_2305/klagomål/A 53437-2024 FSC-klagomål.docx", "A 53437-2024")</f>
        <v/>
      </c>
      <c r="W72">
        <f>HYPERLINK("https://klasma.github.io/Logging_2305/klagomålsmail/A 53437-2024 FSC-klagomål mail.docx", "A 53437-2024")</f>
        <v/>
      </c>
      <c r="X72">
        <f>HYPERLINK("https://klasma.github.io/Logging_2305/tillsyn/A 53437-2024 tillsynsbegäran.docx", "A 53437-2024")</f>
        <v/>
      </c>
      <c r="Y72">
        <f>HYPERLINK("https://klasma.github.io/Logging_2305/tillsynsmail/A 53437-2024 tillsynsbegäran mail.docx", "A 53437-2024")</f>
        <v/>
      </c>
    </row>
    <row r="73" ht="15" customHeight="1">
      <c r="A73" t="inlineStr">
        <is>
          <t>A 8707-2025</t>
        </is>
      </c>
      <c r="B73" s="1" t="n">
        <v>45712</v>
      </c>
      <c r="C73" s="1" t="n">
        <v>45847</v>
      </c>
      <c r="D73" t="inlineStr">
        <is>
          <t>JÄMTLANDS LÄN</t>
        </is>
      </c>
      <c r="E73" t="inlineStr">
        <is>
          <t>BRÄCKE</t>
        </is>
      </c>
      <c r="F73" t="inlineStr">
        <is>
          <t>SCA</t>
        </is>
      </c>
      <c r="G73" t="n">
        <v>1.7</v>
      </c>
      <c r="H73" t="n">
        <v>2</v>
      </c>
      <c r="I73" t="n">
        <v>1</v>
      </c>
      <c r="J73" t="n">
        <v>6</v>
      </c>
      <c r="K73" t="n">
        <v>1</v>
      </c>
      <c r="L73" t="n">
        <v>0</v>
      </c>
      <c r="M73" t="n">
        <v>0</v>
      </c>
      <c r="N73" t="n">
        <v>0</v>
      </c>
      <c r="O73" t="n">
        <v>7</v>
      </c>
      <c r="P73" t="n">
        <v>1</v>
      </c>
      <c r="Q73" t="n">
        <v>8</v>
      </c>
      <c r="R73" s="2" t="inlineStr">
        <is>
          <t>Knärot
Garnlav
Kandelabersvamp
Kolflarnlav
Kortskaftad ärgspik
Mörk kolflarnlav
Ullticka
Grönkulla</t>
        </is>
      </c>
      <c r="S73">
        <f>HYPERLINK("https://klasma.github.io/Logging_2305/artfynd/A 8707-2025 artfynd.xlsx", "A 8707-2025")</f>
        <v/>
      </c>
      <c r="T73">
        <f>HYPERLINK("https://klasma.github.io/Logging_2305/kartor/A 8707-2025 karta.png", "A 8707-2025")</f>
        <v/>
      </c>
      <c r="U73">
        <f>HYPERLINK("https://klasma.github.io/Logging_2305/knärot/A 8707-2025 karta knärot.png", "A 8707-2025")</f>
        <v/>
      </c>
      <c r="V73">
        <f>HYPERLINK("https://klasma.github.io/Logging_2305/klagomål/A 8707-2025 FSC-klagomål.docx", "A 8707-2025")</f>
        <v/>
      </c>
      <c r="W73">
        <f>HYPERLINK("https://klasma.github.io/Logging_2305/klagomålsmail/A 8707-2025 FSC-klagomål mail.docx", "A 8707-2025")</f>
        <v/>
      </c>
      <c r="X73">
        <f>HYPERLINK("https://klasma.github.io/Logging_2305/tillsyn/A 8707-2025 tillsynsbegäran.docx", "A 8707-2025")</f>
        <v/>
      </c>
      <c r="Y73">
        <f>HYPERLINK("https://klasma.github.io/Logging_2305/tillsynsmail/A 8707-2025 tillsynsbegäran mail.docx", "A 8707-2025")</f>
        <v/>
      </c>
    </row>
    <row r="74" ht="15" customHeight="1">
      <c r="A74" t="inlineStr">
        <is>
          <t>A 20087-2025</t>
        </is>
      </c>
      <c r="B74" s="1" t="n">
        <v>45772</v>
      </c>
      <c r="C74" s="1" t="n">
        <v>45847</v>
      </c>
      <c r="D74" t="inlineStr">
        <is>
          <t>JÄMTLANDS LÄN</t>
        </is>
      </c>
      <c r="E74" t="inlineStr">
        <is>
          <t>BRÄCKE</t>
        </is>
      </c>
      <c r="G74" t="n">
        <v>7.5</v>
      </c>
      <c r="H74" t="n">
        <v>1</v>
      </c>
      <c r="I74" t="n">
        <v>2</v>
      </c>
      <c r="J74" t="n">
        <v>5</v>
      </c>
      <c r="K74" t="n">
        <v>0</v>
      </c>
      <c r="L74" t="n">
        <v>0</v>
      </c>
      <c r="M74" t="n">
        <v>0</v>
      </c>
      <c r="N74" t="n">
        <v>0</v>
      </c>
      <c r="O74" t="n">
        <v>5</v>
      </c>
      <c r="P74" t="n">
        <v>0</v>
      </c>
      <c r="Q74" t="n">
        <v>8</v>
      </c>
      <c r="R74" s="2" t="inlineStr">
        <is>
          <t>Lunglav
Rosenticka
Ullticka
Vedtrappmossa
Vitgrynig nållav
Bårdlav
Stuplav
Fläcknycklar</t>
        </is>
      </c>
      <c r="S74">
        <f>HYPERLINK("https://klasma.github.io/Logging_232305/artfynd/A 20087-2025 artfynd.xlsx", "A 20087-2025")</f>
        <v/>
      </c>
      <c r="T74">
        <f>HYPERLINK("https://klasma.github.io/Logging_232305/kartor/A 20087-2025 karta.png", "A 20087-2025")</f>
        <v/>
      </c>
      <c r="V74">
        <f>HYPERLINK("https://klasma.github.io/Logging_232305/klagomål/A 20087-2025 FSC-klagomål.docx", "A 20087-2025")</f>
        <v/>
      </c>
      <c r="W74">
        <f>HYPERLINK("https://klasma.github.io/Logging_232305/klagomålsmail/A 20087-2025 FSC-klagomål mail.docx", "A 20087-2025")</f>
        <v/>
      </c>
      <c r="X74">
        <f>HYPERLINK("https://klasma.github.io/Logging_232305/tillsyn/A 20087-2025 tillsynsbegäran.docx", "A 20087-2025")</f>
        <v/>
      </c>
      <c r="Y74">
        <f>HYPERLINK("https://klasma.github.io/Logging_232305/tillsynsmail/A 20087-2025 tillsynsbegäran mail.docx", "A 20087-2025")</f>
        <v/>
      </c>
    </row>
    <row r="75" ht="15" customHeight="1">
      <c r="A75" t="inlineStr">
        <is>
          <t>A 23588-2025</t>
        </is>
      </c>
      <c r="B75" s="1" t="n">
        <v>45792</v>
      </c>
      <c r="C75" s="1" t="n">
        <v>45847</v>
      </c>
      <c r="D75" t="inlineStr">
        <is>
          <t>JÄMTLANDS LÄN</t>
        </is>
      </c>
      <c r="E75" t="inlineStr">
        <is>
          <t>BRÄCKE</t>
        </is>
      </c>
      <c r="F75" t="inlineStr">
        <is>
          <t>SCA</t>
        </is>
      </c>
      <c r="G75" t="n">
        <v>3.9</v>
      </c>
      <c r="H75" t="n">
        <v>2</v>
      </c>
      <c r="I75" t="n">
        <v>2</v>
      </c>
      <c r="J75" t="n">
        <v>5</v>
      </c>
      <c r="K75" t="n">
        <v>1</v>
      </c>
      <c r="L75" t="n">
        <v>0</v>
      </c>
      <c r="M75" t="n">
        <v>0</v>
      </c>
      <c r="N75" t="n">
        <v>0</v>
      </c>
      <c r="O75" t="n">
        <v>6</v>
      </c>
      <c r="P75" t="n">
        <v>1</v>
      </c>
      <c r="Q75" t="n">
        <v>8</v>
      </c>
      <c r="R75" s="2" t="inlineStr">
        <is>
          <t>Knärot
Blanksvart spiklav
Granticka
Tretåig hackspett
Vitgrynig nållav
Vitskaftad svartspik
Bronshjon
Vedticka</t>
        </is>
      </c>
      <c r="S75">
        <f>HYPERLINK("https://klasma.github.io/Logging_232305/artfynd/A 23588-2025 artfynd.xlsx", "A 23588-2025")</f>
        <v/>
      </c>
      <c r="T75">
        <f>HYPERLINK("https://klasma.github.io/Logging_232305/kartor/A 23588-2025 karta.png", "A 23588-2025")</f>
        <v/>
      </c>
      <c r="U75">
        <f>HYPERLINK("https://klasma.github.io/Logging_232305/knärot/A 23588-2025 karta knärot.png", "A 23588-2025")</f>
        <v/>
      </c>
      <c r="V75">
        <f>HYPERLINK("https://klasma.github.io/Logging_232305/klagomål/A 23588-2025 FSC-klagomål.docx", "A 23588-2025")</f>
        <v/>
      </c>
      <c r="W75">
        <f>HYPERLINK("https://klasma.github.io/Logging_232305/klagomålsmail/A 23588-2025 FSC-klagomål mail.docx", "A 23588-2025")</f>
        <v/>
      </c>
      <c r="X75">
        <f>HYPERLINK("https://klasma.github.io/Logging_232305/tillsyn/A 23588-2025 tillsynsbegäran.docx", "A 23588-2025")</f>
        <v/>
      </c>
      <c r="Y75">
        <f>HYPERLINK("https://klasma.github.io/Logging_232305/tillsynsmail/A 23588-2025 tillsynsbegäran mail.docx", "A 23588-2025")</f>
        <v/>
      </c>
      <c r="Z75">
        <f>HYPERLINK("https://klasma.github.io/Logging_232305/fåglar/A 23588-2025 prioriterade fågelarter.docx", "A 23588-2025")</f>
        <v/>
      </c>
    </row>
    <row r="76" ht="15" customHeight="1">
      <c r="A76" t="inlineStr">
        <is>
          <t>A 32565-2025</t>
        </is>
      </c>
      <c r="B76" s="1" t="n">
        <v>45838</v>
      </c>
      <c r="C76" s="1" t="n">
        <v>45847</v>
      </c>
      <c r="D76" t="inlineStr">
        <is>
          <t>JÄMTLANDS LÄN</t>
        </is>
      </c>
      <c r="E76" t="inlineStr">
        <is>
          <t>BRÄCKE</t>
        </is>
      </c>
      <c r="F76" t="inlineStr">
        <is>
          <t>SCA</t>
        </is>
      </c>
      <c r="G76" t="n">
        <v>32.6</v>
      </c>
      <c r="H76" t="n">
        <v>3</v>
      </c>
      <c r="I76" t="n">
        <v>4</v>
      </c>
      <c r="J76" t="n">
        <v>3</v>
      </c>
      <c r="K76" t="n">
        <v>0</v>
      </c>
      <c r="L76" t="n">
        <v>0</v>
      </c>
      <c r="M76" t="n">
        <v>0</v>
      </c>
      <c r="N76" t="n">
        <v>0</v>
      </c>
      <c r="O76" t="n">
        <v>3</v>
      </c>
      <c r="P76" t="n">
        <v>0</v>
      </c>
      <c r="Q76" t="n">
        <v>8</v>
      </c>
      <c r="R76" s="2" t="inlineStr">
        <is>
          <t>Lunglav
Skrovellav
Talltita
Bårdlav
Plattlummer
Stor aspticka
Stuplav
Revlummer</t>
        </is>
      </c>
      <c r="S76">
        <f>HYPERLINK("https://klasma.github.io/Logging_232305/artfynd/A 32565-2025 artfynd.xlsx", "A 32565-2025")</f>
        <v/>
      </c>
      <c r="T76">
        <f>HYPERLINK("https://klasma.github.io/Logging_232305/kartor/A 32565-2025 karta.png", "A 32565-2025")</f>
        <v/>
      </c>
      <c r="V76">
        <f>HYPERLINK("https://klasma.github.io/Logging_232305/klagomål/A 32565-2025 FSC-klagomål.docx", "A 32565-2025")</f>
        <v/>
      </c>
      <c r="W76">
        <f>HYPERLINK("https://klasma.github.io/Logging_232305/klagomålsmail/A 32565-2025 FSC-klagomål mail.docx", "A 32565-2025")</f>
        <v/>
      </c>
      <c r="X76">
        <f>HYPERLINK("https://klasma.github.io/Logging_232305/tillsyn/A 32565-2025 tillsynsbegäran.docx", "A 32565-2025")</f>
        <v/>
      </c>
      <c r="Y76">
        <f>HYPERLINK("https://klasma.github.io/Logging_232305/tillsynsmail/A 32565-2025 tillsynsbegäran mail.docx", "A 32565-2025")</f>
        <v/>
      </c>
      <c r="Z76">
        <f>HYPERLINK("https://klasma.github.io/Logging_232305/fåglar/A 32565-2025 prioriterade fågelarter.docx", "A 32565-2025")</f>
        <v/>
      </c>
    </row>
    <row r="77" ht="15" customHeight="1">
      <c r="A77" t="inlineStr">
        <is>
          <t>A 33388-2025</t>
        </is>
      </c>
      <c r="B77" s="1" t="n">
        <v>45841</v>
      </c>
      <c r="C77" s="1" t="n">
        <v>45847</v>
      </c>
      <c r="D77" t="inlineStr">
        <is>
          <t>JÄMTLANDS LÄN</t>
        </is>
      </c>
      <c r="E77" t="inlineStr">
        <is>
          <t>BRÄCKE</t>
        </is>
      </c>
      <c r="F77" t="inlineStr">
        <is>
          <t>SCA</t>
        </is>
      </c>
      <c r="G77" t="n">
        <v>10.7</v>
      </c>
      <c r="H77" t="n">
        <v>2</v>
      </c>
      <c r="I77" t="n">
        <v>2</v>
      </c>
      <c r="J77" t="n">
        <v>5</v>
      </c>
      <c r="K77" t="n">
        <v>1</v>
      </c>
      <c r="L77" t="n">
        <v>0</v>
      </c>
      <c r="M77" t="n">
        <v>0</v>
      </c>
      <c r="N77" t="n">
        <v>0</v>
      </c>
      <c r="O77" t="n">
        <v>6</v>
      </c>
      <c r="P77" t="n">
        <v>1</v>
      </c>
      <c r="Q77" t="n">
        <v>8</v>
      </c>
      <c r="R77" s="2" t="inlineStr">
        <is>
          <t>Knärot
Garnlav
Granticka
Lunglav
Rosenticka
Ullticka
Skinnlav
Spindelblomster</t>
        </is>
      </c>
      <c r="S77">
        <f>HYPERLINK("https://klasma.github.io/Logging_232305/artfynd/A 33388-2025 artfynd.xlsx", "A 33388-2025")</f>
        <v/>
      </c>
      <c r="T77">
        <f>HYPERLINK("https://klasma.github.io/Logging_232305/kartor/A 33388-2025 karta.png", "A 33388-2025")</f>
        <v/>
      </c>
      <c r="U77">
        <f>HYPERLINK("https://klasma.github.io/Logging_232305/knärot/A 33388-2025 karta knärot.png", "A 33388-2025")</f>
        <v/>
      </c>
      <c r="V77">
        <f>HYPERLINK("https://klasma.github.io/Logging_232305/klagomål/A 33388-2025 FSC-klagomål.docx", "A 33388-2025")</f>
        <v/>
      </c>
      <c r="W77">
        <f>HYPERLINK("https://klasma.github.io/Logging_232305/klagomålsmail/A 33388-2025 FSC-klagomål mail.docx", "A 33388-2025")</f>
        <v/>
      </c>
      <c r="X77">
        <f>HYPERLINK("https://klasma.github.io/Logging_232305/tillsyn/A 33388-2025 tillsynsbegäran.docx", "A 33388-2025")</f>
        <v/>
      </c>
      <c r="Y77">
        <f>HYPERLINK("https://klasma.github.io/Logging_232305/tillsynsmail/A 33388-2025 tillsynsbegäran mail.docx", "A 33388-2025")</f>
        <v/>
      </c>
    </row>
    <row r="78" ht="15" customHeight="1">
      <c r="A78" t="inlineStr">
        <is>
          <t>A 17851-2019</t>
        </is>
      </c>
      <c r="B78" s="1" t="n">
        <v>43556</v>
      </c>
      <c r="C78" s="1" t="n">
        <v>45847</v>
      </c>
      <c r="D78" t="inlineStr">
        <is>
          <t>JÄMTLANDS LÄN</t>
        </is>
      </c>
      <c r="E78" t="inlineStr">
        <is>
          <t>BRÄCKE</t>
        </is>
      </c>
      <c r="G78" t="n">
        <v>17.5</v>
      </c>
      <c r="H78" t="n">
        <v>1</v>
      </c>
      <c r="I78" t="n">
        <v>3</v>
      </c>
      <c r="J78" t="n">
        <v>3</v>
      </c>
      <c r="K78" t="n">
        <v>1</v>
      </c>
      <c r="L78" t="n">
        <v>0</v>
      </c>
      <c r="M78" t="n">
        <v>0</v>
      </c>
      <c r="N78" t="n">
        <v>0</v>
      </c>
      <c r="O78" t="n">
        <v>4</v>
      </c>
      <c r="P78" t="n">
        <v>1</v>
      </c>
      <c r="Q78" t="n">
        <v>7</v>
      </c>
      <c r="R78" s="2" t="inlineStr">
        <is>
          <t>Knärot
Garnlav
Lunglav
Skrovellav
Skarp dropptaggsvamp
Skinnlav
Stuplav</t>
        </is>
      </c>
      <c r="S78">
        <f>HYPERLINK("https://klasma.github.io/Logging_2305/artfynd/A 17851-2019 artfynd.xlsx", "A 17851-2019")</f>
        <v/>
      </c>
      <c r="T78">
        <f>HYPERLINK("https://klasma.github.io/Logging_2305/kartor/A 17851-2019 karta.png", "A 17851-2019")</f>
        <v/>
      </c>
      <c r="U78">
        <f>HYPERLINK("https://klasma.github.io/Logging_2305/knärot/A 17851-2019 karta knärot.png", "A 17851-2019")</f>
        <v/>
      </c>
      <c r="V78">
        <f>HYPERLINK("https://klasma.github.io/Logging_2305/klagomål/A 17851-2019 FSC-klagomål.docx", "A 17851-2019")</f>
        <v/>
      </c>
      <c r="W78">
        <f>HYPERLINK("https://klasma.github.io/Logging_2305/klagomålsmail/A 17851-2019 FSC-klagomål mail.docx", "A 17851-2019")</f>
        <v/>
      </c>
      <c r="X78">
        <f>HYPERLINK("https://klasma.github.io/Logging_2305/tillsyn/A 17851-2019 tillsynsbegäran.docx", "A 17851-2019")</f>
        <v/>
      </c>
      <c r="Y78">
        <f>HYPERLINK("https://klasma.github.io/Logging_2305/tillsynsmail/A 17851-2019 tillsynsbegäran mail.docx", "A 17851-2019")</f>
        <v/>
      </c>
    </row>
    <row r="79" ht="15" customHeight="1">
      <c r="A79" t="inlineStr">
        <is>
          <t>A 26637-2019</t>
        </is>
      </c>
      <c r="B79" s="1" t="n">
        <v>43612</v>
      </c>
      <c r="C79" s="1" t="n">
        <v>45847</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26637-2019 artfynd.xlsx", "A 26637-2019")</f>
        <v/>
      </c>
      <c r="T79">
        <f>HYPERLINK("https://klasma.github.io/Logging_2305/kartor/A 26637-2019 karta.png", "A 26637-2019")</f>
        <v/>
      </c>
      <c r="U79">
        <f>HYPERLINK("https://klasma.github.io/Logging_2305/knärot/A 26637-2019 karta knärot.png", "A 26637-2019")</f>
        <v/>
      </c>
      <c r="V79">
        <f>HYPERLINK("https://klasma.github.io/Logging_2305/klagomål/A 26637-2019 FSC-klagomål.docx", "A 26637-2019")</f>
        <v/>
      </c>
      <c r="W79">
        <f>HYPERLINK("https://klasma.github.io/Logging_2305/klagomålsmail/A 26637-2019 FSC-klagomål mail.docx", "A 26637-2019")</f>
        <v/>
      </c>
      <c r="X79">
        <f>HYPERLINK("https://klasma.github.io/Logging_2305/tillsyn/A 26637-2019 tillsynsbegäran.docx", "A 26637-2019")</f>
        <v/>
      </c>
      <c r="Y79">
        <f>HYPERLINK("https://klasma.github.io/Logging_2305/tillsynsmail/A 26637-2019 tillsynsbegäran mail.docx", "A 26637-2019")</f>
        <v/>
      </c>
    </row>
    <row r="80" ht="15" customHeight="1">
      <c r="A80" t="inlineStr">
        <is>
          <t>A 50583-2019</t>
        </is>
      </c>
      <c r="B80" s="1" t="n">
        <v>43735</v>
      </c>
      <c r="C80" s="1" t="n">
        <v>45847</v>
      </c>
      <c r="D80" t="inlineStr">
        <is>
          <t>JÄMTLANDS LÄN</t>
        </is>
      </c>
      <c r="E80" t="inlineStr">
        <is>
          <t>BRÄCKE</t>
        </is>
      </c>
      <c r="F80" t="inlineStr">
        <is>
          <t>SCA</t>
        </is>
      </c>
      <c r="G80" t="n">
        <v>15.2</v>
      </c>
      <c r="H80" t="n">
        <v>0</v>
      </c>
      <c r="I80" t="n">
        <v>3</v>
      </c>
      <c r="J80" t="n">
        <v>4</v>
      </c>
      <c r="K80" t="n">
        <v>0</v>
      </c>
      <c r="L80" t="n">
        <v>0</v>
      </c>
      <c r="M80" t="n">
        <v>0</v>
      </c>
      <c r="N80" t="n">
        <v>0</v>
      </c>
      <c r="O80" t="n">
        <v>4</v>
      </c>
      <c r="P80" t="n">
        <v>0</v>
      </c>
      <c r="Q80" t="n">
        <v>7</v>
      </c>
      <c r="R80" s="2" t="inlineStr">
        <is>
          <t>Garnlav
Gränsticka
Lunglav
Skrovellav
Korallblylav
Skinnlav
Stuplav</t>
        </is>
      </c>
      <c r="S80">
        <f>HYPERLINK("https://klasma.github.io/Logging_2305/artfynd/A 50583-2019 artfynd.xlsx", "A 50583-2019")</f>
        <v/>
      </c>
      <c r="T80">
        <f>HYPERLINK("https://klasma.github.io/Logging_2305/kartor/A 50583-2019 karta.png", "A 50583-2019")</f>
        <v/>
      </c>
      <c r="V80">
        <f>HYPERLINK("https://klasma.github.io/Logging_2305/klagomål/A 50583-2019 FSC-klagomål.docx", "A 50583-2019")</f>
        <v/>
      </c>
      <c r="W80">
        <f>HYPERLINK("https://klasma.github.io/Logging_2305/klagomålsmail/A 50583-2019 FSC-klagomål mail.docx", "A 50583-2019")</f>
        <v/>
      </c>
      <c r="X80">
        <f>HYPERLINK("https://klasma.github.io/Logging_2305/tillsyn/A 50583-2019 tillsynsbegäran.docx", "A 50583-2019")</f>
        <v/>
      </c>
      <c r="Y80">
        <f>HYPERLINK("https://klasma.github.io/Logging_2305/tillsynsmail/A 50583-2019 tillsynsbegäran mail.docx", "A 50583-2019")</f>
        <v/>
      </c>
    </row>
    <row r="81" ht="15" customHeight="1">
      <c r="A81" t="inlineStr">
        <is>
          <t>A 40386-2020</t>
        </is>
      </c>
      <c r="B81" s="1" t="n">
        <v>44068</v>
      </c>
      <c r="C81" s="1" t="n">
        <v>45847</v>
      </c>
      <c r="D81" t="inlineStr">
        <is>
          <t>JÄMTLANDS LÄN</t>
        </is>
      </c>
      <c r="E81" t="inlineStr">
        <is>
          <t>BRÄCKE</t>
        </is>
      </c>
      <c r="F81" t="inlineStr">
        <is>
          <t>SCA</t>
        </is>
      </c>
      <c r="G81" t="n">
        <v>1.5</v>
      </c>
      <c r="H81" t="n">
        <v>0</v>
      </c>
      <c r="I81" t="n">
        <v>1</v>
      </c>
      <c r="J81" t="n">
        <v>4</v>
      </c>
      <c r="K81" t="n">
        <v>2</v>
      </c>
      <c r="L81" t="n">
        <v>0</v>
      </c>
      <c r="M81" t="n">
        <v>0</v>
      </c>
      <c r="N81" t="n">
        <v>0</v>
      </c>
      <c r="O81" t="n">
        <v>6</v>
      </c>
      <c r="P81" t="n">
        <v>2</v>
      </c>
      <c r="Q81" t="n">
        <v>7</v>
      </c>
      <c r="R81" s="2" t="inlineStr">
        <is>
          <t>Gyllenspindling
Lammticka
Blekspindling agg.
Mjölsvärting
Persiljespindling
Svartvit taggsvamp
Barrfagerspindling</t>
        </is>
      </c>
      <c r="S81">
        <f>HYPERLINK("https://klasma.github.io/Logging_2305/artfynd/A 40386-2020 artfynd.xlsx", "A 40386-2020")</f>
        <v/>
      </c>
      <c r="T81">
        <f>HYPERLINK("https://klasma.github.io/Logging_2305/kartor/A 40386-2020 karta.png", "A 40386-2020")</f>
        <v/>
      </c>
      <c r="V81">
        <f>HYPERLINK("https://klasma.github.io/Logging_2305/klagomål/A 40386-2020 FSC-klagomål.docx", "A 40386-2020")</f>
        <v/>
      </c>
      <c r="W81">
        <f>HYPERLINK("https://klasma.github.io/Logging_2305/klagomålsmail/A 40386-2020 FSC-klagomål mail.docx", "A 40386-2020")</f>
        <v/>
      </c>
      <c r="X81">
        <f>HYPERLINK("https://klasma.github.io/Logging_2305/tillsyn/A 40386-2020 tillsynsbegäran.docx", "A 40386-2020")</f>
        <v/>
      </c>
      <c r="Y81">
        <f>HYPERLINK("https://klasma.github.io/Logging_2305/tillsynsmail/A 40386-2020 tillsynsbegäran mail.docx", "A 40386-2020")</f>
        <v/>
      </c>
    </row>
    <row r="82" ht="15" customHeight="1">
      <c r="A82" t="inlineStr">
        <is>
          <t>A 64062-2020</t>
        </is>
      </c>
      <c r="B82" s="1" t="n">
        <v>44167</v>
      </c>
      <c r="C82" s="1" t="n">
        <v>45847</v>
      </c>
      <c r="D82" t="inlineStr">
        <is>
          <t>JÄMTLANDS LÄN</t>
        </is>
      </c>
      <c r="E82" t="inlineStr">
        <is>
          <t>BRÄCKE</t>
        </is>
      </c>
      <c r="F82" t="inlineStr">
        <is>
          <t>Övriga Aktiebolag</t>
        </is>
      </c>
      <c r="G82" t="n">
        <v>14</v>
      </c>
      <c r="H82" t="n">
        <v>4</v>
      </c>
      <c r="I82" t="n">
        <v>4</v>
      </c>
      <c r="J82" t="n">
        <v>2</v>
      </c>
      <c r="K82" t="n">
        <v>0</v>
      </c>
      <c r="L82" t="n">
        <v>0</v>
      </c>
      <c r="M82" t="n">
        <v>0</v>
      </c>
      <c r="N82" t="n">
        <v>0</v>
      </c>
      <c r="O82" t="n">
        <v>2</v>
      </c>
      <c r="P82" t="n">
        <v>0</v>
      </c>
      <c r="Q82" t="n">
        <v>7</v>
      </c>
      <c r="R82" s="2" t="inlineStr">
        <is>
          <t>Garnlav
Spillkråka
Gräsull
Guckusko
Tvåblad
Vågbandad barkbock
Fläcknycklar</t>
        </is>
      </c>
      <c r="S82">
        <f>HYPERLINK("https://klasma.github.io/Logging_2305/artfynd/A 64062-2020 artfynd.xlsx", "A 64062-2020")</f>
        <v/>
      </c>
      <c r="T82">
        <f>HYPERLINK("https://klasma.github.io/Logging_2305/kartor/A 64062-2020 karta.png", "A 64062-2020")</f>
        <v/>
      </c>
      <c r="U82">
        <f>HYPERLINK("https://klasma.github.io/Logging_2305/knärot/A 64062-2020 karta knärot.png", "A 64062-2020")</f>
        <v/>
      </c>
      <c r="V82">
        <f>HYPERLINK("https://klasma.github.io/Logging_2305/klagomål/A 64062-2020 FSC-klagomål.docx", "A 64062-2020")</f>
        <v/>
      </c>
      <c r="W82">
        <f>HYPERLINK("https://klasma.github.io/Logging_2305/klagomålsmail/A 64062-2020 FSC-klagomål mail.docx", "A 64062-2020")</f>
        <v/>
      </c>
      <c r="X82">
        <f>HYPERLINK("https://klasma.github.io/Logging_2305/tillsyn/A 64062-2020 tillsynsbegäran.docx", "A 64062-2020")</f>
        <v/>
      </c>
      <c r="Y82">
        <f>HYPERLINK("https://klasma.github.io/Logging_2305/tillsynsmail/A 64062-2020 tillsynsbegäran mail.docx", "A 64062-2020")</f>
        <v/>
      </c>
      <c r="Z82">
        <f>HYPERLINK("https://klasma.github.io/Logging_2305/fåglar/A 64062-2020 prioriterade fågelarter.docx", "A 64062-2020")</f>
        <v/>
      </c>
    </row>
    <row r="83" ht="15" customHeight="1">
      <c r="A83" t="inlineStr">
        <is>
          <t>A 38284-2021</t>
        </is>
      </c>
      <c r="B83" s="1" t="n">
        <v>44406</v>
      </c>
      <c r="C83" s="1" t="n">
        <v>45847</v>
      </c>
      <c r="D83" t="inlineStr">
        <is>
          <t>JÄMTLANDS LÄN</t>
        </is>
      </c>
      <c r="E83" t="inlineStr">
        <is>
          <t>BRÄCKE</t>
        </is>
      </c>
      <c r="F83" t="inlineStr">
        <is>
          <t>SCA</t>
        </is>
      </c>
      <c r="G83" t="n">
        <v>2.6</v>
      </c>
      <c r="H83" t="n">
        <v>0</v>
      </c>
      <c r="I83" t="n">
        <v>3</v>
      </c>
      <c r="J83" t="n">
        <v>2</v>
      </c>
      <c r="K83" t="n">
        <v>2</v>
      </c>
      <c r="L83" t="n">
        <v>0</v>
      </c>
      <c r="M83" t="n">
        <v>0</v>
      </c>
      <c r="N83" t="n">
        <v>0</v>
      </c>
      <c r="O83" t="n">
        <v>4</v>
      </c>
      <c r="P83" t="n">
        <v>2</v>
      </c>
      <c r="Q83" t="n">
        <v>7</v>
      </c>
      <c r="R83" s="2" t="inlineStr">
        <is>
          <t>Gräddporing
Norsk näverlav
Lunglav
Orange taggsvamp
Dropptaggsvamp
Kransrams
Skarp dropptaggsvamp</t>
        </is>
      </c>
      <c r="S83">
        <f>HYPERLINK("https://klasma.github.io/Logging_2305/artfynd/A 38284-2021 artfynd.xlsx", "A 38284-2021")</f>
        <v/>
      </c>
      <c r="T83">
        <f>HYPERLINK("https://klasma.github.io/Logging_2305/kartor/A 38284-2021 karta.png", "A 38284-2021")</f>
        <v/>
      </c>
      <c r="V83">
        <f>HYPERLINK("https://klasma.github.io/Logging_2305/klagomål/A 38284-2021 FSC-klagomål.docx", "A 38284-2021")</f>
        <v/>
      </c>
      <c r="W83">
        <f>HYPERLINK("https://klasma.github.io/Logging_2305/klagomålsmail/A 38284-2021 FSC-klagomål mail.docx", "A 38284-2021")</f>
        <v/>
      </c>
      <c r="X83">
        <f>HYPERLINK("https://klasma.github.io/Logging_2305/tillsyn/A 38284-2021 tillsynsbegäran.docx", "A 38284-2021")</f>
        <v/>
      </c>
      <c r="Y83">
        <f>HYPERLINK("https://klasma.github.io/Logging_2305/tillsynsmail/A 38284-2021 tillsynsbegäran mail.docx", "A 38284-2021")</f>
        <v/>
      </c>
    </row>
    <row r="84" ht="15" customHeight="1">
      <c r="A84" t="inlineStr">
        <is>
          <t>A 57162-2022</t>
        </is>
      </c>
      <c r="B84" s="1" t="n">
        <v>44895</v>
      </c>
      <c r="C84" s="1" t="n">
        <v>45847</v>
      </c>
      <c r="D84" t="inlineStr">
        <is>
          <t>JÄMTLANDS LÄN</t>
        </is>
      </c>
      <c r="E84" t="inlineStr">
        <is>
          <t>BRÄCKE</t>
        </is>
      </c>
      <c r="F84" t="inlineStr">
        <is>
          <t>Övriga Aktiebolag</t>
        </is>
      </c>
      <c r="G84" t="n">
        <v>5.3</v>
      </c>
      <c r="H84" t="n">
        <v>3</v>
      </c>
      <c r="I84" t="n">
        <v>4</v>
      </c>
      <c r="J84" t="n">
        <v>1</v>
      </c>
      <c r="K84" t="n">
        <v>1</v>
      </c>
      <c r="L84" t="n">
        <v>0</v>
      </c>
      <c r="M84" t="n">
        <v>0</v>
      </c>
      <c r="N84" t="n">
        <v>0</v>
      </c>
      <c r="O84" t="n">
        <v>2</v>
      </c>
      <c r="P84" t="n">
        <v>1</v>
      </c>
      <c r="Q84" t="n">
        <v>7</v>
      </c>
      <c r="R84" s="2" t="inlineStr">
        <is>
          <t>Lammticka
Dofttaggsvamp
Finbräken
Guckusko
Tvåblad
Vårärt
Blåsippa</t>
        </is>
      </c>
      <c r="S84">
        <f>HYPERLINK("https://klasma.github.io/Logging_2305/artfynd/A 57162-2022 artfynd.xlsx", "A 57162-2022")</f>
        <v/>
      </c>
      <c r="T84">
        <f>HYPERLINK("https://klasma.github.io/Logging_2305/kartor/A 57162-2022 karta.png", "A 57162-2022")</f>
        <v/>
      </c>
      <c r="V84">
        <f>HYPERLINK("https://klasma.github.io/Logging_2305/klagomål/A 57162-2022 FSC-klagomål.docx", "A 57162-2022")</f>
        <v/>
      </c>
      <c r="W84">
        <f>HYPERLINK("https://klasma.github.io/Logging_2305/klagomålsmail/A 57162-2022 FSC-klagomål mail.docx", "A 57162-2022")</f>
        <v/>
      </c>
      <c r="X84">
        <f>HYPERLINK("https://klasma.github.io/Logging_2305/tillsyn/A 57162-2022 tillsynsbegäran.docx", "A 57162-2022")</f>
        <v/>
      </c>
      <c r="Y84">
        <f>HYPERLINK("https://klasma.github.io/Logging_2305/tillsynsmail/A 57162-2022 tillsynsbegäran mail.docx", "A 57162-2022")</f>
        <v/>
      </c>
    </row>
    <row r="85" ht="15" customHeight="1">
      <c r="A85" t="inlineStr">
        <is>
          <t>A 4232-2023</t>
        </is>
      </c>
      <c r="B85" s="1" t="n">
        <v>44951</v>
      </c>
      <c r="C85" s="1" t="n">
        <v>45847</v>
      </c>
      <c r="D85" t="inlineStr">
        <is>
          <t>JÄMTLANDS LÄN</t>
        </is>
      </c>
      <c r="E85" t="inlineStr">
        <is>
          <t>BRÄCKE</t>
        </is>
      </c>
      <c r="G85" t="n">
        <v>12.6</v>
      </c>
      <c r="H85" t="n">
        <v>1</v>
      </c>
      <c r="I85" t="n">
        <v>2</v>
      </c>
      <c r="J85" t="n">
        <v>4</v>
      </c>
      <c r="K85" t="n">
        <v>1</v>
      </c>
      <c r="L85" t="n">
        <v>0</v>
      </c>
      <c r="M85" t="n">
        <v>0</v>
      </c>
      <c r="N85" t="n">
        <v>0</v>
      </c>
      <c r="O85" t="n">
        <v>5</v>
      </c>
      <c r="P85" t="n">
        <v>1</v>
      </c>
      <c r="Q85" t="n">
        <v>7</v>
      </c>
      <c r="R85" s="2" t="inlineStr">
        <is>
          <t>Gräddporing
Garnlav
Kolflarnlav
Lunglav
Mörk kolflarnlav
Dropptaggsvamp
Plattlummer</t>
        </is>
      </c>
      <c r="S85">
        <f>HYPERLINK("https://klasma.github.io/Logging_2305/artfynd/A 4232-2023 artfynd.xlsx", "A 4232-2023")</f>
        <v/>
      </c>
      <c r="T85">
        <f>HYPERLINK("https://klasma.github.io/Logging_2305/kartor/A 4232-2023 karta.png", "A 4232-2023")</f>
        <v/>
      </c>
      <c r="U85">
        <f>HYPERLINK("https://klasma.github.io/Logging_2305/knärot/A 4232-2023 karta knärot.png", "A 4232-2023")</f>
        <v/>
      </c>
      <c r="V85">
        <f>HYPERLINK("https://klasma.github.io/Logging_2305/klagomål/A 4232-2023 FSC-klagomål.docx", "A 4232-2023")</f>
        <v/>
      </c>
      <c r="W85">
        <f>HYPERLINK("https://klasma.github.io/Logging_2305/klagomålsmail/A 4232-2023 FSC-klagomål mail.docx", "A 4232-2023")</f>
        <v/>
      </c>
      <c r="X85">
        <f>HYPERLINK("https://klasma.github.io/Logging_2305/tillsyn/A 4232-2023 tillsynsbegäran.docx", "A 4232-2023")</f>
        <v/>
      </c>
      <c r="Y85">
        <f>HYPERLINK("https://klasma.github.io/Logging_2305/tillsynsmail/A 4232-2023 tillsynsbegäran mail.docx", "A 4232-2023")</f>
        <v/>
      </c>
    </row>
    <row r="86" ht="15" customHeight="1">
      <c r="A86" t="inlineStr">
        <is>
          <t>A 20601-2023</t>
        </is>
      </c>
      <c r="B86" s="1" t="n">
        <v>45057</v>
      </c>
      <c r="C86" s="1" t="n">
        <v>45847</v>
      </c>
      <c r="D86" t="inlineStr">
        <is>
          <t>JÄMTLANDS LÄN</t>
        </is>
      </c>
      <c r="E86" t="inlineStr">
        <is>
          <t>BRÄCKE</t>
        </is>
      </c>
      <c r="F86" t="inlineStr">
        <is>
          <t>SCA</t>
        </is>
      </c>
      <c r="G86" t="n">
        <v>7.9</v>
      </c>
      <c r="H86" t="n">
        <v>0</v>
      </c>
      <c r="I86" t="n">
        <v>2</v>
      </c>
      <c r="J86" t="n">
        <v>1</v>
      </c>
      <c r="K86" t="n">
        <v>4</v>
      </c>
      <c r="L86" t="n">
        <v>0</v>
      </c>
      <c r="M86" t="n">
        <v>0</v>
      </c>
      <c r="N86" t="n">
        <v>0</v>
      </c>
      <c r="O86" t="n">
        <v>5</v>
      </c>
      <c r="P86" t="n">
        <v>4</v>
      </c>
      <c r="Q86" t="n">
        <v>7</v>
      </c>
      <c r="R86" s="2" t="inlineStr">
        <is>
          <t>Goliatmusseron
Lammticka
Strandviol
Tallgråticka
Skrovlig taggsvamp
Skarp dropptaggsvamp
Tallfingersvamp</t>
        </is>
      </c>
      <c r="S86">
        <f>HYPERLINK("https://klasma.github.io/Logging_2305/artfynd/A 20601-2023 artfynd.xlsx", "A 20601-2023")</f>
        <v/>
      </c>
      <c r="T86">
        <f>HYPERLINK("https://klasma.github.io/Logging_2305/kartor/A 20601-2023 karta.png", "A 20601-2023")</f>
        <v/>
      </c>
      <c r="V86">
        <f>HYPERLINK("https://klasma.github.io/Logging_2305/klagomål/A 20601-2023 FSC-klagomål.docx", "A 20601-2023")</f>
        <v/>
      </c>
      <c r="W86">
        <f>HYPERLINK("https://klasma.github.io/Logging_2305/klagomålsmail/A 20601-2023 FSC-klagomål mail.docx", "A 20601-2023")</f>
        <v/>
      </c>
      <c r="X86">
        <f>HYPERLINK("https://klasma.github.io/Logging_2305/tillsyn/A 20601-2023 tillsynsbegäran.docx", "A 20601-2023")</f>
        <v/>
      </c>
      <c r="Y86">
        <f>HYPERLINK("https://klasma.github.io/Logging_2305/tillsynsmail/A 20601-2023 tillsynsbegäran mail.docx", "A 20601-2023")</f>
        <v/>
      </c>
    </row>
    <row r="87" ht="15" customHeight="1">
      <c r="A87" t="inlineStr">
        <is>
          <t>A 32725-2023</t>
        </is>
      </c>
      <c r="B87" s="1" t="n">
        <v>45121</v>
      </c>
      <c r="C87" s="1" t="n">
        <v>45847</v>
      </c>
      <c r="D87" t="inlineStr">
        <is>
          <t>JÄMTLANDS LÄN</t>
        </is>
      </c>
      <c r="E87" t="inlineStr">
        <is>
          <t>BRÄCKE</t>
        </is>
      </c>
      <c r="F87" t="inlineStr">
        <is>
          <t>SCA</t>
        </is>
      </c>
      <c r="G87" t="n">
        <v>10.9</v>
      </c>
      <c r="H87" t="n">
        <v>4</v>
      </c>
      <c r="I87" t="n">
        <v>0</v>
      </c>
      <c r="J87" t="n">
        <v>6</v>
      </c>
      <c r="K87" t="n">
        <v>0</v>
      </c>
      <c r="L87" t="n">
        <v>0</v>
      </c>
      <c r="M87" t="n">
        <v>0</v>
      </c>
      <c r="N87" t="n">
        <v>0</v>
      </c>
      <c r="O87" t="n">
        <v>6</v>
      </c>
      <c r="P87" t="n">
        <v>0</v>
      </c>
      <c r="Q87" t="n">
        <v>7</v>
      </c>
      <c r="R87" s="2" t="inlineStr">
        <is>
          <t>Doftskinn
Garnlav
Granticka
Spillkråka
Talltita
Tretåig hackspett
Kungsfågel</t>
        </is>
      </c>
      <c r="S87">
        <f>HYPERLINK("https://klasma.github.io/Logging_2305/artfynd/A 32725-2023 artfynd.xlsx", "A 32725-2023")</f>
        <v/>
      </c>
      <c r="T87">
        <f>HYPERLINK("https://klasma.github.io/Logging_2305/kartor/A 32725-2023 karta.png", "A 32725-2023")</f>
        <v/>
      </c>
      <c r="V87">
        <f>HYPERLINK("https://klasma.github.io/Logging_2305/klagomål/A 32725-2023 FSC-klagomål.docx", "A 32725-2023")</f>
        <v/>
      </c>
      <c r="W87">
        <f>HYPERLINK("https://klasma.github.io/Logging_2305/klagomålsmail/A 32725-2023 FSC-klagomål mail.docx", "A 32725-2023")</f>
        <v/>
      </c>
      <c r="X87">
        <f>HYPERLINK("https://klasma.github.io/Logging_2305/tillsyn/A 32725-2023 tillsynsbegäran.docx", "A 32725-2023")</f>
        <v/>
      </c>
      <c r="Y87">
        <f>HYPERLINK("https://klasma.github.io/Logging_2305/tillsynsmail/A 32725-2023 tillsynsbegäran mail.docx", "A 32725-2023")</f>
        <v/>
      </c>
      <c r="Z87">
        <f>HYPERLINK("https://klasma.github.io/Logging_2305/fåglar/A 32725-2023 prioriterade fågelarter.docx", "A 32725-2023")</f>
        <v/>
      </c>
    </row>
    <row r="88" ht="15" customHeight="1">
      <c r="A88" t="inlineStr">
        <is>
          <t>A 26956-2024</t>
        </is>
      </c>
      <c r="B88" s="1" t="n">
        <v>45471</v>
      </c>
      <c r="C88" s="1" t="n">
        <v>45847</v>
      </c>
      <c r="D88" t="inlineStr">
        <is>
          <t>JÄMTLANDS LÄN</t>
        </is>
      </c>
      <c r="E88" t="inlineStr">
        <is>
          <t>BRÄCKE</t>
        </is>
      </c>
      <c r="F88" t="inlineStr">
        <is>
          <t>SCA</t>
        </is>
      </c>
      <c r="G88" t="n">
        <v>5.7</v>
      </c>
      <c r="H88" t="n">
        <v>6</v>
      </c>
      <c r="I88" t="n">
        <v>0</v>
      </c>
      <c r="J88" t="n">
        <v>5</v>
      </c>
      <c r="K88" t="n">
        <v>2</v>
      </c>
      <c r="L88" t="n">
        <v>0</v>
      </c>
      <c r="M88" t="n">
        <v>0</v>
      </c>
      <c r="N88" t="n">
        <v>0</v>
      </c>
      <c r="O88" t="n">
        <v>7</v>
      </c>
      <c r="P88" t="n">
        <v>2</v>
      </c>
      <c r="Q88" t="n">
        <v>7</v>
      </c>
      <c r="R88" s="2" t="inlineStr">
        <is>
          <t>Knärot
Tallbit
Kungsörn
Lunglav
Mindre hackspett
Spillkråka
Talltita</t>
        </is>
      </c>
      <c r="S88">
        <f>HYPERLINK("https://klasma.github.io/Logging_2305/artfynd/A 26956-2024 artfynd.xlsx", "A 26956-2024")</f>
        <v/>
      </c>
      <c r="T88">
        <f>HYPERLINK("https://klasma.github.io/Logging_2305/kartor/A 26956-2024 karta.png", "A 26956-2024")</f>
        <v/>
      </c>
      <c r="U88">
        <f>HYPERLINK("https://klasma.github.io/Logging_2305/knärot/A 26956-2024 karta knärot.png", "A 26956-2024")</f>
        <v/>
      </c>
      <c r="V88">
        <f>HYPERLINK("https://klasma.github.io/Logging_2305/klagomål/A 26956-2024 FSC-klagomål.docx", "A 26956-2024")</f>
        <v/>
      </c>
      <c r="W88">
        <f>HYPERLINK("https://klasma.github.io/Logging_2305/klagomålsmail/A 26956-2024 FSC-klagomål mail.docx", "A 26956-2024")</f>
        <v/>
      </c>
      <c r="X88">
        <f>HYPERLINK("https://klasma.github.io/Logging_2305/tillsyn/A 26956-2024 tillsynsbegäran.docx", "A 26956-2024")</f>
        <v/>
      </c>
      <c r="Y88">
        <f>HYPERLINK("https://klasma.github.io/Logging_2305/tillsynsmail/A 26956-2024 tillsynsbegäran mail.docx", "A 26956-2024")</f>
        <v/>
      </c>
      <c r="Z88">
        <f>HYPERLINK("https://klasma.github.io/Logging_2305/fåglar/A 26956-2024 prioriterade fågelarter.docx", "A 26956-2024")</f>
        <v/>
      </c>
    </row>
    <row r="89" ht="15" customHeight="1">
      <c r="A89" t="inlineStr">
        <is>
          <t>A 31469-2024</t>
        </is>
      </c>
      <c r="B89" s="1" t="n">
        <v>45505</v>
      </c>
      <c r="C89" s="1" t="n">
        <v>45847</v>
      </c>
      <c r="D89" t="inlineStr">
        <is>
          <t>JÄMTLANDS LÄN</t>
        </is>
      </c>
      <c r="E89" t="inlineStr">
        <is>
          <t>BRÄCKE</t>
        </is>
      </c>
      <c r="F89" t="inlineStr">
        <is>
          <t>SCA</t>
        </is>
      </c>
      <c r="G89" t="n">
        <v>11.5</v>
      </c>
      <c r="H89" t="n">
        <v>3</v>
      </c>
      <c r="I89" t="n">
        <v>0</v>
      </c>
      <c r="J89" t="n">
        <v>6</v>
      </c>
      <c r="K89" t="n">
        <v>1</v>
      </c>
      <c r="L89" t="n">
        <v>0</v>
      </c>
      <c r="M89" t="n">
        <v>0</v>
      </c>
      <c r="N89" t="n">
        <v>0</v>
      </c>
      <c r="O89" t="n">
        <v>7</v>
      </c>
      <c r="P89" t="n">
        <v>1</v>
      </c>
      <c r="Q89" t="n">
        <v>7</v>
      </c>
      <c r="R89" s="2" t="inlineStr">
        <is>
          <t>Knärot
Garnlav
Granticka
Lunglav
Talltita
Tretåig hackspett
Äggvaxskivling</t>
        </is>
      </c>
      <c r="S89">
        <f>HYPERLINK("https://klasma.github.io/Logging_2305/artfynd/A 31469-2024 artfynd.xlsx", "A 31469-2024")</f>
        <v/>
      </c>
      <c r="T89">
        <f>HYPERLINK("https://klasma.github.io/Logging_2305/kartor/A 31469-2024 karta.png", "A 31469-2024")</f>
        <v/>
      </c>
      <c r="U89">
        <f>HYPERLINK("https://klasma.github.io/Logging_2305/knärot/A 31469-2024 karta knärot.png", "A 31469-2024")</f>
        <v/>
      </c>
      <c r="V89">
        <f>HYPERLINK("https://klasma.github.io/Logging_2305/klagomål/A 31469-2024 FSC-klagomål.docx", "A 31469-2024")</f>
        <v/>
      </c>
      <c r="W89">
        <f>HYPERLINK("https://klasma.github.io/Logging_2305/klagomålsmail/A 31469-2024 FSC-klagomål mail.docx", "A 31469-2024")</f>
        <v/>
      </c>
      <c r="X89">
        <f>HYPERLINK("https://klasma.github.io/Logging_2305/tillsyn/A 31469-2024 tillsynsbegäran.docx", "A 31469-2024")</f>
        <v/>
      </c>
      <c r="Y89">
        <f>HYPERLINK("https://klasma.github.io/Logging_2305/tillsynsmail/A 31469-2024 tillsynsbegäran mail.docx", "A 31469-2024")</f>
        <v/>
      </c>
      <c r="Z89">
        <f>HYPERLINK("https://klasma.github.io/Logging_2305/fåglar/A 31469-2024 prioriterade fågelarter.docx", "A 31469-2024")</f>
        <v/>
      </c>
    </row>
    <row r="90" ht="15" customHeight="1">
      <c r="A90" t="inlineStr">
        <is>
          <t>A 44514-2024</t>
        </is>
      </c>
      <c r="B90" s="1" t="n">
        <v>45574</v>
      </c>
      <c r="C90" s="1" t="n">
        <v>45847</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45109-2024</t>
        </is>
      </c>
      <c r="B91" s="1" t="n">
        <v>45575</v>
      </c>
      <c r="C91" s="1" t="n">
        <v>45847</v>
      </c>
      <c r="D91" t="inlineStr">
        <is>
          <t>JÄMTLANDS LÄN</t>
        </is>
      </c>
      <c r="E91" t="inlineStr">
        <is>
          <t>BRÄCKE</t>
        </is>
      </c>
      <c r="F91" t="inlineStr">
        <is>
          <t>SCA</t>
        </is>
      </c>
      <c r="G91" t="n">
        <v>1.6</v>
      </c>
      <c r="H91" t="n">
        <v>0</v>
      </c>
      <c r="I91" t="n">
        <v>0</v>
      </c>
      <c r="J91" t="n">
        <v>6</v>
      </c>
      <c r="K91" t="n">
        <v>1</v>
      </c>
      <c r="L91" t="n">
        <v>0</v>
      </c>
      <c r="M91" t="n">
        <v>0</v>
      </c>
      <c r="N91" t="n">
        <v>0</v>
      </c>
      <c r="O91" t="n">
        <v>7</v>
      </c>
      <c r="P91" t="n">
        <v>1</v>
      </c>
      <c r="Q91" t="n">
        <v>7</v>
      </c>
      <c r="R91" s="2" t="inlineStr">
        <is>
          <t>Lateritticka
Lunglav
Mörk kolflarnlav
Nordtagging
Vaddporing
Vedskivlav
Vedtrappmossa</t>
        </is>
      </c>
      <c r="S91">
        <f>HYPERLINK("https://klasma.github.io/Logging_2305/artfynd/A 45109-2024 artfynd.xlsx", "A 45109-2024")</f>
        <v/>
      </c>
      <c r="T91">
        <f>HYPERLINK("https://klasma.github.io/Logging_2305/kartor/A 45109-2024 karta.png", "A 45109-2024")</f>
        <v/>
      </c>
      <c r="V91">
        <f>HYPERLINK("https://klasma.github.io/Logging_2305/klagomål/A 45109-2024 FSC-klagomål.docx", "A 45109-2024")</f>
        <v/>
      </c>
      <c r="W91">
        <f>HYPERLINK("https://klasma.github.io/Logging_2305/klagomålsmail/A 45109-2024 FSC-klagomål mail.docx", "A 45109-2024")</f>
        <v/>
      </c>
      <c r="X91">
        <f>HYPERLINK("https://klasma.github.io/Logging_2305/tillsyn/A 45109-2024 tillsynsbegäran.docx", "A 45109-2024")</f>
        <v/>
      </c>
      <c r="Y91">
        <f>HYPERLINK("https://klasma.github.io/Logging_2305/tillsynsmail/A 45109-2024 tillsynsbegäran mail.docx", "A 45109-2024")</f>
        <v/>
      </c>
    </row>
    <row r="92" ht="15" customHeight="1">
      <c r="A92" t="inlineStr">
        <is>
          <t>A 47340-2024</t>
        </is>
      </c>
      <c r="B92" s="1" t="n">
        <v>45587</v>
      </c>
      <c r="C92" s="1" t="n">
        <v>45847</v>
      </c>
      <c r="D92" t="inlineStr">
        <is>
          <t>JÄMTLANDS LÄN</t>
        </is>
      </c>
      <c r="E92" t="inlineStr">
        <is>
          <t>BRÄCKE</t>
        </is>
      </c>
      <c r="F92" t="inlineStr">
        <is>
          <t>SCA</t>
        </is>
      </c>
      <c r="G92" t="n">
        <v>3.3</v>
      </c>
      <c r="H92" t="n">
        <v>0</v>
      </c>
      <c r="I92" t="n">
        <v>2</v>
      </c>
      <c r="J92" t="n">
        <v>5</v>
      </c>
      <c r="K92" t="n">
        <v>0</v>
      </c>
      <c r="L92" t="n">
        <v>0</v>
      </c>
      <c r="M92" t="n">
        <v>0</v>
      </c>
      <c r="N92" t="n">
        <v>0</v>
      </c>
      <c r="O92" t="n">
        <v>5</v>
      </c>
      <c r="P92" t="n">
        <v>0</v>
      </c>
      <c r="Q92" t="n">
        <v>7</v>
      </c>
      <c r="R92" s="2" t="inlineStr">
        <is>
          <t>Dvärgbägarlav
Lunglav
Vedflamlav
Vedskivlav
Vitgrynig nållav
Dropptaggsvamp
Luddlav</t>
        </is>
      </c>
      <c r="S92">
        <f>HYPERLINK("https://klasma.github.io/Logging_2305/artfynd/A 47340-2024 artfynd.xlsx", "A 47340-2024")</f>
        <v/>
      </c>
      <c r="T92">
        <f>HYPERLINK("https://klasma.github.io/Logging_2305/kartor/A 47340-2024 karta.png", "A 47340-2024")</f>
        <v/>
      </c>
      <c r="V92">
        <f>HYPERLINK("https://klasma.github.io/Logging_2305/klagomål/A 47340-2024 FSC-klagomål.docx", "A 47340-2024")</f>
        <v/>
      </c>
      <c r="W92">
        <f>HYPERLINK("https://klasma.github.io/Logging_2305/klagomålsmail/A 47340-2024 FSC-klagomål mail.docx", "A 47340-2024")</f>
        <v/>
      </c>
      <c r="X92">
        <f>HYPERLINK("https://klasma.github.io/Logging_2305/tillsyn/A 47340-2024 tillsynsbegäran.docx", "A 47340-2024")</f>
        <v/>
      </c>
      <c r="Y92">
        <f>HYPERLINK("https://klasma.github.io/Logging_2305/tillsynsmail/A 47340-2024 tillsynsbegäran mail.docx", "A 47340-2024")</f>
        <v/>
      </c>
    </row>
    <row r="93" ht="15" customHeight="1">
      <c r="A93" t="inlineStr">
        <is>
          <t>A 18898-2025</t>
        </is>
      </c>
      <c r="B93" s="1" t="n">
        <v>45764</v>
      </c>
      <c r="C93" s="1" t="n">
        <v>45847</v>
      </c>
      <c r="D93" t="inlineStr">
        <is>
          <t>JÄMTLANDS LÄN</t>
        </is>
      </c>
      <c r="E93" t="inlineStr">
        <is>
          <t>BRÄCKE</t>
        </is>
      </c>
      <c r="F93" t="inlineStr">
        <is>
          <t>SCA</t>
        </is>
      </c>
      <c r="G93" t="n">
        <v>3.6</v>
      </c>
      <c r="H93" t="n">
        <v>3</v>
      </c>
      <c r="I93" t="n">
        <v>3</v>
      </c>
      <c r="J93" t="n">
        <v>2</v>
      </c>
      <c r="K93" t="n">
        <v>1</v>
      </c>
      <c r="L93" t="n">
        <v>0</v>
      </c>
      <c r="M93" t="n">
        <v>0</v>
      </c>
      <c r="N93" t="n">
        <v>0</v>
      </c>
      <c r="O93" t="n">
        <v>3</v>
      </c>
      <c r="P93" t="n">
        <v>1</v>
      </c>
      <c r="Q93" t="n">
        <v>7</v>
      </c>
      <c r="R93" s="2" t="inlineStr">
        <is>
          <t>Knärot
Granticka
Lunglav
Korallblylav
Plattlummer
Skinnlav
Kungsfågel</t>
        </is>
      </c>
      <c r="S93">
        <f>HYPERLINK("https://klasma.github.io/Logging_232305/artfynd/A 18898-2025 artfynd.xlsx", "A 18898-2025")</f>
        <v/>
      </c>
      <c r="T93">
        <f>HYPERLINK("https://klasma.github.io/Logging_232305/kartor/A 18898-2025 karta.png", "A 18898-2025")</f>
        <v/>
      </c>
      <c r="U93">
        <f>HYPERLINK("https://klasma.github.io/Logging_232305/knärot/A 18898-2025 karta knärot.png", "A 18898-2025")</f>
        <v/>
      </c>
      <c r="V93">
        <f>HYPERLINK("https://klasma.github.io/Logging_232305/klagomål/A 18898-2025 FSC-klagomål.docx", "A 18898-2025")</f>
        <v/>
      </c>
      <c r="W93">
        <f>HYPERLINK("https://klasma.github.io/Logging_232305/klagomålsmail/A 18898-2025 FSC-klagomål mail.docx", "A 18898-2025")</f>
        <v/>
      </c>
      <c r="X93">
        <f>HYPERLINK("https://klasma.github.io/Logging_232305/tillsyn/A 18898-2025 tillsynsbegäran.docx", "A 18898-2025")</f>
        <v/>
      </c>
      <c r="Y93">
        <f>HYPERLINK("https://klasma.github.io/Logging_232305/tillsynsmail/A 18898-2025 tillsynsbegäran mail.docx", "A 18898-2025")</f>
        <v/>
      </c>
      <c r="Z93">
        <f>HYPERLINK("https://klasma.github.io/Logging_232305/fåglar/A 18898-2025 prioriterade fågelarter.docx", "A 18898-2025")</f>
        <v/>
      </c>
    </row>
    <row r="94" ht="15" customHeight="1">
      <c r="A94" t="inlineStr">
        <is>
          <t>A 21452-2025</t>
        </is>
      </c>
      <c r="B94" s="1" t="n">
        <v>45782</v>
      </c>
      <c r="C94" s="1" t="n">
        <v>45847</v>
      </c>
      <c r="D94" t="inlineStr">
        <is>
          <t>JÄMTLANDS LÄN</t>
        </is>
      </c>
      <c r="E94" t="inlineStr">
        <is>
          <t>BRÄCKE</t>
        </is>
      </c>
      <c r="F94" t="inlineStr">
        <is>
          <t>SCA</t>
        </is>
      </c>
      <c r="G94" t="n">
        <v>28.8</v>
      </c>
      <c r="H94" t="n">
        <v>0</v>
      </c>
      <c r="I94" t="n">
        <v>5</v>
      </c>
      <c r="J94" t="n">
        <v>1</v>
      </c>
      <c r="K94" t="n">
        <v>0</v>
      </c>
      <c r="L94" t="n">
        <v>1</v>
      </c>
      <c r="M94" t="n">
        <v>0</v>
      </c>
      <c r="N94" t="n">
        <v>0</v>
      </c>
      <c r="O94" t="n">
        <v>2</v>
      </c>
      <c r="P94" t="n">
        <v>1</v>
      </c>
      <c r="Q94" t="n">
        <v>7</v>
      </c>
      <c r="R94" s="2" t="inlineStr">
        <is>
          <t>Trolldruvemätare
Lunglav
Kransrams
Strutbräken
Svart trolldruva
Tibast
Underviol</t>
        </is>
      </c>
      <c r="S94">
        <f>HYPERLINK("https://klasma.github.io/Logging_232305/artfynd/A 21452-2025 artfynd.xlsx", "A 21452-2025")</f>
        <v/>
      </c>
      <c r="T94">
        <f>HYPERLINK("https://klasma.github.io/Logging_232305/kartor/A 21452-2025 karta.png", "A 21452-2025")</f>
        <v/>
      </c>
      <c r="U94">
        <f>HYPERLINK("https://klasma.github.io/Logging_232305/knärot/A 21452-2025 karta knärot.png", "A 21452-2025")</f>
        <v/>
      </c>
      <c r="V94">
        <f>HYPERLINK("https://klasma.github.io/Logging_232305/klagomål/A 21452-2025 FSC-klagomål.docx", "A 21452-2025")</f>
        <v/>
      </c>
      <c r="W94">
        <f>HYPERLINK("https://klasma.github.io/Logging_232305/klagomålsmail/A 21452-2025 FSC-klagomål mail.docx", "A 21452-2025")</f>
        <v/>
      </c>
      <c r="X94">
        <f>HYPERLINK("https://klasma.github.io/Logging_232305/tillsyn/A 21452-2025 tillsynsbegäran.docx", "A 21452-2025")</f>
        <v/>
      </c>
      <c r="Y94">
        <f>HYPERLINK("https://klasma.github.io/Logging_232305/tillsynsmail/A 21452-2025 tillsynsbegäran mail.docx", "A 21452-2025")</f>
        <v/>
      </c>
    </row>
    <row r="95" ht="15" customHeight="1">
      <c r="A95" t="inlineStr">
        <is>
          <t>A 49540-2022</t>
        </is>
      </c>
      <c r="B95" s="1" t="n">
        <v>44861</v>
      </c>
      <c r="C95" s="1" t="n">
        <v>45847</v>
      </c>
      <c r="D95" t="inlineStr">
        <is>
          <t>JÄMTLANDS LÄN</t>
        </is>
      </c>
      <c r="E95" t="inlineStr">
        <is>
          <t>BRÄCKE</t>
        </is>
      </c>
      <c r="F95" t="inlineStr">
        <is>
          <t>SCA</t>
        </is>
      </c>
      <c r="G95" t="n">
        <v>10.5</v>
      </c>
      <c r="H95" t="n">
        <v>2</v>
      </c>
      <c r="I95" t="n">
        <v>0</v>
      </c>
      <c r="J95" t="n">
        <v>4</v>
      </c>
      <c r="K95" t="n">
        <v>2</v>
      </c>
      <c r="L95" t="n">
        <v>0</v>
      </c>
      <c r="M95" t="n">
        <v>0</v>
      </c>
      <c r="N95" t="n">
        <v>0</v>
      </c>
      <c r="O95" t="n">
        <v>6</v>
      </c>
      <c r="P95" t="n">
        <v>2</v>
      </c>
      <c r="Q95" t="n">
        <v>6</v>
      </c>
      <c r="R95" s="2" t="inlineStr">
        <is>
          <t>Knärot
Rynkskinn
Rosenticka
Talltita
Ullticka
Äggvaxskivling</t>
        </is>
      </c>
      <c r="S95">
        <f>HYPERLINK("https://klasma.github.io/Logging_2305/artfynd/A 49540-2022 artfynd.xlsx", "A 49540-2022")</f>
        <v/>
      </c>
      <c r="T95">
        <f>HYPERLINK("https://klasma.github.io/Logging_2305/kartor/A 49540-2022 karta.png", "A 49540-2022")</f>
        <v/>
      </c>
      <c r="U95">
        <f>HYPERLINK("https://klasma.github.io/Logging_2305/knärot/A 49540-2022 karta knärot.png", "A 49540-2022")</f>
        <v/>
      </c>
      <c r="V95">
        <f>HYPERLINK("https://klasma.github.io/Logging_2305/klagomål/A 49540-2022 FSC-klagomål.docx", "A 49540-2022")</f>
        <v/>
      </c>
      <c r="W95">
        <f>HYPERLINK("https://klasma.github.io/Logging_2305/klagomålsmail/A 49540-2022 FSC-klagomål mail.docx", "A 49540-2022")</f>
        <v/>
      </c>
      <c r="X95">
        <f>HYPERLINK("https://klasma.github.io/Logging_2305/tillsyn/A 49540-2022 tillsynsbegäran.docx", "A 49540-2022")</f>
        <v/>
      </c>
      <c r="Y95">
        <f>HYPERLINK("https://klasma.github.io/Logging_2305/tillsynsmail/A 49540-2022 tillsynsbegäran mail.docx", "A 49540-2022")</f>
        <v/>
      </c>
      <c r="Z95">
        <f>HYPERLINK("https://klasma.github.io/Logging_2305/fåglar/A 49540-2022 prioriterade fågelarter.docx", "A 49540-2022")</f>
        <v/>
      </c>
    </row>
    <row r="96" ht="15" customHeight="1">
      <c r="A96" t="inlineStr">
        <is>
          <t>A 39807-2023</t>
        </is>
      </c>
      <c r="B96" s="1" t="n">
        <v>45168</v>
      </c>
      <c r="C96" s="1" t="n">
        <v>45847</v>
      </c>
      <c r="D96" t="inlineStr">
        <is>
          <t>JÄMTLANDS LÄN</t>
        </is>
      </c>
      <c r="E96" t="inlineStr">
        <is>
          <t>BRÄCKE</t>
        </is>
      </c>
      <c r="F96" t="inlineStr">
        <is>
          <t>SCA</t>
        </is>
      </c>
      <c r="G96" t="n">
        <v>8.1</v>
      </c>
      <c r="H96" t="n">
        <v>1</v>
      </c>
      <c r="I96" t="n">
        <v>2</v>
      </c>
      <c r="J96" t="n">
        <v>3</v>
      </c>
      <c r="K96" t="n">
        <v>1</v>
      </c>
      <c r="L96" t="n">
        <v>0</v>
      </c>
      <c r="M96" t="n">
        <v>0</v>
      </c>
      <c r="N96" t="n">
        <v>0</v>
      </c>
      <c r="O96" t="n">
        <v>4</v>
      </c>
      <c r="P96" t="n">
        <v>1</v>
      </c>
      <c r="Q96" t="n">
        <v>6</v>
      </c>
      <c r="R96" s="2" t="inlineStr">
        <is>
          <t>Knärot
Gammelgransskål
Lunglav
Skrovellav
Bårdlav
Stor aspticka</t>
        </is>
      </c>
      <c r="S96">
        <f>HYPERLINK("https://klasma.github.io/Logging_2305/artfynd/A 39807-2023 artfynd.xlsx", "A 39807-2023")</f>
        <v/>
      </c>
      <c r="T96">
        <f>HYPERLINK("https://klasma.github.io/Logging_2305/kartor/A 39807-2023 karta.png", "A 39807-2023")</f>
        <v/>
      </c>
      <c r="U96">
        <f>HYPERLINK("https://klasma.github.io/Logging_2305/knärot/A 39807-2023 karta knärot.png", "A 39807-2023")</f>
        <v/>
      </c>
      <c r="V96">
        <f>HYPERLINK("https://klasma.github.io/Logging_2305/klagomål/A 39807-2023 FSC-klagomål.docx", "A 39807-2023")</f>
        <v/>
      </c>
      <c r="W96">
        <f>HYPERLINK("https://klasma.github.io/Logging_2305/klagomålsmail/A 39807-2023 FSC-klagomål mail.docx", "A 39807-2023")</f>
        <v/>
      </c>
      <c r="X96">
        <f>HYPERLINK("https://klasma.github.io/Logging_2305/tillsyn/A 39807-2023 tillsynsbegäran.docx", "A 39807-2023")</f>
        <v/>
      </c>
      <c r="Y96">
        <f>HYPERLINK("https://klasma.github.io/Logging_2305/tillsynsmail/A 39807-2023 tillsynsbegäran mail.docx", "A 39807-2023")</f>
        <v/>
      </c>
    </row>
    <row r="97" ht="15" customHeight="1">
      <c r="A97" t="inlineStr">
        <is>
          <t>A 43989-2023</t>
        </is>
      </c>
      <c r="B97" s="1" t="n">
        <v>45187</v>
      </c>
      <c r="C97" s="1" t="n">
        <v>45847</v>
      </c>
      <c r="D97" t="inlineStr">
        <is>
          <t>JÄMTLANDS LÄN</t>
        </is>
      </c>
      <c r="E97" t="inlineStr">
        <is>
          <t>BRÄCKE</t>
        </is>
      </c>
      <c r="F97" t="inlineStr">
        <is>
          <t>SCA</t>
        </is>
      </c>
      <c r="G97" t="n">
        <v>6.1</v>
      </c>
      <c r="H97" t="n">
        <v>5</v>
      </c>
      <c r="I97" t="n">
        <v>2</v>
      </c>
      <c r="J97" t="n">
        <v>2</v>
      </c>
      <c r="K97" t="n">
        <v>0</v>
      </c>
      <c r="L97" t="n">
        <v>0</v>
      </c>
      <c r="M97" t="n">
        <v>0</v>
      </c>
      <c r="N97" t="n">
        <v>0</v>
      </c>
      <c r="O97" t="n">
        <v>2</v>
      </c>
      <c r="P97" t="n">
        <v>0</v>
      </c>
      <c r="Q97" t="n">
        <v>6</v>
      </c>
      <c r="R97" s="2" t="inlineStr">
        <is>
          <t>Brunklöver
Rödvingetrast
Plattlummer
Spindelblomster
Fläcknycklar
Revlummer</t>
        </is>
      </c>
      <c r="S97">
        <f>HYPERLINK("https://klasma.github.io/Logging_2305/artfynd/A 43989-2023 artfynd.xlsx", "A 43989-2023")</f>
        <v/>
      </c>
      <c r="T97">
        <f>HYPERLINK("https://klasma.github.io/Logging_2305/kartor/A 43989-2023 karta.png", "A 43989-2023")</f>
        <v/>
      </c>
      <c r="V97">
        <f>HYPERLINK("https://klasma.github.io/Logging_2305/klagomål/A 43989-2023 FSC-klagomål.docx", "A 43989-2023")</f>
        <v/>
      </c>
      <c r="W97">
        <f>HYPERLINK("https://klasma.github.io/Logging_2305/klagomålsmail/A 43989-2023 FSC-klagomål mail.docx", "A 43989-2023")</f>
        <v/>
      </c>
      <c r="X97">
        <f>HYPERLINK("https://klasma.github.io/Logging_2305/tillsyn/A 43989-2023 tillsynsbegäran.docx", "A 43989-2023")</f>
        <v/>
      </c>
      <c r="Y97">
        <f>HYPERLINK("https://klasma.github.io/Logging_2305/tillsynsmail/A 43989-2023 tillsynsbegäran mail.docx", "A 43989-2023")</f>
        <v/>
      </c>
      <c r="Z97">
        <f>HYPERLINK("https://klasma.github.io/Logging_2305/fåglar/A 43989-2023 prioriterade fågelarter.docx", "A 43989-2023")</f>
        <v/>
      </c>
    </row>
    <row r="98" ht="15" customHeight="1">
      <c r="A98" t="inlineStr">
        <is>
          <t>A 43982-2023</t>
        </is>
      </c>
      <c r="B98" s="1" t="n">
        <v>45187</v>
      </c>
      <c r="C98" s="1" t="n">
        <v>45847</v>
      </c>
      <c r="D98" t="inlineStr">
        <is>
          <t>JÄMTLANDS LÄN</t>
        </is>
      </c>
      <c r="E98" t="inlineStr">
        <is>
          <t>BRÄCKE</t>
        </is>
      </c>
      <c r="F98" t="inlineStr">
        <is>
          <t>SCA</t>
        </is>
      </c>
      <c r="G98" t="n">
        <v>25.6</v>
      </c>
      <c r="H98" t="n">
        <v>4</v>
      </c>
      <c r="I98" t="n">
        <v>2</v>
      </c>
      <c r="J98" t="n">
        <v>3</v>
      </c>
      <c r="K98" t="n">
        <v>1</v>
      </c>
      <c r="L98" t="n">
        <v>0</v>
      </c>
      <c r="M98" t="n">
        <v>0</v>
      </c>
      <c r="N98" t="n">
        <v>0</v>
      </c>
      <c r="O98" t="n">
        <v>4</v>
      </c>
      <c r="P98" t="n">
        <v>1</v>
      </c>
      <c r="Q98" t="n">
        <v>6</v>
      </c>
      <c r="R98" s="2" t="inlineStr">
        <is>
          <t>Knärot
Kolflarnlav
Lunglav
Tretåig hackspett
Korallrot
Spindelblomster</t>
        </is>
      </c>
      <c r="S98">
        <f>HYPERLINK("https://klasma.github.io/Logging_2305/artfynd/A 43982-2023 artfynd.xlsx", "A 43982-2023")</f>
        <v/>
      </c>
      <c r="T98">
        <f>HYPERLINK("https://klasma.github.io/Logging_2305/kartor/A 43982-2023 karta.png", "A 43982-2023")</f>
        <v/>
      </c>
      <c r="U98">
        <f>HYPERLINK("https://klasma.github.io/Logging_2305/knärot/A 43982-2023 karta knärot.png", "A 43982-2023")</f>
        <v/>
      </c>
      <c r="V98">
        <f>HYPERLINK("https://klasma.github.io/Logging_2305/klagomål/A 43982-2023 FSC-klagomål.docx", "A 43982-2023")</f>
        <v/>
      </c>
      <c r="W98">
        <f>HYPERLINK("https://klasma.github.io/Logging_2305/klagomålsmail/A 43982-2023 FSC-klagomål mail.docx", "A 43982-2023")</f>
        <v/>
      </c>
      <c r="X98">
        <f>HYPERLINK("https://klasma.github.io/Logging_2305/tillsyn/A 43982-2023 tillsynsbegäran.docx", "A 43982-2023")</f>
        <v/>
      </c>
      <c r="Y98">
        <f>HYPERLINK("https://klasma.github.io/Logging_2305/tillsynsmail/A 43982-2023 tillsynsbegäran mail.docx", "A 43982-2023")</f>
        <v/>
      </c>
      <c r="Z98">
        <f>HYPERLINK("https://klasma.github.io/Logging_2305/fåglar/A 43982-2023 prioriterade fågelarter.docx", "A 43982-2023")</f>
        <v/>
      </c>
    </row>
    <row r="99" ht="15" customHeight="1">
      <c r="A99" t="inlineStr">
        <is>
          <t>A 45937-2023</t>
        </is>
      </c>
      <c r="B99" s="1" t="n">
        <v>45196</v>
      </c>
      <c r="C99" s="1" t="n">
        <v>45847</v>
      </c>
      <c r="D99" t="inlineStr">
        <is>
          <t>JÄMTLANDS LÄN</t>
        </is>
      </c>
      <c r="E99" t="inlineStr">
        <is>
          <t>BRÄCKE</t>
        </is>
      </c>
      <c r="F99" t="inlineStr">
        <is>
          <t>SCA</t>
        </is>
      </c>
      <c r="G99" t="n">
        <v>1.7</v>
      </c>
      <c r="H99" t="n">
        <v>1</v>
      </c>
      <c r="I99" t="n">
        <v>1</v>
      </c>
      <c r="J99" t="n">
        <v>5</v>
      </c>
      <c r="K99" t="n">
        <v>0</v>
      </c>
      <c r="L99" t="n">
        <v>0</v>
      </c>
      <c r="M99" t="n">
        <v>0</v>
      </c>
      <c r="N99" t="n">
        <v>0</v>
      </c>
      <c r="O99" t="n">
        <v>5</v>
      </c>
      <c r="P99" t="n">
        <v>0</v>
      </c>
      <c r="Q99" t="n">
        <v>6</v>
      </c>
      <c r="R99" s="2" t="inlineStr">
        <is>
          <t>Granticka
Lunglav
Rosenticka
Tretåig hackspett
Ullticka
Luddlav</t>
        </is>
      </c>
      <c r="S99">
        <f>HYPERLINK("https://klasma.github.io/Logging_2305/artfynd/A 45937-2023 artfynd.xlsx", "A 45937-2023")</f>
        <v/>
      </c>
      <c r="T99">
        <f>HYPERLINK("https://klasma.github.io/Logging_2305/kartor/A 45937-2023 karta.png", "A 45937-2023")</f>
        <v/>
      </c>
      <c r="V99">
        <f>HYPERLINK("https://klasma.github.io/Logging_2305/klagomål/A 45937-2023 FSC-klagomål.docx", "A 45937-2023")</f>
        <v/>
      </c>
      <c r="W99">
        <f>HYPERLINK("https://klasma.github.io/Logging_2305/klagomålsmail/A 45937-2023 FSC-klagomål mail.docx", "A 45937-2023")</f>
        <v/>
      </c>
      <c r="X99">
        <f>HYPERLINK("https://klasma.github.io/Logging_2305/tillsyn/A 45937-2023 tillsynsbegäran.docx", "A 45937-2023")</f>
        <v/>
      </c>
      <c r="Y99">
        <f>HYPERLINK("https://klasma.github.io/Logging_2305/tillsynsmail/A 45937-2023 tillsynsbegäran mail.docx", "A 45937-2023")</f>
        <v/>
      </c>
      <c r="Z99">
        <f>HYPERLINK("https://klasma.github.io/Logging_2305/fåglar/A 45937-2023 prioriterade fågelarter.docx", "A 45937-2023")</f>
        <v/>
      </c>
    </row>
    <row r="100" ht="15" customHeight="1">
      <c r="A100" t="inlineStr">
        <is>
          <t>A 50836-2023</t>
        </is>
      </c>
      <c r="B100" s="1" t="n">
        <v>45217</v>
      </c>
      <c r="C100" s="1" t="n">
        <v>45847</v>
      </c>
      <c r="D100" t="inlineStr">
        <is>
          <t>JÄMTLANDS LÄN</t>
        </is>
      </c>
      <c r="E100" t="inlineStr">
        <is>
          <t>BRÄCKE</t>
        </is>
      </c>
      <c r="F100" t="inlineStr">
        <is>
          <t>SCA</t>
        </is>
      </c>
      <c r="G100" t="n">
        <v>8.4</v>
      </c>
      <c r="H100" t="n">
        <v>6</v>
      </c>
      <c r="I100" t="n">
        <v>0</v>
      </c>
      <c r="J100" t="n">
        <v>4</v>
      </c>
      <c r="K100" t="n">
        <v>0</v>
      </c>
      <c r="L100" t="n">
        <v>0</v>
      </c>
      <c r="M100" t="n">
        <v>0</v>
      </c>
      <c r="N100" t="n">
        <v>0</v>
      </c>
      <c r="O100" t="n">
        <v>4</v>
      </c>
      <c r="P100" t="n">
        <v>0</v>
      </c>
      <c r="Q100" t="n">
        <v>6</v>
      </c>
      <c r="R100" s="2" t="inlineStr">
        <is>
          <t>Järpe
Rödvingetrast
Talltita
Tretåig hackspett
Grönsiska
Kungsfågel</t>
        </is>
      </c>
      <c r="S100">
        <f>HYPERLINK("https://klasma.github.io/Logging_2305/artfynd/A 50836-2023 artfynd.xlsx", "A 50836-2023")</f>
        <v/>
      </c>
      <c r="T100">
        <f>HYPERLINK("https://klasma.github.io/Logging_2305/kartor/A 50836-2023 karta.png", "A 50836-2023")</f>
        <v/>
      </c>
      <c r="V100">
        <f>HYPERLINK("https://klasma.github.io/Logging_2305/klagomål/A 50836-2023 FSC-klagomål.docx", "A 50836-2023")</f>
        <v/>
      </c>
      <c r="W100">
        <f>HYPERLINK("https://klasma.github.io/Logging_2305/klagomålsmail/A 50836-2023 FSC-klagomål mail.docx", "A 50836-2023")</f>
        <v/>
      </c>
      <c r="X100">
        <f>HYPERLINK("https://klasma.github.io/Logging_2305/tillsyn/A 50836-2023 tillsynsbegäran.docx", "A 50836-2023")</f>
        <v/>
      </c>
      <c r="Y100">
        <f>HYPERLINK("https://klasma.github.io/Logging_2305/tillsynsmail/A 50836-2023 tillsynsbegäran mail.docx", "A 50836-2023")</f>
        <v/>
      </c>
      <c r="Z100">
        <f>HYPERLINK("https://klasma.github.io/Logging_2305/fåglar/A 50836-2023 prioriterade fågelarter.docx", "A 50836-2023")</f>
        <v/>
      </c>
    </row>
    <row r="101" ht="15" customHeight="1">
      <c r="A101" t="inlineStr">
        <is>
          <t>A 13548-2024</t>
        </is>
      </c>
      <c r="B101" s="1" t="n">
        <v>45388</v>
      </c>
      <c r="C101" s="1" t="n">
        <v>45847</v>
      </c>
      <c r="D101" t="inlineStr">
        <is>
          <t>JÄMTLANDS LÄN</t>
        </is>
      </c>
      <c r="E101" t="inlineStr">
        <is>
          <t>BRÄCKE</t>
        </is>
      </c>
      <c r="F101" t="inlineStr">
        <is>
          <t>SCA</t>
        </is>
      </c>
      <c r="G101" t="n">
        <v>1.3</v>
      </c>
      <c r="H101" t="n">
        <v>0</v>
      </c>
      <c r="I101" t="n">
        <v>2</v>
      </c>
      <c r="J101" t="n">
        <v>4</v>
      </c>
      <c r="K101" t="n">
        <v>0</v>
      </c>
      <c r="L101" t="n">
        <v>0</v>
      </c>
      <c r="M101" t="n">
        <v>0</v>
      </c>
      <c r="N101" t="n">
        <v>0</v>
      </c>
      <c r="O101" t="n">
        <v>4</v>
      </c>
      <c r="P101" t="n">
        <v>0</v>
      </c>
      <c r="Q101" t="n">
        <v>6</v>
      </c>
      <c r="R101" s="2" t="inlineStr">
        <is>
          <t>Blå taggsvamp
Dvärgbägarlav
Kolflarnlav
Motaggsvamp
Skinnlav
Vedticka</t>
        </is>
      </c>
      <c r="S101">
        <f>HYPERLINK("https://klasma.github.io/Logging_2305/artfynd/A 13548-2024 artfynd.xlsx", "A 13548-2024")</f>
        <v/>
      </c>
      <c r="T101">
        <f>HYPERLINK("https://klasma.github.io/Logging_2305/kartor/A 13548-2024 karta.png", "A 13548-2024")</f>
        <v/>
      </c>
      <c r="V101">
        <f>HYPERLINK("https://klasma.github.io/Logging_2305/klagomål/A 13548-2024 FSC-klagomål.docx", "A 13548-2024")</f>
        <v/>
      </c>
      <c r="W101">
        <f>HYPERLINK("https://klasma.github.io/Logging_2305/klagomålsmail/A 13548-2024 FSC-klagomål mail.docx", "A 13548-2024")</f>
        <v/>
      </c>
      <c r="X101">
        <f>HYPERLINK("https://klasma.github.io/Logging_2305/tillsyn/A 13548-2024 tillsynsbegäran.docx", "A 13548-2024")</f>
        <v/>
      </c>
      <c r="Y101">
        <f>HYPERLINK("https://klasma.github.io/Logging_2305/tillsynsmail/A 13548-2024 tillsynsbegäran mail.docx", "A 13548-2024")</f>
        <v/>
      </c>
    </row>
    <row r="102" ht="15" customHeight="1">
      <c r="A102" t="inlineStr">
        <is>
          <t>A 14576-2024</t>
        </is>
      </c>
      <c r="B102" s="1" t="n">
        <v>45395</v>
      </c>
      <c r="C102" s="1" t="n">
        <v>45847</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29272-2024</t>
        </is>
      </c>
      <c r="B103" s="1" t="n">
        <v>45483</v>
      </c>
      <c r="C103" s="1" t="n">
        <v>45847</v>
      </c>
      <c r="D103" t="inlineStr">
        <is>
          <t>JÄMTLANDS LÄN</t>
        </is>
      </c>
      <c r="E103" t="inlineStr">
        <is>
          <t>BRÄCKE</t>
        </is>
      </c>
      <c r="F103" t="inlineStr">
        <is>
          <t>SCA</t>
        </is>
      </c>
      <c r="G103" t="n">
        <v>1.6</v>
      </c>
      <c r="H103" t="n">
        <v>3</v>
      </c>
      <c r="I103" t="n">
        <v>0</v>
      </c>
      <c r="J103" t="n">
        <v>5</v>
      </c>
      <c r="K103" t="n">
        <v>0</v>
      </c>
      <c r="L103" t="n">
        <v>0</v>
      </c>
      <c r="M103" t="n">
        <v>0</v>
      </c>
      <c r="N103" t="n">
        <v>0</v>
      </c>
      <c r="O103" t="n">
        <v>5</v>
      </c>
      <c r="P103" t="n">
        <v>0</v>
      </c>
      <c r="Q103" t="n">
        <v>6</v>
      </c>
      <c r="R103" s="2" t="inlineStr">
        <is>
          <t>Garnlav
Lunglav
Skogshare
Spillkråka
Tretåig hackspett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29464-2024</t>
        </is>
      </c>
      <c r="B104" s="1" t="n">
        <v>45484</v>
      </c>
      <c r="C104" s="1" t="n">
        <v>45847</v>
      </c>
      <c r="D104" t="inlineStr">
        <is>
          <t>JÄMTLANDS LÄN</t>
        </is>
      </c>
      <c r="E104" t="inlineStr">
        <is>
          <t>BRÄCKE</t>
        </is>
      </c>
      <c r="F104" t="inlineStr">
        <is>
          <t>SCA</t>
        </is>
      </c>
      <c r="G104" t="n">
        <v>4</v>
      </c>
      <c r="H104" t="n">
        <v>0</v>
      </c>
      <c r="I104" t="n">
        <v>1</v>
      </c>
      <c r="J104" t="n">
        <v>5</v>
      </c>
      <c r="K104" t="n">
        <v>0</v>
      </c>
      <c r="L104" t="n">
        <v>0</v>
      </c>
      <c r="M104" t="n">
        <v>0</v>
      </c>
      <c r="N104" t="n">
        <v>0</v>
      </c>
      <c r="O104" t="n">
        <v>5</v>
      </c>
      <c r="P104" t="n">
        <v>0</v>
      </c>
      <c r="Q104" t="n">
        <v>6</v>
      </c>
      <c r="R104" s="2" t="inlineStr">
        <is>
          <t>Gammelgransskål
Garnlav
Granticka
Kolflarnlav
Lunglav
Stuplav</t>
        </is>
      </c>
      <c r="S104">
        <f>HYPERLINK("https://klasma.github.io/Logging_2305/artfynd/A 29464-2024 artfynd.xlsx", "A 29464-2024")</f>
        <v/>
      </c>
      <c r="T104">
        <f>HYPERLINK("https://klasma.github.io/Logging_2305/kartor/A 29464-2024 karta.png", "A 29464-2024")</f>
        <v/>
      </c>
      <c r="V104">
        <f>HYPERLINK("https://klasma.github.io/Logging_2305/klagomål/A 29464-2024 FSC-klagomål.docx", "A 29464-2024")</f>
        <v/>
      </c>
      <c r="W104">
        <f>HYPERLINK("https://klasma.github.io/Logging_2305/klagomålsmail/A 29464-2024 FSC-klagomål mail.docx", "A 29464-2024")</f>
        <v/>
      </c>
      <c r="X104">
        <f>HYPERLINK("https://klasma.github.io/Logging_2305/tillsyn/A 29464-2024 tillsynsbegäran.docx", "A 29464-2024")</f>
        <v/>
      </c>
      <c r="Y104">
        <f>HYPERLINK("https://klasma.github.io/Logging_2305/tillsynsmail/A 29464-2024 tillsynsbegäran mail.docx", "A 29464-2024")</f>
        <v/>
      </c>
    </row>
    <row r="105" ht="15" customHeight="1">
      <c r="A105" t="inlineStr">
        <is>
          <t>A 35419-2024</t>
        </is>
      </c>
      <c r="B105" s="1" t="n">
        <v>45531</v>
      </c>
      <c r="C105" s="1" t="n">
        <v>45847</v>
      </c>
      <c r="D105" t="inlineStr">
        <is>
          <t>JÄMTLANDS LÄN</t>
        </is>
      </c>
      <c r="E105" t="inlineStr">
        <is>
          <t>BRÄCKE</t>
        </is>
      </c>
      <c r="F105" t="inlineStr">
        <is>
          <t>SCA</t>
        </is>
      </c>
      <c r="G105" t="n">
        <v>3.6</v>
      </c>
      <c r="H105" t="n">
        <v>3</v>
      </c>
      <c r="I105" t="n">
        <v>1</v>
      </c>
      <c r="J105" t="n">
        <v>3</v>
      </c>
      <c r="K105" t="n">
        <v>0</v>
      </c>
      <c r="L105" t="n">
        <v>0</v>
      </c>
      <c r="M105" t="n">
        <v>0</v>
      </c>
      <c r="N105" t="n">
        <v>0</v>
      </c>
      <c r="O105" t="n">
        <v>3</v>
      </c>
      <c r="P105" t="n">
        <v>0</v>
      </c>
      <c r="Q105" t="n">
        <v>6</v>
      </c>
      <c r="R105" s="2" t="inlineStr">
        <is>
          <t>Lunglav
Skrovellav
Talltita
Stuplav
Kungsfågel
Nattviol</t>
        </is>
      </c>
      <c r="S105">
        <f>HYPERLINK("https://klasma.github.io/Logging_2305/artfynd/A 35419-2024 artfynd.xlsx", "A 35419-2024")</f>
        <v/>
      </c>
      <c r="T105">
        <f>HYPERLINK("https://klasma.github.io/Logging_2305/kartor/A 35419-2024 karta.png", "A 35419-2024")</f>
        <v/>
      </c>
      <c r="V105">
        <f>HYPERLINK("https://klasma.github.io/Logging_2305/klagomål/A 35419-2024 FSC-klagomål.docx", "A 35419-2024")</f>
        <v/>
      </c>
      <c r="W105">
        <f>HYPERLINK("https://klasma.github.io/Logging_2305/klagomålsmail/A 35419-2024 FSC-klagomål mail.docx", "A 35419-2024")</f>
        <v/>
      </c>
      <c r="X105">
        <f>HYPERLINK("https://klasma.github.io/Logging_2305/tillsyn/A 35419-2024 tillsynsbegäran.docx", "A 35419-2024")</f>
        <v/>
      </c>
      <c r="Y105">
        <f>HYPERLINK("https://klasma.github.io/Logging_2305/tillsynsmail/A 35419-2024 tillsynsbegäran mail.docx", "A 35419-2024")</f>
        <v/>
      </c>
      <c r="Z105">
        <f>HYPERLINK("https://klasma.github.io/Logging_2305/fåglar/A 35419-2024 prioriterade fågelarter.docx", "A 35419-2024")</f>
        <v/>
      </c>
    </row>
    <row r="106" ht="15" customHeight="1">
      <c r="A106" t="inlineStr">
        <is>
          <t>A 40376-2024</t>
        </is>
      </c>
      <c r="B106" s="1" t="n">
        <v>45555</v>
      </c>
      <c r="C106" s="1" t="n">
        <v>45847</v>
      </c>
      <c r="D106" t="inlineStr">
        <is>
          <t>JÄMTLANDS LÄN</t>
        </is>
      </c>
      <c r="E106" t="inlineStr">
        <is>
          <t>BRÄCKE</t>
        </is>
      </c>
      <c r="F106" t="inlineStr">
        <is>
          <t>Naturvårdsverket</t>
        </is>
      </c>
      <c r="G106" t="n">
        <v>2.9</v>
      </c>
      <c r="H106" t="n">
        <v>0</v>
      </c>
      <c r="I106" t="n">
        <v>1</v>
      </c>
      <c r="J106" t="n">
        <v>5</v>
      </c>
      <c r="K106" t="n">
        <v>0</v>
      </c>
      <c r="L106" t="n">
        <v>0</v>
      </c>
      <c r="M106" t="n">
        <v>0</v>
      </c>
      <c r="N106" t="n">
        <v>0</v>
      </c>
      <c r="O106" t="n">
        <v>5</v>
      </c>
      <c r="P106" t="n">
        <v>0</v>
      </c>
      <c r="Q106" t="n">
        <v>6</v>
      </c>
      <c r="R106" s="2" t="inlineStr">
        <is>
          <t>Dvärgbägarlav
Kolflarnlav
Mörk kolflarnlav
Vedflamlav
Vedskivlav
Dropptaggsvamp</t>
        </is>
      </c>
      <c r="S106">
        <f>HYPERLINK("https://klasma.github.io/Logging_2305/artfynd/A 40376-2024 artfynd.xlsx", "A 40376-2024")</f>
        <v/>
      </c>
      <c r="T106">
        <f>HYPERLINK("https://klasma.github.io/Logging_2305/kartor/A 40376-2024 karta.png", "A 40376-2024")</f>
        <v/>
      </c>
      <c r="U106">
        <f>HYPERLINK("https://klasma.github.io/Logging_2305/knärot/A 40376-2024 karta knärot.png", "A 40376-2024")</f>
        <v/>
      </c>
      <c r="V106">
        <f>HYPERLINK("https://klasma.github.io/Logging_2305/klagomål/A 40376-2024 FSC-klagomål.docx", "A 40376-2024")</f>
        <v/>
      </c>
      <c r="W106">
        <f>HYPERLINK("https://klasma.github.io/Logging_2305/klagomålsmail/A 40376-2024 FSC-klagomål mail.docx", "A 40376-2024")</f>
        <v/>
      </c>
      <c r="X106">
        <f>HYPERLINK("https://klasma.github.io/Logging_2305/tillsyn/A 40376-2024 tillsynsbegäran.docx", "A 40376-2024")</f>
        <v/>
      </c>
      <c r="Y106">
        <f>HYPERLINK("https://klasma.github.io/Logging_2305/tillsynsmail/A 40376-2024 tillsynsbegäran mail.docx", "A 40376-2024")</f>
        <v/>
      </c>
    </row>
    <row r="107" ht="15" customHeight="1">
      <c r="A107" t="inlineStr">
        <is>
          <t>A 52152-2024</t>
        </is>
      </c>
      <c r="B107" s="1" t="n">
        <v>45608</v>
      </c>
      <c r="C107" s="1" t="n">
        <v>45847</v>
      </c>
      <c r="D107" t="inlineStr">
        <is>
          <t>JÄMTLANDS LÄN</t>
        </is>
      </c>
      <c r="E107" t="inlineStr">
        <is>
          <t>BRÄCKE</t>
        </is>
      </c>
      <c r="F107" t="inlineStr">
        <is>
          <t>SCA</t>
        </is>
      </c>
      <c r="G107" t="n">
        <v>3</v>
      </c>
      <c r="H107" t="n">
        <v>0</v>
      </c>
      <c r="I107" t="n">
        <v>1</v>
      </c>
      <c r="J107" t="n">
        <v>4</v>
      </c>
      <c r="K107" t="n">
        <v>1</v>
      </c>
      <c r="L107" t="n">
        <v>0</v>
      </c>
      <c r="M107" t="n">
        <v>0</v>
      </c>
      <c r="N107" t="n">
        <v>0</v>
      </c>
      <c r="O107" t="n">
        <v>5</v>
      </c>
      <c r="P107" t="n">
        <v>1</v>
      </c>
      <c r="Q107" t="n">
        <v>6</v>
      </c>
      <c r="R107" s="2" t="inlineStr">
        <is>
          <t>Rynkskinn
Lunglav
Skrovellav
Vedflikmossa
Vedtrappmossa
Tallfingersvamp</t>
        </is>
      </c>
      <c r="S107">
        <f>HYPERLINK("https://klasma.github.io/Logging_2305/artfynd/A 52152-2024 artfynd.xlsx", "A 52152-2024")</f>
        <v/>
      </c>
      <c r="T107">
        <f>HYPERLINK("https://klasma.github.io/Logging_2305/kartor/A 52152-2024 karta.png", "A 52152-2024")</f>
        <v/>
      </c>
      <c r="U107">
        <f>HYPERLINK("https://klasma.github.io/Logging_2305/knärot/A 52152-2024 karta knärot.png", "A 52152-2024")</f>
        <v/>
      </c>
      <c r="V107">
        <f>HYPERLINK("https://klasma.github.io/Logging_2305/klagomål/A 52152-2024 FSC-klagomål.docx", "A 52152-2024")</f>
        <v/>
      </c>
      <c r="W107">
        <f>HYPERLINK("https://klasma.github.io/Logging_2305/klagomålsmail/A 52152-2024 FSC-klagomål mail.docx", "A 52152-2024")</f>
        <v/>
      </c>
      <c r="X107">
        <f>HYPERLINK("https://klasma.github.io/Logging_2305/tillsyn/A 52152-2024 tillsynsbegäran.docx", "A 52152-2024")</f>
        <v/>
      </c>
      <c r="Y107">
        <f>HYPERLINK("https://klasma.github.io/Logging_2305/tillsynsmail/A 52152-2024 tillsynsbegäran mail.docx", "A 52152-2024")</f>
        <v/>
      </c>
    </row>
    <row r="108" ht="15" customHeight="1">
      <c r="A108" t="inlineStr">
        <is>
          <t>A 59719-2024</t>
        </is>
      </c>
      <c r="B108" s="1" t="n">
        <v>45639</v>
      </c>
      <c r="C108" s="1" t="n">
        <v>45847</v>
      </c>
      <c r="D108" t="inlineStr">
        <is>
          <t>JÄMTLANDS LÄN</t>
        </is>
      </c>
      <c r="E108" t="inlineStr">
        <is>
          <t>BRÄCKE</t>
        </is>
      </c>
      <c r="F108" t="inlineStr">
        <is>
          <t>SCA</t>
        </is>
      </c>
      <c r="G108" t="n">
        <v>1.8</v>
      </c>
      <c r="H108" t="n">
        <v>1</v>
      </c>
      <c r="I108" t="n">
        <v>2</v>
      </c>
      <c r="J108" t="n">
        <v>4</v>
      </c>
      <c r="K108" t="n">
        <v>0</v>
      </c>
      <c r="L108" t="n">
        <v>0</v>
      </c>
      <c r="M108" t="n">
        <v>0</v>
      </c>
      <c r="N108" t="n">
        <v>0</v>
      </c>
      <c r="O108" t="n">
        <v>4</v>
      </c>
      <c r="P108" t="n">
        <v>0</v>
      </c>
      <c r="Q108" t="n">
        <v>6</v>
      </c>
      <c r="R108" s="2" t="inlineStr">
        <is>
          <t>Granticka
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5358-2025</t>
        </is>
      </c>
      <c r="B109" s="1" t="n">
        <v>45692</v>
      </c>
      <c r="C109" s="1" t="n">
        <v>45847</v>
      </c>
      <c r="D109" t="inlineStr">
        <is>
          <t>JÄMTLANDS LÄN</t>
        </is>
      </c>
      <c r="E109" t="inlineStr">
        <is>
          <t>BRÄCKE</t>
        </is>
      </c>
      <c r="F109" t="inlineStr">
        <is>
          <t>SCA</t>
        </is>
      </c>
      <c r="G109" t="n">
        <v>18.3</v>
      </c>
      <c r="H109" t="n">
        <v>1</v>
      </c>
      <c r="I109" t="n">
        <v>1</v>
      </c>
      <c r="J109" t="n">
        <v>4</v>
      </c>
      <c r="K109" t="n">
        <v>1</v>
      </c>
      <c r="L109" t="n">
        <v>0</v>
      </c>
      <c r="M109" t="n">
        <v>0</v>
      </c>
      <c r="N109" t="n">
        <v>0</v>
      </c>
      <c r="O109" t="n">
        <v>5</v>
      </c>
      <c r="P109" t="n">
        <v>1</v>
      </c>
      <c r="Q109" t="n">
        <v>6</v>
      </c>
      <c r="R109" s="2" t="inlineStr">
        <is>
          <t>Knärot
Garnlav
Lunglav
Mörk kolflarnlav
Rosenticka
Korallblylav</t>
        </is>
      </c>
      <c r="S109">
        <f>HYPERLINK("https://klasma.github.io/Logging_2305/artfynd/A 5358-2025 artfynd.xlsx", "A 5358-2025")</f>
        <v/>
      </c>
      <c r="T109">
        <f>HYPERLINK("https://klasma.github.io/Logging_2305/kartor/A 5358-2025 karta.png", "A 5358-2025")</f>
        <v/>
      </c>
      <c r="U109">
        <f>HYPERLINK("https://klasma.github.io/Logging_2305/knärot/A 5358-2025 karta knärot.png", "A 5358-2025")</f>
        <v/>
      </c>
      <c r="V109">
        <f>HYPERLINK("https://klasma.github.io/Logging_2305/klagomål/A 5358-2025 FSC-klagomål.docx", "A 5358-2025")</f>
        <v/>
      </c>
      <c r="W109">
        <f>HYPERLINK("https://klasma.github.io/Logging_2305/klagomålsmail/A 5358-2025 FSC-klagomål mail.docx", "A 5358-2025")</f>
        <v/>
      </c>
      <c r="X109">
        <f>HYPERLINK("https://klasma.github.io/Logging_2305/tillsyn/A 5358-2025 tillsynsbegäran.docx", "A 5358-2025")</f>
        <v/>
      </c>
      <c r="Y109">
        <f>HYPERLINK("https://klasma.github.io/Logging_2305/tillsynsmail/A 5358-2025 tillsynsbegäran mail.docx", "A 5358-2025")</f>
        <v/>
      </c>
    </row>
    <row r="110" ht="15" customHeight="1">
      <c r="A110" t="inlineStr">
        <is>
          <t>A 29141-2025</t>
        </is>
      </c>
      <c r="B110" s="1" t="n">
        <v>45821</v>
      </c>
      <c r="C110" s="1" t="n">
        <v>45847</v>
      </c>
      <c r="D110" t="inlineStr">
        <is>
          <t>JÄMTLANDS LÄN</t>
        </is>
      </c>
      <c r="E110" t="inlineStr">
        <is>
          <t>BRÄCKE</t>
        </is>
      </c>
      <c r="G110" t="n">
        <v>6.1</v>
      </c>
      <c r="H110" t="n">
        <v>0</v>
      </c>
      <c r="I110" t="n">
        <v>0</v>
      </c>
      <c r="J110" t="n">
        <v>6</v>
      </c>
      <c r="K110" t="n">
        <v>0</v>
      </c>
      <c r="L110" t="n">
        <v>0</v>
      </c>
      <c r="M110" t="n">
        <v>0</v>
      </c>
      <c r="N110" t="n">
        <v>0</v>
      </c>
      <c r="O110" t="n">
        <v>6</v>
      </c>
      <c r="P110" t="n">
        <v>0</v>
      </c>
      <c r="Q110" t="n">
        <v>6</v>
      </c>
      <c r="R110" s="2" t="inlineStr">
        <is>
          <t>Blå taggsvamp
Dvärgbägarlav
Nordtagging
Vaddporing
Vedflamlav
Vedskivlav</t>
        </is>
      </c>
      <c r="S110">
        <f>HYPERLINK("https://klasma.github.io/Logging_232305/artfynd/A 29141-2025 artfynd.xlsx", "A 29141-2025")</f>
        <v/>
      </c>
      <c r="T110">
        <f>HYPERLINK("https://klasma.github.io/Logging_232305/kartor/A 29141-2025 karta.png", "A 29141-2025")</f>
        <v/>
      </c>
      <c r="V110">
        <f>HYPERLINK("https://klasma.github.io/Logging_232305/klagomål/A 29141-2025 FSC-klagomål.docx", "A 29141-2025")</f>
        <v/>
      </c>
      <c r="W110">
        <f>HYPERLINK("https://klasma.github.io/Logging_232305/klagomålsmail/A 29141-2025 FSC-klagomål mail.docx", "A 29141-2025")</f>
        <v/>
      </c>
      <c r="X110">
        <f>HYPERLINK("https://klasma.github.io/Logging_232305/tillsyn/A 29141-2025 tillsynsbegäran.docx", "A 29141-2025")</f>
        <v/>
      </c>
      <c r="Y110">
        <f>HYPERLINK("https://klasma.github.io/Logging_232305/tillsynsmail/A 29141-2025 tillsynsbegäran mail.docx", "A 29141-2025")</f>
        <v/>
      </c>
    </row>
    <row r="111" ht="15" customHeight="1">
      <c r="A111" t="inlineStr">
        <is>
          <t>A 32580-2025</t>
        </is>
      </c>
      <c r="B111" s="1" t="n">
        <v>45838</v>
      </c>
      <c r="C111" s="1" t="n">
        <v>45847</v>
      </c>
      <c r="D111" t="inlineStr">
        <is>
          <t>JÄMTLANDS LÄN</t>
        </is>
      </c>
      <c r="E111" t="inlineStr">
        <is>
          <t>BRÄCKE</t>
        </is>
      </c>
      <c r="G111" t="n">
        <v>20.9</v>
      </c>
      <c r="H111" t="n">
        <v>4</v>
      </c>
      <c r="I111" t="n">
        <v>2</v>
      </c>
      <c r="J111" t="n">
        <v>3</v>
      </c>
      <c r="K111" t="n">
        <v>1</v>
      </c>
      <c r="L111" t="n">
        <v>0</v>
      </c>
      <c r="M111" t="n">
        <v>0</v>
      </c>
      <c r="N111" t="n">
        <v>0</v>
      </c>
      <c r="O111" t="n">
        <v>4</v>
      </c>
      <c r="P111" t="n">
        <v>1</v>
      </c>
      <c r="Q111" t="n">
        <v>6</v>
      </c>
      <c r="R111" s="2" t="inlineStr">
        <is>
          <t>Knärot
Garnlav
Talltita
Tretåig hackspett
Dropptaggsvamp
Plattlummer</t>
        </is>
      </c>
      <c r="S111">
        <f>HYPERLINK("https://klasma.github.io/Logging_232305/artfynd/A 32580-2025 artfynd.xlsx", "A 32580-2025")</f>
        <v/>
      </c>
      <c r="T111">
        <f>HYPERLINK("https://klasma.github.io/Logging_232305/kartor/A 32580-2025 karta.png", "A 32580-2025")</f>
        <v/>
      </c>
      <c r="U111">
        <f>HYPERLINK("https://klasma.github.io/Logging_232305/knärot/A 32580-2025 karta knärot.png", "A 32580-2025")</f>
        <v/>
      </c>
      <c r="V111">
        <f>HYPERLINK("https://klasma.github.io/Logging_232305/klagomål/A 32580-2025 FSC-klagomål.docx", "A 32580-2025")</f>
        <v/>
      </c>
      <c r="W111">
        <f>HYPERLINK("https://klasma.github.io/Logging_232305/klagomålsmail/A 32580-2025 FSC-klagomål mail.docx", "A 32580-2025")</f>
        <v/>
      </c>
      <c r="X111">
        <f>HYPERLINK("https://klasma.github.io/Logging_232305/tillsyn/A 32580-2025 tillsynsbegäran.docx", "A 32580-2025")</f>
        <v/>
      </c>
      <c r="Y111">
        <f>HYPERLINK("https://klasma.github.io/Logging_232305/tillsynsmail/A 32580-2025 tillsynsbegäran mail.docx", "A 32580-2025")</f>
        <v/>
      </c>
      <c r="Z111">
        <f>HYPERLINK("https://klasma.github.io/Logging_232305/fåglar/A 32580-2025 prioriterade fågelarter.docx", "A 32580-2025")</f>
        <v/>
      </c>
    </row>
    <row r="112" ht="15" customHeight="1">
      <c r="A112" t="inlineStr">
        <is>
          <t>A 56104-2019</t>
        </is>
      </c>
      <c r="B112" s="1" t="n">
        <v>43759</v>
      </c>
      <c r="C112" s="1" t="n">
        <v>45847</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45847</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45847</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45847</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45847</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45847</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45847</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45847</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45847</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45847</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45847</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45847</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45847</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45847</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45847</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45847</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45847</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45847</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45847</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31378-2025</t>
        </is>
      </c>
      <c r="B131" s="1" t="n">
        <v>45833</v>
      </c>
      <c r="C131" s="1" t="n">
        <v>45847</v>
      </c>
      <c r="D131" t="inlineStr">
        <is>
          <t>JÄMTLANDS LÄN</t>
        </is>
      </c>
      <c r="E131" t="inlineStr">
        <is>
          <t>BRÄCKE</t>
        </is>
      </c>
      <c r="F131" t="inlineStr">
        <is>
          <t>SCA</t>
        </is>
      </c>
      <c r="G131" t="n">
        <v>1.6</v>
      </c>
      <c r="H131" t="n">
        <v>1</v>
      </c>
      <c r="I131" t="n">
        <v>1</v>
      </c>
      <c r="J131" t="n">
        <v>3</v>
      </c>
      <c r="K131" t="n">
        <v>1</v>
      </c>
      <c r="L131" t="n">
        <v>0</v>
      </c>
      <c r="M131" t="n">
        <v>0</v>
      </c>
      <c r="N131" t="n">
        <v>0</v>
      </c>
      <c r="O131" t="n">
        <v>4</v>
      </c>
      <c r="P131" t="n">
        <v>1</v>
      </c>
      <c r="Q131" t="n">
        <v>5</v>
      </c>
      <c r="R131" s="2" t="inlineStr">
        <is>
          <t>Knärot
Granticka
Gränsticka
Lunglav
Stuplav</t>
        </is>
      </c>
      <c r="S131">
        <f>HYPERLINK("https://klasma.github.io/Logging_232305/artfynd/A 31378-2025 artfynd.xlsx", "A 31378-2025")</f>
        <v/>
      </c>
      <c r="T131">
        <f>HYPERLINK("https://klasma.github.io/Logging_232305/kartor/A 31378-2025 karta.png", "A 31378-2025")</f>
        <v/>
      </c>
      <c r="U131">
        <f>HYPERLINK("https://klasma.github.io/Logging_232305/knärot/A 31378-2025 karta knärot.png", "A 31378-2025")</f>
        <v/>
      </c>
      <c r="V131">
        <f>HYPERLINK("https://klasma.github.io/Logging_232305/klagomål/A 31378-2025 FSC-klagomål.docx", "A 31378-2025")</f>
        <v/>
      </c>
      <c r="W131">
        <f>HYPERLINK("https://klasma.github.io/Logging_232305/klagomålsmail/A 31378-2025 FSC-klagomål mail.docx", "A 31378-2025")</f>
        <v/>
      </c>
      <c r="X131">
        <f>HYPERLINK("https://klasma.github.io/Logging_232305/tillsyn/A 31378-2025 tillsynsbegäran.docx", "A 31378-2025")</f>
        <v/>
      </c>
      <c r="Y131">
        <f>HYPERLINK("https://klasma.github.io/Logging_232305/tillsynsmail/A 31378-2025 tillsynsbegäran mail.docx", "A 31378-2025")</f>
        <v/>
      </c>
    </row>
    <row r="132" ht="15" customHeight="1">
      <c r="A132" t="inlineStr">
        <is>
          <t>A 31592-2025</t>
        </is>
      </c>
      <c r="B132" s="1" t="n">
        <v>45833</v>
      </c>
      <c r="C132" s="1" t="n">
        <v>45847</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31731-2025</t>
        </is>
      </c>
      <c r="B133" s="1" t="n">
        <v>45834</v>
      </c>
      <c r="C133" s="1" t="n">
        <v>45847</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45847</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45847</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45847</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45847</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45847</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45847</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45847</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45847</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45847</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45847</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45847</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45847</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45847</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45847</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45847</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45847</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45847</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45847</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45847</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45847</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45847</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45847</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45847</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45847</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45847</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45847</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45847</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45847</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45847</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45847</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45847</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45847</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45847</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45847</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45847</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45847</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45847</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45847</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45847</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45847</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45847</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45847</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45847</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45847</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45847</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45847</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45847</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45847</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45847</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45847</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45847</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45847</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45847</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45847</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45847</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45847</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45847</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45847</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45847</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45847</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45847</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45847</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45847</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45847</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45847</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45847</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45847</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45847</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45847</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45847</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45847</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45847</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45847</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45847</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45847</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45847</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45847</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45847</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45847</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45847</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45847</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45847</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45847</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45847</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45847</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45847</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45847</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45847</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45847</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45847</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45847</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45847</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45847</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45847</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23854-2025</t>
        </is>
      </c>
      <c r="B228" s="1" t="n">
        <v>45793</v>
      </c>
      <c r="C228" s="1" t="n">
        <v>45847</v>
      </c>
      <c r="D228" t="inlineStr">
        <is>
          <t>JÄMTLANDS LÄN</t>
        </is>
      </c>
      <c r="E228" t="inlineStr">
        <is>
          <t>BRÄCKE</t>
        </is>
      </c>
      <c r="F228" t="inlineStr">
        <is>
          <t>SCA</t>
        </is>
      </c>
      <c r="G228" t="n">
        <v>4.5</v>
      </c>
      <c r="H228" t="n">
        <v>1</v>
      </c>
      <c r="I228" t="n">
        <v>1</v>
      </c>
      <c r="J228" t="n">
        <v>1</v>
      </c>
      <c r="K228" t="n">
        <v>0</v>
      </c>
      <c r="L228" t="n">
        <v>0</v>
      </c>
      <c r="M228" t="n">
        <v>0</v>
      </c>
      <c r="N228" t="n">
        <v>0</v>
      </c>
      <c r="O228" t="n">
        <v>1</v>
      </c>
      <c r="P228" t="n">
        <v>0</v>
      </c>
      <c r="Q228" t="n">
        <v>3</v>
      </c>
      <c r="R228" s="2" t="inlineStr">
        <is>
          <t>Garnlav
Skuggblåslav
Tjäder</t>
        </is>
      </c>
      <c r="S228">
        <f>HYPERLINK("https://klasma.github.io/Logging_232305/artfynd/A 23854-2025 artfynd.xlsx", "A 23854-2025")</f>
        <v/>
      </c>
      <c r="T228">
        <f>HYPERLINK("https://klasma.github.io/Logging_232305/kartor/A 23854-2025 karta.png", "A 23854-2025")</f>
        <v/>
      </c>
      <c r="V228">
        <f>HYPERLINK("https://klasma.github.io/Logging_232305/klagomål/A 23854-2025 FSC-klagomål.docx", "A 23854-2025")</f>
        <v/>
      </c>
      <c r="W228">
        <f>HYPERLINK("https://klasma.github.io/Logging_232305/klagomålsmail/A 23854-2025 FSC-klagomål mail.docx", "A 23854-2025")</f>
        <v/>
      </c>
      <c r="X228">
        <f>HYPERLINK("https://klasma.github.io/Logging_232305/tillsyn/A 23854-2025 tillsynsbegäran.docx", "A 23854-2025")</f>
        <v/>
      </c>
      <c r="Y228">
        <f>HYPERLINK("https://klasma.github.io/Logging_232305/tillsynsmail/A 23854-2025 tillsynsbegäran mail.docx", "A 23854-2025")</f>
        <v/>
      </c>
      <c r="Z228">
        <f>HYPERLINK("https://klasma.github.io/Logging_232305/fåglar/A 23854-2025 prioriterade fågelarter.docx", "A 23854-2025")</f>
        <v/>
      </c>
    </row>
    <row r="229" ht="15" customHeight="1">
      <c r="A229" t="inlineStr">
        <is>
          <t>A 24635-2025</t>
        </is>
      </c>
      <c r="B229" s="1" t="n">
        <v>45798</v>
      </c>
      <c r="C229" s="1" t="n">
        <v>45847</v>
      </c>
      <c r="D229" t="inlineStr">
        <is>
          <t>JÄMTLANDS LÄN</t>
        </is>
      </c>
      <c r="E229" t="inlineStr">
        <is>
          <t>BRÄCKE</t>
        </is>
      </c>
      <c r="G229" t="n">
        <v>3.2</v>
      </c>
      <c r="H229" t="n">
        <v>1</v>
      </c>
      <c r="I229" t="n">
        <v>0</v>
      </c>
      <c r="J229" t="n">
        <v>3</v>
      </c>
      <c r="K229" t="n">
        <v>0</v>
      </c>
      <c r="L229" t="n">
        <v>0</v>
      </c>
      <c r="M229" t="n">
        <v>0</v>
      </c>
      <c r="N229" t="n">
        <v>0</v>
      </c>
      <c r="O229" t="n">
        <v>3</v>
      </c>
      <c r="P229" t="n">
        <v>0</v>
      </c>
      <c r="Q229" t="n">
        <v>3</v>
      </c>
      <c r="R229" s="2" t="inlineStr">
        <is>
          <t>Lunglav
Tretåig hackspett
Ullticka</t>
        </is>
      </c>
      <c r="S229">
        <f>HYPERLINK("https://klasma.github.io/Logging_232305/artfynd/A 24635-2025 artfynd.xlsx", "A 24635-2025")</f>
        <v/>
      </c>
      <c r="T229">
        <f>HYPERLINK("https://klasma.github.io/Logging_232305/kartor/A 24635-2025 karta.png", "A 24635-2025")</f>
        <v/>
      </c>
      <c r="V229">
        <f>HYPERLINK("https://klasma.github.io/Logging_232305/klagomål/A 24635-2025 FSC-klagomål.docx", "A 24635-2025")</f>
        <v/>
      </c>
      <c r="W229">
        <f>HYPERLINK("https://klasma.github.io/Logging_232305/klagomålsmail/A 24635-2025 FSC-klagomål mail.docx", "A 24635-2025")</f>
        <v/>
      </c>
      <c r="X229">
        <f>HYPERLINK("https://klasma.github.io/Logging_232305/tillsyn/A 24635-2025 tillsynsbegäran.docx", "A 24635-2025")</f>
        <v/>
      </c>
      <c r="Y229">
        <f>HYPERLINK("https://klasma.github.io/Logging_232305/tillsynsmail/A 24635-2025 tillsynsbegäran mail.docx", "A 24635-2025")</f>
        <v/>
      </c>
      <c r="Z229">
        <f>HYPERLINK("https://klasma.github.io/Logging_232305/fåglar/A 24635-2025 prioriterade fågelarter.docx", "A 24635-2025")</f>
        <v/>
      </c>
    </row>
    <row r="230" ht="15" customHeight="1">
      <c r="A230" t="inlineStr">
        <is>
          <t>A 30112-2025</t>
        </is>
      </c>
      <c r="B230" s="1" t="n">
        <v>45826</v>
      </c>
      <c r="C230" s="1" t="n">
        <v>45847</v>
      </c>
      <c r="D230" t="inlineStr">
        <is>
          <t>JÄMTLANDS LÄN</t>
        </is>
      </c>
      <c r="E230" t="inlineStr">
        <is>
          <t>BRÄCKE</t>
        </is>
      </c>
      <c r="F230" t="inlineStr">
        <is>
          <t>SCA</t>
        </is>
      </c>
      <c r="G230" t="n">
        <v>8.9</v>
      </c>
      <c r="H230" t="n">
        <v>1</v>
      </c>
      <c r="I230" t="n">
        <v>1</v>
      </c>
      <c r="J230" t="n">
        <v>1</v>
      </c>
      <c r="K230" t="n">
        <v>1</v>
      </c>
      <c r="L230" t="n">
        <v>0</v>
      </c>
      <c r="M230" t="n">
        <v>0</v>
      </c>
      <c r="N230" t="n">
        <v>0</v>
      </c>
      <c r="O230" t="n">
        <v>2</v>
      </c>
      <c r="P230" t="n">
        <v>1</v>
      </c>
      <c r="Q230" t="n">
        <v>3</v>
      </c>
      <c r="R230" s="2" t="inlineStr">
        <is>
          <t>Knärot
Rosenticka
Kransrams</t>
        </is>
      </c>
      <c r="S230">
        <f>HYPERLINK("https://klasma.github.io/Logging_232305/artfynd/A 30112-2025 artfynd.xlsx", "A 30112-2025")</f>
        <v/>
      </c>
      <c r="T230">
        <f>HYPERLINK("https://klasma.github.io/Logging_232305/kartor/A 30112-2025 karta.png", "A 30112-2025")</f>
        <v/>
      </c>
      <c r="U230">
        <f>HYPERLINK("https://klasma.github.io/Logging_232305/knärot/A 30112-2025 karta knärot.png", "A 30112-2025")</f>
        <v/>
      </c>
      <c r="V230">
        <f>HYPERLINK("https://klasma.github.io/Logging_232305/klagomål/A 30112-2025 FSC-klagomål.docx", "A 30112-2025")</f>
        <v/>
      </c>
      <c r="W230">
        <f>HYPERLINK("https://klasma.github.io/Logging_232305/klagomålsmail/A 30112-2025 FSC-klagomål mail.docx", "A 30112-2025")</f>
        <v/>
      </c>
      <c r="X230">
        <f>HYPERLINK("https://klasma.github.io/Logging_232305/tillsyn/A 30112-2025 tillsynsbegäran.docx", "A 30112-2025")</f>
        <v/>
      </c>
      <c r="Y230">
        <f>HYPERLINK("https://klasma.github.io/Logging_232305/tillsynsmail/A 30112-2025 tillsynsbegäran mail.docx", "A 30112-2025")</f>
        <v/>
      </c>
    </row>
    <row r="231" ht="15" customHeight="1">
      <c r="A231" t="inlineStr">
        <is>
          <t>A 32240-2025</t>
        </is>
      </c>
      <c r="B231" s="1" t="n">
        <v>45835</v>
      </c>
      <c r="C231" s="1" t="n">
        <v>45847</v>
      </c>
      <c r="D231" t="inlineStr">
        <is>
          <t>JÄMTLANDS LÄN</t>
        </is>
      </c>
      <c r="E231" t="inlineStr">
        <is>
          <t>BRÄCKE</t>
        </is>
      </c>
      <c r="F231" t="inlineStr">
        <is>
          <t>Naturvårdsverket</t>
        </is>
      </c>
      <c r="G231" t="n">
        <v>21.1</v>
      </c>
      <c r="H231" t="n">
        <v>1</v>
      </c>
      <c r="I231" t="n">
        <v>1</v>
      </c>
      <c r="J231" t="n">
        <v>1</v>
      </c>
      <c r="K231" t="n">
        <v>0</v>
      </c>
      <c r="L231" t="n">
        <v>0</v>
      </c>
      <c r="M231" t="n">
        <v>0</v>
      </c>
      <c r="N231" t="n">
        <v>0</v>
      </c>
      <c r="O231" t="n">
        <v>1</v>
      </c>
      <c r="P231" t="n">
        <v>0</v>
      </c>
      <c r="Q231" t="n">
        <v>3</v>
      </c>
      <c r="R231" s="2" t="inlineStr">
        <is>
          <t>Lunglav
Stuplav
Lavskrika</t>
        </is>
      </c>
      <c r="S231">
        <f>HYPERLINK("https://klasma.github.io/Logging_232305/artfynd/A 32240-2025 artfynd.xlsx", "A 32240-2025")</f>
        <v/>
      </c>
      <c r="T231">
        <f>HYPERLINK("https://klasma.github.io/Logging_232305/kartor/A 32240-2025 karta.png", "A 32240-2025")</f>
        <v/>
      </c>
      <c r="U231">
        <f>HYPERLINK("https://klasma.github.io/Logging_232305/knärot/A 32240-2025 karta knärot.png", "A 32240-2025")</f>
        <v/>
      </c>
      <c r="V231">
        <f>HYPERLINK("https://klasma.github.io/Logging_232305/klagomål/A 32240-2025 FSC-klagomål.docx", "A 32240-2025")</f>
        <v/>
      </c>
      <c r="W231">
        <f>HYPERLINK("https://klasma.github.io/Logging_232305/klagomålsmail/A 32240-2025 FSC-klagomål mail.docx", "A 32240-2025")</f>
        <v/>
      </c>
      <c r="X231">
        <f>HYPERLINK("https://klasma.github.io/Logging_232305/tillsyn/A 32240-2025 tillsynsbegäran.docx", "A 32240-2025")</f>
        <v/>
      </c>
      <c r="Y231">
        <f>HYPERLINK("https://klasma.github.io/Logging_232305/tillsynsmail/A 32240-2025 tillsynsbegäran mail.docx", "A 32240-2025")</f>
        <v/>
      </c>
      <c r="Z231">
        <f>HYPERLINK("https://klasma.github.io/Logging_232305/fåglar/A 32240-2025 prioriterade fågelarter.docx", "A 32240-2025")</f>
        <v/>
      </c>
    </row>
    <row r="232" ht="15" customHeight="1">
      <c r="A232" t="inlineStr">
        <is>
          <t>A 33678-2025</t>
        </is>
      </c>
      <c r="B232" s="1" t="n">
        <v>45841</v>
      </c>
      <c r="C232" s="1" t="n">
        <v>45847</v>
      </c>
      <c r="D232" t="inlineStr">
        <is>
          <t>JÄMTLANDS LÄN</t>
        </is>
      </c>
      <c r="E232" t="inlineStr">
        <is>
          <t>BRÄCKE</t>
        </is>
      </c>
      <c r="F232" t="inlineStr">
        <is>
          <t>SCA</t>
        </is>
      </c>
      <c r="G232" t="n">
        <v>6.1</v>
      </c>
      <c r="H232" t="n">
        <v>0</v>
      </c>
      <c r="I232" t="n">
        <v>2</v>
      </c>
      <c r="J232" t="n">
        <v>1</v>
      </c>
      <c r="K232" t="n">
        <v>0</v>
      </c>
      <c r="L232" t="n">
        <v>0</v>
      </c>
      <c r="M232" t="n">
        <v>0</v>
      </c>
      <c r="N232" t="n">
        <v>0</v>
      </c>
      <c r="O232" t="n">
        <v>1</v>
      </c>
      <c r="P232" t="n">
        <v>0</v>
      </c>
      <c r="Q232" t="n">
        <v>3</v>
      </c>
      <c r="R232" s="2" t="inlineStr">
        <is>
          <t>Kolflarnlav
Dropptaggsvamp
Skarp dropptaggsvamp</t>
        </is>
      </c>
      <c r="S232">
        <f>HYPERLINK("https://klasma.github.io/Logging_232305/artfynd/A 33678-2025 artfynd.xlsx", "A 33678-2025")</f>
        <v/>
      </c>
      <c r="T232">
        <f>HYPERLINK("https://klasma.github.io/Logging_232305/kartor/A 33678-2025 karta.png", "A 33678-2025")</f>
        <v/>
      </c>
      <c r="V232">
        <f>HYPERLINK("https://klasma.github.io/Logging_232305/klagomål/A 33678-2025 FSC-klagomål.docx", "A 33678-2025")</f>
        <v/>
      </c>
      <c r="W232">
        <f>HYPERLINK("https://klasma.github.io/Logging_232305/klagomålsmail/A 33678-2025 FSC-klagomål mail.docx", "A 33678-2025")</f>
        <v/>
      </c>
      <c r="X232">
        <f>HYPERLINK("https://klasma.github.io/Logging_232305/tillsyn/A 33678-2025 tillsynsbegäran.docx", "A 33678-2025")</f>
        <v/>
      </c>
      <c r="Y232">
        <f>HYPERLINK("https://klasma.github.io/Logging_232305/tillsynsmail/A 33678-2025 tillsynsbegäran mail.docx", "A 33678-2025")</f>
        <v/>
      </c>
    </row>
    <row r="233" ht="15" customHeight="1">
      <c r="A233" t="inlineStr">
        <is>
          <t>A 28341-2019</t>
        </is>
      </c>
      <c r="B233" s="1" t="n">
        <v>43623</v>
      </c>
      <c r="C233" s="1" t="n">
        <v>45847</v>
      </c>
      <c r="D233" t="inlineStr">
        <is>
          <t>JÄMTLANDS LÄN</t>
        </is>
      </c>
      <c r="E233" t="inlineStr">
        <is>
          <t>BRÄCKE</t>
        </is>
      </c>
      <c r="F233" t="inlineStr">
        <is>
          <t>SCA</t>
        </is>
      </c>
      <c r="G233" t="n">
        <v>5.4</v>
      </c>
      <c r="H233" t="n">
        <v>0</v>
      </c>
      <c r="I233" t="n">
        <v>1</v>
      </c>
      <c r="J233" t="n">
        <v>0</v>
      </c>
      <c r="K233" t="n">
        <v>1</v>
      </c>
      <c r="L233" t="n">
        <v>0</v>
      </c>
      <c r="M233" t="n">
        <v>0</v>
      </c>
      <c r="N233" t="n">
        <v>0</v>
      </c>
      <c r="O233" t="n">
        <v>1</v>
      </c>
      <c r="P233" t="n">
        <v>1</v>
      </c>
      <c r="Q233" t="n">
        <v>2</v>
      </c>
      <c r="R233" s="2" t="inlineStr">
        <is>
          <t>Liten hornflikmossa
Stor aspticka</t>
        </is>
      </c>
      <c r="S233">
        <f>HYPERLINK("https://klasma.github.io/Logging_2305/artfynd/A 28341-2019 artfynd.xlsx", "A 28341-2019")</f>
        <v/>
      </c>
      <c r="T233">
        <f>HYPERLINK("https://klasma.github.io/Logging_2305/kartor/A 28341-2019 karta.png", "A 28341-2019")</f>
        <v/>
      </c>
      <c r="V233">
        <f>HYPERLINK("https://klasma.github.io/Logging_2305/klagomål/A 28341-2019 FSC-klagomål.docx", "A 28341-2019")</f>
        <v/>
      </c>
      <c r="W233">
        <f>HYPERLINK("https://klasma.github.io/Logging_2305/klagomålsmail/A 28341-2019 FSC-klagomål mail.docx", "A 28341-2019")</f>
        <v/>
      </c>
      <c r="X233">
        <f>HYPERLINK("https://klasma.github.io/Logging_2305/tillsyn/A 28341-2019 tillsynsbegäran.docx", "A 28341-2019")</f>
        <v/>
      </c>
      <c r="Y233">
        <f>HYPERLINK("https://klasma.github.io/Logging_2305/tillsynsmail/A 28341-2019 tillsynsbegäran mail.docx", "A 28341-2019")</f>
        <v/>
      </c>
    </row>
    <row r="234" ht="15" customHeight="1">
      <c r="A234" t="inlineStr">
        <is>
          <t>A 59325-2019</t>
        </is>
      </c>
      <c r="B234" s="1" t="n">
        <v>43775</v>
      </c>
      <c r="C234" s="1" t="n">
        <v>45847</v>
      </c>
      <c r="D234" t="inlineStr">
        <is>
          <t>JÄMTLANDS LÄN</t>
        </is>
      </c>
      <c r="E234" t="inlineStr">
        <is>
          <t>BRÄCKE</t>
        </is>
      </c>
      <c r="G234" t="n">
        <v>2.3</v>
      </c>
      <c r="H234" t="n">
        <v>0</v>
      </c>
      <c r="I234" t="n">
        <v>0</v>
      </c>
      <c r="J234" t="n">
        <v>2</v>
      </c>
      <c r="K234" t="n">
        <v>0</v>
      </c>
      <c r="L234" t="n">
        <v>0</v>
      </c>
      <c r="M234" t="n">
        <v>0</v>
      </c>
      <c r="N234" t="n">
        <v>0</v>
      </c>
      <c r="O234" t="n">
        <v>2</v>
      </c>
      <c r="P234" t="n">
        <v>0</v>
      </c>
      <c r="Q234" t="n">
        <v>2</v>
      </c>
      <c r="R234" s="2" t="inlineStr">
        <is>
          <t>Dvärgbägarlav
Vedskivlav</t>
        </is>
      </c>
      <c r="S234">
        <f>HYPERLINK("https://klasma.github.io/Logging_2305/artfynd/A 59325-2019 artfynd.xlsx", "A 59325-2019")</f>
        <v/>
      </c>
      <c r="T234">
        <f>HYPERLINK("https://klasma.github.io/Logging_2305/kartor/A 59325-2019 karta.png", "A 59325-2019")</f>
        <v/>
      </c>
      <c r="V234">
        <f>HYPERLINK("https://klasma.github.io/Logging_2305/klagomål/A 59325-2019 FSC-klagomål.docx", "A 59325-2019")</f>
        <v/>
      </c>
      <c r="W234">
        <f>HYPERLINK("https://klasma.github.io/Logging_2305/klagomålsmail/A 59325-2019 FSC-klagomål mail.docx", "A 59325-2019")</f>
        <v/>
      </c>
      <c r="X234">
        <f>HYPERLINK("https://klasma.github.io/Logging_2305/tillsyn/A 59325-2019 tillsynsbegäran.docx", "A 59325-2019")</f>
        <v/>
      </c>
      <c r="Y234">
        <f>HYPERLINK("https://klasma.github.io/Logging_2305/tillsynsmail/A 59325-2019 tillsynsbegäran mail.docx", "A 59325-2019")</f>
        <v/>
      </c>
    </row>
    <row r="235" ht="15" customHeight="1">
      <c r="A235" t="inlineStr">
        <is>
          <t>A 64471-2019</t>
        </is>
      </c>
      <c r="B235" s="1" t="n">
        <v>43797</v>
      </c>
      <c r="C235" s="1" t="n">
        <v>45847</v>
      </c>
      <c r="D235" t="inlineStr">
        <is>
          <t>JÄMTLANDS LÄN</t>
        </is>
      </c>
      <c r="E235" t="inlineStr">
        <is>
          <t>BRÄCKE</t>
        </is>
      </c>
      <c r="F235" t="inlineStr">
        <is>
          <t>SCA</t>
        </is>
      </c>
      <c r="G235" t="n">
        <v>6.4</v>
      </c>
      <c r="H235" t="n">
        <v>1</v>
      </c>
      <c r="I235" t="n">
        <v>1</v>
      </c>
      <c r="J235" t="n">
        <v>1</v>
      </c>
      <c r="K235" t="n">
        <v>0</v>
      </c>
      <c r="L235" t="n">
        <v>0</v>
      </c>
      <c r="M235" t="n">
        <v>0</v>
      </c>
      <c r="N235" t="n">
        <v>0</v>
      </c>
      <c r="O235" t="n">
        <v>1</v>
      </c>
      <c r="P235" t="n">
        <v>0</v>
      </c>
      <c r="Q235" t="n">
        <v>2</v>
      </c>
      <c r="R235" s="2" t="inlineStr">
        <is>
          <t>Garnlav
Korallrot</t>
        </is>
      </c>
      <c r="S235">
        <f>HYPERLINK("https://klasma.github.io/Logging_2305/artfynd/A 64471-2019 artfynd.xlsx", "A 64471-2019")</f>
        <v/>
      </c>
      <c r="T235">
        <f>HYPERLINK("https://klasma.github.io/Logging_2305/kartor/A 64471-2019 karta.png", "A 64471-2019")</f>
        <v/>
      </c>
      <c r="V235">
        <f>HYPERLINK("https://klasma.github.io/Logging_2305/klagomål/A 64471-2019 FSC-klagomål.docx", "A 64471-2019")</f>
        <v/>
      </c>
      <c r="W235">
        <f>HYPERLINK("https://klasma.github.io/Logging_2305/klagomålsmail/A 64471-2019 FSC-klagomål mail.docx", "A 64471-2019")</f>
        <v/>
      </c>
      <c r="X235">
        <f>HYPERLINK("https://klasma.github.io/Logging_2305/tillsyn/A 64471-2019 tillsynsbegäran.docx", "A 64471-2019")</f>
        <v/>
      </c>
      <c r="Y235">
        <f>HYPERLINK("https://klasma.github.io/Logging_2305/tillsynsmail/A 64471-2019 tillsynsbegäran mail.docx", "A 64471-2019")</f>
        <v/>
      </c>
    </row>
    <row r="236" ht="15" customHeight="1">
      <c r="A236" t="inlineStr">
        <is>
          <t>A 33664-2020</t>
        </is>
      </c>
      <c r="B236" s="1" t="n">
        <v>44026</v>
      </c>
      <c r="C236" s="1" t="n">
        <v>45847</v>
      </c>
      <c r="D236" t="inlineStr">
        <is>
          <t>JÄMTLANDS LÄN</t>
        </is>
      </c>
      <c r="E236" t="inlineStr">
        <is>
          <t>BRÄCKE</t>
        </is>
      </c>
      <c r="G236" t="n">
        <v>6.3</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33664-2020 artfynd.xlsx", "A 33664-2020")</f>
        <v/>
      </c>
      <c r="T236">
        <f>HYPERLINK("https://klasma.github.io/Logging_2305/kartor/A 33664-2020 karta.png", "A 33664-2020")</f>
        <v/>
      </c>
      <c r="U236">
        <f>HYPERLINK("https://klasma.github.io/Logging_2305/knärot/A 33664-2020 karta knärot.png", "A 33664-2020")</f>
        <v/>
      </c>
      <c r="V236">
        <f>HYPERLINK("https://klasma.github.io/Logging_2305/klagomål/A 33664-2020 FSC-klagomål.docx", "A 33664-2020")</f>
        <v/>
      </c>
      <c r="W236">
        <f>HYPERLINK("https://klasma.github.io/Logging_2305/klagomålsmail/A 33664-2020 FSC-klagomål mail.docx", "A 33664-2020")</f>
        <v/>
      </c>
      <c r="X236">
        <f>HYPERLINK("https://klasma.github.io/Logging_2305/tillsyn/A 33664-2020 tillsynsbegäran.docx", "A 33664-2020")</f>
        <v/>
      </c>
      <c r="Y236">
        <f>HYPERLINK("https://klasma.github.io/Logging_2305/tillsynsmail/A 33664-2020 tillsynsbegäran mail.docx", "A 33664-2020")</f>
        <v/>
      </c>
    </row>
    <row r="237" ht="15" customHeight="1">
      <c r="A237" t="inlineStr">
        <is>
          <t>A 38458-2020</t>
        </is>
      </c>
      <c r="B237" s="1" t="n">
        <v>44060</v>
      </c>
      <c r="C237" s="1" t="n">
        <v>45847</v>
      </c>
      <c r="D237" t="inlineStr">
        <is>
          <t>JÄMTLANDS LÄN</t>
        </is>
      </c>
      <c r="E237" t="inlineStr">
        <is>
          <t>BRÄCKE</t>
        </is>
      </c>
      <c r="G237" t="n">
        <v>5.4</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38458-2020 artfynd.xlsx", "A 38458-2020")</f>
        <v/>
      </c>
      <c r="T237">
        <f>HYPERLINK("https://klasma.github.io/Logging_2305/kartor/A 38458-2020 karta.png", "A 38458-2020")</f>
        <v/>
      </c>
      <c r="V237">
        <f>HYPERLINK("https://klasma.github.io/Logging_2305/klagomål/A 38458-2020 FSC-klagomål.docx", "A 38458-2020")</f>
        <v/>
      </c>
      <c r="W237">
        <f>HYPERLINK("https://klasma.github.io/Logging_2305/klagomålsmail/A 38458-2020 FSC-klagomål mail.docx", "A 38458-2020")</f>
        <v/>
      </c>
      <c r="X237">
        <f>HYPERLINK("https://klasma.github.io/Logging_2305/tillsyn/A 38458-2020 tillsynsbegäran.docx", "A 38458-2020")</f>
        <v/>
      </c>
      <c r="Y237">
        <f>HYPERLINK("https://klasma.github.io/Logging_2305/tillsynsmail/A 38458-2020 tillsynsbegäran mail.docx", "A 38458-2020")</f>
        <v/>
      </c>
    </row>
    <row r="238" ht="15" customHeight="1">
      <c r="A238" t="inlineStr">
        <is>
          <t>A 25696-2021</t>
        </is>
      </c>
      <c r="B238" s="1" t="n">
        <v>44343</v>
      </c>
      <c r="C238" s="1" t="n">
        <v>45847</v>
      </c>
      <c r="D238" t="inlineStr">
        <is>
          <t>JÄMTLANDS LÄN</t>
        </is>
      </c>
      <c r="E238" t="inlineStr">
        <is>
          <t>BRÄCKE</t>
        </is>
      </c>
      <c r="G238" t="n">
        <v>13.4</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25696-2021 artfynd.xlsx", "A 25696-2021")</f>
        <v/>
      </c>
      <c r="T238">
        <f>HYPERLINK("https://klasma.github.io/Logging_2305/kartor/A 25696-2021 karta.png", "A 25696-2021")</f>
        <v/>
      </c>
      <c r="V238">
        <f>HYPERLINK("https://klasma.github.io/Logging_2305/klagomål/A 25696-2021 FSC-klagomål.docx", "A 25696-2021")</f>
        <v/>
      </c>
      <c r="W238">
        <f>HYPERLINK("https://klasma.github.io/Logging_2305/klagomålsmail/A 25696-2021 FSC-klagomål mail.docx", "A 25696-2021")</f>
        <v/>
      </c>
      <c r="X238">
        <f>HYPERLINK("https://klasma.github.io/Logging_2305/tillsyn/A 25696-2021 tillsynsbegäran.docx", "A 25696-2021")</f>
        <v/>
      </c>
      <c r="Y238">
        <f>HYPERLINK("https://klasma.github.io/Logging_2305/tillsynsmail/A 25696-2021 tillsynsbegäran mail.docx", "A 25696-2021")</f>
        <v/>
      </c>
    </row>
    <row r="239" ht="15" customHeight="1">
      <c r="A239" t="inlineStr">
        <is>
          <t>A 36456-2021</t>
        </is>
      </c>
      <c r="B239" s="1" t="n">
        <v>44390</v>
      </c>
      <c r="C239" s="1" t="n">
        <v>45847</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Garnlav
Kolflarnlav</t>
        </is>
      </c>
      <c r="S239">
        <f>HYPERLINK("https://klasma.github.io/Logging_2305/artfynd/A 36456-2021 artfynd.xlsx", "A 36456-2021")</f>
        <v/>
      </c>
      <c r="T239">
        <f>HYPERLINK("https://klasma.github.io/Logging_2305/kartor/A 36456-2021 karta.png", "A 36456-2021")</f>
        <v/>
      </c>
      <c r="V239">
        <f>HYPERLINK("https://klasma.github.io/Logging_2305/klagomål/A 36456-2021 FSC-klagomål.docx", "A 36456-2021")</f>
        <v/>
      </c>
      <c r="W239">
        <f>HYPERLINK("https://klasma.github.io/Logging_2305/klagomålsmail/A 36456-2021 FSC-klagomål mail.docx", "A 36456-2021")</f>
        <v/>
      </c>
      <c r="X239">
        <f>HYPERLINK("https://klasma.github.io/Logging_2305/tillsyn/A 36456-2021 tillsynsbegäran.docx", "A 36456-2021")</f>
        <v/>
      </c>
      <c r="Y239">
        <f>HYPERLINK("https://klasma.github.io/Logging_2305/tillsynsmail/A 36456-2021 tillsynsbegäran mail.docx", "A 36456-2021")</f>
        <v/>
      </c>
    </row>
    <row r="240" ht="15" customHeight="1">
      <c r="A240" t="inlineStr">
        <is>
          <t>A 39172-2021</t>
        </is>
      </c>
      <c r="B240" s="1" t="n">
        <v>44412</v>
      </c>
      <c r="C240" s="1" t="n">
        <v>45847</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59324-2021</t>
        </is>
      </c>
      <c r="B241" s="1" t="n">
        <v>44490</v>
      </c>
      <c r="C241" s="1" t="n">
        <v>45847</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61465-2021</t>
        </is>
      </c>
      <c r="B242" s="1" t="n">
        <v>44500</v>
      </c>
      <c r="C242" s="1" t="n">
        <v>45847</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61465-2021 artfynd.xlsx", "A 61465-2021")</f>
        <v/>
      </c>
      <c r="T242">
        <f>HYPERLINK("https://klasma.github.io/Logging_2305/kartor/A 61465-2021 karta.png", "A 61465-2021")</f>
        <v/>
      </c>
      <c r="V242">
        <f>HYPERLINK("https://klasma.github.io/Logging_2305/klagomål/A 61465-2021 FSC-klagomål.docx", "A 61465-2021")</f>
        <v/>
      </c>
      <c r="W242">
        <f>HYPERLINK("https://klasma.github.io/Logging_2305/klagomålsmail/A 61465-2021 FSC-klagomål mail.docx", "A 61465-2021")</f>
        <v/>
      </c>
      <c r="X242">
        <f>HYPERLINK("https://klasma.github.io/Logging_2305/tillsyn/A 61465-2021 tillsynsbegäran.docx", "A 61465-2021")</f>
        <v/>
      </c>
      <c r="Y242">
        <f>HYPERLINK("https://klasma.github.io/Logging_2305/tillsynsmail/A 61465-2021 tillsynsbegäran mail.docx", "A 61465-2021")</f>
        <v/>
      </c>
    </row>
    <row r="243" ht="15" customHeight="1">
      <c r="A243" t="inlineStr">
        <is>
          <t>A 3913-2022</t>
        </is>
      </c>
      <c r="B243" s="1" t="n">
        <v>44587</v>
      </c>
      <c r="C243" s="1" t="n">
        <v>45847</v>
      </c>
      <c r="D243" t="inlineStr">
        <is>
          <t>JÄMTLANDS LÄN</t>
        </is>
      </c>
      <c r="E243" t="inlineStr">
        <is>
          <t>BRÄCKE</t>
        </is>
      </c>
      <c r="G243" t="n">
        <v>0.9</v>
      </c>
      <c r="H243" t="n">
        <v>1</v>
      </c>
      <c r="I243" t="n">
        <v>1</v>
      </c>
      <c r="J243" t="n">
        <v>1</v>
      </c>
      <c r="K243" t="n">
        <v>0</v>
      </c>
      <c r="L243" t="n">
        <v>0</v>
      </c>
      <c r="M243" t="n">
        <v>0</v>
      </c>
      <c r="N243" t="n">
        <v>0</v>
      </c>
      <c r="O243" t="n">
        <v>1</v>
      </c>
      <c r="P243" t="n">
        <v>0</v>
      </c>
      <c r="Q243" t="n">
        <v>2</v>
      </c>
      <c r="R243" s="2" t="inlineStr">
        <is>
          <t>Skogsfru
Ögonpyrola</t>
        </is>
      </c>
      <c r="S243">
        <f>HYPERLINK("https://klasma.github.io/Logging_2305/artfynd/A 3913-2022 artfynd.xlsx", "A 3913-2022")</f>
        <v/>
      </c>
      <c r="T243">
        <f>HYPERLINK("https://klasma.github.io/Logging_2305/kartor/A 3913-2022 karta.png", "A 3913-2022")</f>
        <v/>
      </c>
      <c r="U243">
        <f>HYPERLINK("https://klasma.github.io/Logging_2305/knärot/A 3913-2022 karta knärot.png", "A 3913-2022")</f>
        <v/>
      </c>
      <c r="V243">
        <f>HYPERLINK("https://klasma.github.io/Logging_2305/klagomål/A 3913-2022 FSC-klagomål.docx", "A 3913-2022")</f>
        <v/>
      </c>
      <c r="W243">
        <f>HYPERLINK("https://klasma.github.io/Logging_2305/klagomålsmail/A 3913-2022 FSC-klagomål mail.docx", "A 3913-2022")</f>
        <v/>
      </c>
      <c r="X243">
        <f>HYPERLINK("https://klasma.github.io/Logging_2305/tillsyn/A 3913-2022 tillsynsbegäran.docx", "A 3913-2022")</f>
        <v/>
      </c>
      <c r="Y243">
        <f>HYPERLINK("https://klasma.github.io/Logging_2305/tillsynsmail/A 3913-2022 tillsynsbegäran mail.docx", "A 3913-2022")</f>
        <v/>
      </c>
    </row>
    <row r="244" ht="15" customHeight="1">
      <c r="A244" t="inlineStr">
        <is>
          <t>A 27944-2022</t>
        </is>
      </c>
      <c r="B244" s="1" t="n">
        <v>44743</v>
      </c>
      <c r="C244" s="1" t="n">
        <v>45847</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27944-2022 artfynd.xlsx", "A 27944-2022")</f>
        <v/>
      </c>
      <c r="T244">
        <f>HYPERLINK("https://klasma.github.io/Logging_2305/kartor/A 27944-2022 karta.png", "A 27944-2022")</f>
        <v/>
      </c>
      <c r="V244">
        <f>HYPERLINK("https://klasma.github.io/Logging_2305/klagomål/A 27944-2022 FSC-klagomål.docx", "A 27944-2022")</f>
        <v/>
      </c>
      <c r="W244">
        <f>HYPERLINK("https://klasma.github.io/Logging_2305/klagomålsmail/A 27944-2022 FSC-klagomål mail.docx", "A 27944-2022")</f>
        <v/>
      </c>
      <c r="X244">
        <f>HYPERLINK("https://klasma.github.io/Logging_2305/tillsyn/A 27944-2022 tillsynsbegäran.docx", "A 27944-2022")</f>
        <v/>
      </c>
      <c r="Y244">
        <f>HYPERLINK("https://klasma.github.io/Logging_2305/tillsynsmail/A 27944-2022 tillsynsbegäran mail.docx", "A 27944-2022")</f>
        <v/>
      </c>
    </row>
    <row r="245" ht="15" customHeight="1">
      <c r="A245" t="inlineStr">
        <is>
          <t>A 30607-2022</t>
        </is>
      </c>
      <c r="B245" s="1" t="n">
        <v>44762</v>
      </c>
      <c r="C245" s="1" t="n">
        <v>45847</v>
      </c>
      <c r="D245" t="inlineStr">
        <is>
          <t>JÄMTLANDS LÄN</t>
        </is>
      </c>
      <c r="E245" t="inlineStr">
        <is>
          <t>BRÄCKE</t>
        </is>
      </c>
      <c r="F245" t="inlineStr">
        <is>
          <t>SCA</t>
        </is>
      </c>
      <c r="G245" t="n">
        <v>1</v>
      </c>
      <c r="H245" t="n">
        <v>0</v>
      </c>
      <c r="I245" t="n">
        <v>0</v>
      </c>
      <c r="J245" t="n">
        <v>2</v>
      </c>
      <c r="K245" t="n">
        <v>0</v>
      </c>
      <c r="L245" t="n">
        <v>0</v>
      </c>
      <c r="M245" t="n">
        <v>0</v>
      </c>
      <c r="N245" t="n">
        <v>0</v>
      </c>
      <c r="O245" t="n">
        <v>2</v>
      </c>
      <c r="P245" t="n">
        <v>0</v>
      </c>
      <c r="Q245" t="n">
        <v>2</v>
      </c>
      <c r="R245" s="2" t="inlineStr">
        <is>
          <t>Bredbrämad bastardsvärmare
Brunklöver</t>
        </is>
      </c>
      <c r="S245">
        <f>HYPERLINK("https://klasma.github.io/Logging_2305/artfynd/A 30607-2022 artfynd.xlsx", "A 30607-2022")</f>
        <v/>
      </c>
      <c r="T245">
        <f>HYPERLINK("https://klasma.github.io/Logging_2305/kartor/A 30607-2022 karta.png", "A 30607-2022")</f>
        <v/>
      </c>
      <c r="V245">
        <f>HYPERLINK("https://klasma.github.io/Logging_2305/klagomål/A 30607-2022 FSC-klagomål.docx", "A 30607-2022")</f>
        <v/>
      </c>
      <c r="W245">
        <f>HYPERLINK("https://klasma.github.io/Logging_2305/klagomålsmail/A 30607-2022 FSC-klagomål mail.docx", "A 30607-2022")</f>
        <v/>
      </c>
      <c r="X245">
        <f>HYPERLINK("https://klasma.github.io/Logging_2305/tillsyn/A 30607-2022 tillsynsbegäran.docx", "A 30607-2022")</f>
        <v/>
      </c>
      <c r="Y245">
        <f>HYPERLINK("https://klasma.github.io/Logging_2305/tillsynsmail/A 30607-2022 tillsynsbegäran mail.docx", "A 30607-2022")</f>
        <v/>
      </c>
    </row>
    <row r="246" ht="15" customHeight="1">
      <c r="A246" t="inlineStr">
        <is>
          <t>A 31455-2022</t>
        </is>
      </c>
      <c r="B246" s="1" t="n">
        <v>44774</v>
      </c>
      <c r="C246" s="1" t="n">
        <v>45847</v>
      </c>
      <c r="D246" t="inlineStr">
        <is>
          <t>JÄMTLANDS LÄN</t>
        </is>
      </c>
      <c r="E246" t="inlineStr">
        <is>
          <t>BRÄCKE</t>
        </is>
      </c>
      <c r="F246" t="inlineStr">
        <is>
          <t>SCA</t>
        </is>
      </c>
      <c r="G246" t="n">
        <v>5.5</v>
      </c>
      <c r="H246" t="n">
        <v>1</v>
      </c>
      <c r="I246" t="n">
        <v>0</v>
      </c>
      <c r="J246" t="n">
        <v>1</v>
      </c>
      <c r="K246" t="n">
        <v>0</v>
      </c>
      <c r="L246" t="n">
        <v>0</v>
      </c>
      <c r="M246" t="n">
        <v>0</v>
      </c>
      <c r="N246" t="n">
        <v>0</v>
      </c>
      <c r="O246" t="n">
        <v>1</v>
      </c>
      <c r="P246" t="n">
        <v>0</v>
      </c>
      <c r="Q246" t="n">
        <v>2</v>
      </c>
      <c r="R246" s="2" t="inlineStr">
        <is>
          <t>Lunglav
Revlummer</t>
        </is>
      </c>
      <c r="S246">
        <f>HYPERLINK("https://klasma.github.io/Logging_2305/artfynd/A 31455-2022 artfynd.xlsx", "A 31455-2022")</f>
        <v/>
      </c>
      <c r="T246">
        <f>HYPERLINK("https://klasma.github.io/Logging_2305/kartor/A 31455-2022 karta.png", "A 31455-2022")</f>
        <v/>
      </c>
      <c r="V246">
        <f>HYPERLINK("https://klasma.github.io/Logging_2305/klagomål/A 31455-2022 FSC-klagomål.docx", "A 31455-2022")</f>
        <v/>
      </c>
      <c r="W246">
        <f>HYPERLINK("https://klasma.github.io/Logging_2305/klagomålsmail/A 31455-2022 FSC-klagomål mail.docx", "A 31455-2022")</f>
        <v/>
      </c>
      <c r="X246">
        <f>HYPERLINK("https://klasma.github.io/Logging_2305/tillsyn/A 31455-2022 tillsynsbegäran.docx", "A 31455-2022")</f>
        <v/>
      </c>
      <c r="Y246">
        <f>HYPERLINK("https://klasma.github.io/Logging_2305/tillsynsmail/A 31455-2022 tillsynsbegäran mail.docx", "A 31455-2022")</f>
        <v/>
      </c>
    </row>
    <row r="247" ht="15" customHeight="1">
      <c r="A247" t="inlineStr">
        <is>
          <t>A 32507-2022</t>
        </is>
      </c>
      <c r="B247" s="1" t="n">
        <v>44782</v>
      </c>
      <c r="C247" s="1" t="n">
        <v>45847</v>
      </c>
      <c r="D247" t="inlineStr">
        <is>
          <t>JÄMTLANDS LÄN</t>
        </is>
      </c>
      <c r="E247" t="inlineStr">
        <is>
          <t>BRÄCKE</t>
        </is>
      </c>
      <c r="G247" t="n">
        <v>5.8</v>
      </c>
      <c r="H247" t="n">
        <v>1</v>
      </c>
      <c r="I247" t="n">
        <v>0</v>
      </c>
      <c r="J247" t="n">
        <v>1</v>
      </c>
      <c r="K247" t="n">
        <v>1</v>
      </c>
      <c r="L247" t="n">
        <v>0</v>
      </c>
      <c r="M247" t="n">
        <v>0</v>
      </c>
      <c r="N247" t="n">
        <v>0</v>
      </c>
      <c r="O247" t="n">
        <v>2</v>
      </c>
      <c r="P247" t="n">
        <v>1</v>
      </c>
      <c r="Q247" t="n">
        <v>2</v>
      </c>
      <c r="R247" s="2" t="inlineStr">
        <is>
          <t>Knärot
Ullticka</t>
        </is>
      </c>
      <c r="S247">
        <f>HYPERLINK("https://klasma.github.io/Logging_2305/artfynd/A 32507-2022 artfynd.xlsx", "A 32507-2022")</f>
        <v/>
      </c>
      <c r="T247">
        <f>HYPERLINK("https://klasma.github.io/Logging_2305/kartor/A 32507-2022 karta.png", "A 32507-2022")</f>
        <v/>
      </c>
      <c r="U247">
        <f>HYPERLINK("https://klasma.github.io/Logging_2305/knärot/A 32507-2022 karta knärot.png", "A 32507-2022")</f>
        <v/>
      </c>
      <c r="V247">
        <f>HYPERLINK("https://klasma.github.io/Logging_2305/klagomål/A 32507-2022 FSC-klagomål.docx", "A 32507-2022")</f>
        <v/>
      </c>
      <c r="W247">
        <f>HYPERLINK("https://klasma.github.io/Logging_2305/klagomålsmail/A 32507-2022 FSC-klagomål mail.docx", "A 32507-2022")</f>
        <v/>
      </c>
      <c r="X247">
        <f>HYPERLINK("https://klasma.github.io/Logging_2305/tillsyn/A 32507-2022 tillsynsbegäran.docx", "A 32507-2022")</f>
        <v/>
      </c>
      <c r="Y247">
        <f>HYPERLINK("https://klasma.github.io/Logging_2305/tillsynsmail/A 32507-2022 tillsynsbegäran mail.docx", "A 32507-2022")</f>
        <v/>
      </c>
    </row>
    <row r="248" ht="15" customHeight="1">
      <c r="A248" t="inlineStr">
        <is>
          <t>A 42291-2022</t>
        </is>
      </c>
      <c r="B248" s="1" t="n">
        <v>44830</v>
      </c>
      <c r="C248" s="1" t="n">
        <v>45847</v>
      </c>
      <c r="D248" t="inlineStr">
        <is>
          <t>JÄMTLANDS LÄN</t>
        </is>
      </c>
      <c r="E248" t="inlineStr">
        <is>
          <t>BRÄCKE</t>
        </is>
      </c>
      <c r="F248" t="inlineStr">
        <is>
          <t>SCA</t>
        </is>
      </c>
      <c r="G248" t="n">
        <v>4</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42291-2022 artfynd.xlsx", "A 42291-2022")</f>
        <v/>
      </c>
      <c r="T248">
        <f>HYPERLINK("https://klasma.github.io/Logging_2305/kartor/A 42291-2022 karta.png", "A 42291-2022")</f>
        <v/>
      </c>
      <c r="V248">
        <f>HYPERLINK("https://klasma.github.io/Logging_2305/klagomål/A 42291-2022 FSC-klagomål.docx", "A 42291-2022")</f>
        <v/>
      </c>
      <c r="W248">
        <f>HYPERLINK("https://klasma.github.io/Logging_2305/klagomålsmail/A 42291-2022 FSC-klagomål mail.docx", "A 42291-2022")</f>
        <v/>
      </c>
      <c r="X248">
        <f>HYPERLINK("https://klasma.github.io/Logging_2305/tillsyn/A 42291-2022 tillsynsbegäran.docx", "A 42291-2022")</f>
        <v/>
      </c>
      <c r="Y248">
        <f>HYPERLINK("https://klasma.github.io/Logging_2305/tillsynsmail/A 42291-2022 tillsynsbegäran mail.docx", "A 42291-2022")</f>
        <v/>
      </c>
    </row>
    <row r="249" ht="15" customHeight="1">
      <c r="A249" t="inlineStr">
        <is>
          <t>A 43141-2022</t>
        </is>
      </c>
      <c r="B249" s="1" t="n">
        <v>44833</v>
      </c>
      <c r="C249" s="1" t="n">
        <v>45847</v>
      </c>
      <c r="D249" t="inlineStr">
        <is>
          <t>JÄMTLANDS LÄN</t>
        </is>
      </c>
      <c r="E249" t="inlineStr">
        <is>
          <t>BRÄCKE</t>
        </is>
      </c>
      <c r="F249" t="inlineStr">
        <is>
          <t>SCA</t>
        </is>
      </c>
      <c r="G249" t="n">
        <v>2</v>
      </c>
      <c r="H249" t="n">
        <v>1</v>
      </c>
      <c r="I249" t="n">
        <v>0</v>
      </c>
      <c r="J249" t="n">
        <v>0</v>
      </c>
      <c r="K249" t="n">
        <v>2</v>
      </c>
      <c r="L249" t="n">
        <v>0</v>
      </c>
      <c r="M249" t="n">
        <v>0</v>
      </c>
      <c r="N249" t="n">
        <v>0</v>
      </c>
      <c r="O249" t="n">
        <v>2</v>
      </c>
      <c r="P249" t="n">
        <v>2</v>
      </c>
      <c r="Q249" t="n">
        <v>2</v>
      </c>
      <c r="R249" s="2" t="inlineStr">
        <is>
          <t>Frösöstarr
Knärot</t>
        </is>
      </c>
      <c r="S249">
        <f>HYPERLINK("https://klasma.github.io/Logging_2305/artfynd/A 43141-2022 artfynd.xlsx", "A 43141-2022")</f>
        <v/>
      </c>
      <c r="T249">
        <f>HYPERLINK("https://klasma.github.io/Logging_2305/kartor/A 43141-2022 karta.png", "A 43141-2022")</f>
        <v/>
      </c>
      <c r="U249">
        <f>HYPERLINK("https://klasma.github.io/Logging_2305/knärot/A 43141-2022 karta knärot.png", "A 43141-2022")</f>
        <v/>
      </c>
      <c r="V249">
        <f>HYPERLINK("https://klasma.github.io/Logging_2305/klagomål/A 43141-2022 FSC-klagomål.docx", "A 43141-2022")</f>
        <v/>
      </c>
      <c r="W249">
        <f>HYPERLINK("https://klasma.github.io/Logging_2305/klagomålsmail/A 43141-2022 FSC-klagomål mail.docx", "A 43141-2022")</f>
        <v/>
      </c>
      <c r="X249">
        <f>HYPERLINK("https://klasma.github.io/Logging_2305/tillsyn/A 43141-2022 tillsynsbegäran.docx", "A 43141-2022")</f>
        <v/>
      </c>
      <c r="Y249">
        <f>HYPERLINK("https://klasma.github.io/Logging_2305/tillsynsmail/A 43141-2022 tillsynsbegäran mail.docx", "A 43141-2022")</f>
        <v/>
      </c>
    </row>
    <row r="250" ht="15" customHeight="1">
      <c r="A250" t="inlineStr">
        <is>
          <t>A 48930-2022</t>
        </is>
      </c>
      <c r="B250" s="1" t="n">
        <v>44859</v>
      </c>
      <c r="C250" s="1" t="n">
        <v>45847</v>
      </c>
      <c r="D250" t="inlineStr">
        <is>
          <t>JÄMTLANDS LÄN</t>
        </is>
      </c>
      <c r="E250" t="inlineStr">
        <is>
          <t>BRÄCKE</t>
        </is>
      </c>
      <c r="F250" t="inlineStr">
        <is>
          <t>SCA</t>
        </is>
      </c>
      <c r="G250" t="n">
        <v>1.2</v>
      </c>
      <c r="H250" t="n">
        <v>0</v>
      </c>
      <c r="I250" t="n">
        <v>1</v>
      </c>
      <c r="J250" t="n">
        <v>1</v>
      </c>
      <c r="K250" t="n">
        <v>0</v>
      </c>
      <c r="L250" t="n">
        <v>0</v>
      </c>
      <c r="M250" t="n">
        <v>0</v>
      </c>
      <c r="N250" t="n">
        <v>0</v>
      </c>
      <c r="O250" t="n">
        <v>1</v>
      </c>
      <c r="P250" t="n">
        <v>0</v>
      </c>
      <c r="Q250" t="n">
        <v>2</v>
      </c>
      <c r="R250" s="2" t="inlineStr">
        <is>
          <t>Lunglav
Luddlav</t>
        </is>
      </c>
      <c r="S250">
        <f>HYPERLINK("https://klasma.github.io/Logging_2305/artfynd/A 48930-2022 artfynd.xlsx", "A 48930-2022")</f>
        <v/>
      </c>
      <c r="T250">
        <f>HYPERLINK("https://klasma.github.io/Logging_2305/kartor/A 48930-2022 karta.png", "A 48930-2022")</f>
        <v/>
      </c>
      <c r="V250">
        <f>HYPERLINK("https://klasma.github.io/Logging_2305/klagomål/A 48930-2022 FSC-klagomål.docx", "A 48930-2022")</f>
        <v/>
      </c>
      <c r="W250">
        <f>HYPERLINK("https://klasma.github.io/Logging_2305/klagomålsmail/A 48930-2022 FSC-klagomål mail.docx", "A 48930-2022")</f>
        <v/>
      </c>
      <c r="X250">
        <f>HYPERLINK("https://klasma.github.io/Logging_2305/tillsyn/A 48930-2022 tillsynsbegäran.docx", "A 48930-2022")</f>
        <v/>
      </c>
      <c r="Y250">
        <f>HYPERLINK("https://klasma.github.io/Logging_2305/tillsynsmail/A 48930-2022 tillsynsbegäran mail.docx", "A 48930-2022")</f>
        <v/>
      </c>
    </row>
    <row r="251" ht="15" customHeight="1">
      <c r="A251" t="inlineStr">
        <is>
          <t>A 50328-2022</t>
        </is>
      </c>
      <c r="B251" s="1" t="n">
        <v>44865</v>
      </c>
      <c r="C251" s="1" t="n">
        <v>45847</v>
      </c>
      <c r="D251" t="inlineStr">
        <is>
          <t>JÄMTLANDS LÄN</t>
        </is>
      </c>
      <c r="E251" t="inlineStr">
        <is>
          <t>BRÄCKE</t>
        </is>
      </c>
      <c r="F251" t="inlineStr">
        <is>
          <t>SCA</t>
        </is>
      </c>
      <c r="G251" t="n">
        <v>1.6</v>
      </c>
      <c r="H251" t="n">
        <v>0</v>
      </c>
      <c r="I251" t="n">
        <v>0</v>
      </c>
      <c r="J251" t="n">
        <v>2</v>
      </c>
      <c r="K251" t="n">
        <v>0</v>
      </c>
      <c r="L251" t="n">
        <v>0</v>
      </c>
      <c r="M251" t="n">
        <v>0</v>
      </c>
      <c r="N251" t="n">
        <v>0</v>
      </c>
      <c r="O251" t="n">
        <v>2</v>
      </c>
      <c r="P251" t="n">
        <v>0</v>
      </c>
      <c r="Q251" t="n">
        <v>2</v>
      </c>
      <c r="R251" s="2" t="inlineStr">
        <is>
          <t>Ullticka
Vitgrynig nållav</t>
        </is>
      </c>
      <c r="S251">
        <f>HYPERLINK("https://klasma.github.io/Logging_2305/artfynd/A 50328-2022 artfynd.xlsx", "A 50328-2022")</f>
        <v/>
      </c>
      <c r="T251">
        <f>HYPERLINK("https://klasma.github.io/Logging_2305/kartor/A 50328-2022 karta.png", "A 50328-2022")</f>
        <v/>
      </c>
      <c r="V251">
        <f>HYPERLINK("https://klasma.github.io/Logging_2305/klagomål/A 50328-2022 FSC-klagomål.docx", "A 50328-2022")</f>
        <v/>
      </c>
      <c r="W251">
        <f>HYPERLINK("https://klasma.github.io/Logging_2305/klagomålsmail/A 50328-2022 FSC-klagomål mail.docx", "A 50328-2022")</f>
        <v/>
      </c>
      <c r="X251">
        <f>HYPERLINK("https://klasma.github.io/Logging_2305/tillsyn/A 50328-2022 tillsynsbegäran.docx", "A 50328-2022")</f>
        <v/>
      </c>
      <c r="Y251">
        <f>HYPERLINK("https://klasma.github.io/Logging_2305/tillsynsmail/A 50328-2022 tillsynsbegäran mail.docx", "A 50328-2022")</f>
        <v/>
      </c>
    </row>
    <row r="252" ht="15" customHeight="1">
      <c r="A252" t="inlineStr">
        <is>
          <t>A 50336-2022</t>
        </is>
      </c>
      <c r="B252" s="1" t="n">
        <v>44865</v>
      </c>
      <c r="C252" s="1" t="n">
        <v>45847</v>
      </c>
      <c r="D252" t="inlineStr">
        <is>
          <t>JÄMTLANDS LÄN</t>
        </is>
      </c>
      <c r="E252" t="inlineStr">
        <is>
          <t>BRÄCKE</t>
        </is>
      </c>
      <c r="F252" t="inlineStr">
        <is>
          <t>SCA</t>
        </is>
      </c>
      <c r="G252" t="n">
        <v>1.8</v>
      </c>
      <c r="H252" t="n">
        <v>1</v>
      </c>
      <c r="I252" t="n">
        <v>0</v>
      </c>
      <c r="J252" t="n">
        <v>0</v>
      </c>
      <c r="K252" t="n">
        <v>2</v>
      </c>
      <c r="L252" t="n">
        <v>0</v>
      </c>
      <c r="M252" t="n">
        <v>0</v>
      </c>
      <c r="N252" t="n">
        <v>0</v>
      </c>
      <c r="O252" t="n">
        <v>2</v>
      </c>
      <c r="P252" t="n">
        <v>2</v>
      </c>
      <c r="Q252" t="n">
        <v>2</v>
      </c>
      <c r="R252" s="2" t="inlineStr">
        <is>
          <t>Gräddporing
Knärot</t>
        </is>
      </c>
      <c r="S252">
        <f>HYPERLINK("https://klasma.github.io/Logging_2305/artfynd/A 50336-2022 artfynd.xlsx", "A 50336-2022")</f>
        <v/>
      </c>
      <c r="T252">
        <f>HYPERLINK("https://klasma.github.io/Logging_2305/kartor/A 50336-2022 karta.png", "A 50336-2022")</f>
        <v/>
      </c>
      <c r="U252">
        <f>HYPERLINK("https://klasma.github.io/Logging_2305/knärot/A 50336-2022 karta knärot.png", "A 50336-2022")</f>
        <v/>
      </c>
      <c r="V252">
        <f>HYPERLINK("https://klasma.github.io/Logging_2305/klagomål/A 50336-2022 FSC-klagomål.docx", "A 50336-2022")</f>
        <v/>
      </c>
      <c r="W252">
        <f>HYPERLINK("https://klasma.github.io/Logging_2305/klagomålsmail/A 50336-2022 FSC-klagomål mail.docx", "A 50336-2022")</f>
        <v/>
      </c>
      <c r="X252">
        <f>HYPERLINK("https://klasma.github.io/Logging_2305/tillsyn/A 50336-2022 tillsynsbegäran.docx", "A 50336-2022")</f>
        <v/>
      </c>
      <c r="Y252">
        <f>HYPERLINK("https://klasma.github.io/Logging_2305/tillsynsmail/A 50336-2022 tillsynsbegäran mail.docx", "A 50336-2022")</f>
        <v/>
      </c>
    </row>
    <row r="253" ht="15" customHeight="1">
      <c r="A253" t="inlineStr">
        <is>
          <t>A 54624-2022</t>
        </is>
      </c>
      <c r="B253" s="1" t="n">
        <v>44883</v>
      </c>
      <c r="C253" s="1" t="n">
        <v>45847</v>
      </c>
      <c r="D253" t="inlineStr">
        <is>
          <t>JÄMTLANDS LÄN</t>
        </is>
      </c>
      <c r="E253" t="inlineStr">
        <is>
          <t>BRÄCKE</t>
        </is>
      </c>
      <c r="G253" t="n">
        <v>3.9</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54624-2022 artfynd.xlsx", "A 54624-2022")</f>
        <v/>
      </c>
      <c r="T253">
        <f>HYPERLINK("https://klasma.github.io/Logging_2305/kartor/A 54624-2022 karta.png", "A 54624-2022")</f>
        <v/>
      </c>
      <c r="V253">
        <f>HYPERLINK("https://klasma.github.io/Logging_2305/klagomål/A 54624-2022 FSC-klagomål.docx", "A 54624-2022")</f>
        <v/>
      </c>
      <c r="W253">
        <f>HYPERLINK("https://klasma.github.io/Logging_2305/klagomålsmail/A 54624-2022 FSC-klagomål mail.docx", "A 54624-2022")</f>
        <v/>
      </c>
      <c r="X253">
        <f>HYPERLINK("https://klasma.github.io/Logging_2305/tillsyn/A 54624-2022 tillsynsbegäran.docx", "A 54624-2022")</f>
        <v/>
      </c>
      <c r="Y253">
        <f>HYPERLINK("https://klasma.github.io/Logging_2305/tillsynsmail/A 54624-2022 tillsynsbegäran mail.docx", "A 54624-2022")</f>
        <v/>
      </c>
    </row>
    <row r="254" ht="15" customHeight="1">
      <c r="A254" t="inlineStr">
        <is>
          <t>A 58169-2022</t>
        </is>
      </c>
      <c r="B254" s="1" t="n">
        <v>44900</v>
      </c>
      <c r="C254" s="1" t="n">
        <v>45847</v>
      </c>
      <c r="D254" t="inlineStr">
        <is>
          <t>JÄMTLANDS LÄN</t>
        </is>
      </c>
      <c r="E254" t="inlineStr">
        <is>
          <t>BRÄCKE</t>
        </is>
      </c>
      <c r="F254" t="inlineStr">
        <is>
          <t>SCA</t>
        </is>
      </c>
      <c r="G254" t="n">
        <v>9.300000000000001</v>
      </c>
      <c r="H254" t="n">
        <v>1</v>
      </c>
      <c r="I254" t="n">
        <v>0</v>
      </c>
      <c r="J254" t="n">
        <v>2</v>
      </c>
      <c r="K254" t="n">
        <v>0</v>
      </c>
      <c r="L254" t="n">
        <v>0</v>
      </c>
      <c r="M254" t="n">
        <v>0</v>
      </c>
      <c r="N254" t="n">
        <v>0</v>
      </c>
      <c r="O254" t="n">
        <v>2</v>
      </c>
      <c r="P254" t="n">
        <v>0</v>
      </c>
      <c r="Q254" t="n">
        <v>2</v>
      </c>
      <c r="R254" s="2" t="inlineStr">
        <is>
          <t>Garnlav
Talltita</t>
        </is>
      </c>
      <c r="S254">
        <f>HYPERLINK("https://klasma.github.io/Logging_2305/artfynd/A 58169-2022 artfynd.xlsx", "A 58169-2022")</f>
        <v/>
      </c>
      <c r="T254">
        <f>HYPERLINK("https://klasma.github.io/Logging_2305/kartor/A 58169-2022 karta.png", "A 58169-2022")</f>
        <v/>
      </c>
      <c r="V254">
        <f>HYPERLINK("https://klasma.github.io/Logging_2305/klagomål/A 58169-2022 FSC-klagomål.docx", "A 58169-2022")</f>
        <v/>
      </c>
      <c r="W254">
        <f>HYPERLINK("https://klasma.github.io/Logging_2305/klagomålsmail/A 58169-2022 FSC-klagomål mail.docx", "A 58169-2022")</f>
        <v/>
      </c>
      <c r="X254">
        <f>HYPERLINK("https://klasma.github.io/Logging_2305/tillsyn/A 58169-2022 tillsynsbegäran.docx", "A 58169-2022")</f>
        <v/>
      </c>
      <c r="Y254">
        <f>HYPERLINK("https://klasma.github.io/Logging_2305/tillsynsmail/A 58169-2022 tillsynsbegäran mail.docx", "A 58169-2022")</f>
        <v/>
      </c>
      <c r="Z254">
        <f>HYPERLINK("https://klasma.github.io/Logging_2305/fåglar/A 58169-2022 prioriterade fågelarter.docx", "A 58169-2022")</f>
        <v/>
      </c>
    </row>
    <row r="255" ht="15" customHeight="1">
      <c r="A255" t="inlineStr">
        <is>
          <t>A 3029-2023</t>
        </is>
      </c>
      <c r="B255" s="1" t="n">
        <v>44945</v>
      </c>
      <c r="C255" s="1" t="n">
        <v>45847</v>
      </c>
      <c r="D255" t="inlineStr">
        <is>
          <t>JÄMTLANDS LÄN</t>
        </is>
      </c>
      <c r="E255" t="inlineStr">
        <is>
          <t>BRÄCKE</t>
        </is>
      </c>
      <c r="F255" t="inlineStr">
        <is>
          <t>SCA</t>
        </is>
      </c>
      <c r="G255" t="n">
        <v>2.3</v>
      </c>
      <c r="H255" t="n">
        <v>0</v>
      </c>
      <c r="I255" t="n">
        <v>0</v>
      </c>
      <c r="J255" t="n">
        <v>2</v>
      </c>
      <c r="K255" t="n">
        <v>0</v>
      </c>
      <c r="L255" t="n">
        <v>0</v>
      </c>
      <c r="M255" t="n">
        <v>0</v>
      </c>
      <c r="N255" t="n">
        <v>0</v>
      </c>
      <c r="O255" t="n">
        <v>2</v>
      </c>
      <c r="P255" t="n">
        <v>0</v>
      </c>
      <c r="Q255" t="n">
        <v>2</v>
      </c>
      <c r="R255" s="2" t="inlineStr">
        <is>
          <t>Garnlav
Lunglav</t>
        </is>
      </c>
      <c r="S255">
        <f>HYPERLINK("https://klasma.github.io/Logging_2305/artfynd/A 3029-2023 artfynd.xlsx", "A 3029-2023")</f>
        <v/>
      </c>
      <c r="T255">
        <f>HYPERLINK("https://klasma.github.io/Logging_2305/kartor/A 3029-2023 karta.png", "A 3029-2023")</f>
        <v/>
      </c>
      <c r="V255">
        <f>HYPERLINK("https://klasma.github.io/Logging_2305/klagomål/A 3029-2023 FSC-klagomål.docx", "A 3029-2023")</f>
        <v/>
      </c>
      <c r="W255">
        <f>HYPERLINK("https://klasma.github.io/Logging_2305/klagomålsmail/A 3029-2023 FSC-klagomål mail.docx", "A 3029-2023")</f>
        <v/>
      </c>
      <c r="X255">
        <f>HYPERLINK("https://klasma.github.io/Logging_2305/tillsyn/A 3029-2023 tillsynsbegäran.docx", "A 3029-2023")</f>
        <v/>
      </c>
      <c r="Y255">
        <f>HYPERLINK("https://klasma.github.io/Logging_2305/tillsynsmail/A 3029-2023 tillsynsbegäran mail.docx", "A 3029-2023")</f>
        <v/>
      </c>
    </row>
    <row r="256" ht="15" customHeight="1">
      <c r="A256" t="inlineStr">
        <is>
          <t>A 8673-2023</t>
        </is>
      </c>
      <c r="B256" s="1" t="n">
        <v>44977</v>
      </c>
      <c r="C256" s="1" t="n">
        <v>45847</v>
      </c>
      <c r="D256" t="inlineStr">
        <is>
          <t>JÄMTLANDS LÄN</t>
        </is>
      </c>
      <c r="E256" t="inlineStr">
        <is>
          <t>BRÄCKE</t>
        </is>
      </c>
      <c r="G256" t="n">
        <v>11.6</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8673-2023 artfynd.xlsx", "A 8673-2023")</f>
        <v/>
      </c>
      <c r="T256">
        <f>HYPERLINK("https://klasma.github.io/Logging_2305/kartor/A 8673-2023 karta.png", "A 8673-2023")</f>
        <v/>
      </c>
      <c r="V256">
        <f>HYPERLINK("https://klasma.github.io/Logging_2305/klagomål/A 8673-2023 FSC-klagomål.docx", "A 8673-2023")</f>
        <v/>
      </c>
      <c r="W256">
        <f>HYPERLINK("https://klasma.github.io/Logging_2305/klagomålsmail/A 8673-2023 FSC-klagomål mail.docx", "A 8673-2023")</f>
        <v/>
      </c>
      <c r="X256">
        <f>HYPERLINK("https://klasma.github.io/Logging_2305/tillsyn/A 8673-2023 tillsynsbegäran.docx", "A 8673-2023")</f>
        <v/>
      </c>
      <c r="Y256">
        <f>HYPERLINK("https://klasma.github.io/Logging_2305/tillsynsmail/A 8673-2023 tillsynsbegäran mail.docx", "A 8673-2023")</f>
        <v/>
      </c>
    </row>
    <row r="257" ht="15" customHeight="1">
      <c r="A257" t="inlineStr">
        <is>
          <t>A 17223-2023</t>
        </is>
      </c>
      <c r="B257" s="1" t="n">
        <v>45034</v>
      </c>
      <c r="C257" s="1" t="n">
        <v>45847</v>
      </c>
      <c r="D257" t="inlineStr">
        <is>
          <t>JÄMTLANDS LÄN</t>
        </is>
      </c>
      <c r="E257" t="inlineStr">
        <is>
          <t>BRÄCKE</t>
        </is>
      </c>
      <c r="F257" t="inlineStr">
        <is>
          <t>SCA</t>
        </is>
      </c>
      <c r="G257" t="n">
        <v>6.4</v>
      </c>
      <c r="H257" t="n">
        <v>2</v>
      </c>
      <c r="I257" t="n">
        <v>0</v>
      </c>
      <c r="J257" t="n">
        <v>1</v>
      </c>
      <c r="K257" t="n">
        <v>0</v>
      </c>
      <c r="L257" t="n">
        <v>0</v>
      </c>
      <c r="M257" t="n">
        <v>0</v>
      </c>
      <c r="N257" t="n">
        <v>0</v>
      </c>
      <c r="O257" t="n">
        <v>1</v>
      </c>
      <c r="P257" t="n">
        <v>0</v>
      </c>
      <c r="Q257" t="n">
        <v>2</v>
      </c>
      <c r="R257" s="2" t="inlineStr">
        <is>
          <t>Talltita
Kungsfågel</t>
        </is>
      </c>
      <c r="S257">
        <f>HYPERLINK("https://klasma.github.io/Logging_2305/artfynd/A 17223-2023 artfynd.xlsx", "A 17223-2023")</f>
        <v/>
      </c>
      <c r="T257">
        <f>HYPERLINK("https://klasma.github.io/Logging_2305/kartor/A 17223-2023 karta.png", "A 17223-2023")</f>
        <v/>
      </c>
      <c r="V257">
        <f>HYPERLINK("https://klasma.github.io/Logging_2305/klagomål/A 17223-2023 FSC-klagomål.docx", "A 17223-2023")</f>
        <v/>
      </c>
      <c r="W257">
        <f>HYPERLINK("https://klasma.github.io/Logging_2305/klagomålsmail/A 17223-2023 FSC-klagomål mail.docx", "A 17223-2023")</f>
        <v/>
      </c>
      <c r="X257">
        <f>HYPERLINK("https://klasma.github.io/Logging_2305/tillsyn/A 17223-2023 tillsynsbegäran.docx", "A 17223-2023")</f>
        <v/>
      </c>
      <c r="Y257">
        <f>HYPERLINK("https://klasma.github.io/Logging_2305/tillsynsmail/A 17223-2023 tillsynsbegäran mail.docx", "A 17223-2023")</f>
        <v/>
      </c>
      <c r="Z257">
        <f>HYPERLINK("https://klasma.github.io/Logging_2305/fåglar/A 17223-2023 prioriterade fågelarter.docx", "A 17223-2023")</f>
        <v/>
      </c>
    </row>
    <row r="258" ht="15" customHeight="1">
      <c r="A258" t="inlineStr">
        <is>
          <t>A 18165-2023</t>
        </is>
      </c>
      <c r="B258" s="1" t="n">
        <v>45041</v>
      </c>
      <c r="C258" s="1" t="n">
        <v>45847</v>
      </c>
      <c r="D258" t="inlineStr">
        <is>
          <t>JÄMTLANDS LÄN</t>
        </is>
      </c>
      <c r="E258" t="inlineStr">
        <is>
          <t>BRÄCKE</t>
        </is>
      </c>
      <c r="F258" t="inlineStr">
        <is>
          <t>SCA</t>
        </is>
      </c>
      <c r="G258" t="n">
        <v>9.6</v>
      </c>
      <c r="H258" t="n">
        <v>1</v>
      </c>
      <c r="I258" t="n">
        <v>0</v>
      </c>
      <c r="J258" t="n">
        <v>2</v>
      </c>
      <c r="K258" t="n">
        <v>0</v>
      </c>
      <c r="L258" t="n">
        <v>0</v>
      </c>
      <c r="M258" t="n">
        <v>0</v>
      </c>
      <c r="N258" t="n">
        <v>0</v>
      </c>
      <c r="O258" t="n">
        <v>2</v>
      </c>
      <c r="P258" t="n">
        <v>0</v>
      </c>
      <c r="Q258" t="n">
        <v>2</v>
      </c>
      <c r="R258" s="2" t="inlineStr">
        <is>
          <t>Garnlav
Spillkråka</t>
        </is>
      </c>
      <c r="S258">
        <f>HYPERLINK("https://klasma.github.io/Logging_2305/artfynd/A 18165-2023 artfynd.xlsx", "A 18165-2023")</f>
        <v/>
      </c>
      <c r="T258">
        <f>HYPERLINK("https://klasma.github.io/Logging_2305/kartor/A 18165-2023 karta.png", "A 18165-2023")</f>
        <v/>
      </c>
      <c r="V258">
        <f>HYPERLINK("https://klasma.github.io/Logging_2305/klagomål/A 18165-2023 FSC-klagomål.docx", "A 18165-2023")</f>
        <v/>
      </c>
      <c r="W258">
        <f>HYPERLINK("https://klasma.github.io/Logging_2305/klagomålsmail/A 18165-2023 FSC-klagomål mail.docx", "A 18165-2023")</f>
        <v/>
      </c>
      <c r="X258">
        <f>HYPERLINK("https://klasma.github.io/Logging_2305/tillsyn/A 18165-2023 tillsynsbegäran.docx", "A 18165-2023")</f>
        <v/>
      </c>
      <c r="Y258">
        <f>HYPERLINK("https://klasma.github.io/Logging_2305/tillsynsmail/A 18165-2023 tillsynsbegäran mail.docx", "A 18165-2023")</f>
        <v/>
      </c>
      <c r="Z258">
        <f>HYPERLINK("https://klasma.github.io/Logging_2305/fåglar/A 18165-2023 prioriterade fågelarter.docx", "A 18165-2023")</f>
        <v/>
      </c>
    </row>
    <row r="259" ht="15" customHeight="1">
      <c r="A259" t="inlineStr">
        <is>
          <t>A 19437-2023</t>
        </is>
      </c>
      <c r="B259" s="1" t="n">
        <v>45049</v>
      </c>
      <c r="C259" s="1" t="n">
        <v>45847</v>
      </c>
      <c r="D259" t="inlineStr">
        <is>
          <t>JÄMTLANDS LÄN</t>
        </is>
      </c>
      <c r="E259" t="inlineStr">
        <is>
          <t>BRÄCKE</t>
        </is>
      </c>
      <c r="G259" t="n">
        <v>1.5</v>
      </c>
      <c r="H259" t="n">
        <v>0</v>
      </c>
      <c r="I259" t="n">
        <v>2</v>
      </c>
      <c r="J259" t="n">
        <v>0</v>
      </c>
      <c r="K259" t="n">
        <v>0</v>
      </c>
      <c r="L259" t="n">
        <v>0</v>
      </c>
      <c r="M259" t="n">
        <v>0</v>
      </c>
      <c r="N259" t="n">
        <v>0</v>
      </c>
      <c r="O259" t="n">
        <v>0</v>
      </c>
      <c r="P259" t="n">
        <v>0</v>
      </c>
      <c r="Q259" t="n">
        <v>2</v>
      </c>
      <c r="R259" s="2" t="inlineStr">
        <is>
          <t>Stuplav
Svart trolldruva</t>
        </is>
      </c>
      <c r="S259">
        <f>HYPERLINK("https://klasma.github.io/Logging_2305/artfynd/A 19437-2023 artfynd.xlsx", "A 19437-2023")</f>
        <v/>
      </c>
      <c r="T259">
        <f>HYPERLINK("https://klasma.github.io/Logging_2305/kartor/A 19437-2023 karta.png", "A 19437-2023")</f>
        <v/>
      </c>
      <c r="U259">
        <f>HYPERLINK("https://klasma.github.io/Logging_2305/knärot/A 19437-2023 karta knärot.png", "A 19437-2023")</f>
        <v/>
      </c>
      <c r="V259">
        <f>HYPERLINK("https://klasma.github.io/Logging_2305/klagomål/A 19437-2023 FSC-klagomål.docx", "A 19437-2023")</f>
        <v/>
      </c>
      <c r="W259">
        <f>HYPERLINK("https://klasma.github.io/Logging_2305/klagomålsmail/A 19437-2023 FSC-klagomål mail.docx", "A 19437-2023")</f>
        <v/>
      </c>
      <c r="X259">
        <f>HYPERLINK("https://klasma.github.io/Logging_2305/tillsyn/A 19437-2023 tillsynsbegäran.docx", "A 19437-2023")</f>
        <v/>
      </c>
      <c r="Y259">
        <f>HYPERLINK("https://klasma.github.io/Logging_2305/tillsynsmail/A 19437-2023 tillsynsbegäran mail.docx", "A 19437-2023")</f>
        <v/>
      </c>
    </row>
    <row r="260" ht="15" customHeight="1">
      <c r="A260" t="inlineStr">
        <is>
          <t>A 19818-2023</t>
        </is>
      </c>
      <c r="B260" s="1" t="n">
        <v>45051</v>
      </c>
      <c r="C260" s="1" t="n">
        <v>45847</v>
      </c>
      <c r="D260" t="inlineStr">
        <is>
          <t>JÄMTLANDS LÄN</t>
        </is>
      </c>
      <c r="E260" t="inlineStr">
        <is>
          <t>BRÄCKE</t>
        </is>
      </c>
      <c r="F260" t="inlineStr">
        <is>
          <t>SCA</t>
        </is>
      </c>
      <c r="G260" t="n">
        <v>2.8</v>
      </c>
      <c r="H260" t="n">
        <v>0</v>
      </c>
      <c r="I260" t="n">
        <v>0</v>
      </c>
      <c r="J260" t="n">
        <v>2</v>
      </c>
      <c r="K260" t="n">
        <v>0</v>
      </c>
      <c r="L260" t="n">
        <v>0</v>
      </c>
      <c r="M260" t="n">
        <v>0</v>
      </c>
      <c r="N260" t="n">
        <v>0</v>
      </c>
      <c r="O260" t="n">
        <v>2</v>
      </c>
      <c r="P260" t="n">
        <v>0</v>
      </c>
      <c r="Q260" t="n">
        <v>2</v>
      </c>
      <c r="R260" s="2" t="inlineStr">
        <is>
          <t>Lunglav
Stiftgelélav</t>
        </is>
      </c>
      <c r="S260">
        <f>HYPERLINK("https://klasma.github.io/Logging_2305/artfynd/A 19818-2023 artfynd.xlsx", "A 19818-2023")</f>
        <v/>
      </c>
      <c r="T260">
        <f>HYPERLINK("https://klasma.github.io/Logging_2305/kartor/A 19818-2023 karta.png", "A 19818-2023")</f>
        <v/>
      </c>
      <c r="V260">
        <f>HYPERLINK("https://klasma.github.io/Logging_2305/klagomål/A 19818-2023 FSC-klagomål.docx", "A 19818-2023")</f>
        <v/>
      </c>
      <c r="W260">
        <f>HYPERLINK("https://klasma.github.io/Logging_2305/klagomålsmail/A 19818-2023 FSC-klagomål mail.docx", "A 19818-2023")</f>
        <v/>
      </c>
      <c r="X260">
        <f>HYPERLINK("https://klasma.github.io/Logging_2305/tillsyn/A 19818-2023 tillsynsbegäran.docx", "A 19818-2023")</f>
        <v/>
      </c>
      <c r="Y260">
        <f>HYPERLINK("https://klasma.github.io/Logging_2305/tillsynsmail/A 19818-2023 tillsynsbegäran mail.docx", "A 19818-2023")</f>
        <v/>
      </c>
    </row>
    <row r="261" ht="15" customHeight="1">
      <c r="A261" t="inlineStr">
        <is>
          <t>A 22989-2023</t>
        </is>
      </c>
      <c r="B261" s="1" t="n">
        <v>45072</v>
      </c>
      <c r="C261" s="1" t="n">
        <v>45847</v>
      </c>
      <c r="D261" t="inlineStr">
        <is>
          <t>JÄMTLANDS LÄN</t>
        </is>
      </c>
      <c r="E261" t="inlineStr">
        <is>
          <t>BRÄCKE</t>
        </is>
      </c>
      <c r="F261" t="inlineStr">
        <is>
          <t>SCA</t>
        </is>
      </c>
      <c r="G261" t="n">
        <v>9.800000000000001</v>
      </c>
      <c r="H261" t="n">
        <v>0</v>
      </c>
      <c r="I261" t="n">
        <v>1</v>
      </c>
      <c r="J261" t="n">
        <v>1</v>
      </c>
      <c r="K261" t="n">
        <v>0</v>
      </c>
      <c r="L261" t="n">
        <v>0</v>
      </c>
      <c r="M261" t="n">
        <v>0</v>
      </c>
      <c r="N261" t="n">
        <v>0</v>
      </c>
      <c r="O261" t="n">
        <v>1</v>
      </c>
      <c r="P261" t="n">
        <v>0</v>
      </c>
      <c r="Q261" t="n">
        <v>2</v>
      </c>
      <c r="R261" s="2" t="inlineStr">
        <is>
          <t>Lunglav
Stuplav</t>
        </is>
      </c>
      <c r="S261">
        <f>HYPERLINK("https://klasma.github.io/Logging_2305/artfynd/A 22989-2023 artfynd.xlsx", "A 22989-2023")</f>
        <v/>
      </c>
      <c r="T261">
        <f>HYPERLINK("https://klasma.github.io/Logging_2305/kartor/A 22989-2023 karta.png", "A 22989-2023")</f>
        <v/>
      </c>
      <c r="V261">
        <f>HYPERLINK("https://klasma.github.io/Logging_2305/klagomål/A 22989-2023 FSC-klagomål.docx", "A 22989-2023")</f>
        <v/>
      </c>
      <c r="W261">
        <f>HYPERLINK("https://klasma.github.io/Logging_2305/klagomålsmail/A 22989-2023 FSC-klagomål mail.docx", "A 22989-2023")</f>
        <v/>
      </c>
      <c r="X261">
        <f>HYPERLINK("https://klasma.github.io/Logging_2305/tillsyn/A 22989-2023 tillsynsbegäran.docx", "A 22989-2023")</f>
        <v/>
      </c>
      <c r="Y261">
        <f>HYPERLINK("https://klasma.github.io/Logging_2305/tillsynsmail/A 22989-2023 tillsynsbegäran mail.docx", "A 22989-2023")</f>
        <v/>
      </c>
    </row>
    <row r="262" ht="15" customHeight="1">
      <c r="A262" t="inlineStr">
        <is>
          <t>A 27000-2023</t>
        </is>
      </c>
      <c r="B262" s="1" t="n">
        <v>45093</v>
      </c>
      <c r="C262" s="1" t="n">
        <v>45847</v>
      </c>
      <c r="D262" t="inlineStr">
        <is>
          <t>JÄMTLANDS LÄN</t>
        </is>
      </c>
      <c r="E262" t="inlineStr">
        <is>
          <t>BRÄCKE</t>
        </is>
      </c>
      <c r="F262" t="inlineStr">
        <is>
          <t>SCA</t>
        </is>
      </c>
      <c r="G262" t="n">
        <v>5.8</v>
      </c>
      <c r="H262" t="n">
        <v>0</v>
      </c>
      <c r="I262" t="n">
        <v>0</v>
      </c>
      <c r="J262" t="n">
        <v>2</v>
      </c>
      <c r="K262" t="n">
        <v>0</v>
      </c>
      <c r="L262" t="n">
        <v>0</v>
      </c>
      <c r="M262" t="n">
        <v>0</v>
      </c>
      <c r="N262" t="n">
        <v>0</v>
      </c>
      <c r="O262" t="n">
        <v>2</v>
      </c>
      <c r="P262" t="n">
        <v>0</v>
      </c>
      <c r="Q262" t="n">
        <v>2</v>
      </c>
      <c r="R262" s="2" t="inlineStr">
        <is>
          <t>Dvärgbägarlav
Lunglav</t>
        </is>
      </c>
      <c r="S262">
        <f>HYPERLINK("https://klasma.github.io/Logging_2305/artfynd/A 27000-2023 artfynd.xlsx", "A 27000-2023")</f>
        <v/>
      </c>
      <c r="T262">
        <f>HYPERLINK("https://klasma.github.io/Logging_2305/kartor/A 27000-2023 karta.png", "A 27000-2023")</f>
        <v/>
      </c>
      <c r="V262">
        <f>HYPERLINK("https://klasma.github.io/Logging_2305/klagomål/A 27000-2023 FSC-klagomål.docx", "A 27000-2023")</f>
        <v/>
      </c>
      <c r="W262">
        <f>HYPERLINK("https://klasma.github.io/Logging_2305/klagomålsmail/A 27000-2023 FSC-klagomål mail.docx", "A 27000-2023")</f>
        <v/>
      </c>
      <c r="X262">
        <f>HYPERLINK("https://klasma.github.io/Logging_2305/tillsyn/A 27000-2023 tillsynsbegäran.docx", "A 27000-2023")</f>
        <v/>
      </c>
      <c r="Y262">
        <f>HYPERLINK("https://klasma.github.io/Logging_2305/tillsynsmail/A 27000-2023 tillsynsbegäran mail.docx", "A 27000-2023")</f>
        <v/>
      </c>
    </row>
    <row r="263" ht="15" customHeight="1">
      <c r="A263" t="inlineStr">
        <is>
          <t>A 28765-2023</t>
        </is>
      </c>
      <c r="B263" s="1" t="n">
        <v>45103</v>
      </c>
      <c r="C263" s="1" t="n">
        <v>45847</v>
      </c>
      <c r="D263" t="inlineStr">
        <is>
          <t>JÄMTLANDS LÄN</t>
        </is>
      </c>
      <c r="E263" t="inlineStr">
        <is>
          <t>BRÄCKE</t>
        </is>
      </c>
      <c r="F263" t="inlineStr">
        <is>
          <t>SCA</t>
        </is>
      </c>
      <c r="G263" t="n">
        <v>6</v>
      </c>
      <c r="H263" t="n">
        <v>0</v>
      </c>
      <c r="I263" t="n">
        <v>1</v>
      </c>
      <c r="J263" t="n">
        <v>1</v>
      </c>
      <c r="K263" t="n">
        <v>0</v>
      </c>
      <c r="L263" t="n">
        <v>0</v>
      </c>
      <c r="M263" t="n">
        <v>0</v>
      </c>
      <c r="N263" t="n">
        <v>0</v>
      </c>
      <c r="O263" t="n">
        <v>1</v>
      </c>
      <c r="P263" t="n">
        <v>0</v>
      </c>
      <c r="Q263" t="n">
        <v>2</v>
      </c>
      <c r="R263" s="2" t="inlineStr">
        <is>
          <t>Vedskivlav
Kransrams</t>
        </is>
      </c>
      <c r="S263">
        <f>HYPERLINK("https://klasma.github.io/Logging_2305/artfynd/A 28765-2023 artfynd.xlsx", "A 28765-2023")</f>
        <v/>
      </c>
      <c r="T263">
        <f>HYPERLINK("https://klasma.github.io/Logging_2305/kartor/A 28765-2023 karta.png", "A 28765-2023")</f>
        <v/>
      </c>
      <c r="V263">
        <f>HYPERLINK("https://klasma.github.io/Logging_2305/klagomål/A 28765-2023 FSC-klagomål.docx", "A 28765-2023")</f>
        <v/>
      </c>
      <c r="W263">
        <f>HYPERLINK("https://klasma.github.io/Logging_2305/klagomålsmail/A 28765-2023 FSC-klagomål mail.docx", "A 28765-2023")</f>
        <v/>
      </c>
      <c r="X263">
        <f>HYPERLINK("https://klasma.github.io/Logging_2305/tillsyn/A 28765-2023 tillsynsbegäran.docx", "A 28765-2023")</f>
        <v/>
      </c>
      <c r="Y263">
        <f>HYPERLINK("https://klasma.github.io/Logging_2305/tillsynsmail/A 28765-2023 tillsynsbegäran mail.docx", "A 28765-2023")</f>
        <v/>
      </c>
    </row>
    <row r="264" ht="15" customHeight="1">
      <c r="A264" t="inlineStr">
        <is>
          <t>A 29333-2023</t>
        </is>
      </c>
      <c r="B264" s="1" t="n">
        <v>45105</v>
      </c>
      <c r="C264" s="1" t="n">
        <v>45847</v>
      </c>
      <c r="D264" t="inlineStr">
        <is>
          <t>JÄMTLANDS LÄN</t>
        </is>
      </c>
      <c r="E264" t="inlineStr">
        <is>
          <t>BRÄCKE</t>
        </is>
      </c>
      <c r="F264" t="inlineStr">
        <is>
          <t>SCA</t>
        </is>
      </c>
      <c r="G264" t="n">
        <v>11.8</v>
      </c>
      <c r="H264" t="n">
        <v>0</v>
      </c>
      <c r="I264" t="n">
        <v>1</v>
      </c>
      <c r="J264" t="n">
        <v>0</v>
      </c>
      <c r="K264" t="n">
        <v>1</v>
      </c>
      <c r="L264" t="n">
        <v>0</v>
      </c>
      <c r="M264" t="n">
        <v>0</v>
      </c>
      <c r="N264" t="n">
        <v>0</v>
      </c>
      <c r="O264" t="n">
        <v>1</v>
      </c>
      <c r="P264" t="n">
        <v>1</v>
      </c>
      <c r="Q264" t="n">
        <v>2</v>
      </c>
      <c r="R264" s="2" t="inlineStr">
        <is>
          <t>Smalfotad taggsvamp
Dropptaggsvamp</t>
        </is>
      </c>
      <c r="S264">
        <f>HYPERLINK("https://klasma.github.io/Logging_2305/artfynd/A 29333-2023 artfynd.xlsx", "A 29333-2023")</f>
        <v/>
      </c>
      <c r="T264">
        <f>HYPERLINK("https://klasma.github.io/Logging_2305/kartor/A 29333-2023 karta.png", "A 29333-2023")</f>
        <v/>
      </c>
      <c r="V264">
        <f>HYPERLINK("https://klasma.github.io/Logging_2305/klagomål/A 29333-2023 FSC-klagomål.docx", "A 29333-2023")</f>
        <v/>
      </c>
      <c r="W264">
        <f>HYPERLINK("https://klasma.github.io/Logging_2305/klagomålsmail/A 29333-2023 FSC-klagomål mail.docx", "A 29333-2023")</f>
        <v/>
      </c>
      <c r="X264">
        <f>HYPERLINK("https://klasma.github.io/Logging_2305/tillsyn/A 29333-2023 tillsynsbegäran.docx", "A 29333-2023")</f>
        <v/>
      </c>
      <c r="Y264">
        <f>HYPERLINK("https://klasma.github.io/Logging_2305/tillsynsmail/A 29333-2023 tillsynsbegäran mail.docx", "A 29333-2023")</f>
        <v/>
      </c>
    </row>
    <row r="265" ht="15" customHeight="1">
      <c r="A265" t="inlineStr">
        <is>
          <t>A 33874-2023</t>
        </is>
      </c>
      <c r="B265" s="1" t="n">
        <v>45133</v>
      </c>
      <c r="C265" s="1" t="n">
        <v>45847</v>
      </c>
      <c r="D265" t="inlineStr">
        <is>
          <t>JÄMTLANDS LÄN</t>
        </is>
      </c>
      <c r="E265" t="inlineStr">
        <is>
          <t>BRÄCKE</t>
        </is>
      </c>
      <c r="F265" t="inlineStr">
        <is>
          <t>SCA</t>
        </is>
      </c>
      <c r="G265" t="n">
        <v>5.8</v>
      </c>
      <c r="H265" t="n">
        <v>1</v>
      </c>
      <c r="I265" t="n">
        <v>0</v>
      </c>
      <c r="J265" t="n">
        <v>1</v>
      </c>
      <c r="K265" t="n">
        <v>0</v>
      </c>
      <c r="L265" t="n">
        <v>0</v>
      </c>
      <c r="M265" t="n">
        <v>0</v>
      </c>
      <c r="N265" t="n">
        <v>0</v>
      </c>
      <c r="O265" t="n">
        <v>1</v>
      </c>
      <c r="P265" t="n">
        <v>0</v>
      </c>
      <c r="Q265" t="n">
        <v>2</v>
      </c>
      <c r="R265" s="2" t="inlineStr">
        <is>
          <t>Ullticka
Kungsfågel</t>
        </is>
      </c>
      <c r="S265">
        <f>HYPERLINK("https://klasma.github.io/Logging_2305/artfynd/A 33874-2023 artfynd.xlsx", "A 33874-2023")</f>
        <v/>
      </c>
      <c r="T265">
        <f>HYPERLINK("https://klasma.github.io/Logging_2305/kartor/A 33874-2023 karta.png", "A 33874-2023")</f>
        <v/>
      </c>
      <c r="V265">
        <f>HYPERLINK("https://klasma.github.io/Logging_2305/klagomål/A 33874-2023 FSC-klagomål.docx", "A 33874-2023")</f>
        <v/>
      </c>
      <c r="W265">
        <f>HYPERLINK("https://klasma.github.io/Logging_2305/klagomålsmail/A 33874-2023 FSC-klagomål mail.docx", "A 33874-2023")</f>
        <v/>
      </c>
      <c r="X265">
        <f>HYPERLINK("https://klasma.github.io/Logging_2305/tillsyn/A 33874-2023 tillsynsbegäran.docx", "A 33874-2023")</f>
        <v/>
      </c>
      <c r="Y265">
        <f>HYPERLINK("https://klasma.github.io/Logging_2305/tillsynsmail/A 33874-2023 tillsynsbegäran mail.docx", "A 33874-2023")</f>
        <v/>
      </c>
      <c r="Z265">
        <f>HYPERLINK("https://klasma.github.io/Logging_2305/fåglar/A 33874-2023 prioriterade fågelarter.docx", "A 33874-2023")</f>
        <v/>
      </c>
    </row>
    <row r="266" ht="15" customHeight="1">
      <c r="A266" t="inlineStr">
        <is>
          <t>A 40401-2023</t>
        </is>
      </c>
      <c r="B266" s="1" t="n">
        <v>45169</v>
      </c>
      <c r="C266" s="1" t="n">
        <v>45847</v>
      </c>
      <c r="D266" t="inlineStr">
        <is>
          <t>JÄMTLANDS LÄN</t>
        </is>
      </c>
      <c r="E266" t="inlineStr">
        <is>
          <t>BRÄCKE</t>
        </is>
      </c>
      <c r="F266" t="inlineStr">
        <is>
          <t>SCA</t>
        </is>
      </c>
      <c r="G266" t="n">
        <v>2</v>
      </c>
      <c r="H266" t="n">
        <v>0</v>
      </c>
      <c r="I266" t="n">
        <v>1</v>
      </c>
      <c r="J266" t="n">
        <v>1</v>
      </c>
      <c r="K266" t="n">
        <v>0</v>
      </c>
      <c r="L266" t="n">
        <v>0</v>
      </c>
      <c r="M266" t="n">
        <v>0</v>
      </c>
      <c r="N266" t="n">
        <v>0</v>
      </c>
      <c r="O266" t="n">
        <v>1</v>
      </c>
      <c r="P266" t="n">
        <v>0</v>
      </c>
      <c r="Q266" t="n">
        <v>2</v>
      </c>
      <c r="R266" s="2" t="inlineStr">
        <is>
          <t>Ullticka
Dropptaggsvamp</t>
        </is>
      </c>
      <c r="S266">
        <f>HYPERLINK("https://klasma.github.io/Logging_2305/artfynd/A 40401-2023 artfynd.xlsx", "A 40401-2023")</f>
        <v/>
      </c>
      <c r="T266">
        <f>HYPERLINK("https://klasma.github.io/Logging_2305/kartor/A 40401-2023 karta.png", "A 40401-2023")</f>
        <v/>
      </c>
      <c r="V266">
        <f>HYPERLINK("https://klasma.github.io/Logging_2305/klagomål/A 40401-2023 FSC-klagomål.docx", "A 40401-2023")</f>
        <v/>
      </c>
      <c r="W266">
        <f>HYPERLINK("https://klasma.github.io/Logging_2305/klagomålsmail/A 40401-2023 FSC-klagomål mail.docx", "A 40401-2023")</f>
        <v/>
      </c>
      <c r="X266">
        <f>HYPERLINK("https://klasma.github.io/Logging_2305/tillsyn/A 40401-2023 tillsynsbegäran.docx", "A 40401-2023")</f>
        <v/>
      </c>
      <c r="Y266">
        <f>HYPERLINK("https://klasma.github.io/Logging_2305/tillsynsmail/A 40401-2023 tillsynsbegäran mail.docx", "A 40401-2023")</f>
        <v/>
      </c>
    </row>
    <row r="267" ht="15" customHeight="1">
      <c r="A267" t="inlineStr">
        <is>
          <t>A 43127-2023</t>
        </is>
      </c>
      <c r="B267" s="1" t="n">
        <v>45182</v>
      </c>
      <c r="C267" s="1" t="n">
        <v>45847</v>
      </c>
      <c r="D267" t="inlineStr">
        <is>
          <t>JÄMTLANDS LÄN</t>
        </is>
      </c>
      <c r="E267" t="inlineStr">
        <is>
          <t>BRÄCKE</t>
        </is>
      </c>
      <c r="F267" t="inlineStr">
        <is>
          <t>Naturvårdsverket</t>
        </is>
      </c>
      <c r="G267" t="n">
        <v>1.7</v>
      </c>
      <c r="H267" t="n">
        <v>0</v>
      </c>
      <c r="I267" t="n">
        <v>0</v>
      </c>
      <c r="J267" t="n">
        <v>2</v>
      </c>
      <c r="K267" t="n">
        <v>0</v>
      </c>
      <c r="L267" t="n">
        <v>0</v>
      </c>
      <c r="M267" t="n">
        <v>0</v>
      </c>
      <c r="N267" t="n">
        <v>0</v>
      </c>
      <c r="O267" t="n">
        <v>2</v>
      </c>
      <c r="P267" t="n">
        <v>0</v>
      </c>
      <c r="Q267" t="n">
        <v>2</v>
      </c>
      <c r="R267" s="2" t="inlineStr">
        <is>
          <t>Granticka
Vedskivlav</t>
        </is>
      </c>
      <c r="S267">
        <f>HYPERLINK("https://klasma.github.io/Logging_2305/artfynd/A 43127-2023 artfynd.xlsx", "A 43127-2023")</f>
        <v/>
      </c>
      <c r="T267">
        <f>HYPERLINK("https://klasma.github.io/Logging_2305/kartor/A 43127-2023 karta.png", "A 43127-2023")</f>
        <v/>
      </c>
      <c r="V267">
        <f>HYPERLINK("https://klasma.github.io/Logging_2305/klagomål/A 43127-2023 FSC-klagomål.docx", "A 43127-2023")</f>
        <v/>
      </c>
      <c r="W267">
        <f>HYPERLINK("https://klasma.github.io/Logging_2305/klagomålsmail/A 43127-2023 FSC-klagomål mail.docx", "A 43127-2023")</f>
        <v/>
      </c>
      <c r="X267">
        <f>HYPERLINK("https://klasma.github.io/Logging_2305/tillsyn/A 43127-2023 tillsynsbegäran.docx", "A 43127-2023")</f>
        <v/>
      </c>
      <c r="Y267">
        <f>HYPERLINK("https://klasma.github.io/Logging_2305/tillsynsmail/A 43127-2023 tillsynsbegäran mail.docx", "A 43127-2023")</f>
        <v/>
      </c>
    </row>
    <row r="268" ht="15" customHeight="1">
      <c r="A268" t="inlineStr">
        <is>
          <t>A 45012-2023</t>
        </is>
      </c>
      <c r="B268" s="1" t="n">
        <v>45190</v>
      </c>
      <c r="C268" s="1" t="n">
        <v>45847</v>
      </c>
      <c r="D268" t="inlineStr">
        <is>
          <t>JÄMTLANDS LÄN</t>
        </is>
      </c>
      <c r="E268" t="inlineStr">
        <is>
          <t>BRÄCKE</t>
        </is>
      </c>
      <c r="G268" t="n">
        <v>2.6</v>
      </c>
      <c r="H268" t="n">
        <v>0</v>
      </c>
      <c r="I268" t="n">
        <v>1</v>
      </c>
      <c r="J268" t="n">
        <v>1</v>
      </c>
      <c r="K268" t="n">
        <v>0</v>
      </c>
      <c r="L268" t="n">
        <v>0</v>
      </c>
      <c r="M268" t="n">
        <v>0</v>
      </c>
      <c r="N268" t="n">
        <v>0</v>
      </c>
      <c r="O268" t="n">
        <v>1</v>
      </c>
      <c r="P268" t="n">
        <v>0</v>
      </c>
      <c r="Q268" t="n">
        <v>2</v>
      </c>
      <c r="R268" s="2" t="inlineStr">
        <is>
          <t>Dvärgbägarlav
Skinnlav</t>
        </is>
      </c>
      <c r="S268">
        <f>HYPERLINK("https://klasma.github.io/Logging_2305/artfynd/A 45012-2023 artfynd.xlsx", "A 45012-2023")</f>
        <v/>
      </c>
      <c r="T268">
        <f>HYPERLINK("https://klasma.github.io/Logging_2305/kartor/A 45012-2023 karta.png", "A 45012-2023")</f>
        <v/>
      </c>
      <c r="V268">
        <f>HYPERLINK("https://klasma.github.io/Logging_2305/klagomål/A 45012-2023 FSC-klagomål.docx", "A 45012-2023")</f>
        <v/>
      </c>
      <c r="W268">
        <f>HYPERLINK("https://klasma.github.io/Logging_2305/klagomålsmail/A 45012-2023 FSC-klagomål mail.docx", "A 45012-2023")</f>
        <v/>
      </c>
      <c r="X268">
        <f>HYPERLINK("https://klasma.github.io/Logging_2305/tillsyn/A 45012-2023 tillsynsbegäran.docx", "A 45012-2023")</f>
        <v/>
      </c>
      <c r="Y268">
        <f>HYPERLINK("https://klasma.github.io/Logging_2305/tillsynsmail/A 45012-2023 tillsynsbegäran mail.docx", "A 45012-2023")</f>
        <v/>
      </c>
    </row>
    <row r="269" ht="15" customHeight="1">
      <c r="A269" t="inlineStr">
        <is>
          <t>A 44993-2023</t>
        </is>
      </c>
      <c r="B269" s="1" t="n">
        <v>45190</v>
      </c>
      <c r="C269" s="1" t="n">
        <v>45847</v>
      </c>
      <c r="D269" t="inlineStr">
        <is>
          <t>JÄMTLANDS LÄN</t>
        </is>
      </c>
      <c r="E269" t="inlineStr">
        <is>
          <t>BRÄCKE</t>
        </is>
      </c>
      <c r="F269" t="inlineStr">
        <is>
          <t>Naturvårdsverket</t>
        </is>
      </c>
      <c r="G269" t="n">
        <v>7.1</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44993-2023 artfynd.xlsx", "A 44993-2023")</f>
        <v/>
      </c>
      <c r="T269">
        <f>HYPERLINK("https://klasma.github.io/Logging_2305/kartor/A 44993-2023 karta.png", "A 44993-2023")</f>
        <v/>
      </c>
      <c r="V269">
        <f>HYPERLINK("https://klasma.github.io/Logging_2305/klagomål/A 44993-2023 FSC-klagomål.docx", "A 44993-2023")</f>
        <v/>
      </c>
      <c r="W269">
        <f>HYPERLINK("https://klasma.github.io/Logging_2305/klagomålsmail/A 44993-2023 FSC-klagomål mail.docx", "A 44993-2023")</f>
        <v/>
      </c>
      <c r="X269">
        <f>HYPERLINK("https://klasma.github.io/Logging_2305/tillsyn/A 44993-2023 tillsynsbegäran.docx", "A 44993-2023")</f>
        <v/>
      </c>
      <c r="Y269">
        <f>HYPERLINK("https://klasma.github.io/Logging_2305/tillsynsmail/A 44993-2023 tillsynsbegäran mail.docx", "A 44993-2023")</f>
        <v/>
      </c>
    </row>
    <row r="270" ht="15" customHeight="1">
      <c r="A270" t="inlineStr">
        <is>
          <t>A 47295-2023</t>
        </is>
      </c>
      <c r="B270" s="1" t="n">
        <v>45196</v>
      </c>
      <c r="C270" s="1" t="n">
        <v>45847</v>
      </c>
      <c r="D270" t="inlineStr">
        <is>
          <t>JÄMTLANDS LÄN</t>
        </is>
      </c>
      <c r="E270" t="inlineStr">
        <is>
          <t>BRÄCKE</t>
        </is>
      </c>
      <c r="F270" t="inlineStr">
        <is>
          <t>SCA</t>
        </is>
      </c>
      <c r="G270" t="n">
        <v>11.4</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47295-2023 artfynd.xlsx", "A 47295-2023")</f>
        <v/>
      </c>
      <c r="T270">
        <f>HYPERLINK("https://klasma.github.io/Logging_2305/kartor/A 47295-2023 karta.png", "A 47295-2023")</f>
        <v/>
      </c>
      <c r="U270">
        <f>HYPERLINK("https://klasma.github.io/Logging_2305/knärot/A 47295-2023 karta knärot.png", "A 47295-2023")</f>
        <v/>
      </c>
      <c r="V270">
        <f>HYPERLINK("https://klasma.github.io/Logging_2305/klagomål/A 47295-2023 FSC-klagomål.docx", "A 47295-2023")</f>
        <v/>
      </c>
      <c r="W270">
        <f>HYPERLINK("https://klasma.github.io/Logging_2305/klagomålsmail/A 47295-2023 FSC-klagomål mail.docx", "A 47295-2023")</f>
        <v/>
      </c>
      <c r="X270">
        <f>HYPERLINK("https://klasma.github.io/Logging_2305/tillsyn/A 47295-2023 tillsynsbegäran.docx", "A 47295-2023")</f>
        <v/>
      </c>
      <c r="Y270">
        <f>HYPERLINK("https://klasma.github.io/Logging_2305/tillsynsmail/A 47295-2023 tillsynsbegäran mail.docx", "A 47295-2023")</f>
        <v/>
      </c>
    </row>
    <row r="271" ht="15" customHeight="1">
      <c r="A271" t="inlineStr">
        <is>
          <t>A 47498-2023</t>
        </is>
      </c>
      <c r="B271" s="1" t="n">
        <v>45202</v>
      </c>
      <c r="C271" s="1" t="n">
        <v>45847</v>
      </c>
      <c r="D271" t="inlineStr">
        <is>
          <t>JÄMTLANDS LÄN</t>
        </is>
      </c>
      <c r="E271" t="inlineStr">
        <is>
          <t>BRÄCKE</t>
        </is>
      </c>
      <c r="F271" t="inlineStr">
        <is>
          <t>SCA</t>
        </is>
      </c>
      <c r="G271" t="n">
        <v>6.1</v>
      </c>
      <c r="H271" t="n">
        <v>1</v>
      </c>
      <c r="I271" t="n">
        <v>1</v>
      </c>
      <c r="J271" t="n">
        <v>0</v>
      </c>
      <c r="K271" t="n">
        <v>1</v>
      </c>
      <c r="L271" t="n">
        <v>0</v>
      </c>
      <c r="M271" t="n">
        <v>0</v>
      </c>
      <c r="N271" t="n">
        <v>0</v>
      </c>
      <c r="O271" t="n">
        <v>1</v>
      </c>
      <c r="P271" t="n">
        <v>1</v>
      </c>
      <c r="Q271" t="n">
        <v>2</v>
      </c>
      <c r="R271" s="2" t="inlineStr">
        <is>
          <t>Bandnate
Guckusko</t>
        </is>
      </c>
      <c r="S271">
        <f>HYPERLINK("https://klasma.github.io/Logging_2305/artfynd/A 47498-2023 artfynd.xlsx", "A 47498-2023")</f>
        <v/>
      </c>
      <c r="T271">
        <f>HYPERLINK("https://klasma.github.io/Logging_2305/kartor/A 47498-2023 karta.png", "A 47498-2023")</f>
        <v/>
      </c>
      <c r="V271">
        <f>HYPERLINK("https://klasma.github.io/Logging_2305/klagomål/A 47498-2023 FSC-klagomål.docx", "A 47498-2023")</f>
        <v/>
      </c>
      <c r="W271">
        <f>HYPERLINK("https://klasma.github.io/Logging_2305/klagomålsmail/A 47498-2023 FSC-klagomål mail.docx", "A 47498-2023")</f>
        <v/>
      </c>
      <c r="X271">
        <f>HYPERLINK("https://klasma.github.io/Logging_2305/tillsyn/A 47498-2023 tillsynsbegäran.docx", "A 47498-2023")</f>
        <v/>
      </c>
      <c r="Y271">
        <f>HYPERLINK("https://klasma.github.io/Logging_2305/tillsynsmail/A 47498-2023 tillsynsbegäran mail.docx", "A 47498-2023")</f>
        <v/>
      </c>
    </row>
    <row r="272" ht="15" customHeight="1">
      <c r="A272" t="inlineStr">
        <is>
          <t>A 48780-2023</t>
        </is>
      </c>
      <c r="B272" s="1" t="n">
        <v>45208</v>
      </c>
      <c r="C272" s="1" t="n">
        <v>45847</v>
      </c>
      <c r="D272" t="inlineStr">
        <is>
          <t>JÄMTLANDS LÄN</t>
        </is>
      </c>
      <c r="E272" t="inlineStr">
        <is>
          <t>BRÄCKE</t>
        </is>
      </c>
      <c r="F272" t="inlineStr">
        <is>
          <t>Naturvårdsverket</t>
        </is>
      </c>
      <c r="G272" t="n">
        <v>11.2</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48780-2023 artfynd.xlsx", "A 48780-2023")</f>
        <v/>
      </c>
      <c r="T272">
        <f>HYPERLINK("https://klasma.github.io/Logging_2305/kartor/A 48780-2023 karta.png", "A 48780-2023")</f>
        <v/>
      </c>
      <c r="V272">
        <f>HYPERLINK("https://klasma.github.io/Logging_2305/klagomål/A 48780-2023 FSC-klagomål.docx", "A 48780-2023")</f>
        <v/>
      </c>
      <c r="W272">
        <f>HYPERLINK("https://klasma.github.io/Logging_2305/klagomålsmail/A 48780-2023 FSC-klagomål mail.docx", "A 48780-2023")</f>
        <v/>
      </c>
      <c r="X272">
        <f>HYPERLINK("https://klasma.github.io/Logging_2305/tillsyn/A 48780-2023 tillsynsbegäran.docx", "A 48780-2023")</f>
        <v/>
      </c>
      <c r="Y272">
        <f>HYPERLINK("https://klasma.github.io/Logging_2305/tillsynsmail/A 48780-2023 tillsynsbegäran mail.docx", "A 48780-2023")</f>
        <v/>
      </c>
    </row>
    <row r="273" ht="15" customHeight="1">
      <c r="A273" t="inlineStr">
        <is>
          <t>A 49328-2023</t>
        </is>
      </c>
      <c r="B273" s="1" t="n">
        <v>45210</v>
      </c>
      <c r="C273" s="1" t="n">
        <v>45847</v>
      </c>
      <c r="D273" t="inlineStr">
        <is>
          <t>JÄMTLANDS LÄN</t>
        </is>
      </c>
      <c r="E273" t="inlineStr">
        <is>
          <t>BRÄCKE</t>
        </is>
      </c>
      <c r="F273" t="inlineStr">
        <is>
          <t>SCA</t>
        </is>
      </c>
      <c r="G273" t="n">
        <v>3.2</v>
      </c>
      <c r="H273" t="n">
        <v>0</v>
      </c>
      <c r="I273" t="n">
        <v>0</v>
      </c>
      <c r="J273" t="n">
        <v>2</v>
      </c>
      <c r="K273" t="n">
        <v>0</v>
      </c>
      <c r="L273" t="n">
        <v>0</v>
      </c>
      <c r="M273" t="n">
        <v>0</v>
      </c>
      <c r="N273" t="n">
        <v>0</v>
      </c>
      <c r="O273" t="n">
        <v>2</v>
      </c>
      <c r="P273" t="n">
        <v>0</v>
      </c>
      <c r="Q273" t="n">
        <v>2</v>
      </c>
      <c r="R273" s="2" t="inlineStr">
        <is>
          <t>Rosenticka
Ullticka</t>
        </is>
      </c>
      <c r="S273">
        <f>HYPERLINK("https://klasma.github.io/Logging_2305/artfynd/A 49328-2023 artfynd.xlsx", "A 49328-2023")</f>
        <v/>
      </c>
      <c r="T273">
        <f>HYPERLINK("https://klasma.github.io/Logging_2305/kartor/A 49328-2023 karta.png", "A 49328-2023")</f>
        <v/>
      </c>
      <c r="V273">
        <f>HYPERLINK("https://klasma.github.io/Logging_2305/klagomål/A 49328-2023 FSC-klagomål.docx", "A 49328-2023")</f>
        <v/>
      </c>
      <c r="W273">
        <f>HYPERLINK("https://klasma.github.io/Logging_2305/klagomålsmail/A 49328-2023 FSC-klagomål mail.docx", "A 49328-2023")</f>
        <v/>
      </c>
      <c r="X273">
        <f>HYPERLINK("https://klasma.github.io/Logging_2305/tillsyn/A 49328-2023 tillsynsbegäran.docx", "A 49328-2023")</f>
        <v/>
      </c>
      <c r="Y273">
        <f>HYPERLINK("https://klasma.github.io/Logging_2305/tillsynsmail/A 49328-2023 tillsynsbegäran mail.docx", "A 49328-2023")</f>
        <v/>
      </c>
    </row>
    <row r="274" ht="15" customHeight="1">
      <c r="A274" t="inlineStr">
        <is>
          <t>A 50497-2023</t>
        </is>
      </c>
      <c r="B274" s="1" t="n">
        <v>45217</v>
      </c>
      <c r="C274" s="1" t="n">
        <v>45847</v>
      </c>
      <c r="D274" t="inlineStr">
        <is>
          <t>JÄMTLANDS LÄN</t>
        </is>
      </c>
      <c r="E274" t="inlineStr">
        <is>
          <t>BRÄCKE</t>
        </is>
      </c>
      <c r="F274" t="inlineStr">
        <is>
          <t>SCA</t>
        </is>
      </c>
      <c r="G274" t="n">
        <v>2.5</v>
      </c>
      <c r="H274" t="n">
        <v>1</v>
      </c>
      <c r="I274" t="n">
        <v>1</v>
      </c>
      <c r="J274" t="n">
        <v>0</v>
      </c>
      <c r="K274" t="n">
        <v>1</v>
      </c>
      <c r="L274" t="n">
        <v>0</v>
      </c>
      <c r="M274" t="n">
        <v>0</v>
      </c>
      <c r="N274" t="n">
        <v>0</v>
      </c>
      <c r="O274" t="n">
        <v>1</v>
      </c>
      <c r="P274" t="n">
        <v>1</v>
      </c>
      <c r="Q274" t="n">
        <v>2</v>
      </c>
      <c r="R274" s="2" t="inlineStr">
        <is>
          <t>Knärot
Skuggblåslav</t>
        </is>
      </c>
      <c r="S274">
        <f>HYPERLINK("https://klasma.github.io/Logging_2305/artfynd/A 50497-2023 artfynd.xlsx", "A 50497-2023")</f>
        <v/>
      </c>
      <c r="T274">
        <f>HYPERLINK("https://klasma.github.io/Logging_2305/kartor/A 50497-2023 karta.png", "A 50497-2023")</f>
        <v/>
      </c>
      <c r="U274">
        <f>HYPERLINK("https://klasma.github.io/Logging_2305/knärot/A 50497-2023 karta knärot.png", "A 50497-2023")</f>
        <v/>
      </c>
      <c r="V274">
        <f>HYPERLINK("https://klasma.github.io/Logging_2305/klagomål/A 50497-2023 FSC-klagomål.docx", "A 50497-2023")</f>
        <v/>
      </c>
      <c r="W274">
        <f>HYPERLINK("https://klasma.github.io/Logging_2305/klagomålsmail/A 50497-2023 FSC-klagomål mail.docx", "A 50497-2023")</f>
        <v/>
      </c>
      <c r="X274">
        <f>HYPERLINK("https://klasma.github.io/Logging_2305/tillsyn/A 50497-2023 tillsynsbegäran.docx", "A 50497-2023")</f>
        <v/>
      </c>
      <c r="Y274">
        <f>HYPERLINK("https://klasma.github.io/Logging_2305/tillsynsmail/A 50497-2023 tillsynsbegäran mail.docx", "A 50497-2023")</f>
        <v/>
      </c>
    </row>
    <row r="275" ht="15" customHeight="1">
      <c r="A275" t="inlineStr">
        <is>
          <t>A 51822-2023</t>
        </is>
      </c>
      <c r="B275" s="1" t="n">
        <v>45222</v>
      </c>
      <c r="C275" s="1" t="n">
        <v>45847</v>
      </c>
      <c r="D275" t="inlineStr">
        <is>
          <t>JÄMTLANDS LÄN</t>
        </is>
      </c>
      <c r="E275" t="inlineStr">
        <is>
          <t>BRÄCKE</t>
        </is>
      </c>
      <c r="F275" t="inlineStr">
        <is>
          <t>SCA</t>
        </is>
      </c>
      <c r="G275" t="n">
        <v>3</v>
      </c>
      <c r="H275" t="n">
        <v>0</v>
      </c>
      <c r="I275" t="n">
        <v>0</v>
      </c>
      <c r="J275" t="n">
        <v>2</v>
      </c>
      <c r="K275" t="n">
        <v>0</v>
      </c>
      <c r="L275" t="n">
        <v>0</v>
      </c>
      <c r="M275" t="n">
        <v>0</v>
      </c>
      <c r="N275" t="n">
        <v>0</v>
      </c>
      <c r="O275" t="n">
        <v>2</v>
      </c>
      <c r="P275" t="n">
        <v>0</v>
      </c>
      <c r="Q275" t="n">
        <v>2</v>
      </c>
      <c r="R275" s="2" t="inlineStr">
        <is>
          <t>Harticka
Ullticka</t>
        </is>
      </c>
      <c r="S275">
        <f>HYPERLINK("https://klasma.github.io/Logging_2305/artfynd/A 51822-2023 artfynd.xlsx", "A 51822-2023")</f>
        <v/>
      </c>
      <c r="T275">
        <f>HYPERLINK("https://klasma.github.io/Logging_2305/kartor/A 51822-2023 karta.png", "A 51822-2023")</f>
        <v/>
      </c>
      <c r="V275">
        <f>HYPERLINK("https://klasma.github.io/Logging_2305/klagomål/A 51822-2023 FSC-klagomål.docx", "A 51822-2023")</f>
        <v/>
      </c>
      <c r="W275">
        <f>HYPERLINK("https://klasma.github.io/Logging_2305/klagomålsmail/A 51822-2023 FSC-klagomål mail.docx", "A 51822-2023")</f>
        <v/>
      </c>
      <c r="X275">
        <f>HYPERLINK("https://klasma.github.io/Logging_2305/tillsyn/A 51822-2023 tillsynsbegäran.docx", "A 51822-2023")</f>
        <v/>
      </c>
      <c r="Y275">
        <f>HYPERLINK("https://klasma.github.io/Logging_2305/tillsynsmail/A 51822-2023 tillsynsbegäran mail.docx", "A 51822-2023")</f>
        <v/>
      </c>
    </row>
    <row r="276" ht="15" customHeight="1">
      <c r="A276" t="inlineStr">
        <is>
          <t>A 54051-2023</t>
        </is>
      </c>
      <c r="B276" s="1" t="n">
        <v>45232</v>
      </c>
      <c r="C276" s="1" t="n">
        <v>45847</v>
      </c>
      <c r="D276" t="inlineStr">
        <is>
          <t>JÄMTLANDS LÄN</t>
        </is>
      </c>
      <c r="E276" t="inlineStr">
        <is>
          <t>BRÄCKE</t>
        </is>
      </c>
      <c r="F276" t="inlineStr">
        <is>
          <t>SCA</t>
        </is>
      </c>
      <c r="G276" t="n">
        <v>2.4</v>
      </c>
      <c r="H276" t="n">
        <v>0</v>
      </c>
      <c r="I276" t="n">
        <v>0</v>
      </c>
      <c r="J276" t="n">
        <v>2</v>
      </c>
      <c r="K276" t="n">
        <v>0</v>
      </c>
      <c r="L276" t="n">
        <v>0</v>
      </c>
      <c r="M276" t="n">
        <v>0</v>
      </c>
      <c r="N276" t="n">
        <v>0</v>
      </c>
      <c r="O276" t="n">
        <v>2</v>
      </c>
      <c r="P276" t="n">
        <v>0</v>
      </c>
      <c r="Q276" t="n">
        <v>2</v>
      </c>
      <c r="R276" s="2" t="inlineStr">
        <is>
          <t>Blå taggsvamp
Skrovlig taggsvamp</t>
        </is>
      </c>
      <c r="S276">
        <f>HYPERLINK("https://klasma.github.io/Logging_2305/artfynd/A 54051-2023 artfynd.xlsx", "A 54051-2023")</f>
        <v/>
      </c>
      <c r="T276">
        <f>HYPERLINK("https://klasma.github.io/Logging_2305/kartor/A 54051-2023 karta.png", "A 54051-2023")</f>
        <v/>
      </c>
      <c r="V276">
        <f>HYPERLINK("https://klasma.github.io/Logging_2305/klagomål/A 54051-2023 FSC-klagomål.docx", "A 54051-2023")</f>
        <v/>
      </c>
      <c r="W276">
        <f>HYPERLINK("https://klasma.github.io/Logging_2305/klagomålsmail/A 54051-2023 FSC-klagomål mail.docx", "A 54051-2023")</f>
        <v/>
      </c>
      <c r="X276">
        <f>HYPERLINK("https://klasma.github.io/Logging_2305/tillsyn/A 54051-2023 tillsynsbegäran.docx", "A 54051-2023")</f>
        <v/>
      </c>
      <c r="Y276">
        <f>HYPERLINK("https://klasma.github.io/Logging_2305/tillsynsmail/A 54051-2023 tillsynsbegäran mail.docx", "A 54051-2023")</f>
        <v/>
      </c>
    </row>
    <row r="277" ht="15" customHeight="1">
      <c r="A277" t="inlineStr">
        <is>
          <t>A 55343-2023</t>
        </is>
      </c>
      <c r="B277" s="1" t="n">
        <v>45237</v>
      </c>
      <c r="C277" s="1" t="n">
        <v>45847</v>
      </c>
      <c r="D277" t="inlineStr">
        <is>
          <t>JÄMTLANDS LÄN</t>
        </is>
      </c>
      <c r="E277" t="inlineStr">
        <is>
          <t>BRÄCKE</t>
        </is>
      </c>
      <c r="F277" t="inlineStr">
        <is>
          <t>Kyrkan</t>
        </is>
      </c>
      <c r="G277" t="n">
        <v>12</v>
      </c>
      <c r="H277" t="n">
        <v>1</v>
      </c>
      <c r="I277" t="n">
        <v>0</v>
      </c>
      <c r="J277" t="n">
        <v>1</v>
      </c>
      <c r="K277" t="n">
        <v>1</v>
      </c>
      <c r="L277" t="n">
        <v>0</v>
      </c>
      <c r="M277" t="n">
        <v>0</v>
      </c>
      <c r="N277" t="n">
        <v>0</v>
      </c>
      <c r="O277" t="n">
        <v>2</v>
      </c>
      <c r="P277" t="n">
        <v>1</v>
      </c>
      <c r="Q277" t="n">
        <v>2</v>
      </c>
      <c r="R277" s="2" t="inlineStr">
        <is>
          <t>Doftticka
Lunglav</t>
        </is>
      </c>
      <c r="S277">
        <f>HYPERLINK("https://klasma.github.io/Logging_2305/artfynd/A 55343-2023 artfynd.xlsx", "A 55343-2023")</f>
        <v/>
      </c>
      <c r="T277">
        <f>HYPERLINK("https://klasma.github.io/Logging_2305/kartor/A 55343-2023 karta.png", "A 55343-2023")</f>
        <v/>
      </c>
      <c r="V277">
        <f>HYPERLINK("https://klasma.github.io/Logging_2305/klagomål/A 55343-2023 FSC-klagomål.docx", "A 55343-2023")</f>
        <v/>
      </c>
      <c r="W277">
        <f>HYPERLINK("https://klasma.github.io/Logging_2305/klagomålsmail/A 55343-2023 FSC-klagomål mail.docx", "A 55343-2023")</f>
        <v/>
      </c>
      <c r="X277">
        <f>HYPERLINK("https://klasma.github.io/Logging_2305/tillsyn/A 55343-2023 tillsynsbegäran.docx", "A 55343-2023")</f>
        <v/>
      </c>
      <c r="Y277">
        <f>HYPERLINK("https://klasma.github.io/Logging_2305/tillsynsmail/A 55343-2023 tillsynsbegäran mail.docx", "A 55343-2023")</f>
        <v/>
      </c>
    </row>
    <row r="278" ht="15" customHeight="1">
      <c r="A278" t="inlineStr">
        <is>
          <t>A 57075-2023</t>
        </is>
      </c>
      <c r="B278" s="1" t="n">
        <v>45245</v>
      </c>
      <c r="C278" s="1" t="n">
        <v>45847</v>
      </c>
      <c r="D278" t="inlineStr">
        <is>
          <t>JÄMTLANDS LÄN</t>
        </is>
      </c>
      <c r="E278" t="inlineStr">
        <is>
          <t>BRÄCKE</t>
        </is>
      </c>
      <c r="F278" t="inlineStr">
        <is>
          <t>SCA</t>
        </is>
      </c>
      <c r="G278" t="n">
        <v>7.5</v>
      </c>
      <c r="H278" t="n">
        <v>1</v>
      </c>
      <c r="I278" t="n">
        <v>1</v>
      </c>
      <c r="J278" t="n">
        <v>0</v>
      </c>
      <c r="K278" t="n">
        <v>0</v>
      </c>
      <c r="L278" t="n">
        <v>0</v>
      </c>
      <c r="M278" t="n">
        <v>0</v>
      </c>
      <c r="N278" t="n">
        <v>0</v>
      </c>
      <c r="O278" t="n">
        <v>0</v>
      </c>
      <c r="P278" t="n">
        <v>0</v>
      </c>
      <c r="Q278" t="n">
        <v>2</v>
      </c>
      <c r="R278" s="2" t="inlineStr">
        <is>
          <t>Stor aspticka
Gråspett</t>
        </is>
      </c>
      <c r="S278">
        <f>HYPERLINK("https://klasma.github.io/Logging_2305/artfynd/A 57075-2023 artfynd.xlsx", "A 57075-2023")</f>
        <v/>
      </c>
      <c r="T278">
        <f>HYPERLINK("https://klasma.github.io/Logging_2305/kartor/A 57075-2023 karta.png", "A 57075-2023")</f>
        <v/>
      </c>
      <c r="V278">
        <f>HYPERLINK("https://klasma.github.io/Logging_2305/klagomål/A 57075-2023 FSC-klagomål.docx", "A 57075-2023")</f>
        <v/>
      </c>
      <c r="W278">
        <f>HYPERLINK("https://klasma.github.io/Logging_2305/klagomålsmail/A 57075-2023 FSC-klagomål mail.docx", "A 57075-2023")</f>
        <v/>
      </c>
      <c r="X278">
        <f>HYPERLINK("https://klasma.github.io/Logging_2305/tillsyn/A 57075-2023 tillsynsbegäran.docx", "A 57075-2023")</f>
        <v/>
      </c>
      <c r="Y278">
        <f>HYPERLINK("https://klasma.github.io/Logging_2305/tillsynsmail/A 57075-2023 tillsynsbegäran mail.docx", "A 57075-2023")</f>
        <v/>
      </c>
      <c r="Z278">
        <f>HYPERLINK("https://klasma.github.io/Logging_2305/fåglar/A 57075-2023 prioriterade fågelarter.docx", "A 57075-2023")</f>
        <v/>
      </c>
    </row>
    <row r="279" ht="15" customHeight="1">
      <c r="A279" t="inlineStr">
        <is>
          <t>A 59667-2023</t>
        </is>
      </c>
      <c r="B279" s="1" t="n">
        <v>45255</v>
      </c>
      <c r="C279" s="1" t="n">
        <v>45847</v>
      </c>
      <c r="D279" t="inlineStr">
        <is>
          <t>JÄMTLANDS LÄN</t>
        </is>
      </c>
      <c r="E279" t="inlineStr">
        <is>
          <t>BRÄCKE</t>
        </is>
      </c>
      <c r="F279" t="inlineStr">
        <is>
          <t>SCA</t>
        </is>
      </c>
      <c r="G279" t="n">
        <v>6.4</v>
      </c>
      <c r="H279" t="n">
        <v>0</v>
      </c>
      <c r="I279" t="n">
        <v>1</v>
      </c>
      <c r="J279" t="n">
        <v>1</v>
      </c>
      <c r="K279" t="n">
        <v>0</v>
      </c>
      <c r="L279" t="n">
        <v>0</v>
      </c>
      <c r="M279" t="n">
        <v>0</v>
      </c>
      <c r="N279" t="n">
        <v>0</v>
      </c>
      <c r="O279" t="n">
        <v>1</v>
      </c>
      <c r="P279" t="n">
        <v>0</v>
      </c>
      <c r="Q279" t="n">
        <v>2</v>
      </c>
      <c r="R279" s="2" t="inlineStr">
        <is>
          <t>Vitgrynig nållav
Kransrams</t>
        </is>
      </c>
      <c r="S279">
        <f>HYPERLINK("https://klasma.github.io/Logging_2305/artfynd/A 59667-2023 artfynd.xlsx", "A 59667-2023")</f>
        <v/>
      </c>
      <c r="T279">
        <f>HYPERLINK("https://klasma.github.io/Logging_2305/kartor/A 59667-2023 karta.png", "A 59667-2023")</f>
        <v/>
      </c>
      <c r="V279">
        <f>HYPERLINK("https://klasma.github.io/Logging_2305/klagomål/A 59667-2023 FSC-klagomål.docx", "A 59667-2023")</f>
        <v/>
      </c>
      <c r="W279">
        <f>HYPERLINK("https://klasma.github.io/Logging_2305/klagomålsmail/A 59667-2023 FSC-klagomål mail.docx", "A 59667-2023")</f>
        <v/>
      </c>
      <c r="X279">
        <f>HYPERLINK("https://klasma.github.io/Logging_2305/tillsyn/A 59667-2023 tillsynsbegäran.docx", "A 59667-2023")</f>
        <v/>
      </c>
      <c r="Y279">
        <f>HYPERLINK("https://klasma.github.io/Logging_2305/tillsynsmail/A 59667-2023 tillsynsbegäran mail.docx", "A 59667-2023")</f>
        <v/>
      </c>
    </row>
    <row r="280" ht="15" customHeight="1">
      <c r="A280" t="inlineStr">
        <is>
          <t>A 6903-2024</t>
        </is>
      </c>
      <c r="B280" s="1" t="n">
        <v>45342</v>
      </c>
      <c r="C280" s="1" t="n">
        <v>45847</v>
      </c>
      <c r="D280" t="inlineStr">
        <is>
          <t>JÄMTLANDS LÄN</t>
        </is>
      </c>
      <c r="E280" t="inlineStr">
        <is>
          <t>BRÄCKE</t>
        </is>
      </c>
      <c r="F280" t="inlineStr">
        <is>
          <t>SCA</t>
        </is>
      </c>
      <c r="G280" t="n">
        <v>5.9</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6903-2024 artfynd.xlsx", "A 6903-2024")</f>
        <v/>
      </c>
      <c r="T280">
        <f>HYPERLINK("https://klasma.github.io/Logging_2305/kartor/A 6903-2024 karta.png", "A 6903-2024")</f>
        <v/>
      </c>
      <c r="U280">
        <f>HYPERLINK("https://klasma.github.io/Logging_2305/knärot/A 6903-2024 karta knärot.png", "A 6903-2024")</f>
        <v/>
      </c>
      <c r="V280">
        <f>HYPERLINK("https://klasma.github.io/Logging_2305/klagomål/A 6903-2024 FSC-klagomål.docx", "A 6903-2024")</f>
        <v/>
      </c>
      <c r="W280">
        <f>HYPERLINK("https://klasma.github.io/Logging_2305/klagomålsmail/A 6903-2024 FSC-klagomål mail.docx", "A 6903-2024")</f>
        <v/>
      </c>
      <c r="X280">
        <f>HYPERLINK("https://klasma.github.io/Logging_2305/tillsyn/A 6903-2024 tillsynsbegäran.docx", "A 6903-2024")</f>
        <v/>
      </c>
      <c r="Y280">
        <f>HYPERLINK("https://klasma.github.io/Logging_2305/tillsynsmail/A 6903-2024 tillsynsbegäran mail.docx", "A 6903-2024")</f>
        <v/>
      </c>
    </row>
    <row r="281" ht="15" customHeight="1">
      <c r="A281" t="inlineStr">
        <is>
          <t>A 6906-2024</t>
        </is>
      </c>
      <c r="B281" s="1" t="n">
        <v>45342</v>
      </c>
      <c r="C281" s="1" t="n">
        <v>45847</v>
      </c>
      <c r="D281" t="inlineStr">
        <is>
          <t>JÄMTLANDS LÄN</t>
        </is>
      </c>
      <c r="E281" t="inlineStr">
        <is>
          <t>BRÄCKE</t>
        </is>
      </c>
      <c r="F281" t="inlineStr">
        <is>
          <t>SCA</t>
        </is>
      </c>
      <c r="G281" t="n">
        <v>4.1</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6906-2024 artfynd.xlsx", "A 6906-2024")</f>
        <v/>
      </c>
      <c r="T281">
        <f>HYPERLINK("https://klasma.github.io/Logging_2305/kartor/A 6906-2024 karta.png", "A 6906-2024")</f>
        <v/>
      </c>
      <c r="U281">
        <f>HYPERLINK("https://klasma.github.io/Logging_2305/knärot/A 6906-2024 karta knärot.png", "A 6906-2024")</f>
        <v/>
      </c>
      <c r="V281">
        <f>HYPERLINK("https://klasma.github.io/Logging_2305/klagomål/A 6906-2024 FSC-klagomål.docx", "A 6906-2024")</f>
        <v/>
      </c>
      <c r="W281">
        <f>HYPERLINK("https://klasma.github.io/Logging_2305/klagomålsmail/A 6906-2024 FSC-klagomål mail.docx", "A 6906-2024")</f>
        <v/>
      </c>
      <c r="X281">
        <f>HYPERLINK("https://klasma.github.io/Logging_2305/tillsyn/A 6906-2024 tillsynsbegäran.docx", "A 6906-2024")</f>
        <v/>
      </c>
      <c r="Y281">
        <f>HYPERLINK("https://klasma.github.io/Logging_2305/tillsynsmail/A 6906-2024 tillsynsbegäran mail.docx", "A 6906-2024")</f>
        <v/>
      </c>
    </row>
    <row r="282" ht="15" customHeight="1">
      <c r="A282" t="inlineStr">
        <is>
          <t>A 8248-2024</t>
        </is>
      </c>
      <c r="B282" s="1" t="n">
        <v>45351</v>
      </c>
      <c r="C282" s="1" t="n">
        <v>45847</v>
      </c>
      <c r="D282" t="inlineStr">
        <is>
          <t>JÄMTLANDS LÄN</t>
        </is>
      </c>
      <c r="E282" t="inlineStr">
        <is>
          <t>BRÄCKE</t>
        </is>
      </c>
      <c r="F282" t="inlineStr">
        <is>
          <t>SCA</t>
        </is>
      </c>
      <c r="G282" t="n">
        <v>1.8</v>
      </c>
      <c r="H282" t="n">
        <v>0</v>
      </c>
      <c r="I282" t="n">
        <v>0</v>
      </c>
      <c r="J282" t="n">
        <v>2</v>
      </c>
      <c r="K282" t="n">
        <v>0</v>
      </c>
      <c r="L282" t="n">
        <v>0</v>
      </c>
      <c r="M282" t="n">
        <v>0</v>
      </c>
      <c r="N282" t="n">
        <v>0</v>
      </c>
      <c r="O282" t="n">
        <v>2</v>
      </c>
      <c r="P282" t="n">
        <v>0</v>
      </c>
      <c r="Q282" t="n">
        <v>2</v>
      </c>
      <c r="R282" s="2" t="inlineStr">
        <is>
          <t>Rosenticka
Ullticka</t>
        </is>
      </c>
      <c r="S282">
        <f>HYPERLINK("https://klasma.github.io/Logging_2305/artfynd/A 8248-2024 artfynd.xlsx", "A 8248-2024")</f>
        <v/>
      </c>
      <c r="T282">
        <f>HYPERLINK("https://klasma.github.io/Logging_2305/kartor/A 8248-2024 karta.png", "A 8248-2024")</f>
        <v/>
      </c>
      <c r="V282">
        <f>HYPERLINK("https://klasma.github.io/Logging_2305/klagomål/A 8248-2024 FSC-klagomål.docx", "A 8248-2024")</f>
        <v/>
      </c>
      <c r="W282">
        <f>HYPERLINK("https://klasma.github.io/Logging_2305/klagomålsmail/A 8248-2024 FSC-klagomål mail.docx", "A 8248-2024")</f>
        <v/>
      </c>
      <c r="X282">
        <f>HYPERLINK("https://klasma.github.io/Logging_2305/tillsyn/A 8248-2024 tillsynsbegäran.docx", "A 8248-2024")</f>
        <v/>
      </c>
      <c r="Y282">
        <f>HYPERLINK("https://klasma.github.io/Logging_2305/tillsynsmail/A 8248-2024 tillsynsbegäran mail.docx", "A 8248-2024")</f>
        <v/>
      </c>
    </row>
    <row r="283" ht="15" customHeight="1">
      <c r="A283" t="inlineStr">
        <is>
          <t>A 12588-2024</t>
        </is>
      </c>
      <c r="B283" s="1" t="n">
        <v>45379</v>
      </c>
      <c r="C283" s="1" t="n">
        <v>45847</v>
      </c>
      <c r="D283" t="inlineStr">
        <is>
          <t>JÄMTLANDS LÄN</t>
        </is>
      </c>
      <c r="E283" t="inlineStr">
        <is>
          <t>BRÄCKE</t>
        </is>
      </c>
      <c r="F283" t="inlineStr">
        <is>
          <t>SCA</t>
        </is>
      </c>
      <c r="G283" t="n">
        <v>5.1</v>
      </c>
      <c r="H283" t="n">
        <v>0</v>
      </c>
      <c r="I283" t="n">
        <v>0</v>
      </c>
      <c r="J283" t="n">
        <v>2</v>
      </c>
      <c r="K283" t="n">
        <v>0</v>
      </c>
      <c r="L283" t="n">
        <v>0</v>
      </c>
      <c r="M283" t="n">
        <v>0</v>
      </c>
      <c r="N283" t="n">
        <v>0</v>
      </c>
      <c r="O283" t="n">
        <v>2</v>
      </c>
      <c r="P283" t="n">
        <v>0</v>
      </c>
      <c r="Q283" t="n">
        <v>2</v>
      </c>
      <c r="R283" s="2" t="inlineStr">
        <is>
          <t>Blå taggsvamp
Ullticka</t>
        </is>
      </c>
      <c r="S283">
        <f>HYPERLINK("https://klasma.github.io/Logging_2305/artfynd/A 12588-2024 artfynd.xlsx", "A 12588-2024")</f>
        <v/>
      </c>
      <c r="T283">
        <f>HYPERLINK("https://klasma.github.io/Logging_2305/kartor/A 12588-2024 karta.png", "A 12588-2024")</f>
        <v/>
      </c>
      <c r="V283">
        <f>HYPERLINK("https://klasma.github.io/Logging_2305/klagomål/A 12588-2024 FSC-klagomål.docx", "A 12588-2024")</f>
        <v/>
      </c>
      <c r="W283">
        <f>HYPERLINK("https://klasma.github.io/Logging_2305/klagomålsmail/A 12588-2024 FSC-klagomål mail.docx", "A 12588-2024")</f>
        <v/>
      </c>
      <c r="X283">
        <f>HYPERLINK("https://klasma.github.io/Logging_2305/tillsyn/A 12588-2024 tillsynsbegäran.docx", "A 12588-2024")</f>
        <v/>
      </c>
      <c r="Y283">
        <f>HYPERLINK("https://klasma.github.io/Logging_2305/tillsynsmail/A 12588-2024 tillsynsbegäran mail.docx", "A 12588-2024")</f>
        <v/>
      </c>
    </row>
    <row r="284" ht="15" customHeight="1">
      <c r="A284" t="inlineStr">
        <is>
          <t>A 12861-2024</t>
        </is>
      </c>
      <c r="B284" s="1" t="n">
        <v>45385</v>
      </c>
      <c r="C284" s="1" t="n">
        <v>45847</v>
      </c>
      <c r="D284" t="inlineStr">
        <is>
          <t>JÄMTLANDS LÄN</t>
        </is>
      </c>
      <c r="E284" t="inlineStr">
        <is>
          <t>BRÄCKE</t>
        </is>
      </c>
      <c r="F284" t="inlineStr">
        <is>
          <t>SCA</t>
        </is>
      </c>
      <c r="G284" t="n">
        <v>5.3</v>
      </c>
      <c r="H284" t="n">
        <v>0</v>
      </c>
      <c r="I284" t="n">
        <v>1</v>
      </c>
      <c r="J284" t="n">
        <v>1</v>
      </c>
      <c r="K284" t="n">
        <v>0</v>
      </c>
      <c r="L284" t="n">
        <v>0</v>
      </c>
      <c r="M284" t="n">
        <v>0</v>
      </c>
      <c r="N284" t="n">
        <v>0</v>
      </c>
      <c r="O284" t="n">
        <v>1</v>
      </c>
      <c r="P284" t="n">
        <v>0</v>
      </c>
      <c r="Q284" t="n">
        <v>2</v>
      </c>
      <c r="R284" s="2" t="inlineStr">
        <is>
          <t>Kolflarnlav
Stuplav</t>
        </is>
      </c>
      <c r="S284">
        <f>HYPERLINK("https://klasma.github.io/Logging_2305/artfynd/A 12861-2024 artfynd.xlsx", "A 12861-2024")</f>
        <v/>
      </c>
      <c r="T284">
        <f>HYPERLINK("https://klasma.github.io/Logging_2305/kartor/A 12861-2024 karta.png", "A 12861-2024")</f>
        <v/>
      </c>
      <c r="V284">
        <f>HYPERLINK("https://klasma.github.io/Logging_2305/klagomål/A 12861-2024 FSC-klagomål.docx", "A 12861-2024")</f>
        <v/>
      </c>
      <c r="W284">
        <f>HYPERLINK("https://klasma.github.io/Logging_2305/klagomålsmail/A 12861-2024 FSC-klagomål mail.docx", "A 12861-2024")</f>
        <v/>
      </c>
      <c r="X284">
        <f>HYPERLINK("https://klasma.github.io/Logging_2305/tillsyn/A 12861-2024 tillsynsbegäran.docx", "A 12861-2024")</f>
        <v/>
      </c>
      <c r="Y284">
        <f>HYPERLINK("https://klasma.github.io/Logging_2305/tillsynsmail/A 12861-2024 tillsynsbegäran mail.docx", "A 12861-2024")</f>
        <v/>
      </c>
    </row>
    <row r="285" ht="15" customHeight="1">
      <c r="A285" t="inlineStr">
        <is>
          <t>A 12860-2024</t>
        </is>
      </c>
      <c r="B285" s="1" t="n">
        <v>45385</v>
      </c>
      <c r="C285" s="1" t="n">
        <v>45847</v>
      </c>
      <c r="D285" t="inlineStr">
        <is>
          <t>JÄMTLANDS LÄN</t>
        </is>
      </c>
      <c r="E285" t="inlineStr">
        <is>
          <t>BRÄCKE</t>
        </is>
      </c>
      <c r="F285" t="inlineStr">
        <is>
          <t>SCA</t>
        </is>
      </c>
      <c r="G285" t="n">
        <v>3.5</v>
      </c>
      <c r="H285" t="n">
        <v>0</v>
      </c>
      <c r="I285" t="n">
        <v>1</v>
      </c>
      <c r="J285" t="n">
        <v>0</v>
      </c>
      <c r="K285" t="n">
        <v>1</v>
      </c>
      <c r="L285" t="n">
        <v>0</v>
      </c>
      <c r="M285" t="n">
        <v>0</v>
      </c>
      <c r="N285" t="n">
        <v>0</v>
      </c>
      <c r="O285" t="n">
        <v>1</v>
      </c>
      <c r="P285" t="n">
        <v>1</v>
      </c>
      <c r="Q285" t="n">
        <v>2</v>
      </c>
      <c r="R285" s="2" t="inlineStr">
        <is>
          <t>Gräddporing
Skinnlav</t>
        </is>
      </c>
      <c r="S285">
        <f>HYPERLINK("https://klasma.github.io/Logging_2305/artfynd/A 12860-2024 artfynd.xlsx", "A 12860-2024")</f>
        <v/>
      </c>
      <c r="T285">
        <f>HYPERLINK("https://klasma.github.io/Logging_2305/kartor/A 12860-2024 karta.png", "A 12860-2024")</f>
        <v/>
      </c>
      <c r="V285">
        <f>HYPERLINK("https://klasma.github.io/Logging_2305/klagomål/A 12860-2024 FSC-klagomål.docx", "A 12860-2024")</f>
        <v/>
      </c>
      <c r="W285">
        <f>HYPERLINK("https://klasma.github.io/Logging_2305/klagomålsmail/A 12860-2024 FSC-klagomål mail.docx", "A 12860-2024")</f>
        <v/>
      </c>
      <c r="X285">
        <f>HYPERLINK("https://klasma.github.io/Logging_2305/tillsyn/A 12860-2024 tillsynsbegäran.docx", "A 12860-2024")</f>
        <v/>
      </c>
      <c r="Y285">
        <f>HYPERLINK("https://klasma.github.io/Logging_2305/tillsynsmail/A 12860-2024 tillsynsbegäran mail.docx", "A 12860-2024")</f>
        <v/>
      </c>
    </row>
    <row r="286" ht="15" customHeight="1">
      <c r="A286" t="inlineStr">
        <is>
          <t>A 13345-2024</t>
        </is>
      </c>
      <c r="B286" s="1" t="n">
        <v>45386</v>
      </c>
      <c r="C286" s="1" t="n">
        <v>45847</v>
      </c>
      <c r="D286" t="inlineStr">
        <is>
          <t>JÄMTLANDS LÄN</t>
        </is>
      </c>
      <c r="E286" t="inlineStr">
        <is>
          <t>BRÄCKE</t>
        </is>
      </c>
      <c r="F286" t="inlineStr">
        <is>
          <t>SCA</t>
        </is>
      </c>
      <c r="G286" t="n">
        <v>5.3</v>
      </c>
      <c r="H286" t="n">
        <v>0</v>
      </c>
      <c r="I286" t="n">
        <v>1</v>
      </c>
      <c r="J286" t="n">
        <v>1</v>
      </c>
      <c r="K286" t="n">
        <v>0</v>
      </c>
      <c r="L286" t="n">
        <v>0</v>
      </c>
      <c r="M286" t="n">
        <v>0</v>
      </c>
      <c r="N286" t="n">
        <v>0</v>
      </c>
      <c r="O286" t="n">
        <v>1</v>
      </c>
      <c r="P286" t="n">
        <v>0</v>
      </c>
      <c r="Q286" t="n">
        <v>2</v>
      </c>
      <c r="R286" s="2" t="inlineStr">
        <is>
          <t>Lunglav
Dropptaggsvamp</t>
        </is>
      </c>
      <c r="S286">
        <f>HYPERLINK("https://klasma.github.io/Logging_2305/artfynd/A 13345-2024 artfynd.xlsx", "A 13345-2024")</f>
        <v/>
      </c>
      <c r="T286">
        <f>HYPERLINK("https://klasma.github.io/Logging_2305/kartor/A 13345-2024 karta.png", "A 13345-2024")</f>
        <v/>
      </c>
      <c r="V286">
        <f>HYPERLINK("https://klasma.github.io/Logging_2305/klagomål/A 13345-2024 FSC-klagomål.docx", "A 13345-2024")</f>
        <v/>
      </c>
      <c r="W286">
        <f>HYPERLINK("https://klasma.github.io/Logging_2305/klagomålsmail/A 13345-2024 FSC-klagomål mail.docx", "A 13345-2024")</f>
        <v/>
      </c>
      <c r="X286">
        <f>HYPERLINK("https://klasma.github.io/Logging_2305/tillsyn/A 13345-2024 tillsynsbegäran.docx", "A 13345-2024")</f>
        <v/>
      </c>
      <c r="Y286">
        <f>HYPERLINK("https://klasma.github.io/Logging_2305/tillsynsmail/A 13345-2024 tillsynsbegäran mail.docx", "A 13345-2024")</f>
        <v/>
      </c>
    </row>
    <row r="287" ht="15" customHeight="1">
      <c r="A287" t="inlineStr">
        <is>
          <t>A 15146-2024</t>
        </is>
      </c>
      <c r="B287" s="1" t="n">
        <v>45400</v>
      </c>
      <c r="C287" s="1" t="n">
        <v>45847</v>
      </c>
      <c r="D287" t="inlineStr">
        <is>
          <t>JÄMTLANDS LÄN</t>
        </is>
      </c>
      <c r="E287" t="inlineStr">
        <is>
          <t>BRÄCKE</t>
        </is>
      </c>
      <c r="F287" t="inlineStr">
        <is>
          <t>Naturvårdsverket</t>
        </is>
      </c>
      <c r="G287" t="n">
        <v>2.2</v>
      </c>
      <c r="H287" t="n">
        <v>0</v>
      </c>
      <c r="I287" t="n">
        <v>0</v>
      </c>
      <c r="J287" t="n">
        <v>2</v>
      </c>
      <c r="K287" t="n">
        <v>0</v>
      </c>
      <c r="L287" t="n">
        <v>0</v>
      </c>
      <c r="M287" t="n">
        <v>0</v>
      </c>
      <c r="N287" t="n">
        <v>0</v>
      </c>
      <c r="O287" t="n">
        <v>2</v>
      </c>
      <c r="P287" t="n">
        <v>0</v>
      </c>
      <c r="Q287" t="n">
        <v>2</v>
      </c>
      <c r="R287" s="2" t="inlineStr">
        <is>
          <t>Garnlav
Ullticka</t>
        </is>
      </c>
      <c r="S287">
        <f>HYPERLINK("https://klasma.github.io/Logging_2305/artfynd/A 15146-2024 artfynd.xlsx", "A 15146-2024")</f>
        <v/>
      </c>
      <c r="T287">
        <f>HYPERLINK("https://klasma.github.io/Logging_2305/kartor/A 15146-2024 karta.png", "A 15146-2024")</f>
        <v/>
      </c>
      <c r="V287">
        <f>HYPERLINK("https://klasma.github.io/Logging_2305/klagomål/A 15146-2024 FSC-klagomål.docx", "A 15146-2024")</f>
        <v/>
      </c>
      <c r="W287">
        <f>HYPERLINK("https://klasma.github.io/Logging_2305/klagomålsmail/A 15146-2024 FSC-klagomål mail.docx", "A 15146-2024")</f>
        <v/>
      </c>
      <c r="X287">
        <f>HYPERLINK("https://klasma.github.io/Logging_2305/tillsyn/A 15146-2024 tillsynsbegäran.docx", "A 15146-2024")</f>
        <v/>
      </c>
      <c r="Y287">
        <f>HYPERLINK("https://klasma.github.io/Logging_2305/tillsynsmail/A 15146-2024 tillsynsbegäran mail.docx", "A 15146-2024")</f>
        <v/>
      </c>
    </row>
    <row r="288" ht="15" customHeight="1">
      <c r="A288" t="inlineStr">
        <is>
          <t>A 15153-2024</t>
        </is>
      </c>
      <c r="B288" s="1" t="n">
        <v>45400</v>
      </c>
      <c r="C288" s="1" t="n">
        <v>45847</v>
      </c>
      <c r="D288" t="inlineStr">
        <is>
          <t>JÄMTLANDS LÄN</t>
        </is>
      </c>
      <c r="E288" t="inlineStr">
        <is>
          <t>BRÄCKE</t>
        </is>
      </c>
      <c r="F288" t="inlineStr">
        <is>
          <t>SCA</t>
        </is>
      </c>
      <c r="G288" t="n">
        <v>3.2</v>
      </c>
      <c r="H288" t="n">
        <v>0</v>
      </c>
      <c r="I288" t="n">
        <v>0</v>
      </c>
      <c r="J288" t="n">
        <v>2</v>
      </c>
      <c r="K288" t="n">
        <v>0</v>
      </c>
      <c r="L288" t="n">
        <v>0</v>
      </c>
      <c r="M288" t="n">
        <v>0</v>
      </c>
      <c r="N288" t="n">
        <v>0</v>
      </c>
      <c r="O288" t="n">
        <v>2</v>
      </c>
      <c r="P288" t="n">
        <v>0</v>
      </c>
      <c r="Q288" t="n">
        <v>2</v>
      </c>
      <c r="R288" s="2" t="inlineStr">
        <is>
          <t>Granticka
Lunglav</t>
        </is>
      </c>
      <c r="S288">
        <f>HYPERLINK("https://klasma.github.io/Logging_2305/artfynd/A 15153-2024 artfynd.xlsx", "A 15153-2024")</f>
        <v/>
      </c>
      <c r="T288">
        <f>HYPERLINK("https://klasma.github.io/Logging_2305/kartor/A 15153-2024 karta.png", "A 15153-2024")</f>
        <v/>
      </c>
      <c r="V288">
        <f>HYPERLINK("https://klasma.github.io/Logging_2305/klagomål/A 15153-2024 FSC-klagomål.docx", "A 15153-2024")</f>
        <v/>
      </c>
      <c r="W288">
        <f>HYPERLINK("https://klasma.github.io/Logging_2305/klagomålsmail/A 15153-2024 FSC-klagomål mail.docx", "A 15153-2024")</f>
        <v/>
      </c>
      <c r="X288">
        <f>HYPERLINK("https://klasma.github.io/Logging_2305/tillsyn/A 15153-2024 tillsynsbegäran.docx", "A 15153-2024")</f>
        <v/>
      </c>
      <c r="Y288">
        <f>HYPERLINK("https://klasma.github.io/Logging_2305/tillsynsmail/A 15153-2024 tillsynsbegäran mail.docx", "A 15153-2024")</f>
        <v/>
      </c>
    </row>
    <row r="289" ht="15" customHeight="1">
      <c r="A289" t="inlineStr">
        <is>
          <t>A 16245-2024</t>
        </is>
      </c>
      <c r="B289" s="1" t="n">
        <v>45407</v>
      </c>
      <c r="C289" s="1" t="n">
        <v>45847</v>
      </c>
      <c r="D289" t="inlineStr">
        <is>
          <t>JÄMTLANDS LÄN</t>
        </is>
      </c>
      <c r="E289" t="inlineStr">
        <is>
          <t>BRÄCKE</t>
        </is>
      </c>
      <c r="F289" t="inlineStr">
        <is>
          <t>SCA</t>
        </is>
      </c>
      <c r="G289" t="n">
        <v>5</v>
      </c>
      <c r="H289" t="n">
        <v>0</v>
      </c>
      <c r="I289" t="n">
        <v>0</v>
      </c>
      <c r="J289" t="n">
        <v>2</v>
      </c>
      <c r="K289" t="n">
        <v>0</v>
      </c>
      <c r="L289" t="n">
        <v>0</v>
      </c>
      <c r="M289" t="n">
        <v>0</v>
      </c>
      <c r="N289" t="n">
        <v>0</v>
      </c>
      <c r="O289" t="n">
        <v>2</v>
      </c>
      <c r="P289" t="n">
        <v>0</v>
      </c>
      <c r="Q289" t="n">
        <v>2</v>
      </c>
      <c r="R289" s="2" t="inlineStr">
        <is>
          <t>Garnlav
Lunglav</t>
        </is>
      </c>
      <c r="S289">
        <f>HYPERLINK("https://klasma.github.io/Logging_2305/artfynd/A 16245-2024 artfynd.xlsx", "A 16245-2024")</f>
        <v/>
      </c>
      <c r="T289">
        <f>HYPERLINK("https://klasma.github.io/Logging_2305/kartor/A 16245-2024 karta.png", "A 16245-2024")</f>
        <v/>
      </c>
      <c r="V289">
        <f>HYPERLINK("https://klasma.github.io/Logging_2305/klagomål/A 16245-2024 FSC-klagomål.docx", "A 16245-2024")</f>
        <v/>
      </c>
      <c r="W289">
        <f>HYPERLINK("https://klasma.github.io/Logging_2305/klagomålsmail/A 16245-2024 FSC-klagomål mail.docx", "A 16245-2024")</f>
        <v/>
      </c>
      <c r="X289">
        <f>HYPERLINK("https://klasma.github.io/Logging_2305/tillsyn/A 16245-2024 tillsynsbegäran.docx", "A 16245-2024")</f>
        <v/>
      </c>
      <c r="Y289">
        <f>HYPERLINK("https://klasma.github.io/Logging_2305/tillsynsmail/A 16245-2024 tillsynsbegäran mail.docx", "A 16245-2024")</f>
        <v/>
      </c>
    </row>
    <row r="290" ht="15" customHeight="1">
      <c r="A290" t="inlineStr">
        <is>
          <t>A 16465-2024</t>
        </is>
      </c>
      <c r="B290" s="1" t="n">
        <v>45408</v>
      </c>
      <c r="C290" s="1" t="n">
        <v>45847</v>
      </c>
      <c r="D290" t="inlineStr">
        <is>
          <t>JÄMTLANDS LÄN</t>
        </is>
      </c>
      <c r="E290" t="inlineStr">
        <is>
          <t>BRÄCKE</t>
        </is>
      </c>
      <c r="F290" t="inlineStr">
        <is>
          <t>SCA</t>
        </is>
      </c>
      <c r="G290" t="n">
        <v>6.1</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16465-2024 artfynd.xlsx", "A 16465-2024")</f>
        <v/>
      </c>
      <c r="T290">
        <f>HYPERLINK("https://klasma.github.io/Logging_2305/kartor/A 16465-2024 karta.png", "A 16465-2024")</f>
        <v/>
      </c>
      <c r="V290">
        <f>HYPERLINK("https://klasma.github.io/Logging_2305/klagomål/A 16465-2024 FSC-klagomål.docx", "A 16465-2024")</f>
        <v/>
      </c>
      <c r="W290">
        <f>HYPERLINK("https://klasma.github.io/Logging_2305/klagomålsmail/A 16465-2024 FSC-klagomål mail.docx", "A 16465-2024")</f>
        <v/>
      </c>
      <c r="X290">
        <f>HYPERLINK("https://klasma.github.io/Logging_2305/tillsyn/A 16465-2024 tillsynsbegäran.docx", "A 16465-2024")</f>
        <v/>
      </c>
      <c r="Y290">
        <f>HYPERLINK("https://klasma.github.io/Logging_2305/tillsynsmail/A 16465-2024 tillsynsbegäran mail.docx", "A 16465-2024")</f>
        <v/>
      </c>
      <c r="Z290">
        <f>HYPERLINK("https://klasma.github.io/Logging_2305/fåglar/A 16465-2024 prioriterade fågelarter.docx", "A 16465-2024")</f>
        <v/>
      </c>
    </row>
    <row r="291" ht="15" customHeight="1">
      <c r="A291" t="inlineStr">
        <is>
          <t>A 16716-2024</t>
        </is>
      </c>
      <c r="B291" s="1" t="n">
        <v>45409</v>
      </c>
      <c r="C291" s="1" t="n">
        <v>45847</v>
      </c>
      <c r="D291" t="inlineStr">
        <is>
          <t>JÄMTLANDS LÄN</t>
        </is>
      </c>
      <c r="E291" t="inlineStr">
        <is>
          <t>BRÄCKE</t>
        </is>
      </c>
      <c r="G291" t="n">
        <v>5.2</v>
      </c>
      <c r="H291" t="n">
        <v>1</v>
      </c>
      <c r="I291" t="n">
        <v>0</v>
      </c>
      <c r="J291" t="n">
        <v>1</v>
      </c>
      <c r="K291" t="n">
        <v>0</v>
      </c>
      <c r="L291" t="n">
        <v>0</v>
      </c>
      <c r="M291" t="n">
        <v>0</v>
      </c>
      <c r="N291" t="n">
        <v>0</v>
      </c>
      <c r="O291" t="n">
        <v>1</v>
      </c>
      <c r="P291" t="n">
        <v>0</v>
      </c>
      <c r="Q291" t="n">
        <v>2</v>
      </c>
      <c r="R291" s="2" t="inlineStr">
        <is>
          <t>Kandelabersvamp
Blåsippa</t>
        </is>
      </c>
      <c r="S291">
        <f>HYPERLINK("https://klasma.github.io/Logging_2305/artfynd/A 16716-2024 artfynd.xlsx", "A 16716-2024")</f>
        <v/>
      </c>
      <c r="T291">
        <f>HYPERLINK("https://klasma.github.io/Logging_2305/kartor/A 16716-2024 karta.png", "A 16716-2024")</f>
        <v/>
      </c>
      <c r="V291">
        <f>HYPERLINK("https://klasma.github.io/Logging_2305/klagomål/A 16716-2024 FSC-klagomål.docx", "A 16716-2024")</f>
        <v/>
      </c>
      <c r="W291">
        <f>HYPERLINK("https://klasma.github.io/Logging_2305/klagomålsmail/A 16716-2024 FSC-klagomål mail.docx", "A 16716-2024")</f>
        <v/>
      </c>
      <c r="X291">
        <f>HYPERLINK("https://klasma.github.io/Logging_2305/tillsyn/A 16716-2024 tillsynsbegäran.docx", "A 16716-2024")</f>
        <v/>
      </c>
      <c r="Y291">
        <f>HYPERLINK("https://klasma.github.io/Logging_2305/tillsynsmail/A 16716-2024 tillsynsbegäran mail.docx", "A 16716-2024")</f>
        <v/>
      </c>
    </row>
    <row r="292" ht="15" customHeight="1">
      <c r="A292" t="inlineStr">
        <is>
          <t>A 17781-2024</t>
        </is>
      </c>
      <c r="B292" s="1" t="n">
        <v>45418</v>
      </c>
      <c r="C292" s="1" t="n">
        <v>45847</v>
      </c>
      <c r="D292" t="inlineStr">
        <is>
          <t>JÄMTLANDS LÄN</t>
        </is>
      </c>
      <c r="E292" t="inlineStr">
        <is>
          <t>BRÄCKE</t>
        </is>
      </c>
      <c r="G292" t="n">
        <v>3</v>
      </c>
      <c r="H292" t="n">
        <v>1</v>
      </c>
      <c r="I292" t="n">
        <v>1</v>
      </c>
      <c r="J292" t="n">
        <v>0</v>
      </c>
      <c r="K292" t="n">
        <v>0</v>
      </c>
      <c r="L292" t="n">
        <v>0</v>
      </c>
      <c r="M292" t="n">
        <v>0</v>
      </c>
      <c r="N292" t="n">
        <v>0</v>
      </c>
      <c r="O292" t="n">
        <v>0</v>
      </c>
      <c r="P292" t="n">
        <v>0</v>
      </c>
      <c r="Q292" t="n">
        <v>2</v>
      </c>
      <c r="R292" s="2" t="inlineStr">
        <is>
          <t>Hässleklocka
Brudsporre</t>
        </is>
      </c>
      <c r="S292">
        <f>HYPERLINK("https://klasma.github.io/Logging_2305/artfynd/A 17781-2024 artfynd.xlsx", "A 17781-2024")</f>
        <v/>
      </c>
      <c r="T292">
        <f>HYPERLINK("https://klasma.github.io/Logging_2305/kartor/A 17781-2024 karta.png", "A 17781-2024")</f>
        <v/>
      </c>
      <c r="V292">
        <f>HYPERLINK("https://klasma.github.io/Logging_2305/klagomål/A 17781-2024 FSC-klagomål.docx", "A 17781-2024")</f>
        <v/>
      </c>
      <c r="W292">
        <f>HYPERLINK("https://klasma.github.io/Logging_2305/klagomålsmail/A 17781-2024 FSC-klagomål mail.docx", "A 17781-2024")</f>
        <v/>
      </c>
      <c r="X292">
        <f>HYPERLINK("https://klasma.github.io/Logging_2305/tillsyn/A 17781-2024 tillsynsbegäran.docx", "A 17781-2024")</f>
        <v/>
      </c>
      <c r="Y292">
        <f>HYPERLINK("https://klasma.github.io/Logging_2305/tillsynsmail/A 17781-2024 tillsynsbegäran mail.docx", "A 17781-2024")</f>
        <v/>
      </c>
    </row>
    <row r="293" ht="15" customHeight="1">
      <c r="A293" t="inlineStr">
        <is>
          <t>A 22382-2024</t>
        </is>
      </c>
      <c r="B293" s="1" t="n">
        <v>45446</v>
      </c>
      <c r="C293" s="1" t="n">
        <v>45847</v>
      </c>
      <c r="D293" t="inlineStr">
        <is>
          <t>JÄMTLANDS LÄN</t>
        </is>
      </c>
      <c r="E293" t="inlineStr">
        <is>
          <t>BRÄCKE</t>
        </is>
      </c>
      <c r="G293" t="n">
        <v>5.2</v>
      </c>
      <c r="H293" t="n">
        <v>1</v>
      </c>
      <c r="I293" t="n">
        <v>0</v>
      </c>
      <c r="J293" t="n">
        <v>1</v>
      </c>
      <c r="K293" t="n">
        <v>1</v>
      </c>
      <c r="L293" t="n">
        <v>0</v>
      </c>
      <c r="M293" t="n">
        <v>0</v>
      </c>
      <c r="N293" t="n">
        <v>0</v>
      </c>
      <c r="O293" t="n">
        <v>2</v>
      </c>
      <c r="P293" t="n">
        <v>1</v>
      </c>
      <c r="Q293" t="n">
        <v>2</v>
      </c>
      <c r="R293" s="2" t="inlineStr">
        <is>
          <t>Knärot
Garnlav</t>
        </is>
      </c>
      <c r="S293">
        <f>HYPERLINK("https://klasma.github.io/Logging_2305/artfynd/A 22382-2024 artfynd.xlsx", "A 22382-2024")</f>
        <v/>
      </c>
      <c r="T293">
        <f>HYPERLINK("https://klasma.github.io/Logging_2305/kartor/A 22382-2024 karta.png", "A 22382-2024")</f>
        <v/>
      </c>
      <c r="U293">
        <f>HYPERLINK("https://klasma.github.io/Logging_2305/knärot/A 22382-2024 karta knärot.png", "A 22382-2024")</f>
        <v/>
      </c>
      <c r="V293">
        <f>HYPERLINK("https://klasma.github.io/Logging_2305/klagomål/A 22382-2024 FSC-klagomål.docx", "A 22382-2024")</f>
        <v/>
      </c>
      <c r="W293">
        <f>HYPERLINK("https://klasma.github.io/Logging_2305/klagomålsmail/A 22382-2024 FSC-klagomål mail.docx", "A 22382-2024")</f>
        <v/>
      </c>
      <c r="X293">
        <f>HYPERLINK("https://klasma.github.io/Logging_2305/tillsyn/A 22382-2024 tillsynsbegäran.docx", "A 22382-2024")</f>
        <v/>
      </c>
      <c r="Y293">
        <f>HYPERLINK("https://klasma.github.io/Logging_2305/tillsynsmail/A 22382-2024 tillsynsbegäran mail.docx", "A 22382-2024")</f>
        <v/>
      </c>
    </row>
    <row r="294" ht="15" customHeight="1">
      <c r="A294" t="inlineStr">
        <is>
          <t>A 23732-2024</t>
        </is>
      </c>
      <c r="B294" s="1" t="n">
        <v>45455</v>
      </c>
      <c r="C294" s="1" t="n">
        <v>45847</v>
      </c>
      <c r="D294" t="inlineStr">
        <is>
          <t>JÄMTLANDS LÄN</t>
        </is>
      </c>
      <c r="E294" t="inlineStr">
        <is>
          <t>BRÄCKE</t>
        </is>
      </c>
      <c r="F294" t="inlineStr">
        <is>
          <t>SCA</t>
        </is>
      </c>
      <c r="G294" t="n">
        <v>15.5</v>
      </c>
      <c r="H294" t="n">
        <v>1</v>
      </c>
      <c r="I294" t="n">
        <v>0</v>
      </c>
      <c r="J294" t="n">
        <v>1</v>
      </c>
      <c r="K294" t="n">
        <v>1</v>
      </c>
      <c r="L294" t="n">
        <v>0</v>
      </c>
      <c r="M294" t="n">
        <v>0</v>
      </c>
      <c r="N294" t="n">
        <v>0</v>
      </c>
      <c r="O294" t="n">
        <v>2</v>
      </c>
      <c r="P294" t="n">
        <v>1</v>
      </c>
      <c r="Q294" t="n">
        <v>2</v>
      </c>
      <c r="R294" s="2" t="inlineStr">
        <is>
          <t>Doftticka
Lunglav</t>
        </is>
      </c>
      <c r="S294">
        <f>HYPERLINK("https://klasma.github.io/Logging_2305/artfynd/A 23732-2024 artfynd.xlsx", "A 23732-2024")</f>
        <v/>
      </c>
      <c r="T294">
        <f>HYPERLINK("https://klasma.github.io/Logging_2305/kartor/A 23732-2024 karta.png", "A 23732-2024")</f>
        <v/>
      </c>
      <c r="V294">
        <f>HYPERLINK("https://klasma.github.io/Logging_2305/klagomål/A 23732-2024 FSC-klagomål.docx", "A 23732-2024")</f>
        <v/>
      </c>
      <c r="W294">
        <f>HYPERLINK("https://klasma.github.io/Logging_2305/klagomålsmail/A 23732-2024 FSC-klagomål mail.docx", "A 23732-2024")</f>
        <v/>
      </c>
      <c r="X294">
        <f>HYPERLINK("https://klasma.github.io/Logging_2305/tillsyn/A 23732-2024 tillsynsbegäran.docx", "A 23732-2024")</f>
        <v/>
      </c>
      <c r="Y294">
        <f>HYPERLINK("https://klasma.github.io/Logging_2305/tillsynsmail/A 23732-2024 tillsynsbegäran mail.docx", "A 23732-2024")</f>
        <v/>
      </c>
    </row>
    <row r="295" ht="15" customHeight="1">
      <c r="A295" t="inlineStr">
        <is>
          <t>A 29672-2024</t>
        </is>
      </c>
      <c r="B295" s="1" t="n">
        <v>45485</v>
      </c>
      <c r="C295" s="1" t="n">
        <v>45847</v>
      </c>
      <c r="D295" t="inlineStr">
        <is>
          <t>JÄMTLANDS LÄN</t>
        </is>
      </c>
      <c r="E295" t="inlineStr">
        <is>
          <t>BRÄCKE</t>
        </is>
      </c>
      <c r="F295" t="inlineStr">
        <is>
          <t>SCA</t>
        </is>
      </c>
      <c r="G295" t="n">
        <v>1.2</v>
      </c>
      <c r="H295" t="n">
        <v>0</v>
      </c>
      <c r="I295" t="n">
        <v>0</v>
      </c>
      <c r="J295" t="n">
        <v>2</v>
      </c>
      <c r="K295" t="n">
        <v>0</v>
      </c>
      <c r="L295" t="n">
        <v>0</v>
      </c>
      <c r="M295" t="n">
        <v>0</v>
      </c>
      <c r="N295" t="n">
        <v>0</v>
      </c>
      <c r="O295" t="n">
        <v>2</v>
      </c>
      <c r="P295" t="n">
        <v>0</v>
      </c>
      <c r="Q295" t="n">
        <v>2</v>
      </c>
      <c r="R295" s="2" t="inlineStr">
        <is>
          <t>Vedflikmossa
Vedtrappmossa</t>
        </is>
      </c>
      <c r="S295">
        <f>HYPERLINK("https://klasma.github.io/Logging_2305/artfynd/A 29672-2024 artfynd.xlsx", "A 29672-2024")</f>
        <v/>
      </c>
      <c r="T295">
        <f>HYPERLINK("https://klasma.github.io/Logging_2305/kartor/A 29672-2024 karta.png", "A 29672-2024")</f>
        <v/>
      </c>
      <c r="V295">
        <f>HYPERLINK("https://klasma.github.io/Logging_2305/klagomål/A 29672-2024 FSC-klagomål.docx", "A 29672-2024")</f>
        <v/>
      </c>
      <c r="W295">
        <f>HYPERLINK("https://klasma.github.io/Logging_2305/klagomålsmail/A 29672-2024 FSC-klagomål mail.docx", "A 29672-2024")</f>
        <v/>
      </c>
      <c r="X295">
        <f>HYPERLINK("https://klasma.github.io/Logging_2305/tillsyn/A 29672-2024 tillsynsbegäran.docx", "A 29672-2024")</f>
        <v/>
      </c>
      <c r="Y295">
        <f>HYPERLINK("https://klasma.github.io/Logging_2305/tillsynsmail/A 29672-2024 tillsynsbegäran mail.docx", "A 29672-2024")</f>
        <v/>
      </c>
    </row>
    <row r="296" ht="15" customHeight="1">
      <c r="A296" t="inlineStr">
        <is>
          <t>A 30988-2024</t>
        </is>
      </c>
      <c r="B296" s="1" t="n">
        <v>45499</v>
      </c>
      <c r="C296" s="1" t="n">
        <v>45847</v>
      </c>
      <c r="D296" t="inlineStr">
        <is>
          <t>JÄMTLANDS LÄN</t>
        </is>
      </c>
      <c r="E296" t="inlineStr">
        <is>
          <t>BRÄCKE</t>
        </is>
      </c>
      <c r="F296" t="inlineStr">
        <is>
          <t>Sveaskog</t>
        </is>
      </c>
      <c r="G296" t="n">
        <v>4.8</v>
      </c>
      <c r="H296" t="n">
        <v>1</v>
      </c>
      <c r="I296" t="n">
        <v>1</v>
      </c>
      <c r="J296" t="n">
        <v>1</v>
      </c>
      <c r="K296" t="n">
        <v>0</v>
      </c>
      <c r="L296" t="n">
        <v>0</v>
      </c>
      <c r="M296" t="n">
        <v>0</v>
      </c>
      <c r="N296" t="n">
        <v>0</v>
      </c>
      <c r="O296" t="n">
        <v>1</v>
      </c>
      <c r="P296" t="n">
        <v>0</v>
      </c>
      <c r="Q296" t="n">
        <v>2</v>
      </c>
      <c r="R296" s="2" t="inlineStr">
        <is>
          <t>Lunglav
Tvåblad</t>
        </is>
      </c>
      <c r="S296">
        <f>HYPERLINK("https://klasma.github.io/Logging_2305/artfynd/A 30988-2024 artfynd.xlsx", "A 30988-2024")</f>
        <v/>
      </c>
      <c r="T296">
        <f>HYPERLINK("https://klasma.github.io/Logging_2305/kartor/A 30988-2024 karta.png", "A 30988-2024")</f>
        <v/>
      </c>
      <c r="V296">
        <f>HYPERLINK("https://klasma.github.io/Logging_2305/klagomål/A 30988-2024 FSC-klagomål.docx", "A 30988-2024")</f>
        <v/>
      </c>
      <c r="W296">
        <f>HYPERLINK("https://klasma.github.io/Logging_2305/klagomålsmail/A 30988-2024 FSC-klagomål mail.docx", "A 30988-2024")</f>
        <v/>
      </c>
      <c r="X296">
        <f>HYPERLINK("https://klasma.github.io/Logging_2305/tillsyn/A 30988-2024 tillsynsbegäran.docx", "A 30988-2024")</f>
        <v/>
      </c>
      <c r="Y296">
        <f>HYPERLINK("https://klasma.github.io/Logging_2305/tillsynsmail/A 30988-2024 tillsynsbegäran mail.docx", "A 30988-2024")</f>
        <v/>
      </c>
    </row>
    <row r="297" ht="15" customHeight="1">
      <c r="A297" t="inlineStr">
        <is>
          <t>A 30990-2024</t>
        </is>
      </c>
      <c r="B297" s="1" t="n">
        <v>45499</v>
      </c>
      <c r="C297" s="1" t="n">
        <v>45847</v>
      </c>
      <c r="D297" t="inlineStr">
        <is>
          <t>JÄMTLANDS LÄN</t>
        </is>
      </c>
      <c r="E297" t="inlineStr">
        <is>
          <t>BRÄCKE</t>
        </is>
      </c>
      <c r="F297" t="inlineStr">
        <is>
          <t>Sveaskog</t>
        </is>
      </c>
      <c r="G297" t="n">
        <v>4.9</v>
      </c>
      <c r="H297" t="n">
        <v>1</v>
      </c>
      <c r="I297" t="n">
        <v>0</v>
      </c>
      <c r="J297" t="n">
        <v>1</v>
      </c>
      <c r="K297" t="n">
        <v>1</v>
      </c>
      <c r="L297" t="n">
        <v>0</v>
      </c>
      <c r="M297" t="n">
        <v>0</v>
      </c>
      <c r="N297" t="n">
        <v>0</v>
      </c>
      <c r="O297" t="n">
        <v>2</v>
      </c>
      <c r="P297" t="n">
        <v>1</v>
      </c>
      <c r="Q297" t="n">
        <v>2</v>
      </c>
      <c r="R297" s="2" t="inlineStr">
        <is>
          <t>Knärot
Lunglav</t>
        </is>
      </c>
      <c r="S297">
        <f>HYPERLINK("https://klasma.github.io/Logging_2305/artfynd/A 30990-2024 artfynd.xlsx", "A 30990-2024")</f>
        <v/>
      </c>
      <c r="T297">
        <f>HYPERLINK("https://klasma.github.io/Logging_2305/kartor/A 30990-2024 karta.png", "A 30990-2024")</f>
        <v/>
      </c>
      <c r="U297">
        <f>HYPERLINK("https://klasma.github.io/Logging_2305/knärot/A 30990-2024 karta knärot.png", "A 30990-2024")</f>
        <v/>
      </c>
      <c r="V297">
        <f>HYPERLINK("https://klasma.github.io/Logging_2305/klagomål/A 30990-2024 FSC-klagomål.docx", "A 30990-2024")</f>
        <v/>
      </c>
      <c r="W297">
        <f>HYPERLINK("https://klasma.github.io/Logging_2305/klagomålsmail/A 30990-2024 FSC-klagomål mail.docx", "A 30990-2024")</f>
        <v/>
      </c>
      <c r="X297">
        <f>HYPERLINK("https://klasma.github.io/Logging_2305/tillsyn/A 30990-2024 tillsynsbegäran.docx", "A 30990-2024")</f>
        <v/>
      </c>
      <c r="Y297">
        <f>HYPERLINK("https://klasma.github.io/Logging_2305/tillsynsmail/A 30990-2024 tillsynsbegäran mail.docx", "A 30990-2024")</f>
        <v/>
      </c>
    </row>
    <row r="298" ht="15" customHeight="1">
      <c r="A298" t="inlineStr">
        <is>
          <t>A 31471-2024</t>
        </is>
      </c>
      <c r="B298" s="1" t="n">
        <v>45505</v>
      </c>
      <c r="C298" s="1" t="n">
        <v>45847</v>
      </c>
      <c r="D298" t="inlineStr">
        <is>
          <t>JÄMTLANDS LÄN</t>
        </is>
      </c>
      <c r="E298" t="inlineStr">
        <is>
          <t>BRÄCKE</t>
        </is>
      </c>
      <c r="F298" t="inlineStr">
        <is>
          <t>SCA</t>
        </is>
      </c>
      <c r="G298" t="n">
        <v>6.9</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31471-2024 artfynd.xlsx", "A 31471-2024")</f>
        <v/>
      </c>
      <c r="T298">
        <f>HYPERLINK("https://klasma.github.io/Logging_2305/kartor/A 31471-2024 karta.png", "A 31471-2024")</f>
        <v/>
      </c>
      <c r="V298">
        <f>HYPERLINK("https://klasma.github.io/Logging_2305/klagomål/A 31471-2024 FSC-klagomål.docx", "A 31471-2024")</f>
        <v/>
      </c>
      <c r="W298">
        <f>HYPERLINK("https://klasma.github.io/Logging_2305/klagomålsmail/A 31471-2024 FSC-klagomål mail.docx", "A 31471-2024")</f>
        <v/>
      </c>
      <c r="X298">
        <f>HYPERLINK("https://klasma.github.io/Logging_2305/tillsyn/A 31471-2024 tillsynsbegäran.docx", "A 31471-2024")</f>
        <v/>
      </c>
      <c r="Y298">
        <f>HYPERLINK("https://klasma.github.io/Logging_2305/tillsynsmail/A 31471-2024 tillsynsbegäran mail.docx", "A 31471-2024")</f>
        <v/>
      </c>
    </row>
    <row r="299" ht="15" customHeight="1">
      <c r="A299" t="inlineStr">
        <is>
          <t>A 32670-2024</t>
        </is>
      </c>
      <c r="B299" s="1" t="n">
        <v>45514</v>
      </c>
      <c r="C299" s="1" t="n">
        <v>45847</v>
      </c>
      <c r="D299" t="inlineStr">
        <is>
          <t>JÄMTLANDS LÄN</t>
        </is>
      </c>
      <c r="E299" t="inlineStr">
        <is>
          <t>BRÄCKE</t>
        </is>
      </c>
      <c r="G299" t="n">
        <v>11.3</v>
      </c>
      <c r="H299" t="n">
        <v>1</v>
      </c>
      <c r="I299" t="n">
        <v>0</v>
      </c>
      <c r="J299" t="n">
        <v>1</v>
      </c>
      <c r="K299" t="n">
        <v>1</v>
      </c>
      <c r="L299" t="n">
        <v>0</v>
      </c>
      <c r="M299" t="n">
        <v>0</v>
      </c>
      <c r="N299" t="n">
        <v>0</v>
      </c>
      <c r="O299" t="n">
        <v>2</v>
      </c>
      <c r="P299" t="n">
        <v>1</v>
      </c>
      <c r="Q299" t="n">
        <v>2</v>
      </c>
      <c r="R299" s="2" t="inlineStr">
        <is>
          <t>Knärot
Brunklöver</t>
        </is>
      </c>
      <c r="S299">
        <f>HYPERLINK("https://klasma.github.io/Logging_2305/artfynd/A 32670-2024 artfynd.xlsx", "A 32670-2024")</f>
        <v/>
      </c>
      <c r="T299">
        <f>HYPERLINK("https://klasma.github.io/Logging_2305/kartor/A 32670-2024 karta.png", "A 32670-2024")</f>
        <v/>
      </c>
      <c r="U299">
        <f>HYPERLINK("https://klasma.github.io/Logging_2305/knärot/A 32670-2024 karta knärot.png", "A 32670-2024")</f>
        <v/>
      </c>
      <c r="V299">
        <f>HYPERLINK("https://klasma.github.io/Logging_2305/klagomål/A 32670-2024 FSC-klagomål.docx", "A 32670-2024")</f>
        <v/>
      </c>
      <c r="W299">
        <f>HYPERLINK("https://klasma.github.io/Logging_2305/klagomålsmail/A 32670-2024 FSC-klagomål mail.docx", "A 32670-2024")</f>
        <v/>
      </c>
      <c r="X299">
        <f>HYPERLINK("https://klasma.github.io/Logging_2305/tillsyn/A 32670-2024 tillsynsbegäran.docx", "A 32670-2024")</f>
        <v/>
      </c>
      <c r="Y299">
        <f>HYPERLINK("https://klasma.github.io/Logging_2305/tillsynsmail/A 32670-2024 tillsynsbegäran mail.docx", "A 32670-2024")</f>
        <v/>
      </c>
    </row>
    <row r="300" ht="15" customHeight="1">
      <c r="A300" t="inlineStr">
        <is>
          <t>A 40818-2024</t>
        </is>
      </c>
      <c r="B300" s="1" t="n">
        <v>45558</v>
      </c>
      <c r="C300" s="1" t="n">
        <v>45847</v>
      </c>
      <c r="D300" t="inlineStr">
        <is>
          <t>JÄMTLANDS LÄN</t>
        </is>
      </c>
      <c r="E300" t="inlineStr">
        <is>
          <t>BRÄCKE</t>
        </is>
      </c>
      <c r="G300" t="n">
        <v>2.7</v>
      </c>
      <c r="H300" t="n">
        <v>0</v>
      </c>
      <c r="I300" t="n">
        <v>0</v>
      </c>
      <c r="J300" t="n">
        <v>2</v>
      </c>
      <c r="K300" t="n">
        <v>0</v>
      </c>
      <c r="L300" t="n">
        <v>0</v>
      </c>
      <c r="M300" t="n">
        <v>0</v>
      </c>
      <c r="N300" t="n">
        <v>0</v>
      </c>
      <c r="O300" t="n">
        <v>2</v>
      </c>
      <c r="P300" t="n">
        <v>0</v>
      </c>
      <c r="Q300" t="n">
        <v>2</v>
      </c>
      <c r="R300" s="2" t="inlineStr">
        <is>
          <t>Skrovlig taggsvamp
Svart taggsvamp</t>
        </is>
      </c>
      <c r="S300">
        <f>HYPERLINK("https://klasma.github.io/Logging_2305/artfynd/A 40818-2024 artfynd.xlsx", "A 40818-2024")</f>
        <v/>
      </c>
      <c r="T300">
        <f>HYPERLINK("https://klasma.github.io/Logging_2305/kartor/A 40818-2024 karta.png", "A 40818-2024")</f>
        <v/>
      </c>
      <c r="V300">
        <f>HYPERLINK("https://klasma.github.io/Logging_2305/klagomål/A 40818-2024 FSC-klagomål.docx", "A 40818-2024")</f>
        <v/>
      </c>
      <c r="W300">
        <f>HYPERLINK("https://klasma.github.io/Logging_2305/klagomålsmail/A 40818-2024 FSC-klagomål mail.docx", "A 40818-2024")</f>
        <v/>
      </c>
      <c r="X300">
        <f>HYPERLINK("https://klasma.github.io/Logging_2305/tillsyn/A 40818-2024 tillsynsbegäran.docx", "A 40818-2024")</f>
        <v/>
      </c>
      <c r="Y300">
        <f>HYPERLINK("https://klasma.github.io/Logging_2305/tillsynsmail/A 40818-2024 tillsynsbegäran mail.docx", "A 40818-2024")</f>
        <v/>
      </c>
    </row>
    <row r="301" ht="15" customHeight="1">
      <c r="A301" t="inlineStr">
        <is>
          <t>A 46787-2024</t>
        </is>
      </c>
      <c r="B301" s="1" t="n">
        <v>45583</v>
      </c>
      <c r="C301" s="1" t="n">
        <v>45847</v>
      </c>
      <c r="D301" t="inlineStr">
        <is>
          <t>JÄMTLANDS LÄN</t>
        </is>
      </c>
      <c r="E301" t="inlineStr">
        <is>
          <t>BRÄCKE</t>
        </is>
      </c>
      <c r="F301" t="inlineStr">
        <is>
          <t>SCA</t>
        </is>
      </c>
      <c r="G301" t="n">
        <v>20.4</v>
      </c>
      <c r="H301" t="n">
        <v>0</v>
      </c>
      <c r="I301" t="n">
        <v>0</v>
      </c>
      <c r="J301" t="n">
        <v>2</v>
      </c>
      <c r="K301" t="n">
        <v>0</v>
      </c>
      <c r="L301" t="n">
        <v>0</v>
      </c>
      <c r="M301" t="n">
        <v>0</v>
      </c>
      <c r="N301" t="n">
        <v>0</v>
      </c>
      <c r="O301" t="n">
        <v>2</v>
      </c>
      <c r="P301" t="n">
        <v>0</v>
      </c>
      <c r="Q301" t="n">
        <v>2</v>
      </c>
      <c r="R301" s="2" t="inlineStr">
        <is>
          <t>Lunglav
Ullticka</t>
        </is>
      </c>
      <c r="S301">
        <f>HYPERLINK("https://klasma.github.io/Logging_2305/artfynd/A 46787-2024 artfynd.xlsx", "A 46787-2024")</f>
        <v/>
      </c>
      <c r="T301">
        <f>HYPERLINK("https://klasma.github.io/Logging_2305/kartor/A 46787-2024 karta.png", "A 46787-2024")</f>
        <v/>
      </c>
      <c r="V301">
        <f>HYPERLINK("https://klasma.github.io/Logging_2305/klagomål/A 46787-2024 FSC-klagomål.docx", "A 46787-2024")</f>
        <v/>
      </c>
      <c r="W301">
        <f>HYPERLINK("https://klasma.github.io/Logging_2305/klagomålsmail/A 46787-2024 FSC-klagomål mail.docx", "A 46787-2024")</f>
        <v/>
      </c>
      <c r="X301">
        <f>HYPERLINK("https://klasma.github.io/Logging_2305/tillsyn/A 46787-2024 tillsynsbegäran.docx", "A 46787-2024")</f>
        <v/>
      </c>
      <c r="Y301">
        <f>HYPERLINK("https://klasma.github.io/Logging_2305/tillsynsmail/A 46787-2024 tillsynsbegäran mail.docx", "A 46787-2024")</f>
        <v/>
      </c>
    </row>
    <row r="302" ht="15" customHeight="1">
      <c r="A302" t="inlineStr">
        <is>
          <t>A 48772-2024</t>
        </is>
      </c>
      <c r="B302" s="1" t="n">
        <v>45593</v>
      </c>
      <c r="C302" s="1" t="n">
        <v>45847</v>
      </c>
      <c r="D302" t="inlineStr">
        <is>
          <t>JÄMTLANDS LÄN</t>
        </is>
      </c>
      <c r="E302" t="inlineStr">
        <is>
          <t>BRÄCKE</t>
        </is>
      </c>
      <c r="F302" t="inlineStr">
        <is>
          <t>SCA</t>
        </is>
      </c>
      <c r="G302" t="n">
        <v>2.7</v>
      </c>
      <c r="H302" t="n">
        <v>0</v>
      </c>
      <c r="I302" t="n">
        <v>0</v>
      </c>
      <c r="J302" t="n">
        <v>2</v>
      </c>
      <c r="K302" t="n">
        <v>0</v>
      </c>
      <c r="L302" t="n">
        <v>0</v>
      </c>
      <c r="M302" t="n">
        <v>0</v>
      </c>
      <c r="N302" t="n">
        <v>0</v>
      </c>
      <c r="O302" t="n">
        <v>2</v>
      </c>
      <c r="P302" t="n">
        <v>0</v>
      </c>
      <c r="Q302" t="n">
        <v>2</v>
      </c>
      <c r="R302" s="2" t="inlineStr">
        <is>
          <t>Lunglav
Skrovellav</t>
        </is>
      </c>
      <c r="S302">
        <f>HYPERLINK("https://klasma.github.io/Logging_2305/artfynd/A 48772-2024 artfynd.xlsx", "A 48772-2024")</f>
        <v/>
      </c>
      <c r="T302">
        <f>HYPERLINK("https://klasma.github.io/Logging_2305/kartor/A 48772-2024 karta.png", "A 48772-2024")</f>
        <v/>
      </c>
      <c r="V302">
        <f>HYPERLINK("https://klasma.github.io/Logging_2305/klagomål/A 48772-2024 FSC-klagomål.docx", "A 48772-2024")</f>
        <v/>
      </c>
      <c r="W302">
        <f>HYPERLINK("https://klasma.github.io/Logging_2305/klagomålsmail/A 48772-2024 FSC-klagomål mail.docx", "A 48772-2024")</f>
        <v/>
      </c>
      <c r="X302">
        <f>HYPERLINK("https://klasma.github.io/Logging_2305/tillsyn/A 48772-2024 tillsynsbegäran.docx", "A 48772-2024")</f>
        <v/>
      </c>
      <c r="Y302">
        <f>HYPERLINK("https://klasma.github.io/Logging_2305/tillsynsmail/A 48772-2024 tillsynsbegäran mail.docx", "A 48772-2024")</f>
        <v/>
      </c>
    </row>
    <row r="303" ht="15" customHeight="1">
      <c r="A303" t="inlineStr">
        <is>
          <t>A 54892-2024</t>
        </is>
      </c>
      <c r="B303" s="1" t="n">
        <v>45618</v>
      </c>
      <c r="C303" s="1" t="n">
        <v>45847</v>
      </c>
      <c r="D303" t="inlineStr">
        <is>
          <t>JÄMTLANDS LÄN</t>
        </is>
      </c>
      <c r="E303" t="inlineStr">
        <is>
          <t>BRÄCKE</t>
        </is>
      </c>
      <c r="G303" t="n">
        <v>2.4</v>
      </c>
      <c r="H303" t="n">
        <v>0</v>
      </c>
      <c r="I303" t="n">
        <v>0</v>
      </c>
      <c r="J303" t="n">
        <v>2</v>
      </c>
      <c r="K303" t="n">
        <v>0</v>
      </c>
      <c r="L303" t="n">
        <v>0</v>
      </c>
      <c r="M303" t="n">
        <v>0</v>
      </c>
      <c r="N303" t="n">
        <v>0</v>
      </c>
      <c r="O303" t="n">
        <v>2</v>
      </c>
      <c r="P303" t="n">
        <v>0</v>
      </c>
      <c r="Q303" t="n">
        <v>2</v>
      </c>
      <c r="R303" s="2" t="inlineStr">
        <is>
          <t>Garnlav
Granticka</t>
        </is>
      </c>
      <c r="S303">
        <f>HYPERLINK("https://klasma.github.io/Logging_2305/artfynd/A 54892-2024 artfynd.xlsx", "A 54892-2024")</f>
        <v/>
      </c>
      <c r="T303">
        <f>HYPERLINK("https://klasma.github.io/Logging_2305/kartor/A 54892-2024 karta.png", "A 54892-2024")</f>
        <v/>
      </c>
      <c r="V303">
        <f>HYPERLINK("https://klasma.github.io/Logging_2305/klagomål/A 54892-2024 FSC-klagomål.docx", "A 54892-2024")</f>
        <v/>
      </c>
      <c r="W303">
        <f>HYPERLINK("https://klasma.github.io/Logging_2305/klagomålsmail/A 54892-2024 FSC-klagomål mail.docx", "A 54892-2024")</f>
        <v/>
      </c>
      <c r="X303">
        <f>HYPERLINK("https://klasma.github.io/Logging_2305/tillsyn/A 54892-2024 tillsynsbegäran.docx", "A 54892-2024")</f>
        <v/>
      </c>
      <c r="Y303">
        <f>HYPERLINK("https://klasma.github.io/Logging_2305/tillsynsmail/A 54892-2024 tillsynsbegäran mail.docx", "A 54892-2024")</f>
        <v/>
      </c>
    </row>
    <row r="304" ht="15" customHeight="1">
      <c r="A304" t="inlineStr">
        <is>
          <t>A 55062-2024</t>
        </is>
      </c>
      <c r="B304" s="1" t="n">
        <v>45621</v>
      </c>
      <c r="C304" s="1" t="n">
        <v>45847</v>
      </c>
      <c r="D304" t="inlineStr">
        <is>
          <t>JÄMTLANDS LÄN</t>
        </is>
      </c>
      <c r="E304" t="inlineStr">
        <is>
          <t>BRÄCKE</t>
        </is>
      </c>
      <c r="F304" t="inlineStr">
        <is>
          <t>SCA</t>
        </is>
      </c>
      <c r="G304" t="n">
        <v>11.7</v>
      </c>
      <c r="H304" t="n">
        <v>0</v>
      </c>
      <c r="I304" t="n">
        <v>0</v>
      </c>
      <c r="J304" t="n">
        <v>2</v>
      </c>
      <c r="K304" t="n">
        <v>0</v>
      </c>
      <c r="L304" t="n">
        <v>0</v>
      </c>
      <c r="M304" t="n">
        <v>0</v>
      </c>
      <c r="N304" t="n">
        <v>0</v>
      </c>
      <c r="O304" t="n">
        <v>2</v>
      </c>
      <c r="P304" t="n">
        <v>0</v>
      </c>
      <c r="Q304" t="n">
        <v>2</v>
      </c>
      <c r="R304" s="2" t="inlineStr">
        <is>
          <t>Gränsticka
Vaddporing</t>
        </is>
      </c>
      <c r="S304">
        <f>HYPERLINK("https://klasma.github.io/Logging_2305/artfynd/A 55062-2024 artfynd.xlsx", "A 55062-2024")</f>
        <v/>
      </c>
      <c r="T304">
        <f>HYPERLINK("https://klasma.github.io/Logging_2305/kartor/A 55062-2024 karta.png", "A 55062-2024")</f>
        <v/>
      </c>
      <c r="V304">
        <f>HYPERLINK("https://klasma.github.io/Logging_2305/klagomål/A 55062-2024 FSC-klagomål.docx", "A 55062-2024")</f>
        <v/>
      </c>
      <c r="W304">
        <f>HYPERLINK("https://klasma.github.io/Logging_2305/klagomålsmail/A 55062-2024 FSC-klagomål mail.docx", "A 55062-2024")</f>
        <v/>
      </c>
      <c r="X304">
        <f>HYPERLINK("https://klasma.github.io/Logging_2305/tillsyn/A 55062-2024 tillsynsbegäran.docx", "A 55062-2024")</f>
        <v/>
      </c>
      <c r="Y304">
        <f>HYPERLINK("https://klasma.github.io/Logging_2305/tillsynsmail/A 55062-2024 tillsynsbegäran mail.docx", "A 55062-2024")</f>
        <v/>
      </c>
    </row>
    <row r="305" ht="15" customHeight="1">
      <c r="A305" t="inlineStr">
        <is>
          <t>A 2467-2025</t>
        </is>
      </c>
      <c r="B305" s="1" t="n">
        <v>45674</v>
      </c>
      <c r="C305" s="1" t="n">
        <v>45847</v>
      </c>
      <c r="D305" t="inlineStr">
        <is>
          <t>JÄMTLANDS LÄN</t>
        </is>
      </c>
      <c r="E305" t="inlineStr">
        <is>
          <t>BRÄCKE</t>
        </is>
      </c>
      <c r="F305" t="inlineStr">
        <is>
          <t>SCA</t>
        </is>
      </c>
      <c r="G305" t="n">
        <v>5.6</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2467-2025 artfynd.xlsx", "A 2467-2025")</f>
        <v/>
      </c>
      <c r="T305">
        <f>HYPERLINK("https://klasma.github.io/Logging_2305/kartor/A 2467-2025 karta.png", "A 2467-2025")</f>
        <v/>
      </c>
      <c r="V305">
        <f>HYPERLINK("https://klasma.github.io/Logging_2305/klagomål/A 2467-2025 FSC-klagomål.docx", "A 2467-2025")</f>
        <v/>
      </c>
      <c r="W305">
        <f>HYPERLINK("https://klasma.github.io/Logging_2305/klagomålsmail/A 2467-2025 FSC-klagomål mail.docx", "A 2467-2025")</f>
        <v/>
      </c>
      <c r="X305">
        <f>HYPERLINK("https://klasma.github.io/Logging_2305/tillsyn/A 2467-2025 tillsynsbegäran.docx", "A 2467-2025")</f>
        <v/>
      </c>
      <c r="Y305">
        <f>HYPERLINK("https://klasma.github.io/Logging_2305/tillsynsmail/A 2467-2025 tillsynsbegäran mail.docx", "A 2467-2025")</f>
        <v/>
      </c>
      <c r="Z305">
        <f>HYPERLINK("https://klasma.github.io/Logging_2305/fåglar/A 2467-2025 prioriterade fågelarter.docx", "A 2467-2025")</f>
        <v/>
      </c>
    </row>
    <row r="306" ht="15" customHeight="1">
      <c r="A306" t="inlineStr">
        <is>
          <t>A 2464-2025</t>
        </is>
      </c>
      <c r="B306" s="1" t="n">
        <v>45674</v>
      </c>
      <c r="C306" s="1" t="n">
        <v>45847</v>
      </c>
      <c r="D306" t="inlineStr">
        <is>
          <t>JÄMTLANDS LÄN</t>
        </is>
      </c>
      <c r="E306" t="inlineStr">
        <is>
          <t>BRÄCKE</t>
        </is>
      </c>
      <c r="F306" t="inlineStr">
        <is>
          <t>SCA</t>
        </is>
      </c>
      <c r="G306" t="n">
        <v>4.4</v>
      </c>
      <c r="H306" t="n">
        <v>1</v>
      </c>
      <c r="I306" t="n">
        <v>0</v>
      </c>
      <c r="J306" t="n">
        <v>2</v>
      </c>
      <c r="K306" t="n">
        <v>0</v>
      </c>
      <c r="L306" t="n">
        <v>0</v>
      </c>
      <c r="M306" t="n">
        <v>0</v>
      </c>
      <c r="N306" t="n">
        <v>0</v>
      </c>
      <c r="O306" t="n">
        <v>2</v>
      </c>
      <c r="P306" t="n">
        <v>0</v>
      </c>
      <c r="Q306" t="n">
        <v>2</v>
      </c>
      <c r="R306" s="2" t="inlineStr">
        <is>
          <t>Lunglav
Tretåig hackspett</t>
        </is>
      </c>
      <c r="S306">
        <f>HYPERLINK("https://klasma.github.io/Logging_2305/artfynd/A 2464-2025 artfynd.xlsx", "A 2464-2025")</f>
        <v/>
      </c>
      <c r="T306">
        <f>HYPERLINK("https://klasma.github.io/Logging_2305/kartor/A 2464-2025 karta.png", "A 2464-2025")</f>
        <v/>
      </c>
      <c r="V306">
        <f>HYPERLINK("https://klasma.github.io/Logging_2305/klagomål/A 2464-2025 FSC-klagomål.docx", "A 2464-2025")</f>
        <v/>
      </c>
      <c r="W306">
        <f>HYPERLINK("https://klasma.github.io/Logging_2305/klagomålsmail/A 2464-2025 FSC-klagomål mail.docx", "A 2464-2025")</f>
        <v/>
      </c>
      <c r="X306">
        <f>HYPERLINK("https://klasma.github.io/Logging_2305/tillsyn/A 2464-2025 tillsynsbegäran.docx", "A 2464-2025")</f>
        <v/>
      </c>
      <c r="Y306">
        <f>HYPERLINK("https://klasma.github.io/Logging_2305/tillsynsmail/A 2464-2025 tillsynsbegäran mail.docx", "A 2464-2025")</f>
        <v/>
      </c>
      <c r="Z306">
        <f>HYPERLINK("https://klasma.github.io/Logging_2305/fåglar/A 2464-2025 prioriterade fågelarter.docx", "A 2464-2025")</f>
        <v/>
      </c>
    </row>
    <row r="307" ht="15" customHeight="1">
      <c r="A307" t="inlineStr">
        <is>
          <t>A 3384-2025</t>
        </is>
      </c>
      <c r="B307" s="1" t="n">
        <v>45680</v>
      </c>
      <c r="C307" s="1" t="n">
        <v>45847</v>
      </c>
      <c r="D307" t="inlineStr">
        <is>
          <t>JÄMTLANDS LÄN</t>
        </is>
      </c>
      <c r="E307" t="inlineStr">
        <is>
          <t>BRÄCKE</t>
        </is>
      </c>
      <c r="F307" t="inlineStr">
        <is>
          <t>SCA</t>
        </is>
      </c>
      <c r="G307" t="n">
        <v>12.8</v>
      </c>
      <c r="H307" t="n">
        <v>2</v>
      </c>
      <c r="I307" t="n">
        <v>1</v>
      </c>
      <c r="J307" t="n">
        <v>0</v>
      </c>
      <c r="K307" t="n">
        <v>1</v>
      </c>
      <c r="L307" t="n">
        <v>0</v>
      </c>
      <c r="M307" t="n">
        <v>0</v>
      </c>
      <c r="N307" t="n">
        <v>0</v>
      </c>
      <c r="O307" t="n">
        <v>1</v>
      </c>
      <c r="P307" t="n">
        <v>1</v>
      </c>
      <c r="Q307" t="n">
        <v>2</v>
      </c>
      <c r="R307" s="2" t="inlineStr">
        <is>
          <t>Knärot
Plattlummer</t>
        </is>
      </c>
      <c r="S307">
        <f>HYPERLINK("https://klasma.github.io/Logging_2305/artfynd/A 3384-2025 artfynd.xlsx", "A 3384-2025")</f>
        <v/>
      </c>
      <c r="T307">
        <f>HYPERLINK("https://klasma.github.io/Logging_2305/kartor/A 3384-2025 karta.png", "A 3384-2025")</f>
        <v/>
      </c>
      <c r="U307">
        <f>HYPERLINK("https://klasma.github.io/Logging_2305/knärot/A 3384-2025 karta knärot.png", "A 3384-2025")</f>
        <v/>
      </c>
      <c r="V307">
        <f>HYPERLINK("https://klasma.github.io/Logging_2305/klagomål/A 3384-2025 FSC-klagomål.docx", "A 3384-2025")</f>
        <v/>
      </c>
      <c r="W307">
        <f>HYPERLINK("https://klasma.github.io/Logging_2305/klagomålsmail/A 3384-2025 FSC-klagomål mail.docx", "A 3384-2025")</f>
        <v/>
      </c>
      <c r="X307">
        <f>HYPERLINK("https://klasma.github.io/Logging_2305/tillsyn/A 3384-2025 tillsynsbegäran.docx", "A 3384-2025")</f>
        <v/>
      </c>
      <c r="Y307">
        <f>HYPERLINK("https://klasma.github.io/Logging_2305/tillsynsmail/A 3384-2025 tillsynsbegäran mail.docx", "A 3384-2025")</f>
        <v/>
      </c>
    </row>
    <row r="308" ht="15" customHeight="1">
      <c r="A308" t="inlineStr">
        <is>
          <t>A 4134-2025</t>
        </is>
      </c>
      <c r="B308" s="1" t="n">
        <v>45685</v>
      </c>
      <c r="C308" s="1" t="n">
        <v>45847</v>
      </c>
      <c r="D308" t="inlineStr">
        <is>
          <t>JÄMTLANDS LÄN</t>
        </is>
      </c>
      <c r="E308" t="inlineStr">
        <is>
          <t>BRÄCKE</t>
        </is>
      </c>
      <c r="F308" t="inlineStr">
        <is>
          <t>SCA</t>
        </is>
      </c>
      <c r="G308" t="n">
        <v>5.6</v>
      </c>
      <c r="H308" t="n">
        <v>0</v>
      </c>
      <c r="I308" t="n">
        <v>1</v>
      </c>
      <c r="J308" t="n">
        <v>1</v>
      </c>
      <c r="K308" t="n">
        <v>0</v>
      </c>
      <c r="L308" t="n">
        <v>0</v>
      </c>
      <c r="M308" t="n">
        <v>0</v>
      </c>
      <c r="N308" t="n">
        <v>0</v>
      </c>
      <c r="O308" t="n">
        <v>1</v>
      </c>
      <c r="P308" t="n">
        <v>0</v>
      </c>
      <c r="Q308" t="n">
        <v>2</v>
      </c>
      <c r="R308" s="2" t="inlineStr">
        <is>
          <t>Vedflamlav
Stor aspticka</t>
        </is>
      </c>
      <c r="S308">
        <f>HYPERLINK("https://klasma.github.io/Logging_2305/artfynd/A 4134-2025 artfynd.xlsx", "A 4134-2025")</f>
        <v/>
      </c>
      <c r="T308">
        <f>HYPERLINK("https://klasma.github.io/Logging_2305/kartor/A 4134-2025 karta.png", "A 4134-2025")</f>
        <v/>
      </c>
      <c r="V308">
        <f>HYPERLINK("https://klasma.github.io/Logging_2305/klagomål/A 4134-2025 FSC-klagomål.docx", "A 4134-2025")</f>
        <v/>
      </c>
      <c r="W308">
        <f>HYPERLINK("https://klasma.github.io/Logging_2305/klagomålsmail/A 4134-2025 FSC-klagomål mail.docx", "A 4134-2025")</f>
        <v/>
      </c>
      <c r="X308">
        <f>HYPERLINK("https://klasma.github.io/Logging_2305/tillsyn/A 4134-2025 tillsynsbegäran.docx", "A 4134-2025")</f>
        <v/>
      </c>
      <c r="Y308">
        <f>HYPERLINK("https://klasma.github.io/Logging_2305/tillsynsmail/A 4134-2025 tillsynsbegäran mail.docx", "A 4134-2025")</f>
        <v/>
      </c>
    </row>
    <row r="309" ht="15" customHeight="1">
      <c r="A309" t="inlineStr">
        <is>
          <t>A 5858-2025</t>
        </is>
      </c>
      <c r="B309" s="1" t="n">
        <v>45695</v>
      </c>
      <c r="C309" s="1" t="n">
        <v>45847</v>
      </c>
      <c r="D309" t="inlineStr">
        <is>
          <t>JÄMTLANDS LÄN</t>
        </is>
      </c>
      <c r="E309" t="inlineStr">
        <is>
          <t>BRÄCKE</t>
        </is>
      </c>
      <c r="G309" t="n">
        <v>2.7</v>
      </c>
      <c r="H309" t="n">
        <v>1</v>
      </c>
      <c r="I309" t="n">
        <v>0</v>
      </c>
      <c r="J309" t="n">
        <v>0</v>
      </c>
      <c r="K309" t="n">
        <v>0</v>
      </c>
      <c r="L309" t="n">
        <v>2</v>
      </c>
      <c r="M309" t="n">
        <v>0</v>
      </c>
      <c r="N309" t="n">
        <v>0</v>
      </c>
      <c r="O309" t="n">
        <v>2</v>
      </c>
      <c r="P309" t="n">
        <v>2</v>
      </c>
      <c r="Q309" t="n">
        <v>2</v>
      </c>
      <c r="R309" s="2" t="inlineStr">
        <is>
          <t>Bredgentiana
Fältgentiana</t>
        </is>
      </c>
      <c r="S309">
        <f>HYPERLINK("https://klasma.github.io/Logging_2305/artfynd/A 5858-2025 artfynd.xlsx", "A 5858-2025")</f>
        <v/>
      </c>
      <c r="T309">
        <f>HYPERLINK("https://klasma.github.io/Logging_2305/kartor/A 5858-2025 karta.png", "A 5858-2025")</f>
        <v/>
      </c>
      <c r="V309">
        <f>HYPERLINK("https://klasma.github.io/Logging_2305/klagomål/A 5858-2025 FSC-klagomål.docx", "A 5858-2025")</f>
        <v/>
      </c>
      <c r="W309">
        <f>HYPERLINK("https://klasma.github.io/Logging_2305/klagomålsmail/A 5858-2025 FSC-klagomål mail.docx", "A 5858-2025")</f>
        <v/>
      </c>
      <c r="X309">
        <f>HYPERLINK("https://klasma.github.io/Logging_2305/tillsyn/A 5858-2025 tillsynsbegäran.docx", "A 5858-2025")</f>
        <v/>
      </c>
      <c r="Y309">
        <f>HYPERLINK("https://klasma.github.io/Logging_2305/tillsynsmail/A 5858-2025 tillsynsbegäran mail.docx", "A 5858-2025")</f>
        <v/>
      </c>
    </row>
    <row r="310" ht="15" customHeight="1">
      <c r="A310" t="inlineStr">
        <is>
          <t>A 10105-2025</t>
        </is>
      </c>
      <c r="B310" s="1" t="n">
        <v>45719</v>
      </c>
      <c r="C310" s="1" t="n">
        <v>45847</v>
      </c>
      <c r="D310" t="inlineStr">
        <is>
          <t>JÄMTLANDS LÄN</t>
        </is>
      </c>
      <c r="E310" t="inlineStr">
        <is>
          <t>BRÄCKE</t>
        </is>
      </c>
      <c r="G310" t="n">
        <v>0.6</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10105-2025 artfynd.xlsx", "A 10105-2025")</f>
        <v/>
      </c>
      <c r="T310">
        <f>HYPERLINK("https://klasma.github.io/Logging_232305/kartor/A 10105-2025 karta.png", "A 10105-2025")</f>
        <v/>
      </c>
      <c r="V310">
        <f>HYPERLINK("https://klasma.github.io/Logging_232305/klagomål/A 10105-2025 FSC-klagomål.docx", "A 10105-2025")</f>
        <v/>
      </c>
      <c r="W310">
        <f>HYPERLINK("https://klasma.github.io/Logging_232305/klagomålsmail/A 10105-2025 FSC-klagomål mail.docx", "A 10105-2025")</f>
        <v/>
      </c>
      <c r="X310">
        <f>HYPERLINK("https://klasma.github.io/Logging_232305/tillsyn/A 10105-2025 tillsynsbegäran.docx", "A 10105-2025")</f>
        <v/>
      </c>
      <c r="Y310">
        <f>HYPERLINK("https://klasma.github.io/Logging_232305/tillsynsmail/A 10105-2025 tillsynsbegäran mail.docx", "A 10105-2025")</f>
        <v/>
      </c>
    </row>
    <row r="311" ht="15" customHeight="1">
      <c r="A311" t="inlineStr">
        <is>
          <t>A 10856-2025</t>
        </is>
      </c>
      <c r="B311" s="1" t="n">
        <v>45722</v>
      </c>
      <c r="C311" s="1" t="n">
        <v>45847</v>
      </c>
      <c r="D311" t="inlineStr">
        <is>
          <t>JÄMTLANDS LÄN</t>
        </is>
      </c>
      <c r="E311" t="inlineStr">
        <is>
          <t>BRÄCKE</t>
        </is>
      </c>
      <c r="F311" t="inlineStr">
        <is>
          <t>SCA</t>
        </is>
      </c>
      <c r="G311" t="n">
        <v>8.300000000000001</v>
      </c>
      <c r="H311" t="n">
        <v>2</v>
      </c>
      <c r="I311" t="n">
        <v>0</v>
      </c>
      <c r="J311" t="n">
        <v>1</v>
      </c>
      <c r="K311" t="n">
        <v>0</v>
      </c>
      <c r="L311" t="n">
        <v>0</v>
      </c>
      <c r="M311" t="n">
        <v>0</v>
      </c>
      <c r="N311" t="n">
        <v>0</v>
      </c>
      <c r="O311" t="n">
        <v>1</v>
      </c>
      <c r="P311" t="n">
        <v>0</v>
      </c>
      <c r="Q311" t="n">
        <v>2</v>
      </c>
      <c r="R311" s="2" t="inlineStr">
        <is>
          <t>Rödvingetrast
Kungsfågel</t>
        </is>
      </c>
      <c r="S311">
        <f>HYPERLINK("https://klasma.github.io/Logging_232305/artfynd/A 10856-2025 artfynd.xlsx", "A 10856-2025")</f>
        <v/>
      </c>
      <c r="T311">
        <f>HYPERLINK("https://klasma.github.io/Logging_232305/kartor/A 10856-2025 karta.png", "A 10856-2025")</f>
        <v/>
      </c>
      <c r="V311">
        <f>HYPERLINK("https://klasma.github.io/Logging_232305/klagomål/A 10856-2025 FSC-klagomål.docx", "A 10856-2025")</f>
        <v/>
      </c>
      <c r="W311">
        <f>HYPERLINK("https://klasma.github.io/Logging_232305/klagomålsmail/A 10856-2025 FSC-klagomål mail.docx", "A 10856-2025")</f>
        <v/>
      </c>
      <c r="X311">
        <f>HYPERLINK("https://klasma.github.io/Logging_232305/tillsyn/A 10856-2025 tillsynsbegäran.docx", "A 10856-2025")</f>
        <v/>
      </c>
      <c r="Y311">
        <f>HYPERLINK("https://klasma.github.io/Logging_232305/tillsynsmail/A 10856-2025 tillsynsbegäran mail.docx", "A 10856-2025")</f>
        <v/>
      </c>
      <c r="Z311">
        <f>HYPERLINK("https://klasma.github.io/Logging_232305/fåglar/A 10856-2025 prioriterade fågelarter.docx", "A 10856-2025")</f>
        <v/>
      </c>
    </row>
    <row r="312" ht="15" customHeight="1">
      <c r="A312" t="inlineStr">
        <is>
          <t>A 11787-2025</t>
        </is>
      </c>
      <c r="B312" s="1" t="n">
        <v>45727</v>
      </c>
      <c r="C312" s="1" t="n">
        <v>45847</v>
      </c>
      <c r="D312" t="inlineStr">
        <is>
          <t>JÄMTLANDS LÄN</t>
        </is>
      </c>
      <c r="E312" t="inlineStr">
        <is>
          <t>BRÄCKE</t>
        </is>
      </c>
      <c r="F312" t="inlineStr">
        <is>
          <t>SCA</t>
        </is>
      </c>
      <c r="G312" t="n">
        <v>1.9</v>
      </c>
      <c r="H312" t="n">
        <v>0</v>
      </c>
      <c r="I312" t="n">
        <v>0</v>
      </c>
      <c r="J312" t="n">
        <v>2</v>
      </c>
      <c r="K312" t="n">
        <v>0</v>
      </c>
      <c r="L312" t="n">
        <v>0</v>
      </c>
      <c r="M312" t="n">
        <v>0</v>
      </c>
      <c r="N312" t="n">
        <v>0</v>
      </c>
      <c r="O312" t="n">
        <v>2</v>
      </c>
      <c r="P312" t="n">
        <v>0</v>
      </c>
      <c r="Q312" t="n">
        <v>2</v>
      </c>
      <c r="R312" s="2" t="inlineStr">
        <is>
          <t>Stiftgelélav
Ullticka</t>
        </is>
      </c>
      <c r="S312">
        <f>HYPERLINK("https://klasma.github.io/Logging_232305/artfynd/A 11787-2025 artfynd.xlsx", "A 11787-2025")</f>
        <v/>
      </c>
      <c r="T312">
        <f>HYPERLINK("https://klasma.github.io/Logging_232305/kartor/A 11787-2025 karta.png", "A 11787-2025")</f>
        <v/>
      </c>
      <c r="V312">
        <f>HYPERLINK("https://klasma.github.io/Logging_232305/klagomål/A 11787-2025 FSC-klagomål.docx", "A 11787-2025")</f>
        <v/>
      </c>
      <c r="W312">
        <f>HYPERLINK("https://klasma.github.io/Logging_232305/klagomålsmail/A 11787-2025 FSC-klagomål mail.docx", "A 11787-2025")</f>
        <v/>
      </c>
      <c r="X312">
        <f>HYPERLINK("https://klasma.github.io/Logging_232305/tillsyn/A 11787-2025 tillsynsbegäran.docx", "A 11787-2025")</f>
        <v/>
      </c>
      <c r="Y312">
        <f>HYPERLINK("https://klasma.github.io/Logging_232305/tillsynsmail/A 11787-2025 tillsynsbegäran mail.docx", "A 11787-2025")</f>
        <v/>
      </c>
    </row>
    <row r="313" ht="15" customHeight="1">
      <c r="A313" t="inlineStr">
        <is>
          <t>A 14190-2025</t>
        </is>
      </c>
      <c r="B313" s="1" t="n">
        <v>45740</v>
      </c>
      <c r="C313" s="1" t="n">
        <v>45847</v>
      </c>
      <c r="D313" t="inlineStr">
        <is>
          <t>JÄMTLANDS LÄN</t>
        </is>
      </c>
      <c r="E313" t="inlineStr">
        <is>
          <t>BRÄCKE</t>
        </is>
      </c>
      <c r="F313" t="inlineStr">
        <is>
          <t>SCA</t>
        </is>
      </c>
      <c r="G313" t="n">
        <v>11.4</v>
      </c>
      <c r="H313" t="n">
        <v>0</v>
      </c>
      <c r="I313" t="n">
        <v>0</v>
      </c>
      <c r="J313" t="n">
        <v>2</v>
      </c>
      <c r="K313" t="n">
        <v>0</v>
      </c>
      <c r="L313" t="n">
        <v>0</v>
      </c>
      <c r="M313" t="n">
        <v>0</v>
      </c>
      <c r="N313" t="n">
        <v>0</v>
      </c>
      <c r="O313" t="n">
        <v>2</v>
      </c>
      <c r="P313" t="n">
        <v>0</v>
      </c>
      <c r="Q313" t="n">
        <v>2</v>
      </c>
      <c r="R313" s="2" t="inlineStr">
        <is>
          <t>Rosenticka
Ullticka</t>
        </is>
      </c>
      <c r="S313">
        <f>HYPERLINK("https://klasma.github.io/Logging_232305/artfynd/A 14190-2025 artfynd.xlsx", "A 14190-2025")</f>
        <v/>
      </c>
      <c r="T313">
        <f>HYPERLINK("https://klasma.github.io/Logging_232305/kartor/A 14190-2025 karta.png", "A 14190-2025")</f>
        <v/>
      </c>
      <c r="V313">
        <f>HYPERLINK("https://klasma.github.io/Logging_232305/klagomål/A 14190-2025 FSC-klagomål.docx", "A 14190-2025")</f>
        <v/>
      </c>
      <c r="W313">
        <f>HYPERLINK("https://klasma.github.io/Logging_232305/klagomålsmail/A 14190-2025 FSC-klagomål mail.docx", "A 14190-2025")</f>
        <v/>
      </c>
      <c r="X313">
        <f>HYPERLINK("https://klasma.github.io/Logging_232305/tillsyn/A 14190-2025 tillsynsbegäran.docx", "A 14190-2025")</f>
        <v/>
      </c>
      <c r="Y313">
        <f>HYPERLINK("https://klasma.github.io/Logging_232305/tillsynsmail/A 14190-2025 tillsynsbegäran mail.docx", "A 14190-2025")</f>
        <v/>
      </c>
    </row>
    <row r="314" ht="15" customHeight="1">
      <c r="A314" t="inlineStr">
        <is>
          <t>A 17489-2025</t>
        </is>
      </c>
      <c r="B314" s="1" t="n">
        <v>45757</v>
      </c>
      <c r="C314" s="1" t="n">
        <v>45847</v>
      </c>
      <c r="D314" t="inlineStr">
        <is>
          <t>JÄMTLANDS LÄN</t>
        </is>
      </c>
      <c r="E314" t="inlineStr">
        <is>
          <t>BRÄCKE</t>
        </is>
      </c>
      <c r="F314" t="inlineStr">
        <is>
          <t>SCA</t>
        </is>
      </c>
      <c r="G314" t="n">
        <v>4.6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17489-2025 artfynd.xlsx", "A 17489-2025")</f>
        <v/>
      </c>
      <c r="T314">
        <f>HYPERLINK("https://klasma.github.io/Logging_232305/kartor/A 17489-2025 karta.png", "A 17489-2025")</f>
        <v/>
      </c>
      <c r="V314">
        <f>HYPERLINK("https://klasma.github.io/Logging_232305/klagomål/A 17489-2025 FSC-klagomål.docx", "A 17489-2025")</f>
        <v/>
      </c>
      <c r="W314">
        <f>HYPERLINK("https://klasma.github.io/Logging_232305/klagomålsmail/A 17489-2025 FSC-klagomål mail.docx", "A 17489-2025")</f>
        <v/>
      </c>
      <c r="X314">
        <f>HYPERLINK("https://klasma.github.io/Logging_232305/tillsyn/A 17489-2025 tillsynsbegäran.docx", "A 17489-2025")</f>
        <v/>
      </c>
      <c r="Y314">
        <f>HYPERLINK("https://klasma.github.io/Logging_232305/tillsynsmail/A 17489-2025 tillsynsbegäran mail.docx", "A 17489-2025")</f>
        <v/>
      </c>
    </row>
    <row r="315" ht="15" customHeight="1">
      <c r="A315" t="inlineStr">
        <is>
          <t>A 17992-2025</t>
        </is>
      </c>
      <c r="B315" s="1" t="n">
        <v>45761</v>
      </c>
      <c r="C315" s="1" t="n">
        <v>45847</v>
      </c>
      <c r="D315" t="inlineStr">
        <is>
          <t>JÄMTLANDS LÄN</t>
        </is>
      </c>
      <c r="E315" t="inlineStr">
        <is>
          <t>BRÄCKE</t>
        </is>
      </c>
      <c r="F315" t="inlineStr">
        <is>
          <t>SCA</t>
        </is>
      </c>
      <c r="G315" t="n">
        <v>1.4</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17992-2025 artfynd.xlsx", "A 17992-2025")</f>
        <v/>
      </c>
      <c r="T315">
        <f>HYPERLINK("https://klasma.github.io/Logging_232305/kartor/A 17992-2025 karta.png", "A 17992-2025")</f>
        <v/>
      </c>
      <c r="V315">
        <f>HYPERLINK("https://klasma.github.io/Logging_232305/klagomål/A 17992-2025 FSC-klagomål.docx", "A 17992-2025")</f>
        <v/>
      </c>
      <c r="W315">
        <f>HYPERLINK("https://klasma.github.io/Logging_232305/klagomålsmail/A 17992-2025 FSC-klagomål mail.docx", "A 17992-2025")</f>
        <v/>
      </c>
      <c r="X315">
        <f>HYPERLINK("https://klasma.github.io/Logging_232305/tillsyn/A 17992-2025 tillsynsbegäran.docx", "A 17992-2025")</f>
        <v/>
      </c>
      <c r="Y315">
        <f>HYPERLINK("https://klasma.github.io/Logging_232305/tillsynsmail/A 17992-2025 tillsynsbegäran mail.docx", "A 17992-2025")</f>
        <v/>
      </c>
    </row>
    <row r="316" ht="15" customHeight="1">
      <c r="A316" t="inlineStr">
        <is>
          <t>A 18569-2025</t>
        </is>
      </c>
      <c r="B316" s="1" t="n">
        <v>45763</v>
      </c>
      <c r="C316" s="1" t="n">
        <v>45847</v>
      </c>
      <c r="D316" t="inlineStr">
        <is>
          <t>JÄMTLANDS LÄN</t>
        </is>
      </c>
      <c r="E316" t="inlineStr">
        <is>
          <t>BRÄCKE</t>
        </is>
      </c>
      <c r="G316" t="n">
        <v>8.1</v>
      </c>
      <c r="H316" t="n">
        <v>1</v>
      </c>
      <c r="I316" t="n">
        <v>0</v>
      </c>
      <c r="J316" t="n">
        <v>2</v>
      </c>
      <c r="K316" t="n">
        <v>0</v>
      </c>
      <c r="L316" t="n">
        <v>0</v>
      </c>
      <c r="M316" t="n">
        <v>0</v>
      </c>
      <c r="N316" t="n">
        <v>0</v>
      </c>
      <c r="O316" t="n">
        <v>2</v>
      </c>
      <c r="P316" t="n">
        <v>0</v>
      </c>
      <c r="Q316" t="n">
        <v>2</v>
      </c>
      <c r="R316" s="2" t="inlineStr">
        <is>
          <t>Garnlav
Spillkråka</t>
        </is>
      </c>
      <c r="S316">
        <f>HYPERLINK("https://klasma.github.io/Logging_232305/artfynd/A 18569-2025 artfynd.xlsx", "A 18569-2025")</f>
        <v/>
      </c>
      <c r="T316">
        <f>HYPERLINK("https://klasma.github.io/Logging_232305/kartor/A 18569-2025 karta.png", "A 18569-2025")</f>
        <v/>
      </c>
      <c r="V316">
        <f>HYPERLINK("https://klasma.github.io/Logging_232305/klagomål/A 18569-2025 FSC-klagomål.docx", "A 18569-2025")</f>
        <v/>
      </c>
      <c r="W316">
        <f>HYPERLINK("https://klasma.github.io/Logging_232305/klagomålsmail/A 18569-2025 FSC-klagomål mail.docx", "A 18569-2025")</f>
        <v/>
      </c>
      <c r="X316">
        <f>HYPERLINK("https://klasma.github.io/Logging_232305/tillsyn/A 18569-2025 tillsynsbegäran.docx", "A 18569-2025")</f>
        <v/>
      </c>
      <c r="Y316">
        <f>HYPERLINK("https://klasma.github.io/Logging_232305/tillsynsmail/A 18569-2025 tillsynsbegäran mail.docx", "A 18569-2025")</f>
        <v/>
      </c>
      <c r="Z316">
        <f>HYPERLINK("https://klasma.github.io/Logging_232305/fåglar/A 18569-2025 prioriterade fågelarter.docx", "A 18569-2025")</f>
        <v/>
      </c>
    </row>
    <row r="317" ht="15" customHeight="1">
      <c r="A317" t="inlineStr">
        <is>
          <t>A 19916-2025</t>
        </is>
      </c>
      <c r="B317" s="1" t="n">
        <v>45771</v>
      </c>
      <c r="C317" s="1" t="n">
        <v>45847</v>
      </c>
      <c r="D317" t="inlineStr">
        <is>
          <t>JÄMTLANDS LÄN</t>
        </is>
      </c>
      <c r="E317" t="inlineStr">
        <is>
          <t>BRÄCKE</t>
        </is>
      </c>
      <c r="F317" t="inlineStr">
        <is>
          <t>SCA</t>
        </is>
      </c>
      <c r="G317" t="n">
        <v>7.5</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19916-2025 artfynd.xlsx", "A 19916-2025")</f>
        <v/>
      </c>
      <c r="T317">
        <f>HYPERLINK("https://klasma.github.io/Logging_232305/kartor/A 19916-2025 karta.png", "A 19916-2025")</f>
        <v/>
      </c>
      <c r="U317">
        <f>HYPERLINK("https://klasma.github.io/Logging_232305/knärot/A 19916-2025 karta knärot.png", "A 19916-2025")</f>
        <v/>
      </c>
      <c r="V317">
        <f>HYPERLINK("https://klasma.github.io/Logging_232305/klagomål/A 19916-2025 FSC-klagomål.docx", "A 19916-2025")</f>
        <v/>
      </c>
      <c r="W317">
        <f>HYPERLINK("https://klasma.github.io/Logging_232305/klagomålsmail/A 19916-2025 FSC-klagomål mail.docx", "A 19916-2025")</f>
        <v/>
      </c>
      <c r="X317">
        <f>HYPERLINK("https://klasma.github.io/Logging_232305/tillsyn/A 19916-2025 tillsynsbegäran.docx", "A 19916-2025")</f>
        <v/>
      </c>
      <c r="Y317">
        <f>HYPERLINK("https://klasma.github.io/Logging_232305/tillsynsmail/A 19916-2025 tillsynsbegäran mail.docx", "A 19916-2025")</f>
        <v/>
      </c>
    </row>
    <row r="318" ht="15" customHeight="1">
      <c r="A318" t="inlineStr">
        <is>
          <t>A 21408-2025</t>
        </is>
      </c>
      <c r="B318" s="1" t="n">
        <v>45782</v>
      </c>
      <c r="C318" s="1" t="n">
        <v>45847</v>
      </c>
      <c r="D318" t="inlineStr">
        <is>
          <t>JÄMTLANDS LÄN</t>
        </is>
      </c>
      <c r="E318" t="inlineStr">
        <is>
          <t>BRÄCKE</t>
        </is>
      </c>
      <c r="F318" t="inlineStr">
        <is>
          <t>SCA</t>
        </is>
      </c>
      <c r="G318" t="n">
        <v>1.2</v>
      </c>
      <c r="H318" t="n">
        <v>1</v>
      </c>
      <c r="I318" t="n">
        <v>1</v>
      </c>
      <c r="J318" t="n">
        <v>0</v>
      </c>
      <c r="K318" t="n">
        <v>0</v>
      </c>
      <c r="L318" t="n">
        <v>0</v>
      </c>
      <c r="M318" t="n">
        <v>0</v>
      </c>
      <c r="N318" t="n">
        <v>0</v>
      </c>
      <c r="O318" t="n">
        <v>0</v>
      </c>
      <c r="P318" t="n">
        <v>0</v>
      </c>
      <c r="Q318" t="n">
        <v>2</v>
      </c>
      <c r="R318" s="2" t="inlineStr">
        <is>
          <t>Underviol
Blåsippa</t>
        </is>
      </c>
      <c r="S318">
        <f>HYPERLINK("https://klasma.github.io/Logging_232305/artfynd/A 21408-2025 artfynd.xlsx", "A 21408-2025")</f>
        <v/>
      </c>
      <c r="T318">
        <f>HYPERLINK("https://klasma.github.io/Logging_232305/kartor/A 21408-2025 karta.png", "A 21408-2025")</f>
        <v/>
      </c>
      <c r="V318">
        <f>HYPERLINK("https://klasma.github.io/Logging_232305/klagomål/A 21408-2025 FSC-klagomål.docx", "A 21408-2025")</f>
        <v/>
      </c>
      <c r="W318">
        <f>HYPERLINK("https://klasma.github.io/Logging_232305/klagomålsmail/A 21408-2025 FSC-klagomål mail.docx", "A 21408-2025")</f>
        <v/>
      </c>
      <c r="X318">
        <f>HYPERLINK("https://klasma.github.io/Logging_232305/tillsyn/A 21408-2025 tillsynsbegäran.docx", "A 21408-2025")</f>
        <v/>
      </c>
      <c r="Y318">
        <f>HYPERLINK("https://klasma.github.io/Logging_232305/tillsynsmail/A 21408-2025 tillsynsbegäran mail.docx", "A 21408-2025")</f>
        <v/>
      </c>
    </row>
    <row r="319" ht="15" customHeight="1">
      <c r="A319" t="inlineStr">
        <is>
          <t>A 22706-2025</t>
        </is>
      </c>
      <c r="B319" s="1" t="n">
        <v>45789</v>
      </c>
      <c r="C319" s="1" t="n">
        <v>45847</v>
      </c>
      <c r="D319" t="inlineStr">
        <is>
          <t>JÄMTLANDS LÄN</t>
        </is>
      </c>
      <c r="E319" t="inlineStr">
        <is>
          <t>BRÄCKE</t>
        </is>
      </c>
      <c r="F319" t="inlineStr">
        <is>
          <t>SCA</t>
        </is>
      </c>
      <c r="G319" t="n">
        <v>2.7</v>
      </c>
      <c r="H319" t="n">
        <v>0</v>
      </c>
      <c r="I319" t="n">
        <v>0</v>
      </c>
      <c r="J319" t="n">
        <v>2</v>
      </c>
      <c r="K319" t="n">
        <v>0</v>
      </c>
      <c r="L319" t="n">
        <v>0</v>
      </c>
      <c r="M319" t="n">
        <v>0</v>
      </c>
      <c r="N319" t="n">
        <v>0</v>
      </c>
      <c r="O319" t="n">
        <v>2</v>
      </c>
      <c r="P319" t="n">
        <v>0</v>
      </c>
      <c r="Q319" t="n">
        <v>2</v>
      </c>
      <c r="R319" s="2" t="inlineStr">
        <is>
          <t>Kolflarnlav
Stiftgelélav</t>
        </is>
      </c>
      <c r="S319">
        <f>HYPERLINK("https://klasma.github.io/Logging_232305/artfynd/A 22706-2025 artfynd.xlsx", "A 22706-2025")</f>
        <v/>
      </c>
      <c r="T319">
        <f>HYPERLINK("https://klasma.github.io/Logging_232305/kartor/A 22706-2025 karta.png", "A 22706-2025")</f>
        <v/>
      </c>
      <c r="V319">
        <f>HYPERLINK("https://klasma.github.io/Logging_232305/klagomål/A 22706-2025 FSC-klagomål.docx", "A 22706-2025")</f>
        <v/>
      </c>
      <c r="W319">
        <f>HYPERLINK("https://klasma.github.io/Logging_232305/klagomålsmail/A 22706-2025 FSC-klagomål mail.docx", "A 22706-2025")</f>
        <v/>
      </c>
      <c r="X319">
        <f>HYPERLINK("https://klasma.github.io/Logging_232305/tillsyn/A 22706-2025 tillsynsbegäran.docx", "A 22706-2025")</f>
        <v/>
      </c>
      <c r="Y319">
        <f>HYPERLINK("https://klasma.github.io/Logging_232305/tillsynsmail/A 22706-2025 tillsynsbegäran mail.docx", "A 22706-2025")</f>
        <v/>
      </c>
    </row>
    <row r="320" ht="15" customHeight="1">
      <c r="A320" t="inlineStr">
        <is>
          <t>A 24747-2025</t>
        </is>
      </c>
      <c r="B320" s="1" t="n">
        <v>45799</v>
      </c>
      <c r="C320" s="1" t="n">
        <v>45847</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45847</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45847</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45847</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45847</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45847</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45847</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45847</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45847</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45847</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45847</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45847</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45847</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45847</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45847</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45847</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45847</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45847</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45847</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45847</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45847</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45847</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45847</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45847</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45847</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45847</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45847</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45847</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45847</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45847</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45847</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45847</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45847</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45847</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45847</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45847</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45847</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45847</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45847</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45847</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45847</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45847</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45847</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45847</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45847</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45847</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45847</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45847</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45847</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45847</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45847</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45847</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45847</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45847</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45847</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45847</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45847</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45847</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45847</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45847</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45847</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45847</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45847</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45847</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45847</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45847</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45847</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45847</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45847</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45847</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45847</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45847</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45847</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45847</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45847</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45847</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45847</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45847</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45847</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45847</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45847</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45847</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45847</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45847</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45847</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45847</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45847</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45847</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45847</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45847</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45847</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45847</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45847</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45847</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45847</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45847</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45847</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45847</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45847</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45847</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45847</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45847</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45847</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45847</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45847</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45847</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45847</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45847</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45847</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45847</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45847</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45847</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45847</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45847</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45847</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45847</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45847</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45847</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45847</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45847</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45847</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45847</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45847</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45847</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45847</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45847</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45847</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45847</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45847</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45847</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45847</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45847</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45847</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45847</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45847</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45847</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45847</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45847</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45847</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45847</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45847</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34226-2025</t>
        </is>
      </c>
      <c r="B461" s="1" t="n">
        <v>45845</v>
      </c>
      <c r="C461" s="1" t="n">
        <v>45847</v>
      </c>
      <c r="D461" t="inlineStr">
        <is>
          <t>JÄMTLANDS LÄN</t>
        </is>
      </c>
      <c r="E461" t="inlineStr">
        <is>
          <t>BRÄCKE</t>
        </is>
      </c>
      <c r="F461" t="inlineStr">
        <is>
          <t>SCA</t>
        </is>
      </c>
      <c r="G461" t="n">
        <v>9</v>
      </c>
      <c r="H461" t="n">
        <v>1</v>
      </c>
      <c r="I461" t="n">
        <v>0</v>
      </c>
      <c r="J461" t="n">
        <v>1</v>
      </c>
      <c r="K461" t="n">
        <v>0</v>
      </c>
      <c r="L461" t="n">
        <v>0</v>
      </c>
      <c r="M461" t="n">
        <v>0</v>
      </c>
      <c r="N461" t="n">
        <v>0</v>
      </c>
      <c r="O461" t="n">
        <v>1</v>
      </c>
      <c r="P461" t="n">
        <v>0</v>
      </c>
      <c r="Q461" t="n">
        <v>1</v>
      </c>
      <c r="R461" s="2" t="inlineStr">
        <is>
          <t>Talltita</t>
        </is>
      </c>
      <c r="S461">
        <f>HYPERLINK("https://klasma.github.io/Logging_232305/artfynd/A 34226-2025 artfynd.xlsx", "A 34226-2025")</f>
        <v/>
      </c>
      <c r="T461">
        <f>HYPERLINK("https://klasma.github.io/Logging_232305/kartor/A 34226-2025 karta.png", "A 34226-2025")</f>
        <v/>
      </c>
      <c r="V461">
        <f>HYPERLINK("https://klasma.github.io/Logging_232305/klagomål/A 34226-2025 FSC-klagomål.docx", "A 34226-2025")</f>
        <v/>
      </c>
      <c r="W461">
        <f>HYPERLINK("https://klasma.github.io/Logging_232305/klagomålsmail/A 34226-2025 FSC-klagomål mail.docx", "A 34226-2025")</f>
        <v/>
      </c>
      <c r="X461">
        <f>HYPERLINK("https://klasma.github.io/Logging_232305/tillsyn/A 34226-2025 tillsynsbegäran.docx", "A 34226-2025")</f>
        <v/>
      </c>
      <c r="Y461">
        <f>HYPERLINK("https://klasma.github.io/Logging_232305/tillsynsmail/A 34226-2025 tillsynsbegäran mail.docx", "A 34226-2025")</f>
        <v/>
      </c>
      <c r="Z461">
        <f>HYPERLINK("https://klasma.github.io/Logging_232305/fåglar/A 34226-2025 prioriterade fågelarter.docx", "A 34226-2025")</f>
        <v/>
      </c>
    </row>
    <row r="462" ht="15" customHeight="1">
      <c r="A462" t="inlineStr">
        <is>
          <t>A 34300-2025</t>
        </is>
      </c>
      <c r="B462" s="1" t="n">
        <v>45846</v>
      </c>
      <c r="C462" s="1" t="n">
        <v>45847</v>
      </c>
      <c r="D462" t="inlineStr">
        <is>
          <t>JÄMTLANDS LÄN</t>
        </is>
      </c>
      <c r="E462" t="inlineStr">
        <is>
          <t>BRÄCKE</t>
        </is>
      </c>
      <c r="F462" t="inlineStr">
        <is>
          <t>Naturvårdsverket</t>
        </is>
      </c>
      <c r="G462" t="n">
        <v>2.3</v>
      </c>
      <c r="H462" t="n">
        <v>0</v>
      </c>
      <c r="I462" t="n">
        <v>0</v>
      </c>
      <c r="J462" t="n">
        <v>0</v>
      </c>
      <c r="K462" t="n">
        <v>1</v>
      </c>
      <c r="L462" t="n">
        <v>0</v>
      </c>
      <c r="M462" t="n">
        <v>0</v>
      </c>
      <c r="N462" t="n">
        <v>0</v>
      </c>
      <c r="O462" t="n">
        <v>1</v>
      </c>
      <c r="P462" t="n">
        <v>1</v>
      </c>
      <c r="Q462" t="n">
        <v>1</v>
      </c>
      <c r="R462" s="2" t="inlineStr">
        <is>
          <t>Rotfingersvamp</t>
        </is>
      </c>
      <c r="S462">
        <f>HYPERLINK("https://klasma.github.io/Logging_232305/artfynd/A 34300-2025 artfynd.xlsx", "A 34300-2025")</f>
        <v/>
      </c>
      <c r="T462">
        <f>HYPERLINK("https://klasma.github.io/Logging_232305/kartor/A 34300-2025 karta.png", "A 34300-2025")</f>
        <v/>
      </c>
      <c r="V462">
        <f>HYPERLINK("https://klasma.github.io/Logging_232305/klagomål/A 34300-2025 FSC-klagomål.docx", "A 34300-2025")</f>
        <v/>
      </c>
      <c r="W462">
        <f>HYPERLINK("https://klasma.github.io/Logging_232305/klagomålsmail/A 34300-2025 FSC-klagomål mail.docx", "A 34300-2025")</f>
        <v/>
      </c>
      <c r="X462">
        <f>HYPERLINK("https://klasma.github.io/Logging_232305/tillsyn/A 34300-2025 tillsynsbegäran.docx", "A 34300-2025")</f>
        <v/>
      </c>
      <c r="Y462">
        <f>HYPERLINK("https://klasma.github.io/Logging_232305/tillsynsmail/A 34300-2025 tillsynsbegäran mail.docx", "A 34300-2025")</f>
        <v/>
      </c>
    </row>
    <row r="463" ht="15" customHeight="1">
      <c r="A463" t="inlineStr">
        <is>
          <t>A 17852-2019</t>
        </is>
      </c>
      <c r="B463" s="1" t="n">
        <v>43556</v>
      </c>
      <c r="C463" s="1" t="n">
        <v>45847</v>
      </c>
      <c r="D463" t="inlineStr">
        <is>
          <t>JÄMTLANDS LÄN</t>
        </is>
      </c>
      <c r="E463" t="inlineStr">
        <is>
          <t>BRÄCKE</t>
        </is>
      </c>
      <c r="G463" t="n">
        <v>2.8</v>
      </c>
      <c r="H463" t="n">
        <v>0</v>
      </c>
      <c r="I463" t="n">
        <v>0</v>
      </c>
      <c r="J463" t="n">
        <v>0</v>
      </c>
      <c r="K463" t="n">
        <v>0</v>
      </c>
      <c r="L463" t="n">
        <v>0</v>
      </c>
      <c r="M463" t="n">
        <v>0</v>
      </c>
      <c r="N463" t="n">
        <v>0</v>
      </c>
      <c r="O463" t="n">
        <v>0</v>
      </c>
      <c r="P463" t="n">
        <v>0</v>
      </c>
      <c r="Q463" t="n">
        <v>0</v>
      </c>
      <c r="R463" s="2" t="inlineStr"/>
    </row>
    <row r="464" ht="15" customHeight="1">
      <c r="A464" t="inlineStr">
        <is>
          <t>A 19559-2019</t>
        </is>
      </c>
      <c r="B464" s="1" t="n">
        <v>43565</v>
      </c>
      <c r="C464" s="1" t="n">
        <v>45847</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19925-2019</t>
        </is>
      </c>
      <c r="B465" s="1" t="n">
        <v>43567</v>
      </c>
      <c r="C465" s="1" t="n">
        <v>45847</v>
      </c>
      <c r="D465" t="inlineStr">
        <is>
          <t>JÄMTLANDS LÄN</t>
        </is>
      </c>
      <c r="E465" t="inlineStr">
        <is>
          <t>BRÄCKE</t>
        </is>
      </c>
      <c r="F465" t="inlineStr">
        <is>
          <t>SCA</t>
        </is>
      </c>
      <c r="G465" t="n">
        <v>20</v>
      </c>
      <c r="H465" t="n">
        <v>0</v>
      </c>
      <c r="I465" t="n">
        <v>0</v>
      </c>
      <c r="J465" t="n">
        <v>0</v>
      </c>
      <c r="K465" t="n">
        <v>0</v>
      </c>
      <c r="L465" t="n">
        <v>0</v>
      </c>
      <c r="M465" t="n">
        <v>0</v>
      </c>
      <c r="N465" t="n">
        <v>0</v>
      </c>
      <c r="O465" t="n">
        <v>0</v>
      </c>
      <c r="P465" t="n">
        <v>0</v>
      </c>
      <c r="Q465" t="n">
        <v>0</v>
      </c>
      <c r="R465" s="2" t="inlineStr"/>
    </row>
    <row r="466" ht="15" customHeight="1">
      <c r="A466" t="inlineStr">
        <is>
          <t>A 19927-2019</t>
        </is>
      </c>
      <c r="B466" s="1" t="n">
        <v>43567</v>
      </c>
      <c r="C466" s="1" t="n">
        <v>45847</v>
      </c>
      <c r="D466" t="inlineStr">
        <is>
          <t>JÄMTLANDS LÄN</t>
        </is>
      </c>
      <c r="E466" t="inlineStr">
        <is>
          <t>BRÄCKE</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19926-2019</t>
        </is>
      </c>
      <c r="B467" s="1" t="n">
        <v>43567</v>
      </c>
      <c r="C467" s="1" t="n">
        <v>45847</v>
      </c>
      <c r="D467" t="inlineStr">
        <is>
          <t>JÄMTLANDS LÄN</t>
        </is>
      </c>
      <c r="E467" t="inlineStr">
        <is>
          <t>BRÄCKE</t>
        </is>
      </c>
      <c r="F467" t="inlineStr">
        <is>
          <t>SCA</t>
        </is>
      </c>
      <c r="G467" t="n">
        <v>18.6</v>
      </c>
      <c r="H467" t="n">
        <v>0</v>
      </c>
      <c r="I467" t="n">
        <v>0</v>
      </c>
      <c r="J467" t="n">
        <v>0</v>
      </c>
      <c r="K467" t="n">
        <v>0</v>
      </c>
      <c r="L467" t="n">
        <v>0</v>
      </c>
      <c r="M467" t="n">
        <v>0</v>
      </c>
      <c r="N467" t="n">
        <v>0</v>
      </c>
      <c r="O467" t="n">
        <v>0</v>
      </c>
      <c r="P467" t="n">
        <v>0</v>
      </c>
      <c r="Q467" t="n">
        <v>0</v>
      </c>
      <c r="R467" s="2" t="inlineStr"/>
    </row>
    <row r="468" ht="15" customHeight="1">
      <c r="A468" t="inlineStr">
        <is>
          <t>A 20186-2019</t>
        </is>
      </c>
      <c r="B468" s="1" t="n">
        <v>43570</v>
      </c>
      <c r="C468" s="1" t="n">
        <v>45847</v>
      </c>
      <c r="D468" t="inlineStr">
        <is>
          <t>JÄMTLANDS LÄN</t>
        </is>
      </c>
      <c r="E468" t="inlineStr">
        <is>
          <t>BRÄCKE</t>
        </is>
      </c>
      <c r="G468" t="n">
        <v>2.1</v>
      </c>
      <c r="H468" t="n">
        <v>0</v>
      </c>
      <c r="I468" t="n">
        <v>0</v>
      </c>
      <c r="J468" t="n">
        <v>0</v>
      </c>
      <c r="K468" t="n">
        <v>0</v>
      </c>
      <c r="L468" t="n">
        <v>0</v>
      </c>
      <c r="M468" t="n">
        <v>0</v>
      </c>
      <c r="N468" t="n">
        <v>0</v>
      </c>
      <c r="O468" t="n">
        <v>0</v>
      </c>
      <c r="P468" t="n">
        <v>0</v>
      </c>
      <c r="Q468" t="n">
        <v>0</v>
      </c>
      <c r="R468" s="2" t="inlineStr"/>
    </row>
    <row r="469" ht="15" customHeight="1">
      <c r="A469" t="inlineStr">
        <is>
          <t>A 20390-2019</t>
        </is>
      </c>
      <c r="B469" s="1" t="n">
        <v>43571</v>
      </c>
      <c r="C469" s="1" t="n">
        <v>45847</v>
      </c>
      <c r="D469" t="inlineStr">
        <is>
          <t>JÄMTLANDS LÄN</t>
        </is>
      </c>
      <c r="E469" t="inlineStr">
        <is>
          <t>BRÄCKE</t>
        </is>
      </c>
      <c r="G469" t="n">
        <v>3</v>
      </c>
      <c r="H469" t="n">
        <v>0</v>
      </c>
      <c r="I469" t="n">
        <v>0</v>
      </c>
      <c r="J469" t="n">
        <v>0</v>
      </c>
      <c r="K469" t="n">
        <v>0</v>
      </c>
      <c r="L469" t="n">
        <v>0</v>
      </c>
      <c r="M469" t="n">
        <v>0</v>
      </c>
      <c r="N469" t="n">
        <v>0</v>
      </c>
      <c r="O469" t="n">
        <v>0</v>
      </c>
      <c r="P469" t="n">
        <v>0</v>
      </c>
      <c r="Q469" t="n">
        <v>0</v>
      </c>
      <c r="R469" s="2" t="inlineStr"/>
    </row>
    <row r="470" ht="15" customHeight="1">
      <c r="A470" t="inlineStr">
        <is>
          <t>A 20448-2019</t>
        </is>
      </c>
      <c r="B470" s="1" t="n">
        <v>43571</v>
      </c>
      <c r="C470" s="1" t="n">
        <v>45847</v>
      </c>
      <c r="D470" t="inlineStr">
        <is>
          <t>JÄMTLANDS LÄN</t>
        </is>
      </c>
      <c r="E470" t="inlineStr">
        <is>
          <t>BRÄCKE</t>
        </is>
      </c>
      <c r="F470" t="inlineStr">
        <is>
          <t>SCA</t>
        </is>
      </c>
      <c r="G470" t="n">
        <v>70</v>
      </c>
      <c r="H470" t="n">
        <v>0</v>
      </c>
      <c r="I470" t="n">
        <v>0</v>
      </c>
      <c r="J470" t="n">
        <v>0</v>
      </c>
      <c r="K470" t="n">
        <v>0</v>
      </c>
      <c r="L470" t="n">
        <v>0</v>
      </c>
      <c r="M470" t="n">
        <v>0</v>
      </c>
      <c r="N470" t="n">
        <v>0</v>
      </c>
      <c r="O470" t="n">
        <v>0</v>
      </c>
      <c r="P470" t="n">
        <v>0</v>
      </c>
      <c r="Q470" t="n">
        <v>0</v>
      </c>
      <c r="R470" s="2" t="inlineStr"/>
    </row>
    <row r="471" ht="15" customHeight="1">
      <c r="A471" t="inlineStr">
        <is>
          <t>A 20539-2019</t>
        </is>
      </c>
      <c r="B471" s="1" t="n">
        <v>43572</v>
      </c>
      <c r="C471" s="1" t="n">
        <v>45847</v>
      </c>
      <c r="D471" t="inlineStr">
        <is>
          <t>JÄMTLANDS LÄN</t>
        </is>
      </c>
      <c r="E471" t="inlineStr">
        <is>
          <t>BRÄCKE</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20535-2019</t>
        </is>
      </c>
      <c r="B472" s="1" t="n">
        <v>43572</v>
      </c>
      <c r="C472" s="1" t="n">
        <v>45847</v>
      </c>
      <c r="D472" t="inlineStr">
        <is>
          <t>JÄMTLANDS LÄN</t>
        </is>
      </c>
      <c r="E472" t="inlineStr">
        <is>
          <t>BRÄCKE</t>
        </is>
      </c>
      <c r="F472" t="inlineStr">
        <is>
          <t>Sveaskog</t>
        </is>
      </c>
      <c r="G472" t="n">
        <v>10.6</v>
      </c>
      <c r="H472" t="n">
        <v>0</v>
      </c>
      <c r="I472" t="n">
        <v>0</v>
      </c>
      <c r="J472" t="n">
        <v>0</v>
      </c>
      <c r="K472" t="n">
        <v>0</v>
      </c>
      <c r="L472" t="n">
        <v>0</v>
      </c>
      <c r="M472" t="n">
        <v>0</v>
      </c>
      <c r="N472" t="n">
        <v>0</v>
      </c>
      <c r="O472" t="n">
        <v>0</v>
      </c>
      <c r="P472" t="n">
        <v>0</v>
      </c>
      <c r="Q472" t="n">
        <v>0</v>
      </c>
      <c r="R472" s="2" t="inlineStr"/>
    </row>
    <row r="473" ht="15" customHeight="1">
      <c r="A473" t="inlineStr">
        <is>
          <t>A 20827-2019</t>
        </is>
      </c>
      <c r="B473" s="1" t="n">
        <v>43573</v>
      </c>
      <c r="C473" s="1" t="n">
        <v>45847</v>
      </c>
      <c r="D473" t="inlineStr">
        <is>
          <t>JÄMTLANDS LÄN</t>
        </is>
      </c>
      <c r="E473" t="inlineStr">
        <is>
          <t>BRÄCKE</t>
        </is>
      </c>
      <c r="F473" t="inlineStr">
        <is>
          <t>SCA</t>
        </is>
      </c>
      <c r="G473" t="n">
        <v>40.9</v>
      </c>
      <c r="H473" t="n">
        <v>0</v>
      </c>
      <c r="I473" t="n">
        <v>0</v>
      </c>
      <c r="J473" t="n">
        <v>0</v>
      </c>
      <c r="K473" t="n">
        <v>0</v>
      </c>
      <c r="L473" t="n">
        <v>0</v>
      </c>
      <c r="M473" t="n">
        <v>0</v>
      </c>
      <c r="N473" t="n">
        <v>0</v>
      </c>
      <c r="O473" t="n">
        <v>0</v>
      </c>
      <c r="P473" t="n">
        <v>0</v>
      </c>
      <c r="Q473" t="n">
        <v>0</v>
      </c>
      <c r="R473" s="2" t="inlineStr"/>
    </row>
    <row r="474" ht="15" customHeight="1">
      <c r="A474" t="inlineStr">
        <is>
          <t>A 20926-2019</t>
        </is>
      </c>
      <c r="B474" s="1" t="n">
        <v>43578</v>
      </c>
      <c r="C474" s="1" t="n">
        <v>45847</v>
      </c>
      <c r="D474" t="inlineStr">
        <is>
          <t>JÄMTLANDS LÄN</t>
        </is>
      </c>
      <c r="E474" t="inlineStr">
        <is>
          <t>BRÄCKE</t>
        </is>
      </c>
      <c r="G474" t="n">
        <v>11</v>
      </c>
      <c r="H474" t="n">
        <v>0</v>
      </c>
      <c r="I474" t="n">
        <v>0</v>
      </c>
      <c r="J474" t="n">
        <v>0</v>
      </c>
      <c r="K474" t="n">
        <v>0</v>
      </c>
      <c r="L474" t="n">
        <v>0</v>
      </c>
      <c r="M474" t="n">
        <v>0</v>
      </c>
      <c r="N474" t="n">
        <v>0</v>
      </c>
      <c r="O474" t="n">
        <v>0</v>
      </c>
      <c r="P474" t="n">
        <v>0</v>
      </c>
      <c r="Q474" t="n">
        <v>0</v>
      </c>
      <c r="R474" s="2" t="inlineStr"/>
    </row>
    <row r="475" ht="15" customHeight="1">
      <c r="A475" t="inlineStr">
        <is>
          <t>A 21116-2019</t>
        </is>
      </c>
      <c r="B475" s="1" t="n">
        <v>43578</v>
      </c>
      <c r="C475" s="1" t="n">
        <v>45847</v>
      </c>
      <c r="D475" t="inlineStr">
        <is>
          <t>JÄMTLANDS LÄN</t>
        </is>
      </c>
      <c r="E475" t="inlineStr">
        <is>
          <t>BRÄCKE</t>
        </is>
      </c>
      <c r="F475" t="inlineStr">
        <is>
          <t>SCA</t>
        </is>
      </c>
      <c r="G475" t="n">
        <v>70</v>
      </c>
      <c r="H475" t="n">
        <v>0</v>
      </c>
      <c r="I475" t="n">
        <v>0</v>
      </c>
      <c r="J475" t="n">
        <v>0</v>
      </c>
      <c r="K475" t="n">
        <v>0</v>
      </c>
      <c r="L475" t="n">
        <v>0</v>
      </c>
      <c r="M475" t="n">
        <v>0</v>
      </c>
      <c r="N475" t="n">
        <v>0</v>
      </c>
      <c r="O475" t="n">
        <v>0</v>
      </c>
      <c r="P475" t="n">
        <v>0</v>
      </c>
      <c r="Q475" t="n">
        <v>0</v>
      </c>
      <c r="R475" s="2" t="inlineStr"/>
    </row>
    <row r="476" ht="15" customHeight="1">
      <c r="A476" t="inlineStr">
        <is>
          <t>A 21454-2019</t>
        </is>
      </c>
      <c r="B476" s="1" t="n">
        <v>43580</v>
      </c>
      <c r="C476" s="1" t="n">
        <v>45847</v>
      </c>
      <c r="D476" t="inlineStr">
        <is>
          <t>JÄMTLANDS LÄN</t>
        </is>
      </c>
      <c r="E476" t="inlineStr">
        <is>
          <t>BRÄCKE</t>
        </is>
      </c>
      <c r="G476" t="n">
        <v>1.5</v>
      </c>
      <c r="H476" t="n">
        <v>0</v>
      </c>
      <c r="I476" t="n">
        <v>0</v>
      </c>
      <c r="J476" t="n">
        <v>0</v>
      </c>
      <c r="K476" t="n">
        <v>0</v>
      </c>
      <c r="L476" t="n">
        <v>0</v>
      </c>
      <c r="M476" t="n">
        <v>0</v>
      </c>
      <c r="N476" t="n">
        <v>0</v>
      </c>
      <c r="O476" t="n">
        <v>0</v>
      </c>
      <c r="P476" t="n">
        <v>0</v>
      </c>
      <c r="Q476" t="n">
        <v>0</v>
      </c>
      <c r="R476" s="2" t="inlineStr"/>
    </row>
    <row r="477" ht="15" customHeight="1">
      <c r="A477" t="inlineStr">
        <is>
          <t>A 21438-2019</t>
        </is>
      </c>
      <c r="B477" s="1" t="n">
        <v>43580</v>
      </c>
      <c r="C477" s="1" t="n">
        <v>45847</v>
      </c>
      <c r="D477" t="inlineStr">
        <is>
          <t>JÄMTLANDS LÄN</t>
        </is>
      </c>
      <c r="E477" t="inlineStr">
        <is>
          <t>BRÄCKE</t>
        </is>
      </c>
      <c r="G477" t="n">
        <v>0.9</v>
      </c>
      <c r="H477" t="n">
        <v>0</v>
      </c>
      <c r="I477" t="n">
        <v>0</v>
      </c>
      <c r="J477" t="n">
        <v>0</v>
      </c>
      <c r="K477" t="n">
        <v>0</v>
      </c>
      <c r="L477" t="n">
        <v>0</v>
      </c>
      <c r="M477" t="n">
        <v>0</v>
      </c>
      <c r="N477" t="n">
        <v>0</v>
      </c>
      <c r="O477" t="n">
        <v>0</v>
      </c>
      <c r="P477" t="n">
        <v>0</v>
      </c>
      <c r="Q477" t="n">
        <v>0</v>
      </c>
      <c r="R477" s="2" t="inlineStr"/>
    </row>
    <row r="478" ht="15" customHeight="1">
      <c r="A478" t="inlineStr">
        <is>
          <t>A 21428-2019</t>
        </is>
      </c>
      <c r="B478" s="1" t="n">
        <v>43580</v>
      </c>
      <c r="C478" s="1" t="n">
        <v>45847</v>
      </c>
      <c r="D478" t="inlineStr">
        <is>
          <t>JÄMTLANDS LÄN</t>
        </is>
      </c>
      <c r="E478" t="inlineStr">
        <is>
          <t>BRÄCKE</t>
        </is>
      </c>
      <c r="G478" t="n">
        <v>4.5</v>
      </c>
      <c r="H478" t="n">
        <v>0</v>
      </c>
      <c r="I478" t="n">
        <v>0</v>
      </c>
      <c r="J478" t="n">
        <v>0</v>
      </c>
      <c r="K478" t="n">
        <v>0</v>
      </c>
      <c r="L478" t="n">
        <v>0</v>
      </c>
      <c r="M478" t="n">
        <v>0</v>
      </c>
      <c r="N478" t="n">
        <v>0</v>
      </c>
      <c r="O478" t="n">
        <v>0</v>
      </c>
      <c r="P478" t="n">
        <v>0</v>
      </c>
      <c r="Q478" t="n">
        <v>0</v>
      </c>
      <c r="R478" s="2" t="inlineStr"/>
    </row>
    <row r="479" ht="15" customHeight="1">
      <c r="A479" t="inlineStr">
        <is>
          <t>A 21792-2019</t>
        </is>
      </c>
      <c r="B479" s="1" t="n">
        <v>43581</v>
      </c>
      <c r="C479" s="1" t="n">
        <v>45847</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21798-2019</t>
        </is>
      </c>
      <c r="B480" s="1" t="n">
        <v>43581</v>
      </c>
      <c r="C480" s="1" t="n">
        <v>45847</v>
      </c>
      <c r="D480" t="inlineStr">
        <is>
          <t>JÄMTLANDS LÄN</t>
        </is>
      </c>
      <c r="E480" t="inlineStr">
        <is>
          <t>BRÄCKE</t>
        </is>
      </c>
      <c r="F480" t="inlineStr">
        <is>
          <t>SCA</t>
        </is>
      </c>
      <c r="G480" t="n">
        <v>7.3</v>
      </c>
      <c r="H480" t="n">
        <v>0</v>
      </c>
      <c r="I480" t="n">
        <v>0</v>
      </c>
      <c r="J480" t="n">
        <v>0</v>
      </c>
      <c r="K480" t="n">
        <v>0</v>
      </c>
      <c r="L480" t="n">
        <v>0</v>
      </c>
      <c r="M480" t="n">
        <v>0</v>
      </c>
      <c r="N480" t="n">
        <v>0</v>
      </c>
      <c r="O480" t="n">
        <v>0</v>
      </c>
      <c r="P480" t="n">
        <v>0</v>
      </c>
      <c r="Q480" t="n">
        <v>0</v>
      </c>
      <c r="R480" s="2" t="inlineStr"/>
      <c r="U480">
        <f>HYPERLINK("https://klasma.github.io/Logging_2305/knärot/A 21798-2019 karta knärot.png", "A 21798-2019")</f>
        <v/>
      </c>
      <c r="V480">
        <f>HYPERLINK("https://klasma.github.io/Logging_2305/klagomål/A 21798-2019 FSC-klagomål.docx", "A 21798-2019")</f>
        <v/>
      </c>
      <c r="W480">
        <f>HYPERLINK("https://klasma.github.io/Logging_2305/klagomålsmail/A 21798-2019 FSC-klagomål mail.docx", "A 21798-2019")</f>
        <v/>
      </c>
      <c r="X480">
        <f>HYPERLINK("https://klasma.github.io/Logging_2305/tillsyn/A 21798-2019 tillsynsbegäran.docx", "A 21798-2019")</f>
        <v/>
      </c>
      <c r="Y480">
        <f>HYPERLINK("https://klasma.github.io/Logging_2305/tillsynsmail/A 21798-2019 tillsynsbegäran mail.docx", "A 21798-2019")</f>
        <v/>
      </c>
    </row>
    <row r="481" ht="15" customHeight="1">
      <c r="A481" t="inlineStr">
        <is>
          <t>A 22299-2019</t>
        </is>
      </c>
      <c r="B481" s="1" t="n">
        <v>43585</v>
      </c>
      <c r="C481" s="1" t="n">
        <v>45847</v>
      </c>
      <c r="D481" t="inlineStr">
        <is>
          <t>JÄMTLANDS LÄN</t>
        </is>
      </c>
      <c r="E481" t="inlineStr">
        <is>
          <t>BRÄCKE</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22778-2019</t>
        </is>
      </c>
      <c r="B482" s="1" t="n">
        <v>43589</v>
      </c>
      <c r="C482" s="1" t="n">
        <v>45847</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23480-2019</t>
        </is>
      </c>
      <c r="B483" s="1" t="n">
        <v>43593</v>
      </c>
      <c r="C483" s="1" t="n">
        <v>45847</v>
      </c>
      <c r="D483" t="inlineStr">
        <is>
          <t>JÄMTLANDS LÄN</t>
        </is>
      </c>
      <c r="E483" t="inlineStr">
        <is>
          <t>BRÄCKE</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23743-2019</t>
        </is>
      </c>
      <c r="B484" s="1" t="n">
        <v>43594</v>
      </c>
      <c r="C484" s="1" t="n">
        <v>45847</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23736-2019</t>
        </is>
      </c>
      <c r="B485" s="1" t="n">
        <v>43594</v>
      </c>
      <c r="C485" s="1" t="n">
        <v>45847</v>
      </c>
      <c r="D485" t="inlineStr">
        <is>
          <t>JÄMTLANDS LÄN</t>
        </is>
      </c>
      <c r="E485" t="inlineStr">
        <is>
          <t>BRÄCKE</t>
        </is>
      </c>
      <c r="F485" t="inlineStr">
        <is>
          <t>SCA</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24122-2019</t>
        </is>
      </c>
      <c r="B486" s="1" t="n">
        <v>43598</v>
      </c>
      <c r="C486" s="1" t="n">
        <v>45847</v>
      </c>
      <c r="D486" t="inlineStr">
        <is>
          <t>JÄMTLANDS LÄN</t>
        </is>
      </c>
      <c r="E486" t="inlineStr">
        <is>
          <t>BRÄCKE</t>
        </is>
      </c>
      <c r="F486" t="inlineStr">
        <is>
          <t>Kyrkan</t>
        </is>
      </c>
      <c r="G486" t="n">
        <v>2.2</v>
      </c>
      <c r="H486" t="n">
        <v>0</v>
      </c>
      <c r="I486" t="n">
        <v>0</v>
      </c>
      <c r="J486" t="n">
        <v>0</v>
      </c>
      <c r="K486" t="n">
        <v>0</v>
      </c>
      <c r="L486" t="n">
        <v>0</v>
      </c>
      <c r="M486" t="n">
        <v>0</v>
      </c>
      <c r="N486" t="n">
        <v>0</v>
      </c>
      <c r="O486" t="n">
        <v>0</v>
      </c>
      <c r="P486" t="n">
        <v>0</v>
      </c>
      <c r="Q486" t="n">
        <v>0</v>
      </c>
      <c r="R486" s="2" t="inlineStr"/>
    </row>
    <row r="487" ht="15" customHeight="1">
      <c r="A487" t="inlineStr">
        <is>
          <t>A 25018-2019</t>
        </is>
      </c>
      <c r="B487" s="1" t="n">
        <v>43602</v>
      </c>
      <c r="C487" s="1" t="n">
        <v>45847</v>
      </c>
      <c r="D487" t="inlineStr">
        <is>
          <t>JÄMTLANDS LÄN</t>
        </is>
      </c>
      <c r="E487" t="inlineStr">
        <is>
          <t>BRÄCKE</t>
        </is>
      </c>
      <c r="F487" t="inlineStr">
        <is>
          <t>SCA</t>
        </is>
      </c>
      <c r="G487" t="n">
        <v>8</v>
      </c>
      <c r="H487" t="n">
        <v>0</v>
      </c>
      <c r="I487" t="n">
        <v>0</v>
      </c>
      <c r="J487" t="n">
        <v>0</v>
      </c>
      <c r="K487" t="n">
        <v>0</v>
      </c>
      <c r="L487" t="n">
        <v>0</v>
      </c>
      <c r="M487" t="n">
        <v>0</v>
      </c>
      <c r="N487" t="n">
        <v>0</v>
      </c>
      <c r="O487" t="n">
        <v>0</v>
      </c>
      <c r="P487" t="n">
        <v>0</v>
      </c>
      <c r="Q487" t="n">
        <v>0</v>
      </c>
      <c r="R487" s="2" t="inlineStr"/>
    </row>
    <row r="488" ht="15" customHeight="1">
      <c r="A488" t="inlineStr">
        <is>
          <t>A 26001-2019</t>
        </is>
      </c>
      <c r="B488" s="1" t="n">
        <v>43608</v>
      </c>
      <c r="C488" s="1" t="n">
        <v>45847</v>
      </c>
      <c r="D488" t="inlineStr">
        <is>
          <t>JÄMTLANDS LÄN</t>
        </is>
      </c>
      <c r="E488" t="inlineStr">
        <is>
          <t>BRÄCKE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26237-2019</t>
        </is>
      </c>
      <c r="B489" s="1" t="n">
        <v>43609</v>
      </c>
      <c r="C489" s="1" t="n">
        <v>45847</v>
      </c>
      <c r="D489" t="inlineStr">
        <is>
          <t>JÄMTLANDS LÄN</t>
        </is>
      </c>
      <c r="E489" t="inlineStr">
        <is>
          <t>BRÄCKE</t>
        </is>
      </c>
      <c r="G489" t="n">
        <v>22.7</v>
      </c>
      <c r="H489" t="n">
        <v>0</v>
      </c>
      <c r="I489" t="n">
        <v>0</v>
      </c>
      <c r="J489" t="n">
        <v>0</v>
      </c>
      <c r="K489" t="n">
        <v>0</v>
      </c>
      <c r="L489" t="n">
        <v>0</v>
      </c>
      <c r="M489" t="n">
        <v>0</v>
      </c>
      <c r="N489" t="n">
        <v>0</v>
      </c>
      <c r="O489" t="n">
        <v>0</v>
      </c>
      <c r="P489" t="n">
        <v>0</v>
      </c>
      <c r="Q489" t="n">
        <v>0</v>
      </c>
      <c r="R489" s="2" t="inlineStr"/>
    </row>
    <row r="490" ht="15" customHeight="1">
      <c r="A490" t="inlineStr">
        <is>
          <t>A 26638-2019</t>
        </is>
      </c>
      <c r="B490" s="1" t="n">
        <v>43612</v>
      </c>
      <c r="C490" s="1" t="n">
        <v>45847</v>
      </c>
      <c r="D490" t="inlineStr">
        <is>
          <t>JÄMTLANDS LÄN</t>
        </is>
      </c>
      <c r="E490" t="inlineStr">
        <is>
          <t>BRÄCKE</t>
        </is>
      </c>
      <c r="G490" t="n">
        <v>2.8</v>
      </c>
      <c r="H490" t="n">
        <v>0</v>
      </c>
      <c r="I490" t="n">
        <v>0</v>
      </c>
      <c r="J490" t="n">
        <v>0</v>
      </c>
      <c r="K490" t="n">
        <v>0</v>
      </c>
      <c r="L490" t="n">
        <v>0</v>
      </c>
      <c r="M490" t="n">
        <v>0</v>
      </c>
      <c r="N490" t="n">
        <v>0</v>
      </c>
      <c r="O490" t="n">
        <v>0</v>
      </c>
      <c r="P490" t="n">
        <v>0</v>
      </c>
      <c r="Q490" t="n">
        <v>0</v>
      </c>
      <c r="R490" s="2" t="inlineStr"/>
    </row>
    <row r="491" ht="15" customHeight="1">
      <c r="A491" t="inlineStr">
        <is>
          <t>A 27229-2019</t>
        </is>
      </c>
      <c r="B491" s="1" t="n">
        <v>43614</v>
      </c>
      <c r="C491" s="1" t="n">
        <v>45847</v>
      </c>
      <c r="D491" t="inlineStr">
        <is>
          <t>JÄMTLANDS LÄN</t>
        </is>
      </c>
      <c r="E491" t="inlineStr">
        <is>
          <t>BRÄCKE</t>
        </is>
      </c>
      <c r="F491" t="inlineStr">
        <is>
          <t>SCA</t>
        </is>
      </c>
      <c r="G491" t="n">
        <v>7.1</v>
      </c>
      <c r="H491" t="n">
        <v>0</v>
      </c>
      <c r="I491" t="n">
        <v>0</v>
      </c>
      <c r="J491" t="n">
        <v>0</v>
      </c>
      <c r="K491" t="n">
        <v>0</v>
      </c>
      <c r="L491" t="n">
        <v>0</v>
      </c>
      <c r="M491" t="n">
        <v>0</v>
      </c>
      <c r="N491" t="n">
        <v>0</v>
      </c>
      <c r="O491" t="n">
        <v>0</v>
      </c>
      <c r="P491" t="n">
        <v>0</v>
      </c>
      <c r="Q491" t="n">
        <v>0</v>
      </c>
      <c r="R491" s="2" t="inlineStr"/>
    </row>
    <row r="492" ht="15" customHeight="1">
      <c r="A492" t="inlineStr">
        <is>
          <t>A 28950-2019</t>
        </is>
      </c>
      <c r="B492" s="1" t="n">
        <v>43628</v>
      </c>
      <c r="C492" s="1" t="n">
        <v>45847</v>
      </c>
      <c r="D492" t="inlineStr">
        <is>
          <t>JÄMTLANDS LÄN</t>
        </is>
      </c>
      <c r="E492" t="inlineStr">
        <is>
          <t>BRÄCKE</t>
        </is>
      </c>
      <c r="G492" t="n">
        <v>2.3</v>
      </c>
      <c r="H492" t="n">
        <v>0</v>
      </c>
      <c r="I492" t="n">
        <v>0</v>
      </c>
      <c r="J492" t="n">
        <v>0</v>
      </c>
      <c r="K492" t="n">
        <v>0</v>
      </c>
      <c r="L492" t="n">
        <v>0</v>
      </c>
      <c r="M492" t="n">
        <v>0</v>
      </c>
      <c r="N492" t="n">
        <v>0</v>
      </c>
      <c r="O492" t="n">
        <v>0</v>
      </c>
      <c r="P492" t="n">
        <v>0</v>
      </c>
      <c r="Q492" t="n">
        <v>0</v>
      </c>
      <c r="R492" s="2" t="inlineStr"/>
    </row>
    <row r="493" ht="15" customHeight="1">
      <c r="A493" t="inlineStr">
        <is>
          <t>A 29476-2019</t>
        </is>
      </c>
      <c r="B493" s="1" t="n">
        <v>43629</v>
      </c>
      <c r="C493" s="1" t="n">
        <v>45847</v>
      </c>
      <c r="D493" t="inlineStr">
        <is>
          <t>JÄMTLANDS LÄN</t>
        </is>
      </c>
      <c r="E493" t="inlineStr">
        <is>
          <t>BRÄCKE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30076-2019</t>
        </is>
      </c>
      <c r="B494" s="1" t="n">
        <v>43633</v>
      </c>
      <c r="C494" s="1" t="n">
        <v>45847</v>
      </c>
      <c r="D494" t="inlineStr">
        <is>
          <t>JÄMTLANDS LÄN</t>
        </is>
      </c>
      <c r="E494" t="inlineStr">
        <is>
          <t>BRÄCKE</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30072-2019</t>
        </is>
      </c>
      <c r="B495" s="1" t="n">
        <v>43633</v>
      </c>
      <c r="C495" s="1" t="n">
        <v>45847</v>
      </c>
      <c r="D495" t="inlineStr">
        <is>
          <t>JÄMTLANDS LÄN</t>
        </is>
      </c>
      <c r="E495" t="inlineStr">
        <is>
          <t>BRÄCKE</t>
        </is>
      </c>
      <c r="F495" t="inlineStr">
        <is>
          <t>Naturvårdsverket</t>
        </is>
      </c>
      <c r="G495" t="n">
        <v>39</v>
      </c>
      <c r="H495" t="n">
        <v>0</v>
      </c>
      <c r="I495" t="n">
        <v>0</v>
      </c>
      <c r="J495" t="n">
        <v>0</v>
      </c>
      <c r="K495" t="n">
        <v>0</v>
      </c>
      <c r="L495" t="n">
        <v>0</v>
      </c>
      <c r="M495" t="n">
        <v>0</v>
      </c>
      <c r="N495" t="n">
        <v>0</v>
      </c>
      <c r="O495" t="n">
        <v>0</v>
      </c>
      <c r="P495" t="n">
        <v>0</v>
      </c>
      <c r="Q495" t="n">
        <v>0</v>
      </c>
      <c r="R495" s="2" t="inlineStr"/>
    </row>
    <row r="496" ht="15" customHeight="1">
      <c r="A496" t="inlineStr">
        <is>
          <t>A 30071-2019</t>
        </is>
      </c>
      <c r="B496" s="1" t="n">
        <v>43633</v>
      </c>
      <c r="C496" s="1" t="n">
        <v>45847</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30625-2019</t>
        </is>
      </c>
      <c r="B497" s="1" t="n">
        <v>43635</v>
      </c>
      <c r="C497" s="1" t="n">
        <v>45847</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30627-2019</t>
        </is>
      </c>
      <c r="B498" s="1" t="n">
        <v>43635</v>
      </c>
      <c r="C498" s="1" t="n">
        <v>45847</v>
      </c>
      <c r="D498" t="inlineStr">
        <is>
          <t>JÄMTLANDS LÄN</t>
        </is>
      </c>
      <c r="E498" t="inlineStr">
        <is>
          <t>BRÄCKE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30678-2019</t>
        </is>
      </c>
      <c r="B499" s="1" t="n">
        <v>43636</v>
      </c>
      <c r="C499" s="1" t="n">
        <v>45847</v>
      </c>
      <c r="D499" t="inlineStr">
        <is>
          <t>JÄMTLANDS LÄN</t>
        </is>
      </c>
      <c r="E499" t="inlineStr">
        <is>
          <t>BRÄCKE</t>
        </is>
      </c>
      <c r="G499" t="n">
        <v>2</v>
      </c>
      <c r="H499" t="n">
        <v>0</v>
      </c>
      <c r="I499" t="n">
        <v>0</v>
      </c>
      <c r="J499" t="n">
        <v>0</v>
      </c>
      <c r="K499" t="n">
        <v>0</v>
      </c>
      <c r="L499" t="n">
        <v>0</v>
      </c>
      <c r="M499" t="n">
        <v>0</v>
      </c>
      <c r="N499" t="n">
        <v>0</v>
      </c>
      <c r="O499" t="n">
        <v>0</v>
      </c>
      <c r="P499" t="n">
        <v>0</v>
      </c>
      <c r="Q499" t="n">
        <v>0</v>
      </c>
      <c r="R499" s="2" t="inlineStr"/>
    </row>
    <row r="500" ht="15" customHeight="1">
      <c r="A500" t="inlineStr">
        <is>
          <t>A 30935-2019</t>
        </is>
      </c>
      <c r="B500" s="1" t="n">
        <v>43636</v>
      </c>
      <c r="C500" s="1" t="n">
        <v>45847</v>
      </c>
      <c r="D500" t="inlineStr">
        <is>
          <t>JÄMTLANDS LÄN</t>
        </is>
      </c>
      <c r="E500" t="inlineStr">
        <is>
          <t>BRÄCKE</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31292-2019</t>
        </is>
      </c>
      <c r="B501" s="1" t="n">
        <v>43640</v>
      </c>
      <c r="C501" s="1" t="n">
        <v>45847</v>
      </c>
      <c r="D501" t="inlineStr">
        <is>
          <t>JÄMTLANDS LÄN</t>
        </is>
      </c>
      <c r="E501" t="inlineStr">
        <is>
          <t>BRÄCKE</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31291-2019</t>
        </is>
      </c>
      <c r="B502" s="1" t="n">
        <v>43640</v>
      </c>
      <c r="C502" s="1" t="n">
        <v>45847</v>
      </c>
      <c r="D502" t="inlineStr">
        <is>
          <t>JÄMTLANDS LÄN</t>
        </is>
      </c>
      <c r="E502" t="inlineStr">
        <is>
          <t>BRÄCKE</t>
        </is>
      </c>
      <c r="F502" t="inlineStr">
        <is>
          <t>SCA</t>
        </is>
      </c>
      <c r="G502" t="n">
        <v>18.7</v>
      </c>
      <c r="H502" t="n">
        <v>0</v>
      </c>
      <c r="I502" t="n">
        <v>0</v>
      </c>
      <c r="J502" t="n">
        <v>0</v>
      </c>
      <c r="K502" t="n">
        <v>0</v>
      </c>
      <c r="L502" t="n">
        <v>0</v>
      </c>
      <c r="M502" t="n">
        <v>0</v>
      </c>
      <c r="N502" t="n">
        <v>0</v>
      </c>
      <c r="O502" t="n">
        <v>0</v>
      </c>
      <c r="P502" t="n">
        <v>0</v>
      </c>
      <c r="Q502" t="n">
        <v>0</v>
      </c>
      <c r="R502" s="2" t="inlineStr"/>
    </row>
    <row r="503" ht="15" customHeight="1">
      <c r="A503" t="inlineStr">
        <is>
          <t>A 32572-2019</t>
        </is>
      </c>
      <c r="B503" s="1" t="n">
        <v>43647</v>
      </c>
      <c r="C503" s="1" t="n">
        <v>45847</v>
      </c>
      <c r="D503" t="inlineStr">
        <is>
          <t>JÄMTLANDS LÄN</t>
        </is>
      </c>
      <c r="E503" t="inlineStr">
        <is>
          <t>BRÄCKE</t>
        </is>
      </c>
      <c r="F503" t="inlineStr">
        <is>
          <t>Övriga Aktiebolag</t>
        </is>
      </c>
      <c r="G503" t="n">
        <v>6.8</v>
      </c>
      <c r="H503" t="n">
        <v>0</v>
      </c>
      <c r="I503" t="n">
        <v>0</v>
      </c>
      <c r="J503" t="n">
        <v>0</v>
      </c>
      <c r="K503" t="n">
        <v>0</v>
      </c>
      <c r="L503" t="n">
        <v>0</v>
      </c>
      <c r="M503" t="n">
        <v>0</v>
      </c>
      <c r="N503" t="n">
        <v>0</v>
      </c>
      <c r="O503" t="n">
        <v>0</v>
      </c>
      <c r="P503" t="n">
        <v>0</v>
      </c>
      <c r="Q503" t="n">
        <v>0</v>
      </c>
      <c r="R503" s="2" t="inlineStr"/>
    </row>
    <row r="504" ht="15" customHeight="1">
      <c r="A504" t="inlineStr">
        <is>
          <t>A 34658-2019</t>
        </is>
      </c>
      <c r="B504" s="1" t="n">
        <v>43648</v>
      </c>
      <c r="C504" s="1" t="n">
        <v>45847</v>
      </c>
      <c r="D504" t="inlineStr">
        <is>
          <t>JÄMTLANDS LÄN</t>
        </is>
      </c>
      <c r="E504" t="inlineStr">
        <is>
          <t>BRÄCKE</t>
        </is>
      </c>
      <c r="G504" t="n">
        <v>1.2</v>
      </c>
      <c r="H504" t="n">
        <v>0</v>
      </c>
      <c r="I504" t="n">
        <v>0</v>
      </c>
      <c r="J504" t="n">
        <v>0</v>
      </c>
      <c r="K504" t="n">
        <v>0</v>
      </c>
      <c r="L504" t="n">
        <v>0</v>
      </c>
      <c r="M504" t="n">
        <v>0</v>
      </c>
      <c r="N504" t="n">
        <v>0</v>
      </c>
      <c r="O504" t="n">
        <v>0</v>
      </c>
      <c r="P504" t="n">
        <v>0</v>
      </c>
      <c r="Q504" t="n">
        <v>0</v>
      </c>
      <c r="R504" s="2" t="inlineStr"/>
    </row>
    <row r="505" ht="15" customHeight="1">
      <c r="A505" t="inlineStr">
        <is>
          <t>A 33222-2019</t>
        </is>
      </c>
      <c r="B505" s="1" t="n">
        <v>43649</v>
      </c>
      <c r="C505" s="1" t="n">
        <v>45847</v>
      </c>
      <c r="D505" t="inlineStr">
        <is>
          <t>JÄMTLANDS LÄN</t>
        </is>
      </c>
      <c r="E505" t="inlineStr">
        <is>
          <t>BRÄCKE</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33379-2019</t>
        </is>
      </c>
      <c r="B506" s="1" t="n">
        <v>43650</v>
      </c>
      <c r="C506" s="1" t="n">
        <v>45847</v>
      </c>
      <c r="D506" t="inlineStr">
        <is>
          <t>JÄMTLANDS LÄN</t>
        </is>
      </c>
      <c r="E506" t="inlineStr">
        <is>
          <t>BRÄCKE</t>
        </is>
      </c>
      <c r="F506" t="inlineStr">
        <is>
          <t>Övriga Aktiebolag</t>
        </is>
      </c>
      <c r="G506" t="n">
        <v>32.7</v>
      </c>
      <c r="H506" t="n">
        <v>0</v>
      </c>
      <c r="I506" t="n">
        <v>0</v>
      </c>
      <c r="J506" t="n">
        <v>0</v>
      </c>
      <c r="K506" t="n">
        <v>0</v>
      </c>
      <c r="L506" t="n">
        <v>0</v>
      </c>
      <c r="M506" t="n">
        <v>0</v>
      </c>
      <c r="N506" t="n">
        <v>0</v>
      </c>
      <c r="O506" t="n">
        <v>0</v>
      </c>
      <c r="P506" t="n">
        <v>0</v>
      </c>
      <c r="Q506" t="n">
        <v>0</v>
      </c>
      <c r="R506" s="2" t="inlineStr"/>
    </row>
    <row r="507" ht="15" customHeight="1">
      <c r="A507" t="inlineStr">
        <is>
          <t>A 33830-2019</t>
        </is>
      </c>
      <c r="B507" s="1" t="n">
        <v>43651</v>
      </c>
      <c r="C507" s="1" t="n">
        <v>45847</v>
      </c>
      <c r="D507" t="inlineStr">
        <is>
          <t>JÄMTLANDS LÄN</t>
        </is>
      </c>
      <c r="E507" t="inlineStr">
        <is>
          <t>BRÄCKE</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34103-2019</t>
        </is>
      </c>
      <c r="B508" s="1" t="n">
        <v>43654</v>
      </c>
      <c r="C508" s="1" t="n">
        <v>45847</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34987-2019</t>
        </is>
      </c>
      <c r="B509" s="1" t="n">
        <v>43659</v>
      </c>
      <c r="C509" s="1" t="n">
        <v>45847</v>
      </c>
      <c r="D509" t="inlineStr">
        <is>
          <t>JÄMTLANDS LÄN</t>
        </is>
      </c>
      <c r="E509" t="inlineStr">
        <is>
          <t>BRÄCKE</t>
        </is>
      </c>
      <c r="G509" t="n">
        <v>0.5</v>
      </c>
      <c r="H509" t="n">
        <v>0</v>
      </c>
      <c r="I509" t="n">
        <v>0</v>
      </c>
      <c r="J509" t="n">
        <v>0</v>
      </c>
      <c r="K509" t="n">
        <v>0</v>
      </c>
      <c r="L509" t="n">
        <v>0</v>
      </c>
      <c r="M509" t="n">
        <v>0</v>
      </c>
      <c r="N509" t="n">
        <v>0</v>
      </c>
      <c r="O509" t="n">
        <v>0</v>
      </c>
      <c r="P509" t="n">
        <v>0</v>
      </c>
      <c r="Q509" t="n">
        <v>0</v>
      </c>
      <c r="R509" s="2" t="inlineStr"/>
    </row>
    <row r="510" ht="15" customHeight="1">
      <c r="A510" t="inlineStr">
        <is>
          <t>A 36451-2019</t>
        </is>
      </c>
      <c r="B510" s="1" t="n">
        <v>43664</v>
      </c>
      <c r="C510" s="1" t="n">
        <v>45847</v>
      </c>
      <c r="D510" t="inlineStr">
        <is>
          <t>JÄMTLANDS LÄN</t>
        </is>
      </c>
      <c r="E510" t="inlineStr">
        <is>
          <t>BRÄCKE</t>
        </is>
      </c>
      <c r="G510" t="n">
        <v>4.3</v>
      </c>
      <c r="H510" t="n">
        <v>0</v>
      </c>
      <c r="I510" t="n">
        <v>0</v>
      </c>
      <c r="J510" t="n">
        <v>0</v>
      </c>
      <c r="K510" t="n">
        <v>0</v>
      </c>
      <c r="L510" t="n">
        <v>0</v>
      </c>
      <c r="M510" t="n">
        <v>0</v>
      </c>
      <c r="N510" t="n">
        <v>0</v>
      </c>
      <c r="O510" t="n">
        <v>0</v>
      </c>
      <c r="P510" t="n">
        <v>0</v>
      </c>
      <c r="Q510" t="n">
        <v>0</v>
      </c>
      <c r="R510" s="2" t="inlineStr"/>
    </row>
    <row r="511" ht="15" customHeight="1">
      <c r="A511" t="inlineStr">
        <is>
          <t>A 35713-2019</t>
        </is>
      </c>
      <c r="B511" s="1" t="n">
        <v>43664</v>
      </c>
      <c r="C511" s="1" t="n">
        <v>45847</v>
      </c>
      <c r="D511" t="inlineStr">
        <is>
          <t>JÄMTLANDS LÄN</t>
        </is>
      </c>
      <c r="E511" t="inlineStr">
        <is>
          <t>BRÄCKE</t>
        </is>
      </c>
      <c r="G511" t="n">
        <v>2</v>
      </c>
      <c r="H511" t="n">
        <v>0</v>
      </c>
      <c r="I511" t="n">
        <v>0</v>
      </c>
      <c r="J511" t="n">
        <v>0</v>
      </c>
      <c r="K511" t="n">
        <v>0</v>
      </c>
      <c r="L511" t="n">
        <v>0</v>
      </c>
      <c r="M511" t="n">
        <v>0</v>
      </c>
      <c r="N511" t="n">
        <v>0</v>
      </c>
      <c r="O511" t="n">
        <v>0</v>
      </c>
      <c r="P511" t="n">
        <v>0</v>
      </c>
      <c r="Q511" t="n">
        <v>0</v>
      </c>
      <c r="R511" s="2" t="inlineStr"/>
    </row>
    <row r="512" ht="15" customHeight="1">
      <c r="A512" t="inlineStr">
        <is>
          <t>A 36182-2019</t>
        </is>
      </c>
      <c r="B512" s="1" t="n">
        <v>43668</v>
      </c>
      <c r="C512" s="1" t="n">
        <v>45847</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36953-2019</t>
        </is>
      </c>
      <c r="B513" s="1" t="n">
        <v>43675</v>
      </c>
      <c r="C513" s="1" t="n">
        <v>45847</v>
      </c>
      <c r="D513" t="inlineStr">
        <is>
          <t>JÄMTLANDS LÄN</t>
        </is>
      </c>
      <c r="E513" t="inlineStr">
        <is>
          <t>BRÄCKE</t>
        </is>
      </c>
      <c r="G513" t="n">
        <v>0.9</v>
      </c>
      <c r="H513" t="n">
        <v>0</v>
      </c>
      <c r="I513" t="n">
        <v>0</v>
      </c>
      <c r="J513" t="n">
        <v>0</v>
      </c>
      <c r="K513" t="n">
        <v>0</v>
      </c>
      <c r="L513" t="n">
        <v>0</v>
      </c>
      <c r="M513" t="n">
        <v>0</v>
      </c>
      <c r="N513" t="n">
        <v>0</v>
      </c>
      <c r="O513" t="n">
        <v>0</v>
      </c>
      <c r="P513" t="n">
        <v>0</v>
      </c>
      <c r="Q513" t="n">
        <v>0</v>
      </c>
      <c r="R513" s="2" t="inlineStr"/>
    </row>
    <row r="514" ht="15" customHeight="1">
      <c r="A514" t="inlineStr">
        <is>
          <t>A 37133-2019</t>
        </is>
      </c>
      <c r="B514" s="1" t="n">
        <v>43676</v>
      </c>
      <c r="C514" s="1" t="n">
        <v>45847</v>
      </c>
      <c r="D514" t="inlineStr">
        <is>
          <t>JÄMTLANDS LÄN</t>
        </is>
      </c>
      <c r="E514" t="inlineStr">
        <is>
          <t>BRÄCKE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37129-2019</t>
        </is>
      </c>
      <c r="B515" s="1" t="n">
        <v>43676</v>
      </c>
      <c r="C515" s="1" t="n">
        <v>45847</v>
      </c>
      <c r="D515" t="inlineStr">
        <is>
          <t>JÄMTLANDS LÄN</t>
        </is>
      </c>
      <c r="E515" t="inlineStr">
        <is>
          <t>BRÄCKE</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37295-2019</t>
        </is>
      </c>
      <c r="B516" s="1" t="n">
        <v>43677</v>
      </c>
      <c r="C516" s="1" t="n">
        <v>45847</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38320-2019</t>
        </is>
      </c>
      <c r="B517" s="1" t="n">
        <v>43685</v>
      </c>
      <c r="C517" s="1" t="n">
        <v>45847</v>
      </c>
      <c r="D517" t="inlineStr">
        <is>
          <t>JÄMTLANDS LÄN</t>
        </is>
      </c>
      <c r="E517" t="inlineStr">
        <is>
          <t>BRÄCKE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38777-2019</t>
        </is>
      </c>
      <c r="B518" s="1" t="n">
        <v>43686</v>
      </c>
      <c r="C518" s="1" t="n">
        <v>45847</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39111-2019</t>
        </is>
      </c>
      <c r="B519" s="1" t="n">
        <v>43689</v>
      </c>
      <c r="C519" s="1" t="n">
        <v>45847</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39113-2019</t>
        </is>
      </c>
      <c r="B520" s="1" t="n">
        <v>43690</v>
      </c>
      <c r="C520" s="1" t="n">
        <v>45847</v>
      </c>
      <c r="D520" t="inlineStr">
        <is>
          <t>JÄMTLANDS LÄN</t>
        </is>
      </c>
      <c r="E520" t="inlineStr">
        <is>
          <t>BRÄCKE</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39645-2019</t>
        </is>
      </c>
      <c r="B521" s="1" t="n">
        <v>43691</v>
      </c>
      <c r="C521" s="1" t="n">
        <v>45847</v>
      </c>
      <c r="D521" t="inlineStr">
        <is>
          <t>JÄMTLANDS LÄN</t>
        </is>
      </c>
      <c r="E521" t="inlineStr">
        <is>
          <t>BRÄCKE</t>
        </is>
      </c>
      <c r="G521" t="n">
        <v>2.7</v>
      </c>
      <c r="H521" t="n">
        <v>0</v>
      </c>
      <c r="I521" t="n">
        <v>0</v>
      </c>
      <c r="J521" t="n">
        <v>0</v>
      </c>
      <c r="K521" t="n">
        <v>0</v>
      </c>
      <c r="L521" t="n">
        <v>0</v>
      </c>
      <c r="M521" t="n">
        <v>0</v>
      </c>
      <c r="N521" t="n">
        <v>0</v>
      </c>
      <c r="O521" t="n">
        <v>0</v>
      </c>
      <c r="P521" t="n">
        <v>0</v>
      </c>
      <c r="Q521" t="n">
        <v>0</v>
      </c>
      <c r="R521" s="2" t="inlineStr"/>
    </row>
    <row r="522" ht="15" customHeight="1">
      <c r="A522" t="inlineStr">
        <is>
          <t>A 40668-2019</t>
        </is>
      </c>
      <c r="B522" s="1" t="n">
        <v>43696</v>
      </c>
      <c r="C522" s="1" t="n">
        <v>45847</v>
      </c>
      <c r="D522" t="inlineStr">
        <is>
          <t>JÄMTLANDS LÄN</t>
        </is>
      </c>
      <c r="E522" t="inlineStr">
        <is>
          <t>BRÄCKE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40667-2019</t>
        </is>
      </c>
      <c r="B523" s="1" t="n">
        <v>43697</v>
      </c>
      <c r="C523" s="1" t="n">
        <v>45847</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41033-2019</t>
        </is>
      </c>
      <c r="B524" s="1" t="n">
        <v>43697</v>
      </c>
      <c r="C524" s="1" t="n">
        <v>45847</v>
      </c>
      <c r="D524" t="inlineStr">
        <is>
          <t>JÄMTLANDS LÄN</t>
        </is>
      </c>
      <c r="E524" t="inlineStr">
        <is>
          <t>BRÄCKE</t>
        </is>
      </c>
      <c r="F524" t="inlineStr">
        <is>
          <t>SCA</t>
        </is>
      </c>
      <c r="G524" t="n">
        <v>27.1</v>
      </c>
      <c r="H524" t="n">
        <v>0</v>
      </c>
      <c r="I524" t="n">
        <v>0</v>
      </c>
      <c r="J524" t="n">
        <v>0</v>
      </c>
      <c r="K524" t="n">
        <v>0</v>
      </c>
      <c r="L524" t="n">
        <v>0</v>
      </c>
      <c r="M524" t="n">
        <v>0</v>
      </c>
      <c r="N524" t="n">
        <v>0</v>
      </c>
      <c r="O524" t="n">
        <v>0</v>
      </c>
      <c r="P524" t="n">
        <v>0</v>
      </c>
      <c r="Q524" t="n">
        <v>0</v>
      </c>
      <c r="R524" s="2" t="inlineStr"/>
    </row>
    <row r="525" ht="15" customHeight="1">
      <c r="A525" t="inlineStr">
        <is>
          <t>A 41028-2019</t>
        </is>
      </c>
      <c r="B525" s="1" t="n">
        <v>43697</v>
      </c>
      <c r="C525" s="1" t="n">
        <v>45847</v>
      </c>
      <c r="D525" t="inlineStr">
        <is>
          <t>JÄMTLANDS LÄN</t>
        </is>
      </c>
      <c r="E525" t="inlineStr">
        <is>
          <t>BRÄCKE</t>
        </is>
      </c>
      <c r="F525" t="inlineStr">
        <is>
          <t>SCA</t>
        </is>
      </c>
      <c r="G525" t="n">
        <v>16.5</v>
      </c>
      <c r="H525" t="n">
        <v>0</v>
      </c>
      <c r="I525" t="n">
        <v>0</v>
      </c>
      <c r="J525" t="n">
        <v>0</v>
      </c>
      <c r="K525" t="n">
        <v>0</v>
      </c>
      <c r="L525" t="n">
        <v>0</v>
      </c>
      <c r="M525" t="n">
        <v>0</v>
      </c>
      <c r="N525" t="n">
        <v>0</v>
      </c>
      <c r="O525" t="n">
        <v>0</v>
      </c>
      <c r="P525" t="n">
        <v>0</v>
      </c>
      <c r="Q525" t="n">
        <v>0</v>
      </c>
      <c r="R525" s="2" t="inlineStr"/>
    </row>
    <row r="526" ht="15" customHeight="1">
      <c r="A526" t="inlineStr">
        <is>
          <t>A 41029-2019</t>
        </is>
      </c>
      <c r="B526" s="1" t="n">
        <v>43697</v>
      </c>
      <c r="C526" s="1" t="n">
        <v>45847</v>
      </c>
      <c r="D526" t="inlineStr">
        <is>
          <t>JÄMTLANDS LÄN</t>
        </is>
      </c>
      <c r="E526" t="inlineStr">
        <is>
          <t>BRÄCKE</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41332-2019</t>
        </is>
      </c>
      <c r="B527" s="1" t="n">
        <v>43698</v>
      </c>
      <c r="C527" s="1" t="n">
        <v>45847</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41781-2019</t>
        </is>
      </c>
      <c r="B528" s="1" t="n">
        <v>43699</v>
      </c>
      <c r="C528" s="1" t="n">
        <v>45847</v>
      </c>
      <c r="D528" t="inlineStr">
        <is>
          <t>JÄMTLANDS LÄN</t>
        </is>
      </c>
      <c r="E528" t="inlineStr">
        <is>
          <t>BRÄCKE</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41896-2019</t>
        </is>
      </c>
      <c r="B529" s="1" t="n">
        <v>43700</v>
      </c>
      <c r="C529" s="1" t="n">
        <v>45847</v>
      </c>
      <c r="D529" t="inlineStr">
        <is>
          <t>JÄMTLANDS LÄN</t>
        </is>
      </c>
      <c r="E529" t="inlineStr">
        <is>
          <t>BRÄCKE</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43208-2019</t>
        </is>
      </c>
      <c r="B530" s="1" t="n">
        <v>43705</v>
      </c>
      <c r="C530" s="1" t="n">
        <v>45847</v>
      </c>
      <c r="D530" t="inlineStr">
        <is>
          <t>JÄMTLANDS LÄN</t>
        </is>
      </c>
      <c r="E530" t="inlineStr">
        <is>
          <t>BRÄCKE</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43206-2019</t>
        </is>
      </c>
      <c r="B531" s="1" t="n">
        <v>43705</v>
      </c>
      <c r="C531" s="1" t="n">
        <v>45847</v>
      </c>
      <c r="D531" t="inlineStr">
        <is>
          <t>JÄMTLANDS LÄN</t>
        </is>
      </c>
      <c r="E531" t="inlineStr">
        <is>
          <t>BRÄCKE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42875-2019</t>
        </is>
      </c>
      <c r="B532" s="1" t="n">
        <v>43705</v>
      </c>
      <c r="C532" s="1" t="n">
        <v>45847</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45054-2019</t>
        </is>
      </c>
      <c r="B533" s="1" t="n">
        <v>43713</v>
      </c>
      <c r="C533" s="1" t="n">
        <v>45847</v>
      </c>
      <c r="D533" t="inlineStr">
        <is>
          <t>JÄMTLANDS LÄN</t>
        </is>
      </c>
      <c r="E533" t="inlineStr">
        <is>
          <t>BRÄCKE</t>
        </is>
      </c>
      <c r="G533" t="n">
        <v>0.5</v>
      </c>
      <c r="H533" t="n">
        <v>0</v>
      </c>
      <c r="I533" t="n">
        <v>0</v>
      </c>
      <c r="J533" t="n">
        <v>0</v>
      </c>
      <c r="K533" t="n">
        <v>0</v>
      </c>
      <c r="L533" t="n">
        <v>0</v>
      </c>
      <c r="M533" t="n">
        <v>0</v>
      </c>
      <c r="N533" t="n">
        <v>0</v>
      </c>
      <c r="O533" t="n">
        <v>0</v>
      </c>
      <c r="P533" t="n">
        <v>0</v>
      </c>
      <c r="Q533" t="n">
        <v>0</v>
      </c>
      <c r="R533" s="2" t="inlineStr"/>
    </row>
    <row r="534" ht="15" customHeight="1">
      <c r="A534" t="inlineStr">
        <is>
          <t>A 45539-2019</t>
        </is>
      </c>
      <c r="B534" s="1" t="n">
        <v>43714</v>
      </c>
      <c r="C534" s="1" t="n">
        <v>45847</v>
      </c>
      <c r="D534" t="inlineStr">
        <is>
          <t>JÄMTLANDS LÄN</t>
        </is>
      </c>
      <c r="E534" t="inlineStr">
        <is>
          <t>BRÄCKE</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46844-2019</t>
        </is>
      </c>
      <c r="B535" s="1" t="n">
        <v>43720</v>
      </c>
      <c r="C535" s="1" t="n">
        <v>45847</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47074-2019</t>
        </is>
      </c>
      <c r="B536" s="1" t="n">
        <v>43720</v>
      </c>
      <c r="C536" s="1" t="n">
        <v>45847</v>
      </c>
      <c r="D536" t="inlineStr">
        <is>
          <t>JÄMTLANDS LÄN</t>
        </is>
      </c>
      <c r="E536" t="inlineStr">
        <is>
          <t>BRÄCKE</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49690-2019</t>
        </is>
      </c>
      <c r="B537" s="1" t="n">
        <v>43732</v>
      </c>
      <c r="C537" s="1" t="n">
        <v>45847</v>
      </c>
      <c r="D537" t="inlineStr">
        <is>
          <t>JÄMTLANDS LÄN</t>
        </is>
      </c>
      <c r="E537" t="inlineStr">
        <is>
          <t>BRÄCKE</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50292-2019</t>
        </is>
      </c>
      <c r="B538" s="1" t="n">
        <v>43735</v>
      </c>
      <c r="C538" s="1" t="n">
        <v>45847</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50584-2019</t>
        </is>
      </c>
      <c r="B539" s="1" t="n">
        <v>43735</v>
      </c>
      <c r="C539" s="1" t="n">
        <v>45847</v>
      </c>
      <c r="D539" t="inlineStr">
        <is>
          <t>JÄMTLANDS LÄN</t>
        </is>
      </c>
      <c r="E539" t="inlineStr">
        <is>
          <t>BRÄCKE</t>
        </is>
      </c>
      <c r="F539" t="inlineStr">
        <is>
          <t>SCA</t>
        </is>
      </c>
      <c r="G539" t="n">
        <v>19.1</v>
      </c>
      <c r="H539" t="n">
        <v>0</v>
      </c>
      <c r="I539" t="n">
        <v>0</v>
      </c>
      <c r="J539" t="n">
        <v>0</v>
      </c>
      <c r="K539" t="n">
        <v>0</v>
      </c>
      <c r="L539" t="n">
        <v>0</v>
      </c>
      <c r="M539" t="n">
        <v>0</v>
      </c>
      <c r="N539" t="n">
        <v>0</v>
      </c>
      <c r="O539" t="n">
        <v>0</v>
      </c>
      <c r="P539" t="n">
        <v>0</v>
      </c>
      <c r="Q539" t="n">
        <v>0</v>
      </c>
      <c r="R539" s="2" t="inlineStr"/>
    </row>
    <row r="540" ht="15" customHeight="1">
      <c r="A540" t="inlineStr">
        <is>
          <t>A 50580-2019</t>
        </is>
      </c>
      <c r="B540" s="1" t="n">
        <v>43735</v>
      </c>
      <c r="C540" s="1" t="n">
        <v>45847</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51257-2019</t>
        </is>
      </c>
      <c r="B541" s="1" t="n">
        <v>43739</v>
      </c>
      <c r="C541" s="1" t="n">
        <v>45847</v>
      </c>
      <c r="D541" t="inlineStr">
        <is>
          <t>JÄMTLANDS LÄN</t>
        </is>
      </c>
      <c r="E541" t="inlineStr">
        <is>
          <t>BRÄCKE</t>
        </is>
      </c>
      <c r="F541" t="inlineStr">
        <is>
          <t>Övriga Aktiebolag</t>
        </is>
      </c>
      <c r="G541" t="n">
        <v>6</v>
      </c>
      <c r="H541" t="n">
        <v>0</v>
      </c>
      <c r="I541" t="n">
        <v>0</v>
      </c>
      <c r="J541" t="n">
        <v>0</v>
      </c>
      <c r="K541" t="n">
        <v>0</v>
      </c>
      <c r="L541" t="n">
        <v>0</v>
      </c>
      <c r="M541" t="n">
        <v>0</v>
      </c>
      <c r="N541" t="n">
        <v>0</v>
      </c>
      <c r="O541" t="n">
        <v>0</v>
      </c>
      <c r="P541" t="n">
        <v>0</v>
      </c>
      <c r="Q541" t="n">
        <v>0</v>
      </c>
      <c r="R541" s="2" t="inlineStr"/>
    </row>
    <row r="542" ht="15" customHeight="1">
      <c r="A542" t="inlineStr">
        <is>
          <t>A 51329-2019</t>
        </is>
      </c>
      <c r="B542" s="1" t="n">
        <v>43739</v>
      </c>
      <c r="C542" s="1" t="n">
        <v>45847</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51328-2019</t>
        </is>
      </c>
      <c r="B543" s="1" t="n">
        <v>43739</v>
      </c>
      <c r="C543" s="1" t="n">
        <v>45847</v>
      </c>
      <c r="D543" t="inlineStr">
        <is>
          <t>JÄMTLANDS LÄN</t>
        </is>
      </c>
      <c r="E543" t="inlineStr">
        <is>
          <t>BRÄCKE</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52882-2019</t>
        </is>
      </c>
      <c r="B544" s="1" t="n">
        <v>43746</v>
      </c>
      <c r="C544" s="1" t="n">
        <v>45847</v>
      </c>
      <c r="D544" t="inlineStr">
        <is>
          <t>JÄMTLANDS LÄN</t>
        </is>
      </c>
      <c r="E544" t="inlineStr">
        <is>
          <t>BRÄCKE</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53485-2019</t>
        </is>
      </c>
      <c r="B545" s="1" t="n">
        <v>43748</v>
      </c>
      <c r="C545" s="1" t="n">
        <v>45847</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56063-2019</t>
        </is>
      </c>
      <c r="B546" s="1" t="n">
        <v>43759</v>
      </c>
      <c r="C546" s="1" t="n">
        <v>45847</v>
      </c>
      <c r="D546" t="inlineStr">
        <is>
          <t>JÄMTLANDS LÄN</t>
        </is>
      </c>
      <c r="E546" t="inlineStr">
        <is>
          <t>BRÄCKE</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56511-2019</t>
        </is>
      </c>
      <c r="B547" s="1" t="n">
        <v>43762</v>
      </c>
      <c r="C547" s="1" t="n">
        <v>45847</v>
      </c>
      <c r="D547" t="inlineStr">
        <is>
          <t>JÄMTLANDS LÄN</t>
        </is>
      </c>
      <c r="E547" t="inlineStr">
        <is>
          <t>BRÄCKE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57395-2019</t>
        </is>
      </c>
      <c r="B548" s="1" t="n">
        <v>43767</v>
      </c>
      <c r="C548" s="1" t="n">
        <v>45847</v>
      </c>
      <c r="D548" t="inlineStr">
        <is>
          <t>JÄMTLANDS LÄN</t>
        </is>
      </c>
      <c r="E548" t="inlineStr">
        <is>
          <t>BRÄCKE</t>
        </is>
      </c>
      <c r="G548" t="n">
        <v>1.1</v>
      </c>
      <c r="H548" t="n">
        <v>0</v>
      </c>
      <c r="I548" t="n">
        <v>0</v>
      </c>
      <c r="J548" t="n">
        <v>0</v>
      </c>
      <c r="K548" t="n">
        <v>0</v>
      </c>
      <c r="L548" t="n">
        <v>0</v>
      </c>
      <c r="M548" t="n">
        <v>0</v>
      </c>
      <c r="N548" t="n">
        <v>0</v>
      </c>
      <c r="O548" t="n">
        <v>0</v>
      </c>
      <c r="P548" t="n">
        <v>0</v>
      </c>
      <c r="Q548" t="n">
        <v>0</v>
      </c>
      <c r="R548" s="2" t="inlineStr"/>
    </row>
    <row r="549" ht="15" customHeight="1">
      <c r="A549" t="inlineStr">
        <is>
          <t>A 57749-2019</t>
        </is>
      </c>
      <c r="B549" s="1" t="n">
        <v>43768</v>
      </c>
      <c r="C549" s="1" t="n">
        <v>45847</v>
      </c>
      <c r="D549" t="inlineStr">
        <is>
          <t>JÄMTLANDS LÄN</t>
        </is>
      </c>
      <c r="E549" t="inlineStr">
        <is>
          <t>BRÄCKE</t>
        </is>
      </c>
      <c r="G549" t="n">
        <v>3.3</v>
      </c>
      <c r="H549" t="n">
        <v>0</v>
      </c>
      <c r="I549" t="n">
        <v>0</v>
      </c>
      <c r="J549" t="n">
        <v>0</v>
      </c>
      <c r="K549" t="n">
        <v>0</v>
      </c>
      <c r="L549" t="n">
        <v>0</v>
      </c>
      <c r="M549" t="n">
        <v>0</v>
      </c>
      <c r="N549" t="n">
        <v>0</v>
      </c>
      <c r="O549" t="n">
        <v>0</v>
      </c>
      <c r="P549" t="n">
        <v>0</v>
      </c>
      <c r="Q549" t="n">
        <v>0</v>
      </c>
      <c r="R549" s="2" t="inlineStr"/>
    </row>
    <row r="550" ht="15" customHeight="1">
      <c r="A550" t="inlineStr">
        <is>
          <t>A 58354-2019</t>
        </is>
      </c>
      <c r="B550" s="1" t="n">
        <v>43770</v>
      </c>
      <c r="C550" s="1" t="n">
        <v>45847</v>
      </c>
      <c r="D550" t="inlineStr">
        <is>
          <t>JÄMTLANDS LÄN</t>
        </is>
      </c>
      <c r="E550" t="inlineStr">
        <is>
          <t>BRÄCKE</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58635-2019</t>
        </is>
      </c>
      <c r="B551" s="1" t="n">
        <v>43773</v>
      </c>
      <c r="C551" s="1" t="n">
        <v>45847</v>
      </c>
      <c r="D551" t="inlineStr">
        <is>
          <t>JÄMTLANDS LÄN</t>
        </is>
      </c>
      <c r="E551" t="inlineStr">
        <is>
          <t>BRÄCKE</t>
        </is>
      </c>
      <c r="G551" t="n">
        <v>3.5</v>
      </c>
      <c r="H551" t="n">
        <v>0</v>
      </c>
      <c r="I551" t="n">
        <v>0</v>
      </c>
      <c r="J551" t="n">
        <v>0</v>
      </c>
      <c r="K551" t="n">
        <v>0</v>
      </c>
      <c r="L551" t="n">
        <v>0</v>
      </c>
      <c r="M551" t="n">
        <v>0</v>
      </c>
      <c r="N551" t="n">
        <v>0</v>
      </c>
      <c r="O551" t="n">
        <v>0</v>
      </c>
      <c r="P551" t="n">
        <v>0</v>
      </c>
      <c r="Q551" t="n">
        <v>0</v>
      </c>
      <c r="R551" s="2" t="inlineStr"/>
    </row>
    <row r="552" ht="15" customHeight="1">
      <c r="A552" t="inlineStr">
        <is>
          <t>A 60186-2019</t>
        </is>
      </c>
      <c r="B552" s="1" t="n">
        <v>43776</v>
      </c>
      <c r="C552" s="1" t="n">
        <v>45847</v>
      </c>
      <c r="D552" t="inlineStr">
        <is>
          <t>JÄMTLANDS LÄN</t>
        </is>
      </c>
      <c r="E552" t="inlineStr">
        <is>
          <t>BRÄCKE</t>
        </is>
      </c>
      <c r="G552" t="n">
        <v>0.6</v>
      </c>
      <c r="H552" t="n">
        <v>0</v>
      </c>
      <c r="I552" t="n">
        <v>0</v>
      </c>
      <c r="J552" t="n">
        <v>0</v>
      </c>
      <c r="K552" t="n">
        <v>0</v>
      </c>
      <c r="L552" t="n">
        <v>0</v>
      </c>
      <c r="M552" t="n">
        <v>0</v>
      </c>
      <c r="N552" t="n">
        <v>0</v>
      </c>
      <c r="O552" t="n">
        <v>0</v>
      </c>
      <c r="P552" t="n">
        <v>0</v>
      </c>
      <c r="Q552" t="n">
        <v>0</v>
      </c>
      <c r="R552" s="2" t="inlineStr"/>
    </row>
    <row r="553" ht="15" customHeight="1">
      <c r="A553" t="inlineStr">
        <is>
          <t>A 60018-2019</t>
        </is>
      </c>
      <c r="B553" s="1" t="n">
        <v>43777</v>
      </c>
      <c r="C553" s="1" t="n">
        <v>45847</v>
      </c>
      <c r="D553" t="inlineStr">
        <is>
          <t>JÄMTLANDS LÄN</t>
        </is>
      </c>
      <c r="E553" t="inlineStr">
        <is>
          <t>BRÄCKE</t>
        </is>
      </c>
      <c r="F553" t="inlineStr">
        <is>
          <t>Övriga Aktiebolag</t>
        </is>
      </c>
      <c r="G553" t="n">
        <v>15.2</v>
      </c>
      <c r="H553" t="n">
        <v>0</v>
      </c>
      <c r="I553" t="n">
        <v>0</v>
      </c>
      <c r="J553" t="n">
        <v>0</v>
      </c>
      <c r="K553" t="n">
        <v>0</v>
      </c>
      <c r="L553" t="n">
        <v>0</v>
      </c>
      <c r="M553" t="n">
        <v>0</v>
      </c>
      <c r="N553" t="n">
        <v>0</v>
      </c>
      <c r="O553" t="n">
        <v>0</v>
      </c>
      <c r="P553" t="n">
        <v>0</v>
      </c>
      <c r="Q553" t="n">
        <v>0</v>
      </c>
      <c r="R553" s="2" t="inlineStr"/>
    </row>
    <row r="554" ht="15" customHeight="1">
      <c r="A554" t="inlineStr">
        <is>
          <t>A 60155-2019</t>
        </is>
      </c>
      <c r="B554" s="1" t="n">
        <v>43780</v>
      </c>
      <c r="C554" s="1" t="n">
        <v>45847</v>
      </c>
      <c r="D554" t="inlineStr">
        <is>
          <t>JÄMTLANDS LÄN</t>
        </is>
      </c>
      <c r="E554" t="inlineStr">
        <is>
          <t>BRÄCKE</t>
        </is>
      </c>
      <c r="G554" t="n">
        <v>2.4</v>
      </c>
      <c r="H554" t="n">
        <v>0</v>
      </c>
      <c r="I554" t="n">
        <v>0</v>
      </c>
      <c r="J554" t="n">
        <v>0</v>
      </c>
      <c r="K554" t="n">
        <v>0</v>
      </c>
      <c r="L554" t="n">
        <v>0</v>
      </c>
      <c r="M554" t="n">
        <v>0</v>
      </c>
      <c r="N554" t="n">
        <v>0</v>
      </c>
      <c r="O554" t="n">
        <v>0</v>
      </c>
      <c r="P554" t="n">
        <v>0</v>
      </c>
      <c r="Q554" t="n">
        <v>0</v>
      </c>
      <c r="R554" s="2" t="inlineStr"/>
    </row>
    <row r="555" ht="15" customHeight="1">
      <c r="A555" t="inlineStr">
        <is>
          <t>A 61082-2019</t>
        </is>
      </c>
      <c r="B555" s="1" t="n">
        <v>43782</v>
      </c>
      <c r="C555" s="1" t="n">
        <v>45847</v>
      </c>
      <c r="D555" t="inlineStr">
        <is>
          <t>JÄMTLANDS LÄN</t>
        </is>
      </c>
      <c r="E555" t="inlineStr">
        <is>
          <t>BRÄCKE</t>
        </is>
      </c>
      <c r="G555" t="n">
        <v>20.1</v>
      </c>
      <c r="H555" t="n">
        <v>0</v>
      </c>
      <c r="I555" t="n">
        <v>0</v>
      </c>
      <c r="J555" t="n">
        <v>0</v>
      </c>
      <c r="K555" t="n">
        <v>0</v>
      </c>
      <c r="L555" t="n">
        <v>0</v>
      </c>
      <c r="M555" t="n">
        <v>0</v>
      </c>
      <c r="N555" t="n">
        <v>0</v>
      </c>
      <c r="O555" t="n">
        <v>0</v>
      </c>
      <c r="P555" t="n">
        <v>0</v>
      </c>
      <c r="Q555" t="n">
        <v>0</v>
      </c>
      <c r="R555" s="2" t="inlineStr"/>
    </row>
    <row r="556" ht="15" customHeight="1">
      <c r="A556" t="inlineStr">
        <is>
          <t>A 62335-2019</t>
        </is>
      </c>
      <c r="B556" s="1" t="n">
        <v>43782</v>
      </c>
      <c r="C556" s="1" t="n">
        <v>45847</v>
      </c>
      <c r="D556" t="inlineStr">
        <is>
          <t>JÄMTLANDS LÄN</t>
        </is>
      </c>
      <c r="E556" t="inlineStr">
        <is>
          <t>BRÄCKE</t>
        </is>
      </c>
      <c r="G556" t="n">
        <v>5.7</v>
      </c>
      <c r="H556" t="n">
        <v>0</v>
      </c>
      <c r="I556" t="n">
        <v>0</v>
      </c>
      <c r="J556" t="n">
        <v>0</v>
      </c>
      <c r="K556" t="n">
        <v>0</v>
      </c>
      <c r="L556" t="n">
        <v>0</v>
      </c>
      <c r="M556" t="n">
        <v>0</v>
      </c>
      <c r="N556" t="n">
        <v>0</v>
      </c>
      <c r="O556" t="n">
        <v>0</v>
      </c>
      <c r="P556" t="n">
        <v>0</v>
      </c>
      <c r="Q556" t="n">
        <v>0</v>
      </c>
      <c r="R556" s="2" t="inlineStr"/>
    </row>
    <row r="557" ht="15" customHeight="1">
      <c r="A557" t="inlineStr">
        <is>
          <t>A 64133-2019</t>
        </is>
      </c>
      <c r="B557" s="1" t="n">
        <v>43796</v>
      </c>
      <c r="C557" s="1" t="n">
        <v>45847</v>
      </c>
      <c r="D557" t="inlineStr">
        <is>
          <t>JÄMTLANDS LÄN</t>
        </is>
      </c>
      <c r="E557" t="inlineStr">
        <is>
          <t>BRÄCKE</t>
        </is>
      </c>
      <c r="G557" t="n">
        <v>0.6</v>
      </c>
      <c r="H557" t="n">
        <v>0</v>
      </c>
      <c r="I557" t="n">
        <v>0</v>
      </c>
      <c r="J557" t="n">
        <v>0</v>
      </c>
      <c r="K557" t="n">
        <v>0</v>
      </c>
      <c r="L557" t="n">
        <v>0</v>
      </c>
      <c r="M557" t="n">
        <v>0</v>
      </c>
      <c r="N557" t="n">
        <v>0</v>
      </c>
      <c r="O557" t="n">
        <v>0</v>
      </c>
      <c r="P557" t="n">
        <v>0</v>
      </c>
      <c r="Q557" t="n">
        <v>0</v>
      </c>
      <c r="R557" s="2" t="inlineStr"/>
    </row>
    <row r="558" ht="15" customHeight="1">
      <c r="A558" t="inlineStr">
        <is>
          <t>A 64475-2019</t>
        </is>
      </c>
      <c r="B558" s="1" t="n">
        <v>43797</v>
      </c>
      <c r="C558" s="1" t="n">
        <v>45847</v>
      </c>
      <c r="D558" t="inlineStr">
        <is>
          <t>JÄMTLANDS LÄN</t>
        </is>
      </c>
      <c r="E558" t="inlineStr">
        <is>
          <t>BRÄCKE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65038-2019</t>
        </is>
      </c>
      <c r="B559" s="1" t="n">
        <v>43801</v>
      </c>
      <c r="C559" s="1" t="n">
        <v>45847</v>
      </c>
      <c r="D559" t="inlineStr">
        <is>
          <t>JÄMTLANDS LÄN</t>
        </is>
      </c>
      <c r="E559" t="inlineStr">
        <is>
          <t>BRÄCKE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66377-2019</t>
        </is>
      </c>
      <c r="B560" s="1" t="n">
        <v>43808</v>
      </c>
      <c r="C560" s="1" t="n">
        <v>45847</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66376-2019</t>
        </is>
      </c>
      <c r="B561" s="1" t="n">
        <v>43808</v>
      </c>
      <c r="C561" s="1" t="n">
        <v>45847</v>
      </c>
      <c r="D561" t="inlineStr">
        <is>
          <t>JÄMTLANDS LÄN</t>
        </is>
      </c>
      <c r="E561" t="inlineStr">
        <is>
          <t>BRÄCKE</t>
        </is>
      </c>
      <c r="G561" t="n">
        <v>1</v>
      </c>
      <c r="H561" t="n">
        <v>0</v>
      </c>
      <c r="I561" t="n">
        <v>0</v>
      </c>
      <c r="J561" t="n">
        <v>0</v>
      </c>
      <c r="K561" t="n">
        <v>0</v>
      </c>
      <c r="L561" t="n">
        <v>0</v>
      </c>
      <c r="M561" t="n">
        <v>0</v>
      </c>
      <c r="N561" t="n">
        <v>0</v>
      </c>
      <c r="O561" t="n">
        <v>0</v>
      </c>
      <c r="P561" t="n">
        <v>0</v>
      </c>
      <c r="Q561" t="n">
        <v>0</v>
      </c>
      <c r="R561" s="2" t="inlineStr"/>
    </row>
    <row r="562" ht="15" customHeight="1">
      <c r="A562" t="inlineStr">
        <is>
          <t>A 68001-2019</t>
        </is>
      </c>
      <c r="B562" s="1" t="n">
        <v>43810</v>
      </c>
      <c r="C562" s="1" t="n">
        <v>45847</v>
      </c>
      <c r="D562" t="inlineStr">
        <is>
          <t>JÄMTLANDS LÄN</t>
        </is>
      </c>
      <c r="E562" t="inlineStr">
        <is>
          <t>BRÄCKE</t>
        </is>
      </c>
      <c r="G562" t="n">
        <v>3.6</v>
      </c>
      <c r="H562" t="n">
        <v>0</v>
      </c>
      <c r="I562" t="n">
        <v>0</v>
      </c>
      <c r="J562" t="n">
        <v>0</v>
      </c>
      <c r="K562" t="n">
        <v>0</v>
      </c>
      <c r="L562" t="n">
        <v>0</v>
      </c>
      <c r="M562" t="n">
        <v>0</v>
      </c>
      <c r="N562" t="n">
        <v>0</v>
      </c>
      <c r="O562" t="n">
        <v>0</v>
      </c>
      <c r="P562" t="n">
        <v>0</v>
      </c>
      <c r="Q562" t="n">
        <v>0</v>
      </c>
      <c r="R562" s="2" t="inlineStr"/>
    </row>
    <row r="563" ht="15" customHeight="1">
      <c r="A563" t="inlineStr">
        <is>
          <t>A 67214-2019</t>
        </is>
      </c>
      <c r="B563" s="1" t="n">
        <v>43811</v>
      </c>
      <c r="C563" s="1" t="n">
        <v>45847</v>
      </c>
      <c r="D563" t="inlineStr">
        <is>
          <t>JÄMTLANDS LÄN</t>
        </is>
      </c>
      <c r="E563" t="inlineStr">
        <is>
          <t>BRÄCKE</t>
        </is>
      </c>
      <c r="G563" t="n">
        <v>0.2</v>
      </c>
      <c r="H563" t="n">
        <v>0</v>
      </c>
      <c r="I563" t="n">
        <v>0</v>
      </c>
      <c r="J563" t="n">
        <v>0</v>
      </c>
      <c r="K563" t="n">
        <v>0</v>
      </c>
      <c r="L563" t="n">
        <v>0</v>
      </c>
      <c r="M563" t="n">
        <v>0</v>
      </c>
      <c r="N563" t="n">
        <v>0</v>
      </c>
      <c r="O563" t="n">
        <v>0</v>
      </c>
      <c r="P563" t="n">
        <v>0</v>
      </c>
      <c r="Q563" t="n">
        <v>0</v>
      </c>
      <c r="R563" s="2" t="inlineStr"/>
    </row>
    <row r="564" ht="15" customHeight="1">
      <c r="A564" t="inlineStr">
        <is>
          <t>A 67818-2019</t>
        </is>
      </c>
      <c r="B564" s="1" t="n">
        <v>43815</v>
      </c>
      <c r="C564" s="1" t="n">
        <v>45847</v>
      </c>
      <c r="D564" t="inlineStr">
        <is>
          <t>JÄMTLANDS LÄN</t>
        </is>
      </c>
      <c r="E564" t="inlineStr">
        <is>
          <t>BRÄCKE</t>
        </is>
      </c>
      <c r="G564" t="n">
        <v>1.3</v>
      </c>
      <c r="H564" t="n">
        <v>0</v>
      </c>
      <c r="I564" t="n">
        <v>0</v>
      </c>
      <c r="J564" t="n">
        <v>0</v>
      </c>
      <c r="K564" t="n">
        <v>0</v>
      </c>
      <c r="L564" t="n">
        <v>0</v>
      </c>
      <c r="M564" t="n">
        <v>0</v>
      </c>
      <c r="N564" t="n">
        <v>0</v>
      </c>
      <c r="O564" t="n">
        <v>0</v>
      </c>
      <c r="P564" t="n">
        <v>0</v>
      </c>
      <c r="Q564" t="n">
        <v>0</v>
      </c>
      <c r="R564" s="2" t="inlineStr"/>
    </row>
    <row r="565" ht="15" customHeight="1">
      <c r="A565" t="inlineStr">
        <is>
          <t>A 69041-2019</t>
        </is>
      </c>
      <c r="B565" s="1" t="n">
        <v>43826</v>
      </c>
      <c r="C565" s="1" t="n">
        <v>45847</v>
      </c>
      <c r="D565" t="inlineStr">
        <is>
          <t>JÄMTLANDS LÄN</t>
        </is>
      </c>
      <c r="E565" t="inlineStr">
        <is>
          <t>BRÄCKE</t>
        </is>
      </c>
      <c r="G565" t="n">
        <v>1.4</v>
      </c>
      <c r="H565" t="n">
        <v>0</v>
      </c>
      <c r="I565" t="n">
        <v>0</v>
      </c>
      <c r="J565" t="n">
        <v>0</v>
      </c>
      <c r="K565" t="n">
        <v>0</v>
      </c>
      <c r="L565" t="n">
        <v>0</v>
      </c>
      <c r="M565" t="n">
        <v>0</v>
      </c>
      <c r="N565" t="n">
        <v>0</v>
      </c>
      <c r="O565" t="n">
        <v>0</v>
      </c>
      <c r="P565" t="n">
        <v>0</v>
      </c>
      <c r="Q565" t="n">
        <v>0</v>
      </c>
      <c r="R565" s="2" t="inlineStr"/>
    </row>
    <row r="566" ht="15" customHeight="1">
      <c r="A566" t="inlineStr">
        <is>
          <t>A 208-2020</t>
        </is>
      </c>
      <c r="B566" s="1" t="n">
        <v>43833</v>
      </c>
      <c r="C566" s="1" t="n">
        <v>45847</v>
      </c>
      <c r="D566" t="inlineStr">
        <is>
          <t>JÄMTLANDS LÄN</t>
        </is>
      </c>
      <c r="E566" t="inlineStr">
        <is>
          <t>BRÄCKE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325-2020</t>
        </is>
      </c>
      <c r="B567" s="1" t="n">
        <v>43837</v>
      </c>
      <c r="C567" s="1" t="n">
        <v>45847</v>
      </c>
      <c r="D567" t="inlineStr">
        <is>
          <t>JÄMTLANDS LÄN</t>
        </is>
      </c>
      <c r="E567" t="inlineStr">
        <is>
          <t>BRÄCKE</t>
        </is>
      </c>
      <c r="G567" t="n">
        <v>0.3</v>
      </c>
      <c r="H567" t="n">
        <v>0</v>
      </c>
      <c r="I567" t="n">
        <v>0</v>
      </c>
      <c r="J567" t="n">
        <v>0</v>
      </c>
      <c r="K567" t="n">
        <v>0</v>
      </c>
      <c r="L567" t="n">
        <v>0</v>
      </c>
      <c r="M567" t="n">
        <v>0</v>
      </c>
      <c r="N567" t="n">
        <v>0</v>
      </c>
      <c r="O567" t="n">
        <v>0</v>
      </c>
      <c r="P567" t="n">
        <v>0</v>
      </c>
      <c r="Q567" t="n">
        <v>0</v>
      </c>
      <c r="R567" s="2" t="inlineStr"/>
    </row>
    <row r="568" ht="15" customHeight="1">
      <c r="A568" t="inlineStr">
        <is>
          <t>A 1267-2020</t>
        </is>
      </c>
      <c r="B568" s="1" t="n">
        <v>43840</v>
      </c>
      <c r="C568" s="1" t="n">
        <v>45847</v>
      </c>
      <c r="D568" t="inlineStr">
        <is>
          <t>JÄMTLANDS LÄN</t>
        </is>
      </c>
      <c r="E568" t="inlineStr">
        <is>
          <t>BRÄCKE</t>
        </is>
      </c>
      <c r="G568" t="n">
        <v>2.8</v>
      </c>
      <c r="H568" t="n">
        <v>0</v>
      </c>
      <c r="I568" t="n">
        <v>0</v>
      </c>
      <c r="J568" t="n">
        <v>0</v>
      </c>
      <c r="K568" t="n">
        <v>0</v>
      </c>
      <c r="L568" t="n">
        <v>0</v>
      </c>
      <c r="M568" t="n">
        <v>0</v>
      </c>
      <c r="N568" t="n">
        <v>0</v>
      </c>
      <c r="O568" t="n">
        <v>0</v>
      </c>
      <c r="P568" t="n">
        <v>0</v>
      </c>
      <c r="Q568" t="n">
        <v>0</v>
      </c>
      <c r="R568" s="2" t="inlineStr"/>
    </row>
    <row r="569" ht="15" customHeight="1">
      <c r="A569" t="inlineStr">
        <is>
          <t>A 3488-2020</t>
        </is>
      </c>
      <c r="B569" s="1" t="n">
        <v>43852</v>
      </c>
      <c r="C569" s="1" t="n">
        <v>45847</v>
      </c>
      <c r="D569" t="inlineStr">
        <is>
          <t>JÄMTLANDS LÄN</t>
        </is>
      </c>
      <c r="E569" t="inlineStr">
        <is>
          <t>BRÄCKE</t>
        </is>
      </c>
      <c r="G569" t="n">
        <v>9.1</v>
      </c>
      <c r="H569" t="n">
        <v>0</v>
      </c>
      <c r="I569" t="n">
        <v>0</v>
      </c>
      <c r="J569" t="n">
        <v>0</v>
      </c>
      <c r="K569" t="n">
        <v>0</v>
      </c>
      <c r="L569" t="n">
        <v>0</v>
      </c>
      <c r="M569" t="n">
        <v>0</v>
      </c>
      <c r="N569" t="n">
        <v>0</v>
      </c>
      <c r="O569" t="n">
        <v>0</v>
      </c>
      <c r="P569" t="n">
        <v>0</v>
      </c>
      <c r="Q569" t="n">
        <v>0</v>
      </c>
      <c r="R569" s="2" t="inlineStr"/>
    </row>
    <row r="570" ht="15" customHeight="1">
      <c r="A570" t="inlineStr">
        <is>
          <t>A 3483-2020</t>
        </is>
      </c>
      <c r="B570" s="1" t="n">
        <v>43852</v>
      </c>
      <c r="C570" s="1" t="n">
        <v>45847</v>
      </c>
      <c r="D570" t="inlineStr">
        <is>
          <t>JÄMTLANDS LÄN</t>
        </is>
      </c>
      <c r="E570" t="inlineStr">
        <is>
          <t>BRÄCKE</t>
        </is>
      </c>
      <c r="G570" t="n">
        <v>5.8</v>
      </c>
      <c r="H570" t="n">
        <v>0</v>
      </c>
      <c r="I570" t="n">
        <v>0</v>
      </c>
      <c r="J570" t="n">
        <v>0</v>
      </c>
      <c r="K570" t="n">
        <v>0</v>
      </c>
      <c r="L570" t="n">
        <v>0</v>
      </c>
      <c r="M570" t="n">
        <v>0</v>
      </c>
      <c r="N570" t="n">
        <v>0</v>
      </c>
      <c r="O570" t="n">
        <v>0</v>
      </c>
      <c r="P570" t="n">
        <v>0</v>
      </c>
      <c r="Q570" t="n">
        <v>0</v>
      </c>
      <c r="R570" s="2" t="inlineStr"/>
    </row>
    <row r="571" ht="15" customHeight="1">
      <c r="A571" t="inlineStr">
        <is>
          <t>A 3489-2020</t>
        </is>
      </c>
      <c r="B571" s="1" t="n">
        <v>43852</v>
      </c>
      <c r="C571" s="1" t="n">
        <v>45847</v>
      </c>
      <c r="D571" t="inlineStr">
        <is>
          <t>JÄMTLANDS LÄN</t>
        </is>
      </c>
      <c r="E571" t="inlineStr">
        <is>
          <t>BRÄCKE</t>
        </is>
      </c>
      <c r="G571" t="n">
        <v>3.8</v>
      </c>
      <c r="H571" t="n">
        <v>0</v>
      </c>
      <c r="I571" t="n">
        <v>0</v>
      </c>
      <c r="J571" t="n">
        <v>0</v>
      </c>
      <c r="K571" t="n">
        <v>0</v>
      </c>
      <c r="L571" t="n">
        <v>0</v>
      </c>
      <c r="M571" t="n">
        <v>0</v>
      </c>
      <c r="N571" t="n">
        <v>0</v>
      </c>
      <c r="O571" t="n">
        <v>0</v>
      </c>
      <c r="P571" t="n">
        <v>0</v>
      </c>
      <c r="Q571" t="n">
        <v>0</v>
      </c>
      <c r="R571" s="2" t="inlineStr"/>
    </row>
    <row r="572" ht="15" customHeight="1">
      <c r="A572" t="inlineStr">
        <is>
          <t>A 3772-2020</t>
        </is>
      </c>
      <c r="B572" s="1" t="n">
        <v>43854</v>
      </c>
      <c r="C572" s="1" t="n">
        <v>45847</v>
      </c>
      <c r="D572" t="inlineStr">
        <is>
          <t>JÄMTLANDS LÄN</t>
        </is>
      </c>
      <c r="E572" t="inlineStr">
        <is>
          <t>BRÄCKE</t>
        </is>
      </c>
      <c r="F572" t="inlineStr">
        <is>
          <t>SCA</t>
        </is>
      </c>
      <c r="G572" t="n">
        <v>16.9</v>
      </c>
      <c r="H572" t="n">
        <v>0</v>
      </c>
      <c r="I572" t="n">
        <v>0</v>
      </c>
      <c r="J572" t="n">
        <v>0</v>
      </c>
      <c r="K572" t="n">
        <v>0</v>
      </c>
      <c r="L572" t="n">
        <v>0</v>
      </c>
      <c r="M572" t="n">
        <v>0</v>
      </c>
      <c r="N572" t="n">
        <v>0</v>
      </c>
      <c r="O572" t="n">
        <v>0</v>
      </c>
      <c r="P572" t="n">
        <v>0</v>
      </c>
      <c r="Q572" t="n">
        <v>0</v>
      </c>
      <c r="R572" s="2" t="inlineStr"/>
    </row>
    <row r="573" ht="15" customHeight="1">
      <c r="A573" t="inlineStr">
        <is>
          <t>A 6265-2020</t>
        </is>
      </c>
      <c r="B573" s="1" t="n">
        <v>43866</v>
      </c>
      <c r="C573" s="1" t="n">
        <v>45847</v>
      </c>
      <c r="D573" t="inlineStr">
        <is>
          <t>JÄMTLANDS LÄN</t>
        </is>
      </c>
      <c r="E573" t="inlineStr">
        <is>
          <t>BRÄCKE</t>
        </is>
      </c>
      <c r="G573" t="n">
        <v>2</v>
      </c>
      <c r="H573" t="n">
        <v>0</v>
      </c>
      <c r="I573" t="n">
        <v>0</v>
      </c>
      <c r="J573" t="n">
        <v>0</v>
      </c>
      <c r="K573" t="n">
        <v>0</v>
      </c>
      <c r="L573" t="n">
        <v>0</v>
      </c>
      <c r="M573" t="n">
        <v>0</v>
      </c>
      <c r="N573" t="n">
        <v>0</v>
      </c>
      <c r="O573" t="n">
        <v>0</v>
      </c>
      <c r="P573" t="n">
        <v>0</v>
      </c>
      <c r="Q573" t="n">
        <v>0</v>
      </c>
      <c r="R573" s="2" t="inlineStr"/>
    </row>
    <row r="574" ht="15" customHeight="1">
      <c r="A574" t="inlineStr">
        <is>
          <t>A 7045-2020</t>
        </is>
      </c>
      <c r="B574" s="1" t="n">
        <v>43868</v>
      </c>
      <c r="C574" s="1" t="n">
        <v>45847</v>
      </c>
      <c r="D574" t="inlineStr">
        <is>
          <t>JÄMTLANDS LÄN</t>
        </is>
      </c>
      <c r="E574" t="inlineStr">
        <is>
          <t>BRÄCKE</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7782-2020</t>
        </is>
      </c>
      <c r="B575" s="1" t="n">
        <v>43872</v>
      </c>
      <c r="C575" s="1" t="n">
        <v>45847</v>
      </c>
      <c r="D575" t="inlineStr">
        <is>
          <t>JÄMTLANDS LÄN</t>
        </is>
      </c>
      <c r="E575" t="inlineStr">
        <is>
          <t>BRÄCKE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7783-2020</t>
        </is>
      </c>
      <c r="B576" s="1" t="n">
        <v>43872</v>
      </c>
      <c r="C576" s="1" t="n">
        <v>45847</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7792-2020</t>
        </is>
      </c>
      <c r="B577" s="1" t="n">
        <v>43872</v>
      </c>
      <c r="C577" s="1" t="n">
        <v>45847</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9825-2020</t>
        </is>
      </c>
      <c r="B578" s="1" t="n">
        <v>43881</v>
      </c>
      <c r="C578" s="1" t="n">
        <v>45847</v>
      </c>
      <c r="D578" t="inlineStr">
        <is>
          <t>JÄMTLANDS LÄN</t>
        </is>
      </c>
      <c r="E578" t="inlineStr">
        <is>
          <t>BRÄCKE</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13890-2020</t>
        </is>
      </c>
      <c r="B579" s="1" t="n">
        <v>43906</v>
      </c>
      <c r="C579" s="1" t="n">
        <v>45847</v>
      </c>
      <c r="D579" t="inlineStr">
        <is>
          <t>JÄMTLANDS LÄN</t>
        </is>
      </c>
      <c r="E579" t="inlineStr">
        <is>
          <t>BRÄCKE</t>
        </is>
      </c>
      <c r="G579" t="n">
        <v>2.6</v>
      </c>
      <c r="H579" t="n">
        <v>0</v>
      </c>
      <c r="I579" t="n">
        <v>0</v>
      </c>
      <c r="J579" t="n">
        <v>0</v>
      </c>
      <c r="K579" t="n">
        <v>0</v>
      </c>
      <c r="L579" t="n">
        <v>0</v>
      </c>
      <c r="M579" t="n">
        <v>0</v>
      </c>
      <c r="N579" t="n">
        <v>0</v>
      </c>
      <c r="O579" t="n">
        <v>0</v>
      </c>
      <c r="P579" t="n">
        <v>0</v>
      </c>
      <c r="Q579" t="n">
        <v>0</v>
      </c>
      <c r="R579" s="2" t="inlineStr"/>
    </row>
    <row r="580" ht="15" customHeight="1">
      <c r="A580" t="inlineStr">
        <is>
          <t>A 15404-2020</t>
        </is>
      </c>
      <c r="B580" s="1" t="n">
        <v>43913</v>
      </c>
      <c r="C580" s="1" t="n">
        <v>45847</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15405-2020</t>
        </is>
      </c>
      <c r="B581" s="1" t="n">
        <v>43913</v>
      </c>
      <c r="C581" s="1" t="n">
        <v>45847</v>
      </c>
      <c r="D581" t="inlineStr">
        <is>
          <t>JÄMTLANDS LÄN</t>
        </is>
      </c>
      <c r="E581" t="inlineStr">
        <is>
          <t>BRÄCKE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15898-2020</t>
        </is>
      </c>
      <c r="B582" s="1" t="n">
        <v>43915</v>
      </c>
      <c r="C582" s="1" t="n">
        <v>45847</v>
      </c>
      <c r="D582" t="inlineStr">
        <is>
          <t>JÄMTLANDS LÄN</t>
        </is>
      </c>
      <c r="E582" t="inlineStr">
        <is>
          <t>BRÄCKE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16158-2020</t>
        </is>
      </c>
      <c r="B583" s="1" t="n">
        <v>43916</v>
      </c>
      <c r="C583" s="1" t="n">
        <v>45847</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16769-2020</t>
        </is>
      </c>
      <c r="B584" s="1" t="n">
        <v>43920</v>
      </c>
      <c r="C584" s="1" t="n">
        <v>45847</v>
      </c>
      <c r="D584" t="inlineStr">
        <is>
          <t>JÄMTLANDS LÄN</t>
        </is>
      </c>
      <c r="E584" t="inlineStr">
        <is>
          <t>BRÄCKE</t>
        </is>
      </c>
      <c r="G584" t="n">
        <v>1.5</v>
      </c>
      <c r="H584" t="n">
        <v>0</v>
      </c>
      <c r="I584" t="n">
        <v>0</v>
      </c>
      <c r="J584" t="n">
        <v>0</v>
      </c>
      <c r="K584" t="n">
        <v>0</v>
      </c>
      <c r="L584" t="n">
        <v>0</v>
      </c>
      <c r="M584" t="n">
        <v>0</v>
      </c>
      <c r="N584" t="n">
        <v>0</v>
      </c>
      <c r="O584" t="n">
        <v>0</v>
      </c>
      <c r="P584" t="n">
        <v>0</v>
      </c>
      <c r="Q584" t="n">
        <v>0</v>
      </c>
      <c r="R584" s="2" t="inlineStr"/>
    </row>
    <row r="585" ht="15" customHeight="1">
      <c r="A585" t="inlineStr">
        <is>
          <t>A 17081-2020</t>
        </is>
      </c>
      <c r="B585" s="1" t="n">
        <v>43921</v>
      </c>
      <c r="C585" s="1" t="n">
        <v>45847</v>
      </c>
      <c r="D585" t="inlineStr">
        <is>
          <t>JÄMTLANDS LÄN</t>
        </is>
      </c>
      <c r="E585" t="inlineStr">
        <is>
          <t>BRÄCKE</t>
        </is>
      </c>
      <c r="G585" t="n">
        <v>13.6</v>
      </c>
      <c r="H585" t="n">
        <v>0</v>
      </c>
      <c r="I585" t="n">
        <v>0</v>
      </c>
      <c r="J585" t="n">
        <v>0</v>
      </c>
      <c r="K585" t="n">
        <v>0</v>
      </c>
      <c r="L585" t="n">
        <v>0</v>
      </c>
      <c r="M585" t="n">
        <v>0</v>
      </c>
      <c r="N585" t="n">
        <v>0</v>
      </c>
      <c r="O585" t="n">
        <v>0</v>
      </c>
      <c r="P585" t="n">
        <v>0</v>
      </c>
      <c r="Q585" t="n">
        <v>0</v>
      </c>
      <c r="R585" s="2" t="inlineStr"/>
    </row>
    <row r="586" ht="15" customHeight="1">
      <c r="A586" t="inlineStr">
        <is>
          <t>A 17082-2020</t>
        </is>
      </c>
      <c r="B586" s="1" t="n">
        <v>43921</v>
      </c>
      <c r="C586" s="1" t="n">
        <v>45847</v>
      </c>
      <c r="D586" t="inlineStr">
        <is>
          <t>JÄMTLANDS LÄN</t>
        </is>
      </c>
      <c r="E586" t="inlineStr">
        <is>
          <t>BRÄCKE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17078-2020</t>
        </is>
      </c>
      <c r="B587" s="1" t="n">
        <v>43921</v>
      </c>
      <c r="C587" s="1" t="n">
        <v>45847</v>
      </c>
      <c r="D587" t="inlineStr">
        <is>
          <t>JÄMTLANDS LÄN</t>
        </is>
      </c>
      <c r="E587" t="inlineStr">
        <is>
          <t>BRÄCKE</t>
        </is>
      </c>
      <c r="G587" t="n">
        <v>1</v>
      </c>
      <c r="H587" t="n">
        <v>0</v>
      </c>
      <c r="I587" t="n">
        <v>0</v>
      </c>
      <c r="J587" t="n">
        <v>0</v>
      </c>
      <c r="K587" t="n">
        <v>0</v>
      </c>
      <c r="L587" t="n">
        <v>0</v>
      </c>
      <c r="M587" t="n">
        <v>0</v>
      </c>
      <c r="N587" t="n">
        <v>0</v>
      </c>
      <c r="O587" t="n">
        <v>0</v>
      </c>
      <c r="P587" t="n">
        <v>0</v>
      </c>
      <c r="Q587" t="n">
        <v>0</v>
      </c>
      <c r="R587" s="2" t="inlineStr"/>
    </row>
    <row r="588" ht="15" customHeight="1">
      <c r="A588" t="inlineStr">
        <is>
          <t>A 17677-2020</t>
        </is>
      </c>
      <c r="B588" s="1" t="n">
        <v>43923</v>
      </c>
      <c r="C588" s="1" t="n">
        <v>45847</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17887-2020</t>
        </is>
      </c>
      <c r="B589" s="1" t="n">
        <v>43924</v>
      </c>
      <c r="C589" s="1" t="n">
        <v>45847</v>
      </c>
      <c r="D589" t="inlineStr">
        <is>
          <t>JÄMTLANDS LÄN</t>
        </is>
      </c>
      <c r="E589" t="inlineStr">
        <is>
          <t>BRÄCKE</t>
        </is>
      </c>
      <c r="F589" t="inlineStr">
        <is>
          <t>SCA</t>
        </is>
      </c>
      <c r="G589" t="n">
        <v>18.4</v>
      </c>
      <c r="H589" t="n">
        <v>0</v>
      </c>
      <c r="I589" t="n">
        <v>0</v>
      </c>
      <c r="J589" t="n">
        <v>0</v>
      </c>
      <c r="K589" t="n">
        <v>0</v>
      </c>
      <c r="L589" t="n">
        <v>0</v>
      </c>
      <c r="M589" t="n">
        <v>0</v>
      </c>
      <c r="N589" t="n">
        <v>0</v>
      </c>
      <c r="O589" t="n">
        <v>0</v>
      </c>
      <c r="P589" t="n">
        <v>0</v>
      </c>
      <c r="Q589" t="n">
        <v>0</v>
      </c>
      <c r="R589" s="2" t="inlineStr"/>
    </row>
    <row r="590" ht="15" customHeight="1">
      <c r="A590" t="inlineStr">
        <is>
          <t>A 18654-2020</t>
        </is>
      </c>
      <c r="B590" s="1" t="n">
        <v>43927</v>
      </c>
      <c r="C590" s="1" t="n">
        <v>45847</v>
      </c>
      <c r="D590" t="inlineStr">
        <is>
          <t>JÄMTLANDS LÄN</t>
        </is>
      </c>
      <c r="E590" t="inlineStr">
        <is>
          <t>BRÄCKE</t>
        </is>
      </c>
      <c r="G590" t="n">
        <v>0.4</v>
      </c>
      <c r="H590" t="n">
        <v>0</v>
      </c>
      <c r="I590" t="n">
        <v>0</v>
      </c>
      <c r="J590" t="n">
        <v>0</v>
      </c>
      <c r="K590" t="n">
        <v>0</v>
      </c>
      <c r="L590" t="n">
        <v>0</v>
      </c>
      <c r="M590" t="n">
        <v>0</v>
      </c>
      <c r="N590" t="n">
        <v>0</v>
      </c>
      <c r="O590" t="n">
        <v>0</v>
      </c>
      <c r="P590" t="n">
        <v>0</v>
      </c>
      <c r="Q590" t="n">
        <v>0</v>
      </c>
      <c r="R590" s="2" t="inlineStr"/>
    </row>
    <row r="591" ht="15" customHeight="1">
      <c r="A591" t="inlineStr">
        <is>
          <t>A 19314-2020</t>
        </is>
      </c>
      <c r="B591" s="1" t="n">
        <v>43937</v>
      </c>
      <c r="C591" s="1" t="n">
        <v>45847</v>
      </c>
      <c r="D591" t="inlineStr">
        <is>
          <t>JÄMTLANDS LÄN</t>
        </is>
      </c>
      <c r="E591" t="inlineStr">
        <is>
          <t>BRÄCKE</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20034-2020</t>
        </is>
      </c>
      <c r="B592" s="1" t="n">
        <v>43943</v>
      </c>
      <c r="C592" s="1" t="n">
        <v>45847</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20426-2020</t>
        </is>
      </c>
      <c r="B593" s="1" t="n">
        <v>43945</v>
      </c>
      <c r="C593" s="1" t="n">
        <v>45847</v>
      </c>
      <c r="D593" t="inlineStr">
        <is>
          <t>JÄMTLANDS LÄN</t>
        </is>
      </c>
      <c r="E593" t="inlineStr">
        <is>
          <t>BRÄCKE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20617-2020</t>
        </is>
      </c>
      <c r="B594" s="1" t="n">
        <v>43948</v>
      </c>
      <c r="C594" s="1" t="n">
        <v>45847</v>
      </c>
      <c r="D594" t="inlineStr">
        <is>
          <t>JÄMTLANDS LÄN</t>
        </is>
      </c>
      <c r="E594" t="inlineStr">
        <is>
          <t>BRÄCKE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21426-2020</t>
        </is>
      </c>
      <c r="B595" s="1" t="n">
        <v>43955</v>
      </c>
      <c r="C595" s="1" t="n">
        <v>45847</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21425-2020</t>
        </is>
      </c>
      <c r="B596" s="1" t="n">
        <v>43955</v>
      </c>
      <c r="C596" s="1" t="n">
        <v>45847</v>
      </c>
      <c r="D596" t="inlineStr">
        <is>
          <t>JÄMTLANDS LÄN</t>
        </is>
      </c>
      <c r="E596" t="inlineStr">
        <is>
          <t>BRÄCKE</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22081-2020</t>
        </is>
      </c>
      <c r="B597" s="1" t="n">
        <v>43959</v>
      </c>
      <c r="C597" s="1" t="n">
        <v>45847</v>
      </c>
      <c r="D597" t="inlineStr">
        <is>
          <t>JÄMTLANDS LÄN</t>
        </is>
      </c>
      <c r="E597" t="inlineStr">
        <is>
          <t>BRÄCKE</t>
        </is>
      </c>
      <c r="F597" t="inlineStr">
        <is>
          <t>Kyrkan</t>
        </is>
      </c>
      <c r="G597" t="n">
        <v>2.4</v>
      </c>
      <c r="H597" t="n">
        <v>0</v>
      </c>
      <c r="I597" t="n">
        <v>0</v>
      </c>
      <c r="J597" t="n">
        <v>0</v>
      </c>
      <c r="K597" t="n">
        <v>0</v>
      </c>
      <c r="L597" t="n">
        <v>0</v>
      </c>
      <c r="M597" t="n">
        <v>0</v>
      </c>
      <c r="N597" t="n">
        <v>0</v>
      </c>
      <c r="O597" t="n">
        <v>0</v>
      </c>
      <c r="P597" t="n">
        <v>0</v>
      </c>
      <c r="Q597" t="n">
        <v>0</v>
      </c>
      <c r="R597" s="2" t="inlineStr"/>
    </row>
    <row r="598" ht="15" customHeight="1">
      <c r="A598" t="inlineStr">
        <is>
          <t>A 24038-2020</t>
        </is>
      </c>
      <c r="B598" s="1" t="n">
        <v>43972</v>
      </c>
      <c r="C598" s="1" t="n">
        <v>45847</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24244-2020</t>
        </is>
      </c>
      <c r="B599" s="1" t="n">
        <v>43976</v>
      </c>
      <c r="C599" s="1" t="n">
        <v>45847</v>
      </c>
      <c r="D599" t="inlineStr">
        <is>
          <t>JÄMTLANDS LÄN</t>
        </is>
      </c>
      <c r="E599" t="inlineStr">
        <is>
          <t>BRÄCKE</t>
        </is>
      </c>
      <c r="G599" t="n">
        <v>1.4</v>
      </c>
      <c r="H599" t="n">
        <v>0</v>
      </c>
      <c r="I599" t="n">
        <v>0</v>
      </c>
      <c r="J599" t="n">
        <v>0</v>
      </c>
      <c r="K599" t="n">
        <v>0</v>
      </c>
      <c r="L599" t="n">
        <v>0</v>
      </c>
      <c r="M599" t="n">
        <v>0</v>
      </c>
      <c r="N599" t="n">
        <v>0</v>
      </c>
      <c r="O599" t="n">
        <v>0</v>
      </c>
      <c r="P599" t="n">
        <v>0</v>
      </c>
      <c r="Q599" t="n">
        <v>0</v>
      </c>
      <c r="R599" s="2" t="inlineStr"/>
    </row>
    <row r="600" ht="15" customHeight="1">
      <c r="A600" t="inlineStr">
        <is>
          <t>A 24429-2020</t>
        </is>
      </c>
      <c r="B600" s="1" t="n">
        <v>43976</v>
      </c>
      <c r="C600" s="1" t="n">
        <v>45847</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24863-2020</t>
        </is>
      </c>
      <c r="B601" s="1" t="n">
        <v>43978</v>
      </c>
      <c r="C601" s="1" t="n">
        <v>45847</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25382-2020</t>
        </is>
      </c>
      <c r="B602" s="1" t="n">
        <v>43980</v>
      </c>
      <c r="C602" s="1" t="n">
        <v>45847</v>
      </c>
      <c r="D602" t="inlineStr">
        <is>
          <t>JÄMTLANDS LÄN</t>
        </is>
      </c>
      <c r="E602" t="inlineStr">
        <is>
          <t>BRÄCKE</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25906-2020</t>
        </is>
      </c>
      <c r="B603" s="1" t="n">
        <v>43984</v>
      </c>
      <c r="C603" s="1" t="n">
        <v>45847</v>
      </c>
      <c r="D603" t="inlineStr">
        <is>
          <t>JÄMTLANDS LÄN</t>
        </is>
      </c>
      <c r="E603" t="inlineStr">
        <is>
          <t>BRÄCKE</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25772-2020</t>
        </is>
      </c>
      <c r="B604" s="1" t="n">
        <v>43984</v>
      </c>
      <c r="C604" s="1" t="n">
        <v>45847</v>
      </c>
      <c r="D604" t="inlineStr">
        <is>
          <t>JÄMTLANDS LÄN</t>
        </is>
      </c>
      <c r="E604" t="inlineStr">
        <is>
          <t>BRÄCKE</t>
        </is>
      </c>
      <c r="G604" t="n">
        <v>3.1</v>
      </c>
      <c r="H604" t="n">
        <v>0</v>
      </c>
      <c r="I604" t="n">
        <v>0</v>
      </c>
      <c r="J604" t="n">
        <v>0</v>
      </c>
      <c r="K604" t="n">
        <v>0</v>
      </c>
      <c r="L604" t="n">
        <v>0</v>
      </c>
      <c r="M604" t="n">
        <v>0</v>
      </c>
      <c r="N604" t="n">
        <v>0</v>
      </c>
      <c r="O604" t="n">
        <v>0</v>
      </c>
      <c r="P604" t="n">
        <v>0</v>
      </c>
      <c r="Q604" t="n">
        <v>0</v>
      </c>
      <c r="R604" s="2" t="inlineStr"/>
    </row>
    <row r="605" ht="15" customHeight="1">
      <c r="A605" t="inlineStr">
        <is>
          <t>A 26168-2020</t>
        </is>
      </c>
      <c r="B605" s="1" t="n">
        <v>43985</v>
      </c>
      <c r="C605" s="1" t="n">
        <v>45847</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26169-2020</t>
        </is>
      </c>
      <c r="B606" s="1" t="n">
        <v>43985</v>
      </c>
      <c r="C606" s="1" t="n">
        <v>45847</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27191-2020</t>
        </is>
      </c>
      <c r="B607" s="1" t="n">
        <v>43991</v>
      </c>
      <c r="C607" s="1" t="n">
        <v>45847</v>
      </c>
      <c r="D607" t="inlineStr">
        <is>
          <t>JÄMTLANDS LÄN</t>
        </is>
      </c>
      <c r="E607" t="inlineStr">
        <is>
          <t>BRÄCKE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27190-2020</t>
        </is>
      </c>
      <c r="B608" s="1" t="n">
        <v>43991</v>
      </c>
      <c r="C608" s="1" t="n">
        <v>45847</v>
      </c>
      <c r="D608" t="inlineStr">
        <is>
          <t>JÄMTLANDS LÄN</t>
        </is>
      </c>
      <c r="E608" t="inlineStr">
        <is>
          <t>BRÄCKE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28213-2020</t>
        </is>
      </c>
      <c r="B609" s="1" t="n">
        <v>43997</v>
      </c>
      <c r="C609" s="1" t="n">
        <v>45847</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28701-2020</t>
        </is>
      </c>
      <c r="B610" s="1" t="n">
        <v>43997</v>
      </c>
      <c r="C610" s="1" t="n">
        <v>45847</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28174-2020</t>
        </is>
      </c>
      <c r="B611" s="1" t="n">
        <v>43997</v>
      </c>
      <c r="C611" s="1" t="n">
        <v>45847</v>
      </c>
      <c r="D611" t="inlineStr">
        <is>
          <t>JÄMTLANDS LÄN</t>
        </is>
      </c>
      <c r="E611" t="inlineStr">
        <is>
          <t>BRÄCKE</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29259-2020</t>
        </is>
      </c>
      <c r="B612" s="1" t="n">
        <v>44004</v>
      </c>
      <c r="C612" s="1" t="n">
        <v>45847</v>
      </c>
      <c r="D612" t="inlineStr">
        <is>
          <t>JÄMTLANDS LÄN</t>
        </is>
      </c>
      <c r="E612" t="inlineStr">
        <is>
          <t>BRÄCKE</t>
        </is>
      </c>
      <c r="F612" t="inlineStr">
        <is>
          <t>Övriga Aktiebolag</t>
        </is>
      </c>
      <c r="G612" t="n">
        <v>40.6</v>
      </c>
      <c r="H612" t="n">
        <v>0</v>
      </c>
      <c r="I612" t="n">
        <v>0</v>
      </c>
      <c r="J612" t="n">
        <v>0</v>
      </c>
      <c r="K612" t="n">
        <v>0</v>
      </c>
      <c r="L612" t="n">
        <v>0</v>
      </c>
      <c r="M612" t="n">
        <v>0</v>
      </c>
      <c r="N612" t="n">
        <v>0</v>
      </c>
      <c r="O612" t="n">
        <v>0</v>
      </c>
      <c r="P612" t="n">
        <v>0</v>
      </c>
      <c r="Q612" t="n">
        <v>0</v>
      </c>
      <c r="R612" s="2" t="inlineStr"/>
    </row>
    <row r="613" ht="15" customHeight="1">
      <c r="A613" t="inlineStr">
        <is>
          <t>A 29489-2020</t>
        </is>
      </c>
      <c r="B613" s="1" t="n">
        <v>44004</v>
      </c>
      <c r="C613" s="1" t="n">
        <v>45847</v>
      </c>
      <c r="D613" t="inlineStr">
        <is>
          <t>JÄMTLANDS LÄN</t>
        </is>
      </c>
      <c r="E613" t="inlineStr">
        <is>
          <t>BRÄCKE</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29863-2020</t>
        </is>
      </c>
      <c r="B614" s="1" t="n">
        <v>44005</v>
      </c>
      <c r="C614" s="1" t="n">
        <v>45847</v>
      </c>
      <c r="D614" t="inlineStr">
        <is>
          <t>JÄMTLANDS LÄN</t>
        </is>
      </c>
      <c r="E614" t="inlineStr">
        <is>
          <t>BRÄCKE</t>
        </is>
      </c>
      <c r="G614" t="n">
        <v>2.2</v>
      </c>
      <c r="H614" t="n">
        <v>0</v>
      </c>
      <c r="I614" t="n">
        <v>0</v>
      </c>
      <c r="J614" t="n">
        <v>0</v>
      </c>
      <c r="K614" t="n">
        <v>0</v>
      </c>
      <c r="L614" t="n">
        <v>0</v>
      </c>
      <c r="M614" t="n">
        <v>0</v>
      </c>
      <c r="N614" t="n">
        <v>0</v>
      </c>
      <c r="O614" t="n">
        <v>0</v>
      </c>
      <c r="P614" t="n">
        <v>0</v>
      </c>
      <c r="Q614" t="n">
        <v>0</v>
      </c>
      <c r="R614" s="2" t="inlineStr"/>
    </row>
    <row r="615" ht="15" customHeight="1">
      <c r="A615" t="inlineStr">
        <is>
          <t>A 30471-2020</t>
        </is>
      </c>
      <c r="B615" s="1" t="n">
        <v>44007</v>
      </c>
      <c r="C615" s="1" t="n">
        <v>45847</v>
      </c>
      <c r="D615" t="inlineStr">
        <is>
          <t>JÄMTLANDS LÄN</t>
        </is>
      </c>
      <c r="E615" t="inlineStr">
        <is>
          <t>BRÄCKE</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30474-2020</t>
        </is>
      </c>
      <c r="B616" s="1" t="n">
        <v>44007</v>
      </c>
      <c r="C616" s="1" t="n">
        <v>45847</v>
      </c>
      <c r="D616" t="inlineStr">
        <is>
          <t>JÄMTLANDS LÄN</t>
        </is>
      </c>
      <c r="E616" t="inlineStr">
        <is>
          <t>BRÄCKE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30475-2020</t>
        </is>
      </c>
      <c r="B617" s="1" t="n">
        <v>44007</v>
      </c>
      <c r="C617" s="1" t="n">
        <v>45847</v>
      </c>
      <c r="D617" t="inlineStr">
        <is>
          <t>JÄMTLANDS LÄN</t>
        </is>
      </c>
      <c r="E617" t="inlineStr">
        <is>
          <t>BRÄCKE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30472-2020</t>
        </is>
      </c>
      <c r="B618" s="1" t="n">
        <v>44007</v>
      </c>
      <c r="C618" s="1" t="n">
        <v>45847</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31021-2020</t>
        </is>
      </c>
      <c r="B619" s="1" t="n">
        <v>44011</v>
      </c>
      <c r="C619" s="1" t="n">
        <v>45847</v>
      </c>
      <c r="D619" t="inlineStr">
        <is>
          <t>JÄMTLANDS LÄN</t>
        </is>
      </c>
      <c r="E619" t="inlineStr">
        <is>
          <t>BRÄCKE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31448-2020</t>
        </is>
      </c>
      <c r="B620" s="1" t="n">
        <v>44012</v>
      </c>
      <c r="C620" s="1" t="n">
        <v>45847</v>
      </c>
      <c r="D620" t="inlineStr">
        <is>
          <t>JÄMTLANDS LÄN</t>
        </is>
      </c>
      <c r="E620" t="inlineStr">
        <is>
          <t>BRÄCKE</t>
        </is>
      </c>
      <c r="G620" t="n">
        <v>4.5</v>
      </c>
      <c r="H620" t="n">
        <v>0</v>
      </c>
      <c r="I620" t="n">
        <v>0</v>
      </c>
      <c r="J620" t="n">
        <v>0</v>
      </c>
      <c r="K620" t="n">
        <v>0</v>
      </c>
      <c r="L620" t="n">
        <v>0</v>
      </c>
      <c r="M620" t="n">
        <v>0</v>
      </c>
      <c r="N620" t="n">
        <v>0</v>
      </c>
      <c r="O620" t="n">
        <v>0</v>
      </c>
      <c r="P620" t="n">
        <v>0</v>
      </c>
      <c r="Q620" t="n">
        <v>0</v>
      </c>
      <c r="R620" s="2" t="inlineStr"/>
    </row>
    <row r="621" ht="15" customHeight="1">
      <c r="A621" t="inlineStr">
        <is>
          <t>A 31602-2020</t>
        </is>
      </c>
      <c r="B621" s="1" t="n">
        <v>44013</v>
      </c>
      <c r="C621" s="1" t="n">
        <v>45847</v>
      </c>
      <c r="D621" t="inlineStr">
        <is>
          <t>JÄMTLANDS LÄN</t>
        </is>
      </c>
      <c r="E621" t="inlineStr">
        <is>
          <t>BRÄCKE</t>
        </is>
      </c>
      <c r="G621" t="n">
        <v>0.9</v>
      </c>
      <c r="H621" t="n">
        <v>0</v>
      </c>
      <c r="I621" t="n">
        <v>0</v>
      </c>
      <c r="J621" t="n">
        <v>0</v>
      </c>
      <c r="K621" t="n">
        <v>0</v>
      </c>
      <c r="L621" t="n">
        <v>0</v>
      </c>
      <c r="M621" t="n">
        <v>0</v>
      </c>
      <c r="N621" t="n">
        <v>0</v>
      </c>
      <c r="O621" t="n">
        <v>0</v>
      </c>
      <c r="P621" t="n">
        <v>0</v>
      </c>
      <c r="Q621" t="n">
        <v>0</v>
      </c>
      <c r="R621" s="2" t="inlineStr"/>
    </row>
    <row r="622" ht="15" customHeight="1">
      <c r="A622" t="inlineStr">
        <is>
          <t>A 32272-2020</t>
        </is>
      </c>
      <c r="B622" s="1" t="n">
        <v>44015</v>
      </c>
      <c r="C622" s="1" t="n">
        <v>45847</v>
      </c>
      <c r="D622" t="inlineStr">
        <is>
          <t>JÄMTLANDS LÄN</t>
        </is>
      </c>
      <c r="E622" t="inlineStr">
        <is>
          <t>BRÄCKE</t>
        </is>
      </c>
      <c r="G622" t="n">
        <v>2.5</v>
      </c>
      <c r="H622" t="n">
        <v>0</v>
      </c>
      <c r="I622" t="n">
        <v>0</v>
      </c>
      <c r="J622" t="n">
        <v>0</v>
      </c>
      <c r="K622" t="n">
        <v>0</v>
      </c>
      <c r="L622" t="n">
        <v>0</v>
      </c>
      <c r="M622" t="n">
        <v>0</v>
      </c>
      <c r="N622" t="n">
        <v>0</v>
      </c>
      <c r="O622" t="n">
        <v>0</v>
      </c>
      <c r="P622" t="n">
        <v>0</v>
      </c>
      <c r="Q622" t="n">
        <v>0</v>
      </c>
      <c r="R622" s="2" t="inlineStr"/>
    </row>
    <row r="623" ht="15" customHeight="1">
      <c r="A623" t="inlineStr">
        <is>
          <t>A 32710-2020</t>
        </is>
      </c>
      <c r="B623" s="1" t="n">
        <v>44018</v>
      </c>
      <c r="C623" s="1" t="n">
        <v>45847</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33198-2020</t>
        </is>
      </c>
      <c r="B624" s="1" t="n">
        <v>44021</v>
      </c>
      <c r="C624" s="1" t="n">
        <v>45847</v>
      </c>
      <c r="D624" t="inlineStr">
        <is>
          <t>JÄMTLANDS LÄN</t>
        </is>
      </c>
      <c r="E624" t="inlineStr">
        <is>
          <t>BRÄCKE</t>
        </is>
      </c>
      <c r="G624" t="n">
        <v>3.2</v>
      </c>
      <c r="H624" t="n">
        <v>0</v>
      </c>
      <c r="I624" t="n">
        <v>0</v>
      </c>
      <c r="J624" t="n">
        <v>0</v>
      </c>
      <c r="K624" t="n">
        <v>0</v>
      </c>
      <c r="L624" t="n">
        <v>0</v>
      </c>
      <c r="M624" t="n">
        <v>0</v>
      </c>
      <c r="N624" t="n">
        <v>0</v>
      </c>
      <c r="O624" t="n">
        <v>0</v>
      </c>
      <c r="P624" t="n">
        <v>0</v>
      </c>
      <c r="Q624" t="n">
        <v>0</v>
      </c>
      <c r="R624" s="2" t="inlineStr"/>
    </row>
    <row r="625" ht="15" customHeight="1">
      <c r="A625" t="inlineStr">
        <is>
          <t>A 34660-2020</t>
        </is>
      </c>
      <c r="B625" s="1" t="n">
        <v>44034</v>
      </c>
      <c r="C625" s="1" t="n">
        <v>45847</v>
      </c>
      <c r="D625" t="inlineStr">
        <is>
          <t>JÄMTLANDS LÄN</t>
        </is>
      </c>
      <c r="E625" t="inlineStr">
        <is>
          <t>BRÄCKE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34659-2020</t>
        </is>
      </c>
      <c r="B626" s="1" t="n">
        <v>44034</v>
      </c>
      <c r="C626" s="1" t="n">
        <v>45847</v>
      </c>
      <c r="D626" t="inlineStr">
        <is>
          <t>JÄMTLANDS LÄN</t>
        </is>
      </c>
      <c r="E626" t="inlineStr">
        <is>
          <t>BRÄCKE</t>
        </is>
      </c>
      <c r="G626" t="n">
        <v>4.7</v>
      </c>
      <c r="H626" t="n">
        <v>0</v>
      </c>
      <c r="I626" t="n">
        <v>0</v>
      </c>
      <c r="J626" t="n">
        <v>0</v>
      </c>
      <c r="K626" t="n">
        <v>0</v>
      </c>
      <c r="L626" t="n">
        <v>0</v>
      </c>
      <c r="M626" t="n">
        <v>0</v>
      </c>
      <c r="N626" t="n">
        <v>0</v>
      </c>
      <c r="O626" t="n">
        <v>0</v>
      </c>
      <c r="P626" t="n">
        <v>0</v>
      </c>
      <c r="Q626" t="n">
        <v>0</v>
      </c>
      <c r="R626" s="2" t="inlineStr"/>
    </row>
    <row r="627" ht="15" customHeight="1">
      <c r="A627" t="inlineStr">
        <is>
          <t>A 34870-2020</t>
        </is>
      </c>
      <c r="B627" s="1" t="n">
        <v>44036</v>
      </c>
      <c r="C627" s="1" t="n">
        <v>45847</v>
      </c>
      <c r="D627" t="inlineStr">
        <is>
          <t>JÄMTLANDS LÄN</t>
        </is>
      </c>
      <c r="E627" t="inlineStr">
        <is>
          <t>BRÄCKE</t>
        </is>
      </c>
      <c r="G627" t="n">
        <v>3.2</v>
      </c>
      <c r="H627" t="n">
        <v>0</v>
      </c>
      <c r="I627" t="n">
        <v>0</v>
      </c>
      <c r="J627" t="n">
        <v>0</v>
      </c>
      <c r="K627" t="n">
        <v>0</v>
      </c>
      <c r="L627" t="n">
        <v>0</v>
      </c>
      <c r="M627" t="n">
        <v>0</v>
      </c>
      <c r="N627" t="n">
        <v>0</v>
      </c>
      <c r="O627" t="n">
        <v>0</v>
      </c>
      <c r="P627" t="n">
        <v>0</v>
      </c>
      <c r="Q627" t="n">
        <v>0</v>
      </c>
      <c r="R627" s="2" t="inlineStr"/>
    </row>
    <row r="628" ht="15" customHeight="1">
      <c r="A628" t="inlineStr">
        <is>
          <t>A 35250-2020</t>
        </is>
      </c>
      <c r="B628" s="1" t="n">
        <v>44041</v>
      </c>
      <c r="C628" s="1" t="n">
        <v>45847</v>
      </c>
      <c r="D628" t="inlineStr">
        <is>
          <t>JÄMTLANDS LÄN</t>
        </is>
      </c>
      <c r="E628" t="inlineStr">
        <is>
          <t>BRÄCKE</t>
        </is>
      </c>
      <c r="F628" t="inlineStr">
        <is>
          <t>Övriga Aktiebolag</t>
        </is>
      </c>
      <c r="G628" t="n">
        <v>2.6</v>
      </c>
      <c r="H628" t="n">
        <v>0</v>
      </c>
      <c r="I628" t="n">
        <v>0</v>
      </c>
      <c r="J628" t="n">
        <v>0</v>
      </c>
      <c r="K628" t="n">
        <v>0</v>
      </c>
      <c r="L628" t="n">
        <v>0</v>
      </c>
      <c r="M628" t="n">
        <v>0</v>
      </c>
      <c r="N628" t="n">
        <v>0</v>
      </c>
      <c r="O628" t="n">
        <v>0</v>
      </c>
      <c r="P628" t="n">
        <v>0</v>
      </c>
      <c r="Q628" t="n">
        <v>0</v>
      </c>
      <c r="R628" s="2" t="inlineStr"/>
    </row>
    <row r="629" ht="15" customHeight="1">
      <c r="A629" t="inlineStr">
        <is>
          <t>A 35364-2020</t>
        </is>
      </c>
      <c r="B629" s="1" t="n">
        <v>44041</v>
      </c>
      <c r="C629" s="1" t="n">
        <v>45847</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35423-2020</t>
        </is>
      </c>
      <c r="B630" s="1" t="n">
        <v>44042</v>
      </c>
      <c r="C630" s="1" t="n">
        <v>45847</v>
      </c>
      <c r="D630" t="inlineStr">
        <is>
          <t>JÄMTLANDS LÄN</t>
        </is>
      </c>
      <c r="E630" t="inlineStr">
        <is>
          <t>BRÄCKE</t>
        </is>
      </c>
      <c r="G630" t="n">
        <v>13.2</v>
      </c>
      <c r="H630" t="n">
        <v>0</v>
      </c>
      <c r="I630" t="n">
        <v>0</v>
      </c>
      <c r="J630" t="n">
        <v>0</v>
      </c>
      <c r="K630" t="n">
        <v>0</v>
      </c>
      <c r="L630" t="n">
        <v>0</v>
      </c>
      <c r="M630" t="n">
        <v>0</v>
      </c>
      <c r="N630" t="n">
        <v>0</v>
      </c>
      <c r="O630" t="n">
        <v>0</v>
      </c>
      <c r="P630" t="n">
        <v>0</v>
      </c>
      <c r="Q630" t="n">
        <v>0</v>
      </c>
      <c r="R630" s="2" t="inlineStr"/>
    </row>
    <row r="631" ht="15" customHeight="1">
      <c r="A631" t="inlineStr">
        <is>
          <t>A 35799-2020</t>
        </is>
      </c>
      <c r="B631" s="1" t="n">
        <v>44046</v>
      </c>
      <c r="C631" s="1" t="n">
        <v>45847</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35800-2020</t>
        </is>
      </c>
      <c r="B632" s="1" t="n">
        <v>44046</v>
      </c>
      <c r="C632" s="1" t="n">
        <v>45847</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35808-2020</t>
        </is>
      </c>
      <c r="B633" s="1" t="n">
        <v>44046</v>
      </c>
      <c r="C633" s="1" t="n">
        <v>45847</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36671-2020</t>
        </is>
      </c>
      <c r="B634" s="1" t="n">
        <v>44050</v>
      </c>
      <c r="C634" s="1" t="n">
        <v>45847</v>
      </c>
      <c r="D634" t="inlineStr">
        <is>
          <t>JÄMTLANDS LÄN</t>
        </is>
      </c>
      <c r="E634" t="inlineStr">
        <is>
          <t>BRÄCKE</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36661-2020</t>
        </is>
      </c>
      <c r="B635" s="1" t="n">
        <v>44050</v>
      </c>
      <c r="C635" s="1" t="n">
        <v>45847</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36971-2020</t>
        </is>
      </c>
      <c r="B636" s="1" t="n">
        <v>44053</v>
      </c>
      <c r="C636" s="1" t="n">
        <v>45847</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37236-2020</t>
        </is>
      </c>
      <c r="B637" s="1" t="n">
        <v>44055</v>
      </c>
      <c r="C637" s="1" t="n">
        <v>45847</v>
      </c>
      <c r="D637" t="inlineStr">
        <is>
          <t>JÄMTLANDS LÄN</t>
        </is>
      </c>
      <c r="E637" t="inlineStr">
        <is>
          <t>BRÄCKE</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37229-2020</t>
        </is>
      </c>
      <c r="B638" s="1" t="n">
        <v>44054</v>
      </c>
      <c r="C638" s="1" t="n">
        <v>45847</v>
      </c>
      <c r="D638" t="inlineStr">
        <is>
          <t>JÄMTLANDS LÄN</t>
        </is>
      </c>
      <c r="E638" t="inlineStr">
        <is>
          <t>BRÄCKE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38084-2020</t>
        </is>
      </c>
      <c r="B639" s="1" t="n">
        <v>44057</v>
      </c>
      <c r="C639" s="1" t="n">
        <v>45847</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38082-2020</t>
        </is>
      </c>
      <c r="B640" s="1" t="n">
        <v>44057</v>
      </c>
      <c r="C640" s="1" t="n">
        <v>45847</v>
      </c>
      <c r="D640" t="inlineStr">
        <is>
          <t>JÄMTLANDS LÄN</t>
        </is>
      </c>
      <c r="E640" t="inlineStr">
        <is>
          <t>BRÄCKE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38101-2020</t>
        </is>
      </c>
      <c r="B641" s="1" t="n">
        <v>44057</v>
      </c>
      <c r="C641" s="1" t="n">
        <v>45847</v>
      </c>
      <c r="D641" t="inlineStr">
        <is>
          <t>JÄMTLANDS LÄN</t>
        </is>
      </c>
      <c r="E641" t="inlineStr">
        <is>
          <t>BRÄCKE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38105-2020</t>
        </is>
      </c>
      <c r="B642" s="1" t="n">
        <v>44057</v>
      </c>
      <c r="C642" s="1" t="n">
        <v>45847</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38459-2020</t>
        </is>
      </c>
      <c r="B643" s="1" t="n">
        <v>44060</v>
      </c>
      <c r="C643" s="1" t="n">
        <v>45847</v>
      </c>
      <c r="D643" t="inlineStr">
        <is>
          <t>JÄMTLANDS LÄN</t>
        </is>
      </c>
      <c r="E643" t="inlineStr">
        <is>
          <t>BRÄCKE</t>
        </is>
      </c>
      <c r="G643" t="n">
        <v>4.9</v>
      </c>
      <c r="H643" t="n">
        <v>0</v>
      </c>
      <c r="I643" t="n">
        <v>0</v>
      </c>
      <c r="J643" t="n">
        <v>0</v>
      </c>
      <c r="K643" t="n">
        <v>0</v>
      </c>
      <c r="L643" t="n">
        <v>0</v>
      </c>
      <c r="M643" t="n">
        <v>0</v>
      </c>
      <c r="N643" t="n">
        <v>0</v>
      </c>
      <c r="O643" t="n">
        <v>0</v>
      </c>
      <c r="P643" t="n">
        <v>0</v>
      </c>
      <c r="Q643" t="n">
        <v>0</v>
      </c>
      <c r="R643" s="2" t="inlineStr"/>
    </row>
    <row r="644" ht="15" customHeight="1">
      <c r="A644" t="inlineStr">
        <is>
          <t>A 38787-2020</t>
        </is>
      </c>
      <c r="B644" s="1" t="n">
        <v>44061</v>
      </c>
      <c r="C644" s="1" t="n">
        <v>45847</v>
      </c>
      <c r="D644" t="inlineStr">
        <is>
          <t>JÄMTLANDS LÄN</t>
        </is>
      </c>
      <c r="E644" t="inlineStr">
        <is>
          <t>BRÄCKE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39053-2020</t>
        </is>
      </c>
      <c r="B645" s="1" t="n">
        <v>44062</v>
      </c>
      <c r="C645" s="1" t="n">
        <v>45847</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39043-2020</t>
        </is>
      </c>
      <c r="B646" s="1" t="n">
        <v>44062</v>
      </c>
      <c r="C646" s="1" t="n">
        <v>45847</v>
      </c>
      <c r="D646" t="inlineStr">
        <is>
          <t>JÄMTLANDS LÄN</t>
        </is>
      </c>
      <c r="E646" t="inlineStr">
        <is>
          <t>BRÄCKE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39052-2020</t>
        </is>
      </c>
      <c r="B647" s="1" t="n">
        <v>44062</v>
      </c>
      <c r="C647" s="1" t="n">
        <v>45847</v>
      </c>
      <c r="D647" t="inlineStr">
        <is>
          <t>JÄMTLANDS LÄN</t>
        </is>
      </c>
      <c r="E647" t="inlineStr">
        <is>
          <t>BRÄCKE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39350-2020</t>
        </is>
      </c>
      <c r="B648" s="1" t="n">
        <v>44063</v>
      </c>
      <c r="C648" s="1" t="n">
        <v>45847</v>
      </c>
      <c r="D648" t="inlineStr">
        <is>
          <t>JÄMTLANDS LÄN</t>
        </is>
      </c>
      <c r="E648" t="inlineStr">
        <is>
          <t>BRÄCKE</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39337-2020</t>
        </is>
      </c>
      <c r="B649" s="1" t="n">
        <v>44063</v>
      </c>
      <c r="C649" s="1" t="n">
        <v>45847</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39351-2020</t>
        </is>
      </c>
      <c r="B650" s="1" t="n">
        <v>44063</v>
      </c>
      <c r="C650" s="1" t="n">
        <v>45847</v>
      </c>
      <c r="D650" t="inlineStr">
        <is>
          <t>JÄMTLANDS LÄN</t>
        </is>
      </c>
      <c r="E650" t="inlineStr">
        <is>
          <t>BRÄCKE</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39998-2020</t>
        </is>
      </c>
      <c r="B651" s="1" t="n">
        <v>44067</v>
      </c>
      <c r="C651" s="1" t="n">
        <v>45847</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40057-2020</t>
        </is>
      </c>
      <c r="B652" s="1" t="n">
        <v>44068</v>
      </c>
      <c r="C652" s="1" t="n">
        <v>45847</v>
      </c>
      <c r="D652" t="inlineStr">
        <is>
          <t>JÄMTLANDS LÄN</t>
        </is>
      </c>
      <c r="E652" t="inlineStr">
        <is>
          <t>BRÄCKE</t>
        </is>
      </c>
      <c r="G652" t="n">
        <v>25.5</v>
      </c>
      <c r="H652" t="n">
        <v>0</v>
      </c>
      <c r="I652" t="n">
        <v>0</v>
      </c>
      <c r="J652" t="n">
        <v>0</v>
      </c>
      <c r="K652" t="n">
        <v>0</v>
      </c>
      <c r="L652" t="n">
        <v>0</v>
      </c>
      <c r="M652" t="n">
        <v>0</v>
      </c>
      <c r="N652" t="n">
        <v>0</v>
      </c>
      <c r="O652" t="n">
        <v>0</v>
      </c>
      <c r="P652" t="n">
        <v>0</v>
      </c>
      <c r="Q652" t="n">
        <v>0</v>
      </c>
      <c r="R652" s="2" t="inlineStr"/>
    </row>
    <row r="653" ht="15" customHeight="1">
      <c r="A653" t="inlineStr">
        <is>
          <t>A 40083-2020</t>
        </is>
      </c>
      <c r="B653" s="1" t="n">
        <v>44067</v>
      </c>
      <c r="C653" s="1" t="n">
        <v>45847</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40387-2020</t>
        </is>
      </c>
      <c r="B654" s="1" t="n">
        <v>44068</v>
      </c>
      <c r="C654" s="1" t="n">
        <v>45847</v>
      </c>
      <c r="D654" t="inlineStr">
        <is>
          <t>JÄMTLANDS LÄN</t>
        </is>
      </c>
      <c r="E654" t="inlineStr">
        <is>
          <t>BRÄCKE</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41025-2020</t>
        </is>
      </c>
      <c r="B655" s="1" t="n">
        <v>44071</v>
      </c>
      <c r="C655" s="1" t="n">
        <v>45847</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41352-2020</t>
        </is>
      </c>
      <c r="B656" s="1" t="n">
        <v>44071</v>
      </c>
      <c r="C656" s="1" t="n">
        <v>45847</v>
      </c>
      <c r="D656" t="inlineStr">
        <is>
          <t>JÄMTLANDS LÄN</t>
        </is>
      </c>
      <c r="E656" t="inlineStr">
        <is>
          <t>BRÄCKE</t>
        </is>
      </c>
      <c r="G656" t="n">
        <v>4.3</v>
      </c>
      <c r="H656" t="n">
        <v>0</v>
      </c>
      <c r="I656" t="n">
        <v>0</v>
      </c>
      <c r="J656" t="n">
        <v>0</v>
      </c>
      <c r="K656" t="n">
        <v>0</v>
      </c>
      <c r="L656" t="n">
        <v>0</v>
      </c>
      <c r="M656" t="n">
        <v>0</v>
      </c>
      <c r="N656" t="n">
        <v>0</v>
      </c>
      <c r="O656" t="n">
        <v>0</v>
      </c>
      <c r="P656" t="n">
        <v>0</v>
      </c>
      <c r="Q656" t="n">
        <v>0</v>
      </c>
      <c r="R656" s="2" t="inlineStr"/>
    </row>
    <row r="657" ht="15" customHeight="1">
      <c r="A657" t="inlineStr">
        <is>
          <t>A 41349-2020</t>
        </is>
      </c>
      <c r="B657" s="1" t="n">
        <v>44071</v>
      </c>
      <c r="C657" s="1" t="n">
        <v>45847</v>
      </c>
      <c r="D657" t="inlineStr">
        <is>
          <t>JÄMTLANDS LÄN</t>
        </is>
      </c>
      <c r="E657" t="inlineStr">
        <is>
          <t>BRÄCKE</t>
        </is>
      </c>
      <c r="G657" t="n">
        <v>0.9</v>
      </c>
      <c r="H657" t="n">
        <v>0</v>
      </c>
      <c r="I657" t="n">
        <v>0</v>
      </c>
      <c r="J657" t="n">
        <v>0</v>
      </c>
      <c r="K657" t="n">
        <v>0</v>
      </c>
      <c r="L657" t="n">
        <v>0</v>
      </c>
      <c r="M657" t="n">
        <v>0</v>
      </c>
      <c r="N657" t="n">
        <v>0</v>
      </c>
      <c r="O657" t="n">
        <v>0</v>
      </c>
      <c r="P657" t="n">
        <v>0</v>
      </c>
      <c r="Q657" t="n">
        <v>0</v>
      </c>
      <c r="R657" s="2" t="inlineStr"/>
    </row>
    <row r="658" ht="15" customHeight="1">
      <c r="A658" t="inlineStr">
        <is>
          <t>A 42204-2020</t>
        </is>
      </c>
      <c r="B658" s="1" t="n">
        <v>44075</v>
      </c>
      <c r="C658" s="1" t="n">
        <v>45847</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42203-2020</t>
        </is>
      </c>
      <c r="B659" s="1" t="n">
        <v>44075</v>
      </c>
      <c r="C659" s="1" t="n">
        <v>45847</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42202-2020</t>
        </is>
      </c>
      <c r="B660" s="1" t="n">
        <v>44075</v>
      </c>
      <c r="C660" s="1" t="n">
        <v>45847</v>
      </c>
      <c r="D660" t="inlineStr">
        <is>
          <t>JÄMTLANDS LÄN</t>
        </is>
      </c>
      <c r="E660" t="inlineStr">
        <is>
          <t>BRÄCKE</t>
        </is>
      </c>
      <c r="F660" t="inlineStr">
        <is>
          <t>SCA</t>
        </is>
      </c>
      <c r="G660" t="n">
        <v>8.5</v>
      </c>
      <c r="H660" t="n">
        <v>0</v>
      </c>
      <c r="I660" t="n">
        <v>0</v>
      </c>
      <c r="J660" t="n">
        <v>0</v>
      </c>
      <c r="K660" t="n">
        <v>0</v>
      </c>
      <c r="L660" t="n">
        <v>0</v>
      </c>
      <c r="M660" t="n">
        <v>0</v>
      </c>
      <c r="N660" t="n">
        <v>0</v>
      </c>
      <c r="O660" t="n">
        <v>0</v>
      </c>
      <c r="P660" t="n">
        <v>0</v>
      </c>
      <c r="Q660" t="n">
        <v>0</v>
      </c>
      <c r="R660" s="2" t="inlineStr"/>
    </row>
    <row r="661" ht="15" customHeight="1">
      <c r="A661" t="inlineStr">
        <is>
          <t>A 42897-2020</t>
        </is>
      </c>
      <c r="B661" s="1" t="n">
        <v>44078</v>
      </c>
      <c r="C661" s="1" t="n">
        <v>45847</v>
      </c>
      <c r="D661" t="inlineStr">
        <is>
          <t>JÄMTLANDS LÄN</t>
        </is>
      </c>
      <c r="E661" t="inlineStr">
        <is>
          <t>BRÄCKE</t>
        </is>
      </c>
      <c r="G661" t="n">
        <v>12.9</v>
      </c>
      <c r="H661" t="n">
        <v>0</v>
      </c>
      <c r="I661" t="n">
        <v>0</v>
      </c>
      <c r="J661" t="n">
        <v>0</v>
      </c>
      <c r="K661" t="n">
        <v>0</v>
      </c>
      <c r="L661" t="n">
        <v>0</v>
      </c>
      <c r="M661" t="n">
        <v>0</v>
      </c>
      <c r="N661" t="n">
        <v>0</v>
      </c>
      <c r="O661" t="n">
        <v>0</v>
      </c>
      <c r="P661" t="n">
        <v>0</v>
      </c>
      <c r="Q661" t="n">
        <v>0</v>
      </c>
      <c r="R661" s="2" t="inlineStr"/>
    </row>
    <row r="662" ht="15" customHeight="1">
      <c r="A662" t="inlineStr">
        <is>
          <t>A 43070-2020</t>
        </is>
      </c>
      <c r="B662" s="1" t="n">
        <v>44078</v>
      </c>
      <c r="C662" s="1" t="n">
        <v>45847</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43075-2020</t>
        </is>
      </c>
      <c r="B663" s="1" t="n">
        <v>44078</v>
      </c>
      <c r="C663" s="1" t="n">
        <v>45847</v>
      </c>
      <c r="D663" t="inlineStr">
        <is>
          <t>JÄMTLANDS LÄN</t>
        </is>
      </c>
      <c r="E663" t="inlineStr">
        <is>
          <t>BRÄCKE</t>
        </is>
      </c>
      <c r="F663" t="inlineStr">
        <is>
          <t>SCA</t>
        </is>
      </c>
      <c r="G663" t="n">
        <v>4.9</v>
      </c>
      <c r="H663" t="n">
        <v>0</v>
      </c>
      <c r="I663" t="n">
        <v>0</v>
      </c>
      <c r="J663" t="n">
        <v>0</v>
      </c>
      <c r="K663" t="n">
        <v>0</v>
      </c>
      <c r="L663" t="n">
        <v>0</v>
      </c>
      <c r="M663" t="n">
        <v>0</v>
      </c>
      <c r="N663" t="n">
        <v>0</v>
      </c>
      <c r="O663" t="n">
        <v>0</v>
      </c>
      <c r="P663" t="n">
        <v>0</v>
      </c>
      <c r="Q663" t="n">
        <v>0</v>
      </c>
      <c r="R663" s="2" t="inlineStr"/>
    </row>
    <row r="664" ht="15" customHeight="1">
      <c r="A664" t="inlineStr">
        <is>
          <t>A 43085-2020</t>
        </is>
      </c>
      <c r="B664" s="1" t="n">
        <v>44078</v>
      </c>
      <c r="C664" s="1" t="n">
        <v>45847</v>
      </c>
      <c r="D664" t="inlineStr">
        <is>
          <t>JÄMTLANDS LÄN</t>
        </is>
      </c>
      <c r="E664" t="inlineStr">
        <is>
          <t>BRÄCKE</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44065-2020</t>
        </is>
      </c>
      <c r="B665" s="1" t="n">
        <v>44083</v>
      </c>
      <c r="C665" s="1" t="n">
        <v>45847</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44218-2020</t>
        </is>
      </c>
      <c r="B666" s="1" t="n">
        <v>44084</v>
      </c>
      <c r="C666" s="1" t="n">
        <v>45847</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44908-2020</t>
        </is>
      </c>
      <c r="B667" s="1" t="n">
        <v>44088</v>
      </c>
      <c r="C667" s="1" t="n">
        <v>45847</v>
      </c>
      <c r="D667" t="inlineStr">
        <is>
          <t>JÄMTLANDS LÄN</t>
        </is>
      </c>
      <c r="E667" t="inlineStr">
        <is>
          <t>BRÄCKE</t>
        </is>
      </c>
      <c r="G667" t="n">
        <v>6.1</v>
      </c>
      <c r="H667" t="n">
        <v>0</v>
      </c>
      <c r="I667" t="n">
        <v>0</v>
      </c>
      <c r="J667" t="n">
        <v>0</v>
      </c>
      <c r="K667" t="n">
        <v>0</v>
      </c>
      <c r="L667" t="n">
        <v>0</v>
      </c>
      <c r="M667" t="n">
        <v>0</v>
      </c>
      <c r="N667" t="n">
        <v>0</v>
      </c>
      <c r="O667" t="n">
        <v>0</v>
      </c>
      <c r="P667" t="n">
        <v>0</v>
      </c>
      <c r="Q667" t="n">
        <v>0</v>
      </c>
      <c r="R667" s="2" t="inlineStr"/>
    </row>
    <row r="668" ht="15" customHeight="1">
      <c r="A668" t="inlineStr">
        <is>
          <t>A 45832-2020</t>
        </is>
      </c>
      <c r="B668" s="1" t="n">
        <v>44090</v>
      </c>
      <c r="C668" s="1" t="n">
        <v>45847</v>
      </c>
      <c r="D668" t="inlineStr">
        <is>
          <t>JÄMTLANDS LÄN</t>
        </is>
      </c>
      <c r="E668" t="inlineStr">
        <is>
          <t>BRÄCKE</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47838-2020</t>
        </is>
      </c>
      <c r="B669" s="1" t="n">
        <v>44098</v>
      </c>
      <c r="C669" s="1" t="n">
        <v>45847</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48667-2020</t>
        </is>
      </c>
      <c r="B670" s="1" t="n">
        <v>44098</v>
      </c>
      <c r="C670" s="1" t="n">
        <v>45847</v>
      </c>
      <c r="D670" t="inlineStr">
        <is>
          <t>JÄMTLANDS LÄN</t>
        </is>
      </c>
      <c r="E670" t="inlineStr">
        <is>
          <t>BRÄCKE</t>
        </is>
      </c>
      <c r="F670" t="inlineStr">
        <is>
          <t>SCA</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49212-2020</t>
        </is>
      </c>
      <c r="B671" s="1" t="n">
        <v>44099</v>
      </c>
      <c r="C671" s="1" t="n">
        <v>45847</v>
      </c>
      <c r="D671" t="inlineStr">
        <is>
          <t>JÄMTLANDS LÄN</t>
        </is>
      </c>
      <c r="E671" t="inlineStr">
        <is>
          <t>BRÄCKE</t>
        </is>
      </c>
      <c r="G671" t="n">
        <v>2.8</v>
      </c>
      <c r="H671" t="n">
        <v>0</v>
      </c>
      <c r="I671" t="n">
        <v>0</v>
      </c>
      <c r="J671" t="n">
        <v>0</v>
      </c>
      <c r="K671" t="n">
        <v>0</v>
      </c>
      <c r="L671" t="n">
        <v>0</v>
      </c>
      <c r="M671" t="n">
        <v>0</v>
      </c>
      <c r="N671" t="n">
        <v>0</v>
      </c>
      <c r="O671" t="n">
        <v>0</v>
      </c>
      <c r="P671" t="n">
        <v>0</v>
      </c>
      <c r="Q671" t="n">
        <v>0</v>
      </c>
      <c r="R671" s="2" t="inlineStr"/>
    </row>
    <row r="672" ht="15" customHeight="1">
      <c r="A672" t="inlineStr">
        <is>
          <t>A 48479-2020</t>
        </is>
      </c>
      <c r="B672" s="1" t="n">
        <v>44103</v>
      </c>
      <c r="C672" s="1" t="n">
        <v>45847</v>
      </c>
      <c r="D672" t="inlineStr">
        <is>
          <t>JÄMTLANDS LÄN</t>
        </is>
      </c>
      <c r="E672" t="inlineStr">
        <is>
          <t>BRÄCKE</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48799-2020</t>
        </is>
      </c>
      <c r="B673" s="1" t="n">
        <v>44103</v>
      </c>
      <c r="C673" s="1" t="n">
        <v>45847</v>
      </c>
      <c r="D673" t="inlineStr">
        <is>
          <t>JÄMTLANDS LÄN</t>
        </is>
      </c>
      <c r="E673" t="inlineStr">
        <is>
          <t>BRÄCKE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49164-2020</t>
        </is>
      </c>
      <c r="B674" s="1" t="n">
        <v>44104</v>
      </c>
      <c r="C674" s="1" t="n">
        <v>45847</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50983-2020</t>
        </is>
      </c>
      <c r="B675" s="1" t="n">
        <v>44111</v>
      </c>
      <c r="C675" s="1" t="n">
        <v>45847</v>
      </c>
      <c r="D675" t="inlineStr">
        <is>
          <t>JÄMTLANDS LÄN</t>
        </is>
      </c>
      <c r="E675" t="inlineStr">
        <is>
          <t>BRÄCKE</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50981-2020</t>
        </is>
      </c>
      <c r="B676" s="1" t="n">
        <v>44111</v>
      </c>
      <c r="C676" s="1" t="n">
        <v>45847</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53176-2020</t>
        </is>
      </c>
      <c r="B677" s="1" t="n">
        <v>44120</v>
      </c>
      <c r="C677" s="1" t="n">
        <v>45847</v>
      </c>
      <c r="D677" t="inlineStr">
        <is>
          <t>JÄMTLANDS LÄN</t>
        </is>
      </c>
      <c r="E677" t="inlineStr">
        <is>
          <t>BRÄCKE</t>
        </is>
      </c>
      <c r="F677" t="inlineStr">
        <is>
          <t>SCA</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53196-2020</t>
        </is>
      </c>
      <c r="B678" s="1" t="n">
        <v>44122</v>
      </c>
      <c r="C678" s="1" t="n">
        <v>45847</v>
      </c>
      <c r="D678" t="inlineStr">
        <is>
          <t>JÄMTLANDS LÄN</t>
        </is>
      </c>
      <c r="E678" t="inlineStr">
        <is>
          <t>BRÄCKE</t>
        </is>
      </c>
      <c r="G678" t="n">
        <v>1</v>
      </c>
      <c r="H678" t="n">
        <v>0</v>
      </c>
      <c r="I678" t="n">
        <v>0</v>
      </c>
      <c r="J678" t="n">
        <v>0</v>
      </c>
      <c r="K678" t="n">
        <v>0</v>
      </c>
      <c r="L678" t="n">
        <v>0</v>
      </c>
      <c r="M678" t="n">
        <v>0</v>
      </c>
      <c r="N678" t="n">
        <v>0</v>
      </c>
      <c r="O678" t="n">
        <v>0</v>
      </c>
      <c r="P678" t="n">
        <v>0</v>
      </c>
      <c r="Q678" t="n">
        <v>0</v>
      </c>
      <c r="R678" s="2" t="inlineStr"/>
    </row>
    <row r="679" ht="15" customHeight="1">
      <c r="A679" t="inlineStr">
        <is>
          <t>A 53826-2020</t>
        </is>
      </c>
      <c r="B679" s="1" t="n">
        <v>44124</v>
      </c>
      <c r="C679" s="1" t="n">
        <v>45847</v>
      </c>
      <c r="D679" t="inlineStr">
        <is>
          <t>JÄMTLANDS LÄN</t>
        </is>
      </c>
      <c r="E679" t="inlineStr">
        <is>
          <t>BRÄCKE</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53839-2020</t>
        </is>
      </c>
      <c r="B680" s="1" t="n">
        <v>44124</v>
      </c>
      <c r="C680" s="1" t="n">
        <v>45847</v>
      </c>
      <c r="D680" t="inlineStr">
        <is>
          <t>JÄMTLANDS LÄN</t>
        </is>
      </c>
      <c r="E680" t="inlineStr">
        <is>
          <t>BRÄCKE</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54587-2020</t>
        </is>
      </c>
      <c r="B681" s="1" t="n">
        <v>44126</v>
      </c>
      <c r="C681" s="1" t="n">
        <v>45847</v>
      </c>
      <c r="D681" t="inlineStr">
        <is>
          <t>JÄMTLANDS LÄN</t>
        </is>
      </c>
      <c r="E681" t="inlineStr">
        <is>
          <t>BRÄCKE</t>
        </is>
      </c>
      <c r="F681" t="inlineStr">
        <is>
          <t>SCA</t>
        </is>
      </c>
      <c r="G681" t="n">
        <v>24.9</v>
      </c>
      <c r="H681" t="n">
        <v>0</v>
      </c>
      <c r="I681" t="n">
        <v>0</v>
      </c>
      <c r="J681" t="n">
        <v>0</v>
      </c>
      <c r="K681" t="n">
        <v>0</v>
      </c>
      <c r="L681" t="n">
        <v>0</v>
      </c>
      <c r="M681" t="n">
        <v>0</v>
      </c>
      <c r="N681" t="n">
        <v>0</v>
      </c>
      <c r="O681" t="n">
        <v>0</v>
      </c>
      <c r="P681" t="n">
        <v>0</v>
      </c>
      <c r="Q681" t="n">
        <v>0</v>
      </c>
      <c r="R681" s="2" t="inlineStr"/>
      <c r="U681">
        <f>HYPERLINK("https://klasma.github.io/Logging_2305/knärot/A 54587-2020 karta knärot.png", "A 54587-2020")</f>
        <v/>
      </c>
      <c r="V681">
        <f>HYPERLINK("https://klasma.github.io/Logging_2305/klagomål/A 54587-2020 FSC-klagomål.docx", "A 54587-2020")</f>
        <v/>
      </c>
      <c r="W681">
        <f>HYPERLINK("https://klasma.github.io/Logging_2305/klagomålsmail/A 54587-2020 FSC-klagomål mail.docx", "A 54587-2020")</f>
        <v/>
      </c>
      <c r="X681">
        <f>HYPERLINK("https://klasma.github.io/Logging_2305/tillsyn/A 54587-2020 tillsynsbegäran.docx", "A 54587-2020")</f>
        <v/>
      </c>
      <c r="Y681">
        <f>HYPERLINK("https://klasma.github.io/Logging_2305/tillsynsmail/A 54587-2020 tillsynsbegäran mail.docx", "A 54587-2020")</f>
        <v/>
      </c>
    </row>
    <row r="682" ht="15" customHeight="1">
      <c r="A682" t="inlineStr">
        <is>
          <t>A 55340-2020</t>
        </is>
      </c>
      <c r="B682" s="1" t="n">
        <v>44130</v>
      </c>
      <c r="C682" s="1" t="n">
        <v>45847</v>
      </c>
      <c r="D682" t="inlineStr">
        <is>
          <t>JÄMTLANDS LÄN</t>
        </is>
      </c>
      <c r="E682" t="inlineStr">
        <is>
          <t>BRÄCKE</t>
        </is>
      </c>
      <c r="F682" t="inlineStr">
        <is>
          <t>SCA</t>
        </is>
      </c>
      <c r="G682" t="n">
        <v>13.5</v>
      </c>
      <c r="H682" t="n">
        <v>0</v>
      </c>
      <c r="I682" t="n">
        <v>0</v>
      </c>
      <c r="J682" t="n">
        <v>0</v>
      </c>
      <c r="K682" t="n">
        <v>0</v>
      </c>
      <c r="L682" t="n">
        <v>0</v>
      </c>
      <c r="M682" t="n">
        <v>0</v>
      </c>
      <c r="N682" t="n">
        <v>0</v>
      </c>
      <c r="O682" t="n">
        <v>0</v>
      </c>
      <c r="P682" t="n">
        <v>0</v>
      </c>
      <c r="Q682" t="n">
        <v>0</v>
      </c>
      <c r="R682" s="2" t="inlineStr"/>
    </row>
    <row r="683" ht="15" customHeight="1">
      <c r="A683" t="inlineStr">
        <is>
          <t>A 55655-2020</t>
        </is>
      </c>
      <c r="B683" s="1" t="n">
        <v>44131</v>
      </c>
      <c r="C683" s="1" t="n">
        <v>45847</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55658-2020</t>
        </is>
      </c>
      <c r="B684" s="1" t="n">
        <v>44131</v>
      </c>
      <c r="C684" s="1" t="n">
        <v>45847</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55654-2020</t>
        </is>
      </c>
      <c r="B685" s="1" t="n">
        <v>44131</v>
      </c>
      <c r="C685" s="1" t="n">
        <v>45847</v>
      </c>
      <c r="D685" t="inlineStr">
        <is>
          <t>JÄMTLANDS LÄN</t>
        </is>
      </c>
      <c r="E685" t="inlineStr">
        <is>
          <t>BRÄCKE</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55657-2020</t>
        </is>
      </c>
      <c r="B686" s="1" t="n">
        <v>44131</v>
      </c>
      <c r="C686" s="1" t="n">
        <v>45847</v>
      </c>
      <c r="D686" t="inlineStr">
        <is>
          <t>JÄMTLANDS LÄN</t>
        </is>
      </c>
      <c r="E686" t="inlineStr">
        <is>
          <t>BRÄCKE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56416-2020</t>
        </is>
      </c>
      <c r="B687" s="1" t="n">
        <v>44137</v>
      </c>
      <c r="C687" s="1" t="n">
        <v>45847</v>
      </c>
      <c r="D687" t="inlineStr">
        <is>
          <t>JÄMTLANDS LÄN</t>
        </is>
      </c>
      <c r="E687" t="inlineStr">
        <is>
          <t>BRÄCKE</t>
        </is>
      </c>
      <c r="G687" t="n">
        <v>0.5</v>
      </c>
      <c r="H687" t="n">
        <v>0</v>
      </c>
      <c r="I687" t="n">
        <v>0</v>
      </c>
      <c r="J687" t="n">
        <v>0</v>
      </c>
      <c r="K687" t="n">
        <v>0</v>
      </c>
      <c r="L687" t="n">
        <v>0</v>
      </c>
      <c r="M687" t="n">
        <v>0</v>
      </c>
      <c r="N687" t="n">
        <v>0</v>
      </c>
      <c r="O687" t="n">
        <v>0</v>
      </c>
      <c r="P687" t="n">
        <v>0</v>
      </c>
      <c r="Q687" t="n">
        <v>0</v>
      </c>
      <c r="R687" s="2" t="inlineStr"/>
    </row>
    <row r="688" ht="15" customHeight="1">
      <c r="A688" t="inlineStr">
        <is>
          <t>A 56598-2020</t>
        </is>
      </c>
      <c r="B688" s="1" t="n">
        <v>44137</v>
      </c>
      <c r="C688" s="1" t="n">
        <v>45847</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56758-2020</t>
        </is>
      </c>
      <c r="B689" s="1" t="n">
        <v>44137</v>
      </c>
      <c r="C689" s="1" t="n">
        <v>45847</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56777-2020</t>
        </is>
      </c>
      <c r="B690" s="1" t="n">
        <v>44137</v>
      </c>
      <c r="C690" s="1" t="n">
        <v>45847</v>
      </c>
      <c r="D690" t="inlineStr">
        <is>
          <t>JÄMTLANDS LÄN</t>
        </is>
      </c>
      <c r="E690" t="inlineStr">
        <is>
          <t>BRÄCKE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56782-2020</t>
        </is>
      </c>
      <c r="B691" s="1" t="n">
        <v>44137</v>
      </c>
      <c r="C691" s="1" t="n">
        <v>45847</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56773-2020</t>
        </is>
      </c>
      <c r="B692" s="1" t="n">
        <v>44137</v>
      </c>
      <c r="C692" s="1" t="n">
        <v>45847</v>
      </c>
      <c r="D692" t="inlineStr">
        <is>
          <t>JÄMTLANDS LÄN</t>
        </is>
      </c>
      <c r="E692" t="inlineStr">
        <is>
          <t>BRÄCKE</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56778-2020</t>
        </is>
      </c>
      <c r="B693" s="1" t="n">
        <v>44137</v>
      </c>
      <c r="C693" s="1" t="n">
        <v>45847</v>
      </c>
      <c r="D693" t="inlineStr">
        <is>
          <t>JÄMTLANDS LÄN</t>
        </is>
      </c>
      <c r="E693" t="inlineStr">
        <is>
          <t>BRÄCKE</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56776-2020</t>
        </is>
      </c>
      <c r="B694" s="1" t="n">
        <v>44137</v>
      </c>
      <c r="C694" s="1" t="n">
        <v>45847</v>
      </c>
      <c r="D694" t="inlineStr">
        <is>
          <t>JÄMTLANDS LÄN</t>
        </is>
      </c>
      <c r="E694" t="inlineStr">
        <is>
          <t>BRÄCKE</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56781-2020</t>
        </is>
      </c>
      <c r="B695" s="1" t="n">
        <v>44137</v>
      </c>
      <c r="C695" s="1" t="n">
        <v>45847</v>
      </c>
      <c r="D695" t="inlineStr">
        <is>
          <t>JÄMTLANDS LÄN</t>
        </is>
      </c>
      <c r="E695" t="inlineStr">
        <is>
          <t>BRÄCKE</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56774-2020</t>
        </is>
      </c>
      <c r="B696" s="1" t="n">
        <v>44137</v>
      </c>
      <c r="C696" s="1" t="n">
        <v>45847</v>
      </c>
      <c r="D696" t="inlineStr">
        <is>
          <t>JÄMTLANDS LÄN</t>
        </is>
      </c>
      <c r="E696" t="inlineStr">
        <is>
          <t>BRÄCKE</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56780-2020</t>
        </is>
      </c>
      <c r="B697" s="1" t="n">
        <v>44137</v>
      </c>
      <c r="C697" s="1" t="n">
        <v>45847</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57072-2020</t>
        </is>
      </c>
      <c r="B698" s="1" t="n">
        <v>44138</v>
      </c>
      <c r="C698" s="1" t="n">
        <v>45847</v>
      </c>
      <c r="D698" t="inlineStr">
        <is>
          <t>JÄMTLANDS LÄN</t>
        </is>
      </c>
      <c r="E698" t="inlineStr">
        <is>
          <t>BRÄCKE</t>
        </is>
      </c>
      <c r="F698" t="inlineStr">
        <is>
          <t>SCA</t>
        </is>
      </c>
      <c r="G698" t="n">
        <v>12.8</v>
      </c>
      <c r="H698" t="n">
        <v>0</v>
      </c>
      <c r="I698" t="n">
        <v>0</v>
      </c>
      <c r="J698" t="n">
        <v>0</v>
      </c>
      <c r="K698" t="n">
        <v>0</v>
      </c>
      <c r="L698" t="n">
        <v>0</v>
      </c>
      <c r="M698" t="n">
        <v>0</v>
      </c>
      <c r="N698" t="n">
        <v>0</v>
      </c>
      <c r="O698" t="n">
        <v>0</v>
      </c>
      <c r="P698" t="n">
        <v>0</v>
      </c>
      <c r="Q698" t="n">
        <v>0</v>
      </c>
      <c r="R698" s="2" t="inlineStr"/>
    </row>
    <row r="699" ht="15" customHeight="1">
      <c r="A699" t="inlineStr">
        <is>
          <t>A 56938-2020</t>
        </is>
      </c>
      <c r="B699" s="1" t="n">
        <v>44138</v>
      </c>
      <c r="C699" s="1" t="n">
        <v>45847</v>
      </c>
      <c r="D699" t="inlineStr">
        <is>
          <t>JÄMTLANDS LÄN</t>
        </is>
      </c>
      <c r="E699" t="inlineStr">
        <is>
          <t>BRÄCKE</t>
        </is>
      </c>
      <c r="G699" t="n">
        <v>7.3</v>
      </c>
      <c r="H699" t="n">
        <v>0</v>
      </c>
      <c r="I699" t="n">
        <v>0</v>
      </c>
      <c r="J699" t="n">
        <v>0</v>
      </c>
      <c r="K699" t="n">
        <v>0</v>
      </c>
      <c r="L699" t="n">
        <v>0</v>
      </c>
      <c r="M699" t="n">
        <v>0</v>
      </c>
      <c r="N699" t="n">
        <v>0</v>
      </c>
      <c r="O699" t="n">
        <v>0</v>
      </c>
      <c r="P699" t="n">
        <v>0</v>
      </c>
      <c r="Q699" t="n">
        <v>0</v>
      </c>
      <c r="R699" s="2" t="inlineStr"/>
    </row>
    <row r="700" ht="15" customHeight="1">
      <c r="A700" t="inlineStr">
        <is>
          <t>A 57073-2020</t>
        </is>
      </c>
      <c r="B700" s="1" t="n">
        <v>44138</v>
      </c>
      <c r="C700" s="1" t="n">
        <v>45847</v>
      </c>
      <c r="D700" t="inlineStr">
        <is>
          <t>JÄMTLANDS LÄN</t>
        </is>
      </c>
      <c r="E700" t="inlineStr">
        <is>
          <t>BRÄCKE</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57716-2020</t>
        </is>
      </c>
      <c r="B701" s="1" t="n">
        <v>44140</v>
      </c>
      <c r="C701" s="1" t="n">
        <v>45847</v>
      </c>
      <c r="D701" t="inlineStr">
        <is>
          <t>JÄMTLANDS LÄN</t>
        </is>
      </c>
      <c r="E701" t="inlineStr">
        <is>
          <t>BRÄCKE</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59331-2020</t>
        </is>
      </c>
      <c r="B702" s="1" t="n">
        <v>44147</v>
      </c>
      <c r="C702" s="1" t="n">
        <v>45847</v>
      </c>
      <c r="D702" t="inlineStr">
        <is>
          <t>JÄMTLANDS LÄN</t>
        </is>
      </c>
      <c r="E702" t="inlineStr">
        <is>
          <t>BRÄCKE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59397-2020</t>
        </is>
      </c>
      <c r="B703" s="1" t="n">
        <v>44148</v>
      </c>
      <c r="C703" s="1" t="n">
        <v>45847</v>
      </c>
      <c r="D703" t="inlineStr">
        <is>
          <t>JÄMTLANDS LÄN</t>
        </is>
      </c>
      <c r="E703" t="inlineStr">
        <is>
          <t>BRÄCKE</t>
        </is>
      </c>
      <c r="G703" t="n">
        <v>2.3</v>
      </c>
      <c r="H703" t="n">
        <v>0</v>
      </c>
      <c r="I703" t="n">
        <v>0</v>
      </c>
      <c r="J703" t="n">
        <v>0</v>
      </c>
      <c r="K703" t="n">
        <v>0</v>
      </c>
      <c r="L703" t="n">
        <v>0</v>
      </c>
      <c r="M703" t="n">
        <v>0</v>
      </c>
      <c r="N703" t="n">
        <v>0</v>
      </c>
      <c r="O703" t="n">
        <v>0</v>
      </c>
      <c r="P703" t="n">
        <v>0</v>
      </c>
      <c r="Q703" t="n">
        <v>0</v>
      </c>
      <c r="R703" s="2" t="inlineStr"/>
    </row>
    <row r="704" ht="15" customHeight="1">
      <c r="A704" t="inlineStr">
        <is>
          <t>A 61141-2020</t>
        </is>
      </c>
      <c r="B704" s="1" t="n">
        <v>44154</v>
      </c>
      <c r="C704" s="1" t="n">
        <v>45847</v>
      </c>
      <c r="D704" t="inlineStr">
        <is>
          <t>JÄMTLANDS LÄN</t>
        </is>
      </c>
      <c r="E704" t="inlineStr">
        <is>
          <t>BRÄCKE</t>
        </is>
      </c>
      <c r="G704" t="n">
        <v>4.3</v>
      </c>
      <c r="H704" t="n">
        <v>0</v>
      </c>
      <c r="I704" t="n">
        <v>0</v>
      </c>
      <c r="J704" t="n">
        <v>0</v>
      </c>
      <c r="K704" t="n">
        <v>0</v>
      </c>
      <c r="L704" t="n">
        <v>0</v>
      </c>
      <c r="M704" t="n">
        <v>0</v>
      </c>
      <c r="N704" t="n">
        <v>0</v>
      </c>
      <c r="O704" t="n">
        <v>0</v>
      </c>
      <c r="P704" t="n">
        <v>0</v>
      </c>
      <c r="Q704" t="n">
        <v>0</v>
      </c>
      <c r="R704" s="2" t="inlineStr"/>
    </row>
    <row r="705" ht="15" customHeight="1">
      <c r="A705" t="inlineStr">
        <is>
          <t>A 61140-2020</t>
        </is>
      </c>
      <c r="B705" s="1" t="n">
        <v>44154</v>
      </c>
      <c r="C705" s="1" t="n">
        <v>45847</v>
      </c>
      <c r="D705" t="inlineStr">
        <is>
          <t>JÄMTLANDS LÄN</t>
        </is>
      </c>
      <c r="E705" t="inlineStr">
        <is>
          <t>BRÄCKE</t>
        </is>
      </c>
      <c r="G705" t="n">
        <v>0.9</v>
      </c>
      <c r="H705" t="n">
        <v>0</v>
      </c>
      <c r="I705" t="n">
        <v>0</v>
      </c>
      <c r="J705" t="n">
        <v>0</v>
      </c>
      <c r="K705" t="n">
        <v>0</v>
      </c>
      <c r="L705" t="n">
        <v>0</v>
      </c>
      <c r="M705" t="n">
        <v>0</v>
      </c>
      <c r="N705" t="n">
        <v>0</v>
      </c>
      <c r="O705" t="n">
        <v>0</v>
      </c>
      <c r="P705" t="n">
        <v>0</v>
      </c>
      <c r="Q705" t="n">
        <v>0</v>
      </c>
      <c r="R705" s="2" t="inlineStr"/>
    </row>
    <row r="706" ht="15" customHeight="1">
      <c r="A706" t="inlineStr">
        <is>
          <t>A 61144-2020</t>
        </is>
      </c>
      <c r="B706" s="1" t="n">
        <v>44154</v>
      </c>
      <c r="C706" s="1" t="n">
        <v>45847</v>
      </c>
      <c r="D706" t="inlineStr">
        <is>
          <t>JÄMTLANDS LÄN</t>
        </is>
      </c>
      <c r="E706" t="inlineStr">
        <is>
          <t>BRÄCKE</t>
        </is>
      </c>
      <c r="G706" t="n">
        <v>12.8</v>
      </c>
      <c r="H706" t="n">
        <v>0</v>
      </c>
      <c r="I706" t="n">
        <v>0</v>
      </c>
      <c r="J706" t="n">
        <v>0</v>
      </c>
      <c r="K706" t="n">
        <v>0</v>
      </c>
      <c r="L706" t="n">
        <v>0</v>
      </c>
      <c r="M706" t="n">
        <v>0</v>
      </c>
      <c r="N706" t="n">
        <v>0</v>
      </c>
      <c r="O706" t="n">
        <v>0</v>
      </c>
      <c r="P706" t="n">
        <v>0</v>
      </c>
      <c r="Q706" t="n">
        <v>0</v>
      </c>
      <c r="R706" s="2" t="inlineStr"/>
    </row>
    <row r="707" ht="15" customHeight="1">
      <c r="A707" t="inlineStr">
        <is>
          <t>A 61143-2020</t>
        </is>
      </c>
      <c r="B707" s="1" t="n">
        <v>44154</v>
      </c>
      <c r="C707" s="1" t="n">
        <v>45847</v>
      </c>
      <c r="D707" t="inlineStr">
        <is>
          <t>JÄMTLANDS LÄN</t>
        </is>
      </c>
      <c r="E707" t="inlineStr">
        <is>
          <t>BRÄCKE</t>
        </is>
      </c>
      <c r="G707" t="n">
        <v>12.6</v>
      </c>
      <c r="H707" t="n">
        <v>0</v>
      </c>
      <c r="I707" t="n">
        <v>0</v>
      </c>
      <c r="J707" t="n">
        <v>0</v>
      </c>
      <c r="K707" t="n">
        <v>0</v>
      </c>
      <c r="L707" t="n">
        <v>0</v>
      </c>
      <c r="M707" t="n">
        <v>0</v>
      </c>
      <c r="N707" t="n">
        <v>0</v>
      </c>
      <c r="O707" t="n">
        <v>0</v>
      </c>
      <c r="P707" t="n">
        <v>0</v>
      </c>
      <c r="Q707" t="n">
        <v>0</v>
      </c>
      <c r="R707" s="2" t="inlineStr"/>
    </row>
    <row r="708" ht="15" customHeight="1">
      <c r="A708" t="inlineStr">
        <is>
          <t>A 61602-2020</t>
        </is>
      </c>
      <c r="B708" s="1" t="n">
        <v>44158</v>
      </c>
      <c r="C708" s="1" t="n">
        <v>45847</v>
      </c>
      <c r="D708" t="inlineStr">
        <is>
          <t>JÄMTLANDS LÄN</t>
        </is>
      </c>
      <c r="E708" t="inlineStr">
        <is>
          <t>BRÄCKE</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61817-2020</t>
        </is>
      </c>
      <c r="B709" s="1" t="n">
        <v>44158</v>
      </c>
      <c r="C709" s="1" t="n">
        <v>45847</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62871-2020</t>
        </is>
      </c>
      <c r="B710" s="1" t="n">
        <v>44161</v>
      </c>
      <c r="C710" s="1" t="n">
        <v>45847</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62970-2020</t>
        </is>
      </c>
      <c r="B711" s="1" t="n">
        <v>44162</v>
      </c>
      <c r="C711" s="1" t="n">
        <v>45847</v>
      </c>
      <c r="D711" t="inlineStr">
        <is>
          <t>JÄMTLANDS LÄN</t>
        </is>
      </c>
      <c r="E711" t="inlineStr">
        <is>
          <t>BRÄCKE</t>
        </is>
      </c>
      <c r="G711" t="n">
        <v>2.4</v>
      </c>
      <c r="H711" t="n">
        <v>0</v>
      </c>
      <c r="I711" t="n">
        <v>0</v>
      </c>
      <c r="J711" t="n">
        <v>0</v>
      </c>
      <c r="K711" t="n">
        <v>0</v>
      </c>
      <c r="L711" t="n">
        <v>0</v>
      </c>
      <c r="M711" t="n">
        <v>0</v>
      </c>
      <c r="N711" t="n">
        <v>0</v>
      </c>
      <c r="O711" t="n">
        <v>0</v>
      </c>
      <c r="P711" t="n">
        <v>0</v>
      </c>
      <c r="Q711" t="n">
        <v>0</v>
      </c>
      <c r="R711" s="2" t="inlineStr"/>
    </row>
    <row r="712" ht="15" customHeight="1">
      <c r="A712" t="inlineStr">
        <is>
          <t>A 64494-2020</t>
        </is>
      </c>
      <c r="B712" s="1" t="n">
        <v>44168</v>
      </c>
      <c r="C712" s="1" t="n">
        <v>45847</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64495-2020</t>
        </is>
      </c>
      <c r="B713" s="1" t="n">
        <v>44168</v>
      </c>
      <c r="C713" s="1" t="n">
        <v>45847</v>
      </c>
      <c r="D713" t="inlineStr">
        <is>
          <t>JÄMTLANDS LÄN</t>
        </is>
      </c>
      <c r="E713" t="inlineStr">
        <is>
          <t>BRÄCKE</t>
        </is>
      </c>
      <c r="G713" t="n">
        <v>2.4</v>
      </c>
      <c r="H713" t="n">
        <v>0</v>
      </c>
      <c r="I713" t="n">
        <v>0</v>
      </c>
      <c r="J713" t="n">
        <v>0</v>
      </c>
      <c r="K713" t="n">
        <v>0</v>
      </c>
      <c r="L713" t="n">
        <v>0</v>
      </c>
      <c r="M713" t="n">
        <v>0</v>
      </c>
      <c r="N713" t="n">
        <v>0</v>
      </c>
      <c r="O713" t="n">
        <v>0</v>
      </c>
      <c r="P713" t="n">
        <v>0</v>
      </c>
      <c r="Q713" t="n">
        <v>0</v>
      </c>
      <c r="R713" s="2" t="inlineStr"/>
    </row>
    <row r="714" ht="15" customHeight="1">
      <c r="A714" t="inlineStr">
        <is>
          <t>A 64805-2020</t>
        </is>
      </c>
      <c r="B714" s="1" t="n">
        <v>44169</v>
      </c>
      <c r="C714" s="1" t="n">
        <v>45847</v>
      </c>
      <c r="D714" t="inlineStr">
        <is>
          <t>JÄMTLANDS LÄN</t>
        </is>
      </c>
      <c r="E714" t="inlineStr">
        <is>
          <t>BRÄCKE</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64809-2020</t>
        </is>
      </c>
      <c r="B715" s="1" t="n">
        <v>44169</v>
      </c>
      <c r="C715" s="1" t="n">
        <v>45847</v>
      </c>
      <c r="D715" t="inlineStr">
        <is>
          <t>JÄMTLANDS LÄN</t>
        </is>
      </c>
      <c r="E715" t="inlineStr">
        <is>
          <t>BRÄCKE</t>
        </is>
      </c>
      <c r="F715" t="inlineStr">
        <is>
          <t>SCA</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66443-2020</t>
        </is>
      </c>
      <c r="B716" s="1" t="n">
        <v>44176</v>
      </c>
      <c r="C716" s="1" t="n">
        <v>45847</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66859-2020</t>
        </is>
      </c>
      <c r="B717" s="1" t="n">
        <v>44179</v>
      </c>
      <c r="C717" s="1" t="n">
        <v>45847</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67080-2020</t>
        </is>
      </c>
      <c r="B718" s="1" t="n">
        <v>44179</v>
      </c>
      <c r="C718" s="1" t="n">
        <v>45847</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67581-2020</t>
        </is>
      </c>
      <c r="B719" s="1" t="n">
        <v>44181</v>
      </c>
      <c r="C719" s="1" t="n">
        <v>45847</v>
      </c>
      <c r="D719" t="inlineStr">
        <is>
          <t>JÄMTLANDS LÄN</t>
        </is>
      </c>
      <c r="E719" t="inlineStr">
        <is>
          <t>BRÄCKE</t>
        </is>
      </c>
      <c r="G719" t="n">
        <v>1.6</v>
      </c>
      <c r="H719" t="n">
        <v>0</v>
      </c>
      <c r="I719" t="n">
        <v>0</v>
      </c>
      <c r="J719" t="n">
        <v>0</v>
      </c>
      <c r="K719" t="n">
        <v>0</v>
      </c>
      <c r="L719" t="n">
        <v>0</v>
      </c>
      <c r="M719" t="n">
        <v>0</v>
      </c>
      <c r="N719" t="n">
        <v>0</v>
      </c>
      <c r="O719" t="n">
        <v>0</v>
      </c>
      <c r="P719" t="n">
        <v>0</v>
      </c>
      <c r="Q719" t="n">
        <v>0</v>
      </c>
      <c r="R719" s="2" t="inlineStr"/>
    </row>
    <row r="720" ht="15" customHeight="1">
      <c r="A720" t="inlineStr">
        <is>
          <t>A 67612-2020</t>
        </is>
      </c>
      <c r="B720" s="1" t="n">
        <v>44181</v>
      </c>
      <c r="C720" s="1" t="n">
        <v>45847</v>
      </c>
      <c r="D720" t="inlineStr">
        <is>
          <t>JÄMTLANDS LÄN</t>
        </is>
      </c>
      <c r="E720" t="inlineStr">
        <is>
          <t>BRÄCKE</t>
        </is>
      </c>
      <c r="G720" t="n">
        <v>1.8</v>
      </c>
      <c r="H720" t="n">
        <v>0</v>
      </c>
      <c r="I720" t="n">
        <v>0</v>
      </c>
      <c r="J720" t="n">
        <v>0</v>
      </c>
      <c r="K720" t="n">
        <v>0</v>
      </c>
      <c r="L720" t="n">
        <v>0</v>
      </c>
      <c r="M720" t="n">
        <v>0</v>
      </c>
      <c r="N720" t="n">
        <v>0</v>
      </c>
      <c r="O720" t="n">
        <v>0</v>
      </c>
      <c r="P720" t="n">
        <v>0</v>
      </c>
      <c r="Q720" t="n">
        <v>0</v>
      </c>
      <c r="R720" s="2" t="inlineStr"/>
    </row>
    <row r="721" ht="15" customHeight="1">
      <c r="A721" t="inlineStr">
        <is>
          <t>A 67613-2020</t>
        </is>
      </c>
      <c r="B721" s="1" t="n">
        <v>44181</v>
      </c>
      <c r="C721" s="1" t="n">
        <v>45847</v>
      </c>
      <c r="D721" t="inlineStr">
        <is>
          <t>JÄMTLANDS LÄN</t>
        </is>
      </c>
      <c r="E721" t="inlineStr">
        <is>
          <t>BRÄCKE</t>
        </is>
      </c>
      <c r="G721" t="n">
        <v>1.2</v>
      </c>
      <c r="H721" t="n">
        <v>0</v>
      </c>
      <c r="I721" t="n">
        <v>0</v>
      </c>
      <c r="J721" t="n">
        <v>0</v>
      </c>
      <c r="K721" t="n">
        <v>0</v>
      </c>
      <c r="L721" t="n">
        <v>0</v>
      </c>
      <c r="M721" t="n">
        <v>0</v>
      </c>
      <c r="N721" t="n">
        <v>0</v>
      </c>
      <c r="O721" t="n">
        <v>0</v>
      </c>
      <c r="P721" t="n">
        <v>0</v>
      </c>
      <c r="Q721" t="n">
        <v>0</v>
      </c>
      <c r="R721" s="2" t="inlineStr"/>
    </row>
    <row r="722" ht="15" customHeight="1">
      <c r="A722" t="inlineStr">
        <is>
          <t>A 67622-2020</t>
        </is>
      </c>
      <c r="B722" s="1" t="n">
        <v>44181</v>
      </c>
      <c r="C722" s="1" t="n">
        <v>45847</v>
      </c>
      <c r="D722" t="inlineStr">
        <is>
          <t>JÄMTLANDS LÄN</t>
        </is>
      </c>
      <c r="E722" t="inlineStr">
        <is>
          <t>BRÄCKE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68362-2020</t>
        </is>
      </c>
      <c r="B723" s="1" t="n">
        <v>44186</v>
      </c>
      <c r="C723" s="1" t="n">
        <v>45847</v>
      </c>
      <c r="D723" t="inlineStr">
        <is>
          <t>JÄMTLANDS LÄN</t>
        </is>
      </c>
      <c r="E723" t="inlineStr">
        <is>
          <t>BRÄCKE</t>
        </is>
      </c>
      <c r="G723" t="n">
        <v>4.5</v>
      </c>
      <c r="H723" t="n">
        <v>0</v>
      </c>
      <c r="I723" t="n">
        <v>0</v>
      </c>
      <c r="J723" t="n">
        <v>0</v>
      </c>
      <c r="K723" t="n">
        <v>0</v>
      </c>
      <c r="L723" t="n">
        <v>0</v>
      </c>
      <c r="M723" t="n">
        <v>0</v>
      </c>
      <c r="N723" t="n">
        <v>0</v>
      </c>
      <c r="O723" t="n">
        <v>0</v>
      </c>
      <c r="P723" t="n">
        <v>0</v>
      </c>
      <c r="Q723" t="n">
        <v>0</v>
      </c>
      <c r="R723" s="2" t="inlineStr"/>
    </row>
    <row r="724" ht="15" customHeight="1">
      <c r="A724" t="inlineStr">
        <is>
          <t>A 68968-2020</t>
        </is>
      </c>
      <c r="B724" s="1" t="n">
        <v>44187</v>
      </c>
      <c r="C724" s="1" t="n">
        <v>45847</v>
      </c>
      <c r="D724" t="inlineStr">
        <is>
          <t>JÄMTLANDS LÄN</t>
        </is>
      </c>
      <c r="E724" t="inlineStr">
        <is>
          <t>BRÄCKE</t>
        </is>
      </c>
      <c r="G724" t="n">
        <v>14.2</v>
      </c>
      <c r="H724" t="n">
        <v>0</v>
      </c>
      <c r="I724" t="n">
        <v>0</v>
      </c>
      <c r="J724" t="n">
        <v>0</v>
      </c>
      <c r="K724" t="n">
        <v>0</v>
      </c>
      <c r="L724" t="n">
        <v>0</v>
      </c>
      <c r="M724" t="n">
        <v>0</v>
      </c>
      <c r="N724" t="n">
        <v>0</v>
      </c>
      <c r="O724" t="n">
        <v>0</v>
      </c>
      <c r="P724" t="n">
        <v>0</v>
      </c>
      <c r="Q724" t="n">
        <v>0</v>
      </c>
      <c r="R724" s="2" t="inlineStr"/>
    </row>
    <row r="725" ht="15" customHeight="1">
      <c r="A725" t="inlineStr">
        <is>
          <t>A 1027-2021</t>
        </is>
      </c>
      <c r="B725" s="1" t="n">
        <v>44207</v>
      </c>
      <c r="C725" s="1" t="n">
        <v>45847</v>
      </c>
      <c r="D725" t="inlineStr">
        <is>
          <t>JÄMTLANDS LÄN</t>
        </is>
      </c>
      <c r="E725" t="inlineStr">
        <is>
          <t>BRÄCKE</t>
        </is>
      </c>
      <c r="G725" t="n">
        <v>2.7</v>
      </c>
      <c r="H725" t="n">
        <v>0</v>
      </c>
      <c r="I725" t="n">
        <v>0</v>
      </c>
      <c r="J725" t="n">
        <v>0</v>
      </c>
      <c r="K725" t="n">
        <v>0</v>
      </c>
      <c r="L725" t="n">
        <v>0</v>
      </c>
      <c r="M725" t="n">
        <v>0</v>
      </c>
      <c r="N725" t="n">
        <v>0</v>
      </c>
      <c r="O725" t="n">
        <v>0</v>
      </c>
      <c r="P725" t="n">
        <v>0</v>
      </c>
      <c r="Q725" t="n">
        <v>0</v>
      </c>
      <c r="R725" s="2" t="inlineStr"/>
    </row>
    <row r="726" ht="15" customHeight="1">
      <c r="A726" t="inlineStr">
        <is>
          <t>A 1772-2021</t>
        </is>
      </c>
      <c r="B726" s="1" t="n">
        <v>44209</v>
      </c>
      <c r="C726" s="1" t="n">
        <v>45847</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2829-2021</t>
        </is>
      </c>
      <c r="B727" s="1" t="n">
        <v>44215</v>
      </c>
      <c r="C727" s="1" t="n">
        <v>45847</v>
      </c>
      <c r="D727" t="inlineStr">
        <is>
          <t>JÄMTLANDS LÄN</t>
        </is>
      </c>
      <c r="E727" t="inlineStr">
        <is>
          <t>BRÄCKE</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2831-2021</t>
        </is>
      </c>
      <c r="B728" s="1" t="n">
        <v>44215</v>
      </c>
      <c r="C728" s="1" t="n">
        <v>45847</v>
      </c>
      <c r="D728" t="inlineStr">
        <is>
          <t>JÄMTLANDS LÄN</t>
        </is>
      </c>
      <c r="E728" t="inlineStr">
        <is>
          <t>BRÄCKE</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2830-2021</t>
        </is>
      </c>
      <c r="B729" s="1" t="n">
        <v>44215</v>
      </c>
      <c r="C729" s="1" t="n">
        <v>45847</v>
      </c>
      <c r="D729" t="inlineStr">
        <is>
          <t>JÄMTLANDS LÄN</t>
        </is>
      </c>
      <c r="E729" t="inlineStr">
        <is>
          <t>BRÄCKE</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3025-2021</t>
        </is>
      </c>
      <c r="B730" s="1" t="n">
        <v>44216</v>
      </c>
      <c r="C730" s="1" t="n">
        <v>45847</v>
      </c>
      <c r="D730" t="inlineStr">
        <is>
          <t>JÄMTLANDS LÄN</t>
        </is>
      </c>
      <c r="E730" t="inlineStr">
        <is>
          <t>BRÄCKE</t>
        </is>
      </c>
      <c r="G730" t="n">
        <v>2.8</v>
      </c>
      <c r="H730" t="n">
        <v>0</v>
      </c>
      <c r="I730" t="n">
        <v>0</v>
      </c>
      <c r="J730" t="n">
        <v>0</v>
      </c>
      <c r="K730" t="n">
        <v>0</v>
      </c>
      <c r="L730" t="n">
        <v>0</v>
      </c>
      <c r="M730" t="n">
        <v>0</v>
      </c>
      <c r="N730" t="n">
        <v>0</v>
      </c>
      <c r="O730" t="n">
        <v>0</v>
      </c>
      <c r="P730" t="n">
        <v>0</v>
      </c>
      <c r="Q730" t="n">
        <v>0</v>
      </c>
      <c r="R730" s="2" t="inlineStr"/>
    </row>
    <row r="731" ht="15" customHeight="1">
      <c r="A731" t="inlineStr">
        <is>
          <t>A 5472-2021</t>
        </is>
      </c>
      <c r="B731" s="1" t="n">
        <v>44229</v>
      </c>
      <c r="C731" s="1" t="n">
        <v>45847</v>
      </c>
      <c r="D731" t="inlineStr">
        <is>
          <t>JÄMTLANDS LÄN</t>
        </is>
      </c>
      <c r="E731" t="inlineStr">
        <is>
          <t>BRÄCKE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5796-2021</t>
        </is>
      </c>
      <c r="B732" s="1" t="n">
        <v>44230</v>
      </c>
      <c r="C732" s="1" t="n">
        <v>45847</v>
      </c>
      <c r="D732" t="inlineStr">
        <is>
          <t>JÄMTLANDS LÄN</t>
        </is>
      </c>
      <c r="E732" t="inlineStr">
        <is>
          <t>BRÄCKE</t>
        </is>
      </c>
      <c r="F732" t="inlineStr">
        <is>
          <t>SCA</t>
        </is>
      </c>
      <c r="G732" t="n">
        <v>4.7</v>
      </c>
      <c r="H732" t="n">
        <v>0</v>
      </c>
      <c r="I732" t="n">
        <v>0</v>
      </c>
      <c r="J732" t="n">
        <v>0</v>
      </c>
      <c r="K732" t="n">
        <v>0</v>
      </c>
      <c r="L732" t="n">
        <v>0</v>
      </c>
      <c r="M732" t="n">
        <v>0</v>
      </c>
      <c r="N732" t="n">
        <v>0</v>
      </c>
      <c r="O732" t="n">
        <v>0</v>
      </c>
      <c r="P732" t="n">
        <v>0</v>
      </c>
      <c r="Q732" t="n">
        <v>0</v>
      </c>
      <c r="R732" s="2" t="inlineStr"/>
    </row>
    <row r="733" ht="15" customHeight="1">
      <c r="A733" t="inlineStr">
        <is>
          <t>A 6016-2021</t>
        </is>
      </c>
      <c r="B733" s="1" t="n">
        <v>44231</v>
      </c>
      <c r="C733" s="1" t="n">
        <v>45847</v>
      </c>
      <c r="D733" t="inlineStr">
        <is>
          <t>JÄMTLANDS LÄN</t>
        </is>
      </c>
      <c r="E733" t="inlineStr">
        <is>
          <t>BRÄCKE</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6399-2021</t>
        </is>
      </c>
      <c r="B734" s="1" t="n">
        <v>44232</v>
      </c>
      <c r="C734" s="1" t="n">
        <v>45847</v>
      </c>
      <c r="D734" t="inlineStr">
        <is>
          <t>JÄMTLANDS LÄN</t>
        </is>
      </c>
      <c r="E734" t="inlineStr">
        <is>
          <t>BRÄCKE</t>
        </is>
      </c>
      <c r="G734" t="n">
        <v>3.1</v>
      </c>
      <c r="H734" t="n">
        <v>0</v>
      </c>
      <c r="I734" t="n">
        <v>0</v>
      </c>
      <c r="J734" t="n">
        <v>0</v>
      </c>
      <c r="K734" t="n">
        <v>0</v>
      </c>
      <c r="L734" t="n">
        <v>0</v>
      </c>
      <c r="M734" t="n">
        <v>0</v>
      </c>
      <c r="N734" t="n">
        <v>0</v>
      </c>
      <c r="O734" t="n">
        <v>0</v>
      </c>
      <c r="P734" t="n">
        <v>0</v>
      </c>
      <c r="Q734" t="n">
        <v>0</v>
      </c>
      <c r="R734" s="2" t="inlineStr"/>
    </row>
    <row r="735" ht="15" customHeight="1">
      <c r="A735" t="inlineStr">
        <is>
          <t>A 9994-2021</t>
        </is>
      </c>
      <c r="B735" s="1" t="n">
        <v>44254</v>
      </c>
      <c r="C735" s="1" t="n">
        <v>45847</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11140-2021</t>
        </is>
      </c>
      <c r="B736" s="1" t="n">
        <v>44260</v>
      </c>
      <c r="C736" s="1" t="n">
        <v>45847</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13316-2021</t>
        </is>
      </c>
      <c r="B737" s="1" t="n">
        <v>44272</v>
      </c>
      <c r="C737" s="1" t="n">
        <v>45847</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13506-2021</t>
        </is>
      </c>
      <c r="B738" s="1" t="n">
        <v>44273</v>
      </c>
      <c r="C738" s="1" t="n">
        <v>45847</v>
      </c>
      <c r="D738" t="inlineStr">
        <is>
          <t>JÄMTLANDS LÄN</t>
        </is>
      </c>
      <c r="E738" t="inlineStr">
        <is>
          <t>BRÄCKE</t>
        </is>
      </c>
      <c r="G738" t="n">
        <v>1.4</v>
      </c>
      <c r="H738" t="n">
        <v>0</v>
      </c>
      <c r="I738" t="n">
        <v>0</v>
      </c>
      <c r="J738" t="n">
        <v>0</v>
      </c>
      <c r="K738" t="n">
        <v>0</v>
      </c>
      <c r="L738" t="n">
        <v>0</v>
      </c>
      <c r="M738" t="n">
        <v>0</v>
      </c>
      <c r="N738" t="n">
        <v>0</v>
      </c>
      <c r="O738" t="n">
        <v>0</v>
      </c>
      <c r="P738" t="n">
        <v>0</v>
      </c>
      <c r="Q738" t="n">
        <v>0</v>
      </c>
      <c r="R738" s="2" t="inlineStr"/>
    </row>
    <row r="739" ht="15" customHeight="1">
      <c r="A739" t="inlineStr">
        <is>
          <t>A 14079-2021</t>
        </is>
      </c>
      <c r="B739" s="1" t="n">
        <v>44277</v>
      </c>
      <c r="C739" s="1" t="n">
        <v>45847</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14868-2021</t>
        </is>
      </c>
      <c r="B740" s="1" t="n">
        <v>44280</v>
      </c>
      <c r="C740" s="1" t="n">
        <v>45847</v>
      </c>
      <c r="D740" t="inlineStr">
        <is>
          <t>JÄMTLANDS LÄN</t>
        </is>
      </c>
      <c r="E740" t="inlineStr">
        <is>
          <t>BRÄCKE</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16073-2021</t>
        </is>
      </c>
      <c r="B741" s="1" t="n">
        <v>44287</v>
      </c>
      <c r="C741" s="1" t="n">
        <v>45847</v>
      </c>
      <c r="D741" t="inlineStr">
        <is>
          <t>JÄMTLANDS LÄN</t>
        </is>
      </c>
      <c r="E741" t="inlineStr">
        <is>
          <t>BRÄCKE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16117-2021</t>
        </is>
      </c>
      <c r="B742" s="1" t="n">
        <v>44291</v>
      </c>
      <c r="C742" s="1" t="n">
        <v>45847</v>
      </c>
      <c r="D742" t="inlineStr">
        <is>
          <t>JÄMTLANDS LÄN</t>
        </is>
      </c>
      <c r="E742" t="inlineStr">
        <is>
          <t>BRÄCKE</t>
        </is>
      </c>
      <c r="G742" t="n">
        <v>3.6</v>
      </c>
      <c r="H742" t="n">
        <v>0</v>
      </c>
      <c r="I742" t="n">
        <v>0</v>
      </c>
      <c r="J742" t="n">
        <v>0</v>
      </c>
      <c r="K742" t="n">
        <v>0</v>
      </c>
      <c r="L742" t="n">
        <v>0</v>
      </c>
      <c r="M742" t="n">
        <v>0</v>
      </c>
      <c r="N742" t="n">
        <v>0</v>
      </c>
      <c r="O742" t="n">
        <v>0</v>
      </c>
      <c r="P742" t="n">
        <v>0</v>
      </c>
      <c r="Q742" t="n">
        <v>0</v>
      </c>
      <c r="R742" s="2" t="inlineStr"/>
    </row>
    <row r="743" ht="15" customHeight="1">
      <c r="A743" t="inlineStr">
        <is>
          <t>A 16336-2021</t>
        </is>
      </c>
      <c r="B743" s="1" t="n">
        <v>44293</v>
      </c>
      <c r="C743" s="1" t="n">
        <v>45847</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16733-2021</t>
        </is>
      </c>
      <c r="B744" s="1" t="n">
        <v>44293</v>
      </c>
      <c r="C744" s="1" t="n">
        <v>45847</v>
      </c>
      <c r="D744" t="inlineStr">
        <is>
          <t>JÄMTLANDS LÄN</t>
        </is>
      </c>
      <c r="E744" t="inlineStr">
        <is>
          <t>BRÄCKE</t>
        </is>
      </c>
      <c r="G744" t="n">
        <v>4</v>
      </c>
      <c r="H744" t="n">
        <v>0</v>
      </c>
      <c r="I744" t="n">
        <v>0</v>
      </c>
      <c r="J744" t="n">
        <v>0</v>
      </c>
      <c r="K744" t="n">
        <v>0</v>
      </c>
      <c r="L744" t="n">
        <v>0</v>
      </c>
      <c r="M744" t="n">
        <v>0</v>
      </c>
      <c r="N744" t="n">
        <v>0</v>
      </c>
      <c r="O744" t="n">
        <v>0</v>
      </c>
      <c r="P744" t="n">
        <v>0</v>
      </c>
      <c r="Q744" t="n">
        <v>0</v>
      </c>
      <c r="R744" s="2" t="inlineStr"/>
    </row>
    <row r="745" ht="15" customHeight="1">
      <c r="A745" t="inlineStr">
        <is>
          <t>A 16723-2021</t>
        </is>
      </c>
      <c r="B745" s="1" t="n">
        <v>44293</v>
      </c>
      <c r="C745" s="1" t="n">
        <v>45847</v>
      </c>
      <c r="D745" t="inlineStr">
        <is>
          <t>JÄMTLANDS LÄN</t>
        </is>
      </c>
      <c r="E745" t="inlineStr">
        <is>
          <t>BRÄCKE</t>
        </is>
      </c>
      <c r="G745" t="n">
        <v>1.7</v>
      </c>
      <c r="H745" t="n">
        <v>0</v>
      </c>
      <c r="I745" t="n">
        <v>0</v>
      </c>
      <c r="J745" t="n">
        <v>0</v>
      </c>
      <c r="K745" t="n">
        <v>0</v>
      </c>
      <c r="L745" t="n">
        <v>0</v>
      </c>
      <c r="M745" t="n">
        <v>0</v>
      </c>
      <c r="N745" t="n">
        <v>0</v>
      </c>
      <c r="O745" t="n">
        <v>0</v>
      </c>
      <c r="P745" t="n">
        <v>0</v>
      </c>
      <c r="Q745" t="n">
        <v>0</v>
      </c>
      <c r="R745" s="2" t="inlineStr"/>
    </row>
    <row r="746" ht="15" customHeight="1">
      <c r="A746" t="inlineStr">
        <is>
          <t>A 16619-2021</t>
        </is>
      </c>
      <c r="B746" s="1" t="n">
        <v>44294</v>
      </c>
      <c r="C746" s="1" t="n">
        <v>45847</v>
      </c>
      <c r="D746" t="inlineStr">
        <is>
          <t>JÄMTLANDS LÄN</t>
        </is>
      </c>
      <c r="E746" t="inlineStr">
        <is>
          <t>BRÄCKE</t>
        </is>
      </c>
      <c r="G746" t="n">
        <v>10.3</v>
      </c>
      <c r="H746" t="n">
        <v>0</v>
      </c>
      <c r="I746" t="n">
        <v>0</v>
      </c>
      <c r="J746" t="n">
        <v>0</v>
      </c>
      <c r="K746" t="n">
        <v>0</v>
      </c>
      <c r="L746" t="n">
        <v>0</v>
      </c>
      <c r="M746" t="n">
        <v>0</v>
      </c>
      <c r="N746" t="n">
        <v>0</v>
      </c>
      <c r="O746" t="n">
        <v>0</v>
      </c>
      <c r="P746" t="n">
        <v>0</v>
      </c>
      <c r="Q746" t="n">
        <v>0</v>
      </c>
      <c r="R746" s="2" t="inlineStr"/>
    </row>
    <row r="747" ht="15" customHeight="1">
      <c r="A747" t="inlineStr">
        <is>
          <t>A 16781-2021</t>
        </is>
      </c>
      <c r="B747" s="1" t="n">
        <v>44295</v>
      </c>
      <c r="C747" s="1" t="n">
        <v>45847</v>
      </c>
      <c r="D747" t="inlineStr">
        <is>
          <t>JÄMTLANDS LÄN</t>
        </is>
      </c>
      <c r="E747" t="inlineStr">
        <is>
          <t>BRÄCKE</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17173-2021</t>
        </is>
      </c>
      <c r="B748" s="1" t="n">
        <v>44295</v>
      </c>
      <c r="C748" s="1" t="n">
        <v>45847</v>
      </c>
      <c r="D748" t="inlineStr">
        <is>
          <t>JÄMTLANDS LÄN</t>
        </is>
      </c>
      <c r="E748" t="inlineStr">
        <is>
          <t>BRÄCKE</t>
        </is>
      </c>
      <c r="G748" t="n">
        <v>4.3</v>
      </c>
      <c r="H748" t="n">
        <v>0</v>
      </c>
      <c r="I748" t="n">
        <v>0</v>
      </c>
      <c r="J748" t="n">
        <v>0</v>
      </c>
      <c r="K748" t="n">
        <v>0</v>
      </c>
      <c r="L748" t="n">
        <v>0</v>
      </c>
      <c r="M748" t="n">
        <v>0</v>
      </c>
      <c r="N748" t="n">
        <v>0</v>
      </c>
      <c r="O748" t="n">
        <v>0</v>
      </c>
      <c r="P748" t="n">
        <v>0</v>
      </c>
      <c r="Q748" t="n">
        <v>0</v>
      </c>
      <c r="R748" s="2" t="inlineStr"/>
    </row>
    <row r="749" ht="15" customHeight="1">
      <c r="A749" t="inlineStr">
        <is>
          <t>A 18006-2021</t>
        </is>
      </c>
      <c r="B749" s="1" t="n">
        <v>44301</v>
      </c>
      <c r="C749" s="1" t="n">
        <v>45847</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19088-2021</t>
        </is>
      </c>
      <c r="B750" s="1" t="n">
        <v>44308</v>
      </c>
      <c r="C750" s="1" t="n">
        <v>45847</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20803-2021</t>
        </is>
      </c>
      <c r="B751" s="1" t="n">
        <v>44316</v>
      </c>
      <c r="C751" s="1" t="n">
        <v>45847</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21034-2021</t>
        </is>
      </c>
      <c r="B752" s="1" t="n">
        <v>44319</v>
      </c>
      <c r="C752" s="1" t="n">
        <v>45847</v>
      </c>
      <c r="D752" t="inlineStr">
        <is>
          <t>JÄMTLANDS LÄN</t>
        </is>
      </c>
      <c r="E752" t="inlineStr">
        <is>
          <t>BRÄCKE</t>
        </is>
      </c>
      <c r="G752" t="n">
        <v>3.3</v>
      </c>
      <c r="H752" t="n">
        <v>0</v>
      </c>
      <c r="I752" t="n">
        <v>0</v>
      </c>
      <c r="J752" t="n">
        <v>0</v>
      </c>
      <c r="K752" t="n">
        <v>0</v>
      </c>
      <c r="L752" t="n">
        <v>0</v>
      </c>
      <c r="M752" t="n">
        <v>0</v>
      </c>
      <c r="N752" t="n">
        <v>0</v>
      </c>
      <c r="O752" t="n">
        <v>0</v>
      </c>
      <c r="P752" t="n">
        <v>0</v>
      </c>
      <c r="Q752" t="n">
        <v>0</v>
      </c>
      <c r="R752" s="2" t="inlineStr"/>
    </row>
    <row r="753" ht="15" customHeight="1">
      <c r="A753" t="inlineStr">
        <is>
          <t>A 21019-2021</t>
        </is>
      </c>
      <c r="B753" s="1" t="n">
        <v>44319</v>
      </c>
      <c r="C753" s="1" t="n">
        <v>45847</v>
      </c>
      <c r="D753" t="inlineStr">
        <is>
          <t>JÄMTLANDS LÄN</t>
        </is>
      </c>
      <c r="E753" t="inlineStr">
        <is>
          <t>BRÄCKE</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21366-2021</t>
        </is>
      </c>
      <c r="B754" s="1" t="n">
        <v>44320</v>
      </c>
      <c r="C754" s="1" t="n">
        <v>45847</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21637-2021</t>
        </is>
      </c>
      <c r="B755" s="1" t="n">
        <v>44321</v>
      </c>
      <c r="C755" s="1" t="n">
        <v>45847</v>
      </c>
      <c r="D755" t="inlineStr">
        <is>
          <t>JÄMTLANDS LÄN</t>
        </is>
      </c>
      <c r="E755" t="inlineStr">
        <is>
          <t>BRÄCKE</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21940-2021</t>
        </is>
      </c>
      <c r="B756" s="1" t="n">
        <v>44323</v>
      </c>
      <c r="C756" s="1" t="n">
        <v>45847</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22124-2021</t>
        </is>
      </c>
      <c r="B757" s="1" t="n">
        <v>44323</v>
      </c>
      <c r="C757" s="1" t="n">
        <v>45847</v>
      </c>
      <c r="D757" t="inlineStr">
        <is>
          <t>JÄMTLANDS LÄN</t>
        </is>
      </c>
      <c r="E757" t="inlineStr">
        <is>
          <t>BRÄCKE</t>
        </is>
      </c>
      <c r="G757" t="n">
        <v>1.7</v>
      </c>
      <c r="H757" t="n">
        <v>0</v>
      </c>
      <c r="I757" t="n">
        <v>0</v>
      </c>
      <c r="J757" t="n">
        <v>0</v>
      </c>
      <c r="K757" t="n">
        <v>0</v>
      </c>
      <c r="L757" t="n">
        <v>0</v>
      </c>
      <c r="M757" t="n">
        <v>0</v>
      </c>
      <c r="N757" t="n">
        <v>0</v>
      </c>
      <c r="O757" t="n">
        <v>0</v>
      </c>
      <c r="P757" t="n">
        <v>0</v>
      </c>
      <c r="Q757" t="n">
        <v>0</v>
      </c>
      <c r="R757" s="2" t="inlineStr"/>
    </row>
    <row r="758" ht="15" customHeight="1">
      <c r="A758" t="inlineStr">
        <is>
          <t>A 23013-2021</t>
        </is>
      </c>
      <c r="B758" s="1" t="n">
        <v>44328</v>
      </c>
      <c r="C758" s="1" t="n">
        <v>45847</v>
      </c>
      <c r="D758" t="inlineStr">
        <is>
          <t>JÄMTLANDS LÄN</t>
        </is>
      </c>
      <c r="E758" t="inlineStr">
        <is>
          <t>BRÄCKE</t>
        </is>
      </c>
      <c r="G758" t="n">
        <v>8.4</v>
      </c>
      <c r="H758" t="n">
        <v>0</v>
      </c>
      <c r="I758" t="n">
        <v>0</v>
      </c>
      <c r="J758" t="n">
        <v>0</v>
      </c>
      <c r="K758" t="n">
        <v>0</v>
      </c>
      <c r="L758" t="n">
        <v>0</v>
      </c>
      <c r="M758" t="n">
        <v>0</v>
      </c>
      <c r="N758" t="n">
        <v>0</v>
      </c>
      <c r="O758" t="n">
        <v>0</v>
      </c>
      <c r="P758" t="n">
        <v>0</v>
      </c>
      <c r="Q758" t="n">
        <v>0</v>
      </c>
      <c r="R758" s="2" t="inlineStr"/>
    </row>
    <row r="759" ht="15" customHeight="1">
      <c r="A759" t="inlineStr">
        <is>
          <t>A 23746-2021</t>
        </is>
      </c>
      <c r="B759" s="1" t="n">
        <v>44335</v>
      </c>
      <c r="C759" s="1" t="n">
        <v>45847</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23747-2021</t>
        </is>
      </c>
      <c r="B760" s="1" t="n">
        <v>44334</v>
      </c>
      <c r="C760" s="1" t="n">
        <v>45847</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24254-2021</t>
        </is>
      </c>
      <c r="B761" s="1" t="n">
        <v>44337</v>
      </c>
      <c r="C761" s="1" t="n">
        <v>45847</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24240-2021</t>
        </is>
      </c>
      <c r="B762" s="1" t="n">
        <v>44336</v>
      </c>
      <c r="C762" s="1" t="n">
        <v>45847</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24950-2021</t>
        </is>
      </c>
      <c r="B763" s="1" t="n">
        <v>44341</v>
      </c>
      <c r="C763" s="1" t="n">
        <v>45847</v>
      </c>
      <c r="D763" t="inlineStr">
        <is>
          <t>JÄMTLANDS LÄN</t>
        </is>
      </c>
      <c r="E763" t="inlineStr">
        <is>
          <t>BRÄCKE</t>
        </is>
      </c>
      <c r="F763" t="inlineStr">
        <is>
          <t>Kyrkan</t>
        </is>
      </c>
      <c r="G763" t="n">
        <v>15.3</v>
      </c>
      <c r="H763" t="n">
        <v>0</v>
      </c>
      <c r="I763" t="n">
        <v>0</v>
      </c>
      <c r="J763" t="n">
        <v>0</v>
      </c>
      <c r="K763" t="n">
        <v>0</v>
      </c>
      <c r="L763" t="n">
        <v>0</v>
      </c>
      <c r="M763" t="n">
        <v>0</v>
      </c>
      <c r="N763" t="n">
        <v>0</v>
      </c>
      <c r="O763" t="n">
        <v>0</v>
      </c>
      <c r="P763" t="n">
        <v>0</v>
      </c>
      <c r="Q763" t="n">
        <v>0</v>
      </c>
      <c r="R763" s="2" t="inlineStr"/>
    </row>
    <row r="764" ht="15" customHeight="1">
      <c r="A764" t="inlineStr">
        <is>
          <t>A 26664-2021</t>
        </is>
      </c>
      <c r="B764" s="1" t="n">
        <v>44348</v>
      </c>
      <c r="C764" s="1" t="n">
        <v>45847</v>
      </c>
      <c r="D764" t="inlineStr">
        <is>
          <t>JÄMTLANDS LÄN</t>
        </is>
      </c>
      <c r="E764" t="inlineStr">
        <is>
          <t>BRÄCKE</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26665-2021</t>
        </is>
      </c>
      <c r="B765" s="1" t="n">
        <v>44348</v>
      </c>
      <c r="C765" s="1" t="n">
        <v>45847</v>
      </c>
      <c r="D765" t="inlineStr">
        <is>
          <t>JÄMTLANDS LÄN</t>
        </is>
      </c>
      <c r="E765" t="inlineStr">
        <is>
          <t>BRÄCKE</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26666-2021</t>
        </is>
      </c>
      <c r="B766" s="1" t="n">
        <v>44349</v>
      </c>
      <c r="C766" s="1" t="n">
        <v>45847</v>
      </c>
      <c r="D766" t="inlineStr">
        <is>
          <t>JÄMTLANDS LÄN</t>
        </is>
      </c>
      <c r="E766" t="inlineStr">
        <is>
          <t>BRÄCKE</t>
        </is>
      </c>
      <c r="G766" t="n">
        <v>26.3</v>
      </c>
      <c r="H766" t="n">
        <v>0</v>
      </c>
      <c r="I766" t="n">
        <v>0</v>
      </c>
      <c r="J766" t="n">
        <v>0</v>
      </c>
      <c r="K766" t="n">
        <v>0</v>
      </c>
      <c r="L766" t="n">
        <v>0</v>
      </c>
      <c r="M766" t="n">
        <v>0</v>
      </c>
      <c r="N766" t="n">
        <v>0</v>
      </c>
      <c r="O766" t="n">
        <v>0</v>
      </c>
      <c r="P766" t="n">
        <v>0</v>
      </c>
      <c r="Q766" t="n">
        <v>0</v>
      </c>
      <c r="R766" s="2" t="inlineStr"/>
    </row>
    <row r="767" ht="15" customHeight="1">
      <c r="A767" t="inlineStr">
        <is>
          <t>A 27257-2021</t>
        </is>
      </c>
      <c r="B767" s="1" t="n">
        <v>44350</v>
      </c>
      <c r="C767" s="1" t="n">
        <v>45847</v>
      </c>
      <c r="D767" t="inlineStr">
        <is>
          <t>JÄMTLANDS LÄN</t>
        </is>
      </c>
      <c r="E767" t="inlineStr">
        <is>
          <t>BRÄCKE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27261-2021</t>
        </is>
      </c>
      <c r="B768" s="1" t="n">
        <v>44351</v>
      </c>
      <c r="C768" s="1" t="n">
        <v>45847</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27258-2021</t>
        </is>
      </c>
      <c r="B769" s="1" t="n">
        <v>44351</v>
      </c>
      <c r="C769" s="1" t="n">
        <v>45847</v>
      </c>
      <c r="D769" t="inlineStr">
        <is>
          <t>JÄMTLANDS LÄN</t>
        </is>
      </c>
      <c r="E769" t="inlineStr">
        <is>
          <t>BRÄCKE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27256-2021</t>
        </is>
      </c>
      <c r="B770" s="1" t="n">
        <v>44350</v>
      </c>
      <c r="C770" s="1" t="n">
        <v>45847</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28616-2021</t>
        </is>
      </c>
      <c r="B771" s="1" t="n">
        <v>44357</v>
      </c>
      <c r="C771" s="1" t="n">
        <v>45847</v>
      </c>
      <c r="D771" t="inlineStr">
        <is>
          <t>JÄMTLANDS LÄN</t>
        </is>
      </c>
      <c r="E771" t="inlineStr">
        <is>
          <t>BRÄCKE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28617-2021</t>
        </is>
      </c>
      <c r="B772" s="1" t="n">
        <v>44356</v>
      </c>
      <c r="C772" s="1" t="n">
        <v>45847</v>
      </c>
      <c r="D772" t="inlineStr">
        <is>
          <t>JÄMTLANDS LÄN</t>
        </is>
      </c>
      <c r="E772" t="inlineStr">
        <is>
          <t>BRÄCKE</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28619-2021</t>
        </is>
      </c>
      <c r="B773" s="1" t="n">
        <v>44356</v>
      </c>
      <c r="C773" s="1" t="n">
        <v>45847</v>
      </c>
      <c r="D773" t="inlineStr">
        <is>
          <t>JÄMTLANDS LÄN</t>
        </is>
      </c>
      <c r="E773" t="inlineStr">
        <is>
          <t>BRÄCKE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28909-2021</t>
        </is>
      </c>
      <c r="B774" s="1" t="n">
        <v>44357</v>
      </c>
      <c r="C774" s="1" t="n">
        <v>45847</v>
      </c>
      <c r="D774" t="inlineStr">
        <is>
          <t>JÄMTLANDS LÄN</t>
        </is>
      </c>
      <c r="E774" t="inlineStr">
        <is>
          <t>BRÄCKE</t>
        </is>
      </c>
      <c r="F774" t="inlineStr">
        <is>
          <t>SCA</t>
        </is>
      </c>
      <c r="G774" t="n">
        <v>11.2</v>
      </c>
      <c r="H774" t="n">
        <v>0</v>
      </c>
      <c r="I774" t="n">
        <v>0</v>
      </c>
      <c r="J774" t="n">
        <v>0</v>
      </c>
      <c r="K774" t="n">
        <v>0</v>
      </c>
      <c r="L774" t="n">
        <v>0</v>
      </c>
      <c r="M774" t="n">
        <v>0</v>
      </c>
      <c r="N774" t="n">
        <v>0</v>
      </c>
      <c r="O774" t="n">
        <v>0</v>
      </c>
      <c r="P774" t="n">
        <v>0</v>
      </c>
      <c r="Q774" t="n">
        <v>0</v>
      </c>
      <c r="R774" s="2" t="inlineStr"/>
      <c r="U774">
        <f>HYPERLINK("https://klasma.github.io/Logging_2305/knärot/A 28909-2021 karta knärot.png", "A 28909-2021")</f>
        <v/>
      </c>
      <c r="V774">
        <f>HYPERLINK("https://klasma.github.io/Logging_2305/klagomål/A 28909-2021 FSC-klagomål.docx", "A 28909-2021")</f>
        <v/>
      </c>
      <c r="W774">
        <f>HYPERLINK("https://klasma.github.io/Logging_2305/klagomålsmail/A 28909-2021 FSC-klagomål mail.docx", "A 28909-2021")</f>
        <v/>
      </c>
      <c r="X774">
        <f>HYPERLINK("https://klasma.github.io/Logging_2305/tillsyn/A 28909-2021 tillsynsbegäran.docx", "A 28909-2021")</f>
        <v/>
      </c>
      <c r="Y774">
        <f>HYPERLINK("https://klasma.github.io/Logging_2305/tillsynsmail/A 28909-2021 tillsynsbegäran mail.docx", "A 28909-2021")</f>
        <v/>
      </c>
    </row>
    <row r="775" ht="15" customHeight="1">
      <c r="A775" t="inlineStr">
        <is>
          <t>A 28903-2021</t>
        </is>
      </c>
      <c r="B775" s="1" t="n">
        <v>44357</v>
      </c>
      <c r="C775" s="1" t="n">
        <v>45847</v>
      </c>
      <c r="D775" t="inlineStr">
        <is>
          <t>JÄMTLANDS LÄN</t>
        </is>
      </c>
      <c r="E775" t="inlineStr">
        <is>
          <t>BRÄCKE</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29314-2021</t>
        </is>
      </c>
      <c r="B776" s="1" t="n">
        <v>44361</v>
      </c>
      <c r="C776" s="1" t="n">
        <v>45847</v>
      </c>
      <c r="D776" t="inlineStr">
        <is>
          <t>JÄMTLANDS LÄN</t>
        </is>
      </c>
      <c r="E776" t="inlineStr">
        <is>
          <t>BRÄCKE</t>
        </is>
      </c>
      <c r="G776" t="n">
        <v>10.7</v>
      </c>
      <c r="H776" t="n">
        <v>0</v>
      </c>
      <c r="I776" t="n">
        <v>0</v>
      </c>
      <c r="J776" t="n">
        <v>0</v>
      </c>
      <c r="K776" t="n">
        <v>0</v>
      </c>
      <c r="L776" t="n">
        <v>0</v>
      </c>
      <c r="M776" t="n">
        <v>0</v>
      </c>
      <c r="N776" t="n">
        <v>0</v>
      </c>
      <c r="O776" t="n">
        <v>0</v>
      </c>
      <c r="P776" t="n">
        <v>0</v>
      </c>
      <c r="Q776" t="n">
        <v>0</v>
      </c>
      <c r="R776" s="2" t="inlineStr"/>
    </row>
    <row r="777" ht="15" customHeight="1">
      <c r="A777" t="inlineStr">
        <is>
          <t>A 29603-2021</t>
        </is>
      </c>
      <c r="B777" s="1" t="n">
        <v>44361</v>
      </c>
      <c r="C777" s="1" t="n">
        <v>45847</v>
      </c>
      <c r="D777" t="inlineStr">
        <is>
          <t>JÄMTLANDS LÄN</t>
        </is>
      </c>
      <c r="E777" t="inlineStr">
        <is>
          <t>BRÄCKE</t>
        </is>
      </c>
      <c r="F777" t="inlineStr">
        <is>
          <t>Naturvårdsverket</t>
        </is>
      </c>
      <c r="G777" t="n">
        <v>3.9</v>
      </c>
      <c r="H777" t="n">
        <v>0</v>
      </c>
      <c r="I777" t="n">
        <v>0</v>
      </c>
      <c r="J777" t="n">
        <v>0</v>
      </c>
      <c r="K777" t="n">
        <v>0</v>
      </c>
      <c r="L777" t="n">
        <v>0</v>
      </c>
      <c r="M777" t="n">
        <v>0</v>
      </c>
      <c r="N777" t="n">
        <v>0</v>
      </c>
      <c r="O777" t="n">
        <v>0</v>
      </c>
      <c r="P777" t="n">
        <v>0</v>
      </c>
      <c r="Q777" t="n">
        <v>0</v>
      </c>
      <c r="R777" s="2" t="inlineStr"/>
    </row>
    <row r="778" ht="15" customHeight="1">
      <c r="A778" t="inlineStr">
        <is>
          <t>A 29611-2021</t>
        </is>
      </c>
      <c r="B778" s="1" t="n">
        <v>44361</v>
      </c>
      <c r="C778" s="1" t="n">
        <v>45847</v>
      </c>
      <c r="D778" t="inlineStr">
        <is>
          <t>JÄMTLANDS LÄN</t>
        </is>
      </c>
      <c r="E778" t="inlineStr">
        <is>
          <t>BRÄCKE</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29929-2021</t>
        </is>
      </c>
      <c r="B779" s="1" t="n">
        <v>44362</v>
      </c>
      <c r="C779" s="1" t="n">
        <v>45847</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29930-2021</t>
        </is>
      </c>
      <c r="B780" s="1" t="n">
        <v>44362</v>
      </c>
      <c r="C780" s="1" t="n">
        <v>45847</v>
      </c>
      <c r="D780" t="inlineStr">
        <is>
          <t>JÄMTLANDS LÄN</t>
        </is>
      </c>
      <c r="E780" t="inlineStr">
        <is>
          <t>BRÄCKE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30108-2021</t>
        </is>
      </c>
      <c r="B781" s="1" t="n">
        <v>44363</v>
      </c>
      <c r="C781" s="1" t="n">
        <v>45847</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30102-2021</t>
        </is>
      </c>
      <c r="B782" s="1" t="n">
        <v>44363</v>
      </c>
      <c r="C782" s="1" t="n">
        <v>45847</v>
      </c>
      <c r="D782" t="inlineStr">
        <is>
          <t>JÄMTLANDS LÄN</t>
        </is>
      </c>
      <c r="E782" t="inlineStr">
        <is>
          <t>BRÄCKE</t>
        </is>
      </c>
      <c r="G782" t="n">
        <v>1.3</v>
      </c>
      <c r="H782" t="n">
        <v>0</v>
      </c>
      <c r="I782" t="n">
        <v>0</v>
      </c>
      <c r="J782" t="n">
        <v>0</v>
      </c>
      <c r="K782" t="n">
        <v>0</v>
      </c>
      <c r="L782" t="n">
        <v>0</v>
      </c>
      <c r="M782" t="n">
        <v>0</v>
      </c>
      <c r="N782" t="n">
        <v>0</v>
      </c>
      <c r="O782" t="n">
        <v>0</v>
      </c>
      <c r="P782" t="n">
        <v>0</v>
      </c>
      <c r="Q782" t="n">
        <v>0</v>
      </c>
      <c r="R782" s="2" t="inlineStr"/>
    </row>
    <row r="783" ht="15" customHeight="1">
      <c r="A783" t="inlineStr">
        <is>
          <t>A 30592-2021</t>
        </is>
      </c>
      <c r="B783" s="1" t="n">
        <v>44365</v>
      </c>
      <c r="C783" s="1" t="n">
        <v>45847</v>
      </c>
      <c r="D783" t="inlineStr">
        <is>
          <t>JÄMTLANDS LÄN</t>
        </is>
      </c>
      <c r="E783" t="inlineStr">
        <is>
          <t>BRÄCKE</t>
        </is>
      </c>
      <c r="F783" t="inlineStr">
        <is>
          <t>SCA</t>
        </is>
      </c>
      <c r="G783" t="n">
        <v>22.4</v>
      </c>
      <c r="H783" t="n">
        <v>0</v>
      </c>
      <c r="I783" t="n">
        <v>0</v>
      </c>
      <c r="J783" t="n">
        <v>0</v>
      </c>
      <c r="K783" t="n">
        <v>0</v>
      </c>
      <c r="L783" t="n">
        <v>0</v>
      </c>
      <c r="M783" t="n">
        <v>0</v>
      </c>
      <c r="N783" t="n">
        <v>0</v>
      </c>
      <c r="O783" t="n">
        <v>0</v>
      </c>
      <c r="P783" t="n">
        <v>0</v>
      </c>
      <c r="Q783" t="n">
        <v>0</v>
      </c>
      <c r="R783" s="2" t="inlineStr"/>
    </row>
    <row r="784" ht="15" customHeight="1">
      <c r="A784" t="inlineStr">
        <is>
          <t>A 31093-2021</t>
        </is>
      </c>
      <c r="B784" s="1" t="n">
        <v>44368</v>
      </c>
      <c r="C784" s="1" t="n">
        <v>45847</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31342-2021</t>
        </is>
      </c>
      <c r="B785" s="1" t="n">
        <v>44369</v>
      </c>
      <c r="C785" s="1" t="n">
        <v>45847</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32101-2021</t>
        </is>
      </c>
      <c r="B786" s="1" t="n">
        <v>44371</v>
      </c>
      <c r="C786" s="1" t="n">
        <v>45847</v>
      </c>
      <c r="D786" t="inlineStr">
        <is>
          <t>JÄMTLANDS LÄN</t>
        </is>
      </c>
      <c r="E786" t="inlineStr">
        <is>
          <t>BRÄCKE</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32471-2021</t>
        </is>
      </c>
      <c r="B787" s="1" t="n">
        <v>44371</v>
      </c>
      <c r="C787" s="1" t="n">
        <v>45847</v>
      </c>
      <c r="D787" t="inlineStr">
        <is>
          <t>JÄMTLANDS LÄN</t>
        </is>
      </c>
      <c r="E787" t="inlineStr">
        <is>
          <t>BRÄCKE</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33221-2021</t>
        </is>
      </c>
      <c r="B788" s="1" t="n">
        <v>44376</v>
      </c>
      <c r="C788" s="1" t="n">
        <v>45847</v>
      </c>
      <c r="D788" t="inlineStr">
        <is>
          <t>JÄMTLANDS LÄN</t>
        </is>
      </c>
      <c r="E788" t="inlineStr">
        <is>
          <t>BRÄCKE</t>
        </is>
      </c>
      <c r="F788" t="inlineStr">
        <is>
          <t>SCA</t>
        </is>
      </c>
      <c r="G788" t="n">
        <v>11.4</v>
      </c>
      <c r="H788" t="n">
        <v>0</v>
      </c>
      <c r="I788" t="n">
        <v>0</v>
      </c>
      <c r="J788" t="n">
        <v>0</v>
      </c>
      <c r="K788" t="n">
        <v>0</v>
      </c>
      <c r="L788" t="n">
        <v>0</v>
      </c>
      <c r="M788" t="n">
        <v>0</v>
      </c>
      <c r="N788" t="n">
        <v>0</v>
      </c>
      <c r="O788" t="n">
        <v>0</v>
      </c>
      <c r="P788" t="n">
        <v>0</v>
      </c>
      <c r="Q788" t="n">
        <v>0</v>
      </c>
      <c r="R788" s="2" t="inlineStr"/>
      <c r="U788">
        <f>HYPERLINK("https://klasma.github.io/Logging_2305/knärot/A 33221-2021 karta knärot.png", "A 33221-2021")</f>
        <v/>
      </c>
      <c r="V788">
        <f>HYPERLINK("https://klasma.github.io/Logging_2305/klagomål/A 33221-2021 FSC-klagomål.docx", "A 33221-2021")</f>
        <v/>
      </c>
      <c r="W788">
        <f>HYPERLINK("https://klasma.github.io/Logging_2305/klagomålsmail/A 33221-2021 FSC-klagomål mail.docx", "A 33221-2021")</f>
        <v/>
      </c>
      <c r="X788">
        <f>HYPERLINK("https://klasma.github.io/Logging_2305/tillsyn/A 33221-2021 tillsynsbegäran.docx", "A 33221-2021")</f>
        <v/>
      </c>
      <c r="Y788">
        <f>HYPERLINK("https://klasma.github.io/Logging_2305/tillsynsmail/A 33221-2021 tillsynsbegäran mail.docx", "A 33221-2021")</f>
        <v/>
      </c>
    </row>
    <row r="789" ht="15" customHeight="1">
      <c r="A789" t="inlineStr">
        <is>
          <t>A 33538-2021</t>
        </is>
      </c>
      <c r="B789" s="1" t="n">
        <v>44377</v>
      </c>
      <c r="C789" s="1" t="n">
        <v>45847</v>
      </c>
      <c r="D789" t="inlineStr">
        <is>
          <t>JÄMTLANDS LÄN</t>
        </is>
      </c>
      <c r="E789" t="inlineStr">
        <is>
          <t>BRÄCKE</t>
        </is>
      </c>
      <c r="G789" t="n">
        <v>6.9</v>
      </c>
      <c r="H789" t="n">
        <v>0</v>
      </c>
      <c r="I789" t="n">
        <v>0</v>
      </c>
      <c r="J789" t="n">
        <v>0</v>
      </c>
      <c r="K789" t="n">
        <v>0</v>
      </c>
      <c r="L789" t="n">
        <v>0</v>
      </c>
      <c r="M789" t="n">
        <v>0</v>
      </c>
      <c r="N789" t="n">
        <v>0</v>
      </c>
      <c r="O789" t="n">
        <v>0</v>
      </c>
      <c r="P789" t="n">
        <v>0</v>
      </c>
      <c r="Q789" t="n">
        <v>0</v>
      </c>
      <c r="R789" s="2" t="inlineStr"/>
    </row>
    <row r="790" ht="15" customHeight="1">
      <c r="A790" t="inlineStr">
        <is>
          <t>A 34409-2021</t>
        </is>
      </c>
      <c r="B790" s="1" t="n">
        <v>44379</v>
      </c>
      <c r="C790" s="1" t="n">
        <v>45847</v>
      </c>
      <c r="D790" t="inlineStr">
        <is>
          <t>JÄMTLANDS LÄN</t>
        </is>
      </c>
      <c r="E790" t="inlineStr">
        <is>
          <t>BRÄCKE</t>
        </is>
      </c>
      <c r="F790" t="inlineStr">
        <is>
          <t>SCA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34410-2021</t>
        </is>
      </c>
      <c r="B791" s="1" t="n">
        <v>44380</v>
      </c>
      <c r="C791" s="1" t="n">
        <v>45847</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34873-2021</t>
        </is>
      </c>
      <c r="B792" s="1" t="n">
        <v>44382</v>
      </c>
      <c r="C792" s="1" t="n">
        <v>45847</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35244-2021</t>
        </is>
      </c>
      <c r="B793" s="1" t="n">
        <v>44384</v>
      </c>
      <c r="C793" s="1" t="n">
        <v>45847</v>
      </c>
      <c r="D793" t="inlineStr">
        <is>
          <t>JÄMTLANDS LÄN</t>
        </is>
      </c>
      <c r="E793" t="inlineStr">
        <is>
          <t>BRÄCKE</t>
        </is>
      </c>
      <c r="G793" t="n">
        <v>0.5</v>
      </c>
      <c r="H793" t="n">
        <v>0</v>
      </c>
      <c r="I793" t="n">
        <v>0</v>
      </c>
      <c r="J793" t="n">
        <v>0</v>
      </c>
      <c r="K793" t="n">
        <v>0</v>
      </c>
      <c r="L793" t="n">
        <v>0</v>
      </c>
      <c r="M793" t="n">
        <v>0</v>
      </c>
      <c r="N793" t="n">
        <v>0</v>
      </c>
      <c r="O793" t="n">
        <v>0</v>
      </c>
      <c r="P793" t="n">
        <v>0</v>
      </c>
      <c r="Q793" t="n">
        <v>0</v>
      </c>
      <c r="R793" s="2" t="inlineStr"/>
    </row>
    <row r="794" ht="15" customHeight="1">
      <c r="A794" t="inlineStr">
        <is>
          <t>A 35252-2021</t>
        </is>
      </c>
      <c r="B794" s="1" t="n">
        <v>44384</v>
      </c>
      <c r="C794" s="1" t="n">
        <v>45847</v>
      </c>
      <c r="D794" t="inlineStr">
        <is>
          <t>JÄMTLANDS LÄN</t>
        </is>
      </c>
      <c r="E794" t="inlineStr">
        <is>
          <t>BRÄCKE</t>
        </is>
      </c>
      <c r="G794" t="n">
        <v>1.9</v>
      </c>
      <c r="H794" t="n">
        <v>0</v>
      </c>
      <c r="I794" t="n">
        <v>0</v>
      </c>
      <c r="J794" t="n">
        <v>0</v>
      </c>
      <c r="K794" t="n">
        <v>0</v>
      </c>
      <c r="L794" t="n">
        <v>0</v>
      </c>
      <c r="M794" t="n">
        <v>0</v>
      </c>
      <c r="N794" t="n">
        <v>0</v>
      </c>
      <c r="O794" t="n">
        <v>0</v>
      </c>
      <c r="P794" t="n">
        <v>0</v>
      </c>
      <c r="Q794" t="n">
        <v>0</v>
      </c>
      <c r="R794" s="2" t="inlineStr"/>
    </row>
    <row r="795" ht="15" customHeight="1">
      <c r="A795" t="inlineStr">
        <is>
          <t>A 35564-2021</t>
        </is>
      </c>
      <c r="B795" s="1" t="n">
        <v>44386</v>
      </c>
      <c r="C795" s="1" t="n">
        <v>45847</v>
      </c>
      <c r="D795" t="inlineStr">
        <is>
          <t>JÄMTLANDS LÄN</t>
        </is>
      </c>
      <c r="E795" t="inlineStr">
        <is>
          <t>BRÄCKE</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36445-2021</t>
        </is>
      </c>
      <c r="B796" s="1" t="n">
        <v>44391</v>
      </c>
      <c r="C796" s="1" t="n">
        <v>45847</v>
      </c>
      <c r="D796" t="inlineStr">
        <is>
          <t>JÄMTLANDS LÄN</t>
        </is>
      </c>
      <c r="E796" t="inlineStr">
        <is>
          <t>BRÄCKE</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36819-2021</t>
        </is>
      </c>
      <c r="B797" s="1" t="n">
        <v>44392</v>
      </c>
      <c r="C797" s="1" t="n">
        <v>45847</v>
      </c>
      <c r="D797" t="inlineStr">
        <is>
          <t>JÄMTLANDS LÄN</t>
        </is>
      </c>
      <c r="E797" t="inlineStr">
        <is>
          <t>BRÄCKE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37053-2021</t>
        </is>
      </c>
      <c r="B798" s="1" t="n">
        <v>44394</v>
      </c>
      <c r="C798" s="1" t="n">
        <v>45847</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37048-2021</t>
        </is>
      </c>
      <c r="B799" s="1" t="n">
        <v>44394</v>
      </c>
      <c r="C799" s="1" t="n">
        <v>45847</v>
      </c>
      <c r="D799" t="inlineStr">
        <is>
          <t>JÄMTLANDS LÄN</t>
        </is>
      </c>
      <c r="E799" t="inlineStr">
        <is>
          <t>BRÄCKE</t>
        </is>
      </c>
      <c r="F799" t="inlineStr">
        <is>
          <t>SCA</t>
        </is>
      </c>
      <c r="G799" t="n">
        <v>5.5</v>
      </c>
      <c r="H799" t="n">
        <v>0</v>
      </c>
      <c r="I799" t="n">
        <v>0</v>
      </c>
      <c r="J799" t="n">
        <v>0</v>
      </c>
      <c r="K799" t="n">
        <v>0</v>
      </c>
      <c r="L799" t="n">
        <v>0</v>
      </c>
      <c r="M799" t="n">
        <v>0</v>
      </c>
      <c r="N799" t="n">
        <v>0</v>
      </c>
      <c r="O799" t="n">
        <v>0</v>
      </c>
      <c r="P799" t="n">
        <v>0</v>
      </c>
      <c r="Q799" t="n">
        <v>0</v>
      </c>
      <c r="R799" s="2" t="inlineStr"/>
    </row>
    <row r="800" ht="15" customHeight="1">
      <c r="A800" t="inlineStr">
        <is>
          <t>A 37238-2021</t>
        </is>
      </c>
      <c r="B800" s="1" t="n">
        <v>44397</v>
      </c>
      <c r="C800" s="1" t="n">
        <v>45847</v>
      </c>
      <c r="D800" t="inlineStr">
        <is>
          <t>JÄMTLANDS LÄN</t>
        </is>
      </c>
      <c r="E800" t="inlineStr">
        <is>
          <t>BRÄCKE</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37376-2021</t>
        </is>
      </c>
      <c r="B801" s="1" t="n">
        <v>44397</v>
      </c>
      <c r="C801" s="1" t="n">
        <v>45847</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37375-2021</t>
        </is>
      </c>
      <c r="B802" s="1" t="n">
        <v>44397</v>
      </c>
      <c r="C802" s="1" t="n">
        <v>45847</v>
      </c>
      <c r="D802" t="inlineStr">
        <is>
          <t>JÄMTLANDS LÄN</t>
        </is>
      </c>
      <c r="E802" t="inlineStr">
        <is>
          <t>BRÄCKE</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37479-2021</t>
        </is>
      </c>
      <c r="B803" s="1" t="n">
        <v>44398</v>
      </c>
      <c r="C803" s="1" t="n">
        <v>45847</v>
      </c>
      <c r="D803" t="inlineStr">
        <is>
          <t>JÄMTLANDS LÄN</t>
        </is>
      </c>
      <c r="E803" t="inlineStr">
        <is>
          <t>BRÄCKE</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37957-2021</t>
        </is>
      </c>
      <c r="B804" s="1" t="n">
        <v>44403</v>
      </c>
      <c r="C804" s="1" t="n">
        <v>45847</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38280-2021</t>
        </is>
      </c>
      <c r="B805" s="1" t="n">
        <v>44405</v>
      </c>
      <c r="C805" s="1" t="n">
        <v>45847</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38285-2021</t>
        </is>
      </c>
      <c r="B806" s="1" t="n">
        <v>44405</v>
      </c>
      <c r="C806" s="1" t="n">
        <v>45847</v>
      </c>
      <c r="D806" t="inlineStr">
        <is>
          <t>JÄMTLANDS LÄN</t>
        </is>
      </c>
      <c r="E806" t="inlineStr">
        <is>
          <t>BRÄCKE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38281-2021</t>
        </is>
      </c>
      <c r="B807" s="1" t="n">
        <v>44405</v>
      </c>
      <c r="C807" s="1" t="n">
        <v>45847</v>
      </c>
      <c r="D807" t="inlineStr">
        <is>
          <t>JÄMTLANDS LÄN</t>
        </is>
      </c>
      <c r="E807" t="inlineStr">
        <is>
          <t>BRÄCKE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38424-2021</t>
        </is>
      </c>
      <c r="B808" s="1" t="n">
        <v>44407</v>
      </c>
      <c r="C808" s="1" t="n">
        <v>45847</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38593-2021</t>
        </is>
      </c>
      <c r="B809" s="1" t="n">
        <v>44407</v>
      </c>
      <c r="C809" s="1" t="n">
        <v>45847</v>
      </c>
      <c r="D809" t="inlineStr">
        <is>
          <t>JÄMTLANDS LÄN</t>
        </is>
      </c>
      <c r="E809" t="inlineStr">
        <is>
          <t>BRÄCKE</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38956-2021</t>
        </is>
      </c>
      <c r="B810" s="1" t="n">
        <v>44411</v>
      </c>
      <c r="C810" s="1" t="n">
        <v>45847</v>
      </c>
      <c r="D810" t="inlineStr">
        <is>
          <t>JÄMTLANDS LÄN</t>
        </is>
      </c>
      <c r="E810" t="inlineStr">
        <is>
          <t>BRÄCKE</t>
        </is>
      </c>
      <c r="G810" t="n">
        <v>1.6</v>
      </c>
      <c r="H810" t="n">
        <v>0</v>
      </c>
      <c r="I810" t="n">
        <v>0</v>
      </c>
      <c r="J810" t="n">
        <v>0</v>
      </c>
      <c r="K810" t="n">
        <v>0</v>
      </c>
      <c r="L810" t="n">
        <v>0</v>
      </c>
      <c r="M810" t="n">
        <v>0</v>
      </c>
      <c r="N810" t="n">
        <v>0</v>
      </c>
      <c r="O810" t="n">
        <v>0</v>
      </c>
      <c r="P810" t="n">
        <v>0</v>
      </c>
      <c r="Q810" t="n">
        <v>0</v>
      </c>
      <c r="R810" s="2" t="inlineStr"/>
    </row>
    <row r="811" ht="15" customHeight="1">
      <c r="A811" t="inlineStr">
        <is>
          <t>A 39934-2021</t>
        </is>
      </c>
      <c r="B811" s="1" t="n">
        <v>44417</v>
      </c>
      <c r="C811" s="1" t="n">
        <v>45847</v>
      </c>
      <c r="D811" t="inlineStr">
        <is>
          <t>JÄMTLANDS LÄN</t>
        </is>
      </c>
      <c r="E811" t="inlineStr">
        <is>
          <t>BRÄCKE</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40313-2021</t>
        </is>
      </c>
      <c r="B812" s="1" t="n">
        <v>44419</v>
      </c>
      <c r="C812" s="1" t="n">
        <v>45847</v>
      </c>
      <c r="D812" t="inlineStr">
        <is>
          <t>JÄMTLANDS LÄN</t>
        </is>
      </c>
      <c r="E812" t="inlineStr">
        <is>
          <t>BRÄCKE</t>
        </is>
      </c>
      <c r="G812" t="n">
        <v>5.7</v>
      </c>
      <c r="H812" t="n">
        <v>0</v>
      </c>
      <c r="I812" t="n">
        <v>0</v>
      </c>
      <c r="J812" t="n">
        <v>0</v>
      </c>
      <c r="K812" t="n">
        <v>0</v>
      </c>
      <c r="L812" t="n">
        <v>0</v>
      </c>
      <c r="M812" t="n">
        <v>0</v>
      </c>
      <c r="N812" t="n">
        <v>0</v>
      </c>
      <c r="O812" t="n">
        <v>0</v>
      </c>
      <c r="P812" t="n">
        <v>0</v>
      </c>
      <c r="Q812" t="n">
        <v>0</v>
      </c>
      <c r="R812" s="2" t="inlineStr"/>
    </row>
    <row r="813" ht="15" customHeight="1">
      <c r="A813" t="inlineStr">
        <is>
          <t>A 40467-2021</t>
        </is>
      </c>
      <c r="B813" s="1" t="n">
        <v>44420</v>
      </c>
      <c r="C813" s="1" t="n">
        <v>45847</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40482-2021</t>
        </is>
      </c>
      <c r="B814" s="1" t="n">
        <v>44420</v>
      </c>
      <c r="C814" s="1" t="n">
        <v>45847</v>
      </c>
      <c r="D814" t="inlineStr">
        <is>
          <t>JÄMTLANDS LÄN</t>
        </is>
      </c>
      <c r="E814" t="inlineStr">
        <is>
          <t>BRÄCKE</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40481-2021</t>
        </is>
      </c>
      <c r="B815" s="1" t="n">
        <v>44420</v>
      </c>
      <c r="C815" s="1" t="n">
        <v>45847</v>
      </c>
      <c r="D815" t="inlineStr">
        <is>
          <t>JÄMTLANDS LÄN</t>
        </is>
      </c>
      <c r="E815" t="inlineStr">
        <is>
          <t>BRÄCKE</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40769-2021</t>
        </is>
      </c>
      <c r="B816" s="1" t="n">
        <v>44420</v>
      </c>
      <c r="C816" s="1" t="n">
        <v>45847</v>
      </c>
      <c r="D816" t="inlineStr">
        <is>
          <t>JÄMTLANDS LÄN</t>
        </is>
      </c>
      <c r="E816" t="inlineStr">
        <is>
          <t>BRÄCKE</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41060-2021</t>
        </is>
      </c>
      <c r="B817" s="1" t="n">
        <v>44422</v>
      </c>
      <c r="C817" s="1" t="n">
        <v>45847</v>
      </c>
      <c r="D817" t="inlineStr">
        <is>
          <t>JÄMTLANDS LÄN</t>
        </is>
      </c>
      <c r="E817" t="inlineStr">
        <is>
          <t>BRÄCKE</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41474-2021</t>
        </is>
      </c>
      <c r="B818" s="1" t="n">
        <v>44424</v>
      </c>
      <c r="C818" s="1" t="n">
        <v>45847</v>
      </c>
      <c r="D818" t="inlineStr">
        <is>
          <t>JÄMTLANDS LÄN</t>
        </is>
      </c>
      <c r="E818" t="inlineStr">
        <is>
          <t>BRÄCKE</t>
        </is>
      </c>
      <c r="G818" t="n">
        <v>2.3</v>
      </c>
      <c r="H818" t="n">
        <v>0</v>
      </c>
      <c r="I818" t="n">
        <v>0</v>
      </c>
      <c r="J818" t="n">
        <v>0</v>
      </c>
      <c r="K818" t="n">
        <v>0</v>
      </c>
      <c r="L818" t="n">
        <v>0</v>
      </c>
      <c r="M818" t="n">
        <v>0</v>
      </c>
      <c r="N818" t="n">
        <v>0</v>
      </c>
      <c r="O818" t="n">
        <v>0</v>
      </c>
      <c r="P818" t="n">
        <v>0</v>
      </c>
      <c r="Q818" t="n">
        <v>0</v>
      </c>
      <c r="R818" s="2" t="inlineStr"/>
    </row>
    <row r="819" ht="15" customHeight="1">
      <c r="A819" t="inlineStr">
        <is>
          <t>A 42806-2021</t>
        </is>
      </c>
      <c r="B819" s="1" t="n">
        <v>44429</v>
      </c>
      <c r="C819" s="1" t="n">
        <v>45847</v>
      </c>
      <c r="D819" t="inlineStr">
        <is>
          <t>JÄMTLANDS LÄN</t>
        </is>
      </c>
      <c r="E819" t="inlineStr">
        <is>
          <t>BRÄCKE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43831-2021</t>
        </is>
      </c>
      <c r="B820" s="1" t="n">
        <v>44433</v>
      </c>
      <c r="C820" s="1" t="n">
        <v>45847</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43832-2021</t>
        </is>
      </c>
      <c r="B821" s="1" t="n">
        <v>44434</v>
      </c>
      <c r="C821" s="1" t="n">
        <v>45847</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44244-2021</t>
        </is>
      </c>
      <c r="B822" s="1" t="n">
        <v>44434</v>
      </c>
      <c r="C822" s="1" t="n">
        <v>45847</v>
      </c>
      <c r="D822" t="inlineStr">
        <is>
          <t>JÄMTLANDS LÄN</t>
        </is>
      </c>
      <c r="E822" t="inlineStr">
        <is>
          <t>BRÄCKE</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44243-2021</t>
        </is>
      </c>
      <c r="B823" s="1" t="n">
        <v>44434</v>
      </c>
      <c r="C823" s="1" t="n">
        <v>45847</v>
      </c>
      <c r="D823" t="inlineStr">
        <is>
          <t>JÄMTLANDS LÄN</t>
        </is>
      </c>
      <c r="E823" t="inlineStr">
        <is>
          <t>BRÄCKE</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46793-2021</t>
        </is>
      </c>
      <c r="B824" s="1" t="n">
        <v>44445</v>
      </c>
      <c r="C824" s="1" t="n">
        <v>45847</v>
      </c>
      <c r="D824" t="inlineStr">
        <is>
          <t>JÄMTLANDS LÄN</t>
        </is>
      </c>
      <c r="E824" t="inlineStr">
        <is>
          <t>BRÄCKE</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46792-2021</t>
        </is>
      </c>
      <c r="B825" s="1" t="n">
        <v>44445</v>
      </c>
      <c r="C825" s="1" t="n">
        <v>45847</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46952-2021</t>
        </is>
      </c>
      <c r="B826" s="1" t="n">
        <v>44446</v>
      </c>
      <c r="C826" s="1" t="n">
        <v>45847</v>
      </c>
      <c r="D826" t="inlineStr">
        <is>
          <t>JÄMTLANDS LÄN</t>
        </is>
      </c>
      <c r="E826" t="inlineStr">
        <is>
          <t>BRÄCKE</t>
        </is>
      </c>
      <c r="G826" t="n">
        <v>2.1</v>
      </c>
      <c r="H826" t="n">
        <v>0</v>
      </c>
      <c r="I826" t="n">
        <v>0</v>
      </c>
      <c r="J826" t="n">
        <v>0</v>
      </c>
      <c r="K826" t="n">
        <v>0</v>
      </c>
      <c r="L826" t="n">
        <v>0</v>
      </c>
      <c r="M826" t="n">
        <v>0</v>
      </c>
      <c r="N826" t="n">
        <v>0</v>
      </c>
      <c r="O826" t="n">
        <v>0</v>
      </c>
      <c r="P826" t="n">
        <v>0</v>
      </c>
      <c r="Q826" t="n">
        <v>0</v>
      </c>
      <c r="R826" s="2" t="inlineStr"/>
    </row>
    <row r="827" ht="15" customHeight="1">
      <c r="A827" t="inlineStr">
        <is>
          <t>A 47559-2021</t>
        </is>
      </c>
      <c r="B827" s="1" t="n">
        <v>44447</v>
      </c>
      <c r="C827" s="1" t="n">
        <v>45847</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47558-2021</t>
        </is>
      </c>
      <c r="B828" s="1" t="n">
        <v>44448</v>
      </c>
      <c r="C828" s="1" t="n">
        <v>45847</v>
      </c>
      <c r="D828" t="inlineStr">
        <is>
          <t>JÄMTLANDS LÄN</t>
        </is>
      </c>
      <c r="E828" t="inlineStr">
        <is>
          <t>BRÄCKE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47560-2021</t>
        </is>
      </c>
      <c r="B829" s="1" t="n">
        <v>44448</v>
      </c>
      <c r="C829" s="1" t="n">
        <v>45847</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47983-2021</t>
        </is>
      </c>
      <c r="B830" s="1" t="n">
        <v>44448</v>
      </c>
      <c r="C830" s="1" t="n">
        <v>45847</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48284-2021</t>
        </is>
      </c>
      <c r="B831" s="1" t="n">
        <v>44449</v>
      </c>
      <c r="C831" s="1" t="n">
        <v>45847</v>
      </c>
      <c r="D831" t="inlineStr">
        <is>
          <t>JÄMTLANDS LÄN</t>
        </is>
      </c>
      <c r="E831" t="inlineStr">
        <is>
          <t>BRÄCKE</t>
        </is>
      </c>
      <c r="G831" t="n">
        <v>12.9</v>
      </c>
      <c r="H831" t="n">
        <v>0</v>
      </c>
      <c r="I831" t="n">
        <v>0</v>
      </c>
      <c r="J831" t="n">
        <v>0</v>
      </c>
      <c r="K831" t="n">
        <v>0</v>
      </c>
      <c r="L831" t="n">
        <v>0</v>
      </c>
      <c r="M831" t="n">
        <v>0</v>
      </c>
      <c r="N831" t="n">
        <v>0</v>
      </c>
      <c r="O831" t="n">
        <v>0</v>
      </c>
      <c r="P831" t="n">
        <v>0</v>
      </c>
      <c r="Q831" t="n">
        <v>0</v>
      </c>
      <c r="R831" s="2" t="inlineStr"/>
    </row>
    <row r="832" ht="15" customHeight="1">
      <c r="A832" t="inlineStr">
        <is>
          <t>A 49937-2021</t>
        </is>
      </c>
      <c r="B832" s="1" t="n">
        <v>44455</v>
      </c>
      <c r="C832" s="1" t="n">
        <v>45847</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51095-2021</t>
        </is>
      </c>
      <c r="B833" s="1" t="n">
        <v>44461</v>
      </c>
      <c r="C833" s="1" t="n">
        <v>45847</v>
      </c>
      <c r="D833" t="inlineStr">
        <is>
          <t>JÄMTLANDS LÄN</t>
        </is>
      </c>
      <c r="E833" t="inlineStr">
        <is>
          <t>BRÄCKE</t>
        </is>
      </c>
      <c r="G833" t="n">
        <v>0.8</v>
      </c>
      <c r="H833" t="n">
        <v>0</v>
      </c>
      <c r="I833" t="n">
        <v>0</v>
      </c>
      <c r="J833" t="n">
        <v>0</v>
      </c>
      <c r="K833" t="n">
        <v>0</v>
      </c>
      <c r="L833" t="n">
        <v>0</v>
      </c>
      <c r="M833" t="n">
        <v>0</v>
      </c>
      <c r="N833" t="n">
        <v>0</v>
      </c>
      <c r="O833" t="n">
        <v>0</v>
      </c>
      <c r="P833" t="n">
        <v>0</v>
      </c>
      <c r="Q833" t="n">
        <v>0</v>
      </c>
      <c r="R833" s="2" t="inlineStr"/>
    </row>
    <row r="834" ht="15" customHeight="1">
      <c r="A834" t="inlineStr">
        <is>
          <t>A 51957-2021</t>
        </is>
      </c>
      <c r="B834" s="1" t="n">
        <v>44463</v>
      </c>
      <c r="C834" s="1" t="n">
        <v>45847</v>
      </c>
      <c r="D834" t="inlineStr">
        <is>
          <t>JÄMTLANDS LÄN</t>
        </is>
      </c>
      <c r="E834" t="inlineStr">
        <is>
          <t>BRÄCKE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52022-2021</t>
        </is>
      </c>
      <c r="B835" s="1" t="n">
        <v>44463</v>
      </c>
      <c r="C835" s="1" t="n">
        <v>45847</v>
      </c>
      <c r="D835" t="inlineStr">
        <is>
          <t>JÄMTLANDS LÄN</t>
        </is>
      </c>
      <c r="E835" t="inlineStr">
        <is>
          <t>BRÄCKE</t>
        </is>
      </c>
      <c r="G835" t="n">
        <v>8.4</v>
      </c>
      <c r="H835" t="n">
        <v>0</v>
      </c>
      <c r="I835" t="n">
        <v>0</v>
      </c>
      <c r="J835" t="n">
        <v>0</v>
      </c>
      <c r="K835" t="n">
        <v>0</v>
      </c>
      <c r="L835" t="n">
        <v>0</v>
      </c>
      <c r="M835" t="n">
        <v>0</v>
      </c>
      <c r="N835" t="n">
        <v>0</v>
      </c>
      <c r="O835" t="n">
        <v>0</v>
      </c>
      <c r="P835" t="n">
        <v>0</v>
      </c>
      <c r="Q835" t="n">
        <v>0</v>
      </c>
      <c r="R835" s="2" t="inlineStr"/>
    </row>
    <row r="836" ht="15" customHeight="1">
      <c r="A836" t="inlineStr">
        <is>
          <t>A 52323-2021</t>
        </is>
      </c>
      <c r="B836" s="1" t="n">
        <v>44464</v>
      </c>
      <c r="C836" s="1" t="n">
        <v>45847</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53516-2021</t>
        </is>
      </c>
      <c r="B837" s="1" t="n">
        <v>44468</v>
      </c>
      <c r="C837" s="1" t="n">
        <v>45847</v>
      </c>
      <c r="D837" t="inlineStr">
        <is>
          <t>JÄMTLANDS LÄN</t>
        </is>
      </c>
      <c r="E837" t="inlineStr">
        <is>
          <t>BRÄCKE</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53612-2021</t>
        </is>
      </c>
      <c r="B838" s="1" t="n">
        <v>44469</v>
      </c>
      <c r="C838" s="1" t="n">
        <v>45847</v>
      </c>
      <c r="D838" t="inlineStr">
        <is>
          <t>JÄMTLANDS LÄN</t>
        </is>
      </c>
      <c r="E838" t="inlineStr">
        <is>
          <t>BRÄCKE</t>
        </is>
      </c>
      <c r="G838" t="n">
        <v>1.7</v>
      </c>
      <c r="H838" t="n">
        <v>0</v>
      </c>
      <c r="I838" t="n">
        <v>0</v>
      </c>
      <c r="J838" t="n">
        <v>0</v>
      </c>
      <c r="K838" t="n">
        <v>0</v>
      </c>
      <c r="L838" t="n">
        <v>0</v>
      </c>
      <c r="M838" t="n">
        <v>0</v>
      </c>
      <c r="N838" t="n">
        <v>0</v>
      </c>
      <c r="O838" t="n">
        <v>0</v>
      </c>
      <c r="P838" t="n">
        <v>0</v>
      </c>
      <c r="Q838" t="n">
        <v>0</v>
      </c>
      <c r="R838" s="2" t="inlineStr"/>
    </row>
    <row r="839" ht="15" customHeight="1">
      <c r="A839" t="inlineStr">
        <is>
          <t>A 53949-2021</t>
        </is>
      </c>
      <c r="B839" s="1" t="n">
        <v>44470</v>
      </c>
      <c r="C839" s="1" t="n">
        <v>45847</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54035-2021</t>
        </is>
      </c>
      <c r="B840" s="1" t="n">
        <v>44470</v>
      </c>
      <c r="C840" s="1" t="n">
        <v>45847</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54571-2021</t>
        </is>
      </c>
      <c r="B841" s="1" t="n">
        <v>44473</v>
      </c>
      <c r="C841" s="1" t="n">
        <v>45847</v>
      </c>
      <c r="D841" t="inlineStr">
        <is>
          <t>JÄMTLANDS LÄN</t>
        </is>
      </c>
      <c r="E841" t="inlineStr">
        <is>
          <t>BRÄCKE</t>
        </is>
      </c>
      <c r="G841" t="n">
        <v>3</v>
      </c>
      <c r="H841" t="n">
        <v>0</v>
      </c>
      <c r="I841" t="n">
        <v>0</v>
      </c>
      <c r="J841" t="n">
        <v>0</v>
      </c>
      <c r="K841" t="n">
        <v>0</v>
      </c>
      <c r="L841" t="n">
        <v>0</v>
      </c>
      <c r="M841" t="n">
        <v>0</v>
      </c>
      <c r="N841" t="n">
        <v>0</v>
      </c>
      <c r="O841" t="n">
        <v>0</v>
      </c>
      <c r="P841" t="n">
        <v>0</v>
      </c>
      <c r="Q841" t="n">
        <v>0</v>
      </c>
      <c r="R841" s="2" t="inlineStr"/>
    </row>
    <row r="842" ht="15" customHeight="1">
      <c r="A842" t="inlineStr">
        <is>
          <t>A 54809-2021</t>
        </is>
      </c>
      <c r="B842" s="1" t="n">
        <v>44474</v>
      </c>
      <c r="C842" s="1" t="n">
        <v>45847</v>
      </c>
      <c r="D842" t="inlineStr">
        <is>
          <t>JÄMTLANDS LÄN</t>
        </is>
      </c>
      <c r="E842" t="inlineStr">
        <is>
          <t>BRÄCKE</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56221-2021</t>
        </is>
      </c>
      <c r="B843" s="1" t="n">
        <v>44477</v>
      </c>
      <c r="C843" s="1" t="n">
        <v>45847</v>
      </c>
      <c r="D843" t="inlineStr">
        <is>
          <t>JÄMTLANDS LÄN</t>
        </is>
      </c>
      <c r="E843" t="inlineStr">
        <is>
          <t>BRÄCKE</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56114-2021</t>
        </is>
      </c>
      <c r="B844" s="1" t="n">
        <v>44477</v>
      </c>
      <c r="C844" s="1" t="n">
        <v>45847</v>
      </c>
      <c r="D844" t="inlineStr">
        <is>
          <t>JÄMTLANDS LÄN</t>
        </is>
      </c>
      <c r="E844" t="inlineStr">
        <is>
          <t>BRÄCKE</t>
        </is>
      </c>
      <c r="G844" t="n">
        <v>12.7</v>
      </c>
      <c r="H844" t="n">
        <v>0</v>
      </c>
      <c r="I844" t="n">
        <v>0</v>
      </c>
      <c r="J844" t="n">
        <v>0</v>
      </c>
      <c r="K844" t="n">
        <v>0</v>
      </c>
      <c r="L844" t="n">
        <v>0</v>
      </c>
      <c r="M844" t="n">
        <v>0</v>
      </c>
      <c r="N844" t="n">
        <v>0</v>
      </c>
      <c r="O844" t="n">
        <v>0</v>
      </c>
      <c r="P844" t="n">
        <v>0</v>
      </c>
      <c r="Q844" t="n">
        <v>0</v>
      </c>
      <c r="R844" s="2" t="inlineStr"/>
    </row>
    <row r="845" ht="15" customHeight="1">
      <c r="A845" t="inlineStr">
        <is>
          <t>A 56639-2021</t>
        </is>
      </c>
      <c r="B845" s="1" t="n">
        <v>44480</v>
      </c>
      <c r="C845" s="1" t="n">
        <v>45847</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56648-2021</t>
        </is>
      </c>
      <c r="B846" s="1" t="n">
        <v>44481</v>
      </c>
      <c r="C846" s="1" t="n">
        <v>45847</v>
      </c>
      <c r="D846" t="inlineStr">
        <is>
          <t>JÄMTLANDS LÄN</t>
        </is>
      </c>
      <c r="E846" t="inlineStr">
        <is>
          <t>BRÄCKE</t>
        </is>
      </c>
      <c r="G846" t="n">
        <v>1.3</v>
      </c>
      <c r="H846" t="n">
        <v>0</v>
      </c>
      <c r="I846" t="n">
        <v>0</v>
      </c>
      <c r="J846" t="n">
        <v>0</v>
      </c>
      <c r="K846" t="n">
        <v>0</v>
      </c>
      <c r="L846" t="n">
        <v>0</v>
      </c>
      <c r="M846" t="n">
        <v>0</v>
      </c>
      <c r="N846" t="n">
        <v>0</v>
      </c>
      <c r="O846" t="n">
        <v>0</v>
      </c>
      <c r="P846" t="n">
        <v>0</v>
      </c>
      <c r="Q846" t="n">
        <v>0</v>
      </c>
      <c r="R846" s="2" t="inlineStr"/>
    </row>
    <row r="847" ht="15" customHeight="1">
      <c r="A847" t="inlineStr">
        <is>
          <t>A 56649-2021</t>
        </is>
      </c>
      <c r="B847" s="1" t="n">
        <v>44480</v>
      </c>
      <c r="C847" s="1" t="n">
        <v>45847</v>
      </c>
      <c r="D847" t="inlineStr">
        <is>
          <t>JÄMTLANDS LÄN</t>
        </is>
      </c>
      <c r="E847" t="inlineStr">
        <is>
          <t>BRÄCKE</t>
        </is>
      </c>
      <c r="G847" t="n">
        <v>6</v>
      </c>
      <c r="H847" t="n">
        <v>0</v>
      </c>
      <c r="I847" t="n">
        <v>0</v>
      </c>
      <c r="J847" t="n">
        <v>0</v>
      </c>
      <c r="K847" t="n">
        <v>0</v>
      </c>
      <c r="L847" t="n">
        <v>0</v>
      </c>
      <c r="M847" t="n">
        <v>0</v>
      </c>
      <c r="N847" t="n">
        <v>0</v>
      </c>
      <c r="O847" t="n">
        <v>0</v>
      </c>
      <c r="P847" t="n">
        <v>0</v>
      </c>
      <c r="Q847" t="n">
        <v>0</v>
      </c>
      <c r="R847" s="2" t="inlineStr"/>
    </row>
    <row r="848" ht="15" customHeight="1">
      <c r="A848" t="inlineStr">
        <is>
          <t>A 56640-2021</t>
        </is>
      </c>
      <c r="B848" s="1" t="n">
        <v>44480</v>
      </c>
      <c r="C848" s="1" t="n">
        <v>45847</v>
      </c>
      <c r="D848" t="inlineStr">
        <is>
          <t>JÄMTLANDS LÄN</t>
        </is>
      </c>
      <c r="E848" t="inlineStr">
        <is>
          <t>BRÄCKE</t>
        </is>
      </c>
      <c r="G848" t="n">
        <v>2.7</v>
      </c>
      <c r="H848" t="n">
        <v>0</v>
      </c>
      <c r="I848" t="n">
        <v>0</v>
      </c>
      <c r="J848" t="n">
        <v>0</v>
      </c>
      <c r="K848" t="n">
        <v>0</v>
      </c>
      <c r="L848" t="n">
        <v>0</v>
      </c>
      <c r="M848" t="n">
        <v>0</v>
      </c>
      <c r="N848" t="n">
        <v>0</v>
      </c>
      <c r="O848" t="n">
        <v>0</v>
      </c>
      <c r="P848" t="n">
        <v>0</v>
      </c>
      <c r="Q848" t="n">
        <v>0</v>
      </c>
      <c r="R848" s="2" t="inlineStr"/>
    </row>
    <row r="849" ht="15" customHeight="1">
      <c r="A849" t="inlineStr">
        <is>
          <t>A 56895-2021</t>
        </is>
      </c>
      <c r="B849" s="1" t="n">
        <v>44482</v>
      </c>
      <c r="C849" s="1" t="n">
        <v>45847</v>
      </c>
      <c r="D849" t="inlineStr">
        <is>
          <t>JÄMTLANDS LÄN</t>
        </is>
      </c>
      <c r="E849" t="inlineStr">
        <is>
          <t>BRÄCKE</t>
        </is>
      </c>
      <c r="G849" t="n">
        <v>1.6</v>
      </c>
      <c r="H849" t="n">
        <v>0</v>
      </c>
      <c r="I849" t="n">
        <v>0</v>
      </c>
      <c r="J849" t="n">
        <v>0</v>
      </c>
      <c r="K849" t="n">
        <v>0</v>
      </c>
      <c r="L849" t="n">
        <v>0</v>
      </c>
      <c r="M849" t="n">
        <v>0</v>
      </c>
      <c r="N849" t="n">
        <v>0</v>
      </c>
      <c r="O849" t="n">
        <v>0</v>
      </c>
      <c r="P849" t="n">
        <v>0</v>
      </c>
      <c r="Q849" t="n">
        <v>0</v>
      </c>
      <c r="R849" s="2" t="inlineStr"/>
    </row>
    <row r="850" ht="15" customHeight="1">
      <c r="A850" t="inlineStr">
        <is>
          <t>A 56896-2021</t>
        </is>
      </c>
      <c r="B850" s="1" t="n">
        <v>44482</v>
      </c>
      <c r="C850" s="1" t="n">
        <v>45847</v>
      </c>
      <c r="D850" t="inlineStr">
        <is>
          <t>JÄMTLANDS LÄN</t>
        </is>
      </c>
      <c r="E850" t="inlineStr">
        <is>
          <t>BRÄCKE</t>
        </is>
      </c>
      <c r="G850" t="n">
        <v>1.3</v>
      </c>
      <c r="H850" t="n">
        <v>0</v>
      </c>
      <c r="I850" t="n">
        <v>0</v>
      </c>
      <c r="J850" t="n">
        <v>0</v>
      </c>
      <c r="K850" t="n">
        <v>0</v>
      </c>
      <c r="L850" t="n">
        <v>0</v>
      </c>
      <c r="M850" t="n">
        <v>0</v>
      </c>
      <c r="N850" t="n">
        <v>0</v>
      </c>
      <c r="O850" t="n">
        <v>0</v>
      </c>
      <c r="P850" t="n">
        <v>0</v>
      </c>
      <c r="Q850" t="n">
        <v>0</v>
      </c>
      <c r="R850" s="2" t="inlineStr"/>
    </row>
    <row r="851" ht="15" customHeight="1">
      <c r="A851" t="inlineStr">
        <is>
          <t>A 58039-2021</t>
        </is>
      </c>
      <c r="B851" s="1" t="n">
        <v>44487</v>
      </c>
      <c r="C851" s="1" t="n">
        <v>45847</v>
      </c>
      <c r="D851" t="inlineStr">
        <is>
          <t>JÄMTLANDS LÄN</t>
        </is>
      </c>
      <c r="E851" t="inlineStr">
        <is>
          <t>BRÄCKE</t>
        </is>
      </c>
      <c r="G851" t="n">
        <v>7.4</v>
      </c>
      <c r="H851" t="n">
        <v>0</v>
      </c>
      <c r="I851" t="n">
        <v>0</v>
      </c>
      <c r="J851" t="n">
        <v>0</v>
      </c>
      <c r="K851" t="n">
        <v>0</v>
      </c>
      <c r="L851" t="n">
        <v>0</v>
      </c>
      <c r="M851" t="n">
        <v>0</v>
      </c>
      <c r="N851" t="n">
        <v>0</v>
      </c>
      <c r="O851" t="n">
        <v>0</v>
      </c>
      <c r="P851" t="n">
        <v>0</v>
      </c>
      <c r="Q851" t="n">
        <v>0</v>
      </c>
      <c r="R851" s="2" t="inlineStr"/>
    </row>
    <row r="852" ht="15" customHeight="1">
      <c r="A852" t="inlineStr">
        <is>
          <t>A 58269-2021</t>
        </is>
      </c>
      <c r="B852" s="1" t="n">
        <v>44487</v>
      </c>
      <c r="C852" s="1" t="n">
        <v>45847</v>
      </c>
      <c r="D852" t="inlineStr">
        <is>
          <t>JÄMTLANDS LÄN</t>
        </is>
      </c>
      <c r="E852" t="inlineStr">
        <is>
          <t>BRÄCKE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58272-2021</t>
        </is>
      </c>
      <c r="B853" s="1" t="n">
        <v>44487</v>
      </c>
      <c r="C853" s="1" t="n">
        <v>45847</v>
      </c>
      <c r="D853" t="inlineStr">
        <is>
          <t>JÄMTLANDS LÄN</t>
        </is>
      </c>
      <c r="E853" t="inlineStr">
        <is>
          <t>BRÄCKE</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58311-2021</t>
        </is>
      </c>
      <c r="B854" s="1" t="n">
        <v>44487</v>
      </c>
      <c r="C854" s="1" t="n">
        <v>45847</v>
      </c>
      <c r="D854" t="inlineStr">
        <is>
          <t>JÄMTLANDS LÄN</t>
        </is>
      </c>
      <c r="E854" t="inlineStr">
        <is>
          <t>BRÄCKE</t>
        </is>
      </c>
      <c r="G854" t="n">
        <v>9.1</v>
      </c>
      <c r="H854" t="n">
        <v>0</v>
      </c>
      <c r="I854" t="n">
        <v>0</v>
      </c>
      <c r="J854" t="n">
        <v>0</v>
      </c>
      <c r="K854" t="n">
        <v>0</v>
      </c>
      <c r="L854" t="n">
        <v>0</v>
      </c>
      <c r="M854" t="n">
        <v>0</v>
      </c>
      <c r="N854" t="n">
        <v>0</v>
      </c>
      <c r="O854" t="n">
        <v>0</v>
      </c>
      <c r="P854" t="n">
        <v>0</v>
      </c>
      <c r="Q854" t="n">
        <v>0</v>
      </c>
      <c r="R854" s="2" t="inlineStr"/>
    </row>
    <row r="855" ht="15" customHeight="1">
      <c r="A855" t="inlineStr">
        <is>
          <t>A 59315-2021</t>
        </is>
      </c>
      <c r="B855" s="1" t="n">
        <v>44491</v>
      </c>
      <c r="C855" s="1" t="n">
        <v>45847</v>
      </c>
      <c r="D855" t="inlineStr">
        <is>
          <t>JÄMTLANDS LÄN</t>
        </is>
      </c>
      <c r="E855" t="inlineStr">
        <is>
          <t>BRÄCKE</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59322-2021</t>
        </is>
      </c>
      <c r="B856" s="1" t="n">
        <v>44491</v>
      </c>
      <c r="C856" s="1" t="n">
        <v>45847</v>
      </c>
      <c r="D856" t="inlineStr">
        <is>
          <t>JÄMTLANDS LÄN</t>
        </is>
      </c>
      <c r="E856" t="inlineStr">
        <is>
          <t>BRÄCKE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59316-2021</t>
        </is>
      </c>
      <c r="B857" s="1" t="n">
        <v>44491</v>
      </c>
      <c r="C857" s="1" t="n">
        <v>45847</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60015-2021</t>
        </is>
      </c>
      <c r="B858" s="1" t="n">
        <v>44495</v>
      </c>
      <c r="C858" s="1" t="n">
        <v>45847</v>
      </c>
      <c r="D858" t="inlineStr">
        <is>
          <t>JÄMTLANDS LÄN</t>
        </is>
      </c>
      <c r="E858" t="inlineStr">
        <is>
          <t>BRÄCKE</t>
        </is>
      </c>
      <c r="G858" t="n">
        <v>18.7</v>
      </c>
      <c r="H858" t="n">
        <v>0</v>
      </c>
      <c r="I858" t="n">
        <v>0</v>
      </c>
      <c r="J858" t="n">
        <v>0</v>
      </c>
      <c r="K858" t="n">
        <v>0</v>
      </c>
      <c r="L858" t="n">
        <v>0</v>
      </c>
      <c r="M858" t="n">
        <v>0</v>
      </c>
      <c r="N858" t="n">
        <v>0</v>
      </c>
      <c r="O858" t="n">
        <v>0</v>
      </c>
      <c r="P858" t="n">
        <v>0</v>
      </c>
      <c r="Q858" t="n">
        <v>0</v>
      </c>
      <c r="R858" s="2" t="inlineStr"/>
    </row>
    <row r="859" ht="15" customHeight="1">
      <c r="A859" t="inlineStr">
        <is>
          <t>A 60325-2021</t>
        </is>
      </c>
      <c r="B859" s="1" t="n">
        <v>44496</v>
      </c>
      <c r="C859" s="1" t="n">
        <v>45847</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61415-2021</t>
        </is>
      </c>
      <c r="B860" s="1" t="n">
        <v>44500</v>
      </c>
      <c r="C860" s="1" t="n">
        <v>45847</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62270-2021</t>
        </is>
      </c>
      <c r="B861" s="1" t="n">
        <v>44503</v>
      </c>
      <c r="C861" s="1" t="n">
        <v>45847</v>
      </c>
      <c r="D861" t="inlineStr">
        <is>
          <t>JÄMTLANDS LÄN</t>
        </is>
      </c>
      <c r="E861" t="inlineStr">
        <is>
          <t>BRÄCKE</t>
        </is>
      </c>
      <c r="G861" t="n">
        <v>6.6</v>
      </c>
      <c r="H861" t="n">
        <v>0</v>
      </c>
      <c r="I861" t="n">
        <v>0</v>
      </c>
      <c r="J861" t="n">
        <v>0</v>
      </c>
      <c r="K861" t="n">
        <v>0</v>
      </c>
      <c r="L861" t="n">
        <v>0</v>
      </c>
      <c r="M861" t="n">
        <v>0</v>
      </c>
      <c r="N861" t="n">
        <v>0</v>
      </c>
      <c r="O861" t="n">
        <v>0</v>
      </c>
      <c r="P861" t="n">
        <v>0</v>
      </c>
      <c r="Q861" t="n">
        <v>0</v>
      </c>
      <c r="R861" s="2" t="inlineStr"/>
    </row>
    <row r="862" ht="15" customHeight="1">
      <c r="A862" t="inlineStr">
        <is>
          <t>A 62249-2021</t>
        </is>
      </c>
      <c r="B862" s="1" t="n">
        <v>44503</v>
      </c>
      <c r="C862" s="1" t="n">
        <v>45847</v>
      </c>
      <c r="D862" t="inlineStr">
        <is>
          <t>JÄMTLANDS LÄN</t>
        </is>
      </c>
      <c r="E862" t="inlineStr">
        <is>
          <t>BRÄCKE</t>
        </is>
      </c>
      <c r="G862" t="n">
        <v>2.9</v>
      </c>
      <c r="H862" t="n">
        <v>0</v>
      </c>
      <c r="I862" t="n">
        <v>0</v>
      </c>
      <c r="J862" t="n">
        <v>0</v>
      </c>
      <c r="K862" t="n">
        <v>0</v>
      </c>
      <c r="L862" t="n">
        <v>0</v>
      </c>
      <c r="M862" t="n">
        <v>0</v>
      </c>
      <c r="N862" t="n">
        <v>0</v>
      </c>
      <c r="O862" t="n">
        <v>0</v>
      </c>
      <c r="P862" t="n">
        <v>0</v>
      </c>
      <c r="Q862" t="n">
        <v>0</v>
      </c>
      <c r="R862" s="2" t="inlineStr"/>
    </row>
    <row r="863" ht="15" customHeight="1">
      <c r="A863" t="inlineStr">
        <is>
          <t>A 62675-2021</t>
        </is>
      </c>
      <c r="B863" s="1" t="n">
        <v>44503</v>
      </c>
      <c r="C863" s="1" t="n">
        <v>45847</v>
      </c>
      <c r="D863" t="inlineStr">
        <is>
          <t>JÄMTLANDS LÄN</t>
        </is>
      </c>
      <c r="E863" t="inlineStr">
        <is>
          <t>BRÄCKE</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62664-2021</t>
        </is>
      </c>
      <c r="B864" s="1" t="n">
        <v>44503</v>
      </c>
      <c r="C864" s="1" t="n">
        <v>45847</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62674-2021</t>
        </is>
      </c>
      <c r="B865" s="1" t="n">
        <v>44503</v>
      </c>
      <c r="C865" s="1" t="n">
        <v>45847</v>
      </c>
      <c r="D865" t="inlineStr">
        <is>
          <t>JÄMTLANDS LÄN</t>
        </is>
      </c>
      <c r="E865" t="inlineStr">
        <is>
          <t>BRÄCKE</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62953-2021</t>
        </is>
      </c>
      <c r="B866" s="1" t="n">
        <v>44504</v>
      </c>
      <c r="C866" s="1" t="n">
        <v>45847</v>
      </c>
      <c r="D866" t="inlineStr">
        <is>
          <t>JÄMTLANDS LÄN</t>
        </is>
      </c>
      <c r="E866" t="inlineStr">
        <is>
          <t>BRÄCKE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62954-2021</t>
        </is>
      </c>
      <c r="B867" s="1" t="n">
        <v>44504</v>
      </c>
      <c r="C867" s="1" t="n">
        <v>45847</v>
      </c>
      <c r="D867" t="inlineStr">
        <is>
          <t>JÄMTLANDS LÄN</t>
        </is>
      </c>
      <c r="E867" t="inlineStr">
        <is>
          <t>BRÄCKE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63346-2021</t>
        </is>
      </c>
      <c r="B868" s="1" t="n">
        <v>44508</v>
      </c>
      <c r="C868" s="1" t="n">
        <v>45847</v>
      </c>
      <c r="D868" t="inlineStr">
        <is>
          <t>JÄMTLANDS LÄN</t>
        </is>
      </c>
      <c r="E868" t="inlineStr">
        <is>
          <t>BRÄCKE</t>
        </is>
      </c>
      <c r="G868" t="n">
        <v>0.9</v>
      </c>
      <c r="H868" t="n">
        <v>0</v>
      </c>
      <c r="I868" t="n">
        <v>0</v>
      </c>
      <c r="J868" t="n">
        <v>0</v>
      </c>
      <c r="K868" t="n">
        <v>0</v>
      </c>
      <c r="L868" t="n">
        <v>0</v>
      </c>
      <c r="M868" t="n">
        <v>0</v>
      </c>
      <c r="N868" t="n">
        <v>0</v>
      </c>
      <c r="O868" t="n">
        <v>0</v>
      </c>
      <c r="P868" t="n">
        <v>0</v>
      </c>
      <c r="Q868" t="n">
        <v>0</v>
      </c>
      <c r="R868" s="2" t="inlineStr"/>
    </row>
    <row r="869" ht="15" customHeight="1">
      <c r="A869" t="inlineStr">
        <is>
          <t>A 63600-2021</t>
        </is>
      </c>
      <c r="B869" s="1" t="n">
        <v>44508</v>
      </c>
      <c r="C869" s="1" t="n">
        <v>45847</v>
      </c>
      <c r="D869" t="inlineStr">
        <is>
          <t>JÄMTLANDS LÄN</t>
        </is>
      </c>
      <c r="E869" t="inlineStr">
        <is>
          <t>BRÄCKE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63579-2021</t>
        </is>
      </c>
      <c r="B870" s="1" t="n">
        <v>44508</v>
      </c>
      <c r="C870" s="1" t="n">
        <v>45847</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63534-2021</t>
        </is>
      </c>
      <c r="B871" s="1" t="n">
        <v>44508</v>
      </c>
      <c r="C871" s="1" t="n">
        <v>45847</v>
      </c>
      <c r="D871" t="inlineStr">
        <is>
          <t>JÄMTLANDS LÄN</t>
        </is>
      </c>
      <c r="E871" t="inlineStr">
        <is>
          <t>BRÄCKE</t>
        </is>
      </c>
      <c r="G871" t="n">
        <v>6.6</v>
      </c>
      <c r="H871" t="n">
        <v>0</v>
      </c>
      <c r="I871" t="n">
        <v>0</v>
      </c>
      <c r="J871" t="n">
        <v>0</v>
      </c>
      <c r="K871" t="n">
        <v>0</v>
      </c>
      <c r="L871" t="n">
        <v>0</v>
      </c>
      <c r="M871" t="n">
        <v>0</v>
      </c>
      <c r="N871" t="n">
        <v>0</v>
      </c>
      <c r="O871" t="n">
        <v>0</v>
      </c>
      <c r="P871" t="n">
        <v>0</v>
      </c>
      <c r="Q871" t="n">
        <v>0</v>
      </c>
      <c r="R871" s="2" t="inlineStr"/>
    </row>
    <row r="872" ht="15" customHeight="1">
      <c r="A872" t="inlineStr">
        <is>
          <t>A 63590-2021</t>
        </is>
      </c>
      <c r="B872" s="1" t="n">
        <v>44508</v>
      </c>
      <c r="C872" s="1" t="n">
        <v>45847</v>
      </c>
      <c r="D872" t="inlineStr">
        <is>
          <t>JÄMTLANDS LÄN</t>
        </is>
      </c>
      <c r="E872" t="inlineStr">
        <is>
          <t>BRÄCKE</t>
        </is>
      </c>
      <c r="G872" t="n">
        <v>9.1</v>
      </c>
      <c r="H872" t="n">
        <v>0</v>
      </c>
      <c r="I872" t="n">
        <v>0</v>
      </c>
      <c r="J872" t="n">
        <v>0</v>
      </c>
      <c r="K872" t="n">
        <v>0</v>
      </c>
      <c r="L872" t="n">
        <v>0</v>
      </c>
      <c r="M872" t="n">
        <v>0</v>
      </c>
      <c r="N872" t="n">
        <v>0</v>
      </c>
      <c r="O872" t="n">
        <v>0</v>
      </c>
      <c r="P872" t="n">
        <v>0</v>
      </c>
      <c r="Q872" t="n">
        <v>0</v>
      </c>
      <c r="R872" s="2" t="inlineStr"/>
    </row>
    <row r="873" ht="15" customHeight="1">
      <c r="A873" t="inlineStr">
        <is>
          <t>A 63995-2021</t>
        </is>
      </c>
      <c r="B873" s="1" t="n">
        <v>44509</v>
      </c>
      <c r="C873" s="1" t="n">
        <v>45847</v>
      </c>
      <c r="D873" t="inlineStr">
        <is>
          <t>JÄMTLANDS LÄN</t>
        </is>
      </c>
      <c r="E873" t="inlineStr">
        <is>
          <t>BRÄCKE</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64002-2021</t>
        </is>
      </c>
      <c r="B874" s="1" t="n">
        <v>44510</v>
      </c>
      <c r="C874" s="1" t="n">
        <v>45847</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64721-2021</t>
        </is>
      </c>
      <c r="B875" s="1" t="n">
        <v>44512</v>
      </c>
      <c r="C875" s="1" t="n">
        <v>45847</v>
      </c>
      <c r="D875" t="inlineStr">
        <is>
          <t>JÄMTLANDS LÄN</t>
        </is>
      </c>
      <c r="E875" t="inlineStr">
        <is>
          <t>BRÄCKE</t>
        </is>
      </c>
      <c r="G875" t="n">
        <v>8</v>
      </c>
      <c r="H875" t="n">
        <v>0</v>
      </c>
      <c r="I875" t="n">
        <v>0</v>
      </c>
      <c r="J875" t="n">
        <v>0</v>
      </c>
      <c r="K875" t="n">
        <v>0</v>
      </c>
      <c r="L875" t="n">
        <v>0</v>
      </c>
      <c r="M875" t="n">
        <v>0</v>
      </c>
      <c r="N875" t="n">
        <v>0</v>
      </c>
      <c r="O875" t="n">
        <v>0</v>
      </c>
      <c r="P875" t="n">
        <v>0</v>
      </c>
      <c r="Q875" t="n">
        <v>0</v>
      </c>
      <c r="R875" s="2" t="inlineStr"/>
    </row>
    <row r="876" ht="15" customHeight="1">
      <c r="A876" t="inlineStr">
        <is>
          <t>A 65433-2021</t>
        </is>
      </c>
      <c r="B876" s="1" t="n">
        <v>44515</v>
      </c>
      <c r="C876" s="1" t="n">
        <v>45847</v>
      </c>
      <c r="D876" t="inlineStr">
        <is>
          <t>JÄMTLANDS LÄN</t>
        </is>
      </c>
      <c r="E876" t="inlineStr">
        <is>
          <t>BRÄCKE</t>
        </is>
      </c>
      <c r="G876" t="n">
        <v>2.2</v>
      </c>
      <c r="H876" t="n">
        <v>0</v>
      </c>
      <c r="I876" t="n">
        <v>0</v>
      </c>
      <c r="J876" t="n">
        <v>0</v>
      </c>
      <c r="K876" t="n">
        <v>0</v>
      </c>
      <c r="L876" t="n">
        <v>0</v>
      </c>
      <c r="M876" t="n">
        <v>0</v>
      </c>
      <c r="N876" t="n">
        <v>0</v>
      </c>
      <c r="O876" t="n">
        <v>0</v>
      </c>
      <c r="P876" t="n">
        <v>0</v>
      </c>
      <c r="Q876" t="n">
        <v>0</v>
      </c>
      <c r="R876" s="2" t="inlineStr"/>
    </row>
    <row r="877" ht="15" customHeight="1">
      <c r="A877" t="inlineStr">
        <is>
          <t>A 66177-2021</t>
        </is>
      </c>
      <c r="B877" s="1" t="n">
        <v>44517</v>
      </c>
      <c r="C877" s="1" t="n">
        <v>45847</v>
      </c>
      <c r="D877" t="inlineStr">
        <is>
          <t>JÄMTLANDS LÄN</t>
        </is>
      </c>
      <c r="E877" t="inlineStr">
        <is>
          <t>BRÄCKE</t>
        </is>
      </c>
      <c r="G877" t="n">
        <v>24.8</v>
      </c>
      <c r="H877" t="n">
        <v>0</v>
      </c>
      <c r="I877" t="n">
        <v>0</v>
      </c>
      <c r="J877" t="n">
        <v>0</v>
      </c>
      <c r="K877" t="n">
        <v>0</v>
      </c>
      <c r="L877" t="n">
        <v>0</v>
      </c>
      <c r="M877" t="n">
        <v>0</v>
      </c>
      <c r="N877" t="n">
        <v>0</v>
      </c>
      <c r="O877" t="n">
        <v>0</v>
      </c>
      <c r="P877" t="n">
        <v>0</v>
      </c>
      <c r="Q877" t="n">
        <v>0</v>
      </c>
      <c r="R877" s="2" t="inlineStr"/>
    </row>
    <row r="878" ht="15" customHeight="1">
      <c r="A878" t="inlineStr">
        <is>
          <t>A 66285-2021</t>
        </is>
      </c>
      <c r="B878" s="1" t="n">
        <v>44518</v>
      </c>
      <c r="C878" s="1" t="n">
        <v>45847</v>
      </c>
      <c r="D878" t="inlineStr">
        <is>
          <t>JÄMTLANDS LÄN</t>
        </is>
      </c>
      <c r="E878" t="inlineStr">
        <is>
          <t>BRÄCKE</t>
        </is>
      </c>
      <c r="G878" t="n">
        <v>11.9</v>
      </c>
      <c r="H878" t="n">
        <v>0</v>
      </c>
      <c r="I878" t="n">
        <v>0</v>
      </c>
      <c r="J878" t="n">
        <v>0</v>
      </c>
      <c r="K878" t="n">
        <v>0</v>
      </c>
      <c r="L878" t="n">
        <v>0</v>
      </c>
      <c r="M878" t="n">
        <v>0</v>
      </c>
      <c r="N878" t="n">
        <v>0</v>
      </c>
      <c r="O878" t="n">
        <v>0</v>
      </c>
      <c r="P878" t="n">
        <v>0</v>
      </c>
      <c r="Q878" t="n">
        <v>0</v>
      </c>
      <c r="R878" s="2" t="inlineStr"/>
    </row>
    <row r="879" ht="15" customHeight="1">
      <c r="A879" t="inlineStr">
        <is>
          <t>A 67687-2021</t>
        </is>
      </c>
      <c r="B879" s="1" t="n">
        <v>44524</v>
      </c>
      <c r="C879" s="1" t="n">
        <v>45847</v>
      </c>
      <c r="D879" t="inlineStr">
        <is>
          <t>JÄMTLANDS LÄN</t>
        </is>
      </c>
      <c r="E879" t="inlineStr">
        <is>
          <t>BRÄCKE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68319-2021</t>
        </is>
      </c>
      <c r="B880" s="1" t="n">
        <v>44526</v>
      </c>
      <c r="C880" s="1" t="n">
        <v>45847</v>
      </c>
      <c r="D880" t="inlineStr">
        <is>
          <t>JÄMTLANDS LÄN</t>
        </is>
      </c>
      <c r="E880" t="inlineStr">
        <is>
          <t>BRÄCKE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68901-2021</t>
        </is>
      </c>
      <c r="B881" s="1" t="n">
        <v>44526</v>
      </c>
      <c r="C881" s="1" t="n">
        <v>45847</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68769-2021</t>
        </is>
      </c>
      <c r="B882" s="1" t="n">
        <v>44529</v>
      </c>
      <c r="C882" s="1" t="n">
        <v>45847</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68763-2021</t>
        </is>
      </c>
      <c r="B883" s="1" t="n">
        <v>44529</v>
      </c>
      <c r="C883" s="1" t="n">
        <v>45847</v>
      </c>
      <c r="D883" t="inlineStr">
        <is>
          <t>JÄMTLANDS LÄN</t>
        </is>
      </c>
      <c r="E883" t="inlineStr">
        <is>
          <t>BRÄCKE</t>
        </is>
      </c>
      <c r="G883" t="n">
        <v>1.7</v>
      </c>
      <c r="H883" t="n">
        <v>0</v>
      </c>
      <c r="I883" t="n">
        <v>0</v>
      </c>
      <c r="J883" t="n">
        <v>0</v>
      </c>
      <c r="K883" t="n">
        <v>0</v>
      </c>
      <c r="L883" t="n">
        <v>0</v>
      </c>
      <c r="M883" t="n">
        <v>0</v>
      </c>
      <c r="N883" t="n">
        <v>0</v>
      </c>
      <c r="O883" t="n">
        <v>0</v>
      </c>
      <c r="P883" t="n">
        <v>0</v>
      </c>
      <c r="Q883" t="n">
        <v>0</v>
      </c>
      <c r="R883" s="2" t="inlineStr"/>
    </row>
    <row r="884" ht="15" customHeight="1">
      <c r="A884" t="inlineStr">
        <is>
          <t>A 68765-2021</t>
        </is>
      </c>
      <c r="B884" s="1" t="n">
        <v>44529</v>
      </c>
      <c r="C884" s="1" t="n">
        <v>45847</v>
      </c>
      <c r="D884" t="inlineStr">
        <is>
          <t>JÄMTLANDS LÄN</t>
        </is>
      </c>
      <c r="E884" t="inlineStr">
        <is>
          <t>BRÄCKE</t>
        </is>
      </c>
      <c r="G884" t="n">
        <v>2</v>
      </c>
      <c r="H884" t="n">
        <v>0</v>
      </c>
      <c r="I884" t="n">
        <v>0</v>
      </c>
      <c r="J884" t="n">
        <v>0</v>
      </c>
      <c r="K884" t="n">
        <v>0</v>
      </c>
      <c r="L884" t="n">
        <v>0</v>
      </c>
      <c r="M884" t="n">
        <v>0</v>
      </c>
      <c r="N884" t="n">
        <v>0</v>
      </c>
      <c r="O884" t="n">
        <v>0</v>
      </c>
      <c r="P884" t="n">
        <v>0</v>
      </c>
      <c r="Q884" t="n">
        <v>0</v>
      </c>
      <c r="R884" s="2" t="inlineStr"/>
    </row>
    <row r="885" ht="15" customHeight="1">
      <c r="A885" t="inlineStr">
        <is>
          <t>A 69155-2021</t>
        </is>
      </c>
      <c r="B885" s="1" t="n">
        <v>44530</v>
      </c>
      <c r="C885" s="1" t="n">
        <v>45847</v>
      </c>
      <c r="D885" t="inlineStr">
        <is>
          <t>JÄMTLANDS LÄN</t>
        </is>
      </c>
      <c r="E885" t="inlineStr">
        <is>
          <t>BRÄCKE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69550-2021</t>
        </is>
      </c>
      <c r="B886" s="1" t="n">
        <v>44531</v>
      </c>
      <c r="C886" s="1" t="n">
        <v>45847</v>
      </c>
      <c r="D886" t="inlineStr">
        <is>
          <t>JÄMTLANDS LÄN</t>
        </is>
      </c>
      <c r="E886" t="inlineStr">
        <is>
          <t>BRÄCKE</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69549-2021</t>
        </is>
      </c>
      <c r="B887" s="1" t="n">
        <v>44531</v>
      </c>
      <c r="C887" s="1" t="n">
        <v>45847</v>
      </c>
      <c r="D887" t="inlineStr">
        <is>
          <t>JÄMTLANDS LÄN</t>
        </is>
      </c>
      <c r="E887" t="inlineStr">
        <is>
          <t>BRÄCKE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70812-2021</t>
        </is>
      </c>
      <c r="B888" s="1" t="n">
        <v>44537</v>
      </c>
      <c r="C888" s="1" t="n">
        <v>45847</v>
      </c>
      <c r="D888" t="inlineStr">
        <is>
          <t>JÄMTLANDS LÄN</t>
        </is>
      </c>
      <c r="E888" t="inlineStr">
        <is>
          <t>BRÄCKE</t>
        </is>
      </c>
      <c r="G888" t="n">
        <v>3.4</v>
      </c>
      <c r="H888" t="n">
        <v>0</v>
      </c>
      <c r="I888" t="n">
        <v>0</v>
      </c>
      <c r="J888" t="n">
        <v>0</v>
      </c>
      <c r="K888" t="n">
        <v>0</v>
      </c>
      <c r="L888" t="n">
        <v>0</v>
      </c>
      <c r="M888" t="n">
        <v>0</v>
      </c>
      <c r="N888" t="n">
        <v>0</v>
      </c>
      <c r="O888" t="n">
        <v>0</v>
      </c>
      <c r="P888" t="n">
        <v>0</v>
      </c>
      <c r="Q888" t="n">
        <v>0</v>
      </c>
      <c r="R888" s="2" t="inlineStr"/>
    </row>
    <row r="889" ht="15" customHeight="1">
      <c r="A889" t="inlineStr">
        <is>
          <t>A 70807-2021</t>
        </is>
      </c>
      <c r="B889" s="1" t="n">
        <v>44537</v>
      </c>
      <c r="C889" s="1" t="n">
        <v>45847</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70813-2021</t>
        </is>
      </c>
      <c r="B890" s="1" t="n">
        <v>44537</v>
      </c>
      <c r="C890" s="1" t="n">
        <v>45847</v>
      </c>
      <c r="D890" t="inlineStr">
        <is>
          <t>JÄMTLANDS LÄN</t>
        </is>
      </c>
      <c r="E890" t="inlineStr">
        <is>
          <t>BRÄCKE</t>
        </is>
      </c>
      <c r="G890" t="n">
        <v>5.2</v>
      </c>
      <c r="H890" t="n">
        <v>0</v>
      </c>
      <c r="I890" t="n">
        <v>0</v>
      </c>
      <c r="J890" t="n">
        <v>0</v>
      </c>
      <c r="K890" t="n">
        <v>0</v>
      </c>
      <c r="L890" t="n">
        <v>0</v>
      </c>
      <c r="M890" t="n">
        <v>0</v>
      </c>
      <c r="N890" t="n">
        <v>0</v>
      </c>
      <c r="O890" t="n">
        <v>0</v>
      </c>
      <c r="P890" t="n">
        <v>0</v>
      </c>
      <c r="Q890" t="n">
        <v>0</v>
      </c>
      <c r="R890" s="2" t="inlineStr"/>
    </row>
    <row r="891" ht="15" customHeight="1">
      <c r="A891" t="inlineStr">
        <is>
          <t>A 72025-2021</t>
        </is>
      </c>
      <c r="B891" s="1" t="n">
        <v>44540</v>
      </c>
      <c r="C891" s="1" t="n">
        <v>45847</v>
      </c>
      <c r="D891" t="inlineStr">
        <is>
          <t>JÄMTLANDS LÄN</t>
        </is>
      </c>
      <c r="E891" t="inlineStr">
        <is>
          <t>BRÄCKE</t>
        </is>
      </c>
      <c r="G891" t="n">
        <v>11</v>
      </c>
      <c r="H891" t="n">
        <v>0</v>
      </c>
      <c r="I891" t="n">
        <v>0</v>
      </c>
      <c r="J891" t="n">
        <v>0</v>
      </c>
      <c r="K891" t="n">
        <v>0</v>
      </c>
      <c r="L891" t="n">
        <v>0</v>
      </c>
      <c r="M891" t="n">
        <v>0</v>
      </c>
      <c r="N891" t="n">
        <v>0</v>
      </c>
      <c r="O891" t="n">
        <v>0</v>
      </c>
      <c r="P891" t="n">
        <v>0</v>
      </c>
      <c r="Q891" t="n">
        <v>0</v>
      </c>
      <c r="R891" s="2" t="inlineStr"/>
    </row>
    <row r="892" ht="15" customHeight="1">
      <c r="A892" t="inlineStr">
        <is>
          <t>A 72044-2021</t>
        </is>
      </c>
      <c r="B892" s="1" t="n">
        <v>44540</v>
      </c>
      <c r="C892" s="1" t="n">
        <v>45847</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72757-2021</t>
        </is>
      </c>
      <c r="B893" s="1" t="n">
        <v>44546</v>
      </c>
      <c r="C893" s="1" t="n">
        <v>45847</v>
      </c>
      <c r="D893" t="inlineStr">
        <is>
          <t>JÄMTLANDS LÄN</t>
        </is>
      </c>
      <c r="E893" t="inlineStr">
        <is>
          <t>BRÄCKE</t>
        </is>
      </c>
      <c r="G893" t="n">
        <v>1.3</v>
      </c>
      <c r="H893" t="n">
        <v>0</v>
      </c>
      <c r="I893" t="n">
        <v>0</v>
      </c>
      <c r="J893" t="n">
        <v>0</v>
      </c>
      <c r="K893" t="n">
        <v>0</v>
      </c>
      <c r="L893" t="n">
        <v>0</v>
      </c>
      <c r="M893" t="n">
        <v>0</v>
      </c>
      <c r="N893" t="n">
        <v>0</v>
      </c>
      <c r="O893" t="n">
        <v>0</v>
      </c>
      <c r="P893" t="n">
        <v>0</v>
      </c>
      <c r="Q893" t="n">
        <v>0</v>
      </c>
      <c r="R893" s="2" t="inlineStr"/>
    </row>
    <row r="894" ht="15" customHeight="1">
      <c r="A894" t="inlineStr">
        <is>
          <t>A 72750-2021</t>
        </is>
      </c>
      <c r="B894" s="1" t="n">
        <v>44546</v>
      </c>
      <c r="C894" s="1" t="n">
        <v>45847</v>
      </c>
      <c r="D894" t="inlineStr">
        <is>
          <t>JÄMTLANDS LÄN</t>
        </is>
      </c>
      <c r="E894" t="inlineStr">
        <is>
          <t>BRÄCKE</t>
        </is>
      </c>
      <c r="G894" t="n">
        <v>1.2</v>
      </c>
      <c r="H894" t="n">
        <v>0</v>
      </c>
      <c r="I894" t="n">
        <v>0</v>
      </c>
      <c r="J894" t="n">
        <v>0</v>
      </c>
      <c r="K894" t="n">
        <v>0</v>
      </c>
      <c r="L894" t="n">
        <v>0</v>
      </c>
      <c r="M894" t="n">
        <v>0</v>
      </c>
      <c r="N894" t="n">
        <v>0</v>
      </c>
      <c r="O894" t="n">
        <v>0</v>
      </c>
      <c r="P894" t="n">
        <v>0</v>
      </c>
      <c r="Q894" t="n">
        <v>0</v>
      </c>
      <c r="R894" s="2" t="inlineStr"/>
    </row>
    <row r="895" ht="15" customHeight="1">
      <c r="A895" t="inlineStr">
        <is>
          <t>A 72754-2021</t>
        </is>
      </c>
      <c r="B895" s="1" t="n">
        <v>44546</v>
      </c>
      <c r="C895" s="1" t="n">
        <v>45847</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72758-2021</t>
        </is>
      </c>
      <c r="B896" s="1" t="n">
        <v>44546</v>
      </c>
      <c r="C896" s="1" t="n">
        <v>45847</v>
      </c>
      <c r="D896" t="inlineStr">
        <is>
          <t>JÄMTLANDS LÄN</t>
        </is>
      </c>
      <c r="E896" t="inlineStr">
        <is>
          <t>BRÄCKE</t>
        </is>
      </c>
      <c r="G896" t="n">
        <v>3.4</v>
      </c>
      <c r="H896" t="n">
        <v>0</v>
      </c>
      <c r="I896" t="n">
        <v>0</v>
      </c>
      <c r="J896" t="n">
        <v>0</v>
      </c>
      <c r="K896" t="n">
        <v>0</v>
      </c>
      <c r="L896" t="n">
        <v>0</v>
      </c>
      <c r="M896" t="n">
        <v>0</v>
      </c>
      <c r="N896" t="n">
        <v>0</v>
      </c>
      <c r="O896" t="n">
        <v>0</v>
      </c>
      <c r="P896" t="n">
        <v>0</v>
      </c>
      <c r="Q896" t="n">
        <v>0</v>
      </c>
      <c r="R896" s="2" t="inlineStr"/>
    </row>
    <row r="897" ht="15" customHeight="1">
      <c r="A897" t="inlineStr">
        <is>
          <t>A 73106-2021</t>
        </is>
      </c>
      <c r="B897" s="1" t="n">
        <v>44550</v>
      </c>
      <c r="C897" s="1" t="n">
        <v>45847</v>
      </c>
      <c r="D897" t="inlineStr">
        <is>
          <t>JÄMTLANDS LÄN</t>
        </is>
      </c>
      <c r="E897" t="inlineStr">
        <is>
          <t>BRÄCKE</t>
        </is>
      </c>
      <c r="F897" t="inlineStr">
        <is>
          <t>Sveaskog</t>
        </is>
      </c>
      <c r="G897" t="n">
        <v>5.4</v>
      </c>
      <c r="H897" t="n">
        <v>0</v>
      </c>
      <c r="I897" t="n">
        <v>0</v>
      </c>
      <c r="J897" t="n">
        <v>0</v>
      </c>
      <c r="K897" t="n">
        <v>0</v>
      </c>
      <c r="L897" t="n">
        <v>0</v>
      </c>
      <c r="M897" t="n">
        <v>0</v>
      </c>
      <c r="N897" t="n">
        <v>0</v>
      </c>
      <c r="O897" t="n">
        <v>0</v>
      </c>
      <c r="P897" t="n">
        <v>0</v>
      </c>
      <c r="Q897" t="n">
        <v>0</v>
      </c>
      <c r="R897" s="2" t="inlineStr"/>
    </row>
    <row r="898" ht="15" customHeight="1">
      <c r="A898" t="inlineStr">
        <is>
          <t>A 73109-2021</t>
        </is>
      </c>
      <c r="B898" s="1" t="n">
        <v>44550</v>
      </c>
      <c r="C898" s="1" t="n">
        <v>45847</v>
      </c>
      <c r="D898" t="inlineStr">
        <is>
          <t>JÄMTLANDS LÄN</t>
        </is>
      </c>
      <c r="E898" t="inlineStr">
        <is>
          <t>BRÄCKE</t>
        </is>
      </c>
      <c r="F898" t="inlineStr">
        <is>
          <t>Sveaskog</t>
        </is>
      </c>
      <c r="G898" t="n">
        <v>6.4</v>
      </c>
      <c r="H898" t="n">
        <v>0</v>
      </c>
      <c r="I898" t="n">
        <v>0</v>
      </c>
      <c r="J898" t="n">
        <v>0</v>
      </c>
      <c r="K898" t="n">
        <v>0</v>
      </c>
      <c r="L898" t="n">
        <v>0</v>
      </c>
      <c r="M898" t="n">
        <v>0</v>
      </c>
      <c r="N898" t="n">
        <v>0</v>
      </c>
      <c r="O898" t="n">
        <v>0</v>
      </c>
      <c r="P898" t="n">
        <v>0</v>
      </c>
      <c r="Q898" t="n">
        <v>0</v>
      </c>
      <c r="R898" s="2" t="inlineStr"/>
    </row>
    <row r="899" ht="15" customHeight="1">
      <c r="A899" t="inlineStr">
        <is>
          <t>A 73102-2021</t>
        </is>
      </c>
      <c r="B899" s="1" t="n">
        <v>44550</v>
      </c>
      <c r="C899" s="1" t="n">
        <v>45847</v>
      </c>
      <c r="D899" t="inlineStr">
        <is>
          <t>JÄMTLANDS LÄN</t>
        </is>
      </c>
      <c r="E899" t="inlineStr">
        <is>
          <t>BRÄCKE</t>
        </is>
      </c>
      <c r="F899" t="inlineStr">
        <is>
          <t>Sveaskog</t>
        </is>
      </c>
      <c r="G899" t="n">
        <v>6.5</v>
      </c>
      <c r="H899" t="n">
        <v>0</v>
      </c>
      <c r="I899" t="n">
        <v>0</v>
      </c>
      <c r="J899" t="n">
        <v>0</v>
      </c>
      <c r="K899" t="n">
        <v>0</v>
      </c>
      <c r="L899" t="n">
        <v>0</v>
      </c>
      <c r="M899" t="n">
        <v>0</v>
      </c>
      <c r="N899" t="n">
        <v>0</v>
      </c>
      <c r="O899" t="n">
        <v>0</v>
      </c>
      <c r="P899" t="n">
        <v>0</v>
      </c>
      <c r="Q899" t="n">
        <v>0</v>
      </c>
      <c r="R899" s="2" t="inlineStr"/>
    </row>
    <row r="900" ht="15" customHeight="1">
      <c r="A900" t="inlineStr">
        <is>
          <t>A 73281-2021</t>
        </is>
      </c>
      <c r="B900" s="1" t="n">
        <v>44550</v>
      </c>
      <c r="C900" s="1" t="n">
        <v>45847</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73280-2021</t>
        </is>
      </c>
      <c r="B901" s="1" t="n">
        <v>44550</v>
      </c>
      <c r="C901" s="1" t="n">
        <v>45847</v>
      </c>
      <c r="D901" t="inlineStr">
        <is>
          <t>JÄMTLANDS LÄN</t>
        </is>
      </c>
      <c r="E901" t="inlineStr">
        <is>
          <t>BRÄCKE</t>
        </is>
      </c>
      <c r="G901" t="n">
        <v>2.5</v>
      </c>
      <c r="H901" t="n">
        <v>0</v>
      </c>
      <c r="I901" t="n">
        <v>0</v>
      </c>
      <c r="J901" t="n">
        <v>0</v>
      </c>
      <c r="K901" t="n">
        <v>0</v>
      </c>
      <c r="L901" t="n">
        <v>0</v>
      </c>
      <c r="M901" t="n">
        <v>0</v>
      </c>
      <c r="N901" t="n">
        <v>0</v>
      </c>
      <c r="O901" t="n">
        <v>0</v>
      </c>
      <c r="P901" t="n">
        <v>0</v>
      </c>
      <c r="Q901" t="n">
        <v>0</v>
      </c>
      <c r="R901" s="2" t="inlineStr"/>
    </row>
    <row r="902" ht="15" customHeight="1">
      <c r="A902" t="inlineStr">
        <is>
          <t>A 1087-2022</t>
        </is>
      </c>
      <c r="B902" s="1" t="n">
        <v>44571</v>
      </c>
      <c r="C902" s="1" t="n">
        <v>45847</v>
      </c>
      <c r="D902" t="inlineStr">
        <is>
          <t>JÄMTLANDS LÄN</t>
        </is>
      </c>
      <c r="E902" t="inlineStr">
        <is>
          <t>BRÄCKE</t>
        </is>
      </c>
      <c r="G902" t="n">
        <v>3.7</v>
      </c>
      <c r="H902" t="n">
        <v>0</v>
      </c>
      <c r="I902" t="n">
        <v>0</v>
      </c>
      <c r="J902" t="n">
        <v>0</v>
      </c>
      <c r="K902" t="n">
        <v>0</v>
      </c>
      <c r="L902" t="n">
        <v>0</v>
      </c>
      <c r="M902" t="n">
        <v>0</v>
      </c>
      <c r="N902" t="n">
        <v>0</v>
      </c>
      <c r="O902" t="n">
        <v>0</v>
      </c>
      <c r="P902" t="n">
        <v>0</v>
      </c>
      <c r="Q902" t="n">
        <v>0</v>
      </c>
      <c r="R902" s="2" t="inlineStr"/>
    </row>
    <row r="903" ht="15" customHeight="1">
      <c r="A903" t="inlineStr">
        <is>
          <t>A 1201-2022</t>
        </is>
      </c>
      <c r="B903" s="1" t="n">
        <v>44572</v>
      </c>
      <c r="C903" s="1" t="n">
        <v>45847</v>
      </c>
      <c r="D903" t="inlineStr">
        <is>
          <t>JÄMTLANDS LÄN</t>
        </is>
      </c>
      <c r="E903" t="inlineStr">
        <is>
          <t>BRÄCKE</t>
        </is>
      </c>
      <c r="G903" t="n">
        <v>13.7</v>
      </c>
      <c r="H903" t="n">
        <v>0</v>
      </c>
      <c r="I903" t="n">
        <v>0</v>
      </c>
      <c r="J903" t="n">
        <v>0</v>
      </c>
      <c r="K903" t="n">
        <v>0</v>
      </c>
      <c r="L903" t="n">
        <v>0</v>
      </c>
      <c r="M903" t="n">
        <v>0</v>
      </c>
      <c r="N903" t="n">
        <v>0</v>
      </c>
      <c r="O903" t="n">
        <v>0</v>
      </c>
      <c r="P903" t="n">
        <v>0</v>
      </c>
      <c r="Q903" t="n">
        <v>0</v>
      </c>
      <c r="R903" s="2" t="inlineStr"/>
    </row>
    <row r="904" ht="15" customHeight="1">
      <c r="A904" t="inlineStr">
        <is>
          <t>A 1340-2022</t>
        </is>
      </c>
      <c r="B904" s="1" t="n">
        <v>44572</v>
      </c>
      <c r="C904" s="1" t="n">
        <v>45847</v>
      </c>
      <c r="D904" t="inlineStr">
        <is>
          <t>JÄMTLANDS LÄN</t>
        </is>
      </c>
      <c r="E904" t="inlineStr">
        <is>
          <t>BRÄCKE</t>
        </is>
      </c>
      <c r="F904" t="inlineStr">
        <is>
          <t>SCA</t>
        </is>
      </c>
      <c r="G904" t="n">
        <v>23.7</v>
      </c>
      <c r="H904" t="n">
        <v>0</v>
      </c>
      <c r="I904" t="n">
        <v>0</v>
      </c>
      <c r="J904" t="n">
        <v>0</v>
      </c>
      <c r="K904" t="n">
        <v>0</v>
      </c>
      <c r="L904" t="n">
        <v>0</v>
      </c>
      <c r="M904" t="n">
        <v>0</v>
      </c>
      <c r="N904" t="n">
        <v>0</v>
      </c>
      <c r="O904" t="n">
        <v>0</v>
      </c>
      <c r="P904" t="n">
        <v>0</v>
      </c>
      <c r="Q904" t="n">
        <v>0</v>
      </c>
      <c r="R904" s="2" t="inlineStr"/>
    </row>
    <row r="905" ht="15" customHeight="1">
      <c r="A905" t="inlineStr">
        <is>
          <t>A 1865-2022</t>
        </is>
      </c>
      <c r="B905" s="1" t="n">
        <v>44574</v>
      </c>
      <c r="C905" s="1" t="n">
        <v>45847</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1863-2022</t>
        </is>
      </c>
      <c r="B906" s="1" t="n">
        <v>44574</v>
      </c>
      <c r="C906" s="1" t="n">
        <v>45847</v>
      </c>
      <c r="D906" t="inlineStr">
        <is>
          <t>JÄMTLANDS LÄN</t>
        </is>
      </c>
      <c r="E906" t="inlineStr">
        <is>
          <t>BRÄCKE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1866-2022</t>
        </is>
      </c>
      <c r="B907" s="1" t="n">
        <v>44574</v>
      </c>
      <c r="C907" s="1" t="n">
        <v>45847</v>
      </c>
      <c r="D907" t="inlineStr">
        <is>
          <t>JÄMTLANDS LÄN</t>
        </is>
      </c>
      <c r="E907" t="inlineStr">
        <is>
          <t>BRÄCKE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1864-2022</t>
        </is>
      </c>
      <c r="B908" s="1" t="n">
        <v>44574</v>
      </c>
      <c r="C908" s="1" t="n">
        <v>45847</v>
      </c>
      <c r="D908" t="inlineStr">
        <is>
          <t>JÄMTLANDS LÄN</t>
        </is>
      </c>
      <c r="E908" t="inlineStr">
        <is>
          <t>BRÄCKE</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2035-2022</t>
        </is>
      </c>
      <c r="B909" s="1" t="n">
        <v>44575</v>
      </c>
      <c r="C909" s="1" t="n">
        <v>45847</v>
      </c>
      <c r="D909" t="inlineStr">
        <is>
          <t>JÄMTLANDS LÄN</t>
        </is>
      </c>
      <c r="E909" t="inlineStr">
        <is>
          <t>BRÄCKE</t>
        </is>
      </c>
      <c r="G909" t="n">
        <v>2</v>
      </c>
      <c r="H909" t="n">
        <v>0</v>
      </c>
      <c r="I909" t="n">
        <v>0</v>
      </c>
      <c r="J909" t="n">
        <v>0</v>
      </c>
      <c r="K909" t="n">
        <v>0</v>
      </c>
      <c r="L909" t="n">
        <v>0</v>
      </c>
      <c r="M909" t="n">
        <v>0</v>
      </c>
      <c r="N909" t="n">
        <v>0</v>
      </c>
      <c r="O909" t="n">
        <v>0</v>
      </c>
      <c r="P909" t="n">
        <v>0</v>
      </c>
      <c r="Q909" t="n">
        <v>0</v>
      </c>
      <c r="R909" s="2" t="inlineStr"/>
    </row>
    <row r="910" ht="15" customHeight="1">
      <c r="A910" t="inlineStr">
        <is>
          <t>A 2645-2022</t>
        </is>
      </c>
      <c r="B910" s="1" t="n">
        <v>44580</v>
      </c>
      <c r="C910" s="1" t="n">
        <v>45847</v>
      </c>
      <c r="D910" t="inlineStr">
        <is>
          <t>JÄMTLANDS LÄN</t>
        </is>
      </c>
      <c r="E910" t="inlineStr">
        <is>
          <t>BRÄCKE</t>
        </is>
      </c>
      <c r="G910" t="n">
        <v>2.9</v>
      </c>
      <c r="H910" t="n">
        <v>0</v>
      </c>
      <c r="I910" t="n">
        <v>0</v>
      </c>
      <c r="J910" t="n">
        <v>0</v>
      </c>
      <c r="K910" t="n">
        <v>0</v>
      </c>
      <c r="L910" t="n">
        <v>0</v>
      </c>
      <c r="M910" t="n">
        <v>0</v>
      </c>
      <c r="N910" t="n">
        <v>0</v>
      </c>
      <c r="O910" t="n">
        <v>0</v>
      </c>
      <c r="P910" t="n">
        <v>0</v>
      </c>
      <c r="Q910" t="n">
        <v>0</v>
      </c>
      <c r="R910" s="2" t="inlineStr"/>
    </row>
    <row r="911" ht="15" customHeight="1">
      <c r="A911" t="inlineStr">
        <is>
          <t>A 3239-2022</t>
        </is>
      </c>
      <c r="B911" s="1" t="n">
        <v>44582</v>
      </c>
      <c r="C911" s="1" t="n">
        <v>45847</v>
      </c>
      <c r="D911" t="inlineStr">
        <is>
          <t>JÄMTLANDS LÄN</t>
        </is>
      </c>
      <c r="E911" t="inlineStr">
        <is>
          <t>BRÄCKE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3224-2022</t>
        </is>
      </c>
      <c r="B912" s="1" t="n">
        <v>44582</v>
      </c>
      <c r="C912" s="1" t="n">
        <v>45847</v>
      </c>
      <c r="D912" t="inlineStr">
        <is>
          <t>JÄMTLANDS LÄN</t>
        </is>
      </c>
      <c r="E912" t="inlineStr">
        <is>
          <t>BRÄCKE</t>
        </is>
      </c>
      <c r="G912" t="n">
        <v>1.7</v>
      </c>
      <c r="H912" t="n">
        <v>0</v>
      </c>
      <c r="I912" t="n">
        <v>0</v>
      </c>
      <c r="J912" t="n">
        <v>0</v>
      </c>
      <c r="K912" t="n">
        <v>0</v>
      </c>
      <c r="L912" t="n">
        <v>0</v>
      </c>
      <c r="M912" t="n">
        <v>0</v>
      </c>
      <c r="N912" t="n">
        <v>0</v>
      </c>
      <c r="O912" t="n">
        <v>0</v>
      </c>
      <c r="P912" t="n">
        <v>0</v>
      </c>
      <c r="Q912" t="n">
        <v>0</v>
      </c>
      <c r="R912" s="2" t="inlineStr"/>
    </row>
    <row r="913" ht="15" customHeight="1">
      <c r="A913" t="inlineStr">
        <is>
          <t>A 3694-2022</t>
        </is>
      </c>
      <c r="B913" s="1" t="n">
        <v>44586</v>
      </c>
      <c r="C913" s="1" t="n">
        <v>45847</v>
      </c>
      <c r="D913" t="inlineStr">
        <is>
          <t>JÄMTLANDS LÄN</t>
        </is>
      </c>
      <c r="E913" t="inlineStr">
        <is>
          <t>BRÄCKE</t>
        </is>
      </c>
      <c r="G913" t="n">
        <v>2.3</v>
      </c>
      <c r="H913" t="n">
        <v>0</v>
      </c>
      <c r="I913" t="n">
        <v>0</v>
      </c>
      <c r="J913" t="n">
        <v>0</v>
      </c>
      <c r="K913" t="n">
        <v>0</v>
      </c>
      <c r="L913" t="n">
        <v>0</v>
      </c>
      <c r="M913" t="n">
        <v>0</v>
      </c>
      <c r="N913" t="n">
        <v>0</v>
      </c>
      <c r="O913" t="n">
        <v>0</v>
      </c>
      <c r="P913" t="n">
        <v>0</v>
      </c>
      <c r="Q913" t="n">
        <v>0</v>
      </c>
      <c r="R913" s="2" t="inlineStr"/>
    </row>
    <row r="914" ht="15" customHeight="1">
      <c r="A914" t="inlineStr">
        <is>
          <t>A 3947-2022</t>
        </is>
      </c>
      <c r="B914" s="1" t="n">
        <v>44587</v>
      </c>
      <c r="C914" s="1" t="n">
        <v>45847</v>
      </c>
      <c r="D914" t="inlineStr">
        <is>
          <t>JÄMTLANDS LÄN</t>
        </is>
      </c>
      <c r="E914" t="inlineStr">
        <is>
          <t>BRÄCKE</t>
        </is>
      </c>
      <c r="G914" t="n">
        <v>0.4</v>
      </c>
      <c r="H914" t="n">
        <v>0</v>
      </c>
      <c r="I914" t="n">
        <v>0</v>
      </c>
      <c r="J914" t="n">
        <v>0</v>
      </c>
      <c r="K914" t="n">
        <v>0</v>
      </c>
      <c r="L914" t="n">
        <v>0</v>
      </c>
      <c r="M914" t="n">
        <v>0</v>
      </c>
      <c r="N914" t="n">
        <v>0</v>
      </c>
      <c r="O914" t="n">
        <v>0</v>
      </c>
      <c r="P914" t="n">
        <v>0</v>
      </c>
      <c r="Q914" t="n">
        <v>0</v>
      </c>
      <c r="R914" s="2" t="inlineStr"/>
    </row>
    <row r="915" ht="15" customHeight="1">
      <c r="A915" t="inlineStr">
        <is>
          <t>A 4338-2022</t>
        </is>
      </c>
      <c r="B915" s="1" t="n">
        <v>44588</v>
      </c>
      <c r="C915" s="1" t="n">
        <v>45847</v>
      </c>
      <c r="D915" t="inlineStr">
        <is>
          <t>JÄMTLANDS LÄN</t>
        </is>
      </c>
      <c r="E915" t="inlineStr">
        <is>
          <t>BRÄCKE</t>
        </is>
      </c>
      <c r="G915" t="n">
        <v>1.8</v>
      </c>
      <c r="H915" t="n">
        <v>0</v>
      </c>
      <c r="I915" t="n">
        <v>0</v>
      </c>
      <c r="J915" t="n">
        <v>0</v>
      </c>
      <c r="K915" t="n">
        <v>0</v>
      </c>
      <c r="L915" t="n">
        <v>0</v>
      </c>
      <c r="M915" t="n">
        <v>0</v>
      </c>
      <c r="N915" t="n">
        <v>0</v>
      </c>
      <c r="O915" t="n">
        <v>0</v>
      </c>
      <c r="P915" t="n">
        <v>0</v>
      </c>
      <c r="Q915" t="n">
        <v>0</v>
      </c>
      <c r="R915" s="2" t="inlineStr"/>
    </row>
    <row r="916" ht="15" customHeight="1">
      <c r="A916" t="inlineStr">
        <is>
          <t>A 4542-2022</t>
        </is>
      </c>
      <c r="B916" s="1" t="n">
        <v>44590</v>
      </c>
      <c r="C916" s="1" t="n">
        <v>45847</v>
      </c>
      <c r="D916" t="inlineStr">
        <is>
          <t>JÄMTLANDS LÄN</t>
        </is>
      </c>
      <c r="E916" t="inlineStr">
        <is>
          <t>BRÄCKE</t>
        </is>
      </c>
      <c r="G916" t="n">
        <v>18.5</v>
      </c>
      <c r="H916" t="n">
        <v>0</v>
      </c>
      <c r="I916" t="n">
        <v>0</v>
      </c>
      <c r="J916" t="n">
        <v>0</v>
      </c>
      <c r="K916" t="n">
        <v>0</v>
      </c>
      <c r="L916" t="n">
        <v>0</v>
      </c>
      <c r="M916" t="n">
        <v>0</v>
      </c>
      <c r="N916" t="n">
        <v>0</v>
      </c>
      <c r="O916" t="n">
        <v>0</v>
      </c>
      <c r="P916" t="n">
        <v>0</v>
      </c>
      <c r="Q916" t="n">
        <v>0</v>
      </c>
      <c r="R916" s="2" t="inlineStr"/>
    </row>
    <row r="917" ht="15" customHeight="1">
      <c r="A917" t="inlineStr">
        <is>
          <t>A 4635-2022</t>
        </is>
      </c>
      <c r="B917" s="1" t="n">
        <v>44592</v>
      </c>
      <c r="C917" s="1" t="n">
        <v>45847</v>
      </c>
      <c r="D917" t="inlineStr">
        <is>
          <t>JÄMTLANDS LÄN</t>
        </is>
      </c>
      <c r="E917" t="inlineStr">
        <is>
          <t>BRÄCKE</t>
        </is>
      </c>
      <c r="G917" t="n">
        <v>3.7</v>
      </c>
      <c r="H917" t="n">
        <v>0</v>
      </c>
      <c r="I917" t="n">
        <v>0</v>
      </c>
      <c r="J917" t="n">
        <v>0</v>
      </c>
      <c r="K917" t="n">
        <v>0</v>
      </c>
      <c r="L917" t="n">
        <v>0</v>
      </c>
      <c r="M917" t="n">
        <v>0</v>
      </c>
      <c r="N917" t="n">
        <v>0</v>
      </c>
      <c r="O917" t="n">
        <v>0</v>
      </c>
      <c r="P917" t="n">
        <v>0</v>
      </c>
      <c r="Q917" t="n">
        <v>0</v>
      </c>
      <c r="R917" s="2" t="inlineStr"/>
    </row>
    <row r="918" ht="15" customHeight="1">
      <c r="A918" t="inlineStr">
        <is>
          <t>A 4850-2022</t>
        </is>
      </c>
      <c r="B918" s="1" t="n">
        <v>44592</v>
      </c>
      <c r="C918" s="1" t="n">
        <v>45847</v>
      </c>
      <c r="D918" t="inlineStr">
        <is>
          <t>JÄMTLANDS LÄN</t>
        </is>
      </c>
      <c r="E918" t="inlineStr">
        <is>
          <t>BRÄCKE</t>
        </is>
      </c>
      <c r="G918" t="n">
        <v>7.6</v>
      </c>
      <c r="H918" t="n">
        <v>0</v>
      </c>
      <c r="I918" t="n">
        <v>0</v>
      </c>
      <c r="J918" t="n">
        <v>0</v>
      </c>
      <c r="K918" t="n">
        <v>0</v>
      </c>
      <c r="L918" t="n">
        <v>0</v>
      </c>
      <c r="M918" t="n">
        <v>0</v>
      </c>
      <c r="N918" t="n">
        <v>0</v>
      </c>
      <c r="O918" t="n">
        <v>0</v>
      </c>
      <c r="P918" t="n">
        <v>0</v>
      </c>
      <c r="Q918" t="n">
        <v>0</v>
      </c>
      <c r="R918" s="2" t="inlineStr"/>
    </row>
    <row r="919" ht="15" customHeight="1">
      <c r="A919" t="inlineStr">
        <is>
          <t>A 5377-2022</t>
        </is>
      </c>
      <c r="B919" s="1" t="n">
        <v>44594</v>
      </c>
      <c r="C919" s="1" t="n">
        <v>45847</v>
      </c>
      <c r="D919" t="inlineStr">
        <is>
          <t>JÄMTLANDS LÄN</t>
        </is>
      </c>
      <c r="E919" t="inlineStr">
        <is>
          <t>BRÄCKE</t>
        </is>
      </c>
      <c r="G919" t="n">
        <v>40.3</v>
      </c>
      <c r="H919" t="n">
        <v>0</v>
      </c>
      <c r="I919" t="n">
        <v>0</v>
      </c>
      <c r="J919" t="n">
        <v>0</v>
      </c>
      <c r="K919" t="n">
        <v>0</v>
      </c>
      <c r="L919" t="n">
        <v>0</v>
      </c>
      <c r="M919" t="n">
        <v>0</v>
      </c>
      <c r="N919" t="n">
        <v>0</v>
      </c>
      <c r="O919" t="n">
        <v>0</v>
      </c>
      <c r="P919" t="n">
        <v>0</v>
      </c>
      <c r="Q919" t="n">
        <v>0</v>
      </c>
      <c r="R919" s="2" t="inlineStr"/>
    </row>
    <row r="920" ht="15" customHeight="1">
      <c r="A920" t="inlineStr">
        <is>
          <t>A 5380-2022</t>
        </is>
      </c>
      <c r="B920" s="1" t="n">
        <v>44594</v>
      </c>
      <c r="C920" s="1" t="n">
        <v>45847</v>
      </c>
      <c r="D920" t="inlineStr">
        <is>
          <t>JÄMTLANDS LÄN</t>
        </is>
      </c>
      <c r="E920" t="inlineStr">
        <is>
          <t>BRÄCKE</t>
        </is>
      </c>
      <c r="F920" t="inlineStr">
        <is>
          <t>SCA</t>
        </is>
      </c>
      <c r="G920" t="n">
        <v>18.3</v>
      </c>
      <c r="H920" t="n">
        <v>0</v>
      </c>
      <c r="I920" t="n">
        <v>0</v>
      </c>
      <c r="J920" t="n">
        <v>0</v>
      </c>
      <c r="K920" t="n">
        <v>0</v>
      </c>
      <c r="L920" t="n">
        <v>0</v>
      </c>
      <c r="M920" t="n">
        <v>0</v>
      </c>
      <c r="N920" t="n">
        <v>0</v>
      </c>
      <c r="O920" t="n">
        <v>0</v>
      </c>
      <c r="P920" t="n">
        <v>0</v>
      </c>
      <c r="Q920" t="n">
        <v>0</v>
      </c>
      <c r="R920" s="2" t="inlineStr"/>
      <c r="U920">
        <f>HYPERLINK("https://klasma.github.io/Logging_2305/knärot/A 5380-2022 karta knärot.png", "A 5380-2022")</f>
        <v/>
      </c>
      <c r="V920">
        <f>HYPERLINK("https://klasma.github.io/Logging_2305/klagomål/A 5380-2022 FSC-klagomål.docx", "A 5380-2022")</f>
        <v/>
      </c>
      <c r="W920">
        <f>HYPERLINK("https://klasma.github.io/Logging_2305/klagomålsmail/A 5380-2022 FSC-klagomål mail.docx", "A 5380-2022")</f>
        <v/>
      </c>
      <c r="X920">
        <f>HYPERLINK("https://klasma.github.io/Logging_2305/tillsyn/A 5380-2022 tillsynsbegäran.docx", "A 5380-2022")</f>
        <v/>
      </c>
      <c r="Y920">
        <f>HYPERLINK("https://klasma.github.io/Logging_2305/tillsynsmail/A 5380-2022 tillsynsbegäran mail.docx", "A 5380-2022")</f>
        <v/>
      </c>
    </row>
    <row r="921" ht="15" customHeight="1">
      <c r="A921" t="inlineStr">
        <is>
          <t>A 5378-2022</t>
        </is>
      </c>
      <c r="B921" s="1" t="n">
        <v>44594</v>
      </c>
      <c r="C921" s="1" t="n">
        <v>45847</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6460-2022</t>
        </is>
      </c>
      <c r="B922" s="1" t="n">
        <v>44601</v>
      </c>
      <c r="C922" s="1" t="n">
        <v>45847</v>
      </c>
      <c r="D922" t="inlineStr">
        <is>
          <t>JÄMTLANDS LÄN</t>
        </is>
      </c>
      <c r="E922" t="inlineStr">
        <is>
          <t>BRÄCKE</t>
        </is>
      </c>
      <c r="G922" t="n">
        <v>1.6</v>
      </c>
      <c r="H922" t="n">
        <v>0</v>
      </c>
      <c r="I922" t="n">
        <v>0</v>
      </c>
      <c r="J922" t="n">
        <v>0</v>
      </c>
      <c r="K922" t="n">
        <v>0</v>
      </c>
      <c r="L922" t="n">
        <v>0</v>
      </c>
      <c r="M922" t="n">
        <v>0</v>
      </c>
      <c r="N922" t="n">
        <v>0</v>
      </c>
      <c r="O922" t="n">
        <v>0</v>
      </c>
      <c r="P922" t="n">
        <v>0</v>
      </c>
      <c r="Q922" t="n">
        <v>0</v>
      </c>
      <c r="R922" s="2" t="inlineStr"/>
    </row>
    <row r="923" ht="15" customHeight="1">
      <c r="A923" t="inlineStr">
        <is>
          <t>A 6461-2022</t>
        </is>
      </c>
      <c r="B923" s="1" t="n">
        <v>44601</v>
      </c>
      <c r="C923" s="1" t="n">
        <v>45847</v>
      </c>
      <c r="D923" t="inlineStr">
        <is>
          <t>JÄMTLANDS LÄN</t>
        </is>
      </c>
      <c r="E923" t="inlineStr">
        <is>
          <t>BRÄCKE</t>
        </is>
      </c>
      <c r="G923" t="n">
        <v>0.9</v>
      </c>
      <c r="H923" t="n">
        <v>0</v>
      </c>
      <c r="I923" t="n">
        <v>0</v>
      </c>
      <c r="J923" t="n">
        <v>0</v>
      </c>
      <c r="K923" t="n">
        <v>0</v>
      </c>
      <c r="L923" t="n">
        <v>0</v>
      </c>
      <c r="M923" t="n">
        <v>0</v>
      </c>
      <c r="N923" t="n">
        <v>0</v>
      </c>
      <c r="O923" t="n">
        <v>0</v>
      </c>
      <c r="P923" t="n">
        <v>0</v>
      </c>
      <c r="Q923" t="n">
        <v>0</v>
      </c>
      <c r="R923" s="2" t="inlineStr"/>
    </row>
    <row r="924" ht="15" customHeight="1">
      <c r="A924" t="inlineStr">
        <is>
          <t>A 6648-2022</t>
        </is>
      </c>
      <c r="B924" s="1" t="n">
        <v>44601</v>
      </c>
      <c r="C924" s="1" t="n">
        <v>45847</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7027-2022</t>
        </is>
      </c>
      <c r="B925" s="1" t="n">
        <v>44603</v>
      </c>
      <c r="C925" s="1" t="n">
        <v>45847</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8052-2022</t>
        </is>
      </c>
      <c r="B926" s="1" t="n">
        <v>44609</v>
      </c>
      <c r="C926" s="1" t="n">
        <v>45847</v>
      </c>
      <c r="D926" t="inlineStr">
        <is>
          <t>JÄMTLANDS LÄN</t>
        </is>
      </c>
      <c r="E926" t="inlineStr">
        <is>
          <t>BRÄCKE</t>
        </is>
      </c>
      <c r="G926" t="n">
        <v>0.6</v>
      </c>
      <c r="H926" t="n">
        <v>0</v>
      </c>
      <c r="I926" t="n">
        <v>0</v>
      </c>
      <c r="J926" t="n">
        <v>0</v>
      </c>
      <c r="K926" t="n">
        <v>0</v>
      </c>
      <c r="L926" t="n">
        <v>0</v>
      </c>
      <c r="M926" t="n">
        <v>0</v>
      </c>
      <c r="N926" t="n">
        <v>0</v>
      </c>
      <c r="O926" t="n">
        <v>0</v>
      </c>
      <c r="P926" t="n">
        <v>0</v>
      </c>
      <c r="Q926" t="n">
        <v>0</v>
      </c>
      <c r="R926" s="2" t="inlineStr"/>
    </row>
    <row r="927" ht="15" customHeight="1">
      <c r="A927" t="inlineStr">
        <is>
          <t>A 8422-2022</t>
        </is>
      </c>
      <c r="B927" s="1" t="n">
        <v>44610</v>
      </c>
      <c r="C927" s="1" t="n">
        <v>45847</v>
      </c>
      <c r="D927" t="inlineStr">
        <is>
          <t>JÄMTLANDS LÄN</t>
        </is>
      </c>
      <c r="E927" t="inlineStr">
        <is>
          <t>BRÄCKE</t>
        </is>
      </c>
      <c r="F927" t="inlineStr">
        <is>
          <t>SCA</t>
        </is>
      </c>
      <c r="G927" t="n">
        <v>0.5</v>
      </c>
      <c r="H927" t="n">
        <v>0</v>
      </c>
      <c r="I927" t="n">
        <v>0</v>
      </c>
      <c r="J927" t="n">
        <v>0</v>
      </c>
      <c r="K927" t="n">
        <v>0</v>
      </c>
      <c r="L927" t="n">
        <v>0</v>
      </c>
      <c r="M927" t="n">
        <v>0</v>
      </c>
      <c r="N927" t="n">
        <v>0</v>
      </c>
      <c r="O927" t="n">
        <v>0</v>
      </c>
      <c r="P927" t="n">
        <v>0</v>
      </c>
      <c r="Q927" t="n">
        <v>0</v>
      </c>
      <c r="R927" s="2" t="inlineStr"/>
    </row>
    <row r="928" ht="15" customHeight="1">
      <c r="A928" t="inlineStr">
        <is>
          <t>A 10130-2022</t>
        </is>
      </c>
      <c r="B928" s="1" t="n">
        <v>44621</v>
      </c>
      <c r="C928" s="1" t="n">
        <v>45847</v>
      </c>
      <c r="D928" t="inlineStr">
        <is>
          <t>JÄMTLANDS LÄN</t>
        </is>
      </c>
      <c r="E928" t="inlineStr">
        <is>
          <t>BRÄCKE</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10129-2022</t>
        </is>
      </c>
      <c r="B929" s="1" t="n">
        <v>44621</v>
      </c>
      <c r="C929" s="1" t="n">
        <v>45847</v>
      </c>
      <c r="D929" t="inlineStr">
        <is>
          <t>JÄMTLANDS LÄN</t>
        </is>
      </c>
      <c r="E929" t="inlineStr">
        <is>
          <t>BRÄCKE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10476-2022</t>
        </is>
      </c>
      <c r="B930" s="1" t="n">
        <v>44623</v>
      </c>
      <c r="C930" s="1" t="n">
        <v>45847</v>
      </c>
      <c r="D930" t="inlineStr">
        <is>
          <t>JÄMTLANDS LÄN</t>
        </is>
      </c>
      <c r="E930" t="inlineStr">
        <is>
          <t>BRÄCKE</t>
        </is>
      </c>
      <c r="G930" t="n">
        <v>3.8</v>
      </c>
      <c r="H930" t="n">
        <v>0</v>
      </c>
      <c r="I930" t="n">
        <v>0</v>
      </c>
      <c r="J930" t="n">
        <v>0</v>
      </c>
      <c r="K930" t="n">
        <v>0</v>
      </c>
      <c r="L930" t="n">
        <v>0</v>
      </c>
      <c r="M930" t="n">
        <v>0</v>
      </c>
      <c r="N930" t="n">
        <v>0</v>
      </c>
      <c r="O930" t="n">
        <v>0</v>
      </c>
      <c r="P930" t="n">
        <v>0</v>
      </c>
      <c r="Q930" t="n">
        <v>0</v>
      </c>
      <c r="R930" s="2" t="inlineStr"/>
    </row>
    <row r="931" ht="15" customHeight="1">
      <c r="A931" t="inlineStr">
        <is>
          <t>A 10532-2022</t>
        </is>
      </c>
      <c r="B931" s="1" t="n">
        <v>44623</v>
      </c>
      <c r="C931" s="1" t="n">
        <v>45847</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10536-2022</t>
        </is>
      </c>
      <c r="B932" s="1" t="n">
        <v>44623</v>
      </c>
      <c r="C932" s="1" t="n">
        <v>45847</v>
      </c>
      <c r="D932" t="inlineStr">
        <is>
          <t>JÄMTLANDS LÄN</t>
        </is>
      </c>
      <c r="E932" t="inlineStr">
        <is>
          <t>BRÄCKE</t>
        </is>
      </c>
      <c r="G932" t="n">
        <v>3.1</v>
      </c>
      <c r="H932" t="n">
        <v>0</v>
      </c>
      <c r="I932" t="n">
        <v>0</v>
      </c>
      <c r="J932" t="n">
        <v>0</v>
      </c>
      <c r="K932" t="n">
        <v>0</v>
      </c>
      <c r="L932" t="n">
        <v>0</v>
      </c>
      <c r="M932" t="n">
        <v>0</v>
      </c>
      <c r="N932" t="n">
        <v>0</v>
      </c>
      <c r="O932" t="n">
        <v>0</v>
      </c>
      <c r="P932" t="n">
        <v>0</v>
      </c>
      <c r="Q932" t="n">
        <v>0</v>
      </c>
      <c r="R932" s="2" t="inlineStr"/>
    </row>
    <row r="933" ht="15" customHeight="1">
      <c r="A933" t="inlineStr">
        <is>
          <t>A 10540-2022</t>
        </is>
      </c>
      <c r="B933" s="1" t="n">
        <v>44623</v>
      </c>
      <c r="C933" s="1" t="n">
        <v>45847</v>
      </c>
      <c r="D933" t="inlineStr">
        <is>
          <t>JÄMTLANDS LÄN</t>
        </is>
      </c>
      <c r="E933" t="inlineStr">
        <is>
          <t>BRÄCKE</t>
        </is>
      </c>
      <c r="G933" t="n">
        <v>2.1</v>
      </c>
      <c r="H933" t="n">
        <v>0</v>
      </c>
      <c r="I933" t="n">
        <v>0</v>
      </c>
      <c r="J933" t="n">
        <v>0</v>
      </c>
      <c r="K933" t="n">
        <v>0</v>
      </c>
      <c r="L933" t="n">
        <v>0</v>
      </c>
      <c r="M933" t="n">
        <v>0</v>
      </c>
      <c r="N933" t="n">
        <v>0</v>
      </c>
      <c r="O933" t="n">
        <v>0</v>
      </c>
      <c r="P933" t="n">
        <v>0</v>
      </c>
      <c r="Q933" t="n">
        <v>0</v>
      </c>
      <c r="R933" s="2" t="inlineStr"/>
    </row>
    <row r="934" ht="15" customHeight="1">
      <c r="A934" t="inlineStr">
        <is>
          <t>A 10535-2022</t>
        </is>
      </c>
      <c r="B934" s="1" t="n">
        <v>44623</v>
      </c>
      <c r="C934" s="1" t="n">
        <v>45847</v>
      </c>
      <c r="D934" t="inlineStr">
        <is>
          <t>JÄMTLANDS LÄN</t>
        </is>
      </c>
      <c r="E934" t="inlineStr">
        <is>
          <t>BRÄCKE</t>
        </is>
      </c>
      <c r="G934" t="n">
        <v>0.7</v>
      </c>
      <c r="H934" t="n">
        <v>0</v>
      </c>
      <c r="I934" t="n">
        <v>0</v>
      </c>
      <c r="J934" t="n">
        <v>0</v>
      </c>
      <c r="K934" t="n">
        <v>0</v>
      </c>
      <c r="L934" t="n">
        <v>0</v>
      </c>
      <c r="M934" t="n">
        <v>0</v>
      </c>
      <c r="N934" t="n">
        <v>0</v>
      </c>
      <c r="O934" t="n">
        <v>0</v>
      </c>
      <c r="P934" t="n">
        <v>0</v>
      </c>
      <c r="Q934" t="n">
        <v>0</v>
      </c>
      <c r="R934" s="2" t="inlineStr"/>
    </row>
    <row r="935" ht="15" customHeight="1">
      <c r="A935" t="inlineStr">
        <is>
          <t>A 10539-2022</t>
        </is>
      </c>
      <c r="B935" s="1" t="n">
        <v>44623</v>
      </c>
      <c r="C935" s="1" t="n">
        <v>45847</v>
      </c>
      <c r="D935" t="inlineStr">
        <is>
          <t>JÄMTLANDS LÄN</t>
        </is>
      </c>
      <c r="E935" t="inlineStr">
        <is>
          <t>BRÄCKE</t>
        </is>
      </c>
      <c r="G935" t="n">
        <v>0.8</v>
      </c>
      <c r="H935" t="n">
        <v>0</v>
      </c>
      <c r="I935" t="n">
        <v>0</v>
      </c>
      <c r="J935" t="n">
        <v>0</v>
      </c>
      <c r="K935" t="n">
        <v>0</v>
      </c>
      <c r="L935" t="n">
        <v>0</v>
      </c>
      <c r="M935" t="n">
        <v>0</v>
      </c>
      <c r="N935" t="n">
        <v>0</v>
      </c>
      <c r="O935" t="n">
        <v>0</v>
      </c>
      <c r="P935" t="n">
        <v>0</v>
      </c>
      <c r="Q935" t="n">
        <v>0</v>
      </c>
      <c r="R935" s="2" t="inlineStr"/>
    </row>
    <row r="936" ht="15" customHeight="1">
      <c r="A936" t="inlineStr">
        <is>
          <t>A 10543-2022</t>
        </is>
      </c>
      <c r="B936" s="1" t="n">
        <v>44623</v>
      </c>
      <c r="C936" s="1" t="n">
        <v>45847</v>
      </c>
      <c r="D936" t="inlineStr">
        <is>
          <t>JÄMTLANDS LÄN</t>
        </is>
      </c>
      <c r="E936" t="inlineStr">
        <is>
          <t>BRÄCKE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10534-2022</t>
        </is>
      </c>
      <c r="B937" s="1" t="n">
        <v>44623</v>
      </c>
      <c r="C937" s="1" t="n">
        <v>45847</v>
      </c>
      <c r="D937" t="inlineStr">
        <is>
          <t>JÄMTLANDS LÄN</t>
        </is>
      </c>
      <c r="E937" t="inlineStr">
        <is>
          <t>BRÄCKE</t>
        </is>
      </c>
      <c r="G937" t="n">
        <v>2.5</v>
      </c>
      <c r="H937" t="n">
        <v>0</v>
      </c>
      <c r="I937" t="n">
        <v>0</v>
      </c>
      <c r="J937" t="n">
        <v>0</v>
      </c>
      <c r="K937" t="n">
        <v>0</v>
      </c>
      <c r="L937" t="n">
        <v>0</v>
      </c>
      <c r="M937" t="n">
        <v>0</v>
      </c>
      <c r="N937" t="n">
        <v>0</v>
      </c>
      <c r="O937" t="n">
        <v>0</v>
      </c>
      <c r="P937" t="n">
        <v>0</v>
      </c>
      <c r="Q937" t="n">
        <v>0</v>
      </c>
      <c r="R937" s="2" t="inlineStr"/>
    </row>
    <row r="938" ht="15" customHeight="1">
      <c r="A938" t="inlineStr">
        <is>
          <t>A 10538-2022</t>
        </is>
      </c>
      <c r="B938" s="1" t="n">
        <v>44623</v>
      </c>
      <c r="C938" s="1" t="n">
        <v>45847</v>
      </c>
      <c r="D938" t="inlineStr">
        <is>
          <t>JÄMTLANDS LÄN</t>
        </is>
      </c>
      <c r="E938" t="inlineStr">
        <is>
          <t>BRÄCKE</t>
        </is>
      </c>
      <c r="G938" t="n">
        <v>0.9</v>
      </c>
      <c r="H938" t="n">
        <v>0</v>
      </c>
      <c r="I938" t="n">
        <v>0</v>
      </c>
      <c r="J938" t="n">
        <v>0</v>
      </c>
      <c r="K938" t="n">
        <v>0</v>
      </c>
      <c r="L938" t="n">
        <v>0</v>
      </c>
      <c r="M938" t="n">
        <v>0</v>
      </c>
      <c r="N938" t="n">
        <v>0</v>
      </c>
      <c r="O938" t="n">
        <v>0</v>
      </c>
      <c r="P938" t="n">
        <v>0</v>
      </c>
      <c r="Q938" t="n">
        <v>0</v>
      </c>
      <c r="R938" s="2" t="inlineStr"/>
    </row>
    <row r="939" ht="15" customHeight="1">
      <c r="A939" t="inlineStr">
        <is>
          <t>A 10542-2022</t>
        </is>
      </c>
      <c r="B939" s="1" t="n">
        <v>44623</v>
      </c>
      <c r="C939" s="1" t="n">
        <v>45847</v>
      </c>
      <c r="D939" t="inlineStr">
        <is>
          <t>JÄMTLANDS LÄN</t>
        </is>
      </c>
      <c r="E939" t="inlineStr">
        <is>
          <t>BRÄCKE</t>
        </is>
      </c>
      <c r="G939" t="n">
        <v>2.9</v>
      </c>
      <c r="H939" t="n">
        <v>0</v>
      </c>
      <c r="I939" t="n">
        <v>0</v>
      </c>
      <c r="J939" t="n">
        <v>0</v>
      </c>
      <c r="K939" t="n">
        <v>0</v>
      </c>
      <c r="L939" t="n">
        <v>0</v>
      </c>
      <c r="M939" t="n">
        <v>0</v>
      </c>
      <c r="N939" t="n">
        <v>0</v>
      </c>
      <c r="O939" t="n">
        <v>0</v>
      </c>
      <c r="P939" t="n">
        <v>0</v>
      </c>
      <c r="Q939" t="n">
        <v>0</v>
      </c>
      <c r="R939" s="2" t="inlineStr"/>
    </row>
    <row r="940" ht="15" customHeight="1">
      <c r="A940" t="inlineStr">
        <is>
          <t>A 10533-2022</t>
        </is>
      </c>
      <c r="B940" s="1" t="n">
        <v>44623</v>
      </c>
      <c r="C940" s="1" t="n">
        <v>45847</v>
      </c>
      <c r="D940" t="inlineStr">
        <is>
          <t>JÄMTLANDS LÄN</t>
        </is>
      </c>
      <c r="E940" t="inlineStr">
        <is>
          <t>BRÄCKE</t>
        </is>
      </c>
      <c r="G940" t="n">
        <v>5.4</v>
      </c>
      <c r="H940" t="n">
        <v>0</v>
      </c>
      <c r="I940" t="n">
        <v>0</v>
      </c>
      <c r="J940" t="n">
        <v>0</v>
      </c>
      <c r="K940" t="n">
        <v>0</v>
      </c>
      <c r="L940" t="n">
        <v>0</v>
      </c>
      <c r="M940" t="n">
        <v>0</v>
      </c>
      <c r="N940" t="n">
        <v>0</v>
      </c>
      <c r="O940" t="n">
        <v>0</v>
      </c>
      <c r="P940" t="n">
        <v>0</v>
      </c>
      <c r="Q940" t="n">
        <v>0</v>
      </c>
      <c r="R940" s="2" t="inlineStr"/>
    </row>
    <row r="941" ht="15" customHeight="1">
      <c r="A941" t="inlineStr">
        <is>
          <t>A 10537-2022</t>
        </is>
      </c>
      <c r="B941" s="1" t="n">
        <v>44623</v>
      </c>
      <c r="C941" s="1" t="n">
        <v>45847</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10815-2022</t>
        </is>
      </c>
      <c r="B942" s="1" t="n">
        <v>44627</v>
      </c>
      <c r="C942" s="1" t="n">
        <v>45847</v>
      </c>
      <c r="D942" t="inlineStr">
        <is>
          <t>JÄMTLANDS LÄN</t>
        </is>
      </c>
      <c r="E942" t="inlineStr">
        <is>
          <t>BRÄCKE</t>
        </is>
      </c>
      <c r="G942" t="n">
        <v>9</v>
      </c>
      <c r="H942" t="n">
        <v>0</v>
      </c>
      <c r="I942" t="n">
        <v>0</v>
      </c>
      <c r="J942" t="n">
        <v>0</v>
      </c>
      <c r="K942" t="n">
        <v>0</v>
      </c>
      <c r="L942" t="n">
        <v>0</v>
      </c>
      <c r="M942" t="n">
        <v>0</v>
      </c>
      <c r="N942" t="n">
        <v>0</v>
      </c>
      <c r="O942" t="n">
        <v>0</v>
      </c>
      <c r="P942" t="n">
        <v>0</v>
      </c>
      <c r="Q942" t="n">
        <v>0</v>
      </c>
      <c r="R942" s="2" t="inlineStr"/>
    </row>
    <row r="943" ht="15" customHeight="1">
      <c r="A943" t="inlineStr">
        <is>
          <t>A 11093-2022</t>
        </is>
      </c>
      <c r="B943" s="1" t="n">
        <v>44628</v>
      </c>
      <c r="C943" s="1" t="n">
        <v>45847</v>
      </c>
      <c r="D943" t="inlineStr">
        <is>
          <t>JÄMTLANDS LÄN</t>
        </is>
      </c>
      <c r="E943" t="inlineStr">
        <is>
          <t>BRÄCKE</t>
        </is>
      </c>
      <c r="G943" t="n">
        <v>16.4</v>
      </c>
      <c r="H943" t="n">
        <v>0</v>
      </c>
      <c r="I943" t="n">
        <v>0</v>
      </c>
      <c r="J943" t="n">
        <v>0</v>
      </c>
      <c r="K943" t="n">
        <v>0</v>
      </c>
      <c r="L943" t="n">
        <v>0</v>
      </c>
      <c r="M943" t="n">
        <v>0</v>
      </c>
      <c r="N943" t="n">
        <v>0</v>
      </c>
      <c r="O943" t="n">
        <v>0</v>
      </c>
      <c r="P943" t="n">
        <v>0</v>
      </c>
      <c r="Q943" t="n">
        <v>0</v>
      </c>
      <c r="R943" s="2" t="inlineStr"/>
    </row>
    <row r="944" ht="15" customHeight="1">
      <c r="A944" t="inlineStr">
        <is>
          <t>A 11313-2022</t>
        </is>
      </c>
      <c r="B944" s="1" t="n">
        <v>44629</v>
      </c>
      <c r="C944" s="1" t="n">
        <v>45847</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12388-2022</t>
        </is>
      </c>
      <c r="B945" s="1" t="n">
        <v>44637</v>
      </c>
      <c r="C945" s="1" t="n">
        <v>45847</v>
      </c>
      <c r="D945" t="inlineStr">
        <is>
          <t>JÄMTLANDS LÄN</t>
        </is>
      </c>
      <c r="E945" t="inlineStr">
        <is>
          <t>BRÄCKE</t>
        </is>
      </c>
      <c r="G945" t="n">
        <v>27.6</v>
      </c>
      <c r="H945" t="n">
        <v>0</v>
      </c>
      <c r="I945" t="n">
        <v>0</v>
      </c>
      <c r="J945" t="n">
        <v>0</v>
      </c>
      <c r="K945" t="n">
        <v>0</v>
      </c>
      <c r="L945" t="n">
        <v>0</v>
      </c>
      <c r="M945" t="n">
        <v>0</v>
      </c>
      <c r="N945" t="n">
        <v>0</v>
      </c>
      <c r="O945" t="n">
        <v>0</v>
      </c>
      <c r="P945" t="n">
        <v>0</v>
      </c>
      <c r="Q945" t="n">
        <v>0</v>
      </c>
      <c r="R945" s="2" t="inlineStr"/>
    </row>
    <row r="946" ht="15" customHeight="1">
      <c r="A946" t="inlineStr">
        <is>
          <t>A 12610-2022</t>
        </is>
      </c>
      <c r="B946" s="1" t="n">
        <v>44638</v>
      </c>
      <c r="C946" s="1" t="n">
        <v>45847</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12601-2022</t>
        </is>
      </c>
      <c r="B947" s="1" t="n">
        <v>44638</v>
      </c>
      <c r="C947" s="1" t="n">
        <v>45847</v>
      </c>
      <c r="D947" t="inlineStr">
        <is>
          <t>JÄMTLANDS LÄN</t>
        </is>
      </c>
      <c r="E947" t="inlineStr">
        <is>
          <t>BRÄCKE</t>
        </is>
      </c>
      <c r="G947" t="n">
        <v>3.1</v>
      </c>
      <c r="H947" t="n">
        <v>0</v>
      </c>
      <c r="I947" t="n">
        <v>0</v>
      </c>
      <c r="J947" t="n">
        <v>0</v>
      </c>
      <c r="K947" t="n">
        <v>0</v>
      </c>
      <c r="L947" t="n">
        <v>0</v>
      </c>
      <c r="M947" t="n">
        <v>0</v>
      </c>
      <c r="N947" t="n">
        <v>0</v>
      </c>
      <c r="O947" t="n">
        <v>0</v>
      </c>
      <c r="P947" t="n">
        <v>0</v>
      </c>
      <c r="Q947" t="n">
        <v>0</v>
      </c>
      <c r="R947" s="2" t="inlineStr"/>
    </row>
    <row r="948" ht="15" customHeight="1">
      <c r="A948" t="inlineStr">
        <is>
          <t>A 13525-2022</t>
        </is>
      </c>
      <c r="B948" s="1" t="n">
        <v>44648</v>
      </c>
      <c r="C948" s="1" t="n">
        <v>45847</v>
      </c>
      <c r="D948" t="inlineStr">
        <is>
          <t>JÄMTLANDS LÄN</t>
        </is>
      </c>
      <c r="E948" t="inlineStr">
        <is>
          <t>BRÄCKE</t>
        </is>
      </c>
      <c r="G948" t="n">
        <v>0.5</v>
      </c>
      <c r="H948" t="n">
        <v>0</v>
      </c>
      <c r="I948" t="n">
        <v>0</v>
      </c>
      <c r="J948" t="n">
        <v>0</v>
      </c>
      <c r="K948" t="n">
        <v>0</v>
      </c>
      <c r="L948" t="n">
        <v>0</v>
      </c>
      <c r="M948" t="n">
        <v>0</v>
      </c>
      <c r="N948" t="n">
        <v>0</v>
      </c>
      <c r="O948" t="n">
        <v>0</v>
      </c>
      <c r="P948" t="n">
        <v>0</v>
      </c>
      <c r="Q948" t="n">
        <v>0</v>
      </c>
      <c r="R948" s="2" t="inlineStr"/>
    </row>
    <row r="949" ht="15" customHeight="1">
      <c r="A949" t="inlineStr">
        <is>
          <t>A 15093-2022</t>
        </is>
      </c>
      <c r="B949" s="1" t="n">
        <v>44657</v>
      </c>
      <c r="C949" s="1" t="n">
        <v>45847</v>
      </c>
      <c r="D949" t="inlineStr">
        <is>
          <t>JÄMTLANDS LÄN</t>
        </is>
      </c>
      <c r="E949" t="inlineStr">
        <is>
          <t>BRÄCKE</t>
        </is>
      </c>
      <c r="F949" t="inlineStr">
        <is>
          <t>SCA</t>
        </is>
      </c>
      <c r="G949" t="n">
        <v>14.4</v>
      </c>
      <c r="H949" t="n">
        <v>0</v>
      </c>
      <c r="I949" t="n">
        <v>0</v>
      </c>
      <c r="J949" t="n">
        <v>0</v>
      </c>
      <c r="K949" t="n">
        <v>0</v>
      </c>
      <c r="L949" t="n">
        <v>0</v>
      </c>
      <c r="M949" t="n">
        <v>0</v>
      </c>
      <c r="N949" t="n">
        <v>0</v>
      </c>
      <c r="O949" t="n">
        <v>0</v>
      </c>
      <c r="P949" t="n">
        <v>0</v>
      </c>
      <c r="Q949" t="n">
        <v>0</v>
      </c>
      <c r="R949" s="2" t="inlineStr"/>
    </row>
    <row r="950" ht="15" customHeight="1">
      <c r="A950" t="inlineStr">
        <is>
          <t>A 16526-2022</t>
        </is>
      </c>
      <c r="B950" s="1" t="n">
        <v>44672</v>
      </c>
      <c r="C950" s="1" t="n">
        <v>45847</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17578-2022</t>
        </is>
      </c>
      <c r="B951" s="1" t="n">
        <v>44679</v>
      </c>
      <c r="C951" s="1" t="n">
        <v>45847</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17577-2022</t>
        </is>
      </c>
      <c r="B952" s="1" t="n">
        <v>44679</v>
      </c>
      <c r="C952" s="1" t="n">
        <v>45847</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17738-2022</t>
        </is>
      </c>
      <c r="B953" s="1" t="n">
        <v>44681</v>
      </c>
      <c r="C953" s="1" t="n">
        <v>45847</v>
      </c>
      <c r="D953" t="inlineStr">
        <is>
          <t>JÄMTLANDS LÄN</t>
        </is>
      </c>
      <c r="E953" t="inlineStr">
        <is>
          <t>BRÄCKE</t>
        </is>
      </c>
      <c r="F953" t="inlineStr">
        <is>
          <t>SCA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17996-2022</t>
        </is>
      </c>
      <c r="B954" s="1" t="n">
        <v>44683</v>
      </c>
      <c r="C954" s="1" t="n">
        <v>45847</v>
      </c>
      <c r="D954" t="inlineStr">
        <is>
          <t>JÄMTLANDS LÄN</t>
        </is>
      </c>
      <c r="E954" t="inlineStr">
        <is>
          <t>BRÄCKE</t>
        </is>
      </c>
      <c r="G954" t="n">
        <v>2.8</v>
      </c>
      <c r="H954" t="n">
        <v>0</v>
      </c>
      <c r="I954" t="n">
        <v>0</v>
      </c>
      <c r="J954" t="n">
        <v>0</v>
      </c>
      <c r="K954" t="n">
        <v>0</v>
      </c>
      <c r="L954" t="n">
        <v>0</v>
      </c>
      <c r="M954" t="n">
        <v>0</v>
      </c>
      <c r="N954" t="n">
        <v>0</v>
      </c>
      <c r="O954" t="n">
        <v>0</v>
      </c>
      <c r="P954" t="n">
        <v>0</v>
      </c>
      <c r="Q954" t="n">
        <v>0</v>
      </c>
      <c r="R954" s="2" t="inlineStr"/>
    </row>
    <row r="955" ht="15" customHeight="1">
      <c r="A955" t="inlineStr">
        <is>
          <t>A 18221-2022</t>
        </is>
      </c>
      <c r="B955" s="1" t="n">
        <v>44685</v>
      </c>
      <c r="C955" s="1" t="n">
        <v>45847</v>
      </c>
      <c r="D955" t="inlineStr">
        <is>
          <t>JÄMTLANDS LÄN</t>
        </is>
      </c>
      <c r="E955" t="inlineStr">
        <is>
          <t>BRÄCKE</t>
        </is>
      </c>
      <c r="G955" t="n">
        <v>1.5</v>
      </c>
      <c r="H955" t="n">
        <v>0</v>
      </c>
      <c r="I955" t="n">
        <v>0</v>
      </c>
      <c r="J955" t="n">
        <v>0</v>
      </c>
      <c r="K955" t="n">
        <v>0</v>
      </c>
      <c r="L955" t="n">
        <v>0</v>
      </c>
      <c r="M955" t="n">
        <v>0</v>
      </c>
      <c r="N955" t="n">
        <v>0</v>
      </c>
      <c r="O955" t="n">
        <v>0</v>
      </c>
      <c r="P955" t="n">
        <v>0</v>
      </c>
      <c r="Q955" t="n">
        <v>0</v>
      </c>
      <c r="R955" s="2" t="inlineStr"/>
    </row>
    <row r="956" ht="15" customHeight="1">
      <c r="A956" t="inlineStr">
        <is>
          <t>A 18371-2022</t>
        </is>
      </c>
      <c r="B956" s="1" t="n">
        <v>44686</v>
      </c>
      <c r="C956" s="1" t="n">
        <v>45847</v>
      </c>
      <c r="D956" t="inlineStr">
        <is>
          <t>JÄMTLANDS LÄN</t>
        </is>
      </c>
      <c r="E956" t="inlineStr">
        <is>
          <t>BRÄCKE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18977-2022</t>
        </is>
      </c>
      <c r="B957" s="1" t="n">
        <v>44690</v>
      </c>
      <c r="C957" s="1" t="n">
        <v>45847</v>
      </c>
      <c r="D957" t="inlineStr">
        <is>
          <t>JÄMTLANDS LÄN</t>
        </is>
      </c>
      <c r="E957" t="inlineStr">
        <is>
          <t>BRÄCKE</t>
        </is>
      </c>
      <c r="G957" t="n">
        <v>4.6</v>
      </c>
      <c r="H957" t="n">
        <v>0</v>
      </c>
      <c r="I957" t="n">
        <v>0</v>
      </c>
      <c r="J957" t="n">
        <v>0</v>
      </c>
      <c r="K957" t="n">
        <v>0</v>
      </c>
      <c r="L957" t="n">
        <v>0</v>
      </c>
      <c r="M957" t="n">
        <v>0</v>
      </c>
      <c r="N957" t="n">
        <v>0</v>
      </c>
      <c r="O957" t="n">
        <v>0</v>
      </c>
      <c r="P957" t="n">
        <v>0</v>
      </c>
      <c r="Q957" t="n">
        <v>0</v>
      </c>
      <c r="R957" s="2" t="inlineStr"/>
    </row>
    <row r="958" ht="15" customHeight="1">
      <c r="A958" t="inlineStr">
        <is>
          <t>A 18984-2022</t>
        </is>
      </c>
      <c r="B958" s="1" t="n">
        <v>44690</v>
      </c>
      <c r="C958" s="1" t="n">
        <v>45847</v>
      </c>
      <c r="D958" t="inlineStr">
        <is>
          <t>JÄMTLANDS LÄN</t>
        </is>
      </c>
      <c r="E958" t="inlineStr">
        <is>
          <t>BRÄCKE</t>
        </is>
      </c>
      <c r="G958" t="n">
        <v>2.7</v>
      </c>
      <c r="H958" t="n">
        <v>0</v>
      </c>
      <c r="I958" t="n">
        <v>0</v>
      </c>
      <c r="J958" t="n">
        <v>0</v>
      </c>
      <c r="K958" t="n">
        <v>0</v>
      </c>
      <c r="L958" t="n">
        <v>0</v>
      </c>
      <c r="M958" t="n">
        <v>0</v>
      </c>
      <c r="N958" t="n">
        <v>0</v>
      </c>
      <c r="O958" t="n">
        <v>0</v>
      </c>
      <c r="P958" t="n">
        <v>0</v>
      </c>
      <c r="Q958" t="n">
        <v>0</v>
      </c>
      <c r="R958" s="2" t="inlineStr"/>
    </row>
    <row r="959" ht="15" customHeight="1">
      <c r="A959" t="inlineStr">
        <is>
          <t>A 18975-2022</t>
        </is>
      </c>
      <c r="B959" s="1" t="n">
        <v>44691</v>
      </c>
      <c r="C959" s="1" t="n">
        <v>45847</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18981-2022</t>
        </is>
      </c>
      <c r="B960" s="1" t="n">
        <v>44690</v>
      </c>
      <c r="C960" s="1" t="n">
        <v>45847</v>
      </c>
      <c r="D960" t="inlineStr">
        <is>
          <t>JÄMTLANDS LÄN</t>
        </is>
      </c>
      <c r="E960" t="inlineStr">
        <is>
          <t>BRÄCKE</t>
        </is>
      </c>
      <c r="G960" t="n">
        <v>7.7</v>
      </c>
      <c r="H960" t="n">
        <v>0</v>
      </c>
      <c r="I960" t="n">
        <v>0</v>
      </c>
      <c r="J960" t="n">
        <v>0</v>
      </c>
      <c r="K960" t="n">
        <v>0</v>
      </c>
      <c r="L960" t="n">
        <v>0</v>
      </c>
      <c r="M960" t="n">
        <v>0</v>
      </c>
      <c r="N960" t="n">
        <v>0</v>
      </c>
      <c r="O960" t="n">
        <v>0</v>
      </c>
      <c r="P960" t="n">
        <v>0</v>
      </c>
      <c r="Q960" t="n">
        <v>0</v>
      </c>
      <c r="R960" s="2" t="inlineStr"/>
    </row>
    <row r="961" ht="15" customHeight="1">
      <c r="A961" t="inlineStr">
        <is>
          <t>A 18976-2022</t>
        </is>
      </c>
      <c r="B961" s="1" t="n">
        <v>44691</v>
      </c>
      <c r="C961" s="1" t="n">
        <v>45847</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18982-2022</t>
        </is>
      </c>
      <c r="B962" s="1" t="n">
        <v>44691</v>
      </c>
      <c r="C962" s="1" t="n">
        <v>45847</v>
      </c>
      <c r="D962" t="inlineStr">
        <is>
          <t>JÄMTLANDS LÄN</t>
        </is>
      </c>
      <c r="E962" t="inlineStr">
        <is>
          <t>BRÄCKE</t>
        </is>
      </c>
      <c r="G962" t="n">
        <v>2.8</v>
      </c>
      <c r="H962" t="n">
        <v>0</v>
      </c>
      <c r="I962" t="n">
        <v>0</v>
      </c>
      <c r="J962" t="n">
        <v>0</v>
      </c>
      <c r="K962" t="n">
        <v>0</v>
      </c>
      <c r="L962" t="n">
        <v>0</v>
      </c>
      <c r="M962" t="n">
        <v>0</v>
      </c>
      <c r="N962" t="n">
        <v>0</v>
      </c>
      <c r="O962" t="n">
        <v>0</v>
      </c>
      <c r="P962" t="n">
        <v>0</v>
      </c>
      <c r="Q962" t="n">
        <v>0</v>
      </c>
      <c r="R962" s="2" t="inlineStr"/>
    </row>
    <row r="963" ht="15" customHeight="1">
      <c r="A963" t="inlineStr">
        <is>
          <t>A 19601-2022</t>
        </is>
      </c>
      <c r="B963" s="1" t="n">
        <v>44694</v>
      </c>
      <c r="C963" s="1" t="n">
        <v>45847</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19810-2022</t>
        </is>
      </c>
      <c r="B964" s="1" t="n">
        <v>44695</v>
      </c>
      <c r="C964" s="1" t="n">
        <v>45847</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20014-2022</t>
        </is>
      </c>
      <c r="B965" s="1" t="n">
        <v>44697</v>
      </c>
      <c r="C965" s="1" t="n">
        <v>45847</v>
      </c>
      <c r="D965" t="inlineStr">
        <is>
          <t>JÄMTLANDS LÄN</t>
        </is>
      </c>
      <c r="E965" t="inlineStr">
        <is>
          <t>BRÄCKE</t>
        </is>
      </c>
      <c r="G965" t="n">
        <v>1.8</v>
      </c>
      <c r="H965" t="n">
        <v>0</v>
      </c>
      <c r="I965" t="n">
        <v>0</v>
      </c>
      <c r="J965" t="n">
        <v>0</v>
      </c>
      <c r="K965" t="n">
        <v>0</v>
      </c>
      <c r="L965" t="n">
        <v>0</v>
      </c>
      <c r="M965" t="n">
        <v>0</v>
      </c>
      <c r="N965" t="n">
        <v>0</v>
      </c>
      <c r="O965" t="n">
        <v>0</v>
      </c>
      <c r="P965" t="n">
        <v>0</v>
      </c>
      <c r="Q965" t="n">
        <v>0</v>
      </c>
      <c r="R965" s="2" t="inlineStr"/>
    </row>
    <row r="966" ht="15" customHeight="1">
      <c r="A966" t="inlineStr">
        <is>
          <t>A 20065-2022</t>
        </is>
      </c>
      <c r="B966" s="1" t="n">
        <v>44698</v>
      </c>
      <c r="C966" s="1" t="n">
        <v>45847</v>
      </c>
      <c r="D966" t="inlineStr">
        <is>
          <t>JÄMTLANDS LÄN</t>
        </is>
      </c>
      <c r="E966" t="inlineStr">
        <is>
          <t>BRÄCKE</t>
        </is>
      </c>
      <c r="G966" t="n">
        <v>33</v>
      </c>
      <c r="H966" t="n">
        <v>0</v>
      </c>
      <c r="I966" t="n">
        <v>0</v>
      </c>
      <c r="J966" t="n">
        <v>0</v>
      </c>
      <c r="K966" t="n">
        <v>0</v>
      </c>
      <c r="L966" t="n">
        <v>0</v>
      </c>
      <c r="M966" t="n">
        <v>0</v>
      </c>
      <c r="N966" t="n">
        <v>0</v>
      </c>
      <c r="O966" t="n">
        <v>0</v>
      </c>
      <c r="P966" t="n">
        <v>0</v>
      </c>
      <c r="Q966" t="n">
        <v>0</v>
      </c>
      <c r="R966" s="2" t="inlineStr"/>
    </row>
    <row r="967" ht="15" customHeight="1">
      <c r="A967" t="inlineStr">
        <is>
          <t>A 20067-2022</t>
        </is>
      </c>
      <c r="B967" s="1" t="n">
        <v>44698</v>
      </c>
      <c r="C967" s="1" t="n">
        <v>45847</v>
      </c>
      <c r="D967" t="inlineStr">
        <is>
          <t>JÄMTLANDS LÄN</t>
        </is>
      </c>
      <c r="E967" t="inlineStr">
        <is>
          <t>BRÄCKE</t>
        </is>
      </c>
      <c r="G967" t="n">
        <v>4.1</v>
      </c>
      <c r="H967" t="n">
        <v>0</v>
      </c>
      <c r="I967" t="n">
        <v>0</v>
      </c>
      <c r="J967" t="n">
        <v>0</v>
      </c>
      <c r="K967" t="n">
        <v>0</v>
      </c>
      <c r="L967" t="n">
        <v>0</v>
      </c>
      <c r="M967" t="n">
        <v>0</v>
      </c>
      <c r="N967" t="n">
        <v>0</v>
      </c>
      <c r="O967" t="n">
        <v>0</v>
      </c>
      <c r="P967" t="n">
        <v>0</v>
      </c>
      <c r="Q967" t="n">
        <v>0</v>
      </c>
      <c r="R967" s="2" t="inlineStr"/>
    </row>
    <row r="968" ht="15" customHeight="1">
      <c r="A968" t="inlineStr">
        <is>
          <t>A 20066-2022</t>
        </is>
      </c>
      <c r="B968" s="1" t="n">
        <v>44697</v>
      </c>
      <c r="C968" s="1" t="n">
        <v>45847</v>
      </c>
      <c r="D968" t="inlineStr">
        <is>
          <t>JÄMTLANDS LÄN</t>
        </is>
      </c>
      <c r="E968" t="inlineStr">
        <is>
          <t>BRÄCKE</t>
        </is>
      </c>
      <c r="G968" t="n">
        <v>41.6</v>
      </c>
      <c r="H968" t="n">
        <v>0</v>
      </c>
      <c r="I968" t="n">
        <v>0</v>
      </c>
      <c r="J968" t="n">
        <v>0</v>
      </c>
      <c r="K968" t="n">
        <v>0</v>
      </c>
      <c r="L968" t="n">
        <v>0</v>
      </c>
      <c r="M968" t="n">
        <v>0</v>
      </c>
      <c r="N968" t="n">
        <v>0</v>
      </c>
      <c r="O968" t="n">
        <v>0</v>
      </c>
      <c r="P968" t="n">
        <v>0</v>
      </c>
      <c r="Q968" t="n">
        <v>0</v>
      </c>
      <c r="R968" s="2" t="inlineStr"/>
    </row>
    <row r="969" ht="15" customHeight="1">
      <c r="A969" t="inlineStr">
        <is>
          <t>A 20069-2022</t>
        </is>
      </c>
      <c r="B969" s="1" t="n">
        <v>44698</v>
      </c>
      <c r="C969" s="1" t="n">
        <v>45847</v>
      </c>
      <c r="D969" t="inlineStr">
        <is>
          <t>JÄMTLANDS LÄN</t>
        </is>
      </c>
      <c r="E969" t="inlineStr">
        <is>
          <t>BRÄCKE</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20070-2022</t>
        </is>
      </c>
      <c r="B970" s="1" t="n">
        <v>44698</v>
      </c>
      <c r="C970" s="1" t="n">
        <v>45847</v>
      </c>
      <c r="D970" t="inlineStr">
        <is>
          <t>JÄMTLANDS LÄN</t>
        </is>
      </c>
      <c r="E970" t="inlineStr">
        <is>
          <t>BRÄCKE</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20300-2022</t>
        </is>
      </c>
      <c r="B971" s="1" t="n">
        <v>44699</v>
      </c>
      <c r="C971" s="1" t="n">
        <v>45847</v>
      </c>
      <c r="D971" t="inlineStr">
        <is>
          <t>JÄMTLANDS LÄN</t>
        </is>
      </c>
      <c r="E971" t="inlineStr">
        <is>
          <t>BRÄCKE</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20399-2022</t>
        </is>
      </c>
      <c r="B972" s="1" t="n">
        <v>44699</v>
      </c>
      <c r="C972" s="1" t="n">
        <v>45847</v>
      </c>
      <c r="D972" t="inlineStr">
        <is>
          <t>JÄMTLANDS LÄN</t>
        </is>
      </c>
      <c r="E972" t="inlineStr">
        <is>
          <t>BRÄCKE</t>
        </is>
      </c>
      <c r="F972" t="inlineStr">
        <is>
          <t>Övriga Aktiebolag</t>
        </is>
      </c>
      <c r="G972" t="n">
        <v>20.9</v>
      </c>
      <c r="H972" t="n">
        <v>0</v>
      </c>
      <c r="I972" t="n">
        <v>0</v>
      </c>
      <c r="J972" t="n">
        <v>0</v>
      </c>
      <c r="K972" t="n">
        <v>0</v>
      </c>
      <c r="L972" t="n">
        <v>0</v>
      </c>
      <c r="M972" t="n">
        <v>0</v>
      </c>
      <c r="N972" t="n">
        <v>0</v>
      </c>
      <c r="O972" t="n">
        <v>0</v>
      </c>
      <c r="P972" t="n">
        <v>0</v>
      </c>
      <c r="Q972" t="n">
        <v>0</v>
      </c>
      <c r="R972" s="2" t="inlineStr"/>
    </row>
    <row r="973" ht="15" customHeight="1">
      <c r="A973" t="inlineStr">
        <is>
          <t>A 20667-2022</t>
        </is>
      </c>
      <c r="B973" s="1" t="n">
        <v>44700</v>
      </c>
      <c r="C973" s="1" t="n">
        <v>45847</v>
      </c>
      <c r="D973" t="inlineStr">
        <is>
          <t>JÄMTLANDS LÄN</t>
        </is>
      </c>
      <c r="E973" t="inlineStr">
        <is>
          <t>BRÄCKE</t>
        </is>
      </c>
      <c r="G973" t="n">
        <v>13.8</v>
      </c>
      <c r="H973" t="n">
        <v>0</v>
      </c>
      <c r="I973" t="n">
        <v>0</v>
      </c>
      <c r="J973" t="n">
        <v>0</v>
      </c>
      <c r="K973" t="n">
        <v>0</v>
      </c>
      <c r="L973" t="n">
        <v>0</v>
      </c>
      <c r="M973" t="n">
        <v>0</v>
      </c>
      <c r="N973" t="n">
        <v>0</v>
      </c>
      <c r="O973" t="n">
        <v>0</v>
      </c>
      <c r="P973" t="n">
        <v>0</v>
      </c>
      <c r="Q973" t="n">
        <v>0</v>
      </c>
      <c r="R973" s="2" t="inlineStr"/>
    </row>
    <row r="974" ht="15" customHeight="1">
      <c r="A974" t="inlineStr">
        <is>
          <t>A 20718-2022</t>
        </is>
      </c>
      <c r="B974" s="1" t="n">
        <v>44700</v>
      </c>
      <c r="C974" s="1" t="n">
        <v>45847</v>
      </c>
      <c r="D974" t="inlineStr">
        <is>
          <t>JÄMTLANDS LÄN</t>
        </is>
      </c>
      <c r="E974" t="inlineStr">
        <is>
          <t>BRÄCKE</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20727-2022</t>
        </is>
      </c>
      <c r="B975" s="1" t="n">
        <v>44700</v>
      </c>
      <c r="C975" s="1" t="n">
        <v>45847</v>
      </c>
      <c r="D975" t="inlineStr">
        <is>
          <t>JÄMTLANDS LÄN</t>
        </is>
      </c>
      <c r="E975" t="inlineStr">
        <is>
          <t>BRÄCKE</t>
        </is>
      </c>
      <c r="G975" t="n">
        <v>1.5</v>
      </c>
      <c r="H975" t="n">
        <v>0</v>
      </c>
      <c r="I975" t="n">
        <v>0</v>
      </c>
      <c r="J975" t="n">
        <v>0</v>
      </c>
      <c r="K975" t="n">
        <v>0</v>
      </c>
      <c r="L975" t="n">
        <v>0</v>
      </c>
      <c r="M975" t="n">
        <v>0</v>
      </c>
      <c r="N975" t="n">
        <v>0</v>
      </c>
      <c r="O975" t="n">
        <v>0</v>
      </c>
      <c r="P975" t="n">
        <v>0</v>
      </c>
      <c r="Q975" t="n">
        <v>0</v>
      </c>
      <c r="R975" s="2" t="inlineStr"/>
    </row>
    <row r="976" ht="15" customHeight="1">
      <c r="A976" t="inlineStr">
        <is>
          <t>A 21655-2022</t>
        </is>
      </c>
      <c r="B976" s="1" t="n">
        <v>44707</v>
      </c>
      <c r="C976" s="1" t="n">
        <v>45847</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21656-2022</t>
        </is>
      </c>
      <c r="B977" s="1" t="n">
        <v>44707</v>
      </c>
      <c r="C977" s="1" t="n">
        <v>45847</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21722-2022</t>
        </is>
      </c>
      <c r="B978" s="1" t="n">
        <v>44706</v>
      </c>
      <c r="C978" s="1" t="n">
        <v>45847</v>
      </c>
      <c r="D978" t="inlineStr">
        <is>
          <t>JÄMTLANDS LÄN</t>
        </is>
      </c>
      <c r="E978" t="inlineStr">
        <is>
          <t>BRÄCKE</t>
        </is>
      </c>
      <c r="G978" t="n">
        <v>1.5</v>
      </c>
      <c r="H978" t="n">
        <v>0</v>
      </c>
      <c r="I978" t="n">
        <v>0</v>
      </c>
      <c r="J978" t="n">
        <v>0</v>
      </c>
      <c r="K978" t="n">
        <v>0</v>
      </c>
      <c r="L978" t="n">
        <v>0</v>
      </c>
      <c r="M978" t="n">
        <v>0</v>
      </c>
      <c r="N978" t="n">
        <v>0</v>
      </c>
      <c r="O978" t="n">
        <v>0</v>
      </c>
      <c r="P978" t="n">
        <v>0</v>
      </c>
      <c r="Q978" t="n">
        <v>0</v>
      </c>
      <c r="R978" s="2" t="inlineStr"/>
    </row>
    <row r="979" ht="15" customHeight="1">
      <c r="A979" t="inlineStr">
        <is>
          <t>A 21654-2022</t>
        </is>
      </c>
      <c r="B979" s="1" t="n">
        <v>44707</v>
      </c>
      <c r="C979" s="1" t="n">
        <v>45847</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21717-2022</t>
        </is>
      </c>
      <c r="B980" s="1" t="n">
        <v>44708</v>
      </c>
      <c r="C980" s="1" t="n">
        <v>45847</v>
      </c>
      <c r="D980" t="inlineStr">
        <is>
          <t>JÄMTLANDS LÄN</t>
        </is>
      </c>
      <c r="E980" t="inlineStr">
        <is>
          <t>BRÄCKE</t>
        </is>
      </c>
      <c r="G980" t="n">
        <v>10.8</v>
      </c>
      <c r="H980" t="n">
        <v>0</v>
      </c>
      <c r="I980" t="n">
        <v>0</v>
      </c>
      <c r="J980" t="n">
        <v>0</v>
      </c>
      <c r="K980" t="n">
        <v>0</v>
      </c>
      <c r="L980" t="n">
        <v>0</v>
      </c>
      <c r="M980" t="n">
        <v>0</v>
      </c>
      <c r="N980" t="n">
        <v>0</v>
      </c>
      <c r="O980" t="n">
        <v>0</v>
      </c>
      <c r="P980" t="n">
        <v>0</v>
      </c>
      <c r="Q980" t="n">
        <v>0</v>
      </c>
      <c r="R980" s="2" t="inlineStr"/>
    </row>
    <row r="981" ht="15" customHeight="1">
      <c r="A981" t="inlineStr">
        <is>
          <t>A 22094-2022</t>
        </is>
      </c>
      <c r="B981" s="1" t="n">
        <v>44712</v>
      </c>
      <c r="C981" s="1" t="n">
        <v>45847</v>
      </c>
      <c r="D981" t="inlineStr">
        <is>
          <t>JÄMTLANDS LÄN</t>
        </is>
      </c>
      <c r="E981" t="inlineStr">
        <is>
          <t>BRÄCKE</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22095-2022</t>
        </is>
      </c>
      <c r="B982" s="1" t="n">
        <v>44712</v>
      </c>
      <c r="C982" s="1" t="n">
        <v>45847</v>
      </c>
      <c r="D982" t="inlineStr">
        <is>
          <t>JÄMTLANDS LÄN</t>
        </is>
      </c>
      <c r="E982" t="inlineStr">
        <is>
          <t>BRÄCKE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22612-2022</t>
        </is>
      </c>
      <c r="B983" s="1" t="n">
        <v>44714</v>
      </c>
      <c r="C983" s="1" t="n">
        <v>45847</v>
      </c>
      <c r="D983" t="inlineStr">
        <is>
          <t>JÄMTLANDS LÄN</t>
        </is>
      </c>
      <c r="E983" t="inlineStr">
        <is>
          <t>BRÄCKE</t>
        </is>
      </c>
      <c r="G983" t="n">
        <v>6.3</v>
      </c>
      <c r="H983" t="n">
        <v>0</v>
      </c>
      <c r="I983" t="n">
        <v>0</v>
      </c>
      <c r="J983" t="n">
        <v>0</v>
      </c>
      <c r="K983" t="n">
        <v>0</v>
      </c>
      <c r="L983" t="n">
        <v>0</v>
      </c>
      <c r="M983" t="n">
        <v>0</v>
      </c>
      <c r="N983" t="n">
        <v>0</v>
      </c>
      <c r="O983" t="n">
        <v>0</v>
      </c>
      <c r="P983" t="n">
        <v>0</v>
      </c>
      <c r="Q983" t="n">
        <v>0</v>
      </c>
      <c r="R983" s="2" t="inlineStr"/>
    </row>
    <row r="984" ht="15" customHeight="1">
      <c r="A984" t="inlineStr">
        <is>
          <t>A 22702-2022</t>
        </is>
      </c>
      <c r="B984" s="1" t="n">
        <v>44714</v>
      </c>
      <c r="C984" s="1" t="n">
        <v>45847</v>
      </c>
      <c r="D984" t="inlineStr">
        <is>
          <t>JÄMTLANDS LÄN</t>
        </is>
      </c>
      <c r="E984" t="inlineStr">
        <is>
          <t>BRÄCKE</t>
        </is>
      </c>
      <c r="G984" t="n">
        <v>4.6</v>
      </c>
      <c r="H984" t="n">
        <v>0</v>
      </c>
      <c r="I984" t="n">
        <v>0</v>
      </c>
      <c r="J984" t="n">
        <v>0</v>
      </c>
      <c r="K984" t="n">
        <v>0</v>
      </c>
      <c r="L984" t="n">
        <v>0</v>
      </c>
      <c r="M984" t="n">
        <v>0</v>
      </c>
      <c r="N984" t="n">
        <v>0</v>
      </c>
      <c r="O984" t="n">
        <v>0</v>
      </c>
      <c r="P984" t="n">
        <v>0</v>
      </c>
      <c r="Q984" t="n">
        <v>0</v>
      </c>
      <c r="R984" s="2" t="inlineStr"/>
    </row>
    <row r="985" ht="15" customHeight="1">
      <c r="A985" t="inlineStr">
        <is>
          <t>A 23426-2022</t>
        </is>
      </c>
      <c r="B985" s="1" t="n">
        <v>44720</v>
      </c>
      <c r="C985" s="1" t="n">
        <v>45847</v>
      </c>
      <c r="D985" t="inlineStr">
        <is>
          <t>JÄMTLANDS LÄN</t>
        </is>
      </c>
      <c r="E985" t="inlineStr">
        <is>
          <t>BRÄCKE</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23427-2022</t>
        </is>
      </c>
      <c r="B986" s="1" t="n">
        <v>44721</v>
      </c>
      <c r="C986" s="1" t="n">
        <v>45847</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23444-2022</t>
        </is>
      </c>
      <c r="B987" s="1" t="n">
        <v>44721</v>
      </c>
      <c r="C987" s="1" t="n">
        <v>45847</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23441-2022</t>
        </is>
      </c>
      <c r="B988" s="1" t="n">
        <v>44721</v>
      </c>
      <c r="C988" s="1" t="n">
        <v>45847</v>
      </c>
      <c r="D988" t="inlineStr">
        <is>
          <t>JÄMTLANDS LÄN</t>
        </is>
      </c>
      <c r="E988" t="inlineStr">
        <is>
          <t>BRÄCKE</t>
        </is>
      </c>
      <c r="G988" t="n">
        <v>2.4</v>
      </c>
      <c r="H988" t="n">
        <v>0</v>
      </c>
      <c r="I988" t="n">
        <v>0</v>
      </c>
      <c r="J988" t="n">
        <v>0</v>
      </c>
      <c r="K988" t="n">
        <v>0</v>
      </c>
      <c r="L988" t="n">
        <v>0</v>
      </c>
      <c r="M988" t="n">
        <v>0</v>
      </c>
      <c r="N988" t="n">
        <v>0</v>
      </c>
      <c r="O988" t="n">
        <v>0</v>
      </c>
      <c r="P988" t="n">
        <v>0</v>
      </c>
      <c r="Q988" t="n">
        <v>0</v>
      </c>
      <c r="R988" s="2" t="inlineStr"/>
    </row>
    <row r="989" ht="15" customHeight="1">
      <c r="A989" t="inlineStr">
        <is>
          <t>A 23433-2022</t>
        </is>
      </c>
      <c r="B989" s="1" t="n">
        <v>44720</v>
      </c>
      <c r="C989" s="1" t="n">
        <v>45847</v>
      </c>
      <c r="D989" t="inlineStr">
        <is>
          <t>JÄMTLANDS LÄN</t>
        </is>
      </c>
      <c r="E989" t="inlineStr">
        <is>
          <t>BRÄCKE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23443-2022</t>
        </is>
      </c>
      <c r="B990" s="1" t="n">
        <v>44721</v>
      </c>
      <c r="C990" s="1" t="n">
        <v>45847</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23687-2022</t>
        </is>
      </c>
      <c r="B991" s="1" t="n">
        <v>44721</v>
      </c>
      <c r="C991" s="1" t="n">
        <v>45847</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24056-2022</t>
        </is>
      </c>
      <c r="B992" s="1" t="n">
        <v>44725</v>
      </c>
      <c r="C992" s="1" t="n">
        <v>45847</v>
      </c>
      <c r="D992" t="inlineStr">
        <is>
          <t>JÄMTLANDS LÄN</t>
        </is>
      </c>
      <c r="E992" t="inlineStr">
        <is>
          <t>BRÄCKE</t>
        </is>
      </c>
      <c r="G992" t="n">
        <v>1.4</v>
      </c>
      <c r="H992" t="n">
        <v>0</v>
      </c>
      <c r="I992" t="n">
        <v>0</v>
      </c>
      <c r="J992" t="n">
        <v>0</v>
      </c>
      <c r="K992" t="n">
        <v>0</v>
      </c>
      <c r="L992" t="n">
        <v>0</v>
      </c>
      <c r="M992" t="n">
        <v>0</v>
      </c>
      <c r="N992" t="n">
        <v>0</v>
      </c>
      <c r="O992" t="n">
        <v>0</v>
      </c>
      <c r="P992" t="n">
        <v>0</v>
      </c>
      <c r="Q992" t="n">
        <v>0</v>
      </c>
      <c r="R992" s="2" t="inlineStr"/>
    </row>
    <row r="993" ht="15" customHeight="1">
      <c r="A993" t="inlineStr">
        <is>
          <t>A 24055-2022</t>
        </is>
      </c>
      <c r="B993" s="1" t="n">
        <v>44725</v>
      </c>
      <c r="C993" s="1" t="n">
        <v>45847</v>
      </c>
      <c r="D993" t="inlineStr">
        <is>
          <t>JÄMTLANDS LÄN</t>
        </is>
      </c>
      <c r="E993" t="inlineStr">
        <is>
          <t>BRÄCKE</t>
        </is>
      </c>
      <c r="G993" t="n">
        <v>2.4</v>
      </c>
      <c r="H993" t="n">
        <v>0</v>
      </c>
      <c r="I993" t="n">
        <v>0</v>
      </c>
      <c r="J993" t="n">
        <v>0</v>
      </c>
      <c r="K993" t="n">
        <v>0</v>
      </c>
      <c r="L993" t="n">
        <v>0</v>
      </c>
      <c r="M993" t="n">
        <v>0</v>
      </c>
      <c r="N993" t="n">
        <v>0</v>
      </c>
      <c r="O993" t="n">
        <v>0</v>
      </c>
      <c r="P993" t="n">
        <v>0</v>
      </c>
      <c r="Q993" t="n">
        <v>0</v>
      </c>
      <c r="R993" s="2" t="inlineStr"/>
    </row>
    <row r="994" ht="15" customHeight="1">
      <c r="A994" t="inlineStr">
        <is>
          <t>A 24054-2022</t>
        </is>
      </c>
      <c r="B994" s="1" t="n">
        <v>44725</v>
      </c>
      <c r="C994" s="1" t="n">
        <v>45847</v>
      </c>
      <c r="D994" t="inlineStr">
        <is>
          <t>JÄMTLANDS LÄN</t>
        </is>
      </c>
      <c r="E994" t="inlineStr">
        <is>
          <t>BRÄCKE</t>
        </is>
      </c>
      <c r="G994" t="n">
        <v>5.5</v>
      </c>
      <c r="H994" t="n">
        <v>0</v>
      </c>
      <c r="I994" t="n">
        <v>0</v>
      </c>
      <c r="J994" t="n">
        <v>0</v>
      </c>
      <c r="K994" t="n">
        <v>0</v>
      </c>
      <c r="L994" t="n">
        <v>0</v>
      </c>
      <c r="M994" t="n">
        <v>0</v>
      </c>
      <c r="N994" t="n">
        <v>0</v>
      </c>
      <c r="O994" t="n">
        <v>0</v>
      </c>
      <c r="P994" t="n">
        <v>0</v>
      </c>
      <c r="Q994" t="n">
        <v>0</v>
      </c>
      <c r="R994" s="2" t="inlineStr"/>
    </row>
    <row r="995" ht="15" customHeight="1">
      <c r="A995" t="inlineStr">
        <is>
          <t>A 24053-2022</t>
        </is>
      </c>
      <c r="B995" s="1" t="n">
        <v>44725</v>
      </c>
      <c r="C995" s="1" t="n">
        <v>45847</v>
      </c>
      <c r="D995" t="inlineStr">
        <is>
          <t>JÄMTLANDS LÄN</t>
        </is>
      </c>
      <c r="E995" t="inlineStr">
        <is>
          <t>BRÄCKE</t>
        </is>
      </c>
      <c r="G995" t="n">
        <v>1</v>
      </c>
      <c r="H995" t="n">
        <v>0</v>
      </c>
      <c r="I995" t="n">
        <v>0</v>
      </c>
      <c r="J995" t="n">
        <v>0</v>
      </c>
      <c r="K995" t="n">
        <v>0</v>
      </c>
      <c r="L995" t="n">
        <v>0</v>
      </c>
      <c r="M995" t="n">
        <v>0</v>
      </c>
      <c r="N995" t="n">
        <v>0</v>
      </c>
      <c r="O995" t="n">
        <v>0</v>
      </c>
      <c r="P995" t="n">
        <v>0</v>
      </c>
      <c r="Q995" t="n">
        <v>0</v>
      </c>
      <c r="R995" s="2" t="inlineStr"/>
    </row>
    <row r="996" ht="15" customHeight="1">
      <c r="A996" t="inlineStr">
        <is>
          <t>A 24531-2022</t>
        </is>
      </c>
      <c r="B996" s="1" t="n">
        <v>44726</v>
      </c>
      <c r="C996" s="1" t="n">
        <v>45847</v>
      </c>
      <c r="D996" t="inlineStr">
        <is>
          <t>JÄMTLANDS LÄN</t>
        </is>
      </c>
      <c r="E996" t="inlineStr">
        <is>
          <t>BRÄCKE</t>
        </is>
      </c>
      <c r="F996" t="inlineStr">
        <is>
          <t>SCA</t>
        </is>
      </c>
      <c r="G996" t="n">
        <v>5.1</v>
      </c>
      <c r="H996" t="n">
        <v>0</v>
      </c>
      <c r="I996" t="n">
        <v>0</v>
      </c>
      <c r="J996" t="n">
        <v>0</v>
      </c>
      <c r="K996" t="n">
        <v>0</v>
      </c>
      <c r="L996" t="n">
        <v>0</v>
      </c>
      <c r="M996" t="n">
        <v>0</v>
      </c>
      <c r="N996" t="n">
        <v>0</v>
      </c>
      <c r="O996" t="n">
        <v>0</v>
      </c>
      <c r="P996" t="n">
        <v>0</v>
      </c>
      <c r="Q996" t="n">
        <v>0</v>
      </c>
      <c r="R996" s="2" t="inlineStr"/>
    </row>
    <row r="997" ht="15" customHeight="1">
      <c r="A997" t="inlineStr">
        <is>
          <t>A 24718-2022</t>
        </is>
      </c>
      <c r="B997" s="1" t="n">
        <v>44728</v>
      </c>
      <c r="C997" s="1" t="n">
        <v>45847</v>
      </c>
      <c r="D997" t="inlineStr">
        <is>
          <t>JÄMTLANDS LÄN</t>
        </is>
      </c>
      <c r="E997" t="inlineStr">
        <is>
          <t>BRÄCKE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24717-2022</t>
        </is>
      </c>
      <c r="B998" s="1" t="n">
        <v>44727</v>
      </c>
      <c r="C998" s="1" t="n">
        <v>45847</v>
      </c>
      <c r="D998" t="inlineStr">
        <is>
          <t>JÄMTLANDS LÄN</t>
        </is>
      </c>
      <c r="E998" t="inlineStr">
        <is>
          <t>BRÄCKE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24726-2022</t>
        </is>
      </c>
      <c r="B999" s="1" t="n">
        <v>44727</v>
      </c>
      <c r="C999" s="1" t="n">
        <v>45847</v>
      </c>
      <c r="D999" t="inlineStr">
        <is>
          <t>JÄMTLANDS LÄN</t>
        </is>
      </c>
      <c r="E999" t="inlineStr">
        <is>
          <t>BRÄCKE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25150-2022</t>
        </is>
      </c>
      <c r="B1000" s="1" t="n">
        <v>44729</v>
      </c>
      <c r="C1000" s="1" t="n">
        <v>45847</v>
      </c>
      <c r="D1000" t="inlineStr">
        <is>
          <t>JÄMTLANDS LÄN</t>
        </is>
      </c>
      <c r="E1000" t="inlineStr">
        <is>
          <t>BRÄCKE</t>
        </is>
      </c>
      <c r="F1000" t="inlineStr">
        <is>
          <t>Övriga Aktiebolag</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25192-2022</t>
        </is>
      </c>
      <c r="B1001" s="1" t="n">
        <v>44729</v>
      </c>
      <c r="C1001" s="1" t="n">
        <v>45847</v>
      </c>
      <c r="D1001" t="inlineStr">
        <is>
          <t>JÄMTLANDS LÄN</t>
        </is>
      </c>
      <c r="E1001" t="inlineStr">
        <is>
          <t>BRÄCKE</t>
        </is>
      </c>
      <c r="F1001" t="inlineStr">
        <is>
          <t>Övriga Aktiebolag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25883-2022</t>
        </is>
      </c>
      <c r="B1002" s="1" t="n">
        <v>44733</v>
      </c>
      <c r="C1002" s="1" t="n">
        <v>45847</v>
      </c>
      <c r="D1002" t="inlineStr">
        <is>
          <t>JÄMTLANDS LÄN</t>
        </is>
      </c>
      <c r="E1002" t="inlineStr">
        <is>
          <t>BRÄCKE</t>
        </is>
      </c>
      <c r="F1002" t="inlineStr">
        <is>
          <t>Övriga Aktiebolag</t>
        </is>
      </c>
      <c r="G1002" t="n">
        <v>23.4</v>
      </c>
      <c r="H1002" t="n">
        <v>0</v>
      </c>
      <c r="I1002" t="n">
        <v>0</v>
      </c>
      <c r="J1002" t="n">
        <v>0</v>
      </c>
      <c r="K1002" t="n">
        <v>0</v>
      </c>
      <c r="L1002" t="n">
        <v>0</v>
      </c>
      <c r="M1002" t="n">
        <v>0</v>
      </c>
      <c r="N1002" t="n">
        <v>0</v>
      </c>
      <c r="O1002" t="n">
        <v>0</v>
      </c>
      <c r="P1002" t="n">
        <v>0</v>
      </c>
      <c r="Q1002" t="n">
        <v>0</v>
      </c>
      <c r="R1002" s="2" t="inlineStr"/>
    </row>
    <row r="1003" ht="15" customHeight="1">
      <c r="A1003" t="inlineStr">
        <is>
          <t>A 26139-2022</t>
        </is>
      </c>
      <c r="B1003" s="1" t="n">
        <v>44734</v>
      </c>
      <c r="C1003" s="1" t="n">
        <v>45847</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26138-2022</t>
        </is>
      </c>
      <c r="B1004" s="1" t="n">
        <v>44734</v>
      </c>
      <c r="C1004" s="1" t="n">
        <v>45847</v>
      </c>
      <c r="D1004" t="inlineStr">
        <is>
          <t>JÄMTLANDS LÄN</t>
        </is>
      </c>
      <c r="E1004" t="inlineStr">
        <is>
          <t>BRÄCKE</t>
        </is>
      </c>
      <c r="F1004" t="inlineStr">
        <is>
          <t>SCA</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26437-2022</t>
        </is>
      </c>
      <c r="B1005" s="1" t="n">
        <v>44737</v>
      </c>
      <c r="C1005" s="1" t="n">
        <v>45847</v>
      </c>
      <c r="D1005" t="inlineStr">
        <is>
          <t>JÄMTLANDS LÄN</t>
        </is>
      </c>
      <c r="E1005" t="inlineStr">
        <is>
          <t>BRÄCKE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26445-2022</t>
        </is>
      </c>
      <c r="B1006" s="1" t="n">
        <v>44738</v>
      </c>
      <c r="C1006" s="1" t="n">
        <v>45847</v>
      </c>
      <c r="D1006" t="inlineStr">
        <is>
          <t>JÄMTLANDS LÄN</t>
        </is>
      </c>
      <c r="E1006" t="inlineStr">
        <is>
          <t>BRÄCKE</t>
        </is>
      </c>
      <c r="F1006" t="inlineStr">
        <is>
          <t>SCA</t>
        </is>
      </c>
      <c r="G1006" t="n">
        <v>62.5</v>
      </c>
      <c r="H1006" t="n">
        <v>0</v>
      </c>
      <c r="I1006" t="n">
        <v>0</v>
      </c>
      <c r="J1006" t="n">
        <v>0</v>
      </c>
      <c r="K1006" t="n">
        <v>0</v>
      </c>
      <c r="L1006" t="n">
        <v>0</v>
      </c>
      <c r="M1006" t="n">
        <v>0</v>
      </c>
      <c r="N1006" t="n">
        <v>0</v>
      </c>
      <c r="O1006" t="n">
        <v>0</v>
      </c>
      <c r="P1006" t="n">
        <v>0</v>
      </c>
      <c r="Q1006" t="n">
        <v>0</v>
      </c>
      <c r="R1006" s="2" t="inlineStr"/>
    </row>
    <row r="1007" ht="15" customHeight="1">
      <c r="A1007" t="inlineStr">
        <is>
          <t>A 26444-2022</t>
        </is>
      </c>
      <c r="B1007" s="1" t="n">
        <v>44739</v>
      </c>
      <c r="C1007" s="1" t="n">
        <v>45847</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26458-2022</t>
        </is>
      </c>
      <c r="B1008" s="1" t="n">
        <v>44739</v>
      </c>
      <c r="C1008" s="1" t="n">
        <v>45847</v>
      </c>
      <c r="D1008" t="inlineStr">
        <is>
          <t>JÄMTLANDS LÄN</t>
        </is>
      </c>
      <c r="E1008" t="inlineStr">
        <is>
          <t>BRÄCKE</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26750-2022</t>
        </is>
      </c>
      <c r="B1009" s="1" t="n">
        <v>44740</v>
      </c>
      <c r="C1009" s="1" t="n">
        <v>45847</v>
      </c>
      <c r="D1009" t="inlineStr">
        <is>
          <t>JÄMTLANDS LÄN</t>
        </is>
      </c>
      <c r="E1009" t="inlineStr">
        <is>
          <t>BRÄCKE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26751-2022</t>
        </is>
      </c>
      <c r="B1010" s="1" t="n">
        <v>44739</v>
      </c>
      <c r="C1010" s="1" t="n">
        <v>45847</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27351-2022</t>
        </is>
      </c>
      <c r="B1011" s="1" t="n">
        <v>44742</v>
      </c>
      <c r="C1011" s="1" t="n">
        <v>45847</v>
      </c>
      <c r="D1011" t="inlineStr">
        <is>
          <t>JÄMTLANDS LÄN</t>
        </is>
      </c>
      <c r="E1011" t="inlineStr">
        <is>
          <t>BRÄCKE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28285-2022</t>
        </is>
      </c>
      <c r="B1012" s="1" t="n">
        <v>44746</v>
      </c>
      <c r="C1012" s="1" t="n">
        <v>45847</v>
      </c>
      <c r="D1012" t="inlineStr">
        <is>
          <t>JÄMTLANDS LÄN</t>
        </is>
      </c>
      <c r="E1012" t="inlineStr">
        <is>
          <t>BRÄCKE</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28296-2022</t>
        </is>
      </c>
      <c r="B1013" s="1" t="n">
        <v>44747</v>
      </c>
      <c r="C1013" s="1" t="n">
        <v>45847</v>
      </c>
      <c r="D1013" t="inlineStr">
        <is>
          <t>JÄMTLANDS LÄN</t>
        </is>
      </c>
      <c r="E1013" t="inlineStr">
        <is>
          <t>BRÄCKE</t>
        </is>
      </c>
      <c r="F1013" t="inlineStr">
        <is>
          <t>SCA</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28738-2022</t>
        </is>
      </c>
      <c r="B1014" s="1" t="n">
        <v>44749</v>
      </c>
      <c r="C1014" s="1" t="n">
        <v>45847</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29325-2022</t>
        </is>
      </c>
      <c r="B1015" s="1" t="n">
        <v>44752</v>
      </c>
      <c r="C1015" s="1" t="n">
        <v>45847</v>
      </c>
      <c r="D1015" t="inlineStr">
        <is>
          <t>JÄMTLANDS LÄN</t>
        </is>
      </c>
      <c r="E1015" t="inlineStr">
        <is>
          <t>BRÄCKE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29821-2022</t>
        </is>
      </c>
      <c r="B1016" s="1" t="n">
        <v>44756</v>
      </c>
      <c r="C1016" s="1" t="n">
        <v>45847</v>
      </c>
      <c r="D1016" t="inlineStr">
        <is>
          <t>JÄMTLANDS LÄN</t>
        </is>
      </c>
      <c r="E1016" t="inlineStr">
        <is>
          <t>BRÄCKE</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29835-2022</t>
        </is>
      </c>
      <c r="B1017" s="1" t="n">
        <v>44756</v>
      </c>
      <c r="C1017" s="1" t="n">
        <v>45847</v>
      </c>
      <c r="D1017" t="inlineStr">
        <is>
          <t>JÄMTLANDS LÄN</t>
        </is>
      </c>
      <c r="E1017" t="inlineStr">
        <is>
          <t>BRÄCKE</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29820-2022</t>
        </is>
      </c>
      <c r="B1018" s="1" t="n">
        <v>44756</v>
      </c>
      <c r="C1018" s="1" t="n">
        <v>45847</v>
      </c>
      <c r="D1018" t="inlineStr">
        <is>
          <t>JÄMTLANDS LÄN</t>
        </is>
      </c>
      <c r="E1018" t="inlineStr">
        <is>
          <t>BRÄCKE</t>
        </is>
      </c>
      <c r="F1018" t="inlineStr">
        <is>
          <t>SCA</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29819-2022</t>
        </is>
      </c>
      <c r="B1019" s="1" t="n">
        <v>44755</v>
      </c>
      <c r="C1019" s="1" t="n">
        <v>45847</v>
      </c>
      <c r="D1019" t="inlineStr">
        <is>
          <t>JÄMTLANDS LÄN</t>
        </is>
      </c>
      <c r="E1019" t="inlineStr">
        <is>
          <t>BRÄCKE</t>
        </is>
      </c>
      <c r="F1019" t="inlineStr">
        <is>
          <t>SCA</t>
        </is>
      </c>
      <c r="G1019" t="n">
        <v>28.8</v>
      </c>
      <c r="H1019" t="n">
        <v>0</v>
      </c>
      <c r="I1019" t="n">
        <v>0</v>
      </c>
      <c r="J1019" t="n">
        <v>0</v>
      </c>
      <c r="K1019" t="n">
        <v>0</v>
      </c>
      <c r="L1019" t="n">
        <v>0</v>
      </c>
      <c r="M1019" t="n">
        <v>0</v>
      </c>
      <c r="N1019" t="n">
        <v>0</v>
      </c>
      <c r="O1019" t="n">
        <v>0</v>
      </c>
      <c r="P1019" t="n">
        <v>0</v>
      </c>
      <c r="Q1019" t="n">
        <v>0</v>
      </c>
      <c r="R1019" s="2" t="inlineStr"/>
    </row>
    <row r="1020" ht="15" customHeight="1">
      <c r="A1020" t="inlineStr">
        <is>
          <t>A 30258-2022</t>
        </is>
      </c>
      <c r="B1020" s="1" t="n">
        <v>44759</v>
      </c>
      <c r="C1020" s="1" t="n">
        <v>45847</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30479-2022</t>
        </is>
      </c>
      <c r="B1021" s="1" t="n">
        <v>44762</v>
      </c>
      <c r="C1021" s="1" t="n">
        <v>45847</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30490-2022</t>
        </is>
      </c>
      <c r="B1022" s="1" t="n">
        <v>44761</v>
      </c>
      <c r="C1022" s="1" t="n">
        <v>45847</v>
      </c>
      <c r="D1022" t="inlineStr">
        <is>
          <t>JÄMTLANDS LÄN</t>
        </is>
      </c>
      <c r="E1022" t="inlineStr">
        <is>
          <t>BRÄCKE</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30478-2022</t>
        </is>
      </c>
      <c r="B1023" s="1" t="n">
        <v>44761</v>
      </c>
      <c r="C1023" s="1" t="n">
        <v>45847</v>
      </c>
      <c r="D1023" t="inlineStr">
        <is>
          <t>JÄMTLANDS LÄN</t>
        </is>
      </c>
      <c r="E1023" t="inlineStr">
        <is>
          <t>BRÄCKE</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30483-2022</t>
        </is>
      </c>
      <c r="B1024" s="1" t="n">
        <v>44762</v>
      </c>
      <c r="C1024" s="1" t="n">
        <v>45847</v>
      </c>
      <c r="D1024" t="inlineStr">
        <is>
          <t>JÄMTLANDS LÄN</t>
        </is>
      </c>
      <c r="E1024" t="inlineStr">
        <is>
          <t>BRÄCKE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30480-2022</t>
        </is>
      </c>
      <c r="B1025" s="1" t="n">
        <v>44762</v>
      </c>
      <c r="C1025" s="1" t="n">
        <v>45847</v>
      </c>
      <c r="D1025" t="inlineStr">
        <is>
          <t>JÄMTLANDS LÄN</t>
        </is>
      </c>
      <c r="E1025" t="inlineStr">
        <is>
          <t>BRÄCKE</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30603-2022</t>
        </is>
      </c>
      <c r="B1026" s="1" t="n">
        <v>44763</v>
      </c>
      <c r="C1026" s="1" t="n">
        <v>45847</v>
      </c>
      <c r="D1026" t="inlineStr">
        <is>
          <t>JÄMTLANDS LÄN</t>
        </is>
      </c>
      <c r="E1026" t="inlineStr">
        <is>
          <t>BRÄCKE</t>
        </is>
      </c>
      <c r="F1026" t="inlineStr">
        <is>
          <t>SCA</t>
        </is>
      </c>
      <c r="G1026" t="n">
        <v>18.6</v>
      </c>
      <c r="H1026" t="n">
        <v>0</v>
      </c>
      <c r="I1026" t="n">
        <v>0</v>
      </c>
      <c r="J1026" t="n">
        <v>0</v>
      </c>
      <c r="K1026" t="n">
        <v>0</v>
      </c>
      <c r="L1026" t="n">
        <v>0</v>
      </c>
      <c r="M1026" t="n">
        <v>0</v>
      </c>
      <c r="N1026" t="n">
        <v>0</v>
      </c>
      <c r="O1026" t="n">
        <v>0</v>
      </c>
      <c r="P1026" t="n">
        <v>0</v>
      </c>
      <c r="Q1026" t="n">
        <v>0</v>
      </c>
      <c r="R1026" s="2" t="inlineStr"/>
    </row>
    <row r="1027" ht="15" customHeight="1">
      <c r="A1027" t="inlineStr">
        <is>
          <t>A 30604-2022</t>
        </is>
      </c>
      <c r="B1027" s="1" t="n">
        <v>44763</v>
      </c>
      <c r="C1027" s="1" t="n">
        <v>45847</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30719-2022</t>
        </is>
      </c>
      <c r="B1028" s="1" t="n">
        <v>44764</v>
      </c>
      <c r="C1028" s="1" t="n">
        <v>45847</v>
      </c>
      <c r="D1028" t="inlineStr">
        <is>
          <t>JÄMTLANDS LÄN</t>
        </is>
      </c>
      <c r="E1028" t="inlineStr">
        <is>
          <t>BRÄCKE</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30810-2022</t>
        </is>
      </c>
      <c r="B1029" s="1" t="n">
        <v>44765</v>
      </c>
      <c r="C1029" s="1" t="n">
        <v>45847</v>
      </c>
      <c r="D1029" t="inlineStr">
        <is>
          <t>JÄMTLANDS LÄN</t>
        </is>
      </c>
      <c r="E1029" t="inlineStr">
        <is>
          <t>BRÄCKE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30811-2022</t>
        </is>
      </c>
      <c r="B1030" s="1" t="n">
        <v>44764</v>
      </c>
      <c r="C1030" s="1" t="n">
        <v>45847</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31467-2022</t>
        </is>
      </c>
      <c r="B1031" s="1" t="n">
        <v>44774</v>
      </c>
      <c r="C1031" s="1" t="n">
        <v>45847</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31466-2022</t>
        </is>
      </c>
      <c r="B1032" s="1" t="n">
        <v>44774</v>
      </c>
      <c r="C1032" s="1" t="n">
        <v>45847</v>
      </c>
      <c r="D1032" t="inlineStr">
        <is>
          <t>JÄMTLANDS LÄN</t>
        </is>
      </c>
      <c r="E1032" t="inlineStr">
        <is>
          <t>BRÄCKE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31521-2022</t>
        </is>
      </c>
      <c r="B1033" s="1" t="n">
        <v>44775</v>
      </c>
      <c r="C1033" s="1" t="n">
        <v>45847</v>
      </c>
      <c r="D1033" t="inlineStr">
        <is>
          <t>JÄMTLANDS LÄN</t>
        </is>
      </c>
      <c r="E1033" t="inlineStr">
        <is>
          <t>BRÄCKE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31520-2022</t>
        </is>
      </c>
      <c r="B1034" s="1" t="n">
        <v>44775</v>
      </c>
      <c r="C1034" s="1" t="n">
        <v>45847</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31516-2022</t>
        </is>
      </c>
      <c r="B1035" s="1" t="n">
        <v>44775</v>
      </c>
      <c r="C1035" s="1" t="n">
        <v>45847</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31844-2022</t>
        </is>
      </c>
      <c r="B1036" s="1" t="n">
        <v>44777</v>
      </c>
      <c r="C1036" s="1" t="n">
        <v>45847</v>
      </c>
      <c r="D1036" t="inlineStr">
        <is>
          <t>JÄMTLANDS LÄN</t>
        </is>
      </c>
      <c r="E1036" t="inlineStr">
        <is>
          <t>BRÄCKE</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31853-2022</t>
        </is>
      </c>
      <c r="B1037" s="1" t="n">
        <v>44776</v>
      </c>
      <c r="C1037" s="1" t="n">
        <v>45847</v>
      </c>
      <c r="D1037" t="inlineStr">
        <is>
          <t>JÄMTLANDS LÄN</t>
        </is>
      </c>
      <c r="E1037" t="inlineStr">
        <is>
          <t>BRÄCKE</t>
        </is>
      </c>
      <c r="F1037" t="inlineStr">
        <is>
          <t>SCA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31843-2022</t>
        </is>
      </c>
      <c r="B1038" s="1" t="n">
        <v>44777</v>
      </c>
      <c r="C1038" s="1" t="n">
        <v>45847</v>
      </c>
      <c r="D1038" t="inlineStr">
        <is>
          <t>JÄMTLANDS LÄN</t>
        </is>
      </c>
      <c r="E1038" t="inlineStr">
        <is>
          <t>BRÄCKE</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31978-2022</t>
        </is>
      </c>
      <c r="B1039" s="1" t="n">
        <v>44778</v>
      </c>
      <c r="C1039" s="1" t="n">
        <v>45847</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31982-2022</t>
        </is>
      </c>
      <c r="B1040" s="1" t="n">
        <v>44778</v>
      </c>
      <c r="C1040" s="1" t="n">
        <v>45847</v>
      </c>
      <c r="D1040" t="inlineStr">
        <is>
          <t>JÄMTLANDS LÄN</t>
        </is>
      </c>
      <c r="E1040" t="inlineStr">
        <is>
          <t>BRÄCKE</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31980-2022</t>
        </is>
      </c>
      <c r="B1041" s="1" t="n">
        <v>44777</v>
      </c>
      <c r="C1041" s="1" t="n">
        <v>45847</v>
      </c>
      <c r="D1041" t="inlineStr">
        <is>
          <t>JÄMTLANDS LÄN</t>
        </is>
      </c>
      <c r="E1041" t="inlineStr">
        <is>
          <t>BRÄCKE</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32141-2022</t>
        </is>
      </c>
      <c r="B1042" s="1" t="n">
        <v>44779</v>
      </c>
      <c r="C1042" s="1" t="n">
        <v>45847</v>
      </c>
      <c r="D1042" t="inlineStr">
        <is>
          <t>JÄMTLANDS LÄN</t>
        </is>
      </c>
      <c r="E1042" t="inlineStr">
        <is>
          <t>BRÄCKE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32533-2022</t>
        </is>
      </c>
      <c r="B1043" s="1" t="n">
        <v>44783</v>
      </c>
      <c r="C1043" s="1" t="n">
        <v>45847</v>
      </c>
      <c r="D1043" t="inlineStr">
        <is>
          <t>JÄMTLANDS LÄN</t>
        </is>
      </c>
      <c r="E1043" t="inlineStr">
        <is>
          <t>BRÄCKE</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32964-2022</t>
        </is>
      </c>
      <c r="B1044" s="1" t="n">
        <v>44785</v>
      </c>
      <c r="C1044" s="1" t="n">
        <v>45847</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32963-2022</t>
        </is>
      </c>
      <c r="B1045" s="1" t="n">
        <v>44785</v>
      </c>
      <c r="C1045" s="1" t="n">
        <v>45847</v>
      </c>
      <c r="D1045" t="inlineStr">
        <is>
          <t>JÄMTLANDS LÄN</t>
        </is>
      </c>
      <c r="E1045" t="inlineStr">
        <is>
          <t>BRÄCKE</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33234-2022</t>
        </is>
      </c>
      <c r="B1046" s="1" t="n">
        <v>44786</v>
      </c>
      <c r="C1046" s="1" t="n">
        <v>45847</v>
      </c>
      <c r="D1046" t="inlineStr">
        <is>
          <t>JÄMTLANDS LÄN</t>
        </is>
      </c>
      <c r="E1046" t="inlineStr">
        <is>
          <t>BRÄCKE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33243-2022</t>
        </is>
      </c>
      <c r="B1047" s="1" t="n">
        <v>44787</v>
      </c>
      <c r="C1047" s="1" t="n">
        <v>45847</v>
      </c>
      <c r="D1047" t="inlineStr">
        <is>
          <t>JÄMTLANDS LÄN</t>
        </is>
      </c>
      <c r="E1047" t="inlineStr">
        <is>
          <t>BRÄCKE</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33481-2022</t>
        </is>
      </c>
      <c r="B1048" s="1" t="n">
        <v>44788</v>
      </c>
      <c r="C1048" s="1" t="n">
        <v>45847</v>
      </c>
      <c r="D1048" t="inlineStr">
        <is>
          <t>JÄMTLANDS LÄN</t>
        </is>
      </c>
      <c r="E1048" t="inlineStr">
        <is>
          <t>BRÄCKE</t>
        </is>
      </c>
      <c r="F1048" t="inlineStr">
        <is>
          <t>Sveaskog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33482-2022</t>
        </is>
      </c>
      <c r="B1049" s="1" t="n">
        <v>44788</v>
      </c>
      <c r="C1049" s="1" t="n">
        <v>45847</v>
      </c>
      <c r="D1049" t="inlineStr">
        <is>
          <t>JÄMTLANDS LÄN</t>
        </is>
      </c>
      <c r="E1049" t="inlineStr">
        <is>
          <t>BRÄCKE</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33483-2022</t>
        </is>
      </c>
      <c r="B1050" s="1" t="n">
        <v>44788</v>
      </c>
      <c r="C1050" s="1" t="n">
        <v>45847</v>
      </c>
      <c r="D1050" t="inlineStr">
        <is>
          <t>JÄMTLANDS LÄN</t>
        </is>
      </c>
      <c r="E1050" t="inlineStr">
        <is>
          <t>BRÄCKE</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36714-2022</t>
        </is>
      </c>
      <c r="B1051" s="1" t="n">
        <v>44789</v>
      </c>
      <c r="C1051" s="1" t="n">
        <v>45847</v>
      </c>
      <c r="D1051" t="inlineStr">
        <is>
          <t>JÄMTLANDS LÄN</t>
        </is>
      </c>
      <c r="E1051" t="inlineStr">
        <is>
          <t>BRÄCKE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33992-2022</t>
        </is>
      </c>
      <c r="B1052" s="1" t="n">
        <v>44791</v>
      </c>
      <c r="C1052" s="1" t="n">
        <v>45847</v>
      </c>
      <c r="D1052" t="inlineStr">
        <is>
          <t>JÄMTLANDS LÄN</t>
        </is>
      </c>
      <c r="E1052" t="inlineStr">
        <is>
          <t>BRÄCKE</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33998-2022</t>
        </is>
      </c>
      <c r="B1053" s="1" t="n">
        <v>44791</v>
      </c>
      <c r="C1053" s="1" t="n">
        <v>45847</v>
      </c>
      <c r="D1053" t="inlineStr">
        <is>
          <t>JÄMTLANDS LÄN</t>
        </is>
      </c>
      <c r="E1053" t="inlineStr">
        <is>
          <t>BRÄCKE</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33993-2022</t>
        </is>
      </c>
      <c r="B1054" s="1" t="n">
        <v>44790</v>
      </c>
      <c r="C1054" s="1" t="n">
        <v>45847</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34315-2022</t>
        </is>
      </c>
      <c r="B1055" s="1" t="n">
        <v>44792</v>
      </c>
      <c r="C1055" s="1" t="n">
        <v>45847</v>
      </c>
      <c r="D1055" t="inlineStr">
        <is>
          <t>JÄMTLANDS LÄN</t>
        </is>
      </c>
      <c r="E1055" t="inlineStr">
        <is>
          <t>BRÄCKE</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34531-2022</t>
        </is>
      </c>
      <c r="B1056" s="1" t="n">
        <v>44793</v>
      </c>
      <c r="C1056" s="1" t="n">
        <v>45847</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34530-2022</t>
        </is>
      </c>
      <c r="B1057" s="1" t="n">
        <v>44793</v>
      </c>
      <c r="C1057" s="1" t="n">
        <v>45847</v>
      </c>
      <c r="D1057" t="inlineStr">
        <is>
          <t>JÄMTLANDS LÄN</t>
        </is>
      </c>
      <c r="E1057" t="inlineStr">
        <is>
          <t>BRÄCKE</t>
        </is>
      </c>
      <c r="F1057" t="inlineStr">
        <is>
          <t>SCA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35010-2022</t>
        </is>
      </c>
      <c r="B1058" s="1" t="n">
        <v>44797</v>
      </c>
      <c r="C1058" s="1" t="n">
        <v>45847</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35182-2022</t>
        </is>
      </c>
      <c r="B1059" s="1" t="n">
        <v>44797</v>
      </c>
      <c r="C1059" s="1" t="n">
        <v>45847</v>
      </c>
      <c r="D1059" t="inlineStr">
        <is>
          <t>JÄMTLANDS LÄN</t>
        </is>
      </c>
      <c r="E1059" t="inlineStr">
        <is>
          <t>BRÄCKE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35232-2022</t>
        </is>
      </c>
      <c r="B1060" s="1" t="n">
        <v>44797</v>
      </c>
      <c r="C1060" s="1" t="n">
        <v>45847</v>
      </c>
      <c r="D1060" t="inlineStr">
        <is>
          <t>JÄMTLANDS LÄN</t>
        </is>
      </c>
      <c r="E1060" t="inlineStr">
        <is>
          <t>BRÄCKE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35501-2022</t>
        </is>
      </c>
      <c r="B1061" s="1" t="n">
        <v>44799</v>
      </c>
      <c r="C1061" s="1" t="n">
        <v>45847</v>
      </c>
      <c r="D1061" t="inlineStr">
        <is>
          <t>JÄMTLANDS LÄN</t>
        </is>
      </c>
      <c r="E1061" t="inlineStr">
        <is>
          <t>BRÄCKE</t>
        </is>
      </c>
      <c r="F1061" t="inlineStr">
        <is>
          <t>SCA</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35511-2022</t>
        </is>
      </c>
      <c r="B1062" s="1" t="n">
        <v>44798</v>
      </c>
      <c r="C1062" s="1" t="n">
        <v>45847</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35512-2022</t>
        </is>
      </c>
      <c r="B1063" s="1" t="n">
        <v>44799</v>
      </c>
      <c r="C1063" s="1" t="n">
        <v>45847</v>
      </c>
      <c r="D1063" t="inlineStr">
        <is>
          <t>JÄMTLANDS LÄN</t>
        </is>
      </c>
      <c r="E1063" t="inlineStr">
        <is>
          <t>BRÄCKE</t>
        </is>
      </c>
      <c r="F1063" t="inlineStr">
        <is>
          <t>SCA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35746-2022</t>
        </is>
      </c>
      <c r="B1064" s="1" t="n">
        <v>44800</v>
      </c>
      <c r="C1064" s="1" t="n">
        <v>45847</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36129-2022</t>
        </is>
      </c>
      <c r="B1065" s="1" t="n">
        <v>44803</v>
      </c>
      <c r="C1065" s="1" t="n">
        <v>45847</v>
      </c>
      <c r="D1065" t="inlineStr">
        <is>
          <t>JÄMTLANDS LÄN</t>
        </is>
      </c>
      <c r="E1065" t="inlineStr">
        <is>
          <t>BRÄCKE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36364-2022</t>
        </is>
      </c>
      <c r="B1066" s="1" t="n">
        <v>44804</v>
      </c>
      <c r="C1066" s="1" t="n">
        <v>45847</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36392-2022</t>
        </is>
      </c>
      <c r="B1067" s="1" t="n">
        <v>44804</v>
      </c>
      <c r="C1067" s="1" t="n">
        <v>45847</v>
      </c>
      <c r="D1067" t="inlineStr">
        <is>
          <t>JÄMTLANDS LÄN</t>
        </is>
      </c>
      <c r="E1067" t="inlineStr">
        <is>
          <t>BRÄCKE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36389-2022</t>
        </is>
      </c>
      <c r="B1068" s="1" t="n">
        <v>44803</v>
      </c>
      <c r="C1068" s="1" t="n">
        <v>45847</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36685-2022</t>
        </is>
      </c>
      <c r="B1069" s="1" t="n">
        <v>44804</v>
      </c>
      <c r="C1069" s="1" t="n">
        <v>45847</v>
      </c>
      <c r="D1069" t="inlineStr">
        <is>
          <t>JÄMTLANDS LÄN</t>
        </is>
      </c>
      <c r="E1069" t="inlineStr">
        <is>
          <t>BRÄCKE</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36840-2022</t>
        </is>
      </c>
      <c r="B1070" s="1" t="n">
        <v>44805</v>
      </c>
      <c r="C1070" s="1" t="n">
        <v>45847</v>
      </c>
      <c r="D1070" t="inlineStr">
        <is>
          <t>JÄMTLANDS LÄN</t>
        </is>
      </c>
      <c r="E1070" t="inlineStr">
        <is>
          <t>BRÄCKE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37032-2022</t>
        </is>
      </c>
      <c r="B1071" s="1" t="n">
        <v>44806</v>
      </c>
      <c r="C1071" s="1" t="n">
        <v>45847</v>
      </c>
      <c r="D1071" t="inlineStr">
        <is>
          <t>JÄMTLANDS LÄN</t>
        </is>
      </c>
      <c r="E1071" t="inlineStr">
        <is>
          <t>BRÄCKE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37232-2022</t>
        </is>
      </c>
      <c r="B1072" s="1" t="n">
        <v>44806</v>
      </c>
      <c r="C1072" s="1" t="n">
        <v>45847</v>
      </c>
      <c r="D1072" t="inlineStr">
        <is>
          <t>JÄMTLANDS LÄN</t>
        </is>
      </c>
      <c r="E1072" t="inlineStr">
        <is>
          <t>BRÄCKE</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37229-2022</t>
        </is>
      </c>
      <c r="B1073" s="1" t="n">
        <v>44807</v>
      </c>
      <c r="C1073" s="1" t="n">
        <v>45847</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37234-2022</t>
        </is>
      </c>
      <c r="B1074" s="1" t="n">
        <v>44807</v>
      </c>
      <c r="C1074" s="1" t="n">
        <v>45847</v>
      </c>
      <c r="D1074" t="inlineStr">
        <is>
          <t>JÄMTLANDS LÄN</t>
        </is>
      </c>
      <c r="E1074" t="inlineStr">
        <is>
          <t>BRÄCKE</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37650-2022</t>
        </is>
      </c>
      <c r="B1075" s="1" t="n">
        <v>44810</v>
      </c>
      <c r="C1075" s="1" t="n">
        <v>45847</v>
      </c>
      <c r="D1075" t="inlineStr">
        <is>
          <t>JÄMTLANDS LÄN</t>
        </is>
      </c>
      <c r="E1075" t="inlineStr">
        <is>
          <t>BRÄCKE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37829-2022</t>
        </is>
      </c>
      <c r="B1076" s="1" t="n">
        <v>44811</v>
      </c>
      <c r="C1076" s="1" t="n">
        <v>45847</v>
      </c>
      <c r="D1076" t="inlineStr">
        <is>
          <t>JÄMTLANDS LÄN</t>
        </is>
      </c>
      <c r="E1076" t="inlineStr">
        <is>
          <t>BRÄCKE</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37828-2022</t>
        </is>
      </c>
      <c r="B1077" s="1" t="n">
        <v>44811</v>
      </c>
      <c r="C1077" s="1" t="n">
        <v>45847</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39701-2022</t>
        </is>
      </c>
      <c r="B1078" s="1" t="n">
        <v>44818</v>
      </c>
      <c r="C1078" s="1" t="n">
        <v>45847</v>
      </c>
      <c r="D1078" t="inlineStr">
        <is>
          <t>JÄMTLANDS LÄN</t>
        </is>
      </c>
      <c r="E1078" t="inlineStr">
        <is>
          <t>BRÄCKE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39702-2022</t>
        </is>
      </c>
      <c r="B1079" s="1" t="n">
        <v>44818</v>
      </c>
      <c r="C1079" s="1" t="n">
        <v>45847</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39704-2022</t>
        </is>
      </c>
      <c r="B1080" s="1" t="n">
        <v>44818</v>
      </c>
      <c r="C1080" s="1" t="n">
        <v>45847</v>
      </c>
      <c r="D1080" t="inlineStr">
        <is>
          <t>JÄMTLANDS LÄN</t>
        </is>
      </c>
      <c r="E1080" t="inlineStr">
        <is>
          <t>BRÄCKE</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39703-2022</t>
        </is>
      </c>
      <c r="B1081" s="1" t="n">
        <v>44818</v>
      </c>
      <c r="C1081" s="1" t="n">
        <v>45847</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39937-2022</t>
        </is>
      </c>
      <c r="B1082" s="1" t="n">
        <v>44820</v>
      </c>
      <c r="C1082" s="1" t="n">
        <v>45847</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39930-2022</t>
        </is>
      </c>
      <c r="B1083" s="1" t="n">
        <v>44819</v>
      </c>
      <c r="C1083" s="1" t="n">
        <v>45847</v>
      </c>
      <c r="D1083" t="inlineStr">
        <is>
          <t>JÄMTLANDS LÄN</t>
        </is>
      </c>
      <c r="E1083" t="inlineStr">
        <is>
          <t>BRÄCKE</t>
        </is>
      </c>
      <c r="F1083" t="inlineStr">
        <is>
          <t>SCA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40278-2022</t>
        </is>
      </c>
      <c r="B1084" s="1" t="n">
        <v>44820</v>
      </c>
      <c r="C1084" s="1" t="n">
        <v>45847</v>
      </c>
      <c r="D1084" t="inlineStr">
        <is>
          <t>JÄMTLANDS LÄN</t>
        </is>
      </c>
      <c r="E1084" t="inlineStr">
        <is>
          <t>BRÄCKE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40268-2022</t>
        </is>
      </c>
      <c r="B1085" s="1" t="n">
        <v>44821</v>
      </c>
      <c r="C1085" s="1" t="n">
        <v>45847</v>
      </c>
      <c r="D1085" t="inlineStr">
        <is>
          <t>JÄMTLANDS LÄN</t>
        </is>
      </c>
      <c r="E1085" t="inlineStr">
        <is>
          <t>BRÄCKE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40285-2022</t>
        </is>
      </c>
      <c r="B1086" s="1" t="n">
        <v>44821</v>
      </c>
      <c r="C1086" s="1" t="n">
        <v>45847</v>
      </c>
      <c r="D1086" t="inlineStr">
        <is>
          <t>JÄMTLANDS LÄN</t>
        </is>
      </c>
      <c r="E1086" t="inlineStr">
        <is>
          <t>BRÄCKE</t>
        </is>
      </c>
      <c r="F1086" t="inlineStr">
        <is>
          <t>SCA</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40711-2022</t>
        </is>
      </c>
      <c r="B1087" s="1" t="n">
        <v>44820</v>
      </c>
      <c r="C1087" s="1" t="n">
        <v>45847</v>
      </c>
      <c r="D1087" t="inlineStr">
        <is>
          <t>JÄMTLANDS LÄN</t>
        </is>
      </c>
      <c r="E1087" t="inlineStr">
        <is>
          <t>BRÄCKE</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40440-2022</t>
        </is>
      </c>
      <c r="B1088" s="1" t="n">
        <v>44823</v>
      </c>
      <c r="C1088" s="1" t="n">
        <v>45847</v>
      </c>
      <c r="D1088" t="inlineStr">
        <is>
          <t>JÄMTLANDS LÄN</t>
        </is>
      </c>
      <c r="E1088" t="inlineStr">
        <is>
          <t>BRÄCKE</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40675-2022</t>
        </is>
      </c>
      <c r="B1089" s="1" t="n">
        <v>44824</v>
      </c>
      <c r="C1089" s="1" t="n">
        <v>45847</v>
      </c>
      <c r="D1089" t="inlineStr">
        <is>
          <t>JÄMTLANDS LÄN</t>
        </is>
      </c>
      <c r="E1089" t="inlineStr">
        <is>
          <t>BRÄCKE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40903-2022</t>
        </is>
      </c>
      <c r="B1090" s="1" t="n">
        <v>44825</v>
      </c>
      <c r="C1090" s="1" t="n">
        <v>45847</v>
      </c>
      <c r="D1090" t="inlineStr">
        <is>
          <t>JÄMTLANDS LÄN</t>
        </is>
      </c>
      <c r="E1090" t="inlineStr">
        <is>
          <t>BRÄCKE</t>
        </is>
      </c>
      <c r="G1090" t="n">
        <v>65.59999999999999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41175-2022</t>
        </is>
      </c>
      <c r="B1091" s="1" t="n">
        <v>44826</v>
      </c>
      <c r="C1091" s="1" t="n">
        <v>45847</v>
      </c>
      <c r="D1091" t="inlineStr">
        <is>
          <t>JÄMTLANDS LÄN</t>
        </is>
      </c>
      <c r="E1091" t="inlineStr">
        <is>
          <t>BRÄCKE</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41182-2022</t>
        </is>
      </c>
      <c r="B1092" s="1" t="n">
        <v>44826</v>
      </c>
      <c r="C1092" s="1" t="n">
        <v>45847</v>
      </c>
      <c r="D1092" t="inlineStr">
        <is>
          <t>JÄMTLANDS LÄN</t>
        </is>
      </c>
      <c r="E1092" t="inlineStr">
        <is>
          <t>BRÄCKE</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41817-2022</t>
        </is>
      </c>
      <c r="B1093" s="1" t="n">
        <v>44827</v>
      </c>
      <c r="C1093" s="1" t="n">
        <v>45847</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42113-2022</t>
        </is>
      </c>
      <c r="B1094" s="1" t="n">
        <v>44830</v>
      </c>
      <c r="C1094" s="1" t="n">
        <v>45847</v>
      </c>
      <c r="D1094" t="inlineStr">
        <is>
          <t>JÄMTLANDS LÄN</t>
        </is>
      </c>
      <c r="E1094" t="inlineStr">
        <is>
          <t>BRÄCKE</t>
        </is>
      </c>
      <c r="F1094" t="inlineStr">
        <is>
          <t>Övriga Aktiebolag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42288-2022</t>
        </is>
      </c>
      <c r="B1095" s="1" t="n">
        <v>44830</v>
      </c>
      <c r="C1095" s="1" t="n">
        <v>45847</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42290-2022</t>
        </is>
      </c>
      <c r="B1096" s="1" t="n">
        <v>44830</v>
      </c>
      <c r="C1096" s="1" t="n">
        <v>45847</v>
      </c>
      <c r="D1096" t="inlineStr">
        <is>
          <t>JÄMTLANDS LÄN</t>
        </is>
      </c>
      <c r="E1096" t="inlineStr">
        <is>
          <t>BRÄCKE</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42656-2022</t>
        </is>
      </c>
      <c r="B1097" s="1" t="n">
        <v>44831</v>
      </c>
      <c r="C1097" s="1" t="n">
        <v>45847</v>
      </c>
      <c r="D1097" t="inlineStr">
        <is>
          <t>JÄMTLANDS LÄN</t>
        </is>
      </c>
      <c r="E1097" t="inlineStr">
        <is>
          <t>BRÄCKE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42894-2022</t>
        </is>
      </c>
      <c r="B1098" s="1" t="n">
        <v>44833</v>
      </c>
      <c r="C1098" s="1" t="n">
        <v>45847</v>
      </c>
      <c r="D1098" t="inlineStr">
        <is>
          <t>JÄMTLANDS LÄN</t>
        </is>
      </c>
      <c r="E1098" t="inlineStr">
        <is>
          <t>BRÄCKE</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43142-2022</t>
        </is>
      </c>
      <c r="B1099" s="1" t="n">
        <v>44834</v>
      </c>
      <c r="C1099" s="1" t="n">
        <v>45847</v>
      </c>
      <c r="D1099" t="inlineStr">
        <is>
          <t>JÄMTLANDS LÄN</t>
        </is>
      </c>
      <c r="E1099" t="inlineStr">
        <is>
          <t>BRÄCKE</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43126-2022</t>
        </is>
      </c>
      <c r="B1100" s="1" t="n">
        <v>44833</v>
      </c>
      <c r="C1100" s="1" t="n">
        <v>45847</v>
      </c>
      <c r="D1100" t="inlineStr">
        <is>
          <t>JÄMTLANDS LÄN</t>
        </is>
      </c>
      <c r="E1100" t="inlineStr">
        <is>
          <t>BRÄCKE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43421-2022</t>
        </is>
      </c>
      <c r="B1101" s="1" t="n">
        <v>44834</v>
      </c>
      <c r="C1101" s="1" t="n">
        <v>45847</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43789-2022</t>
        </is>
      </c>
      <c r="B1102" s="1" t="n">
        <v>44837</v>
      </c>
      <c r="C1102" s="1" t="n">
        <v>45847</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43785-2022</t>
        </is>
      </c>
      <c r="B1103" s="1" t="n">
        <v>44837</v>
      </c>
      <c r="C1103" s="1" t="n">
        <v>45847</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44445-2022</t>
        </is>
      </c>
      <c r="B1104" s="1" t="n">
        <v>44840</v>
      </c>
      <c r="C1104" s="1" t="n">
        <v>45847</v>
      </c>
      <c r="D1104" t="inlineStr">
        <is>
          <t>JÄMTLANDS LÄN</t>
        </is>
      </c>
      <c r="E1104" t="inlineStr">
        <is>
          <t>BRÄCKE</t>
        </is>
      </c>
      <c r="F1104" t="inlineStr">
        <is>
          <t>SCA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44444-2022</t>
        </is>
      </c>
      <c r="B1105" s="1" t="n">
        <v>44840</v>
      </c>
      <c r="C1105" s="1" t="n">
        <v>45847</v>
      </c>
      <c r="D1105" t="inlineStr">
        <is>
          <t>JÄMTLANDS LÄN</t>
        </is>
      </c>
      <c r="E1105" t="inlineStr">
        <is>
          <t>BRÄCKE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44743-2022</t>
        </is>
      </c>
      <c r="B1106" s="1" t="n">
        <v>44840</v>
      </c>
      <c r="C1106" s="1" t="n">
        <v>45847</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44752-2022</t>
        </is>
      </c>
      <c r="B1107" s="1" t="n">
        <v>44840</v>
      </c>
      <c r="C1107" s="1" t="n">
        <v>45847</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44753-2022</t>
        </is>
      </c>
      <c r="B1108" s="1" t="n">
        <v>44840</v>
      </c>
      <c r="C1108" s="1" t="n">
        <v>45847</v>
      </c>
      <c r="D1108" t="inlineStr">
        <is>
          <t>JÄMTLANDS LÄN</t>
        </is>
      </c>
      <c r="E1108" t="inlineStr">
        <is>
          <t>BRÄCKE</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45304-2022</t>
        </is>
      </c>
      <c r="B1109" s="1" t="n">
        <v>44841</v>
      </c>
      <c r="C1109" s="1" t="n">
        <v>45847</v>
      </c>
      <c r="D1109" t="inlineStr">
        <is>
          <t>JÄMTLANDS LÄN</t>
        </is>
      </c>
      <c r="E1109" t="inlineStr">
        <is>
          <t>BRÄCKE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45426-2022</t>
        </is>
      </c>
      <c r="B1110" s="1" t="n">
        <v>44844</v>
      </c>
      <c r="C1110" s="1" t="n">
        <v>45847</v>
      </c>
      <c r="D1110" t="inlineStr">
        <is>
          <t>JÄMTLANDS LÄN</t>
        </is>
      </c>
      <c r="E1110" t="inlineStr">
        <is>
          <t>BRÄCKE</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45436-2022</t>
        </is>
      </c>
      <c r="B1111" s="1" t="n">
        <v>44845</v>
      </c>
      <c r="C1111" s="1" t="n">
        <v>45847</v>
      </c>
      <c r="D1111" t="inlineStr">
        <is>
          <t>JÄMTLANDS LÄN</t>
        </is>
      </c>
      <c r="E1111" t="inlineStr">
        <is>
          <t>BRÄCKE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45533-2022</t>
        </is>
      </c>
      <c r="B1112" s="1" t="n">
        <v>44845</v>
      </c>
      <c r="C1112" s="1" t="n">
        <v>45847</v>
      </c>
      <c r="D1112" t="inlineStr">
        <is>
          <t>JÄMTLANDS LÄN</t>
        </is>
      </c>
      <c r="E1112" t="inlineStr">
        <is>
          <t>BRÄCKE</t>
        </is>
      </c>
      <c r="F1112" t="inlineStr">
        <is>
          <t>Övriga Aktiebolag</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45701-2022</t>
        </is>
      </c>
      <c r="B1113" s="1" t="n">
        <v>44845</v>
      </c>
      <c r="C1113" s="1" t="n">
        <v>45847</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45691-2022</t>
        </is>
      </c>
      <c r="B1114" s="1" t="n">
        <v>44846</v>
      </c>
      <c r="C1114" s="1" t="n">
        <v>45847</v>
      </c>
      <c r="D1114" t="inlineStr">
        <is>
          <t>JÄMTLANDS LÄN</t>
        </is>
      </c>
      <c r="E1114" t="inlineStr">
        <is>
          <t>BRÄCKE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45913-2022</t>
        </is>
      </c>
      <c r="B1115" s="1" t="n">
        <v>44845</v>
      </c>
      <c r="C1115" s="1" t="n">
        <v>45847</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46024-2022</t>
        </is>
      </c>
      <c r="B1116" s="1" t="n">
        <v>44847</v>
      </c>
      <c r="C1116" s="1" t="n">
        <v>45847</v>
      </c>
      <c r="D1116" t="inlineStr">
        <is>
          <t>JÄMTLANDS LÄN</t>
        </is>
      </c>
      <c r="E1116" t="inlineStr">
        <is>
          <t>BRÄCKE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46598-2022</t>
        </is>
      </c>
      <c r="B1117" s="1" t="n">
        <v>44848</v>
      </c>
      <c r="C1117" s="1" t="n">
        <v>45847</v>
      </c>
      <c r="D1117" t="inlineStr">
        <is>
          <t>JÄMTLANDS LÄN</t>
        </is>
      </c>
      <c r="E1117" t="inlineStr">
        <is>
          <t>BRÄCKE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46623-2022</t>
        </is>
      </c>
      <c r="B1118" s="1" t="n">
        <v>44849</v>
      </c>
      <c r="C1118" s="1" t="n">
        <v>45847</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46602-2022</t>
        </is>
      </c>
      <c r="B1119" s="1" t="n">
        <v>44848</v>
      </c>
      <c r="C1119" s="1" t="n">
        <v>45847</v>
      </c>
      <c r="D1119" t="inlineStr">
        <is>
          <t>JÄMTLANDS LÄN</t>
        </is>
      </c>
      <c r="E1119" t="inlineStr">
        <is>
          <t>BRÄCKE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46597-2022</t>
        </is>
      </c>
      <c r="B1120" s="1" t="n">
        <v>44848</v>
      </c>
      <c r="C1120" s="1" t="n">
        <v>45847</v>
      </c>
      <c r="D1120" t="inlineStr">
        <is>
          <t>JÄMTLANDS LÄN</t>
        </is>
      </c>
      <c r="E1120" t="inlineStr">
        <is>
          <t>BRÄCKE</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46601-2022</t>
        </is>
      </c>
      <c r="B1121" s="1" t="n">
        <v>44848</v>
      </c>
      <c r="C1121" s="1" t="n">
        <v>45847</v>
      </c>
      <c r="D1121" t="inlineStr">
        <is>
          <t>JÄMTLANDS LÄN</t>
        </is>
      </c>
      <c r="E1121" t="inlineStr">
        <is>
          <t>BRÄCKE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46966-2022</t>
        </is>
      </c>
      <c r="B1122" s="1" t="n">
        <v>44852</v>
      </c>
      <c r="C1122" s="1" t="n">
        <v>45847</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47183-2022</t>
        </is>
      </c>
      <c r="B1123" s="1" t="n">
        <v>44851</v>
      </c>
      <c r="C1123" s="1" t="n">
        <v>45847</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47257-2022</t>
        </is>
      </c>
      <c r="B1124" s="1" t="n">
        <v>44852</v>
      </c>
      <c r="C1124" s="1" t="n">
        <v>45847</v>
      </c>
      <c r="D1124" t="inlineStr">
        <is>
          <t>JÄMTLANDS LÄN</t>
        </is>
      </c>
      <c r="E1124" t="inlineStr">
        <is>
          <t>BRÄCKE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47256-2022</t>
        </is>
      </c>
      <c r="B1125" s="1" t="n">
        <v>44853</v>
      </c>
      <c r="C1125" s="1" t="n">
        <v>45847</v>
      </c>
      <c r="D1125" t="inlineStr">
        <is>
          <t>JÄMTLANDS LÄN</t>
        </is>
      </c>
      <c r="E1125" t="inlineStr">
        <is>
          <t>BRÄCKE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47264-2022</t>
        </is>
      </c>
      <c r="B1126" s="1" t="n">
        <v>44853</v>
      </c>
      <c r="C1126" s="1" t="n">
        <v>45847</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47298-2022</t>
        </is>
      </c>
      <c r="B1127" s="1" t="n">
        <v>44852</v>
      </c>
      <c r="C1127" s="1" t="n">
        <v>45847</v>
      </c>
      <c r="D1127" t="inlineStr">
        <is>
          <t>JÄMTLANDS LÄN</t>
        </is>
      </c>
      <c r="E1127" t="inlineStr">
        <is>
          <t>BRÄCKE</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47561-2022</t>
        </is>
      </c>
      <c r="B1128" s="1" t="n">
        <v>44854</v>
      </c>
      <c r="C1128" s="1" t="n">
        <v>45847</v>
      </c>
      <c r="D1128" t="inlineStr">
        <is>
          <t>JÄMTLANDS LÄN</t>
        </is>
      </c>
      <c r="E1128" t="inlineStr">
        <is>
          <t>BRÄCKE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47574-2022</t>
        </is>
      </c>
      <c r="B1129" s="1" t="n">
        <v>44853</v>
      </c>
      <c r="C1129" s="1" t="n">
        <v>45847</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48517-2022</t>
        </is>
      </c>
      <c r="B1130" s="1" t="n">
        <v>44859</v>
      </c>
      <c r="C1130" s="1" t="n">
        <v>45847</v>
      </c>
      <c r="D1130" t="inlineStr">
        <is>
          <t>JÄMTLANDS LÄN</t>
        </is>
      </c>
      <c r="E1130" t="inlineStr">
        <is>
          <t>BRÄCKE</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48499-2022</t>
        </is>
      </c>
      <c r="B1131" s="1" t="n">
        <v>44859</v>
      </c>
      <c r="C1131" s="1" t="n">
        <v>45847</v>
      </c>
      <c r="D1131" t="inlineStr">
        <is>
          <t>JÄMTLANDS LÄN</t>
        </is>
      </c>
      <c r="E1131" t="inlineStr">
        <is>
          <t>BRÄCKE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48555-2022</t>
        </is>
      </c>
      <c r="B1132" s="1" t="n">
        <v>44859</v>
      </c>
      <c r="C1132" s="1" t="n">
        <v>45847</v>
      </c>
      <c r="D1132" t="inlineStr">
        <is>
          <t>JÄMTLANDS LÄN</t>
        </is>
      </c>
      <c r="E1132" t="inlineStr">
        <is>
          <t>BRÄCKE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48928-2022</t>
        </is>
      </c>
      <c r="B1133" s="1" t="n">
        <v>44860</v>
      </c>
      <c r="C1133" s="1" t="n">
        <v>45847</v>
      </c>
      <c r="D1133" t="inlineStr">
        <is>
          <t>JÄMTLANDS LÄN</t>
        </is>
      </c>
      <c r="E1133" t="inlineStr">
        <is>
          <t>BRÄCKE</t>
        </is>
      </c>
      <c r="F1133" t="inlineStr">
        <is>
          <t>SCA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48816-2022</t>
        </is>
      </c>
      <c r="B1134" s="1" t="n">
        <v>44859</v>
      </c>
      <c r="C1134" s="1" t="n">
        <v>45847</v>
      </c>
      <c r="D1134" t="inlineStr">
        <is>
          <t>JÄMTLANDS LÄN</t>
        </is>
      </c>
      <c r="E1134" t="inlineStr">
        <is>
          <t>BRÄCKE</t>
        </is>
      </c>
      <c r="G1134" t="n">
        <v>13.3</v>
      </c>
      <c r="H1134" t="n">
        <v>0</v>
      </c>
      <c r="I1134" t="n">
        <v>0</v>
      </c>
      <c r="J1134" t="n">
        <v>0</v>
      </c>
      <c r="K1134" t="n">
        <v>0</v>
      </c>
      <c r="L1134" t="n">
        <v>0</v>
      </c>
      <c r="M1134" t="n">
        <v>0</v>
      </c>
      <c r="N1134" t="n">
        <v>0</v>
      </c>
      <c r="O1134" t="n">
        <v>0</v>
      </c>
      <c r="P1134" t="n">
        <v>0</v>
      </c>
      <c r="Q1134" t="n">
        <v>0</v>
      </c>
      <c r="R1134" s="2" t="inlineStr"/>
    </row>
    <row r="1135" ht="15" customHeight="1">
      <c r="A1135" t="inlineStr">
        <is>
          <t>A 48927-2022</t>
        </is>
      </c>
      <c r="B1135" s="1" t="n">
        <v>44860</v>
      </c>
      <c r="C1135" s="1" t="n">
        <v>45847</v>
      </c>
      <c r="D1135" t="inlineStr">
        <is>
          <t>JÄMTLANDS LÄN</t>
        </is>
      </c>
      <c r="E1135" t="inlineStr">
        <is>
          <t>BRÄCKE</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49191-2022</t>
        </is>
      </c>
      <c r="B1136" s="1" t="n">
        <v>44861</v>
      </c>
      <c r="C1136" s="1" t="n">
        <v>45847</v>
      </c>
      <c r="D1136" t="inlineStr">
        <is>
          <t>JÄMTLANDS LÄN</t>
        </is>
      </c>
      <c r="E1136" t="inlineStr">
        <is>
          <t>BRÄCKE</t>
        </is>
      </c>
      <c r="F1136" t="inlineStr">
        <is>
          <t>SCA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49523-2022</t>
        </is>
      </c>
      <c r="B1137" s="1" t="n">
        <v>44862</v>
      </c>
      <c r="C1137" s="1" t="n">
        <v>45847</v>
      </c>
      <c r="D1137" t="inlineStr">
        <is>
          <t>JÄMTLANDS LÄN</t>
        </is>
      </c>
      <c r="E1137" t="inlineStr">
        <is>
          <t>BRÄCKE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49516-2022</t>
        </is>
      </c>
      <c r="B1138" s="1" t="n">
        <v>44862</v>
      </c>
      <c r="C1138" s="1" t="n">
        <v>45847</v>
      </c>
      <c r="D1138" t="inlineStr">
        <is>
          <t>JÄMTLANDS LÄN</t>
        </is>
      </c>
      <c r="E1138" t="inlineStr">
        <is>
          <t>BRÄCKE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49839-2022</t>
        </is>
      </c>
      <c r="B1139" s="1" t="n">
        <v>44863</v>
      </c>
      <c r="C1139" s="1" t="n">
        <v>45847</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49858-2022</t>
        </is>
      </c>
      <c r="B1140" s="1" t="n">
        <v>44862</v>
      </c>
      <c r="C1140" s="1" t="n">
        <v>45847</v>
      </c>
      <c r="D1140" t="inlineStr">
        <is>
          <t>JÄMTLANDS LÄN</t>
        </is>
      </c>
      <c r="E1140" t="inlineStr">
        <is>
          <t>BRÄCKE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49838-2022</t>
        </is>
      </c>
      <c r="B1141" s="1" t="n">
        <v>44863</v>
      </c>
      <c r="C1141" s="1" t="n">
        <v>45847</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49864-2022</t>
        </is>
      </c>
      <c r="B1142" s="1" t="n">
        <v>44862</v>
      </c>
      <c r="C1142" s="1" t="n">
        <v>45847</v>
      </c>
      <c r="D1142" t="inlineStr">
        <is>
          <t>JÄMTLANDS LÄN</t>
        </is>
      </c>
      <c r="E1142" t="inlineStr">
        <is>
          <t>BRÄCKE</t>
        </is>
      </c>
      <c r="F1142" t="inlineStr">
        <is>
          <t>SCA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49853-2022</t>
        </is>
      </c>
      <c r="B1143" s="1" t="n">
        <v>44863</v>
      </c>
      <c r="C1143" s="1" t="n">
        <v>45847</v>
      </c>
      <c r="D1143" t="inlineStr">
        <is>
          <t>JÄMTLANDS LÄN</t>
        </is>
      </c>
      <c r="E1143" t="inlineStr">
        <is>
          <t>BRÄCKE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49861-2022</t>
        </is>
      </c>
      <c r="B1144" s="1" t="n">
        <v>44862</v>
      </c>
      <c r="C1144" s="1" t="n">
        <v>45847</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50323-2022</t>
        </is>
      </c>
      <c r="B1145" s="1" t="n">
        <v>44865</v>
      </c>
      <c r="C1145" s="1" t="n">
        <v>45847</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50333-2022</t>
        </is>
      </c>
      <c r="B1146" s="1" t="n">
        <v>44865</v>
      </c>
      <c r="C1146" s="1" t="n">
        <v>45847</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50334-2022</t>
        </is>
      </c>
      <c r="B1147" s="1" t="n">
        <v>44865</v>
      </c>
      <c r="C1147" s="1" t="n">
        <v>45847</v>
      </c>
      <c r="D1147" t="inlineStr">
        <is>
          <t>JÄMTLANDS LÄN</t>
        </is>
      </c>
      <c r="E1147" t="inlineStr">
        <is>
          <t>BRÄCKE</t>
        </is>
      </c>
      <c r="F1147" t="inlineStr">
        <is>
          <t>SCA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51152-2022</t>
        </is>
      </c>
      <c r="B1148" s="1" t="n">
        <v>44865</v>
      </c>
      <c r="C1148" s="1" t="n">
        <v>45847</v>
      </c>
      <c r="D1148" t="inlineStr">
        <is>
          <t>JÄMTLANDS LÄN</t>
        </is>
      </c>
      <c r="E1148" t="inlineStr">
        <is>
          <t>BRÄCKE</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51270-2022</t>
        </is>
      </c>
      <c r="B1149" s="1" t="n">
        <v>44866</v>
      </c>
      <c r="C1149" s="1" t="n">
        <v>45847</v>
      </c>
      <c r="D1149" t="inlineStr">
        <is>
          <t>JÄMTLANDS LÄN</t>
        </is>
      </c>
      <c r="E1149" t="inlineStr">
        <is>
          <t>BRÄCKE</t>
        </is>
      </c>
      <c r="F1149" t="inlineStr">
        <is>
          <t>Kommuner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51022-2022</t>
        </is>
      </c>
      <c r="B1150" s="1" t="n">
        <v>44867</v>
      </c>
      <c r="C1150" s="1" t="n">
        <v>45847</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51020-2022</t>
        </is>
      </c>
      <c r="B1151" s="1" t="n">
        <v>44867</v>
      </c>
      <c r="C1151" s="1" t="n">
        <v>45847</v>
      </c>
      <c r="D1151" t="inlineStr">
        <is>
          <t>JÄMTLANDS LÄN</t>
        </is>
      </c>
      <c r="E1151" t="inlineStr">
        <is>
          <t>BRÄCKE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51558-2022</t>
        </is>
      </c>
      <c r="B1152" s="1" t="n">
        <v>44869</v>
      </c>
      <c r="C1152" s="1" t="n">
        <v>45847</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51559-2022</t>
        </is>
      </c>
      <c r="B1153" s="1" t="n">
        <v>44869</v>
      </c>
      <c r="C1153" s="1" t="n">
        <v>45847</v>
      </c>
      <c r="D1153" t="inlineStr">
        <is>
          <t>JÄMTLANDS LÄN</t>
        </is>
      </c>
      <c r="E1153" t="inlineStr">
        <is>
          <t>BRÄCKE</t>
        </is>
      </c>
      <c r="F1153" t="inlineStr">
        <is>
          <t>SCA</t>
        </is>
      </c>
      <c r="G1153" t="n">
        <v>21.1</v>
      </c>
      <c r="H1153" t="n">
        <v>0</v>
      </c>
      <c r="I1153" t="n">
        <v>0</v>
      </c>
      <c r="J1153" t="n">
        <v>0</v>
      </c>
      <c r="K1153" t="n">
        <v>0</v>
      </c>
      <c r="L1153" t="n">
        <v>0</v>
      </c>
      <c r="M1153" t="n">
        <v>0</v>
      </c>
      <c r="N1153" t="n">
        <v>0</v>
      </c>
      <c r="O1153" t="n">
        <v>0</v>
      </c>
      <c r="P1153" t="n">
        <v>0</v>
      </c>
      <c r="Q1153" t="n">
        <v>0</v>
      </c>
      <c r="R1153" s="2" t="inlineStr"/>
    </row>
    <row r="1154" ht="15" customHeight="1">
      <c r="A1154" t="inlineStr">
        <is>
          <t>A 51787-2022</t>
        </is>
      </c>
      <c r="B1154" s="1" t="n">
        <v>44872</v>
      </c>
      <c r="C1154" s="1" t="n">
        <v>45847</v>
      </c>
      <c r="D1154" t="inlineStr">
        <is>
          <t>JÄMTLANDS LÄN</t>
        </is>
      </c>
      <c r="E1154" t="inlineStr">
        <is>
          <t>BRÄCKE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52021-2022</t>
        </is>
      </c>
      <c r="B1155" s="1" t="n">
        <v>44872</v>
      </c>
      <c r="C1155" s="1" t="n">
        <v>45847</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52023-2022</t>
        </is>
      </c>
      <c r="B1156" s="1" t="n">
        <v>44872</v>
      </c>
      <c r="C1156" s="1" t="n">
        <v>45847</v>
      </c>
      <c r="D1156" t="inlineStr">
        <is>
          <t>JÄMTLANDS LÄN</t>
        </is>
      </c>
      <c r="E1156" t="inlineStr">
        <is>
          <t>BRÄCKE</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52022-2022</t>
        </is>
      </c>
      <c r="B1157" s="1" t="n">
        <v>44872</v>
      </c>
      <c r="C1157" s="1" t="n">
        <v>45847</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52844-2022</t>
        </is>
      </c>
      <c r="B1158" s="1" t="n">
        <v>44872</v>
      </c>
      <c r="C1158" s="1" t="n">
        <v>45847</v>
      </c>
      <c r="D1158" t="inlineStr">
        <is>
          <t>JÄMTLANDS LÄN</t>
        </is>
      </c>
      <c r="E1158" t="inlineStr">
        <is>
          <t>BRÄCKE</t>
        </is>
      </c>
      <c r="G1158" t="n">
        <v>9.5</v>
      </c>
      <c r="H1158" t="n">
        <v>0</v>
      </c>
      <c r="I1158" t="n">
        <v>0</v>
      </c>
      <c r="J1158" t="n">
        <v>0</v>
      </c>
      <c r="K1158" t="n">
        <v>0</v>
      </c>
      <c r="L1158" t="n">
        <v>0</v>
      </c>
      <c r="M1158" t="n">
        <v>0</v>
      </c>
      <c r="N1158" t="n">
        <v>0</v>
      </c>
      <c r="O1158" t="n">
        <v>0</v>
      </c>
      <c r="P1158" t="n">
        <v>0</v>
      </c>
      <c r="Q1158" t="n">
        <v>0</v>
      </c>
      <c r="R1158" s="2" t="inlineStr"/>
    </row>
    <row r="1159" ht="15" customHeight="1">
      <c r="A1159" t="inlineStr">
        <is>
          <t>A 52031-2022</t>
        </is>
      </c>
      <c r="B1159" s="1" t="n">
        <v>44872</v>
      </c>
      <c r="C1159" s="1" t="n">
        <v>45847</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52300-2022</t>
        </is>
      </c>
      <c r="B1160" s="1" t="n">
        <v>44873</v>
      </c>
      <c r="C1160" s="1" t="n">
        <v>45847</v>
      </c>
      <c r="D1160" t="inlineStr">
        <is>
          <t>JÄMTLANDS LÄN</t>
        </is>
      </c>
      <c r="E1160" t="inlineStr">
        <is>
          <t>BRÄCKE</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53113-2022</t>
        </is>
      </c>
      <c r="B1161" s="1" t="n">
        <v>44873</v>
      </c>
      <c r="C1161" s="1" t="n">
        <v>45847</v>
      </c>
      <c r="D1161" t="inlineStr">
        <is>
          <t>JÄMTLANDS LÄN</t>
        </is>
      </c>
      <c r="E1161" t="inlineStr">
        <is>
          <t>BRÄCKE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52433-2022</t>
        </is>
      </c>
      <c r="B1162" s="1" t="n">
        <v>44874</v>
      </c>
      <c r="C1162" s="1" t="n">
        <v>45847</v>
      </c>
      <c r="D1162" t="inlineStr">
        <is>
          <t>JÄMTLANDS LÄN</t>
        </is>
      </c>
      <c r="E1162" t="inlineStr">
        <is>
          <t>BRÄCKE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52712-2022</t>
        </is>
      </c>
      <c r="B1163" s="1" t="n">
        <v>44874</v>
      </c>
      <c r="C1163" s="1" t="n">
        <v>45847</v>
      </c>
      <c r="D1163" t="inlineStr">
        <is>
          <t>JÄMTLANDS LÄN</t>
        </is>
      </c>
      <c r="E1163" t="inlineStr">
        <is>
          <t>BRÄCKE</t>
        </is>
      </c>
      <c r="F1163" t="inlineStr">
        <is>
          <t>SCA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52721-2022</t>
        </is>
      </c>
      <c r="B1164" s="1" t="n">
        <v>44874</v>
      </c>
      <c r="C1164" s="1" t="n">
        <v>45847</v>
      </c>
      <c r="D1164" t="inlineStr">
        <is>
          <t>JÄMTLANDS LÄN</t>
        </is>
      </c>
      <c r="E1164" t="inlineStr">
        <is>
          <t>BRÄCKE</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52713-2022</t>
        </is>
      </c>
      <c r="B1165" s="1" t="n">
        <v>44874</v>
      </c>
      <c r="C1165" s="1" t="n">
        <v>45847</v>
      </c>
      <c r="D1165" t="inlineStr">
        <is>
          <t>JÄMTLANDS LÄN</t>
        </is>
      </c>
      <c r="E1165" t="inlineStr">
        <is>
          <t>BRÄCKE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52722-2022</t>
        </is>
      </c>
      <c r="B1166" s="1" t="n">
        <v>44874</v>
      </c>
      <c r="C1166" s="1" t="n">
        <v>45847</v>
      </c>
      <c r="D1166" t="inlineStr">
        <is>
          <t>JÄMTLANDS LÄN</t>
        </is>
      </c>
      <c r="E1166" t="inlineStr">
        <is>
          <t>BRÄCKE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52714-2022</t>
        </is>
      </c>
      <c r="B1167" s="1" t="n">
        <v>44874</v>
      </c>
      <c r="C1167" s="1" t="n">
        <v>45847</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52724-2022</t>
        </is>
      </c>
      <c r="B1168" s="1" t="n">
        <v>44874</v>
      </c>
      <c r="C1168" s="1" t="n">
        <v>45847</v>
      </c>
      <c r="D1168" t="inlineStr">
        <is>
          <t>JÄMTLANDS LÄN</t>
        </is>
      </c>
      <c r="E1168" t="inlineStr">
        <is>
          <t>BRÄCKE</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53407-2022</t>
        </is>
      </c>
      <c r="B1169" s="1" t="n">
        <v>44874</v>
      </c>
      <c r="C1169" s="1" t="n">
        <v>45847</v>
      </c>
      <c r="D1169" t="inlineStr">
        <is>
          <t>JÄMTLANDS LÄN</t>
        </is>
      </c>
      <c r="E1169" t="inlineStr">
        <is>
          <t>BRÄCKE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52846-2022</t>
        </is>
      </c>
      <c r="B1170" s="1" t="n">
        <v>44875</v>
      </c>
      <c r="C1170" s="1" t="n">
        <v>45847</v>
      </c>
      <c r="D1170" t="inlineStr">
        <is>
          <t>JÄMTLANDS LÄN</t>
        </is>
      </c>
      <c r="E1170" t="inlineStr">
        <is>
          <t>BRÄCKE</t>
        </is>
      </c>
      <c r="F1170" t="inlineStr">
        <is>
          <t>Övriga Aktiebolag</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52983-2022</t>
        </is>
      </c>
      <c r="B1171" s="1" t="n">
        <v>44875</v>
      </c>
      <c r="C1171" s="1" t="n">
        <v>45847</v>
      </c>
      <c r="D1171" t="inlineStr">
        <is>
          <t>JÄMTLANDS LÄN</t>
        </is>
      </c>
      <c r="E1171" t="inlineStr">
        <is>
          <t>BRÄCKE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53026-2022</t>
        </is>
      </c>
      <c r="B1172" s="1" t="n">
        <v>44875</v>
      </c>
      <c r="C1172" s="1" t="n">
        <v>45847</v>
      </c>
      <c r="D1172" t="inlineStr">
        <is>
          <t>JÄMTLANDS LÄN</t>
        </is>
      </c>
      <c r="E1172" t="inlineStr">
        <is>
          <t>BRÄCKE</t>
        </is>
      </c>
      <c r="F1172" t="inlineStr">
        <is>
          <t>Naturvårdsverket</t>
        </is>
      </c>
      <c r="G1172" t="n">
        <v>69.90000000000001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53276-2022</t>
        </is>
      </c>
      <c r="B1173" s="1" t="n">
        <v>44876</v>
      </c>
      <c r="C1173" s="1" t="n">
        <v>45847</v>
      </c>
      <c r="D1173" t="inlineStr">
        <is>
          <t>JÄMTLANDS LÄN</t>
        </is>
      </c>
      <c r="E1173" t="inlineStr">
        <is>
          <t>BRÄCKE</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53281-2022</t>
        </is>
      </c>
      <c r="B1174" s="1" t="n">
        <v>44876</v>
      </c>
      <c r="C1174" s="1" t="n">
        <v>45847</v>
      </c>
      <c r="D1174" t="inlineStr">
        <is>
          <t>JÄMTLANDS LÄN</t>
        </is>
      </c>
      <c r="E1174" t="inlineStr">
        <is>
          <t>BRÄCKE</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53274-2022</t>
        </is>
      </c>
      <c r="B1175" s="1" t="n">
        <v>44876</v>
      </c>
      <c r="C1175" s="1" t="n">
        <v>45847</v>
      </c>
      <c r="D1175" t="inlineStr">
        <is>
          <t>JÄMTLANDS LÄN</t>
        </is>
      </c>
      <c r="E1175" t="inlineStr">
        <is>
          <t>BRÄCKE</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53283-2022</t>
        </is>
      </c>
      <c r="B1176" s="1" t="n">
        <v>44876</v>
      </c>
      <c r="C1176" s="1" t="n">
        <v>45847</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53278-2022</t>
        </is>
      </c>
      <c r="B1177" s="1" t="n">
        <v>44876</v>
      </c>
      <c r="C1177" s="1" t="n">
        <v>45847</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54274-2022</t>
        </is>
      </c>
      <c r="B1178" s="1" t="n">
        <v>44879</v>
      </c>
      <c r="C1178" s="1" t="n">
        <v>45847</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53662-2022</t>
        </is>
      </c>
      <c r="B1179" s="1" t="n">
        <v>44879</v>
      </c>
      <c r="C1179" s="1" t="n">
        <v>45847</v>
      </c>
      <c r="D1179" t="inlineStr">
        <is>
          <t>JÄMTLANDS LÄN</t>
        </is>
      </c>
      <c r="E1179" t="inlineStr">
        <is>
          <t>BRÄCKE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53941-2022</t>
        </is>
      </c>
      <c r="B1180" s="1" t="n">
        <v>44880</v>
      </c>
      <c r="C1180" s="1" t="n">
        <v>45847</v>
      </c>
      <c r="D1180" t="inlineStr">
        <is>
          <t>JÄMTLANDS LÄN</t>
        </is>
      </c>
      <c r="E1180" t="inlineStr">
        <is>
          <t>BRÄCKE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54243-2022</t>
        </is>
      </c>
      <c r="B1181" s="1" t="n">
        <v>44881</v>
      </c>
      <c r="C1181" s="1" t="n">
        <v>45847</v>
      </c>
      <c r="D1181" t="inlineStr">
        <is>
          <t>JÄMTLANDS LÄN</t>
        </is>
      </c>
      <c r="E1181" t="inlineStr">
        <is>
          <t>BRÄCKE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54520-2022</t>
        </is>
      </c>
      <c r="B1182" s="1" t="n">
        <v>44882</v>
      </c>
      <c r="C1182" s="1" t="n">
        <v>45847</v>
      </c>
      <c r="D1182" t="inlineStr">
        <is>
          <t>JÄMTLANDS LÄN</t>
        </is>
      </c>
      <c r="E1182" t="inlineStr">
        <is>
          <t>BRÄCKE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54566-2022</t>
        </is>
      </c>
      <c r="B1183" s="1" t="n">
        <v>44882</v>
      </c>
      <c r="C1183" s="1" t="n">
        <v>45847</v>
      </c>
      <c r="D1183" t="inlineStr">
        <is>
          <t>JÄMTLANDS LÄN</t>
        </is>
      </c>
      <c r="E1183" t="inlineStr">
        <is>
          <t>BRÄCKE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54524-2022</t>
        </is>
      </c>
      <c r="B1184" s="1" t="n">
        <v>44882</v>
      </c>
      <c r="C1184" s="1" t="n">
        <v>45847</v>
      </c>
      <c r="D1184" t="inlineStr">
        <is>
          <t>JÄMTLANDS LÄN</t>
        </is>
      </c>
      <c r="E1184" t="inlineStr">
        <is>
          <t>BRÄCKE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54568-2022</t>
        </is>
      </c>
      <c r="B1185" s="1" t="n">
        <v>44882</v>
      </c>
      <c r="C1185" s="1" t="n">
        <v>45847</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54565-2022</t>
        </is>
      </c>
      <c r="B1186" s="1" t="n">
        <v>44882</v>
      </c>
      <c r="C1186" s="1" t="n">
        <v>45847</v>
      </c>
      <c r="D1186" t="inlineStr">
        <is>
          <t>JÄMTLANDS LÄN</t>
        </is>
      </c>
      <c r="E1186" t="inlineStr">
        <is>
          <t>BRÄCKE</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54567-2022</t>
        </is>
      </c>
      <c r="B1187" s="1" t="n">
        <v>44882</v>
      </c>
      <c r="C1187" s="1" t="n">
        <v>45847</v>
      </c>
      <c r="D1187" t="inlineStr">
        <is>
          <t>JÄMTLANDS LÄN</t>
        </is>
      </c>
      <c r="E1187" t="inlineStr">
        <is>
          <t>BRÄCKE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54668-2022</t>
        </is>
      </c>
      <c r="B1188" s="1" t="n">
        <v>44883</v>
      </c>
      <c r="C1188" s="1" t="n">
        <v>45847</v>
      </c>
      <c r="D1188" t="inlineStr">
        <is>
          <t>JÄMTLANDS LÄN</t>
        </is>
      </c>
      <c r="E1188" t="inlineStr">
        <is>
          <t>BRÄCKE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54829-2022</t>
        </is>
      </c>
      <c r="B1189" s="1" t="n">
        <v>44883</v>
      </c>
      <c r="C1189" s="1" t="n">
        <v>45847</v>
      </c>
      <c r="D1189" t="inlineStr">
        <is>
          <t>JÄMTLANDS LÄN</t>
        </is>
      </c>
      <c r="E1189" t="inlineStr">
        <is>
          <t>BRÄCKE</t>
        </is>
      </c>
      <c r="F1189" t="inlineStr">
        <is>
          <t>SCA</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54840-2022</t>
        </is>
      </c>
      <c r="B1190" s="1" t="n">
        <v>44883</v>
      </c>
      <c r="C1190" s="1" t="n">
        <v>45847</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54833-2022</t>
        </is>
      </c>
      <c r="B1191" s="1" t="n">
        <v>44883</v>
      </c>
      <c r="C1191" s="1" t="n">
        <v>45847</v>
      </c>
      <c r="D1191" t="inlineStr">
        <is>
          <t>JÄMTLANDS LÄN</t>
        </is>
      </c>
      <c r="E1191" t="inlineStr">
        <is>
          <t>BRÄCKE</t>
        </is>
      </c>
      <c r="F1191" t="inlineStr">
        <is>
          <t>SCA</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55774-2022</t>
        </is>
      </c>
      <c r="B1192" s="1" t="n">
        <v>44886</v>
      </c>
      <c r="C1192" s="1" t="n">
        <v>45847</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55512-2022</t>
        </is>
      </c>
      <c r="B1193" s="1" t="n">
        <v>44887</v>
      </c>
      <c r="C1193" s="1" t="n">
        <v>45847</v>
      </c>
      <c r="D1193" t="inlineStr">
        <is>
          <t>JÄMTLANDS LÄN</t>
        </is>
      </c>
      <c r="E1193" t="inlineStr">
        <is>
          <t>BRÄCKE</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55520-2022</t>
        </is>
      </c>
      <c r="B1194" s="1" t="n">
        <v>44887</v>
      </c>
      <c r="C1194" s="1" t="n">
        <v>45847</v>
      </c>
      <c r="D1194" t="inlineStr">
        <is>
          <t>JÄMTLANDS LÄN</t>
        </is>
      </c>
      <c r="E1194" t="inlineStr">
        <is>
          <t>BRÄCKE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55529-2022</t>
        </is>
      </c>
      <c r="B1195" s="1" t="n">
        <v>44887</v>
      </c>
      <c r="C1195" s="1" t="n">
        <v>45847</v>
      </c>
      <c r="D1195" t="inlineStr">
        <is>
          <t>JÄMTLANDS LÄN</t>
        </is>
      </c>
      <c r="E1195" t="inlineStr">
        <is>
          <t>BRÄCKE</t>
        </is>
      </c>
      <c r="F1195" t="inlineStr">
        <is>
          <t>SCA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55523-2022</t>
        </is>
      </c>
      <c r="B1196" s="1" t="n">
        <v>44887</v>
      </c>
      <c r="C1196" s="1" t="n">
        <v>45847</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55895-2022</t>
        </is>
      </c>
      <c r="B1197" s="1" t="n">
        <v>44888</v>
      </c>
      <c r="C1197" s="1" t="n">
        <v>45847</v>
      </c>
      <c r="D1197" t="inlineStr">
        <is>
          <t>JÄMTLANDS LÄN</t>
        </is>
      </c>
      <c r="E1197" t="inlineStr">
        <is>
          <t>BRÄCKE</t>
        </is>
      </c>
      <c r="F1197" t="inlineStr">
        <is>
          <t>SCA</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55900-2022</t>
        </is>
      </c>
      <c r="B1198" s="1" t="n">
        <v>44888</v>
      </c>
      <c r="C1198" s="1" t="n">
        <v>45847</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55905-2022</t>
        </is>
      </c>
      <c r="B1199" s="1" t="n">
        <v>44888</v>
      </c>
      <c r="C1199" s="1" t="n">
        <v>45847</v>
      </c>
      <c r="D1199" t="inlineStr">
        <is>
          <t>JÄMTLANDS LÄN</t>
        </is>
      </c>
      <c r="E1199" t="inlineStr">
        <is>
          <t>BRÄCKE</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56185-2022</t>
        </is>
      </c>
      <c r="B1200" s="1" t="n">
        <v>44889</v>
      </c>
      <c r="C1200" s="1" t="n">
        <v>45847</v>
      </c>
      <c r="D1200" t="inlineStr">
        <is>
          <t>JÄMTLANDS LÄN</t>
        </is>
      </c>
      <c r="E1200" t="inlineStr">
        <is>
          <t>BRÄCKE</t>
        </is>
      </c>
      <c r="F1200" t="inlineStr">
        <is>
          <t>SCA</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56424-2022</t>
        </is>
      </c>
      <c r="B1201" s="1" t="n">
        <v>44890</v>
      </c>
      <c r="C1201" s="1" t="n">
        <v>45847</v>
      </c>
      <c r="D1201" t="inlineStr">
        <is>
          <t>JÄMTLANDS LÄN</t>
        </is>
      </c>
      <c r="E1201" t="inlineStr">
        <is>
          <t>BRÄCKE</t>
        </is>
      </c>
      <c r="F1201" t="inlineStr">
        <is>
          <t>SCA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56641-2022</t>
        </is>
      </c>
      <c r="B1202" s="1" t="n">
        <v>44893</v>
      </c>
      <c r="C1202" s="1" t="n">
        <v>45847</v>
      </c>
      <c r="D1202" t="inlineStr">
        <is>
          <t>JÄMTLANDS LÄN</t>
        </is>
      </c>
      <c r="E1202" t="inlineStr">
        <is>
          <t>BRÄCKE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56656-2022</t>
        </is>
      </c>
      <c r="B1203" s="1" t="n">
        <v>44893</v>
      </c>
      <c r="C1203" s="1" t="n">
        <v>45847</v>
      </c>
      <c r="D1203" t="inlineStr">
        <is>
          <t>JÄMTLANDS LÄN</t>
        </is>
      </c>
      <c r="E1203" t="inlineStr">
        <is>
          <t>BRÄCKE</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56732-2022</t>
        </is>
      </c>
      <c r="B1204" s="1" t="n">
        <v>44893</v>
      </c>
      <c r="C1204" s="1" t="n">
        <v>45847</v>
      </c>
      <c r="D1204" t="inlineStr">
        <is>
          <t>JÄMTLANDS LÄN</t>
        </is>
      </c>
      <c r="E1204" t="inlineStr">
        <is>
          <t>BRÄCKE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56739-2022</t>
        </is>
      </c>
      <c r="B1205" s="1" t="n">
        <v>44893</v>
      </c>
      <c r="C1205" s="1" t="n">
        <v>45847</v>
      </c>
      <c r="D1205" t="inlineStr">
        <is>
          <t>JÄMTLANDS LÄN</t>
        </is>
      </c>
      <c r="E1205" t="inlineStr">
        <is>
          <t>BRÄCKE</t>
        </is>
      </c>
      <c r="F1205" t="inlineStr">
        <is>
          <t>SCA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57011-2022</t>
        </is>
      </c>
      <c r="B1206" s="1" t="n">
        <v>44894</v>
      </c>
      <c r="C1206" s="1" t="n">
        <v>45847</v>
      </c>
      <c r="D1206" t="inlineStr">
        <is>
          <t>JÄMTLANDS LÄN</t>
        </is>
      </c>
      <c r="E1206" t="inlineStr">
        <is>
          <t>BRÄCKE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56822-2022</t>
        </is>
      </c>
      <c r="B1207" s="1" t="n">
        <v>44894</v>
      </c>
      <c r="C1207" s="1" t="n">
        <v>45847</v>
      </c>
      <c r="D1207" t="inlineStr">
        <is>
          <t>JÄMTLANDS LÄN</t>
        </is>
      </c>
      <c r="E1207" t="inlineStr">
        <is>
          <t>BRÄCKE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57010-2022</t>
        </is>
      </c>
      <c r="B1208" s="1" t="n">
        <v>44894</v>
      </c>
      <c r="C1208" s="1" t="n">
        <v>45847</v>
      </c>
      <c r="D1208" t="inlineStr">
        <is>
          <t>JÄMTLANDS LÄN</t>
        </is>
      </c>
      <c r="E1208" t="inlineStr">
        <is>
          <t>BRÄCKE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58547-2022</t>
        </is>
      </c>
      <c r="B1209" s="1" t="n">
        <v>44894</v>
      </c>
      <c r="C1209" s="1" t="n">
        <v>45847</v>
      </c>
      <c r="D1209" t="inlineStr">
        <is>
          <t>JÄMTLANDS LÄN</t>
        </is>
      </c>
      <c r="E1209" t="inlineStr">
        <is>
          <t>BRÄCKE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57845-2022</t>
        </is>
      </c>
      <c r="B1210" s="1" t="n">
        <v>44897</v>
      </c>
      <c r="C1210" s="1" t="n">
        <v>45847</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58187-2022</t>
        </is>
      </c>
      <c r="B1211" s="1" t="n">
        <v>44900</v>
      </c>
      <c r="C1211" s="1" t="n">
        <v>45847</v>
      </c>
      <c r="D1211" t="inlineStr">
        <is>
          <t>JÄMTLANDS LÄN</t>
        </is>
      </c>
      <c r="E1211" t="inlineStr">
        <is>
          <t>BRÄCKE</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58500-2022</t>
        </is>
      </c>
      <c r="B1212" s="1" t="n">
        <v>44902</v>
      </c>
      <c r="C1212" s="1" t="n">
        <v>45847</v>
      </c>
      <c r="D1212" t="inlineStr">
        <is>
          <t>JÄMTLANDS LÄN</t>
        </is>
      </c>
      <c r="E1212" t="inlineStr">
        <is>
          <t>BRÄCKE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58498-2022</t>
        </is>
      </c>
      <c r="B1213" s="1" t="n">
        <v>44902</v>
      </c>
      <c r="C1213" s="1" t="n">
        <v>45847</v>
      </c>
      <c r="D1213" t="inlineStr">
        <is>
          <t>JÄMTLANDS LÄN</t>
        </is>
      </c>
      <c r="E1213" t="inlineStr">
        <is>
          <t>BRÄCKE</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58503-2022</t>
        </is>
      </c>
      <c r="B1214" s="1" t="n">
        <v>44902</v>
      </c>
      <c r="C1214" s="1" t="n">
        <v>45847</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58497-2022</t>
        </is>
      </c>
      <c r="B1215" s="1" t="n">
        <v>44902</v>
      </c>
      <c r="C1215" s="1" t="n">
        <v>45847</v>
      </c>
      <c r="D1215" t="inlineStr">
        <is>
          <t>JÄMTLANDS LÄN</t>
        </is>
      </c>
      <c r="E1215" t="inlineStr">
        <is>
          <t>BRÄCKE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58728-2022</t>
        </is>
      </c>
      <c r="B1216" s="1" t="n">
        <v>44902</v>
      </c>
      <c r="C1216" s="1" t="n">
        <v>45847</v>
      </c>
      <c r="D1216" t="inlineStr">
        <is>
          <t>JÄMTLANDS LÄN</t>
        </is>
      </c>
      <c r="E1216" t="inlineStr">
        <is>
          <t>BRÄCKE</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58745-2022</t>
        </is>
      </c>
      <c r="B1217" s="1" t="n">
        <v>44902</v>
      </c>
      <c r="C1217" s="1" t="n">
        <v>45847</v>
      </c>
      <c r="D1217" t="inlineStr">
        <is>
          <t>JÄMTLANDS LÄN</t>
        </is>
      </c>
      <c r="E1217" t="inlineStr">
        <is>
          <t>BRÄCKE</t>
        </is>
      </c>
      <c r="F1217" t="inlineStr">
        <is>
          <t>SCA</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58731-2022</t>
        </is>
      </c>
      <c r="B1218" s="1" t="n">
        <v>44902</v>
      </c>
      <c r="C1218" s="1" t="n">
        <v>45847</v>
      </c>
      <c r="D1218" t="inlineStr">
        <is>
          <t>JÄMTLANDS LÄN</t>
        </is>
      </c>
      <c r="E1218" t="inlineStr">
        <is>
          <t>BRÄCKE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59047-2022</t>
        </is>
      </c>
      <c r="B1219" s="1" t="n">
        <v>44903</v>
      </c>
      <c r="C1219" s="1" t="n">
        <v>45847</v>
      </c>
      <c r="D1219" t="inlineStr">
        <is>
          <t>JÄMTLANDS LÄN</t>
        </is>
      </c>
      <c r="E1219" t="inlineStr">
        <is>
          <t>BRÄCKE</t>
        </is>
      </c>
      <c r="F1219" t="inlineStr">
        <is>
          <t>SCA</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59369-2022</t>
        </is>
      </c>
      <c r="B1220" s="1" t="n">
        <v>44904</v>
      </c>
      <c r="C1220" s="1" t="n">
        <v>45847</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59405-2022</t>
        </is>
      </c>
      <c r="B1221" s="1" t="n">
        <v>44906</v>
      </c>
      <c r="C1221" s="1" t="n">
        <v>45847</v>
      </c>
      <c r="D1221" t="inlineStr">
        <is>
          <t>JÄMTLANDS LÄN</t>
        </is>
      </c>
      <c r="E1221" t="inlineStr">
        <is>
          <t>BRÄCKE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59427-2022</t>
        </is>
      </c>
      <c r="B1222" s="1" t="n">
        <v>44907</v>
      </c>
      <c r="C1222" s="1" t="n">
        <v>45847</v>
      </c>
      <c r="D1222" t="inlineStr">
        <is>
          <t>JÄMTLANDS LÄN</t>
        </is>
      </c>
      <c r="E1222" t="inlineStr">
        <is>
          <t>BRÄCKE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59640-2022</t>
        </is>
      </c>
      <c r="B1223" s="1" t="n">
        <v>44908</v>
      </c>
      <c r="C1223" s="1" t="n">
        <v>45847</v>
      </c>
      <c r="D1223" t="inlineStr">
        <is>
          <t>JÄMTLANDS LÄN</t>
        </is>
      </c>
      <c r="E1223" t="inlineStr">
        <is>
          <t>BRÄCKE</t>
        </is>
      </c>
      <c r="F1223" t="inlineStr">
        <is>
          <t>SCA</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59644-2022</t>
        </is>
      </c>
      <c r="B1224" s="1" t="n">
        <v>44908</v>
      </c>
      <c r="C1224" s="1" t="n">
        <v>45847</v>
      </c>
      <c r="D1224" t="inlineStr">
        <is>
          <t>JÄMTLANDS LÄN</t>
        </is>
      </c>
      <c r="E1224" t="inlineStr">
        <is>
          <t>BRÄCKE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59641-2022</t>
        </is>
      </c>
      <c r="B1225" s="1" t="n">
        <v>44908</v>
      </c>
      <c r="C1225" s="1" t="n">
        <v>45847</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59642-2022</t>
        </is>
      </c>
      <c r="B1226" s="1" t="n">
        <v>44908</v>
      </c>
      <c r="C1226" s="1" t="n">
        <v>45847</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59643-2022</t>
        </is>
      </c>
      <c r="B1227" s="1" t="n">
        <v>44907</v>
      </c>
      <c r="C1227" s="1" t="n">
        <v>45847</v>
      </c>
      <c r="D1227" t="inlineStr">
        <is>
          <t>JÄMTLANDS LÄN</t>
        </is>
      </c>
      <c r="E1227" t="inlineStr">
        <is>
          <t>BRÄCKE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59910-2022</t>
        </is>
      </c>
      <c r="B1228" s="1" t="n">
        <v>44908</v>
      </c>
      <c r="C1228" s="1" t="n">
        <v>45847</v>
      </c>
      <c r="D1228" t="inlineStr">
        <is>
          <t>JÄMTLANDS LÄN</t>
        </is>
      </c>
      <c r="E1228" t="inlineStr">
        <is>
          <t>BRÄCKE</t>
        </is>
      </c>
      <c r="F1228" t="inlineStr">
        <is>
          <t>SCA</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59915-2022</t>
        </is>
      </c>
      <c r="B1229" s="1" t="n">
        <v>44909</v>
      </c>
      <c r="C1229" s="1" t="n">
        <v>45847</v>
      </c>
      <c r="D1229" t="inlineStr">
        <is>
          <t>JÄMTLANDS LÄN</t>
        </is>
      </c>
      <c r="E1229" t="inlineStr">
        <is>
          <t>BRÄCKE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59914-2022</t>
        </is>
      </c>
      <c r="B1230" s="1" t="n">
        <v>44909</v>
      </c>
      <c r="C1230" s="1" t="n">
        <v>45847</v>
      </c>
      <c r="D1230" t="inlineStr">
        <is>
          <t>JÄMTLANDS LÄN</t>
        </is>
      </c>
      <c r="E1230" t="inlineStr">
        <is>
          <t>BRÄCKE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59916-2022</t>
        </is>
      </c>
      <c r="B1231" s="1" t="n">
        <v>44909</v>
      </c>
      <c r="C1231" s="1" t="n">
        <v>45847</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59932-2022</t>
        </is>
      </c>
      <c r="B1232" s="1" t="n">
        <v>44909</v>
      </c>
      <c r="C1232" s="1" t="n">
        <v>45847</v>
      </c>
      <c r="D1232" t="inlineStr">
        <is>
          <t>JÄMTLANDS LÄN</t>
        </is>
      </c>
      <c r="E1232" t="inlineStr">
        <is>
          <t>BRÄCKE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60178-2022</t>
        </is>
      </c>
      <c r="B1233" s="1" t="n">
        <v>44909</v>
      </c>
      <c r="C1233" s="1" t="n">
        <v>45847</v>
      </c>
      <c r="D1233" t="inlineStr">
        <is>
          <t>JÄMTLANDS LÄN</t>
        </is>
      </c>
      <c r="E1233" t="inlineStr">
        <is>
          <t>BRÄCKE</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60417-2022</t>
        </is>
      </c>
      <c r="B1234" s="1" t="n">
        <v>44911</v>
      </c>
      <c r="C1234" s="1" t="n">
        <v>45847</v>
      </c>
      <c r="D1234" t="inlineStr">
        <is>
          <t>JÄMTLANDS LÄN</t>
        </is>
      </c>
      <c r="E1234" t="inlineStr">
        <is>
          <t>BRÄCKE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60661-2022</t>
        </is>
      </c>
      <c r="B1235" s="1" t="n">
        <v>44911</v>
      </c>
      <c r="C1235" s="1" t="n">
        <v>45847</v>
      </c>
      <c r="D1235" t="inlineStr">
        <is>
          <t>JÄMTLANDS LÄN</t>
        </is>
      </c>
      <c r="E1235" t="inlineStr">
        <is>
          <t>BRÄCKE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61662-2022</t>
        </is>
      </c>
      <c r="B1236" s="1" t="n">
        <v>44917</v>
      </c>
      <c r="C1236" s="1" t="n">
        <v>45847</v>
      </c>
      <c r="D1236" t="inlineStr">
        <is>
          <t>JÄMTLANDS LÄN</t>
        </is>
      </c>
      <c r="E1236" t="inlineStr">
        <is>
          <t>BRÄCKE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61663-2022</t>
        </is>
      </c>
      <c r="B1237" s="1" t="n">
        <v>44916</v>
      </c>
      <c r="C1237" s="1" t="n">
        <v>45847</v>
      </c>
      <c r="D1237" t="inlineStr">
        <is>
          <t>JÄMTLANDS LÄN</t>
        </is>
      </c>
      <c r="E1237" t="inlineStr">
        <is>
          <t>BRÄCKE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123-2023</t>
        </is>
      </c>
      <c r="B1238" s="1" t="n">
        <v>44928</v>
      </c>
      <c r="C1238" s="1" t="n">
        <v>45847</v>
      </c>
      <c r="D1238" t="inlineStr">
        <is>
          <t>JÄMTLANDS LÄN</t>
        </is>
      </c>
      <c r="E1238" t="inlineStr">
        <is>
          <t>BRÄCKE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1070-2023</t>
        </is>
      </c>
      <c r="B1239" s="1" t="n">
        <v>44929</v>
      </c>
      <c r="C1239" s="1" t="n">
        <v>45847</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643-2023</t>
        </is>
      </c>
      <c r="B1240" s="1" t="n">
        <v>44930</v>
      </c>
      <c r="C1240" s="1" t="n">
        <v>45847</v>
      </c>
      <c r="D1240" t="inlineStr">
        <is>
          <t>JÄMTLANDS LÄN</t>
        </is>
      </c>
      <c r="E1240" t="inlineStr">
        <is>
          <t>BRÄCKE</t>
        </is>
      </c>
      <c r="F1240" t="inlineStr">
        <is>
          <t>Övriga Aktiebolag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1178-2023</t>
        </is>
      </c>
      <c r="B1241" s="1" t="n">
        <v>44930</v>
      </c>
      <c r="C1241" s="1" t="n">
        <v>45847</v>
      </c>
      <c r="D1241" t="inlineStr">
        <is>
          <t>JÄMTLANDS LÄN</t>
        </is>
      </c>
      <c r="E1241" t="inlineStr">
        <is>
          <t>BRÄCKE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676-2023</t>
        </is>
      </c>
      <c r="B1242" s="1" t="n">
        <v>44930</v>
      </c>
      <c r="C1242" s="1" t="n">
        <v>45847</v>
      </c>
      <c r="D1242" t="inlineStr">
        <is>
          <t>JÄMTLANDS LÄN</t>
        </is>
      </c>
      <c r="E1242" t="inlineStr">
        <is>
          <t>BRÄCKE</t>
        </is>
      </c>
      <c r="F1242" t="inlineStr">
        <is>
          <t>Kyrkan</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1204-2023</t>
        </is>
      </c>
      <c r="B1243" s="1" t="n">
        <v>44930</v>
      </c>
      <c r="C1243" s="1" t="n">
        <v>45847</v>
      </c>
      <c r="D1243" t="inlineStr">
        <is>
          <t>JÄMTLANDS LÄN</t>
        </is>
      </c>
      <c r="E1243" t="inlineStr">
        <is>
          <t>BRÄCKE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1230-2023</t>
        </is>
      </c>
      <c r="B1244" s="1" t="n">
        <v>44936</v>
      </c>
      <c r="C1244" s="1" t="n">
        <v>45847</v>
      </c>
      <c r="D1244" t="inlineStr">
        <is>
          <t>JÄMTLANDS LÄN</t>
        </is>
      </c>
      <c r="E1244" t="inlineStr">
        <is>
          <t>BRÄCKE</t>
        </is>
      </c>
      <c r="F1244" t="inlineStr">
        <is>
          <t>SCA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2254-2023</t>
        </is>
      </c>
      <c r="B1245" s="1" t="n">
        <v>44939</v>
      </c>
      <c r="C1245" s="1" t="n">
        <v>45847</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2954-2023</t>
        </is>
      </c>
      <c r="B1246" s="1" t="n">
        <v>44945</v>
      </c>
      <c r="C1246" s="1" t="n">
        <v>45847</v>
      </c>
      <c r="D1246" t="inlineStr">
        <is>
          <t>JÄMTLANDS LÄN</t>
        </is>
      </c>
      <c r="E1246" t="inlineStr">
        <is>
          <t>BRÄCKE</t>
        </is>
      </c>
      <c r="F1246" t="inlineStr">
        <is>
          <t>Övriga Aktiebolag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3032-2023</t>
        </is>
      </c>
      <c r="B1247" s="1" t="n">
        <v>44945</v>
      </c>
      <c r="C1247" s="1" t="n">
        <v>45847</v>
      </c>
      <c r="D1247" t="inlineStr">
        <is>
          <t>JÄMTLANDS LÄN</t>
        </is>
      </c>
      <c r="E1247" t="inlineStr">
        <is>
          <t>BRÄCKE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3036-2023</t>
        </is>
      </c>
      <c r="B1248" s="1" t="n">
        <v>44945</v>
      </c>
      <c r="C1248" s="1" t="n">
        <v>45847</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3020-2023</t>
        </is>
      </c>
      <c r="B1249" s="1" t="n">
        <v>44945</v>
      </c>
      <c r="C1249" s="1" t="n">
        <v>45847</v>
      </c>
      <c r="D1249" t="inlineStr">
        <is>
          <t>JÄMTLANDS LÄN</t>
        </is>
      </c>
      <c r="E1249" t="inlineStr">
        <is>
          <t>BRÄCKE</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3031-2023</t>
        </is>
      </c>
      <c r="B1250" s="1" t="n">
        <v>44945</v>
      </c>
      <c r="C1250" s="1" t="n">
        <v>45847</v>
      </c>
      <c r="D1250" t="inlineStr">
        <is>
          <t>JÄMTLANDS LÄN</t>
        </is>
      </c>
      <c r="E1250" t="inlineStr">
        <is>
          <t>BRÄCKE</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3035-2023</t>
        </is>
      </c>
      <c r="B1251" s="1" t="n">
        <v>44945</v>
      </c>
      <c r="C1251" s="1" t="n">
        <v>45847</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3033-2023</t>
        </is>
      </c>
      <c r="B1252" s="1" t="n">
        <v>44945</v>
      </c>
      <c r="C1252" s="1" t="n">
        <v>45847</v>
      </c>
      <c r="D1252" t="inlineStr">
        <is>
          <t>JÄMTLANDS LÄN</t>
        </is>
      </c>
      <c r="E1252" t="inlineStr">
        <is>
          <t>BRÄCKE</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2985-2023</t>
        </is>
      </c>
      <c r="B1253" s="1" t="n">
        <v>44945</v>
      </c>
      <c r="C1253" s="1" t="n">
        <v>45847</v>
      </c>
      <c r="D1253" t="inlineStr">
        <is>
          <t>JÄMTLANDS LÄN</t>
        </is>
      </c>
      <c r="E1253" t="inlineStr">
        <is>
          <t>BRÄCKE</t>
        </is>
      </c>
      <c r="F1253" t="inlineStr">
        <is>
          <t>Övriga Aktiebolag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3698-2023</t>
        </is>
      </c>
      <c r="B1254" s="1" t="n">
        <v>44950</v>
      </c>
      <c r="C1254" s="1" t="n">
        <v>45847</v>
      </c>
      <c r="D1254" t="inlineStr">
        <is>
          <t>JÄMTLANDS LÄN</t>
        </is>
      </c>
      <c r="E1254" t="inlineStr">
        <is>
          <t>BRÄCKE</t>
        </is>
      </c>
      <c r="F1254" t="inlineStr">
        <is>
          <t>SCA</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3702-2023</t>
        </is>
      </c>
      <c r="B1255" s="1" t="n">
        <v>44950</v>
      </c>
      <c r="C1255" s="1" t="n">
        <v>45847</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3845-2023</t>
        </is>
      </c>
      <c r="B1256" s="1" t="n">
        <v>44950</v>
      </c>
      <c r="C1256" s="1" t="n">
        <v>45847</v>
      </c>
      <c r="D1256" t="inlineStr">
        <is>
          <t>JÄMTLANDS LÄN</t>
        </is>
      </c>
      <c r="E1256" t="inlineStr">
        <is>
          <t>BRÄCKE</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3892-2023</t>
        </is>
      </c>
      <c r="B1257" s="1" t="n">
        <v>44951</v>
      </c>
      <c r="C1257" s="1" t="n">
        <v>45847</v>
      </c>
      <c r="D1257" t="inlineStr">
        <is>
          <t>JÄMTLANDS LÄN</t>
        </is>
      </c>
      <c r="E1257" t="inlineStr">
        <is>
          <t>BRÄCKE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3895-2023</t>
        </is>
      </c>
      <c r="B1258" s="1" t="n">
        <v>44951</v>
      </c>
      <c r="C1258" s="1" t="n">
        <v>45847</v>
      </c>
      <c r="D1258" t="inlineStr">
        <is>
          <t>JÄMTLANDS LÄN</t>
        </is>
      </c>
      <c r="E1258" t="inlineStr">
        <is>
          <t>BRÄCKE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4273-2023</t>
        </is>
      </c>
      <c r="B1259" s="1" t="n">
        <v>44953</v>
      </c>
      <c r="C1259" s="1" t="n">
        <v>45847</v>
      </c>
      <c r="D1259" t="inlineStr">
        <is>
          <t>JÄMTLANDS LÄN</t>
        </is>
      </c>
      <c r="E1259" t="inlineStr">
        <is>
          <t>BRÄCKE</t>
        </is>
      </c>
      <c r="F1259" t="inlineStr">
        <is>
          <t>Övriga Aktiebolag</t>
        </is>
      </c>
      <c r="G1259" t="n">
        <v>24.4</v>
      </c>
      <c r="H1259" t="n">
        <v>0</v>
      </c>
      <c r="I1259" t="n">
        <v>0</v>
      </c>
      <c r="J1259" t="n">
        <v>0</v>
      </c>
      <c r="K1259" t="n">
        <v>0</v>
      </c>
      <c r="L1259" t="n">
        <v>0</v>
      </c>
      <c r="M1259" t="n">
        <v>0</v>
      </c>
      <c r="N1259" t="n">
        <v>0</v>
      </c>
      <c r="O1259" t="n">
        <v>0</v>
      </c>
      <c r="P1259" t="n">
        <v>0</v>
      </c>
      <c r="Q1259" t="n">
        <v>0</v>
      </c>
      <c r="R1259" s="2" t="inlineStr"/>
    </row>
    <row r="1260" ht="15" customHeight="1">
      <c r="A1260" t="inlineStr">
        <is>
          <t>A 4365-2023</t>
        </is>
      </c>
      <c r="B1260" s="1" t="n">
        <v>44954</v>
      </c>
      <c r="C1260" s="1" t="n">
        <v>45847</v>
      </c>
      <c r="D1260" t="inlineStr">
        <is>
          <t>JÄMTLANDS LÄN</t>
        </is>
      </c>
      <c r="E1260" t="inlineStr">
        <is>
          <t>BRÄCKE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4366-2023</t>
        </is>
      </c>
      <c r="B1261" s="1" t="n">
        <v>44954</v>
      </c>
      <c r="C1261" s="1" t="n">
        <v>45847</v>
      </c>
      <c r="D1261" t="inlineStr">
        <is>
          <t>JÄMTLANDS LÄN</t>
        </is>
      </c>
      <c r="E1261" t="inlineStr">
        <is>
          <t>BRÄCKE</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4381-2023</t>
        </is>
      </c>
      <c r="B1262" s="1" t="n">
        <v>44955</v>
      </c>
      <c r="C1262" s="1" t="n">
        <v>45847</v>
      </c>
      <c r="D1262" t="inlineStr">
        <is>
          <t>JÄMTLANDS LÄN</t>
        </is>
      </c>
      <c r="E1262" t="inlineStr">
        <is>
          <t>BRÄCKE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5004-2023</t>
        </is>
      </c>
      <c r="B1263" s="1" t="n">
        <v>44956</v>
      </c>
      <c r="C1263" s="1" t="n">
        <v>45847</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5160-2023</t>
        </is>
      </c>
      <c r="B1264" s="1" t="n">
        <v>44958</v>
      </c>
      <c r="C1264" s="1" t="n">
        <v>45847</v>
      </c>
      <c r="D1264" t="inlineStr">
        <is>
          <t>JÄMTLANDS LÄN</t>
        </is>
      </c>
      <c r="E1264" t="inlineStr">
        <is>
          <t>BRÄCKE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5180-2023</t>
        </is>
      </c>
      <c r="B1265" s="1" t="n">
        <v>44958</v>
      </c>
      <c r="C1265" s="1" t="n">
        <v>45847</v>
      </c>
      <c r="D1265" t="inlineStr">
        <is>
          <t>JÄMTLANDS LÄN</t>
        </is>
      </c>
      <c r="E1265" t="inlineStr">
        <is>
          <t>BRÄCKE</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6345-2023</t>
        </is>
      </c>
      <c r="B1266" s="1" t="n">
        <v>44960</v>
      </c>
      <c r="C1266" s="1" t="n">
        <v>45847</v>
      </c>
      <c r="D1266" t="inlineStr">
        <is>
          <t>JÄMTLANDS LÄN</t>
        </is>
      </c>
      <c r="E1266" t="inlineStr">
        <is>
          <t>BRÄCKE</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6852-2023</t>
        </is>
      </c>
      <c r="B1267" s="1" t="n">
        <v>44964</v>
      </c>
      <c r="C1267" s="1" t="n">
        <v>45847</v>
      </c>
      <c r="D1267" t="inlineStr">
        <is>
          <t>JÄMTLANDS LÄN</t>
        </is>
      </c>
      <c r="E1267" t="inlineStr">
        <is>
          <t>BRÄCKE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6701-2023</t>
        </is>
      </c>
      <c r="B1268" s="1" t="n">
        <v>44964</v>
      </c>
      <c r="C1268" s="1" t="n">
        <v>45847</v>
      </c>
      <c r="D1268" t="inlineStr">
        <is>
          <t>JÄMTLANDS LÄN</t>
        </is>
      </c>
      <c r="E1268" t="inlineStr">
        <is>
          <t>BRÄCKE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6390-2023</t>
        </is>
      </c>
      <c r="B1269" s="1" t="n">
        <v>44965</v>
      </c>
      <c r="C1269" s="1" t="n">
        <v>45847</v>
      </c>
      <c r="D1269" t="inlineStr">
        <is>
          <t>JÄMTLANDS LÄN</t>
        </is>
      </c>
      <c r="E1269" t="inlineStr">
        <is>
          <t>BRÄCKE</t>
        </is>
      </c>
      <c r="F1269" t="inlineStr">
        <is>
          <t>Övriga Aktiebolag</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6764-2023</t>
        </is>
      </c>
      <c r="B1270" s="1" t="n">
        <v>44966</v>
      </c>
      <c r="C1270" s="1" t="n">
        <v>45847</v>
      </c>
      <c r="D1270" t="inlineStr">
        <is>
          <t>JÄMTLANDS LÄN</t>
        </is>
      </c>
      <c r="E1270" t="inlineStr">
        <is>
          <t>BRÄCKE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6768-2023</t>
        </is>
      </c>
      <c r="B1271" s="1" t="n">
        <v>44966</v>
      </c>
      <c r="C1271" s="1" t="n">
        <v>45847</v>
      </c>
      <c r="D1271" t="inlineStr">
        <is>
          <t>JÄMTLANDS LÄN</t>
        </is>
      </c>
      <c r="E1271" t="inlineStr">
        <is>
          <t>BRÄCKE</t>
        </is>
      </c>
      <c r="G1271" t="n">
        <v>3.4</v>
      </c>
      <c r="H1271" t="n">
        <v>0</v>
      </c>
      <c r="I1271" t="n">
        <v>0</v>
      </c>
      <c r="J1271" t="n">
        <v>0</v>
      </c>
      <c r="K1271" t="n">
        <v>0</v>
      </c>
      <c r="L1271" t="n">
        <v>0</v>
      </c>
      <c r="M1271" t="n">
        <v>0</v>
      </c>
      <c r="N1271" t="n">
        <v>0</v>
      </c>
      <c r="O1271" t="n">
        <v>0</v>
      </c>
      <c r="P1271" t="n">
        <v>0</v>
      </c>
      <c r="Q1271" t="n">
        <v>0</v>
      </c>
      <c r="R1271" s="2" t="inlineStr"/>
      <c r="U1271">
        <f>HYPERLINK("https://klasma.github.io/Logging_2305/knärot/A 6768-2023 karta knärot.png", "A 6768-2023")</f>
        <v/>
      </c>
      <c r="V1271">
        <f>HYPERLINK("https://klasma.github.io/Logging_2305/klagomål/A 6768-2023 FSC-klagomål.docx", "A 6768-2023")</f>
        <v/>
      </c>
      <c r="W1271">
        <f>HYPERLINK("https://klasma.github.io/Logging_2305/klagomålsmail/A 6768-2023 FSC-klagomål mail.docx", "A 6768-2023")</f>
        <v/>
      </c>
      <c r="X1271">
        <f>HYPERLINK("https://klasma.github.io/Logging_2305/tillsyn/A 6768-2023 tillsynsbegäran.docx", "A 6768-2023")</f>
        <v/>
      </c>
      <c r="Y1271">
        <f>HYPERLINK("https://klasma.github.io/Logging_2305/tillsynsmail/A 6768-2023 tillsynsbegäran mail.docx", "A 6768-2023")</f>
        <v/>
      </c>
    </row>
    <row r="1272" ht="15" customHeight="1">
      <c r="A1272" t="inlineStr">
        <is>
          <t>A 6766-2023</t>
        </is>
      </c>
      <c r="B1272" s="1" t="n">
        <v>44966</v>
      </c>
      <c r="C1272" s="1" t="n">
        <v>45847</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6763-2023</t>
        </is>
      </c>
      <c r="B1273" s="1" t="n">
        <v>44966</v>
      </c>
      <c r="C1273" s="1" t="n">
        <v>45847</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6870-2023</t>
        </is>
      </c>
      <c r="B1274" s="1" t="n">
        <v>44967</v>
      </c>
      <c r="C1274" s="1" t="n">
        <v>45847</v>
      </c>
      <c r="D1274" t="inlineStr">
        <is>
          <t>JÄMTLANDS LÄN</t>
        </is>
      </c>
      <c r="E1274" t="inlineStr">
        <is>
          <t>BRÄCKE</t>
        </is>
      </c>
      <c r="F1274" t="inlineStr">
        <is>
          <t>Övriga Aktiebolag</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7549-2023</t>
        </is>
      </c>
      <c r="B1275" s="1" t="n">
        <v>44972</v>
      </c>
      <c r="C1275" s="1" t="n">
        <v>45847</v>
      </c>
      <c r="D1275" t="inlineStr">
        <is>
          <t>JÄMTLANDS LÄN</t>
        </is>
      </c>
      <c r="E1275" t="inlineStr">
        <is>
          <t>BRÄCKE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8975-2023</t>
        </is>
      </c>
      <c r="B1276" s="1" t="n">
        <v>44974</v>
      </c>
      <c r="C1276" s="1" t="n">
        <v>45847</v>
      </c>
      <c r="D1276" t="inlineStr">
        <is>
          <t>JÄMTLANDS LÄN</t>
        </is>
      </c>
      <c r="E1276" t="inlineStr">
        <is>
          <t>BRÄCKE</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8657-2023</t>
        </is>
      </c>
      <c r="B1277" s="1" t="n">
        <v>44978</v>
      </c>
      <c r="C1277" s="1" t="n">
        <v>45847</v>
      </c>
      <c r="D1277" t="inlineStr">
        <is>
          <t>JÄMTLANDS LÄN</t>
        </is>
      </c>
      <c r="E1277" t="inlineStr">
        <is>
          <t>BRÄCKE</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8674-2023</t>
        </is>
      </c>
      <c r="B1278" s="1" t="n">
        <v>44977</v>
      </c>
      <c r="C1278" s="1" t="n">
        <v>45847</v>
      </c>
      <c r="D1278" t="inlineStr">
        <is>
          <t>JÄMTLANDS LÄN</t>
        </is>
      </c>
      <c r="E1278" t="inlineStr">
        <is>
          <t>BRÄCKE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8864-2023</t>
        </is>
      </c>
      <c r="B1279" s="1" t="n">
        <v>44978</v>
      </c>
      <c r="C1279" s="1" t="n">
        <v>45847</v>
      </c>
      <c r="D1279" t="inlineStr">
        <is>
          <t>JÄMTLANDS LÄN</t>
        </is>
      </c>
      <c r="E1279" t="inlineStr">
        <is>
          <t>BRÄCKE</t>
        </is>
      </c>
      <c r="G1279" t="n">
        <v>17.3</v>
      </c>
      <c r="H1279" t="n">
        <v>0</v>
      </c>
      <c r="I1279" t="n">
        <v>0</v>
      </c>
      <c r="J1279" t="n">
        <v>0</v>
      </c>
      <c r="K1279" t="n">
        <v>0</v>
      </c>
      <c r="L1279" t="n">
        <v>0</v>
      </c>
      <c r="M1279" t="n">
        <v>0</v>
      </c>
      <c r="N1279" t="n">
        <v>0</v>
      </c>
      <c r="O1279" t="n">
        <v>0</v>
      </c>
      <c r="P1279" t="n">
        <v>0</v>
      </c>
      <c r="Q1279" t="n">
        <v>0</v>
      </c>
      <c r="R1279" s="2" t="inlineStr"/>
    </row>
    <row r="1280" ht="15" customHeight="1">
      <c r="A1280" t="inlineStr">
        <is>
          <t>A 8865-2023</t>
        </is>
      </c>
      <c r="B1280" s="1" t="n">
        <v>44978</v>
      </c>
      <c r="C1280" s="1" t="n">
        <v>45847</v>
      </c>
      <c r="D1280" t="inlineStr">
        <is>
          <t>JÄMTLANDS LÄN</t>
        </is>
      </c>
      <c r="E1280" t="inlineStr">
        <is>
          <t>BRÄCKE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8958-2023</t>
        </is>
      </c>
      <c r="B1281" s="1" t="n">
        <v>44979</v>
      </c>
      <c r="C1281" s="1" t="n">
        <v>45847</v>
      </c>
      <c r="D1281" t="inlineStr">
        <is>
          <t>JÄMTLANDS LÄN</t>
        </is>
      </c>
      <c r="E1281" t="inlineStr">
        <is>
          <t>BRÄCKE</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9194-2023</t>
        </is>
      </c>
      <c r="B1282" s="1" t="n">
        <v>44980</v>
      </c>
      <c r="C1282" s="1" t="n">
        <v>45847</v>
      </c>
      <c r="D1282" t="inlineStr">
        <is>
          <t>JÄMTLANDS LÄN</t>
        </is>
      </c>
      <c r="E1282" t="inlineStr">
        <is>
          <t>BRÄCKE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9348-2023</t>
        </is>
      </c>
      <c r="B1283" s="1" t="n">
        <v>44980</v>
      </c>
      <c r="C1283" s="1" t="n">
        <v>45847</v>
      </c>
      <c r="D1283" t="inlineStr">
        <is>
          <t>JÄMTLANDS LÄN</t>
        </is>
      </c>
      <c r="E1283" t="inlineStr">
        <is>
          <t>BRÄCKE</t>
        </is>
      </c>
      <c r="F1283" t="inlineStr">
        <is>
          <t>SCA</t>
        </is>
      </c>
      <c r="G1283" t="n">
        <v>64.5</v>
      </c>
      <c r="H1283" t="n">
        <v>0</v>
      </c>
      <c r="I1283" t="n">
        <v>0</v>
      </c>
      <c r="J1283" t="n">
        <v>0</v>
      </c>
      <c r="K1283" t="n">
        <v>0</v>
      </c>
      <c r="L1283" t="n">
        <v>0</v>
      </c>
      <c r="M1283" t="n">
        <v>0</v>
      </c>
      <c r="N1283" t="n">
        <v>0</v>
      </c>
      <c r="O1283" t="n">
        <v>0</v>
      </c>
      <c r="P1283" t="n">
        <v>0</v>
      </c>
      <c r="Q1283" t="n">
        <v>0</v>
      </c>
      <c r="R1283" s="2" t="inlineStr"/>
    </row>
    <row r="1284" ht="15" customHeight="1">
      <c r="A1284" t="inlineStr">
        <is>
          <t>A 9356-2023</t>
        </is>
      </c>
      <c r="B1284" s="1" t="n">
        <v>44980</v>
      </c>
      <c r="C1284" s="1" t="n">
        <v>45847</v>
      </c>
      <c r="D1284" t="inlineStr">
        <is>
          <t>JÄMTLANDS LÄN</t>
        </is>
      </c>
      <c r="E1284" t="inlineStr">
        <is>
          <t>BRÄCKE</t>
        </is>
      </c>
      <c r="F1284" t="inlineStr">
        <is>
          <t>SCA</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9357-2023</t>
        </is>
      </c>
      <c r="B1285" s="1" t="n">
        <v>44980</v>
      </c>
      <c r="C1285" s="1" t="n">
        <v>45847</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10309-2023</t>
        </is>
      </c>
      <c r="B1286" s="1" t="n">
        <v>44986</v>
      </c>
      <c r="C1286" s="1" t="n">
        <v>45847</v>
      </c>
      <c r="D1286" t="inlineStr">
        <is>
          <t>JÄMTLANDS LÄN</t>
        </is>
      </c>
      <c r="E1286" t="inlineStr">
        <is>
          <t>BRÄCKE</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10763-2023</t>
        </is>
      </c>
      <c r="B1287" s="1" t="n">
        <v>44988</v>
      </c>
      <c r="C1287" s="1" t="n">
        <v>45847</v>
      </c>
      <c r="D1287" t="inlineStr">
        <is>
          <t>JÄMTLANDS LÄN</t>
        </is>
      </c>
      <c r="E1287" t="inlineStr">
        <is>
          <t>BRÄCKE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11548-2023</t>
        </is>
      </c>
      <c r="B1288" s="1" t="n">
        <v>44993</v>
      </c>
      <c r="C1288" s="1" t="n">
        <v>45847</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11550-2023</t>
        </is>
      </c>
      <c r="B1289" s="1" t="n">
        <v>44993</v>
      </c>
      <c r="C1289" s="1" t="n">
        <v>45847</v>
      </c>
      <c r="D1289" t="inlineStr">
        <is>
          <t>JÄMTLANDS LÄN</t>
        </is>
      </c>
      <c r="E1289" t="inlineStr">
        <is>
          <t>BRÄCKE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11563-2023</t>
        </is>
      </c>
      <c r="B1290" s="1" t="n">
        <v>44993</v>
      </c>
      <c r="C1290" s="1" t="n">
        <v>45847</v>
      </c>
      <c r="D1290" t="inlineStr">
        <is>
          <t>JÄMTLANDS LÄN</t>
        </is>
      </c>
      <c r="E1290" t="inlineStr">
        <is>
          <t>BRÄCKE</t>
        </is>
      </c>
      <c r="F1290" t="inlineStr">
        <is>
          <t>SCA</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11821-2023</t>
        </is>
      </c>
      <c r="B1291" s="1" t="n">
        <v>44994</v>
      </c>
      <c r="C1291" s="1" t="n">
        <v>45847</v>
      </c>
      <c r="D1291" t="inlineStr">
        <is>
          <t>JÄMTLANDS LÄN</t>
        </is>
      </c>
      <c r="E1291" t="inlineStr">
        <is>
          <t>BRÄCKE</t>
        </is>
      </c>
      <c r="F1291" t="inlineStr">
        <is>
          <t>SCA</t>
        </is>
      </c>
      <c r="G1291" t="n">
        <v>36.6</v>
      </c>
      <c r="H1291" t="n">
        <v>0</v>
      </c>
      <c r="I1291" t="n">
        <v>0</v>
      </c>
      <c r="J1291" t="n">
        <v>0</v>
      </c>
      <c r="K1291" t="n">
        <v>0</v>
      </c>
      <c r="L1291" t="n">
        <v>0</v>
      </c>
      <c r="M1291" t="n">
        <v>0</v>
      </c>
      <c r="N1291" t="n">
        <v>0</v>
      </c>
      <c r="O1291" t="n">
        <v>0</v>
      </c>
      <c r="P1291" t="n">
        <v>0</v>
      </c>
      <c r="Q1291" t="n">
        <v>0</v>
      </c>
      <c r="R1291" s="2" t="inlineStr"/>
    </row>
    <row r="1292" ht="15" customHeight="1">
      <c r="A1292" t="inlineStr">
        <is>
          <t>A 12023-2023</t>
        </is>
      </c>
      <c r="B1292" s="1" t="n">
        <v>44995</v>
      </c>
      <c r="C1292" s="1" t="n">
        <v>45847</v>
      </c>
      <c r="D1292" t="inlineStr">
        <is>
          <t>JÄMTLANDS LÄN</t>
        </is>
      </c>
      <c r="E1292" t="inlineStr">
        <is>
          <t>BRÄCKE</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12034-2023</t>
        </is>
      </c>
      <c r="B1293" s="1" t="n">
        <v>44995</v>
      </c>
      <c r="C1293" s="1" t="n">
        <v>45847</v>
      </c>
      <c r="D1293" t="inlineStr">
        <is>
          <t>JÄMTLANDS LÄN</t>
        </is>
      </c>
      <c r="E1293" t="inlineStr">
        <is>
          <t>BRÄCKE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12036-2023</t>
        </is>
      </c>
      <c r="B1294" s="1" t="n">
        <v>44995</v>
      </c>
      <c r="C1294" s="1" t="n">
        <v>45847</v>
      </c>
      <c r="D1294" t="inlineStr">
        <is>
          <t>JÄMTLANDS LÄN</t>
        </is>
      </c>
      <c r="E1294" t="inlineStr">
        <is>
          <t>BRÄCKE</t>
        </is>
      </c>
      <c r="G1294" t="n">
        <v>16.3</v>
      </c>
      <c r="H1294" t="n">
        <v>0</v>
      </c>
      <c r="I1294" t="n">
        <v>0</v>
      </c>
      <c r="J1294" t="n">
        <v>0</v>
      </c>
      <c r="K1294" t="n">
        <v>0</v>
      </c>
      <c r="L1294" t="n">
        <v>0</v>
      </c>
      <c r="M1294" t="n">
        <v>0</v>
      </c>
      <c r="N1294" t="n">
        <v>0</v>
      </c>
      <c r="O1294" t="n">
        <v>0</v>
      </c>
      <c r="P1294" t="n">
        <v>0</v>
      </c>
      <c r="Q1294" t="n">
        <v>0</v>
      </c>
      <c r="R1294" s="2" t="inlineStr"/>
    </row>
    <row r="1295" ht="15" customHeight="1">
      <c r="A1295" t="inlineStr">
        <is>
          <t>A 12063-2023</t>
        </is>
      </c>
      <c r="B1295" s="1" t="n">
        <v>44996</v>
      </c>
      <c r="C1295" s="1" t="n">
        <v>45847</v>
      </c>
      <c r="D1295" t="inlineStr">
        <is>
          <t>JÄMTLANDS LÄN</t>
        </is>
      </c>
      <c r="E1295" t="inlineStr">
        <is>
          <t>BRÄCKE</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12061-2023</t>
        </is>
      </c>
      <c r="B1296" s="1" t="n">
        <v>44996</v>
      </c>
      <c r="C1296" s="1" t="n">
        <v>45847</v>
      </c>
      <c r="D1296" t="inlineStr">
        <is>
          <t>JÄMTLANDS LÄN</t>
        </is>
      </c>
      <c r="E1296" t="inlineStr">
        <is>
          <t>BRÄCKE</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12518-2023</t>
        </is>
      </c>
      <c r="B1297" s="1" t="n">
        <v>45000</v>
      </c>
      <c r="C1297" s="1" t="n">
        <v>45847</v>
      </c>
      <c r="D1297" t="inlineStr">
        <is>
          <t>JÄMTLANDS LÄN</t>
        </is>
      </c>
      <c r="E1297" t="inlineStr">
        <is>
          <t>BRÄCKE</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12900-2023</t>
        </is>
      </c>
      <c r="B1298" s="1" t="n">
        <v>45001</v>
      </c>
      <c r="C1298" s="1" t="n">
        <v>45847</v>
      </c>
      <c r="D1298" t="inlineStr">
        <is>
          <t>JÄMTLANDS LÄN</t>
        </is>
      </c>
      <c r="E1298" t="inlineStr">
        <is>
          <t>BRÄCKE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13033-2023</t>
        </is>
      </c>
      <c r="B1299" s="1" t="n">
        <v>45001</v>
      </c>
      <c r="C1299" s="1" t="n">
        <v>45847</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13019-2023</t>
        </is>
      </c>
      <c r="B1300" s="1" t="n">
        <v>45001</v>
      </c>
      <c r="C1300" s="1" t="n">
        <v>45847</v>
      </c>
      <c r="D1300" t="inlineStr">
        <is>
          <t>JÄMTLANDS LÄN</t>
        </is>
      </c>
      <c r="E1300" t="inlineStr">
        <is>
          <t>BRÄCKE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12977-2023</t>
        </is>
      </c>
      <c r="B1301" s="1" t="n">
        <v>45001</v>
      </c>
      <c r="C1301" s="1" t="n">
        <v>45847</v>
      </c>
      <c r="D1301" t="inlineStr">
        <is>
          <t>JÄMTLANDS LÄN</t>
        </is>
      </c>
      <c r="E1301" t="inlineStr">
        <is>
          <t>BRÄCKE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13258-2023</t>
        </is>
      </c>
      <c r="B1302" s="1" t="n">
        <v>45002</v>
      </c>
      <c r="C1302" s="1" t="n">
        <v>45847</v>
      </c>
      <c r="D1302" t="inlineStr">
        <is>
          <t>JÄMTLANDS LÄN</t>
        </is>
      </c>
      <c r="E1302" t="inlineStr">
        <is>
          <t>BRÄCKE</t>
        </is>
      </c>
      <c r="F1302" t="inlineStr">
        <is>
          <t>SCA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13244-2023</t>
        </is>
      </c>
      <c r="B1303" s="1" t="n">
        <v>45002</v>
      </c>
      <c r="C1303" s="1" t="n">
        <v>45847</v>
      </c>
      <c r="D1303" t="inlineStr">
        <is>
          <t>JÄMTLANDS LÄN</t>
        </is>
      </c>
      <c r="E1303" t="inlineStr">
        <is>
          <t>BRÄCKE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13709-2023</t>
        </is>
      </c>
      <c r="B1304" s="1" t="n">
        <v>45006</v>
      </c>
      <c r="C1304" s="1" t="n">
        <v>45847</v>
      </c>
      <c r="D1304" t="inlineStr">
        <is>
          <t>JÄMTLANDS LÄN</t>
        </is>
      </c>
      <c r="E1304" t="inlineStr">
        <is>
          <t>BRÄCKE</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13708-2023</t>
        </is>
      </c>
      <c r="B1305" s="1" t="n">
        <v>45006</v>
      </c>
      <c r="C1305" s="1" t="n">
        <v>45847</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13707-2023</t>
        </is>
      </c>
      <c r="B1306" s="1" t="n">
        <v>45006</v>
      </c>
      <c r="C1306" s="1" t="n">
        <v>45847</v>
      </c>
      <c r="D1306" t="inlineStr">
        <is>
          <t>JÄMTLANDS LÄN</t>
        </is>
      </c>
      <c r="E1306" t="inlineStr">
        <is>
          <t>BRÄCKE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13925-2023</t>
        </is>
      </c>
      <c r="B1307" s="1" t="n">
        <v>45008</v>
      </c>
      <c r="C1307" s="1" t="n">
        <v>45847</v>
      </c>
      <c r="D1307" t="inlineStr">
        <is>
          <t>JÄMTLANDS LÄN</t>
        </is>
      </c>
      <c r="E1307" t="inlineStr">
        <is>
          <t>BRÄCKE</t>
        </is>
      </c>
      <c r="F1307" t="inlineStr">
        <is>
          <t>Kyrkan</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13999-2023</t>
        </is>
      </c>
      <c r="B1308" s="1" t="n">
        <v>45008</v>
      </c>
      <c r="C1308" s="1" t="n">
        <v>45847</v>
      </c>
      <c r="D1308" t="inlineStr">
        <is>
          <t>JÄMTLANDS LÄN</t>
        </is>
      </c>
      <c r="E1308" t="inlineStr">
        <is>
          <t>BRÄCKE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14262-2023</t>
        </is>
      </c>
      <c r="B1309" s="1" t="n">
        <v>45009</v>
      </c>
      <c r="C1309" s="1" t="n">
        <v>45847</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14266-2023</t>
        </is>
      </c>
      <c r="B1310" s="1" t="n">
        <v>45010</v>
      </c>
      <c r="C1310" s="1" t="n">
        <v>45847</v>
      </c>
      <c r="D1310" t="inlineStr">
        <is>
          <t>JÄMTLANDS LÄN</t>
        </is>
      </c>
      <c r="E1310" t="inlineStr">
        <is>
          <t>BRÄCKE</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14274-2023</t>
        </is>
      </c>
      <c r="B1311" s="1" t="n">
        <v>45009</v>
      </c>
      <c r="C1311" s="1" t="n">
        <v>45847</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14275-2023</t>
        </is>
      </c>
      <c r="B1312" s="1" t="n">
        <v>45009</v>
      </c>
      <c r="C1312" s="1" t="n">
        <v>45847</v>
      </c>
      <c r="D1312" t="inlineStr">
        <is>
          <t>JÄMTLANDS LÄN</t>
        </is>
      </c>
      <c r="E1312" t="inlineStr">
        <is>
          <t>BRÄCKE</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14276-2023</t>
        </is>
      </c>
      <c r="B1313" s="1" t="n">
        <v>45010</v>
      </c>
      <c r="C1313" s="1" t="n">
        <v>45847</v>
      </c>
      <c r="D1313" t="inlineStr">
        <is>
          <t>JÄMTLANDS LÄN</t>
        </is>
      </c>
      <c r="E1313" t="inlineStr">
        <is>
          <t>BRÄCKE</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14278-2023</t>
        </is>
      </c>
      <c r="B1314" s="1" t="n">
        <v>45009</v>
      </c>
      <c r="C1314" s="1" t="n">
        <v>45847</v>
      </c>
      <c r="D1314" t="inlineStr">
        <is>
          <t>JÄMTLANDS LÄN</t>
        </is>
      </c>
      <c r="E1314" t="inlineStr">
        <is>
          <t>BRÄCKE</t>
        </is>
      </c>
      <c r="F1314" t="inlineStr">
        <is>
          <t>SCA</t>
        </is>
      </c>
      <c r="G1314" t="n">
        <v>10.1</v>
      </c>
      <c r="H1314" t="n">
        <v>0</v>
      </c>
      <c r="I1314" t="n">
        <v>0</v>
      </c>
      <c r="J1314" t="n">
        <v>0</v>
      </c>
      <c r="K1314" t="n">
        <v>0</v>
      </c>
      <c r="L1314" t="n">
        <v>0</v>
      </c>
      <c r="M1314" t="n">
        <v>0</v>
      </c>
      <c r="N1314" t="n">
        <v>0</v>
      </c>
      <c r="O1314" t="n">
        <v>0</v>
      </c>
      <c r="P1314" t="n">
        <v>0</v>
      </c>
      <c r="Q1314" t="n">
        <v>0</v>
      </c>
      <c r="R1314" s="2" t="inlineStr"/>
    </row>
    <row r="1315" ht="15" customHeight="1">
      <c r="A1315" t="inlineStr">
        <is>
          <t>A 14530-2023</t>
        </is>
      </c>
      <c r="B1315" s="1" t="n">
        <v>45013</v>
      </c>
      <c r="C1315" s="1" t="n">
        <v>45847</v>
      </c>
      <c r="D1315" t="inlineStr">
        <is>
          <t>JÄMTLANDS LÄN</t>
        </is>
      </c>
      <c r="E1315" t="inlineStr">
        <is>
          <t>BRÄCKE</t>
        </is>
      </c>
      <c r="F1315" t="inlineStr">
        <is>
          <t>SCA</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14642-2023</t>
        </is>
      </c>
      <c r="B1316" s="1" t="n">
        <v>45012</v>
      </c>
      <c r="C1316" s="1" t="n">
        <v>45847</v>
      </c>
      <c r="D1316" t="inlineStr">
        <is>
          <t>JÄMTLANDS LÄN</t>
        </is>
      </c>
      <c r="E1316" t="inlineStr">
        <is>
          <t>BRÄCKE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14693-2023</t>
        </is>
      </c>
      <c r="B1317" s="1" t="n">
        <v>45012</v>
      </c>
      <c r="C1317" s="1" t="n">
        <v>45847</v>
      </c>
      <c r="D1317" t="inlineStr">
        <is>
          <t>JÄMTLANDS LÄN</t>
        </is>
      </c>
      <c r="E1317" t="inlineStr">
        <is>
          <t>BRÄCKE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14798-2023</t>
        </is>
      </c>
      <c r="B1318" s="1" t="n">
        <v>45014</v>
      </c>
      <c r="C1318" s="1" t="n">
        <v>45847</v>
      </c>
      <c r="D1318" t="inlineStr">
        <is>
          <t>JÄMTLANDS LÄN</t>
        </is>
      </c>
      <c r="E1318" t="inlineStr">
        <is>
          <t>BRÄCKE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15366-2023</t>
        </is>
      </c>
      <c r="B1319" s="1" t="n">
        <v>45019</v>
      </c>
      <c r="C1319" s="1" t="n">
        <v>45847</v>
      </c>
      <c r="D1319" t="inlineStr">
        <is>
          <t>JÄMTLANDS LÄN</t>
        </is>
      </c>
      <c r="E1319" t="inlineStr">
        <is>
          <t>BRÄCKE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15824-2023</t>
        </is>
      </c>
      <c r="B1320" s="1" t="n">
        <v>45022</v>
      </c>
      <c r="C1320" s="1" t="n">
        <v>45847</v>
      </c>
      <c r="D1320" t="inlineStr">
        <is>
          <t>JÄMTLANDS LÄN</t>
        </is>
      </c>
      <c r="E1320" t="inlineStr">
        <is>
          <t>BRÄCKE</t>
        </is>
      </c>
      <c r="F1320" t="inlineStr">
        <is>
          <t>SCA</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15813-2023</t>
        </is>
      </c>
      <c r="B1321" s="1" t="n">
        <v>45021</v>
      </c>
      <c r="C1321" s="1" t="n">
        <v>45847</v>
      </c>
      <c r="D1321" t="inlineStr">
        <is>
          <t>JÄMTLANDS LÄN</t>
        </is>
      </c>
      <c r="E1321" t="inlineStr">
        <is>
          <t>BRÄCKE</t>
        </is>
      </c>
      <c r="F1321" t="inlineStr">
        <is>
          <t>SCA</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16180-2023</t>
        </is>
      </c>
      <c r="B1322" s="1" t="n">
        <v>45027</v>
      </c>
      <c r="C1322" s="1" t="n">
        <v>45847</v>
      </c>
      <c r="D1322" t="inlineStr">
        <is>
          <t>JÄMTLANDS LÄN</t>
        </is>
      </c>
      <c r="E1322" t="inlineStr">
        <is>
          <t>BRÄCKE</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16232-2023</t>
        </is>
      </c>
      <c r="B1323" s="1" t="n">
        <v>45028</v>
      </c>
      <c r="C1323" s="1" t="n">
        <v>45847</v>
      </c>
      <c r="D1323" t="inlineStr">
        <is>
          <t>JÄMTLANDS LÄN</t>
        </is>
      </c>
      <c r="E1323" t="inlineStr">
        <is>
          <t>BRÄCKE</t>
        </is>
      </c>
      <c r="G1323" t="n">
        <v>16.2</v>
      </c>
      <c r="H1323" t="n">
        <v>0</v>
      </c>
      <c r="I1323" t="n">
        <v>0</v>
      </c>
      <c r="J1323" t="n">
        <v>0</v>
      </c>
      <c r="K1323" t="n">
        <v>0</v>
      </c>
      <c r="L1323" t="n">
        <v>0</v>
      </c>
      <c r="M1323" t="n">
        <v>0</v>
      </c>
      <c r="N1323" t="n">
        <v>0</v>
      </c>
      <c r="O1323" t="n">
        <v>0</v>
      </c>
      <c r="P1323" t="n">
        <v>0</v>
      </c>
      <c r="Q1323" t="n">
        <v>0</v>
      </c>
      <c r="R1323" s="2" t="inlineStr"/>
    </row>
    <row r="1324" ht="15" customHeight="1">
      <c r="A1324" t="inlineStr">
        <is>
          <t>A 16372-2023</t>
        </is>
      </c>
      <c r="B1324" s="1" t="n">
        <v>45029</v>
      </c>
      <c r="C1324" s="1" t="n">
        <v>45847</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16649-2023</t>
        </is>
      </c>
      <c r="B1325" s="1" t="n">
        <v>45028</v>
      </c>
      <c r="C1325" s="1" t="n">
        <v>45847</v>
      </c>
      <c r="D1325" t="inlineStr">
        <is>
          <t>JÄMTLANDS LÄN</t>
        </is>
      </c>
      <c r="E1325" t="inlineStr">
        <is>
          <t>BRÄCKE</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16371-2023</t>
        </is>
      </c>
      <c r="B1326" s="1" t="n">
        <v>45029</v>
      </c>
      <c r="C1326" s="1" t="n">
        <v>45847</v>
      </c>
      <c r="D1326" t="inlineStr">
        <is>
          <t>JÄMTLANDS LÄN</t>
        </is>
      </c>
      <c r="E1326" t="inlineStr">
        <is>
          <t>BRÄCKE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16574-2023</t>
        </is>
      </c>
      <c r="B1327" s="1" t="n">
        <v>45029</v>
      </c>
      <c r="C1327" s="1" t="n">
        <v>45847</v>
      </c>
      <c r="D1327" t="inlineStr">
        <is>
          <t>JÄMTLANDS LÄN</t>
        </is>
      </c>
      <c r="E1327" t="inlineStr">
        <is>
          <t>BRÄCKE</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16751-2023</t>
        </is>
      </c>
      <c r="B1328" s="1" t="n">
        <v>45030</v>
      </c>
      <c r="C1328" s="1" t="n">
        <v>45847</v>
      </c>
      <c r="D1328" t="inlineStr">
        <is>
          <t>JÄMTLANDS LÄN</t>
        </is>
      </c>
      <c r="E1328" t="inlineStr">
        <is>
          <t>BRÄCKE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16752-2023</t>
        </is>
      </c>
      <c r="B1329" s="1" t="n">
        <v>45030</v>
      </c>
      <c r="C1329" s="1" t="n">
        <v>45847</v>
      </c>
      <c r="D1329" t="inlineStr">
        <is>
          <t>JÄMTLANDS LÄN</t>
        </is>
      </c>
      <c r="E1329" t="inlineStr">
        <is>
          <t>BRÄCKE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17209-2023</t>
        </is>
      </c>
      <c r="B1330" s="1" t="n">
        <v>45034</v>
      </c>
      <c r="C1330" s="1" t="n">
        <v>45847</v>
      </c>
      <c r="D1330" t="inlineStr">
        <is>
          <t>JÄMTLANDS LÄN</t>
        </is>
      </c>
      <c r="E1330" t="inlineStr">
        <is>
          <t>BRÄCKE</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17568-2023</t>
        </is>
      </c>
      <c r="B1331" s="1" t="n">
        <v>45036</v>
      </c>
      <c r="C1331" s="1" t="n">
        <v>45847</v>
      </c>
      <c r="D1331" t="inlineStr">
        <is>
          <t>JÄMTLANDS LÄN</t>
        </is>
      </c>
      <c r="E1331" t="inlineStr">
        <is>
          <t>BRÄCKE</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17665-2023</t>
        </is>
      </c>
      <c r="B1332" s="1" t="n">
        <v>45036</v>
      </c>
      <c r="C1332" s="1" t="n">
        <v>45847</v>
      </c>
      <c r="D1332" t="inlineStr">
        <is>
          <t>JÄMTLANDS LÄN</t>
        </is>
      </c>
      <c r="E1332" t="inlineStr">
        <is>
          <t>BRÄCKE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17857-2023</t>
        </is>
      </c>
      <c r="B1333" s="1" t="n">
        <v>45037</v>
      </c>
      <c r="C1333" s="1" t="n">
        <v>45847</v>
      </c>
      <c r="D1333" t="inlineStr">
        <is>
          <t>JÄMTLANDS LÄN</t>
        </is>
      </c>
      <c r="E1333" t="inlineStr">
        <is>
          <t>BRÄCKE</t>
        </is>
      </c>
      <c r="F1333" t="inlineStr">
        <is>
          <t>SCA</t>
        </is>
      </c>
      <c r="G1333" t="n">
        <v>20</v>
      </c>
      <c r="H1333" t="n">
        <v>0</v>
      </c>
      <c r="I1333" t="n">
        <v>0</v>
      </c>
      <c r="J1333" t="n">
        <v>0</v>
      </c>
      <c r="K1333" t="n">
        <v>0</v>
      </c>
      <c r="L1333" t="n">
        <v>0</v>
      </c>
      <c r="M1333" t="n">
        <v>0</v>
      </c>
      <c r="N1333" t="n">
        <v>0</v>
      </c>
      <c r="O1333" t="n">
        <v>0</v>
      </c>
      <c r="P1333" t="n">
        <v>0</v>
      </c>
      <c r="Q1333" t="n">
        <v>0</v>
      </c>
      <c r="R1333" s="2" t="inlineStr"/>
    </row>
    <row r="1334" ht="15" customHeight="1">
      <c r="A1334" t="inlineStr">
        <is>
          <t>A 17888-2023</t>
        </is>
      </c>
      <c r="B1334" s="1" t="n">
        <v>45037</v>
      </c>
      <c r="C1334" s="1" t="n">
        <v>45847</v>
      </c>
      <c r="D1334" t="inlineStr">
        <is>
          <t>JÄMTLANDS LÄN</t>
        </is>
      </c>
      <c r="E1334" t="inlineStr">
        <is>
          <t>BRÄCKE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18152-2023</t>
        </is>
      </c>
      <c r="B1335" s="1" t="n">
        <v>45040</v>
      </c>
      <c r="C1335" s="1" t="n">
        <v>45847</v>
      </c>
      <c r="D1335" t="inlineStr">
        <is>
          <t>JÄMTLANDS LÄN</t>
        </is>
      </c>
      <c r="E1335" t="inlineStr">
        <is>
          <t>BRÄCKE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18150-2023</t>
        </is>
      </c>
      <c r="B1336" s="1" t="n">
        <v>45041</v>
      </c>
      <c r="C1336" s="1" t="n">
        <v>45847</v>
      </c>
      <c r="D1336" t="inlineStr">
        <is>
          <t>JÄMTLANDS LÄN</t>
        </is>
      </c>
      <c r="E1336" t="inlineStr">
        <is>
          <t>BRÄCKE</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18164-2023</t>
        </is>
      </c>
      <c r="B1337" s="1" t="n">
        <v>45041</v>
      </c>
      <c r="C1337" s="1" t="n">
        <v>45847</v>
      </c>
      <c r="D1337" t="inlineStr">
        <is>
          <t>JÄMTLANDS LÄN</t>
        </is>
      </c>
      <c r="E1337" t="inlineStr">
        <is>
          <t>BRÄCKE</t>
        </is>
      </c>
      <c r="F1337" t="inlineStr">
        <is>
          <t>SCA</t>
        </is>
      </c>
      <c r="G1337" t="n">
        <v>31.4</v>
      </c>
      <c r="H1337" t="n">
        <v>0</v>
      </c>
      <c r="I1337" t="n">
        <v>0</v>
      </c>
      <c r="J1337" t="n">
        <v>0</v>
      </c>
      <c r="K1337" t="n">
        <v>0</v>
      </c>
      <c r="L1337" t="n">
        <v>0</v>
      </c>
      <c r="M1337" t="n">
        <v>0</v>
      </c>
      <c r="N1337" t="n">
        <v>0</v>
      </c>
      <c r="O1337" t="n">
        <v>0</v>
      </c>
      <c r="P1337" t="n">
        <v>0</v>
      </c>
      <c r="Q1337" t="n">
        <v>0</v>
      </c>
      <c r="R1337" s="2" t="inlineStr"/>
    </row>
    <row r="1338" ht="15" customHeight="1">
      <c r="A1338" t="inlineStr">
        <is>
          <t>A 18229-2023</t>
        </is>
      </c>
      <c r="B1338" s="1" t="n">
        <v>45040</v>
      </c>
      <c r="C1338" s="1" t="n">
        <v>45847</v>
      </c>
      <c r="D1338" t="inlineStr">
        <is>
          <t>JÄMTLANDS LÄN</t>
        </is>
      </c>
      <c r="E1338" t="inlineStr">
        <is>
          <t>BRÄCKE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18151-2023</t>
        </is>
      </c>
      <c r="B1339" s="1" t="n">
        <v>45040</v>
      </c>
      <c r="C1339" s="1" t="n">
        <v>45847</v>
      </c>
      <c r="D1339" t="inlineStr">
        <is>
          <t>JÄMTLANDS LÄN</t>
        </is>
      </c>
      <c r="E1339" t="inlineStr">
        <is>
          <t>BRÄCKE</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18236-2023</t>
        </is>
      </c>
      <c r="B1340" s="1" t="n">
        <v>45040</v>
      </c>
      <c r="C1340" s="1" t="n">
        <v>45847</v>
      </c>
      <c r="D1340" t="inlineStr">
        <is>
          <t>JÄMTLANDS LÄN</t>
        </is>
      </c>
      <c r="E1340" t="inlineStr">
        <is>
          <t>BRÄCKE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18206-2023</t>
        </is>
      </c>
      <c r="B1341" s="1" t="n">
        <v>45041</v>
      </c>
      <c r="C1341" s="1" t="n">
        <v>45847</v>
      </c>
      <c r="D1341" t="inlineStr">
        <is>
          <t>JÄMTLANDS LÄN</t>
        </is>
      </c>
      <c r="E1341" t="inlineStr">
        <is>
          <t>BRÄCKE</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18559-2023</t>
        </is>
      </c>
      <c r="B1342" s="1" t="n">
        <v>45043</v>
      </c>
      <c r="C1342" s="1" t="n">
        <v>45847</v>
      </c>
      <c r="D1342" t="inlineStr">
        <is>
          <t>JÄMTLANDS LÄN</t>
        </is>
      </c>
      <c r="E1342" t="inlineStr">
        <is>
          <t>BRÄCKE</t>
        </is>
      </c>
      <c r="F1342" t="inlineStr">
        <is>
          <t>SCA</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18552-2023</t>
        </is>
      </c>
      <c r="B1343" s="1" t="n">
        <v>45043</v>
      </c>
      <c r="C1343" s="1" t="n">
        <v>45847</v>
      </c>
      <c r="D1343" t="inlineStr">
        <is>
          <t>JÄMTLANDS LÄN</t>
        </is>
      </c>
      <c r="E1343" t="inlineStr">
        <is>
          <t>BRÄCKE</t>
        </is>
      </c>
      <c r="F1343" t="inlineStr">
        <is>
          <t>SCA</t>
        </is>
      </c>
      <c r="G1343" t="n">
        <v>15.6</v>
      </c>
      <c r="H1343" t="n">
        <v>0</v>
      </c>
      <c r="I1343" t="n">
        <v>0</v>
      </c>
      <c r="J1343" t="n">
        <v>0</v>
      </c>
      <c r="K1343" t="n">
        <v>0</v>
      </c>
      <c r="L1343" t="n">
        <v>0</v>
      </c>
      <c r="M1343" t="n">
        <v>0</v>
      </c>
      <c r="N1343" t="n">
        <v>0</v>
      </c>
      <c r="O1343" t="n">
        <v>0</v>
      </c>
      <c r="P1343" t="n">
        <v>0</v>
      </c>
      <c r="Q1343" t="n">
        <v>0</v>
      </c>
      <c r="R1343" s="2" t="inlineStr"/>
    </row>
    <row r="1344" ht="15" customHeight="1">
      <c r="A1344" t="inlineStr">
        <is>
          <t>A 18698-2023</t>
        </is>
      </c>
      <c r="B1344" s="1" t="n">
        <v>45042</v>
      </c>
      <c r="C1344" s="1" t="n">
        <v>45847</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18555-2023</t>
        </is>
      </c>
      <c r="B1345" s="1" t="n">
        <v>45042</v>
      </c>
      <c r="C1345" s="1" t="n">
        <v>45847</v>
      </c>
      <c r="D1345" t="inlineStr">
        <is>
          <t>JÄMTLANDS LÄN</t>
        </is>
      </c>
      <c r="E1345" t="inlineStr">
        <is>
          <t>BRÄCKE</t>
        </is>
      </c>
      <c r="F1345" t="inlineStr">
        <is>
          <t>SCA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18674-2023</t>
        </is>
      </c>
      <c r="B1346" s="1" t="n">
        <v>45043</v>
      </c>
      <c r="C1346" s="1" t="n">
        <v>45847</v>
      </c>
      <c r="D1346" t="inlineStr">
        <is>
          <t>JÄMTLANDS LÄN</t>
        </is>
      </c>
      <c r="E1346" t="inlineStr">
        <is>
          <t>BRÄCKE</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19237-2023</t>
        </is>
      </c>
      <c r="B1347" s="1" t="n">
        <v>45049</v>
      </c>
      <c r="C1347" s="1" t="n">
        <v>45847</v>
      </c>
      <c r="D1347" t="inlineStr">
        <is>
          <t>JÄMTLANDS LÄN</t>
        </is>
      </c>
      <c r="E1347" t="inlineStr">
        <is>
          <t>BRÄCKE</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19436-2023</t>
        </is>
      </c>
      <c r="B1348" s="1" t="n">
        <v>45050</v>
      </c>
      <c r="C1348" s="1" t="n">
        <v>45847</v>
      </c>
      <c r="D1348" t="inlineStr">
        <is>
          <t>JÄMTLANDS LÄN</t>
        </is>
      </c>
      <c r="E1348" t="inlineStr">
        <is>
          <t>BRÄCKE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19465-2023</t>
        </is>
      </c>
      <c r="B1349" s="1" t="n">
        <v>45049</v>
      </c>
      <c r="C1349" s="1" t="n">
        <v>45847</v>
      </c>
      <c r="D1349" t="inlineStr">
        <is>
          <t>JÄMTLANDS LÄN</t>
        </is>
      </c>
      <c r="E1349" t="inlineStr">
        <is>
          <t>BRÄCKE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19486-2023</t>
        </is>
      </c>
      <c r="B1350" s="1" t="n">
        <v>45049</v>
      </c>
      <c r="C1350" s="1" t="n">
        <v>45847</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19485-2023</t>
        </is>
      </c>
      <c r="B1351" s="1" t="n">
        <v>45049</v>
      </c>
      <c r="C1351" s="1" t="n">
        <v>45847</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19496-2023</t>
        </is>
      </c>
      <c r="B1352" s="1" t="n">
        <v>45049</v>
      </c>
      <c r="C1352" s="1" t="n">
        <v>45847</v>
      </c>
      <c r="D1352" t="inlineStr">
        <is>
          <t>JÄMTLANDS LÄN</t>
        </is>
      </c>
      <c r="E1352" t="inlineStr">
        <is>
          <t>BRÄCKE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19533-2023</t>
        </is>
      </c>
      <c r="B1353" s="1" t="n">
        <v>45050</v>
      </c>
      <c r="C1353" s="1" t="n">
        <v>45847</v>
      </c>
      <c r="D1353" t="inlineStr">
        <is>
          <t>JÄMTLANDS LÄN</t>
        </is>
      </c>
      <c r="E1353" t="inlineStr">
        <is>
          <t>BRÄCKE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19461-2023</t>
        </is>
      </c>
      <c r="B1354" s="1" t="n">
        <v>45050</v>
      </c>
      <c r="C1354" s="1" t="n">
        <v>45847</v>
      </c>
      <c r="D1354" t="inlineStr">
        <is>
          <t>JÄMTLANDS LÄN</t>
        </is>
      </c>
      <c r="E1354" t="inlineStr">
        <is>
          <t>BRÄCKE</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19819-2023</t>
        </is>
      </c>
      <c r="B1355" s="1" t="n">
        <v>45052</v>
      </c>
      <c r="C1355" s="1" t="n">
        <v>45847</v>
      </c>
      <c r="D1355" t="inlineStr">
        <is>
          <t>JÄMTLANDS LÄN</t>
        </is>
      </c>
      <c r="E1355" t="inlineStr">
        <is>
          <t>BRÄCKE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19823-2023</t>
        </is>
      </c>
      <c r="B1356" s="1" t="n">
        <v>45052</v>
      </c>
      <c r="C1356" s="1" t="n">
        <v>45847</v>
      </c>
      <c r="D1356" t="inlineStr">
        <is>
          <t>JÄMTLANDS LÄN</t>
        </is>
      </c>
      <c r="E1356" t="inlineStr">
        <is>
          <t>BRÄCKE</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19820-2023</t>
        </is>
      </c>
      <c r="B1357" s="1" t="n">
        <v>45051</v>
      </c>
      <c r="C1357" s="1" t="n">
        <v>45847</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19824-2023</t>
        </is>
      </c>
      <c r="B1358" s="1" t="n">
        <v>45051</v>
      </c>
      <c r="C1358" s="1" t="n">
        <v>45847</v>
      </c>
      <c r="D1358" t="inlineStr">
        <is>
          <t>JÄMTLANDS LÄN</t>
        </is>
      </c>
      <c r="E1358" t="inlineStr">
        <is>
          <t>BRÄCKE</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19822-2023</t>
        </is>
      </c>
      <c r="B1359" s="1" t="n">
        <v>45052</v>
      </c>
      <c r="C1359" s="1" t="n">
        <v>45847</v>
      </c>
      <c r="D1359" t="inlineStr">
        <is>
          <t>JÄMTLANDS LÄN</t>
        </is>
      </c>
      <c r="E1359" t="inlineStr">
        <is>
          <t>BRÄCKE</t>
        </is>
      </c>
      <c r="F1359" t="inlineStr">
        <is>
          <t>SCA</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19821-2023</t>
        </is>
      </c>
      <c r="B1360" s="1" t="n">
        <v>45051</v>
      </c>
      <c r="C1360" s="1" t="n">
        <v>45847</v>
      </c>
      <c r="D1360" t="inlineStr">
        <is>
          <t>JÄMTLANDS LÄN</t>
        </is>
      </c>
      <c r="E1360" t="inlineStr">
        <is>
          <t>BRÄCKE</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19941-2023</t>
        </is>
      </c>
      <c r="B1361" s="1" t="n">
        <v>45051</v>
      </c>
      <c r="C1361" s="1" t="n">
        <v>45847</v>
      </c>
      <c r="D1361" t="inlineStr">
        <is>
          <t>JÄMTLANDS LÄN</t>
        </is>
      </c>
      <c r="E1361" t="inlineStr">
        <is>
          <t>BRÄCKE</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20095-2023</t>
        </is>
      </c>
      <c r="B1362" s="1" t="n">
        <v>45055</v>
      </c>
      <c r="C1362" s="1" t="n">
        <v>45847</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20100-2023</t>
        </is>
      </c>
      <c r="B1363" s="1" t="n">
        <v>45055</v>
      </c>
      <c r="C1363" s="1" t="n">
        <v>45847</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20101-2023</t>
        </is>
      </c>
      <c r="B1364" s="1" t="n">
        <v>45055</v>
      </c>
      <c r="C1364" s="1" t="n">
        <v>45847</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20093-2023</t>
        </is>
      </c>
      <c r="B1365" s="1" t="n">
        <v>45055</v>
      </c>
      <c r="C1365" s="1" t="n">
        <v>45847</v>
      </c>
      <c r="D1365" t="inlineStr">
        <is>
          <t>JÄMTLANDS LÄN</t>
        </is>
      </c>
      <c r="E1365" t="inlineStr">
        <is>
          <t>BRÄCKE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20265-2023</t>
        </is>
      </c>
      <c r="B1366" s="1" t="n">
        <v>45056</v>
      </c>
      <c r="C1366" s="1" t="n">
        <v>45847</v>
      </c>
      <c r="D1366" t="inlineStr">
        <is>
          <t>JÄMTLANDS LÄN</t>
        </is>
      </c>
      <c r="E1366" t="inlineStr">
        <is>
          <t>BRÄCKE</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20270-2023</t>
        </is>
      </c>
      <c r="B1367" s="1" t="n">
        <v>45056</v>
      </c>
      <c r="C1367" s="1" t="n">
        <v>45847</v>
      </c>
      <c r="D1367" t="inlineStr">
        <is>
          <t>JÄMTLANDS LÄN</t>
        </is>
      </c>
      <c r="E1367" t="inlineStr">
        <is>
          <t>BRÄCKE</t>
        </is>
      </c>
      <c r="F1367" t="inlineStr">
        <is>
          <t>SCA</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20276-2023</t>
        </is>
      </c>
      <c r="B1368" s="1" t="n">
        <v>45056</v>
      </c>
      <c r="C1368" s="1" t="n">
        <v>45847</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20603-2023</t>
        </is>
      </c>
      <c r="B1369" s="1" t="n">
        <v>45057</v>
      </c>
      <c r="C1369" s="1" t="n">
        <v>45847</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20612-2023</t>
        </is>
      </c>
      <c r="B1370" s="1" t="n">
        <v>45057</v>
      </c>
      <c r="C1370" s="1" t="n">
        <v>45847</v>
      </c>
      <c r="D1370" t="inlineStr">
        <is>
          <t>JÄMTLANDS LÄN</t>
        </is>
      </c>
      <c r="E1370" t="inlineStr">
        <is>
          <t>BRÄCKE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20616-2023</t>
        </is>
      </c>
      <c r="B1371" s="1" t="n">
        <v>45057</v>
      </c>
      <c r="C1371" s="1" t="n">
        <v>45847</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20602-2023</t>
        </is>
      </c>
      <c r="B1372" s="1" t="n">
        <v>45058</v>
      </c>
      <c r="C1372" s="1" t="n">
        <v>45847</v>
      </c>
      <c r="D1372" t="inlineStr">
        <is>
          <t>JÄMTLANDS LÄN</t>
        </is>
      </c>
      <c r="E1372" t="inlineStr">
        <is>
          <t>BRÄCKE</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20615-2023</t>
        </is>
      </c>
      <c r="B1373" s="1" t="n">
        <v>45058</v>
      </c>
      <c r="C1373" s="1" t="n">
        <v>45847</v>
      </c>
      <c r="D1373" t="inlineStr">
        <is>
          <t>JÄMTLANDS LÄN</t>
        </is>
      </c>
      <c r="E1373" t="inlineStr">
        <is>
          <t>BRÄCKE</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20625-2023</t>
        </is>
      </c>
      <c r="B1374" s="1" t="n">
        <v>45058</v>
      </c>
      <c r="C1374" s="1" t="n">
        <v>45847</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20630-2023</t>
        </is>
      </c>
      <c r="B1375" s="1" t="n">
        <v>45057</v>
      </c>
      <c r="C1375" s="1" t="n">
        <v>45847</v>
      </c>
      <c r="D1375" t="inlineStr">
        <is>
          <t>JÄMTLANDS LÄN</t>
        </is>
      </c>
      <c r="E1375" t="inlineStr">
        <is>
          <t>BRÄCKE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20605-2023</t>
        </is>
      </c>
      <c r="B1376" s="1" t="n">
        <v>45057</v>
      </c>
      <c r="C1376" s="1" t="n">
        <v>45847</v>
      </c>
      <c r="D1376" t="inlineStr">
        <is>
          <t>JÄMTLANDS LÄN</t>
        </is>
      </c>
      <c r="E1376" t="inlineStr">
        <is>
          <t>BRÄCKE</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20614-2023</t>
        </is>
      </c>
      <c r="B1377" s="1" t="n">
        <v>45057</v>
      </c>
      <c r="C1377" s="1" t="n">
        <v>45847</v>
      </c>
      <c r="D1377" t="inlineStr">
        <is>
          <t>JÄMTLANDS LÄN</t>
        </is>
      </c>
      <c r="E1377" t="inlineStr">
        <is>
          <t>BRÄCKE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20624-2023</t>
        </is>
      </c>
      <c r="B1378" s="1" t="n">
        <v>45058</v>
      </c>
      <c r="C1378" s="1" t="n">
        <v>45847</v>
      </c>
      <c r="D1378" t="inlineStr">
        <is>
          <t>JÄMTLANDS LÄN</t>
        </is>
      </c>
      <c r="E1378" t="inlineStr">
        <is>
          <t>BRÄCKE</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20613-2023</t>
        </is>
      </c>
      <c r="B1379" s="1" t="n">
        <v>45057</v>
      </c>
      <c r="C1379" s="1" t="n">
        <v>45847</v>
      </c>
      <c r="D1379" t="inlineStr">
        <is>
          <t>JÄMTLANDS LÄN</t>
        </is>
      </c>
      <c r="E1379" t="inlineStr">
        <is>
          <t>BRÄCKE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20864-2023</t>
        </is>
      </c>
      <c r="B1380" s="1" t="n">
        <v>45058</v>
      </c>
      <c r="C1380" s="1" t="n">
        <v>45847</v>
      </c>
      <c r="D1380" t="inlineStr">
        <is>
          <t>JÄMTLANDS LÄN</t>
        </is>
      </c>
      <c r="E1380" t="inlineStr">
        <is>
          <t>BRÄCKE</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20866-2023</t>
        </is>
      </c>
      <c r="B1381" s="1" t="n">
        <v>45058</v>
      </c>
      <c r="C1381" s="1" t="n">
        <v>45847</v>
      </c>
      <c r="D1381" t="inlineStr">
        <is>
          <t>JÄMTLANDS LÄN</t>
        </is>
      </c>
      <c r="E1381" t="inlineStr">
        <is>
          <t>BRÄCKE</t>
        </is>
      </c>
      <c r="F1381" t="inlineStr">
        <is>
          <t>SCA</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20863-2023</t>
        </is>
      </c>
      <c r="B1382" s="1" t="n">
        <v>45058</v>
      </c>
      <c r="C1382" s="1" t="n">
        <v>45847</v>
      </c>
      <c r="D1382" t="inlineStr">
        <is>
          <t>JÄMTLANDS LÄN</t>
        </is>
      </c>
      <c r="E1382" t="inlineStr">
        <is>
          <t>BRÄCKE</t>
        </is>
      </c>
      <c r="F1382" t="inlineStr">
        <is>
          <t>SCA</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20867-2023</t>
        </is>
      </c>
      <c r="B1383" s="1" t="n">
        <v>45058</v>
      </c>
      <c r="C1383" s="1" t="n">
        <v>45847</v>
      </c>
      <c r="D1383" t="inlineStr">
        <is>
          <t>JÄMTLANDS LÄN</t>
        </is>
      </c>
      <c r="E1383" t="inlineStr">
        <is>
          <t>BRÄCKE</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20865-2023</t>
        </is>
      </c>
      <c r="B1384" s="1" t="n">
        <v>45059</v>
      </c>
      <c r="C1384" s="1" t="n">
        <v>45847</v>
      </c>
      <c r="D1384" t="inlineStr">
        <is>
          <t>JÄMTLANDS LÄN</t>
        </is>
      </c>
      <c r="E1384" t="inlineStr">
        <is>
          <t>BRÄCKE</t>
        </is>
      </c>
      <c r="F1384" t="inlineStr">
        <is>
          <t>SCA</t>
        </is>
      </c>
      <c r="G1384" t="n">
        <v>13.5</v>
      </c>
      <c r="H1384" t="n">
        <v>0</v>
      </c>
      <c r="I1384" t="n">
        <v>0</v>
      </c>
      <c r="J1384" t="n">
        <v>0</v>
      </c>
      <c r="K1384" t="n">
        <v>0</v>
      </c>
      <c r="L1384" t="n">
        <v>0</v>
      </c>
      <c r="M1384" t="n">
        <v>0</v>
      </c>
      <c r="N1384" t="n">
        <v>0</v>
      </c>
      <c r="O1384" t="n">
        <v>0</v>
      </c>
      <c r="P1384" t="n">
        <v>0</v>
      </c>
      <c r="Q1384" t="n">
        <v>0</v>
      </c>
      <c r="R1384" s="2" t="inlineStr"/>
    </row>
    <row r="1385" ht="15" customHeight="1">
      <c r="A1385" t="inlineStr">
        <is>
          <t>A 20869-2023</t>
        </is>
      </c>
      <c r="B1385" s="1" t="n">
        <v>45058</v>
      </c>
      <c r="C1385" s="1" t="n">
        <v>45847</v>
      </c>
      <c r="D1385" t="inlineStr">
        <is>
          <t>JÄMTLANDS LÄN</t>
        </is>
      </c>
      <c r="E1385" t="inlineStr">
        <is>
          <t>BRÄCKE</t>
        </is>
      </c>
      <c r="F1385" t="inlineStr">
        <is>
          <t>SCA</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20870-2023</t>
        </is>
      </c>
      <c r="B1386" s="1" t="n">
        <v>45059</v>
      </c>
      <c r="C1386" s="1" t="n">
        <v>45847</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20868-2023</t>
        </is>
      </c>
      <c r="B1387" s="1" t="n">
        <v>45059</v>
      </c>
      <c r="C1387" s="1" t="n">
        <v>45847</v>
      </c>
      <c r="D1387" t="inlineStr">
        <is>
          <t>JÄMTLANDS LÄN</t>
        </is>
      </c>
      <c r="E1387" t="inlineStr">
        <is>
          <t>BRÄCKE</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20879-2023</t>
        </is>
      </c>
      <c r="B1388" s="1" t="n">
        <v>45059</v>
      </c>
      <c r="C1388" s="1" t="n">
        <v>45847</v>
      </c>
      <c r="D1388" t="inlineStr">
        <is>
          <t>JÄMTLANDS LÄN</t>
        </is>
      </c>
      <c r="E1388" t="inlineStr">
        <is>
          <t>BRÄCKE</t>
        </is>
      </c>
      <c r="F1388" t="inlineStr">
        <is>
          <t>Naturvårdsverket</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21183-2023</t>
        </is>
      </c>
      <c r="B1389" s="1" t="n">
        <v>45058</v>
      </c>
      <c r="C1389" s="1" t="n">
        <v>45847</v>
      </c>
      <c r="D1389" t="inlineStr">
        <is>
          <t>JÄMTLANDS LÄN</t>
        </is>
      </c>
      <c r="E1389" t="inlineStr">
        <is>
          <t>BRÄCKE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21243-2023</t>
        </is>
      </c>
      <c r="B1390" s="1" t="n">
        <v>45058</v>
      </c>
      <c r="C1390" s="1" t="n">
        <v>45847</v>
      </c>
      <c r="D1390" t="inlineStr">
        <is>
          <t>JÄMTLANDS LÄN</t>
        </is>
      </c>
      <c r="E1390" t="inlineStr">
        <is>
          <t>BRÄCKE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21114-2023</t>
        </is>
      </c>
      <c r="B1391" s="1" t="n">
        <v>45062</v>
      </c>
      <c r="C1391" s="1" t="n">
        <v>45847</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21118-2023</t>
        </is>
      </c>
      <c r="B1392" s="1" t="n">
        <v>45062</v>
      </c>
      <c r="C1392" s="1" t="n">
        <v>45847</v>
      </c>
      <c r="D1392" t="inlineStr">
        <is>
          <t>JÄMTLANDS LÄN</t>
        </is>
      </c>
      <c r="E1392" t="inlineStr">
        <is>
          <t>BRÄCKE</t>
        </is>
      </c>
      <c r="F1392" t="inlineStr">
        <is>
          <t>SCA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21116-2023</t>
        </is>
      </c>
      <c r="B1393" s="1" t="n">
        <v>45062</v>
      </c>
      <c r="C1393" s="1" t="n">
        <v>45847</v>
      </c>
      <c r="D1393" t="inlineStr">
        <is>
          <t>JÄMTLANDS LÄN</t>
        </is>
      </c>
      <c r="E1393" t="inlineStr">
        <is>
          <t>BRÄCKE</t>
        </is>
      </c>
      <c r="F1393" t="inlineStr">
        <is>
          <t>SCA</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21113-2023</t>
        </is>
      </c>
      <c r="B1394" s="1" t="n">
        <v>45062</v>
      </c>
      <c r="C1394" s="1" t="n">
        <v>45847</v>
      </c>
      <c r="D1394" t="inlineStr">
        <is>
          <t>JÄMTLANDS LÄN</t>
        </is>
      </c>
      <c r="E1394" t="inlineStr">
        <is>
          <t>BRÄCKE</t>
        </is>
      </c>
      <c r="F1394" t="inlineStr">
        <is>
          <t>SCA</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21117-2023</t>
        </is>
      </c>
      <c r="B1395" s="1" t="n">
        <v>45061</v>
      </c>
      <c r="C1395" s="1" t="n">
        <v>45847</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21308-2023</t>
        </is>
      </c>
      <c r="B1396" s="1" t="n">
        <v>45062</v>
      </c>
      <c r="C1396" s="1" t="n">
        <v>45847</v>
      </c>
      <c r="D1396" t="inlineStr">
        <is>
          <t>JÄMTLANDS LÄN</t>
        </is>
      </c>
      <c r="E1396" t="inlineStr">
        <is>
          <t>BRÄCKE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21350-2023</t>
        </is>
      </c>
      <c r="B1397" s="1" t="n">
        <v>45063</v>
      </c>
      <c r="C1397" s="1" t="n">
        <v>45847</v>
      </c>
      <c r="D1397" t="inlineStr">
        <is>
          <t>JÄMTLANDS LÄN</t>
        </is>
      </c>
      <c r="E1397" t="inlineStr">
        <is>
          <t>BRÄCKE</t>
        </is>
      </c>
      <c r="F1397" t="inlineStr">
        <is>
          <t>Naturvårdsverket</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21359-2023</t>
        </is>
      </c>
      <c r="B1398" s="1" t="n">
        <v>45062</v>
      </c>
      <c r="C1398" s="1" t="n">
        <v>45847</v>
      </c>
      <c r="D1398" t="inlineStr">
        <is>
          <t>JÄMTLANDS LÄN</t>
        </is>
      </c>
      <c r="E1398" t="inlineStr">
        <is>
          <t>BRÄCKE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21360-2023</t>
        </is>
      </c>
      <c r="B1399" s="1" t="n">
        <v>45062</v>
      </c>
      <c r="C1399" s="1" t="n">
        <v>45847</v>
      </c>
      <c r="D1399" t="inlineStr">
        <is>
          <t>JÄMTLANDS LÄN</t>
        </is>
      </c>
      <c r="E1399" t="inlineStr">
        <is>
          <t>BRÄCKE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21673-2023</t>
        </is>
      </c>
      <c r="B1400" s="1" t="n">
        <v>45064</v>
      </c>
      <c r="C1400" s="1" t="n">
        <v>45847</v>
      </c>
      <c r="D1400" t="inlineStr">
        <is>
          <t>JÄMTLANDS LÄN</t>
        </is>
      </c>
      <c r="E1400" t="inlineStr">
        <is>
          <t>BRÄCKE</t>
        </is>
      </c>
      <c r="F1400" t="inlineStr">
        <is>
          <t>SCA</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21780-2023</t>
        </is>
      </c>
      <c r="B1401" s="1" t="n">
        <v>45066</v>
      </c>
      <c r="C1401" s="1" t="n">
        <v>45847</v>
      </c>
      <c r="D1401" t="inlineStr">
        <is>
          <t>JÄMTLANDS LÄN</t>
        </is>
      </c>
      <c r="E1401" t="inlineStr">
        <is>
          <t>BRÄCKE</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21781-2023</t>
        </is>
      </c>
      <c r="B1402" s="1" t="n">
        <v>45065</v>
      </c>
      <c r="C1402" s="1" t="n">
        <v>45847</v>
      </c>
      <c r="D1402" t="inlineStr">
        <is>
          <t>JÄMTLANDS LÄN</t>
        </is>
      </c>
      <c r="E1402" t="inlineStr">
        <is>
          <t>BRÄCKE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21779-2023</t>
        </is>
      </c>
      <c r="B1403" s="1" t="n">
        <v>45065</v>
      </c>
      <c r="C1403" s="1" t="n">
        <v>45847</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21782-2023</t>
        </is>
      </c>
      <c r="B1404" s="1" t="n">
        <v>45066</v>
      </c>
      <c r="C1404" s="1" t="n">
        <v>45847</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22012-2023</t>
        </is>
      </c>
      <c r="B1405" s="1" t="n">
        <v>45069</v>
      </c>
      <c r="C1405" s="1" t="n">
        <v>45847</v>
      </c>
      <c r="D1405" t="inlineStr">
        <is>
          <t>JÄMTLANDS LÄN</t>
        </is>
      </c>
      <c r="E1405" t="inlineStr">
        <is>
          <t>BRÄCKE</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22010-2023</t>
        </is>
      </c>
      <c r="B1406" s="1" t="n">
        <v>45068</v>
      </c>
      <c r="C1406" s="1" t="n">
        <v>45847</v>
      </c>
      <c r="D1406" t="inlineStr">
        <is>
          <t>JÄMTLANDS LÄN</t>
        </is>
      </c>
      <c r="E1406" t="inlineStr">
        <is>
          <t>BRÄCKE</t>
        </is>
      </c>
      <c r="F1406" t="inlineStr">
        <is>
          <t>SCA</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22231-2023</t>
        </is>
      </c>
      <c r="B1407" s="1" t="n">
        <v>45069</v>
      </c>
      <c r="C1407" s="1" t="n">
        <v>45847</v>
      </c>
      <c r="D1407" t="inlineStr">
        <is>
          <t>JÄMTLANDS LÄN</t>
        </is>
      </c>
      <c r="E1407" t="inlineStr">
        <is>
          <t>BRÄCKE</t>
        </is>
      </c>
      <c r="F1407" t="inlineStr">
        <is>
          <t>SCA</t>
        </is>
      </c>
      <c r="G1407" t="n">
        <v>30.6</v>
      </c>
      <c r="H1407" t="n">
        <v>0</v>
      </c>
      <c r="I1407" t="n">
        <v>0</v>
      </c>
      <c r="J1407" t="n">
        <v>0</v>
      </c>
      <c r="K1407" t="n">
        <v>0</v>
      </c>
      <c r="L1407" t="n">
        <v>0</v>
      </c>
      <c r="M1407" t="n">
        <v>0</v>
      </c>
      <c r="N1407" t="n">
        <v>0</v>
      </c>
      <c r="O1407" t="n">
        <v>0</v>
      </c>
      <c r="P1407" t="n">
        <v>0</v>
      </c>
      <c r="Q1407" t="n">
        <v>0</v>
      </c>
      <c r="R1407" s="2" t="inlineStr"/>
    </row>
    <row r="1408" ht="15" customHeight="1">
      <c r="A1408" t="inlineStr">
        <is>
          <t>A 22232-2023</t>
        </is>
      </c>
      <c r="B1408" s="1" t="n">
        <v>45069</v>
      </c>
      <c r="C1408" s="1" t="n">
        <v>45847</v>
      </c>
      <c r="D1408" t="inlineStr">
        <is>
          <t>JÄMTLANDS LÄN</t>
        </is>
      </c>
      <c r="E1408" t="inlineStr">
        <is>
          <t>BRÄCKE</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22471-2023</t>
        </is>
      </c>
      <c r="B1409" s="1" t="n">
        <v>45070</v>
      </c>
      <c r="C1409" s="1" t="n">
        <v>45847</v>
      </c>
      <c r="D1409" t="inlineStr">
        <is>
          <t>JÄMTLANDS LÄN</t>
        </is>
      </c>
      <c r="E1409" t="inlineStr">
        <is>
          <t>BRÄCKE</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22748-2023</t>
        </is>
      </c>
      <c r="B1410" s="1" t="n">
        <v>45071</v>
      </c>
      <c r="C1410" s="1" t="n">
        <v>45847</v>
      </c>
      <c r="D1410" t="inlineStr">
        <is>
          <t>JÄMTLANDS LÄN</t>
        </is>
      </c>
      <c r="E1410" t="inlineStr">
        <is>
          <t>BRÄCKE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22986-2023</t>
        </is>
      </c>
      <c r="B1411" s="1" t="n">
        <v>45073</v>
      </c>
      <c r="C1411" s="1" t="n">
        <v>45847</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22983-2023</t>
        </is>
      </c>
      <c r="B1412" s="1" t="n">
        <v>45073</v>
      </c>
      <c r="C1412" s="1" t="n">
        <v>45847</v>
      </c>
      <c r="D1412" t="inlineStr">
        <is>
          <t>JÄMTLANDS LÄN</t>
        </is>
      </c>
      <c r="E1412" t="inlineStr">
        <is>
          <t>BRÄCKE</t>
        </is>
      </c>
      <c r="F1412" t="inlineStr">
        <is>
          <t>SCA</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22988-2023</t>
        </is>
      </c>
      <c r="B1413" s="1" t="n">
        <v>45072</v>
      </c>
      <c r="C1413" s="1" t="n">
        <v>45847</v>
      </c>
      <c r="D1413" t="inlineStr">
        <is>
          <t>JÄMTLANDS LÄN</t>
        </is>
      </c>
      <c r="E1413" t="inlineStr">
        <is>
          <t>BRÄCKE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23000-2023</t>
        </is>
      </c>
      <c r="B1414" s="1" t="n">
        <v>45073</v>
      </c>
      <c r="C1414" s="1" t="n">
        <v>45847</v>
      </c>
      <c r="D1414" t="inlineStr">
        <is>
          <t>JÄMTLANDS LÄN</t>
        </is>
      </c>
      <c r="E1414" t="inlineStr">
        <is>
          <t>BRÄCKE</t>
        </is>
      </c>
      <c r="F1414" t="inlineStr">
        <is>
          <t>SCA</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22985-2023</t>
        </is>
      </c>
      <c r="B1415" s="1" t="n">
        <v>45072</v>
      </c>
      <c r="C1415" s="1" t="n">
        <v>45847</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23312-2023</t>
        </is>
      </c>
      <c r="B1416" s="1" t="n">
        <v>45076</v>
      </c>
      <c r="C1416" s="1" t="n">
        <v>45847</v>
      </c>
      <c r="D1416" t="inlineStr">
        <is>
          <t>JÄMTLANDS LÄN</t>
        </is>
      </c>
      <c r="E1416" t="inlineStr">
        <is>
          <t>BRÄCKE</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23301-2023</t>
        </is>
      </c>
      <c r="B1417" s="1" t="n">
        <v>45075</v>
      </c>
      <c r="C1417" s="1" t="n">
        <v>45847</v>
      </c>
      <c r="D1417" t="inlineStr">
        <is>
          <t>JÄMTLANDS LÄN</t>
        </is>
      </c>
      <c r="E1417" t="inlineStr">
        <is>
          <t>BRÄCKE</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23313-2023</t>
        </is>
      </c>
      <c r="B1418" s="1" t="n">
        <v>45076</v>
      </c>
      <c r="C1418" s="1" t="n">
        <v>45847</v>
      </c>
      <c r="D1418" t="inlineStr">
        <is>
          <t>JÄMTLANDS LÄN</t>
        </is>
      </c>
      <c r="E1418" t="inlineStr">
        <is>
          <t>BRÄCKE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23306-2023</t>
        </is>
      </c>
      <c r="B1419" s="1" t="n">
        <v>45075</v>
      </c>
      <c r="C1419" s="1" t="n">
        <v>45847</v>
      </c>
      <c r="D1419" t="inlineStr">
        <is>
          <t>JÄMTLANDS LÄN</t>
        </is>
      </c>
      <c r="E1419" t="inlineStr">
        <is>
          <t>BRÄCKE</t>
        </is>
      </c>
      <c r="F1419" t="inlineStr">
        <is>
          <t>SCA</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23517-2023</t>
        </is>
      </c>
      <c r="B1420" s="1" t="n">
        <v>45077</v>
      </c>
      <c r="C1420" s="1" t="n">
        <v>45847</v>
      </c>
      <c r="D1420" t="inlineStr">
        <is>
          <t>JÄMTLANDS LÄN</t>
        </is>
      </c>
      <c r="E1420" t="inlineStr">
        <is>
          <t>BRÄCKE</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23526-2023</t>
        </is>
      </c>
      <c r="B1421" s="1" t="n">
        <v>45077</v>
      </c>
      <c r="C1421" s="1" t="n">
        <v>45847</v>
      </c>
      <c r="D1421" t="inlineStr">
        <is>
          <t>JÄMTLANDS LÄN</t>
        </is>
      </c>
      <c r="E1421" t="inlineStr">
        <is>
          <t>BRÄCKE</t>
        </is>
      </c>
      <c r="F1421" t="inlineStr">
        <is>
          <t>SCA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23752-2023</t>
        </is>
      </c>
      <c r="B1422" s="1" t="n">
        <v>45078</v>
      </c>
      <c r="C1422" s="1" t="n">
        <v>45847</v>
      </c>
      <c r="D1422" t="inlineStr">
        <is>
          <t>JÄMTLANDS LÄN</t>
        </is>
      </c>
      <c r="E1422" t="inlineStr">
        <is>
          <t>BRÄCKE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23756-2023</t>
        </is>
      </c>
      <c r="B1423" s="1" t="n">
        <v>45078</v>
      </c>
      <c r="C1423" s="1" t="n">
        <v>45847</v>
      </c>
      <c r="D1423" t="inlineStr">
        <is>
          <t>JÄMTLANDS LÄN</t>
        </is>
      </c>
      <c r="E1423" t="inlineStr">
        <is>
          <t>BRÄCKE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23764-2023</t>
        </is>
      </c>
      <c r="B1424" s="1" t="n">
        <v>45078</v>
      </c>
      <c r="C1424" s="1" t="n">
        <v>45847</v>
      </c>
      <c r="D1424" t="inlineStr">
        <is>
          <t>JÄMTLANDS LÄN</t>
        </is>
      </c>
      <c r="E1424" t="inlineStr">
        <is>
          <t>BRÄCKE</t>
        </is>
      </c>
      <c r="F1424" t="inlineStr">
        <is>
          <t>SCA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23773-2023</t>
        </is>
      </c>
      <c r="B1425" s="1" t="n">
        <v>45078</v>
      </c>
      <c r="C1425" s="1" t="n">
        <v>45847</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23766-2023</t>
        </is>
      </c>
      <c r="B1426" s="1" t="n">
        <v>45078</v>
      </c>
      <c r="C1426" s="1" t="n">
        <v>45847</v>
      </c>
      <c r="D1426" t="inlineStr">
        <is>
          <t>JÄMTLANDS LÄN</t>
        </is>
      </c>
      <c r="E1426" t="inlineStr">
        <is>
          <t>BRÄCKE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23778-2023</t>
        </is>
      </c>
      <c r="B1427" s="1" t="n">
        <v>45077</v>
      </c>
      <c r="C1427" s="1" t="n">
        <v>45847</v>
      </c>
      <c r="D1427" t="inlineStr">
        <is>
          <t>JÄMTLANDS LÄN</t>
        </is>
      </c>
      <c r="E1427" t="inlineStr">
        <is>
          <t>BRÄCKE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23754-2023</t>
        </is>
      </c>
      <c r="B1428" s="1" t="n">
        <v>45078</v>
      </c>
      <c r="C1428" s="1" t="n">
        <v>45847</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23767-2023</t>
        </is>
      </c>
      <c r="B1429" s="1" t="n">
        <v>45077</v>
      </c>
      <c r="C1429" s="1" t="n">
        <v>45847</v>
      </c>
      <c r="D1429" t="inlineStr">
        <is>
          <t>JÄMTLANDS LÄN</t>
        </is>
      </c>
      <c r="E1429" t="inlineStr">
        <is>
          <t>BRÄCKE</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23771-2023</t>
        </is>
      </c>
      <c r="B1430" s="1" t="n">
        <v>45077</v>
      </c>
      <c r="C1430" s="1" t="n">
        <v>45847</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23755-2023</t>
        </is>
      </c>
      <c r="B1431" s="1" t="n">
        <v>45078</v>
      </c>
      <c r="C1431" s="1" t="n">
        <v>45847</v>
      </c>
      <c r="D1431" t="inlineStr">
        <is>
          <t>JÄMTLANDS LÄN</t>
        </is>
      </c>
      <c r="E1431" t="inlineStr">
        <is>
          <t>BRÄCKE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23763-2023</t>
        </is>
      </c>
      <c r="B1432" s="1" t="n">
        <v>45078</v>
      </c>
      <c r="C1432" s="1" t="n">
        <v>45847</v>
      </c>
      <c r="D1432" t="inlineStr">
        <is>
          <t>JÄMTLANDS LÄN</t>
        </is>
      </c>
      <c r="E1432" t="inlineStr">
        <is>
          <t>BRÄCKE</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23772-2023</t>
        </is>
      </c>
      <c r="B1433" s="1" t="n">
        <v>45077</v>
      </c>
      <c r="C1433" s="1" t="n">
        <v>45847</v>
      </c>
      <c r="D1433" t="inlineStr">
        <is>
          <t>JÄMTLANDS LÄN</t>
        </is>
      </c>
      <c r="E1433" t="inlineStr">
        <is>
          <t>BRÄCKE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24043-2023</t>
        </is>
      </c>
      <c r="B1434" s="1" t="n">
        <v>45078</v>
      </c>
      <c r="C1434" s="1" t="n">
        <v>45847</v>
      </c>
      <c r="D1434" t="inlineStr">
        <is>
          <t>JÄMTLANDS LÄN</t>
        </is>
      </c>
      <c r="E1434" t="inlineStr">
        <is>
          <t>BRÄCKE</t>
        </is>
      </c>
      <c r="F1434" t="inlineStr">
        <is>
          <t>SCA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24045-2023</t>
        </is>
      </c>
      <c r="B1435" s="1" t="n">
        <v>45078</v>
      </c>
      <c r="C1435" s="1" t="n">
        <v>45847</v>
      </c>
      <c r="D1435" t="inlineStr">
        <is>
          <t>JÄMTLANDS LÄN</t>
        </is>
      </c>
      <c r="E1435" t="inlineStr">
        <is>
          <t>BRÄCKE</t>
        </is>
      </c>
      <c r="F1435" t="inlineStr">
        <is>
          <t>SCA</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24049-2023</t>
        </is>
      </c>
      <c r="B1436" s="1" t="n">
        <v>45079</v>
      </c>
      <c r="C1436" s="1" t="n">
        <v>45847</v>
      </c>
      <c r="D1436" t="inlineStr">
        <is>
          <t>JÄMTLANDS LÄN</t>
        </is>
      </c>
      <c r="E1436" t="inlineStr">
        <is>
          <t>BRÄCKE</t>
        </is>
      </c>
      <c r="G1436" t="n">
        <v>15.2</v>
      </c>
      <c r="H1436" t="n">
        <v>0</v>
      </c>
      <c r="I1436" t="n">
        <v>0</v>
      </c>
      <c r="J1436" t="n">
        <v>0</v>
      </c>
      <c r="K1436" t="n">
        <v>0</v>
      </c>
      <c r="L1436" t="n">
        <v>0</v>
      </c>
      <c r="M1436" t="n">
        <v>0</v>
      </c>
      <c r="N1436" t="n">
        <v>0</v>
      </c>
      <c r="O1436" t="n">
        <v>0</v>
      </c>
      <c r="P1436" t="n">
        <v>0</v>
      </c>
      <c r="Q1436" t="n">
        <v>0</v>
      </c>
      <c r="R1436" s="2" t="inlineStr"/>
    </row>
    <row r="1437" ht="15" customHeight="1">
      <c r="A1437" t="inlineStr">
        <is>
          <t>A 24046-2023</t>
        </is>
      </c>
      <c r="B1437" s="1" t="n">
        <v>45078</v>
      </c>
      <c r="C1437" s="1" t="n">
        <v>45847</v>
      </c>
      <c r="D1437" t="inlineStr">
        <is>
          <t>JÄMTLANDS LÄN</t>
        </is>
      </c>
      <c r="E1437" t="inlineStr">
        <is>
          <t>BRÄCKE</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24048-2023</t>
        </is>
      </c>
      <c r="B1438" s="1" t="n">
        <v>45079</v>
      </c>
      <c r="C1438" s="1" t="n">
        <v>45847</v>
      </c>
      <c r="D1438" t="inlineStr">
        <is>
          <t>JÄMTLANDS LÄN</t>
        </is>
      </c>
      <c r="E1438" t="inlineStr">
        <is>
          <t>BRÄCKE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24047-2023</t>
        </is>
      </c>
      <c r="B1439" s="1" t="n">
        <v>45079</v>
      </c>
      <c r="C1439" s="1" t="n">
        <v>45847</v>
      </c>
      <c r="D1439" t="inlineStr">
        <is>
          <t>JÄMTLANDS LÄN</t>
        </is>
      </c>
      <c r="E1439" t="inlineStr">
        <is>
          <t>BRÄCKE</t>
        </is>
      </c>
      <c r="G1439" t="n">
        <v>21.6</v>
      </c>
      <c r="H1439" t="n">
        <v>0</v>
      </c>
      <c r="I1439" t="n">
        <v>0</v>
      </c>
      <c r="J1439" t="n">
        <v>0</v>
      </c>
      <c r="K1439" t="n">
        <v>0</v>
      </c>
      <c r="L1439" t="n">
        <v>0</v>
      </c>
      <c r="M1439" t="n">
        <v>0</v>
      </c>
      <c r="N1439" t="n">
        <v>0</v>
      </c>
      <c r="O1439" t="n">
        <v>0</v>
      </c>
      <c r="P1439" t="n">
        <v>0</v>
      </c>
      <c r="Q1439" t="n">
        <v>0</v>
      </c>
      <c r="R1439" s="2" t="inlineStr"/>
    </row>
    <row r="1440" ht="15" customHeight="1">
      <c r="A1440" t="inlineStr">
        <is>
          <t>A 24195-2023</t>
        </is>
      </c>
      <c r="B1440" s="1" t="n">
        <v>45079</v>
      </c>
      <c r="C1440" s="1" t="n">
        <v>45847</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24214-2023</t>
        </is>
      </c>
      <c r="B1441" s="1" t="n">
        <v>45079</v>
      </c>
      <c r="C1441" s="1" t="n">
        <v>45847</v>
      </c>
      <c r="D1441" t="inlineStr">
        <is>
          <t>JÄMTLANDS LÄN</t>
        </is>
      </c>
      <c r="E1441" t="inlineStr">
        <is>
          <t>BRÄCKE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24206-2023</t>
        </is>
      </c>
      <c r="B1442" s="1" t="n">
        <v>45079</v>
      </c>
      <c r="C1442" s="1" t="n">
        <v>45847</v>
      </c>
      <c r="D1442" t="inlineStr">
        <is>
          <t>JÄMTLANDS LÄN</t>
        </is>
      </c>
      <c r="E1442" t="inlineStr">
        <is>
          <t>BRÄCKE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24182-2023</t>
        </is>
      </c>
      <c r="B1443" s="1" t="n">
        <v>45079</v>
      </c>
      <c r="C1443" s="1" t="n">
        <v>45847</v>
      </c>
      <c r="D1443" t="inlineStr">
        <is>
          <t>JÄMTLANDS LÄN</t>
        </is>
      </c>
      <c r="E1443" t="inlineStr">
        <is>
          <t>BRÄCKE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24550-2023</t>
        </is>
      </c>
      <c r="B1444" s="1" t="n">
        <v>45082</v>
      </c>
      <c r="C1444" s="1" t="n">
        <v>45847</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25043-2023</t>
        </is>
      </c>
      <c r="B1445" s="1" t="n">
        <v>45085</v>
      </c>
      <c r="C1445" s="1" t="n">
        <v>45847</v>
      </c>
      <c r="D1445" t="inlineStr">
        <is>
          <t>JÄMTLANDS LÄN</t>
        </is>
      </c>
      <c r="E1445" t="inlineStr">
        <is>
          <t>BRÄCKE</t>
        </is>
      </c>
      <c r="F1445" t="inlineStr">
        <is>
          <t>SCA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25056-2023</t>
        </is>
      </c>
      <c r="B1446" s="1" t="n">
        <v>45086</v>
      </c>
      <c r="C1446" s="1" t="n">
        <v>45847</v>
      </c>
      <c r="D1446" t="inlineStr">
        <is>
          <t>JÄMTLANDS LÄN</t>
        </is>
      </c>
      <c r="E1446" t="inlineStr">
        <is>
          <t>BRÄCKE</t>
        </is>
      </c>
      <c r="F1446" t="inlineStr">
        <is>
          <t>SCA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25060-2023</t>
        </is>
      </c>
      <c r="B1447" s="1" t="n">
        <v>45086</v>
      </c>
      <c r="C1447" s="1" t="n">
        <v>45847</v>
      </c>
      <c r="D1447" t="inlineStr">
        <is>
          <t>JÄMTLANDS LÄN</t>
        </is>
      </c>
      <c r="E1447" t="inlineStr">
        <is>
          <t>BRÄCKE</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25041-2023</t>
        </is>
      </c>
      <c r="B1448" s="1" t="n">
        <v>45085</v>
      </c>
      <c r="C1448" s="1" t="n">
        <v>45847</v>
      </c>
      <c r="D1448" t="inlineStr">
        <is>
          <t>JÄMTLANDS LÄN</t>
        </is>
      </c>
      <c r="E1448" t="inlineStr">
        <is>
          <t>BRÄCKE</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25058-2023</t>
        </is>
      </c>
      <c r="B1449" s="1" t="n">
        <v>45086</v>
      </c>
      <c r="C1449" s="1" t="n">
        <v>45847</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25057-2023</t>
        </is>
      </c>
      <c r="B1450" s="1" t="n">
        <v>45086</v>
      </c>
      <c r="C1450" s="1" t="n">
        <v>45847</v>
      </c>
      <c r="D1450" t="inlineStr">
        <is>
          <t>JÄMTLANDS LÄN</t>
        </is>
      </c>
      <c r="E1450" t="inlineStr">
        <is>
          <t>BRÄCKE</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25061-2023</t>
        </is>
      </c>
      <c r="B1451" s="1" t="n">
        <v>45085</v>
      </c>
      <c r="C1451" s="1" t="n">
        <v>45847</v>
      </c>
      <c r="D1451" t="inlineStr">
        <is>
          <t>JÄMTLANDS LÄN</t>
        </is>
      </c>
      <c r="E1451" t="inlineStr">
        <is>
          <t>BRÄCKE</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25895-2023</t>
        </is>
      </c>
      <c r="B1452" s="1" t="n">
        <v>45085</v>
      </c>
      <c r="C1452" s="1" t="n">
        <v>45847</v>
      </c>
      <c r="D1452" t="inlineStr">
        <is>
          <t>JÄMTLANDS LÄN</t>
        </is>
      </c>
      <c r="E1452" t="inlineStr">
        <is>
          <t>BRÄCKE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25042-2023</t>
        </is>
      </c>
      <c r="B1453" s="1" t="n">
        <v>45086</v>
      </c>
      <c r="C1453" s="1" t="n">
        <v>45847</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25055-2023</t>
        </is>
      </c>
      <c r="B1454" s="1" t="n">
        <v>45086</v>
      </c>
      <c r="C1454" s="1" t="n">
        <v>45847</v>
      </c>
      <c r="D1454" t="inlineStr">
        <is>
          <t>JÄMTLANDS LÄN</t>
        </is>
      </c>
      <c r="E1454" t="inlineStr">
        <is>
          <t>BRÄCKE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25059-2023</t>
        </is>
      </c>
      <c r="B1455" s="1" t="n">
        <v>45086</v>
      </c>
      <c r="C1455" s="1" t="n">
        <v>45847</v>
      </c>
      <c r="D1455" t="inlineStr">
        <is>
          <t>JÄMTLANDS LÄN</t>
        </is>
      </c>
      <c r="E1455" t="inlineStr">
        <is>
          <t>BRÄCKE</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25909-2023</t>
        </is>
      </c>
      <c r="B1456" s="1" t="n">
        <v>45085</v>
      </c>
      <c r="C1456" s="1" t="n">
        <v>45847</v>
      </c>
      <c r="D1456" t="inlineStr">
        <is>
          <t>JÄMTLANDS LÄN</t>
        </is>
      </c>
      <c r="E1456" t="inlineStr">
        <is>
          <t>BRÄCKE</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25319-2023</t>
        </is>
      </c>
      <c r="B1457" s="1" t="n">
        <v>45087</v>
      </c>
      <c r="C1457" s="1" t="n">
        <v>45847</v>
      </c>
      <c r="D1457" t="inlineStr">
        <is>
          <t>JÄMTLANDS LÄN</t>
        </is>
      </c>
      <c r="E1457" t="inlineStr">
        <is>
          <t>BRÄCKE</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25317-2023</t>
        </is>
      </c>
      <c r="B1458" s="1" t="n">
        <v>45087</v>
      </c>
      <c r="C1458" s="1" t="n">
        <v>45847</v>
      </c>
      <c r="D1458" t="inlineStr">
        <is>
          <t>JÄMTLANDS LÄN</t>
        </is>
      </c>
      <c r="E1458" t="inlineStr">
        <is>
          <t>BRÄCKE</t>
        </is>
      </c>
      <c r="F1458" t="inlineStr">
        <is>
          <t>SCA</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25329-2023</t>
        </is>
      </c>
      <c r="B1459" s="1" t="n">
        <v>45087</v>
      </c>
      <c r="C1459" s="1" t="n">
        <v>45847</v>
      </c>
      <c r="D1459" t="inlineStr">
        <is>
          <t>JÄMTLANDS LÄN</t>
        </is>
      </c>
      <c r="E1459" t="inlineStr">
        <is>
          <t>BRÄCKE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25318-2023</t>
        </is>
      </c>
      <c r="B1460" s="1" t="n">
        <v>45086</v>
      </c>
      <c r="C1460" s="1" t="n">
        <v>45847</v>
      </c>
      <c r="D1460" t="inlineStr">
        <is>
          <t>JÄMTLANDS LÄN</t>
        </is>
      </c>
      <c r="E1460" t="inlineStr">
        <is>
          <t>BRÄCKE</t>
        </is>
      </c>
      <c r="F1460" t="inlineStr">
        <is>
          <t>SCA</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25330-2023</t>
        </is>
      </c>
      <c r="B1461" s="1" t="n">
        <v>45087</v>
      </c>
      <c r="C1461" s="1" t="n">
        <v>45847</v>
      </c>
      <c r="D1461" t="inlineStr">
        <is>
          <t>JÄMTLANDS LÄN</t>
        </is>
      </c>
      <c r="E1461" t="inlineStr">
        <is>
          <t>BRÄCKE</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25352-2023</t>
        </is>
      </c>
      <c r="B1462" s="1" t="n">
        <v>45088</v>
      </c>
      <c r="C1462" s="1" t="n">
        <v>45847</v>
      </c>
      <c r="D1462" t="inlineStr">
        <is>
          <t>JÄMTLANDS LÄN</t>
        </is>
      </c>
      <c r="E1462" t="inlineStr">
        <is>
          <t>BRÄCKE</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25374-2023</t>
        </is>
      </c>
      <c r="B1463" s="1" t="n">
        <v>45088</v>
      </c>
      <c r="C1463" s="1" t="n">
        <v>45847</v>
      </c>
      <c r="D1463" t="inlineStr">
        <is>
          <t>JÄMTLANDS LÄN</t>
        </is>
      </c>
      <c r="E1463" t="inlineStr">
        <is>
          <t>BRÄCKE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25373-2023</t>
        </is>
      </c>
      <c r="B1464" s="1" t="n">
        <v>45089</v>
      </c>
      <c r="C1464" s="1" t="n">
        <v>45847</v>
      </c>
      <c r="D1464" t="inlineStr">
        <is>
          <t>JÄMTLANDS LÄN</t>
        </is>
      </c>
      <c r="E1464" t="inlineStr">
        <is>
          <t>BRÄCKE</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25689-2023</t>
        </is>
      </c>
      <c r="B1465" s="1" t="n">
        <v>45090</v>
      </c>
      <c r="C1465" s="1" t="n">
        <v>45847</v>
      </c>
      <c r="D1465" t="inlineStr">
        <is>
          <t>JÄMTLANDS LÄN</t>
        </is>
      </c>
      <c r="E1465" t="inlineStr">
        <is>
          <t>BRÄCKE</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25677-2023</t>
        </is>
      </c>
      <c r="B1466" s="1" t="n">
        <v>45090</v>
      </c>
      <c r="C1466" s="1" t="n">
        <v>45847</v>
      </c>
      <c r="D1466" t="inlineStr">
        <is>
          <t>JÄMTLANDS LÄN</t>
        </is>
      </c>
      <c r="E1466" t="inlineStr">
        <is>
          <t>BRÄCKE</t>
        </is>
      </c>
      <c r="F1466" t="inlineStr">
        <is>
          <t>SCA</t>
        </is>
      </c>
      <c r="G1466" t="n">
        <v>26.2</v>
      </c>
      <c r="H1466" t="n">
        <v>0</v>
      </c>
      <c r="I1466" t="n">
        <v>0</v>
      </c>
      <c r="J1466" t="n">
        <v>0</v>
      </c>
      <c r="K1466" t="n">
        <v>0</v>
      </c>
      <c r="L1466" t="n">
        <v>0</v>
      </c>
      <c r="M1466" t="n">
        <v>0</v>
      </c>
      <c r="N1466" t="n">
        <v>0</v>
      </c>
      <c r="O1466" t="n">
        <v>0</v>
      </c>
      <c r="P1466" t="n">
        <v>0</v>
      </c>
      <c r="Q1466" t="n">
        <v>0</v>
      </c>
      <c r="R1466" s="2" t="inlineStr"/>
    </row>
    <row r="1467" ht="15" customHeight="1">
      <c r="A1467" t="inlineStr">
        <is>
          <t>A 25675-2023</t>
        </is>
      </c>
      <c r="B1467" s="1" t="n">
        <v>45089</v>
      </c>
      <c r="C1467" s="1" t="n">
        <v>45847</v>
      </c>
      <c r="D1467" t="inlineStr">
        <is>
          <t>JÄMTLANDS LÄN</t>
        </is>
      </c>
      <c r="E1467" t="inlineStr">
        <is>
          <t>BRÄCKE</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25687-2023</t>
        </is>
      </c>
      <c r="B1468" s="1" t="n">
        <v>45090</v>
      </c>
      <c r="C1468" s="1" t="n">
        <v>45847</v>
      </c>
      <c r="D1468" t="inlineStr">
        <is>
          <t>JÄMTLANDS LÄN</t>
        </is>
      </c>
      <c r="E1468" t="inlineStr">
        <is>
          <t>BRÄCKE</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25676-2023</t>
        </is>
      </c>
      <c r="B1469" s="1" t="n">
        <v>45090</v>
      </c>
      <c r="C1469" s="1" t="n">
        <v>45847</v>
      </c>
      <c r="D1469" t="inlineStr">
        <is>
          <t>JÄMTLANDS LÄN</t>
        </is>
      </c>
      <c r="E1469" t="inlineStr">
        <is>
          <t>BRÄCKE</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25674-2023</t>
        </is>
      </c>
      <c r="B1470" s="1" t="n">
        <v>45089</v>
      </c>
      <c r="C1470" s="1" t="n">
        <v>45847</v>
      </c>
      <c r="D1470" t="inlineStr">
        <is>
          <t>JÄMTLANDS LÄN</t>
        </is>
      </c>
      <c r="E1470" t="inlineStr">
        <is>
          <t>BRÄCKE</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25686-2023</t>
        </is>
      </c>
      <c r="B1471" s="1" t="n">
        <v>45090</v>
      </c>
      <c r="C1471" s="1" t="n">
        <v>45847</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25678-2023</t>
        </is>
      </c>
      <c r="B1472" s="1" t="n">
        <v>45089</v>
      </c>
      <c r="C1472" s="1" t="n">
        <v>45847</v>
      </c>
      <c r="D1472" t="inlineStr">
        <is>
          <t>JÄMTLANDS LÄN</t>
        </is>
      </c>
      <c r="E1472" t="inlineStr">
        <is>
          <t>BRÄCKE</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25684-2023</t>
        </is>
      </c>
      <c r="B1473" s="1" t="n">
        <v>45090</v>
      </c>
      <c r="C1473" s="1" t="n">
        <v>45847</v>
      </c>
      <c r="D1473" t="inlineStr">
        <is>
          <t>JÄMTLANDS LÄN</t>
        </is>
      </c>
      <c r="E1473" t="inlineStr">
        <is>
          <t>BRÄCKE</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25685-2023</t>
        </is>
      </c>
      <c r="B1474" s="1" t="n">
        <v>45090</v>
      </c>
      <c r="C1474" s="1" t="n">
        <v>45847</v>
      </c>
      <c r="D1474" t="inlineStr">
        <is>
          <t>JÄMTLANDS LÄN</t>
        </is>
      </c>
      <c r="E1474" t="inlineStr">
        <is>
          <t>BRÄCKE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26004-2023</t>
        </is>
      </c>
      <c r="B1475" s="1" t="n">
        <v>45090</v>
      </c>
      <c r="C1475" s="1" t="n">
        <v>45847</v>
      </c>
      <c r="D1475" t="inlineStr">
        <is>
          <t>JÄMTLANDS LÄN</t>
        </is>
      </c>
      <c r="E1475" t="inlineStr">
        <is>
          <t>BRÄCKE</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26370-2023</t>
        </is>
      </c>
      <c r="B1476" s="1" t="n">
        <v>45092</v>
      </c>
      <c r="C1476" s="1" t="n">
        <v>45847</v>
      </c>
      <c r="D1476" t="inlineStr">
        <is>
          <t>JÄMTLANDS LÄN</t>
        </is>
      </c>
      <c r="E1476" t="inlineStr">
        <is>
          <t>BRÄCKE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26350-2023</t>
        </is>
      </c>
      <c r="B1477" s="1" t="n">
        <v>45092</v>
      </c>
      <c r="C1477" s="1" t="n">
        <v>45847</v>
      </c>
      <c r="D1477" t="inlineStr">
        <is>
          <t>JÄMTLANDS LÄN</t>
        </is>
      </c>
      <c r="E1477" t="inlineStr">
        <is>
          <t>BRÄCKE</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26351-2023</t>
        </is>
      </c>
      <c r="B1478" s="1" t="n">
        <v>45091</v>
      </c>
      <c r="C1478" s="1" t="n">
        <v>45847</v>
      </c>
      <c r="D1478" t="inlineStr">
        <is>
          <t>JÄMTLANDS LÄN</t>
        </is>
      </c>
      <c r="E1478" t="inlineStr">
        <is>
          <t>BRÄCKE</t>
        </is>
      </c>
      <c r="F1478" t="inlineStr">
        <is>
          <t>SCA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26353-2023</t>
        </is>
      </c>
      <c r="B1479" s="1" t="n">
        <v>45092</v>
      </c>
      <c r="C1479" s="1" t="n">
        <v>45847</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26345-2023</t>
        </is>
      </c>
      <c r="B1480" s="1" t="n">
        <v>45091</v>
      </c>
      <c r="C1480" s="1" t="n">
        <v>45847</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26352-2023</t>
        </is>
      </c>
      <c r="B1481" s="1" t="n">
        <v>45092</v>
      </c>
      <c r="C1481" s="1" t="n">
        <v>45847</v>
      </c>
      <c r="D1481" t="inlineStr">
        <is>
          <t>JÄMTLANDS LÄN</t>
        </is>
      </c>
      <c r="E1481" t="inlineStr">
        <is>
          <t>BRÄCKE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26664-2023</t>
        </is>
      </c>
      <c r="B1482" s="1" t="n">
        <v>45093</v>
      </c>
      <c r="C1482" s="1" t="n">
        <v>45847</v>
      </c>
      <c r="D1482" t="inlineStr">
        <is>
          <t>JÄMTLANDS LÄN</t>
        </is>
      </c>
      <c r="E1482" t="inlineStr">
        <is>
          <t>BRÄCKE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27354-2023</t>
        </is>
      </c>
      <c r="B1483" s="1" t="n">
        <v>45096</v>
      </c>
      <c r="C1483" s="1" t="n">
        <v>45847</v>
      </c>
      <c r="D1483" t="inlineStr">
        <is>
          <t>JÄMTLANDS LÄN</t>
        </is>
      </c>
      <c r="E1483" t="inlineStr">
        <is>
          <t>BRÄCKE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28801-2023</t>
        </is>
      </c>
      <c r="B1484" s="1" t="n">
        <v>45096</v>
      </c>
      <c r="C1484" s="1" t="n">
        <v>45847</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27363-2023</t>
        </is>
      </c>
      <c r="B1485" s="1" t="n">
        <v>45097</v>
      </c>
      <c r="C1485" s="1" t="n">
        <v>45847</v>
      </c>
      <c r="D1485" t="inlineStr">
        <is>
          <t>JÄMTLANDS LÄN</t>
        </is>
      </c>
      <c r="E1485" t="inlineStr">
        <is>
          <t>BRÄCKE</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28796-2023</t>
        </is>
      </c>
      <c r="B1486" s="1" t="n">
        <v>45096</v>
      </c>
      <c r="C1486" s="1" t="n">
        <v>45847</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27691-2023</t>
        </is>
      </c>
      <c r="B1487" s="1" t="n">
        <v>45098</v>
      </c>
      <c r="C1487" s="1" t="n">
        <v>45847</v>
      </c>
      <c r="D1487" t="inlineStr">
        <is>
          <t>JÄMTLANDS LÄN</t>
        </is>
      </c>
      <c r="E1487" t="inlineStr">
        <is>
          <t>BRÄCKE</t>
        </is>
      </c>
      <c r="F1487" t="inlineStr">
        <is>
          <t>SCA</t>
        </is>
      </c>
      <c r="G1487" t="n">
        <v>26.5</v>
      </c>
      <c r="H1487" t="n">
        <v>0</v>
      </c>
      <c r="I1487" t="n">
        <v>0</v>
      </c>
      <c r="J1487" t="n">
        <v>0</v>
      </c>
      <c r="K1487" t="n">
        <v>0</v>
      </c>
      <c r="L1487" t="n">
        <v>0</v>
      </c>
      <c r="M1487" t="n">
        <v>0</v>
      </c>
      <c r="N1487" t="n">
        <v>0</v>
      </c>
      <c r="O1487" t="n">
        <v>0</v>
      </c>
      <c r="P1487" t="n">
        <v>0</v>
      </c>
      <c r="Q1487" t="n">
        <v>0</v>
      </c>
      <c r="R1487" s="2" t="inlineStr"/>
    </row>
    <row r="1488" ht="15" customHeight="1">
      <c r="A1488" t="inlineStr">
        <is>
          <t>A 27690-2023</t>
        </is>
      </c>
      <c r="B1488" s="1" t="n">
        <v>45098</v>
      </c>
      <c r="C1488" s="1" t="n">
        <v>45847</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28392-2023</t>
        </is>
      </c>
      <c r="B1489" s="1" t="n">
        <v>45099</v>
      </c>
      <c r="C1489" s="1" t="n">
        <v>45847</v>
      </c>
      <c r="D1489" t="inlineStr">
        <is>
          <t>JÄMTLANDS LÄN</t>
        </is>
      </c>
      <c r="E1489" t="inlineStr">
        <is>
          <t>BRÄCKE</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28762-2023</t>
        </is>
      </c>
      <c r="B1490" s="1" t="n">
        <v>45104</v>
      </c>
      <c r="C1490" s="1" t="n">
        <v>45847</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28759-2023</t>
        </is>
      </c>
      <c r="B1491" s="1" t="n">
        <v>45104</v>
      </c>
      <c r="C1491" s="1" t="n">
        <v>45847</v>
      </c>
      <c r="D1491" t="inlineStr">
        <is>
          <t>JÄMTLANDS LÄN</t>
        </is>
      </c>
      <c r="E1491" t="inlineStr">
        <is>
          <t>BRÄCKE</t>
        </is>
      </c>
      <c r="F1491" t="inlineStr">
        <is>
          <t>SCA</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28764-2023</t>
        </is>
      </c>
      <c r="B1492" s="1" t="n">
        <v>45104</v>
      </c>
      <c r="C1492" s="1" t="n">
        <v>45847</v>
      </c>
      <c r="D1492" t="inlineStr">
        <is>
          <t>JÄMTLANDS LÄN</t>
        </is>
      </c>
      <c r="E1492" t="inlineStr">
        <is>
          <t>BRÄCKE</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28760-2023</t>
        </is>
      </c>
      <c r="B1493" s="1" t="n">
        <v>45104</v>
      </c>
      <c r="C1493" s="1" t="n">
        <v>45847</v>
      </c>
      <c r="D1493" t="inlineStr">
        <is>
          <t>JÄMTLANDS LÄN</t>
        </is>
      </c>
      <c r="E1493" t="inlineStr">
        <is>
          <t>BRÄCKE</t>
        </is>
      </c>
      <c r="F1493" t="inlineStr">
        <is>
          <t>SCA</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31467-2023</t>
        </is>
      </c>
      <c r="B1494" s="1" t="n">
        <v>45104</v>
      </c>
      <c r="C1494" s="1" t="n">
        <v>45847</v>
      </c>
      <c r="D1494" t="inlineStr">
        <is>
          <t>JÄMTLANDS LÄN</t>
        </is>
      </c>
      <c r="E1494" t="inlineStr">
        <is>
          <t>BRÄCKE</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31471-2023</t>
        </is>
      </c>
      <c r="B1495" s="1" t="n">
        <v>45104</v>
      </c>
      <c r="C1495" s="1" t="n">
        <v>45847</v>
      </c>
      <c r="D1495" t="inlineStr">
        <is>
          <t>JÄMTLANDS LÄN</t>
        </is>
      </c>
      <c r="E1495" t="inlineStr">
        <is>
          <t>BRÄCKE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31470-2023</t>
        </is>
      </c>
      <c r="B1496" s="1" t="n">
        <v>45104</v>
      </c>
      <c r="C1496" s="1" t="n">
        <v>45847</v>
      </c>
      <c r="D1496" t="inlineStr">
        <is>
          <t>JÄMTLANDS LÄN</t>
        </is>
      </c>
      <c r="E1496" t="inlineStr">
        <is>
          <t>BRÄCKE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29322-2023</t>
        </is>
      </c>
      <c r="B1497" s="1" t="n">
        <v>45105</v>
      </c>
      <c r="C1497" s="1" t="n">
        <v>45847</v>
      </c>
      <c r="D1497" t="inlineStr">
        <is>
          <t>JÄMTLANDS LÄN</t>
        </is>
      </c>
      <c r="E1497" t="inlineStr">
        <is>
          <t>BRÄCKE</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29334-2023</t>
        </is>
      </c>
      <c r="B1498" s="1" t="n">
        <v>45105</v>
      </c>
      <c r="C1498" s="1" t="n">
        <v>45847</v>
      </c>
      <c r="D1498" t="inlineStr">
        <is>
          <t>JÄMTLANDS LÄN</t>
        </is>
      </c>
      <c r="E1498" t="inlineStr">
        <is>
          <t>BRÄCKE</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29323-2023</t>
        </is>
      </c>
      <c r="B1499" s="1" t="n">
        <v>45105</v>
      </c>
      <c r="C1499" s="1" t="n">
        <v>45847</v>
      </c>
      <c r="D1499" t="inlineStr">
        <is>
          <t>JÄMTLANDS LÄN</t>
        </is>
      </c>
      <c r="E1499" t="inlineStr">
        <is>
          <t>BRÄCKE</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29621-2023</t>
        </is>
      </c>
      <c r="B1500" s="1" t="n">
        <v>45107</v>
      </c>
      <c r="C1500" s="1" t="n">
        <v>45847</v>
      </c>
      <c r="D1500" t="inlineStr">
        <is>
          <t>JÄMTLANDS LÄN</t>
        </is>
      </c>
      <c r="E1500" t="inlineStr">
        <is>
          <t>BRÄCKE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29805-2023</t>
        </is>
      </c>
      <c r="B1501" s="1" t="n">
        <v>45107</v>
      </c>
      <c r="C1501" s="1" t="n">
        <v>45847</v>
      </c>
      <c r="D1501" t="inlineStr">
        <is>
          <t>JÄMTLANDS LÄN</t>
        </is>
      </c>
      <c r="E1501" t="inlineStr">
        <is>
          <t>BRÄCKE</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29751-2023</t>
        </is>
      </c>
      <c r="B1502" s="1" t="n">
        <v>45107</v>
      </c>
      <c r="C1502" s="1" t="n">
        <v>45847</v>
      </c>
      <c r="D1502" t="inlineStr">
        <is>
          <t>JÄMTLANDS LÄN</t>
        </is>
      </c>
      <c r="E1502" t="inlineStr">
        <is>
          <t>BRÄCKE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29941-2023</t>
        </is>
      </c>
      <c r="B1503" s="1" t="n">
        <v>45107</v>
      </c>
      <c r="C1503" s="1" t="n">
        <v>45847</v>
      </c>
      <c r="D1503" t="inlineStr">
        <is>
          <t>JÄMTLANDS LÄN</t>
        </is>
      </c>
      <c r="E1503" t="inlineStr">
        <is>
          <t>BRÄCKE</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29942-2023</t>
        </is>
      </c>
      <c r="B1504" s="1" t="n">
        <v>45107</v>
      </c>
      <c r="C1504" s="1" t="n">
        <v>45847</v>
      </c>
      <c r="D1504" t="inlineStr">
        <is>
          <t>JÄMTLANDS LÄN</t>
        </is>
      </c>
      <c r="E1504" t="inlineStr">
        <is>
          <t>BRÄCKE</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32000-2023</t>
        </is>
      </c>
      <c r="B1505" s="1" t="n">
        <v>45107</v>
      </c>
      <c r="C1505" s="1" t="n">
        <v>45847</v>
      </c>
      <c r="D1505" t="inlineStr">
        <is>
          <t>JÄMTLANDS LÄN</t>
        </is>
      </c>
      <c r="E1505" t="inlineStr">
        <is>
          <t>BRÄCKE</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30312-2023</t>
        </is>
      </c>
      <c r="B1506" s="1" t="n">
        <v>45111</v>
      </c>
      <c r="C1506" s="1" t="n">
        <v>45847</v>
      </c>
      <c r="D1506" t="inlineStr">
        <is>
          <t>JÄMTLANDS LÄN</t>
        </is>
      </c>
      <c r="E1506" t="inlineStr">
        <is>
          <t>BRÄCKE</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30311-2023</t>
        </is>
      </c>
      <c r="B1507" s="1" t="n">
        <v>45111</v>
      </c>
      <c r="C1507" s="1" t="n">
        <v>45847</v>
      </c>
      <c r="D1507" t="inlineStr">
        <is>
          <t>JÄMTLANDS LÄN</t>
        </is>
      </c>
      <c r="E1507" t="inlineStr">
        <is>
          <t>BRÄCKE</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30309-2023</t>
        </is>
      </c>
      <c r="B1508" s="1" t="n">
        <v>45111</v>
      </c>
      <c r="C1508" s="1" t="n">
        <v>45847</v>
      </c>
      <c r="D1508" t="inlineStr">
        <is>
          <t>JÄMTLANDS LÄN</t>
        </is>
      </c>
      <c r="E1508" t="inlineStr">
        <is>
          <t>BRÄCKE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30313-2023</t>
        </is>
      </c>
      <c r="B1509" s="1" t="n">
        <v>45111</v>
      </c>
      <c r="C1509" s="1" t="n">
        <v>45847</v>
      </c>
      <c r="D1509" t="inlineStr">
        <is>
          <t>JÄMTLANDS LÄN</t>
        </is>
      </c>
      <c r="E1509" t="inlineStr">
        <is>
          <t>BRÄCKE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30310-2023</t>
        </is>
      </c>
      <c r="B1510" s="1" t="n">
        <v>45110</v>
      </c>
      <c r="C1510" s="1" t="n">
        <v>45847</v>
      </c>
      <c r="D1510" t="inlineStr">
        <is>
          <t>JÄMTLANDS LÄN</t>
        </is>
      </c>
      <c r="E1510" t="inlineStr">
        <is>
          <t>BRÄCKE</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30854-2023</t>
        </is>
      </c>
      <c r="B1511" s="1" t="n">
        <v>45113</v>
      </c>
      <c r="C1511" s="1" t="n">
        <v>45847</v>
      </c>
      <c r="D1511" t="inlineStr">
        <is>
          <t>JÄMTLANDS LÄN</t>
        </is>
      </c>
      <c r="E1511" t="inlineStr">
        <is>
          <t>BRÄCKE</t>
        </is>
      </c>
      <c r="F1511" t="inlineStr">
        <is>
          <t>SCA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30833-2023</t>
        </is>
      </c>
      <c r="B1512" s="1" t="n">
        <v>45112</v>
      </c>
      <c r="C1512" s="1" t="n">
        <v>45847</v>
      </c>
      <c r="D1512" t="inlineStr">
        <is>
          <t>JÄMTLANDS LÄN</t>
        </is>
      </c>
      <c r="E1512" t="inlineStr">
        <is>
          <t>BRÄCKE</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30685-2023</t>
        </is>
      </c>
      <c r="B1513" s="1" t="n">
        <v>45112</v>
      </c>
      <c r="C1513" s="1" t="n">
        <v>45847</v>
      </c>
      <c r="D1513" t="inlineStr">
        <is>
          <t>JÄMTLANDS LÄN</t>
        </is>
      </c>
      <c r="E1513" t="inlineStr">
        <is>
          <t>BRÄCKE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31195-2023</t>
        </is>
      </c>
      <c r="B1514" s="1" t="n">
        <v>45114</v>
      </c>
      <c r="C1514" s="1" t="n">
        <v>45847</v>
      </c>
      <c r="D1514" t="inlineStr">
        <is>
          <t>JÄMTLANDS LÄN</t>
        </is>
      </c>
      <c r="E1514" t="inlineStr">
        <is>
          <t>BRÄCKE</t>
        </is>
      </c>
      <c r="F1514" t="inlineStr">
        <is>
          <t>SCA</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31933-2023</t>
        </is>
      </c>
      <c r="B1515" s="1" t="n">
        <v>45119</v>
      </c>
      <c r="C1515" s="1" t="n">
        <v>45847</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32228-2023</t>
        </is>
      </c>
      <c r="B1516" s="1" t="n">
        <v>45120</v>
      </c>
      <c r="C1516" s="1" t="n">
        <v>45847</v>
      </c>
      <c r="D1516" t="inlineStr">
        <is>
          <t>JÄMTLANDS LÄN</t>
        </is>
      </c>
      <c r="E1516" t="inlineStr">
        <is>
          <t>BRÄCKE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32229-2023</t>
        </is>
      </c>
      <c r="B1517" s="1" t="n">
        <v>45120</v>
      </c>
      <c r="C1517" s="1" t="n">
        <v>45847</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32479-2023</t>
        </is>
      </c>
      <c r="B1518" s="1" t="n">
        <v>45121</v>
      </c>
      <c r="C1518" s="1" t="n">
        <v>45847</v>
      </c>
      <c r="D1518" t="inlineStr">
        <is>
          <t>JÄMTLANDS LÄN</t>
        </is>
      </c>
      <c r="E1518" t="inlineStr">
        <is>
          <t>BRÄCKE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32477-2023</t>
        </is>
      </c>
      <c r="B1519" s="1" t="n">
        <v>45120</v>
      </c>
      <c r="C1519" s="1" t="n">
        <v>45847</v>
      </c>
      <c r="D1519" t="inlineStr">
        <is>
          <t>JÄMTLANDS LÄN</t>
        </is>
      </c>
      <c r="E1519" t="inlineStr">
        <is>
          <t>BRÄCKE</t>
        </is>
      </c>
      <c r="F1519" t="inlineStr">
        <is>
          <t>SCA</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32476-2023</t>
        </is>
      </c>
      <c r="B1520" s="1" t="n">
        <v>45120</v>
      </c>
      <c r="C1520" s="1" t="n">
        <v>45847</v>
      </c>
      <c r="D1520" t="inlineStr">
        <is>
          <t>JÄMTLANDS LÄN</t>
        </is>
      </c>
      <c r="E1520" t="inlineStr">
        <is>
          <t>BRÄCKE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32481-2023</t>
        </is>
      </c>
      <c r="B1521" s="1" t="n">
        <v>45120</v>
      </c>
      <c r="C1521" s="1" t="n">
        <v>45847</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32732-2023</t>
        </is>
      </c>
      <c r="B1522" s="1" t="n">
        <v>45122</v>
      </c>
      <c r="C1522" s="1" t="n">
        <v>45847</v>
      </c>
      <c r="D1522" t="inlineStr">
        <is>
          <t>JÄMTLANDS LÄN</t>
        </is>
      </c>
      <c r="E1522" t="inlineStr">
        <is>
          <t>BRÄCKE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33031-2023</t>
        </is>
      </c>
      <c r="B1523" s="1" t="n">
        <v>45125</v>
      </c>
      <c r="C1523" s="1" t="n">
        <v>45847</v>
      </c>
      <c r="D1523" t="inlineStr">
        <is>
          <t>JÄMTLANDS LÄN</t>
        </is>
      </c>
      <c r="E1523" t="inlineStr">
        <is>
          <t>BRÄCKE</t>
        </is>
      </c>
      <c r="F1523" t="inlineStr">
        <is>
          <t>SCA</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33032-2023</t>
        </is>
      </c>
      <c r="B1524" s="1" t="n">
        <v>45126</v>
      </c>
      <c r="C1524" s="1" t="n">
        <v>45847</v>
      </c>
      <c r="D1524" t="inlineStr">
        <is>
          <t>JÄMTLANDS LÄN</t>
        </is>
      </c>
      <c r="E1524" t="inlineStr">
        <is>
          <t>BRÄCKE</t>
        </is>
      </c>
      <c r="F1524" t="inlineStr">
        <is>
          <t>SCA</t>
        </is>
      </c>
      <c r="G1524" t="n">
        <v>16.7</v>
      </c>
      <c r="H1524" t="n">
        <v>0</v>
      </c>
      <c r="I1524" t="n">
        <v>0</v>
      </c>
      <c r="J1524" t="n">
        <v>0</v>
      </c>
      <c r="K1524" t="n">
        <v>0</v>
      </c>
      <c r="L1524" t="n">
        <v>0</v>
      </c>
      <c r="M1524" t="n">
        <v>0</v>
      </c>
      <c r="N1524" t="n">
        <v>0</v>
      </c>
      <c r="O1524" t="n">
        <v>0</v>
      </c>
      <c r="P1524" t="n">
        <v>0</v>
      </c>
      <c r="Q1524" t="n">
        <v>0</v>
      </c>
      <c r="R1524" s="2" t="inlineStr"/>
    </row>
    <row r="1525" ht="15" customHeight="1">
      <c r="A1525" t="inlineStr">
        <is>
          <t>A 33033-2023</t>
        </is>
      </c>
      <c r="B1525" s="1" t="n">
        <v>45126</v>
      </c>
      <c r="C1525" s="1" t="n">
        <v>45847</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33172-2023</t>
        </is>
      </c>
      <c r="B1526" s="1" t="n">
        <v>45127</v>
      </c>
      <c r="C1526" s="1" t="n">
        <v>45847</v>
      </c>
      <c r="D1526" t="inlineStr">
        <is>
          <t>JÄMTLANDS LÄN</t>
        </is>
      </c>
      <c r="E1526" t="inlineStr">
        <is>
          <t>BRÄCKE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33174-2023</t>
        </is>
      </c>
      <c r="B1527" s="1" t="n">
        <v>45127</v>
      </c>
      <c r="C1527" s="1" t="n">
        <v>45847</v>
      </c>
      <c r="D1527" t="inlineStr">
        <is>
          <t>JÄMTLANDS LÄN</t>
        </is>
      </c>
      <c r="E1527" t="inlineStr">
        <is>
          <t>BRÄCKE</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33585-2023</t>
        </is>
      </c>
      <c r="B1528" s="1" t="n">
        <v>45132</v>
      </c>
      <c r="C1528" s="1" t="n">
        <v>45847</v>
      </c>
      <c r="D1528" t="inlineStr">
        <is>
          <t>JÄMTLANDS LÄN</t>
        </is>
      </c>
      <c r="E1528" t="inlineStr">
        <is>
          <t>BRÄCKE</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33584-2023</t>
        </is>
      </c>
      <c r="B1529" s="1" t="n">
        <v>45132</v>
      </c>
      <c r="C1529" s="1" t="n">
        <v>45847</v>
      </c>
      <c r="D1529" t="inlineStr">
        <is>
          <t>JÄMTLANDS LÄN</t>
        </is>
      </c>
      <c r="E1529" t="inlineStr">
        <is>
          <t>BRÄCKE</t>
        </is>
      </c>
      <c r="F1529" t="inlineStr">
        <is>
          <t>SCA</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33872-2023</t>
        </is>
      </c>
      <c r="B1530" s="1" t="n">
        <v>45134</v>
      </c>
      <c r="C1530" s="1" t="n">
        <v>45847</v>
      </c>
      <c r="D1530" t="inlineStr">
        <is>
          <t>JÄMTLANDS LÄN</t>
        </is>
      </c>
      <c r="E1530" t="inlineStr">
        <is>
          <t>BRÄCKE</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33869-2023</t>
        </is>
      </c>
      <c r="B1531" s="1" t="n">
        <v>45134</v>
      </c>
      <c r="C1531" s="1" t="n">
        <v>45847</v>
      </c>
      <c r="D1531" t="inlineStr">
        <is>
          <t>JÄMTLANDS LÄN</t>
        </is>
      </c>
      <c r="E1531" t="inlineStr">
        <is>
          <t>BRÄCKE</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33873-2023</t>
        </is>
      </c>
      <c r="B1532" s="1" t="n">
        <v>45134</v>
      </c>
      <c r="C1532" s="1" t="n">
        <v>45847</v>
      </c>
      <c r="D1532" t="inlineStr">
        <is>
          <t>JÄMTLANDS LÄN</t>
        </is>
      </c>
      <c r="E1532" t="inlineStr">
        <is>
          <t>BRÄCKE</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33870-2023</t>
        </is>
      </c>
      <c r="B1533" s="1" t="n">
        <v>45134</v>
      </c>
      <c r="C1533" s="1" t="n">
        <v>45847</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33878-2023</t>
        </is>
      </c>
      <c r="B1534" s="1" t="n">
        <v>45133</v>
      </c>
      <c r="C1534" s="1" t="n">
        <v>45847</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33998-2023</t>
        </is>
      </c>
      <c r="B1535" s="1" t="n">
        <v>45134</v>
      </c>
      <c r="C1535" s="1" t="n">
        <v>45847</v>
      </c>
      <c r="D1535" t="inlineStr">
        <is>
          <t>JÄMTLANDS LÄN</t>
        </is>
      </c>
      <c r="E1535" t="inlineStr">
        <is>
          <t>BRÄCKE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34137-2023</t>
        </is>
      </c>
      <c r="B1536" s="1" t="n">
        <v>45135</v>
      </c>
      <c r="C1536" s="1" t="n">
        <v>45847</v>
      </c>
      <c r="D1536" t="inlineStr">
        <is>
          <t>JÄMTLANDS LÄN</t>
        </is>
      </c>
      <c r="E1536" t="inlineStr">
        <is>
          <t>BRÄCKE</t>
        </is>
      </c>
      <c r="F1536" t="inlineStr">
        <is>
          <t>SCA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34136-2023</t>
        </is>
      </c>
      <c r="B1537" s="1" t="n">
        <v>45135</v>
      </c>
      <c r="C1537" s="1" t="n">
        <v>45847</v>
      </c>
      <c r="D1537" t="inlineStr">
        <is>
          <t>JÄMTLANDS LÄN</t>
        </is>
      </c>
      <c r="E1537" t="inlineStr">
        <is>
          <t>BRÄCKE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34138-2023</t>
        </is>
      </c>
      <c r="B1538" s="1" t="n">
        <v>45135</v>
      </c>
      <c r="C1538" s="1" t="n">
        <v>45847</v>
      </c>
      <c r="D1538" t="inlineStr">
        <is>
          <t>JÄMTLANDS LÄN</t>
        </is>
      </c>
      <c r="E1538" t="inlineStr">
        <is>
          <t>BRÄCKE</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34587-2023</t>
        </is>
      </c>
      <c r="B1539" s="1" t="n">
        <v>45135</v>
      </c>
      <c r="C1539" s="1" t="n">
        <v>45847</v>
      </c>
      <c r="D1539" t="inlineStr">
        <is>
          <t>JÄMTLANDS LÄN</t>
        </is>
      </c>
      <c r="E1539" t="inlineStr">
        <is>
          <t>BRÄCKE</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34320-2023</t>
        </is>
      </c>
      <c r="B1540" s="1" t="n">
        <v>45139</v>
      </c>
      <c r="C1540" s="1" t="n">
        <v>45847</v>
      </c>
      <c r="D1540" t="inlineStr">
        <is>
          <t>JÄMTLANDS LÄN</t>
        </is>
      </c>
      <c r="E1540" t="inlineStr">
        <is>
          <t>BRÄCKE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34693-2023</t>
        </is>
      </c>
      <c r="B1541" s="1" t="n">
        <v>45140</v>
      </c>
      <c r="C1541" s="1" t="n">
        <v>45847</v>
      </c>
      <c r="D1541" t="inlineStr">
        <is>
          <t>JÄMTLANDS LÄN</t>
        </is>
      </c>
      <c r="E1541" t="inlineStr">
        <is>
          <t>BRÄCKE</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34704-2023</t>
        </is>
      </c>
      <c r="B1542" s="1" t="n">
        <v>45140</v>
      </c>
      <c r="C1542" s="1" t="n">
        <v>45847</v>
      </c>
      <c r="D1542" t="inlineStr">
        <is>
          <t>JÄMTLANDS LÄN</t>
        </is>
      </c>
      <c r="E1542" t="inlineStr">
        <is>
          <t>BRÄCKE</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34947-2023</t>
        </is>
      </c>
      <c r="B1543" s="1" t="n">
        <v>45142</v>
      </c>
      <c r="C1543" s="1" t="n">
        <v>45847</v>
      </c>
      <c r="D1543" t="inlineStr">
        <is>
          <t>JÄMTLANDS LÄN</t>
        </is>
      </c>
      <c r="E1543" t="inlineStr">
        <is>
          <t>BRÄCKE</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35013-2023</t>
        </is>
      </c>
      <c r="B1544" s="1" t="n">
        <v>45143</v>
      </c>
      <c r="C1544" s="1" t="n">
        <v>45847</v>
      </c>
      <c r="D1544" t="inlineStr">
        <is>
          <t>JÄMTLANDS LÄN</t>
        </is>
      </c>
      <c r="E1544" t="inlineStr">
        <is>
          <t>BRÄCKE</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35017-2023</t>
        </is>
      </c>
      <c r="B1545" s="1" t="n">
        <v>45142</v>
      </c>
      <c r="C1545" s="1" t="n">
        <v>45847</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35014-2023</t>
        </is>
      </c>
      <c r="B1546" s="1" t="n">
        <v>45143</v>
      </c>
      <c r="C1546" s="1" t="n">
        <v>45847</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35015-2023</t>
        </is>
      </c>
      <c r="B1547" s="1" t="n">
        <v>45143</v>
      </c>
      <c r="C1547" s="1" t="n">
        <v>45847</v>
      </c>
      <c r="D1547" t="inlineStr">
        <is>
          <t>JÄMTLANDS LÄN</t>
        </is>
      </c>
      <c r="E1547" t="inlineStr">
        <is>
          <t>BRÄCKE</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35255-2023</t>
        </is>
      </c>
      <c r="B1548" s="1" t="n">
        <v>45145</v>
      </c>
      <c r="C1548" s="1" t="n">
        <v>45847</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35256-2023</t>
        </is>
      </c>
      <c r="B1549" s="1" t="n">
        <v>45145</v>
      </c>
      <c r="C1549" s="1" t="n">
        <v>45847</v>
      </c>
      <c r="D1549" t="inlineStr">
        <is>
          <t>JÄMTLANDS LÄN</t>
        </is>
      </c>
      <c r="E1549" t="inlineStr">
        <is>
          <t>BRÄCKE</t>
        </is>
      </c>
      <c r="F1549" t="inlineStr">
        <is>
          <t>SCA</t>
        </is>
      </c>
      <c r="G1549" t="n">
        <v>34.5</v>
      </c>
      <c r="H1549" t="n">
        <v>0</v>
      </c>
      <c r="I1549" t="n">
        <v>0</v>
      </c>
      <c r="J1549" t="n">
        <v>0</v>
      </c>
      <c r="K1549" t="n">
        <v>0</v>
      </c>
      <c r="L1549" t="n">
        <v>0</v>
      </c>
      <c r="M1549" t="n">
        <v>0</v>
      </c>
      <c r="N1549" t="n">
        <v>0</v>
      </c>
      <c r="O1549" t="n">
        <v>0</v>
      </c>
      <c r="P1549" t="n">
        <v>0</v>
      </c>
      <c r="Q1549" t="n">
        <v>0</v>
      </c>
      <c r="R1549" s="2" t="inlineStr"/>
    </row>
    <row r="1550" ht="15" customHeight="1">
      <c r="A1550" t="inlineStr">
        <is>
          <t>A 35503-2023</t>
        </is>
      </c>
      <c r="B1550" s="1" t="n">
        <v>45147</v>
      </c>
      <c r="C1550" s="1" t="n">
        <v>45847</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35506-2023</t>
        </is>
      </c>
      <c r="B1551" s="1" t="n">
        <v>45146</v>
      </c>
      <c r="C1551" s="1" t="n">
        <v>45847</v>
      </c>
      <c r="D1551" t="inlineStr">
        <is>
          <t>JÄMTLANDS LÄN</t>
        </is>
      </c>
      <c r="E1551" t="inlineStr">
        <is>
          <t>BRÄCKE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35424-2023</t>
        </is>
      </c>
      <c r="B1552" s="1" t="n">
        <v>45146</v>
      </c>
      <c r="C1552" s="1" t="n">
        <v>45847</v>
      </c>
      <c r="D1552" t="inlineStr">
        <is>
          <t>JÄMTLANDS LÄN</t>
        </is>
      </c>
      <c r="E1552" t="inlineStr">
        <is>
          <t>BRÄCKE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35742-2023</t>
        </is>
      </c>
      <c r="B1553" s="1" t="n">
        <v>45147</v>
      </c>
      <c r="C1553" s="1" t="n">
        <v>45847</v>
      </c>
      <c r="D1553" t="inlineStr">
        <is>
          <t>JÄMTLANDS LÄN</t>
        </is>
      </c>
      <c r="E1553" t="inlineStr">
        <is>
          <t>BRÄCKE</t>
        </is>
      </c>
      <c r="F1553" t="inlineStr">
        <is>
          <t>SCA</t>
        </is>
      </c>
      <c r="G1553" t="n">
        <v>26.8</v>
      </c>
      <c r="H1553" t="n">
        <v>0</v>
      </c>
      <c r="I1553" t="n">
        <v>0</v>
      </c>
      <c r="J1553" t="n">
        <v>0</v>
      </c>
      <c r="K1553" t="n">
        <v>0</v>
      </c>
      <c r="L1553" t="n">
        <v>0</v>
      </c>
      <c r="M1553" t="n">
        <v>0</v>
      </c>
      <c r="N1553" t="n">
        <v>0</v>
      </c>
      <c r="O1553" t="n">
        <v>0</v>
      </c>
      <c r="P1553" t="n">
        <v>0</v>
      </c>
      <c r="Q1553" t="n">
        <v>0</v>
      </c>
      <c r="R1553" s="2" t="inlineStr"/>
    </row>
    <row r="1554" ht="15" customHeight="1">
      <c r="A1554" t="inlineStr">
        <is>
          <t>A 35766-2023</t>
        </is>
      </c>
      <c r="B1554" s="1" t="n">
        <v>45147</v>
      </c>
      <c r="C1554" s="1" t="n">
        <v>45847</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35862-2023</t>
        </is>
      </c>
      <c r="B1555" s="1" t="n">
        <v>45147</v>
      </c>
      <c r="C1555" s="1" t="n">
        <v>45847</v>
      </c>
      <c r="D1555" t="inlineStr">
        <is>
          <t>JÄMTLANDS LÄN</t>
        </is>
      </c>
      <c r="E1555" t="inlineStr">
        <is>
          <t>BRÄCKE</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35741-2023</t>
        </is>
      </c>
      <c r="B1556" s="1" t="n">
        <v>45147</v>
      </c>
      <c r="C1556" s="1" t="n">
        <v>45847</v>
      </c>
      <c r="D1556" t="inlineStr">
        <is>
          <t>JÄMTLANDS LÄN</t>
        </is>
      </c>
      <c r="E1556" t="inlineStr">
        <is>
          <t>BRÄCKE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35896-2023</t>
        </is>
      </c>
      <c r="B1557" s="1" t="n">
        <v>45148</v>
      </c>
      <c r="C1557" s="1" t="n">
        <v>45847</v>
      </c>
      <c r="D1557" t="inlineStr">
        <is>
          <t>JÄMTLANDS LÄN</t>
        </is>
      </c>
      <c r="E1557" t="inlineStr">
        <is>
          <t>BRÄCKE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35880-2023</t>
        </is>
      </c>
      <c r="B1558" s="1" t="n">
        <v>45148</v>
      </c>
      <c r="C1558" s="1" t="n">
        <v>45847</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35972-2023</t>
        </is>
      </c>
      <c r="B1559" s="1" t="n">
        <v>45148</v>
      </c>
      <c r="C1559" s="1" t="n">
        <v>45847</v>
      </c>
      <c r="D1559" t="inlineStr">
        <is>
          <t>JÄMTLANDS LÄN</t>
        </is>
      </c>
      <c r="E1559" t="inlineStr">
        <is>
          <t>BRÄCKE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36205-2023</t>
        </is>
      </c>
      <c r="B1560" s="1" t="n">
        <v>45149</v>
      </c>
      <c r="C1560" s="1" t="n">
        <v>45847</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36209-2023</t>
        </is>
      </c>
      <c r="B1561" s="1" t="n">
        <v>45149</v>
      </c>
      <c r="C1561" s="1" t="n">
        <v>45847</v>
      </c>
      <c r="D1561" t="inlineStr">
        <is>
          <t>JÄMTLANDS LÄN</t>
        </is>
      </c>
      <c r="E1561" t="inlineStr">
        <is>
          <t>BRÄCKE</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36497-2023</t>
        </is>
      </c>
      <c r="B1562" s="1" t="n">
        <v>45152</v>
      </c>
      <c r="C1562" s="1" t="n">
        <v>45847</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36753-2023</t>
        </is>
      </c>
      <c r="B1563" s="1" t="n">
        <v>45153</v>
      </c>
      <c r="C1563" s="1" t="n">
        <v>45847</v>
      </c>
      <c r="D1563" t="inlineStr">
        <is>
          <t>JÄMTLANDS LÄN</t>
        </is>
      </c>
      <c r="E1563" t="inlineStr">
        <is>
          <t>BRÄCKE</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36988-2023</t>
        </is>
      </c>
      <c r="B1564" s="1" t="n">
        <v>45154</v>
      </c>
      <c r="C1564" s="1" t="n">
        <v>45847</v>
      </c>
      <c r="D1564" t="inlineStr">
        <is>
          <t>JÄMTLANDS LÄN</t>
        </is>
      </c>
      <c r="E1564" t="inlineStr">
        <is>
          <t>BRÄCKE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37265-2023</t>
        </is>
      </c>
      <c r="B1565" s="1" t="n">
        <v>45156</v>
      </c>
      <c r="C1565" s="1" t="n">
        <v>45847</v>
      </c>
      <c r="D1565" t="inlineStr">
        <is>
          <t>JÄMTLANDS LÄN</t>
        </is>
      </c>
      <c r="E1565" t="inlineStr">
        <is>
          <t>BRÄCKE</t>
        </is>
      </c>
      <c r="F1565" t="inlineStr">
        <is>
          <t>SCA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37264-2023</t>
        </is>
      </c>
      <c r="B1566" s="1" t="n">
        <v>45155</v>
      </c>
      <c r="C1566" s="1" t="n">
        <v>45847</v>
      </c>
      <c r="D1566" t="inlineStr">
        <is>
          <t>JÄMTLANDS LÄN</t>
        </is>
      </c>
      <c r="E1566" t="inlineStr">
        <is>
          <t>BRÄCKE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37268-2023</t>
        </is>
      </c>
      <c r="B1567" s="1" t="n">
        <v>45156</v>
      </c>
      <c r="C1567" s="1" t="n">
        <v>45847</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37238-2023</t>
        </is>
      </c>
      <c r="B1568" s="1" t="n">
        <v>45156</v>
      </c>
      <c r="C1568" s="1" t="n">
        <v>45847</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37239-2023</t>
        </is>
      </c>
      <c r="B1569" s="1" t="n">
        <v>45156</v>
      </c>
      <c r="C1569" s="1" t="n">
        <v>45847</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37263-2023</t>
        </is>
      </c>
      <c r="B1570" s="1" t="n">
        <v>45156</v>
      </c>
      <c r="C1570" s="1" t="n">
        <v>45847</v>
      </c>
      <c r="D1570" t="inlineStr">
        <is>
          <t>JÄMTLANDS LÄN</t>
        </is>
      </c>
      <c r="E1570" t="inlineStr">
        <is>
          <t>BRÄCKE</t>
        </is>
      </c>
      <c r="F1570" t="inlineStr">
        <is>
          <t>SCA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37267-2023</t>
        </is>
      </c>
      <c r="B1571" s="1" t="n">
        <v>45156</v>
      </c>
      <c r="C1571" s="1" t="n">
        <v>45847</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37492-2023</t>
        </is>
      </c>
      <c r="B1572" s="1" t="n">
        <v>45156</v>
      </c>
      <c r="C1572" s="1" t="n">
        <v>45847</v>
      </c>
      <c r="D1572" t="inlineStr">
        <is>
          <t>JÄMTLANDS LÄN</t>
        </is>
      </c>
      <c r="E1572" t="inlineStr">
        <is>
          <t>BRÄCKE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37472-2023</t>
        </is>
      </c>
      <c r="B1573" s="1" t="n">
        <v>45157</v>
      </c>
      <c r="C1573" s="1" t="n">
        <v>45847</v>
      </c>
      <c r="D1573" t="inlineStr">
        <is>
          <t>JÄMTLANDS LÄN</t>
        </is>
      </c>
      <c r="E1573" t="inlineStr">
        <is>
          <t>BRÄCKE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37504-2023</t>
        </is>
      </c>
      <c r="B1574" s="1" t="n">
        <v>45157</v>
      </c>
      <c r="C1574" s="1" t="n">
        <v>45847</v>
      </c>
      <c r="D1574" t="inlineStr">
        <is>
          <t>JÄMTLANDS LÄN</t>
        </is>
      </c>
      <c r="E1574" t="inlineStr">
        <is>
          <t>BRÄCKE</t>
        </is>
      </c>
      <c r="F1574" t="inlineStr">
        <is>
          <t>Sveaskog</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37806-2023</t>
        </is>
      </c>
      <c r="B1575" s="1" t="n">
        <v>45159</v>
      </c>
      <c r="C1575" s="1" t="n">
        <v>45847</v>
      </c>
      <c r="D1575" t="inlineStr">
        <is>
          <t>JÄMTLANDS LÄN</t>
        </is>
      </c>
      <c r="E1575" t="inlineStr">
        <is>
          <t>BRÄCKE</t>
        </is>
      </c>
      <c r="F1575" t="inlineStr">
        <is>
          <t>SCA</t>
        </is>
      </c>
      <c r="G1575" t="n">
        <v>19.2</v>
      </c>
      <c r="H1575" t="n">
        <v>0</v>
      </c>
      <c r="I1575" t="n">
        <v>0</v>
      </c>
      <c r="J1575" t="n">
        <v>0</v>
      </c>
      <c r="K1575" t="n">
        <v>0</v>
      </c>
      <c r="L1575" t="n">
        <v>0</v>
      </c>
      <c r="M1575" t="n">
        <v>0</v>
      </c>
      <c r="N1575" t="n">
        <v>0</v>
      </c>
      <c r="O1575" t="n">
        <v>0</v>
      </c>
      <c r="P1575" t="n">
        <v>0</v>
      </c>
      <c r="Q1575" t="n">
        <v>0</v>
      </c>
      <c r="R1575" s="2" t="inlineStr"/>
    </row>
    <row r="1576" ht="15" customHeight="1">
      <c r="A1576" t="inlineStr">
        <is>
          <t>A 38087-2023</t>
        </is>
      </c>
      <c r="B1576" s="1" t="n">
        <v>45160</v>
      </c>
      <c r="C1576" s="1" t="n">
        <v>45847</v>
      </c>
      <c r="D1576" t="inlineStr">
        <is>
          <t>JÄMTLANDS LÄN</t>
        </is>
      </c>
      <c r="E1576" t="inlineStr">
        <is>
          <t>BRÄCKE</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38091-2023</t>
        </is>
      </c>
      <c r="B1577" s="1" t="n">
        <v>45160</v>
      </c>
      <c r="C1577" s="1" t="n">
        <v>45847</v>
      </c>
      <c r="D1577" t="inlineStr">
        <is>
          <t>JÄMTLANDS LÄN</t>
        </is>
      </c>
      <c r="E1577" t="inlineStr">
        <is>
          <t>BRÄCKE</t>
        </is>
      </c>
      <c r="F1577" t="inlineStr">
        <is>
          <t>SCA</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38359-2023</t>
        </is>
      </c>
      <c r="B1578" s="1" t="n">
        <v>45162</v>
      </c>
      <c r="C1578" s="1" t="n">
        <v>45847</v>
      </c>
      <c r="D1578" t="inlineStr">
        <is>
          <t>JÄMTLANDS LÄN</t>
        </is>
      </c>
      <c r="E1578" t="inlineStr">
        <is>
          <t>BRÄCKE</t>
        </is>
      </c>
      <c r="F1578" t="inlineStr">
        <is>
          <t>Naturvårdsverket</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38533-2023</t>
        </is>
      </c>
      <c r="B1579" s="1" t="n">
        <v>45162</v>
      </c>
      <c r="C1579" s="1" t="n">
        <v>45847</v>
      </c>
      <c r="D1579" t="inlineStr">
        <is>
          <t>JÄMTLANDS LÄN</t>
        </is>
      </c>
      <c r="E1579" t="inlineStr">
        <is>
          <t>BRÄCKE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38856-2023</t>
        </is>
      </c>
      <c r="B1580" s="1" t="n">
        <v>45162</v>
      </c>
      <c r="C1580" s="1" t="n">
        <v>45847</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39004-2023</t>
        </is>
      </c>
      <c r="B1581" s="1" t="n">
        <v>45162</v>
      </c>
      <c r="C1581" s="1" t="n">
        <v>45847</v>
      </c>
      <c r="D1581" t="inlineStr">
        <is>
          <t>JÄMTLANDS LÄN</t>
        </is>
      </c>
      <c r="E1581" t="inlineStr">
        <is>
          <t>BRÄCKE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38841-2023</t>
        </is>
      </c>
      <c r="B1582" s="1" t="n">
        <v>45162</v>
      </c>
      <c r="C1582" s="1" t="n">
        <v>45847</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39007-2023</t>
        </is>
      </c>
      <c r="B1583" s="1" t="n">
        <v>45162</v>
      </c>
      <c r="C1583" s="1" t="n">
        <v>45847</v>
      </c>
      <c r="D1583" t="inlineStr">
        <is>
          <t>JÄMTLANDS LÄN</t>
        </is>
      </c>
      <c r="E1583" t="inlineStr">
        <is>
          <t>BRÄCKE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38996-2023</t>
        </is>
      </c>
      <c r="B1584" s="1" t="n">
        <v>45162</v>
      </c>
      <c r="C1584" s="1" t="n">
        <v>45847</v>
      </c>
      <c r="D1584" t="inlineStr">
        <is>
          <t>JÄMTLANDS LÄN</t>
        </is>
      </c>
      <c r="E1584" t="inlineStr">
        <is>
          <t>BRÄCKE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38688-2023</t>
        </is>
      </c>
      <c r="B1585" s="1" t="n">
        <v>45163</v>
      </c>
      <c r="C1585" s="1" t="n">
        <v>45847</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38692-2023</t>
        </is>
      </c>
      <c r="B1586" s="1" t="n">
        <v>45163</v>
      </c>
      <c r="C1586" s="1" t="n">
        <v>45847</v>
      </c>
      <c r="D1586" t="inlineStr">
        <is>
          <t>JÄMTLANDS LÄN</t>
        </is>
      </c>
      <c r="E1586" t="inlineStr">
        <is>
          <t>BRÄCKE</t>
        </is>
      </c>
      <c r="F1586" t="inlineStr">
        <is>
          <t>SCA</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38675-2023</t>
        </is>
      </c>
      <c r="B1587" s="1" t="n">
        <v>45162</v>
      </c>
      <c r="C1587" s="1" t="n">
        <v>45847</v>
      </c>
      <c r="D1587" t="inlineStr">
        <is>
          <t>JÄMTLANDS LÄN</t>
        </is>
      </c>
      <c r="E1587" t="inlineStr">
        <is>
          <t>BRÄCKE</t>
        </is>
      </c>
      <c r="F1587" t="inlineStr">
        <is>
          <t>SCA</t>
        </is>
      </c>
      <c r="G1587" t="n">
        <v>12.6</v>
      </c>
      <c r="H1587" t="n">
        <v>0</v>
      </c>
      <c r="I1587" t="n">
        <v>0</v>
      </c>
      <c r="J1587" t="n">
        <v>0</v>
      </c>
      <c r="K1587" t="n">
        <v>0</v>
      </c>
      <c r="L1587" t="n">
        <v>0</v>
      </c>
      <c r="M1587" t="n">
        <v>0</v>
      </c>
      <c r="N1587" t="n">
        <v>0</v>
      </c>
      <c r="O1587" t="n">
        <v>0</v>
      </c>
      <c r="P1587" t="n">
        <v>0</v>
      </c>
      <c r="Q1587" t="n">
        <v>0</v>
      </c>
      <c r="R1587" s="2" t="inlineStr"/>
    </row>
    <row r="1588" ht="15" customHeight="1">
      <c r="A1588" t="inlineStr">
        <is>
          <t>A 38691-2023</t>
        </is>
      </c>
      <c r="B1588" s="1" t="n">
        <v>45163</v>
      </c>
      <c r="C1588" s="1" t="n">
        <v>45847</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38693-2023</t>
        </is>
      </c>
      <c r="B1589" s="1" t="n">
        <v>45162</v>
      </c>
      <c r="C1589" s="1" t="n">
        <v>45847</v>
      </c>
      <c r="D1589" t="inlineStr">
        <is>
          <t>JÄMTLANDS LÄN</t>
        </is>
      </c>
      <c r="E1589" t="inlineStr">
        <is>
          <t>BRÄCKE</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38689-2023</t>
        </is>
      </c>
      <c r="B1590" s="1" t="n">
        <v>45162</v>
      </c>
      <c r="C1590" s="1" t="n">
        <v>45847</v>
      </c>
      <c r="D1590" t="inlineStr">
        <is>
          <t>JÄMTLANDS LÄN</t>
        </is>
      </c>
      <c r="E1590" t="inlineStr">
        <is>
          <t>BRÄCKE</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38690-2023</t>
        </is>
      </c>
      <c r="B1591" s="1" t="n">
        <v>45163</v>
      </c>
      <c r="C1591" s="1" t="n">
        <v>45847</v>
      </c>
      <c r="D1591" t="inlineStr">
        <is>
          <t>JÄMTLANDS LÄN</t>
        </is>
      </c>
      <c r="E1591" t="inlineStr">
        <is>
          <t>BRÄCKE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39439-2023</t>
        </is>
      </c>
      <c r="B1592" s="1" t="n">
        <v>45163</v>
      </c>
      <c r="C1592" s="1" t="n">
        <v>45847</v>
      </c>
      <c r="D1592" t="inlineStr">
        <is>
          <t>JÄMTLANDS LÄN</t>
        </is>
      </c>
      <c r="E1592" t="inlineStr">
        <is>
          <t>BRÄCKE</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39509-2023</t>
        </is>
      </c>
      <c r="B1593" s="1" t="n">
        <v>45167</v>
      </c>
      <c r="C1593" s="1" t="n">
        <v>45847</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40096-2023</t>
        </is>
      </c>
      <c r="B1594" s="1" t="n">
        <v>45168</v>
      </c>
      <c r="C1594" s="1" t="n">
        <v>45847</v>
      </c>
      <c r="D1594" t="inlineStr">
        <is>
          <t>JÄMTLANDS LÄN</t>
        </is>
      </c>
      <c r="E1594" t="inlineStr">
        <is>
          <t>BRÄCKE</t>
        </is>
      </c>
      <c r="F1594" t="inlineStr">
        <is>
          <t>SCA</t>
        </is>
      </c>
      <c r="G1594" t="n">
        <v>28.9</v>
      </c>
      <c r="H1594" t="n">
        <v>0</v>
      </c>
      <c r="I1594" t="n">
        <v>0</v>
      </c>
      <c r="J1594" t="n">
        <v>0</v>
      </c>
      <c r="K1594" t="n">
        <v>0</v>
      </c>
      <c r="L1594" t="n">
        <v>0</v>
      </c>
      <c r="M1594" t="n">
        <v>0</v>
      </c>
      <c r="N1594" t="n">
        <v>0</v>
      </c>
      <c r="O1594" t="n">
        <v>0</v>
      </c>
      <c r="P1594" t="n">
        <v>0</v>
      </c>
      <c r="Q1594" t="n">
        <v>0</v>
      </c>
      <c r="R1594" s="2" t="inlineStr"/>
    </row>
    <row r="1595" ht="15" customHeight="1">
      <c r="A1595" t="inlineStr">
        <is>
          <t>A 40114-2023</t>
        </is>
      </c>
      <c r="B1595" s="1" t="n">
        <v>45169</v>
      </c>
      <c r="C1595" s="1" t="n">
        <v>45847</v>
      </c>
      <c r="D1595" t="inlineStr">
        <is>
          <t>JÄMTLANDS LÄN</t>
        </is>
      </c>
      <c r="E1595" t="inlineStr">
        <is>
          <t>BRÄCKE</t>
        </is>
      </c>
      <c r="F1595" t="inlineStr">
        <is>
          <t>Naturvårdsverket</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40108-2023</t>
        </is>
      </c>
      <c r="B1596" s="1" t="n">
        <v>45169</v>
      </c>
      <c r="C1596" s="1" t="n">
        <v>45847</v>
      </c>
      <c r="D1596" t="inlineStr">
        <is>
          <t>JÄMTLANDS LÄN</t>
        </is>
      </c>
      <c r="E1596" t="inlineStr">
        <is>
          <t>BRÄCKE</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40094-2023</t>
        </is>
      </c>
      <c r="B1597" s="1" t="n">
        <v>45168</v>
      </c>
      <c r="C1597" s="1" t="n">
        <v>45847</v>
      </c>
      <c r="D1597" t="inlineStr">
        <is>
          <t>JÄMTLANDS LÄN</t>
        </is>
      </c>
      <c r="E1597" t="inlineStr">
        <is>
          <t>BRÄCKE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39907-2023</t>
        </is>
      </c>
      <c r="B1598" s="1" t="n">
        <v>45168</v>
      </c>
      <c r="C1598" s="1" t="n">
        <v>45847</v>
      </c>
      <c r="D1598" t="inlineStr">
        <is>
          <t>JÄMTLANDS LÄN</t>
        </is>
      </c>
      <c r="E1598" t="inlineStr">
        <is>
          <t>BRÄCKE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40389-2023</t>
        </is>
      </c>
      <c r="B1599" s="1" t="n">
        <v>45170</v>
      </c>
      <c r="C1599" s="1" t="n">
        <v>45847</v>
      </c>
      <c r="D1599" t="inlineStr">
        <is>
          <t>JÄMTLANDS LÄN</t>
        </is>
      </c>
      <c r="E1599" t="inlineStr">
        <is>
          <t>BRÄCKE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40394-2023</t>
        </is>
      </c>
      <c r="B1600" s="1" t="n">
        <v>45170</v>
      </c>
      <c r="C1600" s="1" t="n">
        <v>45847</v>
      </c>
      <c r="D1600" t="inlineStr">
        <is>
          <t>JÄMTLANDS LÄN</t>
        </is>
      </c>
      <c r="E1600" t="inlineStr">
        <is>
          <t>BRÄCKE</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40410-2023</t>
        </is>
      </c>
      <c r="B1601" s="1" t="n">
        <v>45169</v>
      </c>
      <c r="C1601" s="1" t="n">
        <v>45847</v>
      </c>
      <c r="D1601" t="inlineStr">
        <is>
          <t>JÄMTLANDS LÄN</t>
        </is>
      </c>
      <c r="E1601" t="inlineStr">
        <is>
          <t>BRÄCKE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40430-2023</t>
        </is>
      </c>
      <c r="B1602" s="1" t="n">
        <v>45169</v>
      </c>
      <c r="C1602" s="1" t="n">
        <v>45847</v>
      </c>
      <c r="D1602" t="inlineStr">
        <is>
          <t>JÄMTLANDS LÄN</t>
        </is>
      </c>
      <c r="E1602" t="inlineStr">
        <is>
          <t>BRÄCKE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40387-2023</t>
        </is>
      </c>
      <c r="B1603" s="1" t="n">
        <v>45170</v>
      </c>
      <c r="C1603" s="1" t="n">
        <v>45847</v>
      </c>
      <c r="D1603" t="inlineStr">
        <is>
          <t>JÄMTLANDS LÄN</t>
        </is>
      </c>
      <c r="E1603" t="inlineStr">
        <is>
          <t>BRÄCKE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40405-2023</t>
        </is>
      </c>
      <c r="B1604" s="1" t="n">
        <v>45170</v>
      </c>
      <c r="C1604" s="1" t="n">
        <v>45847</v>
      </c>
      <c r="D1604" t="inlineStr">
        <is>
          <t>JÄMTLANDS LÄN</t>
        </is>
      </c>
      <c r="E1604" t="inlineStr">
        <is>
          <t>BRÄCKE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40761-2023</t>
        </is>
      </c>
      <c r="B1605" s="1" t="n">
        <v>45171</v>
      </c>
      <c r="C1605" s="1" t="n">
        <v>45847</v>
      </c>
      <c r="D1605" t="inlineStr">
        <is>
          <t>JÄMTLANDS LÄN</t>
        </is>
      </c>
      <c r="E1605" t="inlineStr">
        <is>
          <t>BRÄCKE</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40765-2023</t>
        </is>
      </c>
      <c r="B1606" s="1" t="n">
        <v>45170</v>
      </c>
      <c r="C1606" s="1" t="n">
        <v>45847</v>
      </c>
      <c r="D1606" t="inlineStr">
        <is>
          <t>JÄMTLANDS LÄN</t>
        </is>
      </c>
      <c r="E1606" t="inlineStr">
        <is>
          <t>BRÄCKE</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41175-2023</t>
        </is>
      </c>
      <c r="B1607" s="1" t="n">
        <v>45170</v>
      </c>
      <c r="C1607" s="1" t="n">
        <v>45847</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40775-2023</t>
        </is>
      </c>
      <c r="B1608" s="1" t="n">
        <v>45171</v>
      </c>
      <c r="C1608" s="1" t="n">
        <v>45847</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41183-2023</t>
        </is>
      </c>
      <c r="B1609" s="1" t="n">
        <v>45170</v>
      </c>
      <c r="C1609" s="1" t="n">
        <v>45847</v>
      </c>
      <c r="D1609" t="inlineStr">
        <is>
          <t>JÄMTLANDS LÄN</t>
        </is>
      </c>
      <c r="E1609" t="inlineStr">
        <is>
          <t>BRÄCKE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41188-2023</t>
        </is>
      </c>
      <c r="B1610" s="1" t="n">
        <v>45170</v>
      </c>
      <c r="C1610" s="1" t="n">
        <v>45847</v>
      </c>
      <c r="D1610" t="inlineStr">
        <is>
          <t>JÄMTLANDS LÄN</t>
        </is>
      </c>
      <c r="E1610" t="inlineStr">
        <is>
          <t>BRÄCKE</t>
        </is>
      </c>
      <c r="F1610" t="inlineStr">
        <is>
          <t>Kommuner</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40844-2023</t>
        </is>
      </c>
      <c r="B1611" s="1" t="n">
        <v>45173</v>
      </c>
      <c r="C1611" s="1" t="n">
        <v>45847</v>
      </c>
      <c r="D1611" t="inlineStr">
        <is>
          <t>JÄMTLANDS LÄN</t>
        </is>
      </c>
      <c r="E1611" t="inlineStr">
        <is>
          <t>BRÄCKE</t>
        </is>
      </c>
      <c r="F1611" t="inlineStr">
        <is>
          <t>SCA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41148-2023</t>
        </is>
      </c>
      <c r="B1612" s="1" t="n">
        <v>45173</v>
      </c>
      <c r="C1612" s="1" t="n">
        <v>45847</v>
      </c>
      <c r="D1612" t="inlineStr">
        <is>
          <t>JÄMTLANDS LÄN</t>
        </is>
      </c>
      <c r="E1612" t="inlineStr">
        <is>
          <t>BRÄCKE</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41401-2023</t>
        </is>
      </c>
      <c r="B1613" s="1" t="n">
        <v>45174</v>
      </c>
      <c r="C1613" s="1" t="n">
        <v>45847</v>
      </c>
      <c r="D1613" t="inlineStr">
        <is>
          <t>JÄMTLANDS LÄN</t>
        </is>
      </c>
      <c r="E1613" t="inlineStr">
        <is>
          <t>BRÄCKE</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41412-2023</t>
        </is>
      </c>
      <c r="B1614" s="1" t="n">
        <v>45175</v>
      </c>
      <c r="C1614" s="1" t="n">
        <v>45847</v>
      </c>
      <c r="D1614" t="inlineStr">
        <is>
          <t>JÄMTLANDS LÄN</t>
        </is>
      </c>
      <c r="E1614" t="inlineStr">
        <is>
          <t>BRÄCKE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41647-2023</t>
        </is>
      </c>
      <c r="B1615" s="1" t="n">
        <v>45176</v>
      </c>
      <c r="C1615" s="1" t="n">
        <v>45847</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41663-2023</t>
        </is>
      </c>
      <c r="B1616" s="1" t="n">
        <v>45176</v>
      </c>
      <c r="C1616" s="1" t="n">
        <v>45847</v>
      </c>
      <c r="D1616" t="inlineStr">
        <is>
          <t>JÄMTLANDS LÄN</t>
        </is>
      </c>
      <c r="E1616" t="inlineStr">
        <is>
          <t>BRÄCKE</t>
        </is>
      </c>
      <c r="F1616" t="inlineStr">
        <is>
          <t>SCA</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42103-2023</t>
        </is>
      </c>
      <c r="B1617" s="1" t="n">
        <v>45175</v>
      </c>
      <c r="C1617" s="1" t="n">
        <v>45847</v>
      </c>
      <c r="D1617" t="inlineStr">
        <is>
          <t>JÄMTLANDS LÄN</t>
        </is>
      </c>
      <c r="E1617" t="inlineStr">
        <is>
          <t>BRÄCKE</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41923-2023</t>
        </is>
      </c>
      <c r="B1618" s="1" t="n">
        <v>45176</v>
      </c>
      <c r="C1618" s="1" t="n">
        <v>45847</v>
      </c>
      <c r="D1618" t="inlineStr">
        <is>
          <t>JÄMTLANDS LÄN</t>
        </is>
      </c>
      <c r="E1618" t="inlineStr">
        <is>
          <t>BRÄCKE</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41722-2023</t>
        </is>
      </c>
      <c r="B1619" s="1" t="n">
        <v>45176</v>
      </c>
      <c r="C1619" s="1" t="n">
        <v>45847</v>
      </c>
      <c r="D1619" t="inlineStr">
        <is>
          <t>JÄMTLANDS LÄN</t>
        </is>
      </c>
      <c r="E1619" t="inlineStr">
        <is>
          <t>BRÄCKE</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41922-2023</t>
        </is>
      </c>
      <c r="B1620" s="1" t="n">
        <v>45176</v>
      </c>
      <c r="C1620" s="1" t="n">
        <v>45847</v>
      </c>
      <c r="D1620" t="inlineStr">
        <is>
          <t>JÄMTLANDS LÄN</t>
        </is>
      </c>
      <c r="E1620" t="inlineStr">
        <is>
          <t>BRÄCKE</t>
        </is>
      </c>
      <c r="F1620" t="inlineStr">
        <is>
          <t>SCA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41738-2023</t>
        </is>
      </c>
      <c r="B1621" s="1" t="n">
        <v>45176</v>
      </c>
      <c r="C1621" s="1" t="n">
        <v>45847</v>
      </c>
      <c r="D1621" t="inlineStr">
        <is>
          <t>JÄMTLANDS LÄN</t>
        </is>
      </c>
      <c r="E1621" t="inlineStr">
        <is>
          <t>BRÄCKE</t>
        </is>
      </c>
      <c r="G1621" t="n">
        <v>12.7</v>
      </c>
      <c r="H1621" t="n">
        <v>0</v>
      </c>
      <c r="I1621" t="n">
        <v>0</v>
      </c>
      <c r="J1621" t="n">
        <v>0</v>
      </c>
      <c r="K1621" t="n">
        <v>0</v>
      </c>
      <c r="L1621" t="n">
        <v>0</v>
      </c>
      <c r="M1621" t="n">
        <v>0</v>
      </c>
      <c r="N1621" t="n">
        <v>0</v>
      </c>
      <c r="O1621" t="n">
        <v>0</v>
      </c>
      <c r="P1621" t="n">
        <v>0</v>
      </c>
      <c r="Q1621" t="n">
        <v>0</v>
      </c>
      <c r="R1621" s="2" t="inlineStr"/>
    </row>
    <row r="1622" ht="15" customHeight="1">
      <c r="A1622" t="inlineStr">
        <is>
          <t>A 41936-2023</t>
        </is>
      </c>
      <c r="B1622" s="1" t="n">
        <v>45177</v>
      </c>
      <c r="C1622" s="1" t="n">
        <v>45847</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42159-2023</t>
        </is>
      </c>
      <c r="B1623" s="1" t="n">
        <v>45177</v>
      </c>
      <c r="C1623" s="1" t="n">
        <v>45847</v>
      </c>
      <c r="D1623" t="inlineStr">
        <is>
          <t>JÄMTLANDS LÄN</t>
        </is>
      </c>
      <c r="E1623" t="inlineStr">
        <is>
          <t>BRÄCKE</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42500-2023</t>
        </is>
      </c>
      <c r="B1624" s="1" t="n">
        <v>45181</v>
      </c>
      <c r="C1624" s="1" t="n">
        <v>45847</v>
      </c>
      <c r="D1624" t="inlineStr">
        <is>
          <t>JÄMTLANDS LÄN</t>
        </is>
      </c>
      <c r="E1624" t="inlineStr">
        <is>
          <t>BRÄCKE</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43180-2023</t>
        </is>
      </c>
      <c r="B1625" s="1" t="n">
        <v>45180</v>
      </c>
      <c r="C1625" s="1" t="n">
        <v>45847</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43551-2023</t>
        </is>
      </c>
      <c r="B1626" s="1" t="n">
        <v>45181</v>
      </c>
      <c r="C1626" s="1" t="n">
        <v>45847</v>
      </c>
      <c r="D1626" t="inlineStr">
        <is>
          <t>JÄMTLANDS LÄN</t>
        </is>
      </c>
      <c r="E1626" t="inlineStr">
        <is>
          <t>BRÄCKE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43591-2023</t>
        </is>
      </c>
      <c r="B1627" s="1" t="n">
        <v>45181</v>
      </c>
      <c r="C1627" s="1" t="n">
        <v>45847</v>
      </c>
      <c r="D1627" t="inlineStr">
        <is>
          <t>JÄMTLANDS LÄN</t>
        </is>
      </c>
      <c r="E1627" t="inlineStr">
        <is>
          <t>BRÄCKE</t>
        </is>
      </c>
      <c r="F1627" t="inlineStr">
        <is>
          <t>SCA</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43596-2023</t>
        </is>
      </c>
      <c r="B1628" s="1" t="n">
        <v>45181</v>
      </c>
      <c r="C1628" s="1" t="n">
        <v>45847</v>
      </c>
      <c r="D1628" t="inlineStr">
        <is>
          <t>JÄMTLANDS LÄN</t>
        </is>
      </c>
      <c r="E1628" t="inlineStr">
        <is>
          <t>BRÄCKE</t>
        </is>
      </c>
      <c r="F1628" t="inlineStr">
        <is>
          <t>SCA</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43123-2023</t>
        </is>
      </c>
      <c r="B1629" s="1" t="n">
        <v>45182</v>
      </c>
      <c r="C1629" s="1" t="n">
        <v>45847</v>
      </c>
      <c r="D1629" t="inlineStr">
        <is>
          <t>JÄMTLANDS LÄN</t>
        </is>
      </c>
      <c r="E1629" t="inlineStr">
        <is>
          <t>BRÄCKE</t>
        </is>
      </c>
      <c r="F1629" t="inlineStr">
        <is>
          <t>Naturvårdsverket</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43108-2023</t>
        </is>
      </c>
      <c r="B1630" s="1" t="n">
        <v>45183</v>
      </c>
      <c r="C1630" s="1" t="n">
        <v>45847</v>
      </c>
      <c r="D1630" t="inlineStr">
        <is>
          <t>JÄMTLANDS LÄN</t>
        </is>
      </c>
      <c r="E1630" t="inlineStr">
        <is>
          <t>BRÄCKE</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43906-2023</t>
        </is>
      </c>
      <c r="B1631" s="1" t="n">
        <v>45182</v>
      </c>
      <c r="C1631" s="1" t="n">
        <v>45847</v>
      </c>
      <c r="D1631" t="inlineStr">
        <is>
          <t>JÄMTLANDS LÄN</t>
        </is>
      </c>
      <c r="E1631" t="inlineStr">
        <is>
          <t>BRÄCKE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43910-2023</t>
        </is>
      </c>
      <c r="B1632" s="1" t="n">
        <v>45182</v>
      </c>
      <c r="C1632" s="1" t="n">
        <v>45847</v>
      </c>
      <c r="D1632" t="inlineStr">
        <is>
          <t>JÄMTLANDS LÄN</t>
        </is>
      </c>
      <c r="E1632" t="inlineStr">
        <is>
          <t>BRÄCKE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43093-2023</t>
        </is>
      </c>
      <c r="B1633" s="1" t="n">
        <v>45182</v>
      </c>
      <c r="C1633" s="1" t="n">
        <v>45847</v>
      </c>
      <c r="D1633" t="inlineStr">
        <is>
          <t>JÄMTLANDS LÄN</t>
        </is>
      </c>
      <c r="E1633" t="inlineStr">
        <is>
          <t>BRÄCKE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43869-2023</t>
        </is>
      </c>
      <c r="B1634" s="1" t="n">
        <v>45182</v>
      </c>
      <c r="C1634" s="1" t="n">
        <v>45847</v>
      </c>
      <c r="D1634" t="inlineStr">
        <is>
          <t>JÄMTLANDS LÄN</t>
        </is>
      </c>
      <c r="E1634" t="inlineStr">
        <is>
          <t>BRÄCKE</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43292-2023</t>
        </is>
      </c>
      <c r="B1635" s="1" t="n">
        <v>45183</v>
      </c>
      <c r="C1635" s="1" t="n">
        <v>45847</v>
      </c>
      <c r="D1635" t="inlineStr">
        <is>
          <t>JÄMTLANDS LÄN</t>
        </is>
      </c>
      <c r="E1635" t="inlineStr">
        <is>
          <t>BRÄCKE</t>
        </is>
      </c>
      <c r="F1635" t="inlineStr">
        <is>
          <t>Kyrkan</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43957-2023</t>
        </is>
      </c>
      <c r="B1636" s="1" t="n">
        <v>45187</v>
      </c>
      <c r="C1636" s="1" t="n">
        <v>45847</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43969-2023</t>
        </is>
      </c>
      <c r="B1637" s="1" t="n">
        <v>45187</v>
      </c>
      <c r="C1637" s="1" t="n">
        <v>45847</v>
      </c>
      <c r="D1637" t="inlineStr">
        <is>
          <t>JÄMTLANDS LÄN</t>
        </is>
      </c>
      <c r="E1637" t="inlineStr">
        <is>
          <t>BRÄCKE</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43977-2023</t>
        </is>
      </c>
      <c r="B1638" s="1" t="n">
        <v>45187</v>
      </c>
      <c r="C1638" s="1" t="n">
        <v>45847</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43971-2023</t>
        </is>
      </c>
      <c r="B1639" s="1" t="n">
        <v>45188</v>
      </c>
      <c r="C1639" s="1" t="n">
        <v>45847</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43958-2023</t>
        </is>
      </c>
      <c r="B1640" s="1" t="n">
        <v>45187</v>
      </c>
      <c r="C1640" s="1" t="n">
        <v>45847</v>
      </c>
      <c r="D1640" t="inlineStr">
        <is>
          <t>JÄMTLANDS LÄN</t>
        </is>
      </c>
      <c r="E1640" t="inlineStr">
        <is>
          <t>BRÄCKE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43970-2023</t>
        </is>
      </c>
      <c r="B1641" s="1" t="n">
        <v>45187</v>
      </c>
      <c r="C1641" s="1" t="n">
        <v>45847</v>
      </c>
      <c r="D1641" t="inlineStr">
        <is>
          <t>JÄMTLANDS LÄN</t>
        </is>
      </c>
      <c r="E1641" t="inlineStr">
        <is>
          <t>BRÄCKE</t>
        </is>
      </c>
      <c r="F1641" t="inlineStr">
        <is>
          <t>SCA</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44324-2023</t>
        </is>
      </c>
      <c r="B1642" s="1" t="n">
        <v>45188</v>
      </c>
      <c r="C1642" s="1" t="n">
        <v>45847</v>
      </c>
      <c r="D1642" t="inlineStr">
        <is>
          <t>JÄMTLANDS LÄN</t>
        </is>
      </c>
      <c r="E1642" t="inlineStr">
        <is>
          <t>BRÄCKE</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44318-2023</t>
        </is>
      </c>
      <c r="B1643" s="1" t="n">
        <v>45188</v>
      </c>
      <c r="C1643" s="1" t="n">
        <v>45847</v>
      </c>
      <c r="D1643" t="inlineStr">
        <is>
          <t>JÄMTLANDS LÄN</t>
        </is>
      </c>
      <c r="E1643" t="inlineStr">
        <is>
          <t>BRÄCKE</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44321-2023</t>
        </is>
      </c>
      <c r="B1644" s="1" t="n">
        <v>45188</v>
      </c>
      <c r="C1644" s="1" t="n">
        <v>45847</v>
      </c>
      <c r="D1644" t="inlineStr">
        <is>
          <t>JÄMTLANDS LÄN</t>
        </is>
      </c>
      <c r="E1644" t="inlineStr">
        <is>
          <t>BRÄCKE</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44328-2023</t>
        </is>
      </c>
      <c r="B1645" s="1" t="n">
        <v>45188</v>
      </c>
      <c r="C1645" s="1" t="n">
        <v>45847</v>
      </c>
      <c r="D1645" t="inlineStr">
        <is>
          <t>JÄMTLANDS LÄN</t>
        </is>
      </c>
      <c r="E1645" t="inlineStr">
        <is>
          <t>BRÄCKE</t>
        </is>
      </c>
      <c r="F1645" t="inlineStr">
        <is>
          <t>Sveaskog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44357-2023</t>
        </is>
      </c>
      <c r="B1646" s="1" t="n">
        <v>45188</v>
      </c>
      <c r="C1646" s="1" t="n">
        <v>45847</v>
      </c>
      <c r="D1646" t="inlineStr">
        <is>
          <t>JÄMTLANDS LÄN</t>
        </is>
      </c>
      <c r="E1646" t="inlineStr">
        <is>
          <t>BRÄCKE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44381-2023</t>
        </is>
      </c>
      <c r="B1647" s="1" t="n">
        <v>45188</v>
      </c>
      <c r="C1647" s="1" t="n">
        <v>45847</v>
      </c>
      <c r="D1647" t="inlineStr">
        <is>
          <t>JÄMTLANDS LÄN</t>
        </is>
      </c>
      <c r="E1647" t="inlineStr">
        <is>
          <t>BRÄCKE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44400-2023</t>
        </is>
      </c>
      <c r="B1648" s="1" t="n">
        <v>45189</v>
      </c>
      <c r="C1648" s="1" t="n">
        <v>45847</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44399-2023</t>
        </is>
      </c>
      <c r="B1649" s="1" t="n">
        <v>45189</v>
      </c>
      <c r="C1649" s="1" t="n">
        <v>45847</v>
      </c>
      <c r="D1649" t="inlineStr">
        <is>
          <t>JÄMTLANDS LÄN</t>
        </is>
      </c>
      <c r="E1649" t="inlineStr">
        <is>
          <t>BRÄCKE</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44403-2023</t>
        </is>
      </c>
      <c r="B1650" s="1" t="n">
        <v>45189</v>
      </c>
      <c r="C1650" s="1" t="n">
        <v>45847</v>
      </c>
      <c r="D1650" t="inlineStr">
        <is>
          <t>JÄMTLANDS LÄN</t>
        </is>
      </c>
      <c r="E1650" t="inlineStr">
        <is>
          <t>BRÄCKE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44358-2023</t>
        </is>
      </c>
      <c r="B1651" s="1" t="n">
        <v>45188</v>
      </c>
      <c r="C1651" s="1" t="n">
        <v>45847</v>
      </c>
      <c r="D1651" t="inlineStr">
        <is>
          <t>JÄMTLANDS LÄN</t>
        </is>
      </c>
      <c r="E1651" t="inlineStr">
        <is>
          <t>BRÄCKE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44693-2023</t>
        </is>
      </c>
      <c r="B1652" s="1" t="n">
        <v>45190</v>
      </c>
      <c r="C1652" s="1" t="n">
        <v>45847</v>
      </c>
      <c r="D1652" t="inlineStr">
        <is>
          <t>JÄMTLANDS LÄN</t>
        </is>
      </c>
      <c r="E1652" t="inlineStr">
        <is>
          <t>BRÄCKE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44694-2023</t>
        </is>
      </c>
      <c r="B1653" s="1" t="n">
        <v>45190</v>
      </c>
      <c r="C1653" s="1" t="n">
        <v>45847</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45019-2023</t>
        </is>
      </c>
      <c r="B1654" s="1" t="n">
        <v>45191</v>
      </c>
      <c r="C1654" s="1" t="n">
        <v>45847</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45002-2023</t>
        </is>
      </c>
      <c r="B1655" s="1" t="n">
        <v>45191</v>
      </c>
      <c r="C1655" s="1" t="n">
        <v>45847</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45010-2023</t>
        </is>
      </c>
      <c r="B1656" s="1" t="n">
        <v>45191</v>
      </c>
      <c r="C1656" s="1" t="n">
        <v>45847</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44989-2023</t>
        </is>
      </c>
      <c r="B1657" s="1" t="n">
        <v>45190</v>
      </c>
      <c r="C1657" s="1" t="n">
        <v>45847</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45005-2023</t>
        </is>
      </c>
      <c r="B1658" s="1" t="n">
        <v>45190</v>
      </c>
      <c r="C1658" s="1" t="n">
        <v>45847</v>
      </c>
      <c r="D1658" t="inlineStr">
        <is>
          <t>JÄMTLANDS LÄN</t>
        </is>
      </c>
      <c r="E1658" t="inlineStr">
        <is>
          <t>BRÄCKE</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45009-2023</t>
        </is>
      </c>
      <c r="B1659" s="1" t="n">
        <v>45191</v>
      </c>
      <c r="C1659" s="1" t="n">
        <v>45847</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45013-2023</t>
        </is>
      </c>
      <c r="B1660" s="1" t="n">
        <v>45191</v>
      </c>
      <c r="C1660" s="1" t="n">
        <v>45847</v>
      </c>
      <c r="D1660" t="inlineStr">
        <is>
          <t>JÄMTLANDS LÄN</t>
        </is>
      </c>
      <c r="E1660" t="inlineStr">
        <is>
          <t>BRÄCKE</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45028-2023</t>
        </is>
      </c>
      <c r="B1661" s="1" t="n">
        <v>45190</v>
      </c>
      <c r="C1661" s="1" t="n">
        <v>45847</v>
      </c>
      <c r="D1661" t="inlineStr">
        <is>
          <t>JÄMTLANDS LÄN</t>
        </is>
      </c>
      <c r="E1661" t="inlineStr">
        <is>
          <t>BRÄCKE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45029-2023</t>
        </is>
      </c>
      <c r="B1662" s="1" t="n">
        <v>45191</v>
      </c>
      <c r="C1662" s="1" t="n">
        <v>45847</v>
      </c>
      <c r="D1662" t="inlineStr">
        <is>
          <t>JÄMTLANDS LÄN</t>
        </is>
      </c>
      <c r="E1662" t="inlineStr">
        <is>
          <t>BRÄCKE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45337-2023</t>
        </is>
      </c>
      <c r="B1663" s="1" t="n">
        <v>45191</v>
      </c>
      <c r="C1663" s="1" t="n">
        <v>45847</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45345-2023</t>
        </is>
      </c>
      <c r="B1664" s="1" t="n">
        <v>45192</v>
      </c>
      <c r="C1664" s="1" t="n">
        <v>45847</v>
      </c>
      <c r="D1664" t="inlineStr">
        <is>
          <t>JÄMTLANDS LÄN</t>
        </is>
      </c>
      <c r="E1664" t="inlineStr">
        <is>
          <t>BRÄCKE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45344-2023</t>
        </is>
      </c>
      <c r="B1665" s="1" t="n">
        <v>45191</v>
      </c>
      <c r="C1665" s="1" t="n">
        <v>45847</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45334-2023</t>
        </is>
      </c>
      <c r="B1666" s="1" t="n">
        <v>45192</v>
      </c>
      <c r="C1666" s="1" t="n">
        <v>45847</v>
      </c>
      <c r="D1666" t="inlineStr">
        <is>
          <t>JÄMTLANDS LÄN</t>
        </is>
      </c>
      <c r="E1666" t="inlineStr">
        <is>
          <t>BRÄCKE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45342-2023</t>
        </is>
      </c>
      <c r="B1667" s="1" t="n">
        <v>45192</v>
      </c>
      <c r="C1667" s="1" t="n">
        <v>45847</v>
      </c>
      <c r="D1667" t="inlineStr">
        <is>
          <t>JÄMTLANDS LÄN</t>
        </is>
      </c>
      <c r="E1667" t="inlineStr">
        <is>
          <t>BRÄCKE</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45370-2023</t>
        </is>
      </c>
      <c r="B1668" s="1" t="n">
        <v>45193</v>
      </c>
      <c r="C1668" s="1" t="n">
        <v>45847</v>
      </c>
      <c r="D1668" t="inlineStr">
        <is>
          <t>JÄMTLANDS LÄN</t>
        </is>
      </c>
      <c r="E1668" t="inlineStr">
        <is>
          <t>BRÄCKE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45369-2023</t>
        </is>
      </c>
      <c r="B1669" s="1" t="n">
        <v>45193</v>
      </c>
      <c r="C1669" s="1" t="n">
        <v>45847</v>
      </c>
      <c r="D1669" t="inlineStr">
        <is>
          <t>JÄMTLANDS LÄN</t>
        </is>
      </c>
      <c r="E1669" t="inlineStr">
        <is>
          <t>BRÄCKE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45577-2023</t>
        </is>
      </c>
      <c r="B1670" s="1" t="n">
        <v>45194</v>
      </c>
      <c r="C1670" s="1" t="n">
        <v>45847</v>
      </c>
      <c r="D1670" t="inlineStr">
        <is>
          <t>JÄMTLANDS LÄN</t>
        </is>
      </c>
      <c r="E1670" t="inlineStr">
        <is>
          <t>BRÄCKE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45950-2023</t>
        </is>
      </c>
      <c r="B1671" s="1" t="n">
        <v>45195</v>
      </c>
      <c r="C1671" s="1" t="n">
        <v>45847</v>
      </c>
      <c r="D1671" t="inlineStr">
        <is>
          <t>JÄMTLANDS LÄN</t>
        </is>
      </c>
      <c r="E1671" t="inlineStr">
        <is>
          <t>BRÄCKE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45963-2023</t>
        </is>
      </c>
      <c r="B1672" s="1" t="n">
        <v>45196</v>
      </c>
      <c r="C1672" s="1" t="n">
        <v>45847</v>
      </c>
      <c r="D1672" t="inlineStr">
        <is>
          <t>JÄMTLANDS LÄN</t>
        </is>
      </c>
      <c r="E1672" t="inlineStr">
        <is>
          <t>BRÄCKE</t>
        </is>
      </c>
      <c r="F1672" t="inlineStr">
        <is>
          <t>SCA</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46939-2023</t>
        </is>
      </c>
      <c r="B1673" s="1" t="n">
        <v>45195</v>
      </c>
      <c r="C1673" s="1" t="n">
        <v>45847</v>
      </c>
      <c r="D1673" t="inlineStr">
        <is>
          <t>JÄMTLANDS LÄN</t>
        </is>
      </c>
      <c r="E1673" t="inlineStr">
        <is>
          <t>BRÄCKE</t>
        </is>
      </c>
      <c r="G1673" t="n">
        <v>13.4</v>
      </c>
      <c r="H1673" t="n">
        <v>0</v>
      </c>
      <c r="I1673" t="n">
        <v>0</v>
      </c>
      <c r="J1673" t="n">
        <v>0</v>
      </c>
      <c r="K1673" t="n">
        <v>0</v>
      </c>
      <c r="L1673" t="n">
        <v>0</v>
      </c>
      <c r="M1673" t="n">
        <v>0</v>
      </c>
      <c r="N1673" t="n">
        <v>0</v>
      </c>
      <c r="O1673" t="n">
        <v>0</v>
      </c>
      <c r="P1673" t="n">
        <v>0</v>
      </c>
      <c r="Q1673" t="n">
        <v>0</v>
      </c>
      <c r="R1673" s="2" t="inlineStr"/>
    </row>
    <row r="1674" ht="15" customHeight="1">
      <c r="A1674" t="inlineStr">
        <is>
          <t>A 45936-2023</t>
        </is>
      </c>
      <c r="B1674" s="1" t="n">
        <v>45196</v>
      </c>
      <c r="C1674" s="1" t="n">
        <v>45847</v>
      </c>
      <c r="D1674" t="inlineStr">
        <is>
          <t>JÄMTLANDS LÄN</t>
        </is>
      </c>
      <c r="E1674" t="inlineStr">
        <is>
          <t>BRÄCKE</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46952-2023</t>
        </is>
      </c>
      <c r="B1675" s="1" t="n">
        <v>45195</v>
      </c>
      <c r="C1675" s="1" t="n">
        <v>45847</v>
      </c>
      <c r="D1675" t="inlineStr">
        <is>
          <t>JÄMTLANDS LÄN</t>
        </is>
      </c>
      <c r="E1675" t="inlineStr">
        <is>
          <t>BRÄCKE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45951-2023</t>
        </is>
      </c>
      <c r="B1676" s="1" t="n">
        <v>45196</v>
      </c>
      <c r="C1676" s="1" t="n">
        <v>45847</v>
      </c>
      <c r="D1676" t="inlineStr">
        <is>
          <t>JÄMTLANDS LÄN</t>
        </is>
      </c>
      <c r="E1676" t="inlineStr">
        <is>
          <t>BRÄCKE</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46274-2023</t>
        </is>
      </c>
      <c r="B1677" s="1" t="n">
        <v>45197</v>
      </c>
      <c r="C1677" s="1" t="n">
        <v>45847</v>
      </c>
      <c r="D1677" t="inlineStr">
        <is>
          <t>JÄMTLANDS LÄN</t>
        </is>
      </c>
      <c r="E1677" t="inlineStr">
        <is>
          <t>BRÄCKE</t>
        </is>
      </c>
      <c r="F1677" t="inlineStr">
        <is>
          <t>Naturvårdsverket</t>
        </is>
      </c>
      <c r="G1677" t="n">
        <v>70.3</v>
      </c>
      <c r="H1677" t="n">
        <v>0</v>
      </c>
      <c r="I1677" t="n">
        <v>0</v>
      </c>
      <c r="J1677" t="n">
        <v>0</v>
      </c>
      <c r="K1677" t="n">
        <v>0</v>
      </c>
      <c r="L1677" t="n">
        <v>0</v>
      </c>
      <c r="M1677" t="n">
        <v>0</v>
      </c>
      <c r="N1677" t="n">
        <v>0</v>
      </c>
      <c r="O1677" t="n">
        <v>0</v>
      </c>
      <c r="P1677" t="n">
        <v>0</v>
      </c>
      <c r="Q1677" t="n">
        <v>0</v>
      </c>
      <c r="R1677" s="2" t="inlineStr"/>
    </row>
    <row r="1678" ht="15" customHeight="1">
      <c r="A1678" t="inlineStr">
        <is>
          <t>A 46257-2023</t>
        </is>
      </c>
      <c r="B1678" s="1" t="n">
        <v>45197</v>
      </c>
      <c r="C1678" s="1" t="n">
        <v>45847</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46273-2023</t>
        </is>
      </c>
      <c r="B1679" s="1" t="n">
        <v>45197</v>
      </c>
      <c r="C1679" s="1" t="n">
        <v>45847</v>
      </c>
      <c r="D1679" t="inlineStr">
        <is>
          <t>JÄMTLANDS LÄN</t>
        </is>
      </c>
      <c r="E1679" t="inlineStr">
        <is>
          <t>BRÄCKE</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46263-2023</t>
        </is>
      </c>
      <c r="B1680" s="1" t="n">
        <v>45196</v>
      </c>
      <c r="C1680" s="1" t="n">
        <v>45847</v>
      </c>
      <c r="D1680" t="inlineStr">
        <is>
          <t>JÄMTLANDS LÄN</t>
        </is>
      </c>
      <c r="E1680" t="inlineStr">
        <is>
          <t>BRÄCKE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46551-2023</t>
        </is>
      </c>
      <c r="B1681" s="1" t="n">
        <v>45198</v>
      </c>
      <c r="C1681" s="1" t="n">
        <v>45847</v>
      </c>
      <c r="D1681" t="inlineStr">
        <is>
          <t>JÄMTLANDS LÄN</t>
        </is>
      </c>
      <c r="E1681" t="inlineStr">
        <is>
          <t>BRÄCKE</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46812-2023</t>
        </is>
      </c>
      <c r="B1682" s="1" t="n">
        <v>45198</v>
      </c>
      <c r="C1682" s="1" t="n">
        <v>45847</v>
      </c>
      <c r="D1682" t="inlineStr">
        <is>
          <t>JÄMTLANDS LÄN</t>
        </is>
      </c>
      <c r="E1682" t="inlineStr">
        <is>
          <t>BRÄCKE</t>
        </is>
      </c>
      <c r="F1682" t="inlineStr">
        <is>
          <t>SCA</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46798-2023</t>
        </is>
      </c>
      <c r="B1683" s="1" t="n">
        <v>45198</v>
      </c>
      <c r="C1683" s="1" t="n">
        <v>45847</v>
      </c>
      <c r="D1683" t="inlineStr">
        <is>
          <t>JÄMTLANDS LÄN</t>
        </is>
      </c>
      <c r="E1683" t="inlineStr">
        <is>
          <t>BRÄCKE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46805-2023</t>
        </is>
      </c>
      <c r="B1684" s="1" t="n">
        <v>45198</v>
      </c>
      <c r="C1684" s="1" t="n">
        <v>45847</v>
      </c>
      <c r="D1684" t="inlineStr">
        <is>
          <t>JÄMTLANDS LÄN</t>
        </is>
      </c>
      <c r="E1684" t="inlineStr">
        <is>
          <t>BRÄCKE</t>
        </is>
      </c>
      <c r="F1684" t="inlineStr">
        <is>
          <t>SCA</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46809-2023</t>
        </is>
      </c>
      <c r="B1685" s="1" t="n">
        <v>45199</v>
      </c>
      <c r="C1685" s="1" t="n">
        <v>45847</v>
      </c>
      <c r="D1685" t="inlineStr">
        <is>
          <t>JÄMTLANDS LÄN</t>
        </is>
      </c>
      <c r="E1685" t="inlineStr">
        <is>
          <t>BRÄCKE</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46799-2023</t>
        </is>
      </c>
      <c r="B1686" s="1" t="n">
        <v>45198</v>
      </c>
      <c r="C1686" s="1" t="n">
        <v>45847</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46810-2023</t>
        </is>
      </c>
      <c r="B1687" s="1" t="n">
        <v>45199</v>
      </c>
      <c r="C1687" s="1" t="n">
        <v>45847</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46860-2023</t>
        </is>
      </c>
      <c r="B1688" s="1" t="n">
        <v>45200</v>
      </c>
      <c r="C1688" s="1" t="n">
        <v>45847</v>
      </c>
      <c r="D1688" t="inlineStr">
        <is>
          <t>JÄMTLANDS LÄN</t>
        </is>
      </c>
      <c r="E1688" t="inlineStr">
        <is>
          <t>BRÄCKE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47163-2023</t>
        </is>
      </c>
      <c r="B1689" s="1" t="n">
        <v>45202</v>
      </c>
      <c r="C1689" s="1" t="n">
        <v>45847</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47186-2023</t>
        </is>
      </c>
      <c r="B1690" s="1" t="n">
        <v>45201</v>
      </c>
      <c r="C1690" s="1" t="n">
        <v>45847</v>
      </c>
      <c r="D1690" t="inlineStr">
        <is>
          <t>JÄMTLANDS LÄN</t>
        </is>
      </c>
      <c r="E1690" t="inlineStr">
        <is>
          <t>BRÄCKE</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47169-2023</t>
        </is>
      </c>
      <c r="B1691" s="1" t="n">
        <v>45202</v>
      </c>
      <c r="C1691" s="1" t="n">
        <v>45847</v>
      </c>
      <c r="D1691" t="inlineStr">
        <is>
          <t>JÄMTLANDS LÄN</t>
        </is>
      </c>
      <c r="E1691" t="inlineStr">
        <is>
          <t>BRÄCKE</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48349-2023</t>
        </is>
      </c>
      <c r="B1692" s="1" t="n">
        <v>45201</v>
      </c>
      <c r="C1692" s="1" t="n">
        <v>45847</v>
      </c>
      <c r="D1692" t="inlineStr">
        <is>
          <t>JÄMTLANDS LÄN</t>
        </is>
      </c>
      <c r="E1692" t="inlineStr">
        <is>
          <t>BRÄCKE</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47365-2023</t>
        </is>
      </c>
      <c r="B1693" s="1" t="n">
        <v>45202</v>
      </c>
      <c r="C1693" s="1" t="n">
        <v>45847</v>
      </c>
      <c r="D1693" t="inlineStr">
        <is>
          <t>JÄMTLANDS LÄN</t>
        </is>
      </c>
      <c r="E1693" t="inlineStr">
        <is>
          <t>BRÄCKE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47486-2023</t>
        </is>
      </c>
      <c r="B1694" s="1" t="n">
        <v>45203</v>
      </c>
      <c r="C1694" s="1" t="n">
        <v>45847</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47500-2023</t>
        </is>
      </c>
      <c r="B1695" s="1" t="n">
        <v>45203</v>
      </c>
      <c r="C1695" s="1" t="n">
        <v>45847</v>
      </c>
      <c r="D1695" t="inlineStr">
        <is>
          <t>JÄMTLANDS LÄN</t>
        </is>
      </c>
      <c r="E1695" t="inlineStr">
        <is>
          <t>BRÄCKE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47487-2023</t>
        </is>
      </c>
      <c r="B1696" s="1" t="n">
        <v>45203</v>
      </c>
      <c r="C1696" s="1" t="n">
        <v>45847</v>
      </c>
      <c r="D1696" t="inlineStr">
        <is>
          <t>JÄMTLANDS LÄN</t>
        </is>
      </c>
      <c r="E1696" t="inlineStr">
        <is>
          <t>BRÄCKE</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47788-2023</t>
        </is>
      </c>
      <c r="B1697" s="1" t="n">
        <v>45204</v>
      </c>
      <c r="C1697" s="1" t="n">
        <v>45847</v>
      </c>
      <c r="D1697" t="inlineStr">
        <is>
          <t>JÄMTLANDS LÄN</t>
        </is>
      </c>
      <c r="E1697" t="inlineStr">
        <is>
          <t>BRÄCKE</t>
        </is>
      </c>
      <c r="F1697" t="inlineStr">
        <is>
          <t>SCA</t>
        </is>
      </c>
      <c r="G1697" t="n">
        <v>22.4</v>
      </c>
      <c r="H1697" t="n">
        <v>0</v>
      </c>
      <c r="I1697" t="n">
        <v>0</v>
      </c>
      <c r="J1697" t="n">
        <v>0</v>
      </c>
      <c r="K1697" t="n">
        <v>0</v>
      </c>
      <c r="L1697" t="n">
        <v>0</v>
      </c>
      <c r="M1697" t="n">
        <v>0</v>
      </c>
      <c r="N1697" t="n">
        <v>0</v>
      </c>
      <c r="O1697" t="n">
        <v>0</v>
      </c>
      <c r="P1697" t="n">
        <v>0</v>
      </c>
      <c r="Q1697" t="n">
        <v>0</v>
      </c>
      <c r="R1697" s="2" t="inlineStr"/>
    </row>
    <row r="1698" ht="15" customHeight="1">
      <c r="A1698" t="inlineStr">
        <is>
          <t>A 48079-2023</t>
        </is>
      </c>
      <c r="B1698" s="1" t="n">
        <v>45204</v>
      </c>
      <c r="C1698" s="1" t="n">
        <v>45847</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48058-2023</t>
        </is>
      </c>
      <c r="B1699" s="1" t="n">
        <v>45205</v>
      </c>
      <c r="C1699" s="1" t="n">
        <v>45847</v>
      </c>
      <c r="D1699" t="inlineStr">
        <is>
          <t>JÄMTLANDS LÄN</t>
        </is>
      </c>
      <c r="E1699" t="inlineStr">
        <is>
          <t>BRÄCKE</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48064-2023</t>
        </is>
      </c>
      <c r="B1700" s="1" t="n">
        <v>45204</v>
      </c>
      <c r="C1700" s="1" t="n">
        <v>45847</v>
      </c>
      <c r="D1700" t="inlineStr">
        <is>
          <t>JÄMTLANDS LÄN</t>
        </is>
      </c>
      <c r="E1700" t="inlineStr">
        <is>
          <t>BRÄCKE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48068-2023</t>
        </is>
      </c>
      <c r="B1701" s="1" t="n">
        <v>45205</v>
      </c>
      <c r="C1701" s="1" t="n">
        <v>45847</v>
      </c>
      <c r="D1701" t="inlineStr">
        <is>
          <t>JÄMTLANDS LÄN</t>
        </is>
      </c>
      <c r="E1701" t="inlineStr">
        <is>
          <t>BRÄCKE</t>
        </is>
      </c>
      <c r="F1701" t="inlineStr">
        <is>
          <t>SCA</t>
        </is>
      </c>
      <c r="G1701" t="n">
        <v>12.7</v>
      </c>
      <c r="H1701" t="n">
        <v>0</v>
      </c>
      <c r="I1701" t="n">
        <v>0</v>
      </c>
      <c r="J1701" t="n">
        <v>0</v>
      </c>
      <c r="K1701" t="n">
        <v>0</v>
      </c>
      <c r="L1701" t="n">
        <v>0</v>
      </c>
      <c r="M1701" t="n">
        <v>0</v>
      </c>
      <c r="N1701" t="n">
        <v>0</v>
      </c>
      <c r="O1701" t="n">
        <v>0</v>
      </c>
      <c r="P1701" t="n">
        <v>0</v>
      </c>
      <c r="Q1701" t="n">
        <v>0</v>
      </c>
      <c r="R1701" s="2" t="inlineStr"/>
    </row>
    <row r="1702" ht="15" customHeight="1">
      <c r="A1702" t="inlineStr">
        <is>
          <t>A 48080-2023</t>
        </is>
      </c>
      <c r="B1702" s="1" t="n">
        <v>45205</v>
      </c>
      <c r="C1702" s="1" t="n">
        <v>45847</v>
      </c>
      <c r="D1702" t="inlineStr">
        <is>
          <t>JÄMTLANDS LÄN</t>
        </is>
      </c>
      <c r="E1702" t="inlineStr">
        <is>
          <t>BRÄCKE</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49085-2023</t>
        </is>
      </c>
      <c r="B1703" s="1" t="n">
        <v>45204</v>
      </c>
      <c r="C1703" s="1" t="n">
        <v>45847</v>
      </c>
      <c r="D1703" t="inlineStr">
        <is>
          <t>JÄMTLANDS LÄN</t>
        </is>
      </c>
      <c r="E1703" t="inlineStr">
        <is>
          <t>BRÄCKE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48159-2023</t>
        </is>
      </c>
      <c r="B1704" s="1" t="n">
        <v>45205</v>
      </c>
      <c r="C1704" s="1" t="n">
        <v>45847</v>
      </c>
      <c r="D1704" t="inlineStr">
        <is>
          <t>JÄMTLANDS LÄN</t>
        </is>
      </c>
      <c r="E1704" t="inlineStr">
        <is>
          <t>BRÄCKE</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48434-2023</t>
        </is>
      </c>
      <c r="B1705" s="1" t="n">
        <v>45205</v>
      </c>
      <c r="C1705" s="1" t="n">
        <v>45847</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48419-2023</t>
        </is>
      </c>
      <c r="B1706" s="1" t="n">
        <v>45205</v>
      </c>
      <c r="C1706" s="1" t="n">
        <v>45847</v>
      </c>
      <c r="D1706" t="inlineStr">
        <is>
          <t>JÄMTLANDS LÄN</t>
        </is>
      </c>
      <c r="E1706" t="inlineStr">
        <is>
          <t>BRÄCKE</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48433-2023</t>
        </is>
      </c>
      <c r="B1707" s="1" t="n">
        <v>45205</v>
      </c>
      <c r="C1707" s="1" t="n">
        <v>45847</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48432-2023</t>
        </is>
      </c>
      <c r="B1708" s="1" t="n">
        <v>45205</v>
      </c>
      <c r="C1708" s="1" t="n">
        <v>45847</v>
      </c>
      <c r="D1708" t="inlineStr">
        <is>
          <t>JÄMTLANDS LÄN</t>
        </is>
      </c>
      <c r="E1708" t="inlineStr">
        <is>
          <t>BRÄCKE</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48425-2023</t>
        </is>
      </c>
      <c r="B1709" s="1" t="n">
        <v>45205</v>
      </c>
      <c r="C1709" s="1" t="n">
        <v>45847</v>
      </c>
      <c r="D1709" t="inlineStr">
        <is>
          <t>JÄMTLANDS LÄN</t>
        </is>
      </c>
      <c r="E1709" t="inlineStr">
        <is>
          <t>BRÄCKE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48435-2023</t>
        </is>
      </c>
      <c r="B1710" s="1" t="n">
        <v>45205</v>
      </c>
      <c r="C1710" s="1" t="n">
        <v>45847</v>
      </c>
      <c r="D1710" t="inlineStr">
        <is>
          <t>JÄMTLANDS LÄN</t>
        </is>
      </c>
      <c r="E1710" t="inlineStr">
        <is>
          <t>BRÄCKE</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48482-2023</t>
        </is>
      </c>
      <c r="B1711" s="1" t="n">
        <v>45207</v>
      </c>
      <c r="C1711" s="1" t="n">
        <v>45847</v>
      </c>
      <c r="D1711" t="inlineStr">
        <is>
          <t>JÄMTLANDS LÄN</t>
        </is>
      </c>
      <c r="E1711" t="inlineStr">
        <is>
          <t>BRÄCKE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48473-2023</t>
        </is>
      </c>
      <c r="B1712" s="1" t="n">
        <v>45207</v>
      </c>
      <c r="C1712" s="1" t="n">
        <v>45847</v>
      </c>
      <c r="D1712" t="inlineStr">
        <is>
          <t>JÄMTLANDS LÄN</t>
        </is>
      </c>
      <c r="E1712" t="inlineStr">
        <is>
          <t>BRÄCKE</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48481-2023</t>
        </is>
      </c>
      <c r="B1713" s="1" t="n">
        <v>45206</v>
      </c>
      <c r="C1713" s="1" t="n">
        <v>45847</v>
      </c>
      <c r="D1713" t="inlineStr">
        <is>
          <t>JÄMTLANDS LÄN</t>
        </is>
      </c>
      <c r="E1713" t="inlineStr">
        <is>
          <t>BRÄCKE</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48480-2023</t>
        </is>
      </c>
      <c r="B1714" s="1" t="n">
        <v>45207</v>
      </c>
      <c r="C1714" s="1" t="n">
        <v>45847</v>
      </c>
      <c r="D1714" t="inlineStr">
        <is>
          <t>JÄMTLANDS LÄN</t>
        </is>
      </c>
      <c r="E1714" t="inlineStr">
        <is>
          <t>BRÄCKE</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48507-2023</t>
        </is>
      </c>
      <c r="B1715" s="1" t="n">
        <v>45208</v>
      </c>
      <c r="C1715" s="1" t="n">
        <v>45847</v>
      </c>
      <c r="D1715" t="inlineStr">
        <is>
          <t>JÄMTLANDS LÄN</t>
        </is>
      </c>
      <c r="E1715" t="inlineStr">
        <is>
          <t>BRÄCKE</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48509-2023</t>
        </is>
      </c>
      <c r="B1716" s="1" t="n">
        <v>45207</v>
      </c>
      <c r="C1716" s="1" t="n">
        <v>45847</v>
      </c>
      <c r="D1716" t="inlineStr">
        <is>
          <t>JÄMTLANDS LÄN</t>
        </is>
      </c>
      <c r="E1716" t="inlineStr">
        <is>
          <t>BRÄCKE</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48672-2023</t>
        </is>
      </c>
      <c r="B1717" s="1" t="n">
        <v>45208</v>
      </c>
      <c r="C1717" s="1" t="n">
        <v>45847</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48770-2023</t>
        </is>
      </c>
      <c r="B1718" s="1" t="n">
        <v>45209</v>
      </c>
      <c r="C1718" s="1" t="n">
        <v>45847</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48779-2023</t>
        </is>
      </c>
      <c r="B1719" s="1" t="n">
        <v>45209</v>
      </c>
      <c r="C1719" s="1" t="n">
        <v>45847</v>
      </c>
      <c r="D1719" t="inlineStr">
        <is>
          <t>JÄMTLANDS LÄN</t>
        </is>
      </c>
      <c r="E1719" t="inlineStr">
        <is>
          <t>BRÄCKE</t>
        </is>
      </c>
      <c r="F1719" t="inlineStr">
        <is>
          <t>Naturvårdsverket</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48781-2023</t>
        </is>
      </c>
      <c r="B1720" s="1" t="n">
        <v>45209</v>
      </c>
      <c r="C1720" s="1" t="n">
        <v>45847</v>
      </c>
      <c r="D1720" t="inlineStr">
        <is>
          <t>JÄMTLANDS LÄN</t>
        </is>
      </c>
      <c r="E1720" t="inlineStr">
        <is>
          <t>BRÄCKE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50151-2023</t>
        </is>
      </c>
      <c r="B1721" s="1" t="n">
        <v>45208</v>
      </c>
      <c r="C1721" s="1" t="n">
        <v>45847</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48900-2023</t>
        </is>
      </c>
      <c r="B1722" s="1" t="n">
        <v>45209</v>
      </c>
      <c r="C1722" s="1" t="n">
        <v>45847</v>
      </c>
      <c r="D1722" t="inlineStr">
        <is>
          <t>JÄMTLANDS LÄN</t>
        </is>
      </c>
      <c r="E1722" t="inlineStr">
        <is>
          <t>BRÄCKE</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49035-2023</t>
        </is>
      </c>
      <c r="B1723" s="1" t="n">
        <v>45210</v>
      </c>
      <c r="C1723" s="1" t="n">
        <v>45847</v>
      </c>
      <c r="D1723" t="inlineStr">
        <is>
          <t>JÄMTLANDS LÄN</t>
        </is>
      </c>
      <c r="E1723" t="inlineStr">
        <is>
          <t>BRÄCKE</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49043-2023</t>
        </is>
      </c>
      <c r="B1724" s="1" t="n">
        <v>45210</v>
      </c>
      <c r="C1724" s="1" t="n">
        <v>45847</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49044-2023</t>
        </is>
      </c>
      <c r="B1725" s="1" t="n">
        <v>45209</v>
      </c>
      <c r="C1725" s="1" t="n">
        <v>45847</v>
      </c>
      <c r="D1725" t="inlineStr">
        <is>
          <t>JÄMTLANDS LÄN</t>
        </is>
      </c>
      <c r="E1725" t="inlineStr">
        <is>
          <t>BRÄCKE</t>
        </is>
      </c>
      <c r="F1725" t="inlineStr">
        <is>
          <t>SCA</t>
        </is>
      </c>
      <c r="G1725" t="n">
        <v>12.4</v>
      </c>
      <c r="H1725" t="n">
        <v>0</v>
      </c>
      <c r="I1725" t="n">
        <v>0</v>
      </c>
      <c r="J1725" t="n">
        <v>0</v>
      </c>
      <c r="K1725" t="n">
        <v>0</v>
      </c>
      <c r="L1725" t="n">
        <v>0</v>
      </c>
      <c r="M1725" t="n">
        <v>0</v>
      </c>
      <c r="N1725" t="n">
        <v>0</v>
      </c>
      <c r="O1725" t="n">
        <v>0</v>
      </c>
      <c r="P1725" t="n">
        <v>0</v>
      </c>
      <c r="Q1725" t="n">
        <v>0</v>
      </c>
      <c r="R1725" s="2" t="inlineStr"/>
    </row>
    <row r="1726" ht="15" customHeight="1">
      <c r="A1726" t="inlineStr">
        <is>
          <t>A 49034-2023</t>
        </is>
      </c>
      <c r="B1726" s="1" t="n">
        <v>45210</v>
      </c>
      <c r="C1726" s="1" t="n">
        <v>45847</v>
      </c>
      <c r="D1726" t="inlineStr">
        <is>
          <t>JÄMTLANDS LÄN</t>
        </is>
      </c>
      <c r="E1726" t="inlineStr">
        <is>
          <t>BRÄCKE</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49042-2023</t>
        </is>
      </c>
      <c r="B1727" s="1" t="n">
        <v>45210</v>
      </c>
      <c r="C1727" s="1" t="n">
        <v>45847</v>
      </c>
      <c r="D1727" t="inlineStr">
        <is>
          <t>JÄMTLANDS LÄN</t>
        </is>
      </c>
      <c r="E1727" t="inlineStr">
        <is>
          <t>BRÄCKE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49037-2023</t>
        </is>
      </c>
      <c r="B1728" s="1" t="n">
        <v>45210</v>
      </c>
      <c r="C1728" s="1" t="n">
        <v>45847</v>
      </c>
      <c r="D1728" t="inlineStr">
        <is>
          <t>JÄMTLANDS LÄN</t>
        </is>
      </c>
      <c r="E1728" t="inlineStr">
        <is>
          <t>BRÄCKE</t>
        </is>
      </c>
      <c r="F1728" t="inlineStr">
        <is>
          <t>SCA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49326-2023</t>
        </is>
      </c>
      <c r="B1729" s="1" t="n">
        <v>45211</v>
      </c>
      <c r="C1729" s="1" t="n">
        <v>45847</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49330-2023</t>
        </is>
      </c>
      <c r="B1730" s="1" t="n">
        <v>45211</v>
      </c>
      <c r="C1730" s="1" t="n">
        <v>45847</v>
      </c>
      <c r="D1730" t="inlineStr">
        <is>
          <t>JÄMTLANDS LÄN</t>
        </is>
      </c>
      <c r="E1730" t="inlineStr">
        <is>
          <t>BRÄCKE</t>
        </is>
      </c>
      <c r="F1730" t="inlineStr">
        <is>
          <t>SCA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49315-2023</t>
        </is>
      </c>
      <c r="B1731" s="1" t="n">
        <v>45210</v>
      </c>
      <c r="C1731" s="1" t="n">
        <v>45847</v>
      </c>
      <c r="D1731" t="inlineStr">
        <is>
          <t>JÄMTLANDS LÄN</t>
        </is>
      </c>
      <c r="E1731" t="inlineStr">
        <is>
          <t>BRÄCKE</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49316-2023</t>
        </is>
      </c>
      <c r="B1732" s="1" t="n">
        <v>45211</v>
      </c>
      <c r="C1732" s="1" t="n">
        <v>45847</v>
      </c>
      <c r="D1732" t="inlineStr">
        <is>
          <t>JÄMTLANDS LÄN</t>
        </is>
      </c>
      <c r="E1732" t="inlineStr">
        <is>
          <t>BRÄCKE</t>
        </is>
      </c>
      <c r="F1732" t="inlineStr">
        <is>
          <t>SCA</t>
        </is>
      </c>
      <c r="G1732" t="n">
        <v>13.4</v>
      </c>
      <c r="H1732" t="n">
        <v>0</v>
      </c>
      <c r="I1732" t="n">
        <v>0</v>
      </c>
      <c r="J1732" t="n">
        <v>0</v>
      </c>
      <c r="K1732" t="n">
        <v>0</v>
      </c>
      <c r="L1732" t="n">
        <v>0</v>
      </c>
      <c r="M1732" t="n">
        <v>0</v>
      </c>
      <c r="N1732" t="n">
        <v>0</v>
      </c>
      <c r="O1732" t="n">
        <v>0</v>
      </c>
      <c r="P1732" t="n">
        <v>0</v>
      </c>
      <c r="Q1732" t="n">
        <v>0</v>
      </c>
      <c r="R1732" s="2" t="inlineStr"/>
    </row>
    <row r="1733" ht="15" customHeight="1">
      <c r="A1733" t="inlineStr">
        <is>
          <t>A 49646-2023</t>
        </is>
      </c>
      <c r="B1733" s="1" t="n">
        <v>45211</v>
      </c>
      <c r="C1733" s="1" t="n">
        <v>45847</v>
      </c>
      <c r="D1733" t="inlineStr">
        <is>
          <t>JÄMTLANDS LÄN</t>
        </is>
      </c>
      <c r="E1733" t="inlineStr">
        <is>
          <t>BRÄCKE</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49653-2023</t>
        </is>
      </c>
      <c r="B1734" s="1" t="n">
        <v>45211</v>
      </c>
      <c r="C1734" s="1" t="n">
        <v>45847</v>
      </c>
      <c r="D1734" t="inlineStr">
        <is>
          <t>JÄMTLANDS LÄN</t>
        </is>
      </c>
      <c r="E1734" t="inlineStr">
        <is>
          <t>BRÄCKE</t>
        </is>
      </c>
      <c r="F1734" t="inlineStr">
        <is>
          <t>SCA</t>
        </is>
      </c>
      <c r="G1734" t="n">
        <v>66.7</v>
      </c>
      <c r="H1734" t="n">
        <v>0</v>
      </c>
      <c r="I1734" t="n">
        <v>0</v>
      </c>
      <c r="J1734" t="n">
        <v>0</v>
      </c>
      <c r="K1734" t="n">
        <v>0</v>
      </c>
      <c r="L1734" t="n">
        <v>0</v>
      </c>
      <c r="M1734" t="n">
        <v>0</v>
      </c>
      <c r="N1734" t="n">
        <v>0</v>
      </c>
      <c r="O1734" t="n">
        <v>0</v>
      </c>
      <c r="P1734" t="n">
        <v>0</v>
      </c>
      <c r="Q1734" t="n">
        <v>0</v>
      </c>
      <c r="R1734" s="2" t="inlineStr"/>
    </row>
    <row r="1735" ht="15" customHeight="1">
      <c r="A1735" t="inlineStr">
        <is>
          <t>A 49864-2023</t>
        </is>
      </c>
      <c r="B1735" s="1" t="n">
        <v>45212</v>
      </c>
      <c r="C1735" s="1" t="n">
        <v>45847</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51140-2023</t>
        </is>
      </c>
      <c r="B1736" s="1" t="n">
        <v>45212</v>
      </c>
      <c r="C1736" s="1" t="n">
        <v>45847</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50222-2023</t>
        </is>
      </c>
      <c r="B1737" s="1" t="n">
        <v>45216</v>
      </c>
      <c r="C1737" s="1" t="n">
        <v>45847</v>
      </c>
      <c r="D1737" t="inlineStr">
        <is>
          <t>JÄMTLANDS LÄN</t>
        </is>
      </c>
      <c r="E1737" t="inlineStr">
        <is>
          <t>BRÄCKE</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50060-2023</t>
        </is>
      </c>
      <c r="B1738" s="1" t="n">
        <v>45215</v>
      </c>
      <c r="C1738" s="1" t="n">
        <v>45847</v>
      </c>
      <c r="D1738" t="inlineStr">
        <is>
          <t>JÄMTLANDS LÄN</t>
        </is>
      </c>
      <c r="E1738" t="inlineStr">
        <is>
          <t>BRÄCKE</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50223-2023</t>
        </is>
      </c>
      <c r="B1739" s="1" t="n">
        <v>45216</v>
      </c>
      <c r="C1739" s="1" t="n">
        <v>45847</v>
      </c>
      <c r="D1739" t="inlineStr">
        <is>
          <t>JÄMTLANDS LÄN</t>
        </is>
      </c>
      <c r="E1739" t="inlineStr">
        <is>
          <t>BRÄCKE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50221-2023</t>
        </is>
      </c>
      <c r="B1740" s="1" t="n">
        <v>45216</v>
      </c>
      <c r="C1740" s="1" t="n">
        <v>45847</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50220-2023</t>
        </is>
      </c>
      <c r="B1741" s="1" t="n">
        <v>45215</v>
      </c>
      <c r="C1741" s="1" t="n">
        <v>45847</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50515-2023</t>
        </is>
      </c>
      <c r="B1742" s="1" t="n">
        <v>45216</v>
      </c>
      <c r="C1742" s="1" t="n">
        <v>45847</v>
      </c>
      <c r="D1742" t="inlineStr">
        <is>
          <t>JÄMTLANDS LÄN</t>
        </is>
      </c>
      <c r="E1742" t="inlineStr">
        <is>
          <t>BRÄCKE</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50514-2023</t>
        </is>
      </c>
      <c r="B1743" s="1" t="n">
        <v>45217</v>
      </c>
      <c r="C1743" s="1" t="n">
        <v>45847</v>
      </c>
      <c r="D1743" t="inlineStr">
        <is>
          <t>JÄMTLANDS LÄN</t>
        </is>
      </c>
      <c r="E1743" t="inlineStr">
        <is>
          <t>BRÄCKE</t>
        </is>
      </c>
      <c r="F1743" t="inlineStr">
        <is>
          <t>SCA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50609-2023</t>
        </is>
      </c>
      <c r="B1744" s="1" t="n">
        <v>45217</v>
      </c>
      <c r="C1744" s="1" t="n">
        <v>45847</v>
      </c>
      <c r="D1744" t="inlineStr">
        <is>
          <t>JÄMTLANDS LÄN</t>
        </is>
      </c>
      <c r="E1744" t="inlineStr">
        <is>
          <t>BRÄCKE</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50637-2023</t>
        </is>
      </c>
      <c r="B1745" s="1" t="n">
        <v>45217</v>
      </c>
      <c r="C1745" s="1" t="n">
        <v>45847</v>
      </c>
      <c r="D1745" t="inlineStr">
        <is>
          <t>JÄMTLANDS LÄN</t>
        </is>
      </c>
      <c r="E1745" t="inlineStr">
        <is>
          <t>BRÄCKE</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50827-2023</t>
        </is>
      </c>
      <c r="B1746" s="1" t="n">
        <v>45218</v>
      </c>
      <c r="C1746" s="1" t="n">
        <v>45847</v>
      </c>
      <c r="D1746" t="inlineStr">
        <is>
          <t>JÄMTLANDS LÄN</t>
        </is>
      </c>
      <c r="E1746" t="inlineStr">
        <is>
          <t>BRÄCKE</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50828-2023</t>
        </is>
      </c>
      <c r="B1747" s="1" t="n">
        <v>45218</v>
      </c>
      <c r="C1747" s="1" t="n">
        <v>45847</v>
      </c>
      <c r="D1747" t="inlineStr">
        <is>
          <t>JÄMTLANDS LÄN</t>
        </is>
      </c>
      <c r="E1747" t="inlineStr">
        <is>
          <t>BRÄCKE</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50840-2023</t>
        </is>
      </c>
      <c r="B1748" s="1" t="n">
        <v>45217</v>
      </c>
      <c r="C1748" s="1" t="n">
        <v>45847</v>
      </c>
      <c r="D1748" t="inlineStr">
        <is>
          <t>JÄMTLANDS LÄN</t>
        </is>
      </c>
      <c r="E1748" t="inlineStr">
        <is>
          <t>BRÄCKE</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52269-2023</t>
        </is>
      </c>
      <c r="B1749" s="1" t="n">
        <v>45217</v>
      </c>
      <c r="C1749" s="1" t="n">
        <v>45847</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51029-2023</t>
        </is>
      </c>
      <c r="B1750" s="1" t="n">
        <v>45218</v>
      </c>
      <c r="C1750" s="1" t="n">
        <v>45847</v>
      </c>
      <c r="D1750" t="inlineStr">
        <is>
          <t>JÄMTLANDS LÄN</t>
        </is>
      </c>
      <c r="E1750" t="inlineStr">
        <is>
          <t>BRÄCKE</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51042-2023</t>
        </is>
      </c>
      <c r="B1751" s="1" t="n">
        <v>45218</v>
      </c>
      <c r="C1751" s="1" t="n">
        <v>45847</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51039-2023</t>
        </is>
      </c>
      <c r="B1752" s="1" t="n">
        <v>45218</v>
      </c>
      <c r="C1752" s="1" t="n">
        <v>45847</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51161-2023</t>
        </is>
      </c>
      <c r="B1753" s="1" t="n">
        <v>45219</v>
      </c>
      <c r="C1753" s="1" t="n">
        <v>45847</v>
      </c>
      <c r="D1753" t="inlineStr">
        <is>
          <t>JÄMTLANDS LÄN</t>
        </is>
      </c>
      <c r="E1753" t="inlineStr">
        <is>
          <t>BRÄCKE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51421-2023</t>
        </is>
      </c>
      <c r="B1754" s="1" t="n">
        <v>45219</v>
      </c>
      <c r="C1754" s="1" t="n">
        <v>45847</v>
      </c>
      <c r="D1754" t="inlineStr">
        <is>
          <t>JÄMTLANDS LÄN</t>
        </is>
      </c>
      <c r="E1754" t="inlineStr">
        <is>
          <t>BRÄCKE</t>
        </is>
      </c>
      <c r="F1754" t="inlineStr">
        <is>
          <t>SCA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51433-2023</t>
        </is>
      </c>
      <c r="B1755" s="1" t="n">
        <v>45220</v>
      </c>
      <c r="C1755" s="1" t="n">
        <v>45847</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51441-2023</t>
        </is>
      </c>
      <c r="B1756" s="1" t="n">
        <v>45220</v>
      </c>
      <c r="C1756" s="1" t="n">
        <v>45847</v>
      </c>
      <c r="D1756" t="inlineStr">
        <is>
          <t>JÄMTLANDS LÄN</t>
        </is>
      </c>
      <c r="E1756" t="inlineStr">
        <is>
          <t>BRÄCKE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51424-2023</t>
        </is>
      </c>
      <c r="B1757" s="1" t="n">
        <v>45220</v>
      </c>
      <c r="C1757" s="1" t="n">
        <v>45847</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51432-2023</t>
        </is>
      </c>
      <c r="B1758" s="1" t="n">
        <v>45220</v>
      </c>
      <c r="C1758" s="1" t="n">
        <v>45847</v>
      </c>
      <c r="D1758" t="inlineStr">
        <is>
          <t>JÄMTLANDS LÄN</t>
        </is>
      </c>
      <c r="E1758" t="inlineStr">
        <is>
          <t>BRÄCKE</t>
        </is>
      </c>
      <c r="F1758" t="inlineStr">
        <is>
          <t>SCA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51440-2023</t>
        </is>
      </c>
      <c r="B1759" s="1" t="n">
        <v>45220</v>
      </c>
      <c r="C1759" s="1" t="n">
        <v>45847</v>
      </c>
      <c r="D1759" t="inlineStr">
        <is>
          <t>JÄMTLANDS LÄN</t>
        </is>
      </c>
      <c r="E1759" t="inlineStr">
        <is>
          <t>BRÄCKE</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51431-2023</t>
        </is>
      </c>
      <c r="B1760" s="1" t="n">
        <v>45220</v>
      </c>
      <c r="C1760" s="1" t="n">
        <v>45847</v>
      </c>
      <c r="D1760" t="inlineStr">
        <is>
          <t>JÄMTLANDS LÄN</t>
        </is>
      </c>
      <c r="E1760" t="inlineStr">
        <is>
          <t>BRÄCKE</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51423-2023</t>
        </is>
      </c>
      <c r="B1761" s="1" t="n">
        <v>45220</v>
      </c>
      <c r="C1761" s="1" t="n">
        <v>45847</v>
      </c>
      <c r="D1761" t="inlineStr">
        <is>
          <t>JÄMTLANDS LÄN</t>
        </is>
      </c>
      <c r="E1761" t="inlineStr">
        <is>
          <t>BRÄCKE</t>
        </is>
      </c>
      <c r="F1761" t="inlineStr">
        <is>
          <t>SCA</t>
        </is>
      </c>
      <c r="G1761" t="n">
        <v>15.1</v>
      </c>
      <c r="H1761" t="n">
        <v>0</v>
      </c>
      <c r="I1761" t="n">
        <v>0</v>
      </c>
      <c r="J1761" t="n">
        <v>0</v>
      </c>
      <c r="K1761" t="n">
        <v>0</v>
      </c>
      <c r="L1761" t="n">
        <v>0</v>
      </c>
      <c r="M1761" t="n">
        <v>0</v>
      </c>
      <c r="N1761" t="n">
        <v>0</v>
      </c>
      <c r="O1761" t="n">
        <v>0</v>
      </c>
      <c r="P1761" t="n">
        <v>0</v>
      </c>
      <c r="Q1761" t="n">
        <v>0</v>
      </c>
      <c r="R1761" s="2" t="inlineStr"/>
    </row>
    <row r="1762" ht="15" customHeight="1">
      <c r="A1762" t="inlineStr">
        <is>
          <t>A 51167-2023</t>
        </is>
      </c>
      <c r="B1762" s="1" t="n">
        <v>45219</v>
      </c>
      <c r="C1762" s="1" t="n">
        <v>45847</v>
      </c>
      <c r="D1762" t="inlineStr">
        <is>
          <t>JÄMTLANDS LÄN</t>
        </is>
      </c>
      <c r="E1762" t="inlineStr">
        <is>
          <t>BRÄCKE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51422-2023</t>
        </is>
      </c>
      <c r="B1763" s="1" t="n">
        <v>45219</v>
      </c>
      <c r="C1763" s="1" t="n">
        <v>45847</v>
      </c>
      <c r="D1763" t="inlineStr">
        <is>
          <t>JÄMTLANDS LÄN</t>
        </is>
      </c>
      <c r="E1763" t="inlineStr">
        <is>
          <t>BRÄCKE</t>
        </is>
      </c>
      <c r="F1763" t="inlineStr">
        <is>
          <t>SCA</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51434-2023</t>
        </is>
      </c>
      <c r="B1764" s="1" t="n">
        <v>45220</v>
      </c>
      <c r="C1764" s="1" t="n">
        <v>45847</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51808-2023</t>
        </is>
      </c>
      <c r="B1765" s="1" t="n">
        <v>45222</v>
      </c>
      <c r="C1765" s="1" t="n">
        <v>45847</v>
      </c>
      <c r="D1765" t="inlineStr">
        <is>
          <t>JÄMTLANDS LÄN</t>
        </is>
      </c>
      <c r="E1765" t="inlineStr">
        <is>
          <t>BRÄCKE</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51809-2023</t>
        </is>
      </c>
      <c r="B1766" s="1" t="n">
        <v>45223</v>
      </c>
      <c r="C1766" s="1" t="n">
        <v>45847</v>
      </c>
      <c r="D1766" t="inlineStr">
        <is>
          <t>JÄMTLANDS LÄN</t>
        </is>
      </c>
      <c r="E1766" t="inlineStr">
        <is>
          <t>BRÄCKE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51821-2023</t>
        </is>
      </c>
      <c r="B1767" s="1" t="n">
        <v>45222</v>
      </c>
      <c r="C1767" s="1" t="n">
        <v>45847</v>
      </c>
      <c r="D1767" t="inlineStr">
        <is>
          <t>JÄMTLANDS LÄN</t>
        </is>
      </c>
      <c r="E1767" t="inlineStr">
        <is>
          <t>BRÄCKE</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51832-2023</t>
        </is>
      </c>
      <c r="B1768" s="1" t="n">
        <v>45223</v>
      </c>
      <c r="C1768" s="1" t="n">
        <v>45847</v>
      </c>
      <c r="D1768" t="inlineStr">
        <is>
          <t>JÄMTLANDS LÄN</t>
        </is>
      </c>
      <c r="E1768" t="inlineStr">
        <is>
          <t>BRÄCKE</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51827-2023</t>
        </is>
      </c>
      <c r="B1769" s="1" t="n">
        <v>45223</v>
      </c>
      <c r="C1769" s="1" t="n">
        <v>45847</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53027-2023</t>
        </is>
      </c>
      <c r="B1770" s="1" t="n">
        <v>45222</v>
      </c>
      <c r="C1770" s="1" t="n">
        <v>45847</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52124-2023</t>
        </is>
      </c>
      <c r="B1771" s="1" t="n">
        <v>45224</v>
      </c>
      <c r="C1771" s="1" t="n">
        <v>45847</v>
      </c>
      <c r="D1771" t="inlineStr">
        <is>
          <t>JÄMTLANDS LÄN</t>
        </is>
      </c>
      <c r="E1771" t="inlineStr">
        <is>
          <t>BRÄCKE</t>
        </is>
      </c>
      <c r="F1771" t="inlineStr">
        <is>
          <t>SCA</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52127-2023</t>
        </is>
      </c>
      <c r="B1772" s="1" t="n">
        <v>45224</v>
      </c>
      <c r="C1772" s="1" t="n">
        <v>45847</v>
      </c>
      <c r="D1772" t="inlineStr">
        <is>
          <t>JÄMTLANDS LÄN</t>
        </is>
      </c>
      <c r="E1772" t="inlineStr">
        <is>
          <t>BRÄCKE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52133-2023</t>
        </is>
      </c>
      <c r="B1773" s="1" t="n">
        <v>45224</v>
      </c>
      <c r="C1773" s="1" t="n">
        <v>45847</v>
      </c>
      <c r="D1773" t="inlineStr">
        <is>
          <t>JÄMTLANDS LÄN</t>
        </is>
      </c>
      <c r="E1773" t="inlineStr">
        <is>
          <t>BRÄCKE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52137-2023</t>
        </is>
      </c>
      <c r="B1774" s="1" t="n">
        <v>45224</v>
      </c>
      <c r="C1774" s="1" t="n">
        <v>45847</v>
      </c>
      <c r="D1774" t="inlineStr">
        <is>
          <t>JÄMTLANDS LÄN</t>
        </is>
      </c>
      <c r="E1774" t="inlineStr">
        <is>
          <t>BRÄCKE</t>
        </is>
      </c>
      <c r="F1774" t="inlineStr">
        <is>
          <t>SCA</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53522-2023</t>
        </is>
      </c>
      <c r="B1775" s="1" t="n">
        <v>45223</v>
      </c>
      <c r="C1775" s="1" t="n">
        <v>45847</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53480-2023</t>
        </is>
      </c>
      <c r="B1776" s="1" t="n">
        <v>45223</v>
      </c>
      <c r="C1776" s="1" t="n">
        <v>45847</v>
      </c>
      <c r="D1776" t="inlineStr">
        <is>
          <t>JÄMTLANDS LÄN</t>
        </is>
      </c>
      <c r="E1776" t="inlineStr">
        <is>
          <t>BRÄCKE</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52723-2023</t>
        </is>
      </c>
      <c r="B1777" s="1" t="n">
        <v>45225</v>
      </c>
      <c r="C1777" s="1" t="n">
        <v>45847</v>
      </c>
      <c r="D1777" t="inlineStr">
        <is>
          <t>JÄMTLANDS LÄN</t>
        </is>
      </c>
      <c r="E1777" t="inlineStr">
        <is>
          <t>BRÄCKE</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52760-2023</t>
        </is>
      </c>
      <c r="B1778" s="1" t="n">
        <v>45225</v>
      </c>
      <c r="C1778" s="1" t="n">
        <v>45847</v>
      </c>
      <c r="D1778" t="inlineStr">
        <is>
          <t>JÄMTLANDS LÄN</t>
        </is>
      </c>
      <c r="E1778" t="inlineStr">
        <is>
          <t>BRÄCKE</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52761-2023</t>
        </is>
      </c>
      <c r="B1779" s="1" t="n">
        <v>45225</v>
      </c>
      <c r="C1779" s="1" t="n">
        <v>45847</v>
      </c>
      <c r="D1779" t="inlineStr">
        <is>
          <t>JÄMTLANDS LÄN</t>
        </is>
      </c>
      <c r="E1779" t="inlineStr">
        <is>
          <t>BRÄCKE</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52754-2023</t>
        </is>
      </c>
      <c r="B1780" s="1" t="n">
        <v>45226</v>
      </c>
      <c r="C1780" s="1" t="n">
        <v>45847</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52739-2023</t>
        </is>
      </c>
      <c r="B1781" s="1" t="n">
        <v>45225</v>
      </c>
      <c r="C1781" s="1" t="n">
        <v>45847</v>
      </c>
      <c r="D1781" t="inlineStr">
        <is>
          <t>JÄMTLANDS LÄN</t>
        </is>
      </c>
      <c r="E1781" t="inlineStr">
        <is>
          <t>BRÄCKE</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52743-2023</t>
        </is>
      </c>
      <c r="B1782" s="1" t="n">
        <v>45226</v>
      </c>
      <c r="C1782" s="1" t="n">
        <v>45847</v>
      </c>
      <c r="D1782" t="inlineStr">
        <is>
          <t>JÄMTLANDS LÄN</t>
        </is>
      </c>
      <c r="E1782" t="inlineStr">
        <is>
          <t>BRÄCKE</t>
        </is>
      </c>
      <c r="F1782" t="inlineStr">
        <is>
          <t>SCA</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53054-2023</t>
        </is>
      </c>
      <c r="B1783" s="1" t="n">
        <v>45227</v>
      </c>
      <c r="C1783" s="1" t="n">
        <v>45847</v>
      </c>
      <c r="D1783" t="inlineStr">
        <is>
          <t>JÄMTLANDS LÄN</t>
        </is>
      </c>
      <c r="E1783" t="inlineStr">
        <is>
          <t>BRÄCKE</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53046-2023</t>
        </is>
      </c>
      <c r="B1784" s="1" t="n">
        <v>45227</v>
      </c>
      <c r="C1784" s="1" t="n">
        <v>45847</v>
      </c>
      <c r="D1784" t="inlineStr">
        <is>
          <t>JÄMTLANDS LÄN</t>
        </is>
      </c>
      <c r="E1784" t="inlineStr">
        <is>
          <t>BRÄCKE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53047-2023</t>
        </is>
      </c>
      <c r="B1785" s="1" t="n">
        <v>45227</v>
      </c>
      <c r="C1785" s="1" t="n">
        <v>45847</v>
      </c>
      <c r="D1785" t="inlineStr">
        <is>
          <t>JÄMTLANDS LÄN</t>
        </is>
      </c>
      <c r="E1785" t="inlineStr">
        <is>
          <t>BRÄCKE</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53760-2023</t>
        </is>
      </c>
      <c r="B1786" s="1" t="n">
        <v>45230</v>
      </c>
      <c r="C1786" s="1" t="n">
        <v>45847</v>
      </c>
      <c r="D1786" t="inlineStr">
        <is>
          <t>JÄMTLANDS LÄN</t>
        </is>
      </c>
      <c r="E1786" t="inlineStr">
        <is>
          <t>BRÄCKE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53555-2023</t>
        </is>
      </c>
      <c r="B1787" s="1" t="n">
        <v>45230</v>
      </c>
      <c r="C1787" s="1" t="n">
        <v>45847</v>
      </c>
      <c r="D1787" t="inlineStr">
        <is>
          <t>JÄMTLANDS LÄN</t>
        </is>
      </c>
      <c r="E1787" t="inlineStr">
        <is>
          <t>BRÄCKE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53761-2023</t>
        </is>
      </c>
      <c r="B1788" s="1" t="n">
        <v>45231</v>
      </c>
      <c r="C1788" s="1" t="n">
        <v>45847</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54070-2023</t>
        </is>
      </c>
      <c r="B1789" s="1" t="n">
        <v>45232</v>
      </c>
      <c r="C1789" s="1" t="n">
        <v>45847</v>
      </c>
      <c r="D1789" t="inlineStr">
        <is>
          <t>JÄMTLANDS LÄN</t>
        </is>
      </c>
      <c r="E1789" t="inlineStr">
        <is>
          <t>BRÄCKE</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54074-2023</t>
        </is>
      </c>
      <c r="B1790" s="1" t="n">
        <v>45232</v>
      </c>
      <c r="C1790" s="1" t="n">
        <v>45847</v>
      </c>
      <c r="D1790" t="inlineStr">
        <is>
          <t>JÄMTLANDS LÄN</t>
        </is>
      </c>
      <c r="E1790" t="inlineStr">
        <is>
          <t>BRÄCKE</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54072-2023</t>
        </is>
      </c>
      <c r="B1791" s="1" t="n">
        <v>45231</v>
      </c>
      <c r="C1791" s="1" t="n">
        <v>45847</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55242-2023</t>
        </is>
      </c>
      <c r="B1792" s="1" t="n">
        <v>45231</v>
      </c>
      <c r="C1792" s="1" t="n">
        <v>45847</v>
      </c>
      <c r="D1792" t="inlineStr">
        <is>
          <t>JÄMTLANDS LÄN</t>
        </is>
      </c>
      <c r="E1792" t="inlineStr">
        <is>
          <t>BRÄCKE</t>
        </is>
      </c>
      <c r="G1792" t="n">
        <v>8.4</v>
      </c>
      <c r="H1792" t="n">
        <v>0</v>
      </c>
      <c r="I1792" t="n">
        <v>0</v>
      </c>
      <c r="J1792" t="n">
        <v>0</v>
      </c>
      <c r="K1792" t="n">
        <v>0</v>
      </c>
      <c r="L1792" t="n">
        <v>0</v>
      </c>
      <c r="M1792" t="n">
        <v>0</v>
      </c>
      <c r="N1792" t="n">
        <v>0</v>
      </c>
      <c r="O1792" t="n">
        <v>0</v>
      </c>
      <c r="P1792" t="n">
        <v>0</v>
      </c>
      <c r="Q1792" t="n">
        <v>0</v>
      </c>
      <c r="R1792" s="2" t="inlineStr"/>
    </row>
    <row r="1793" ht="15" customHeight="1">
      <c r="A1793" t="inlineStr">
        <is>
          <t>A 54073-2023</t>
        </is>
      </c>
      <c r="B1793" s="1" t="n">
        <v>45231</v>
      </c>
      <c r="C1793" s="1" t="n">
        <v>45847</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54334-2023</t>
        </is>
      </c>
      <c r="B1794" s="1" t="n">
        <v>45232</v>
      </c>
      <c r="C1794" s="1" t="n">
        <v>45847</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54355-2023</t>
        </is>
      </c>
      <c r="B1795" s="1" t="n">
        <v>45233</v>
      </c>
      <c r="C1795" s="1" t="n">
        <v>45847</v>
      </c>
      <c r="D1795" t="inlineStr">
        <is>
          <t>JÄMTLANDS LÄN</t>
        </is>
      </c>
      <c r="E1795" t="inlineStr">
        <is>
          <t>BRÄCKE</t>
        </is>
      </c>
      <c r="F1795" t="inlineStr">
        <is>
          <t>Kyrkan</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54350-2023</t>
        </is>
      </c>
      <c r="B1796" s="1" t="n">
        <v>45232</v>
      </c>
      <c r="C1796" s="1" t="n">
        <v>45847</v>
      </c>
      <c r="D1796" t="inlineStr">
        <is>
          <t>JÄMTLANDS LÄN</t>
        </is>
      </c>
      <c r="E1796" t="inlineStr">
        <is>
          <t>BRÄCKE</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54328-2023</t>
        </is>
      </c>
      <c r="B1797" s="1" t="n">
        <v>45232</v>
      </c>
      <c r="C1797" s="1" t="n">
        <v>45847</v>
      </c>
      <c r="D1797" t="inlineStr">
        <is>
          <t>JÄMTLANDS LÄN</t>
        </is>
      </c>
      <c r="E1797" t="inlineStr">
        <is>
          <t>BRÄCKE</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54332-2023</t>
        </is>
      </c>
      <c r="B1798" s="1" t="n">
        <v>45232</v>
      </c>
      <c r="C1798" s="1" t="n">
        <v>45847</v>
      </c>
      <c r="D1798" t="inlineStr">
        <is>
          <t>JÄMTLANDS LÄN</t>
        </is>
      </c>
      <c r="E1798" t="inlineStr">
        <is>
          <t>BRÄCKE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54331-2023</t>
        </is>
      </c>
      <c r="B1799" s="1" t="n">
        <v>45232</v>
      </c>
      <c r="C1799" s="1" t="n">
        <v>45847</v>
      </c>
      <c r="D1799" t="inlineStr">
        <is>
          <t>JÄMTLANDS LÄN</t>
        </is>
      </c>
      <c r="E1799" t="inlineStr">
        <is>
          <t>BRÄCKE</t>
        </is>
      </c>
      <c r="F1799" t="inlineStr">
        <is>
          <t>SCA</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54335-2023</t>
        </is>
      </c>
      <c r="B1800" s="1" t="n">
        <v>45232</v>
      </c>
      <c r="C1800" s="1" t="n">
        <v>45847</v>
      </c>
      <c r="D1800" t="inlineStr">
        <is>
          <t>JÄMTLANDS LÄN</t>
        </is>
      </c>
      <c r="E1800" t="inlineStr">
        <is>
          <t>BRÄCKE</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54352-2023</t>
        </is>
      </c>
      <c r="B1801" s="1" t="n">
        <v>45233</v>
      </c>
      <c r="C1801" s="1" t="n">
        <v>45847</v>
      </c>
      <c r="D1801" t="inlineStr">
        <is>
          <t>JÄMTLANDS LÄN</t>
        </is>
      </c>
      <c r="E1801" t="inlineStr">
        <is>
          <t>BRÄCKE</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55548-2023</t>
        </is>
      </c>
      <c r="B1802" s="1" t="n">
        <v>45232</v>
      </c>
      <c r="C1802" s="1" t="n">
        <v>45847</v>
      </c>
      <c r="D1802" t="inlineStr">
        <is>
          <t>JÄMTLANDS LÄN</t>
        </is>
      </c>
      <c r="E1802" t="inlineStr">
        <is>
          <t>BRÄCKE</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54612-2023</t>
        </is>
      </c>
      <c r="B1803" s="1" t="n">
        <v>45233</v>
      </c>
      <c r="C1803" s="1" t="n">
        <v>45847</v>
      </c>
      <c r="D1803" t="inlineStr">
        <is>
          <t>JÄMTLANDS LÄN</t>
        </is>
      </c>
      <c r="E1803" t="inlineStr">
        <is>
          <t>BRÄCKE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54460-2023</t>
        </is>
      </c>
      <c r="B1804" s="1" t="n">
        <v>45233</v>
      </c>
      <c r="C1804" s="1" t="n">
        <v>45847</v>
      </c>
      <c r="D1804" t="inlineStr">
        <is>
          <t>JÄMTLANDS LÄN</t>
        </is>
      </c>
      <c r="E1804" t="inlineStr">
        <is>
          <t>BRÄCKE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54600-2023</t>
        </is>
      </c>
      <c r="B1805" s="1" t="n">
        <v>45233</v>
      </c>
      <c r="C1805" s="1" t="n">
        <v>45847</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54447-2023</t>
        </is>
      </c>
      <c r="B1806" s="1" t="n">
        <v>45233</v>
      </c>
      <c r="C1806" s="1" t="n">
        <v>45847</v>
      </c>
      <c r="D1806" t="inlineStr">
        <is>
          <t>JÄMTLANDS LÄN</t>
        </is>
      </c>
      <c r="E1806" t="inlineStr">
        <is>
          <t>BRÄCKE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54451-2023</t>
        </is>
      </c>
      <c r="B1807" s="1" t="n">
        <v>45233</v>
      </c>
      <c r="C1807" s="1" t="n">
        <v>45847</v>
      </c>
      <c r="D1807" t="inlineStr">
        <is>
          <t>JÄMTLANDS LÄN</t>
        </is>
      </c>
      <c r="E1807" t="inlineStr">
        <is>
          <t>BRÄCKE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54986-2023</t>
        </is>
      </c>
      <c r="B1808" s="1" t="n">
        <v>45237</v>
      </c>
      <c r="C1808" s="1" t="n">
        <v>45847</v>
      </c>
      <c r="D1808" t="inlineStr">
        <is>
          <t>JÄMTLANDS LÄN</t>
        </is>
      </c>
      <c r="E1808" t="inlineStr">
        <is>
          <t>BRÄCKE</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54789-2023</t>
        </is>
      </c>
      <c r="B1809" s="1" t="n">
        <v>45236</v>
      </c>
      <c r="C1809" s="1" t="n">
        <v>45847</v>
      </c>
      <c r="D1809" t="inlineStr">
        <is>
          <t>JÄMTLANDS LÄN</t>
        </is>
      </c>
      <c r="E1809" t="inlineStr">
        <is>
          <t>BRÄCKE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54949-2023</t>
        </is>
      </c>
      <c r="B1810" s="1" t="n">
        <v>45236</v>
      </c>
      <c r="C1810" s="1" t="n">
        <v>45847</v>
      </c>
      <c r="D1810" t="inlineStr">
        <is>
          <t>JÄMTLANDS LÄN</t>
        </is>
      </c>
      <c r="E1810" t="inlineStr">
        <is>
          <t>BRÄCKE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56499-2023</t>
        </is>
      </c>
      <c r="B1811" s="1" t="n">
        <v>45237</v>
      </c>
      <c r="C1811" s="1" t="n">
        <v>45847</v>
      </c>
      <c r="D1811" t="inlineStr">
        <is>
          <t>JÄMTLANDS LÄN</t>
        </is>
      </c>
      <c r="E1811" t="inlineStr">
        <is>
          <t>BRÄCKE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55665-2023</t>
        </is>
      </c>
      <c r="B1812" s="1" t="n">
        <v>45239</v>
      </c>
      <c r="C1812" s="1" t="n">
        <v>45847</v>
      </c>
      <c r="D1812" t="inlineStr">
        <is>
          <t>JÄMTLANDS LÄN</t>
        </is>
      </c>
      <c r="E1812" t="inlineStr">
        <is>
          <t>BRÄCKE</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55662-2023</t>
        </is>
      </c>
      <c r="B1813" s="1" t="n">
        <v>45239</v>
      </c>
      <c r="C1813" s="1" t="n">
        <v>45847</v>
      </c>
      <c r="D1813" t="inlineStr">
        <is>
          <t>JÄMTLANDS LÄN</t>
        </is>
      </c>
      <c r="E1813" t="inlineStr">
        <is>
          <t>BRÄCKE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55668-2023</t>
        </is>
      </c>
      <c r="B1814" s="1" t="n">
        <v>45238</v>
      </c>
      <c r="C1814" s="1" t="n">
        <v>45847</v>
      </c>
      <c r="D1814" t="inlineStr">
        <is>
          <t>JÄMTLANDS LÄN</t>
        </is>
      </c>
      <c r="E1814" t="inlineStr">
        <is>
          <t>BRÄCKE</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55659-2023</t>
        </is>
      </c>
      <c r="B1815" s="1" t="n">
        <v>45239</v>
      </c>
      <c r="C1815" s="1" t="n">
        <v>45847</v>
      </c>
      <c r="D1815" t="inlineStr">
        <is>
          <t>JÄMTLANDS LÄN</t>
        </is>
      </c>
      <c r="E1815" t="inlineStr">
        <is>
          <t>BRÄCKE</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55663-2023</t>
        </is>
      </c>
      <c r="B1816" s="1" t="n">
        <v>45239</v>
      </c>
      <c r="C1816" s="1" t="n">
        <v>45847</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55667-2023</t>
        </is>
      </c>
      <c r="B1817" s="1" t="n">
        <v>45239</v>
      </c>
      <c r="C1817" s="1" t="n">
        <v>45847</v>
      </c>
      <c r="D1817" t="inlineStr">
        <is>
          <t>JÄMTLANDS LÄN</t>
        </is>
      </c>
      <c r="E1817" t="inlineStr">
        <is>
          <t>BRÄCKE</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56253-2023</t>
        </is>
      </c>
      <c r="B1818" s="1" t="n">
        <v>45240</v>
      </c>
      <c r="C1818" s="1" t="n">
        <v>45847</v>
      </c>
      <c r="D1818" t="inlineStr">
        <is>
          <t>JÄMTLANDS LÄN</t>
        </is>
      </c>
      <c r="E1818" t="inlineStr">
        <is>
          <t>BRÄCKE</t>
        </is>
      </c>
      <c r="F1818" t="inlineStr">
        <is>
          <t>SCA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56688-2023</t>
        </is>
      </c>
      <c r="B1819" s="1" t="n">
        <v>45244</v>
      </c>
      <c r="C1819" s="1" t="n">
        <v>45847</v>
      </c>
      <c r="D1819" t="inlineStr">
        <is>
          <t>JÄMTLANDS LÄN</t>
        </is>
      </c>
      <c r="E1819" t="inlineStr">
        <is>
          <t>BRÄCKE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56686-2023</t>
        </is>
      </c>
      <c r="B1820" s="1" t="n">
        <v>45244</v>
      </c>
      <c r="C1820" s="1" t="n">
        <v>45847</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56690-2023</t>
        </is>
      </c>
      <c r="B1821" s="1" t="n">
        <v>45244</v>
      </c>
      <c r="C1821" s="1" t="n">
        <v>45847</v>
      </c>
      <c r="D1821" t="inlineStr">
        <is>
          <t>JÄMTLANDS LÄN</t>
        </is>
      </c>
      <c r="E1821" t="inlineStr">
        <is>
          <t>BRÄCKE</t>
        </is>
      </c>
      <c r="G1821" t="n">
        <v>24.3</v>
      </c>
      <c r="H1821" t="n">
        <v>0</v>
      </c>
      <c r="I1821" t="n">
        <v>0</v>
      </c>
      <c r="J1821" t="n">
        <v>0</v>
      </c>
      <c r="K1821" t="n">
        <v>0</v>
      </c>
      <c r="L1821" t="n">
        <v>0</v>
      </c>
      <c r="M1821" t="n">
        <v>0</v>
      </c>
      <c r="N1821" t="n">
        <v>0</v>
      </c>
      <c r="O1821" t="n">
        <v>0</v>
      </c>
      <c r="P1821" t="n">
        <v>0</v>
      </c>
      <c r="Q1821" t="n">
        <v>0</v>
      </c>
      <c r="R1821" s="2" t="inlineStr"/>
    </row>
    <row r="1822" ht="15" customHeight="1">
      <c r="A1822" t="inlineStr">
        <is>
          <t>A 56525-2023</t>
        </is>
      </c>
      <c r="B1822" s="1" t="n">
        <v>45243</v>
      </c>
      <c r="C1822" s="1" t="n">
        <v>45847</v>
      </c>
      <c r="D1822" t="inlineStr">
        <is>
          <t>JÄMTLANDS LÄN</t>
        </is>
      </c>
      <c r="E1822" t="inlineStr">
        <is>
          <t>BRÄCKE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56687-2023</t>
        </is>
      </c>
      <c r="B1823" s="1" t="n">
        <v>45244</v>
      </c>
      <c r="C1823" s="1" t="n">
        <v>45847</v>
      </c>
      <c r="D1823" t="inlineStr">
        <is>
          <t>JÄMTLANDS LÄN</t>
        </is>
      </c>
      <c r="E1823" t="inlineStr">
        <is>
          <t>BRÄCKE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57612-2023</t>
        </is>
      </c>
      <c r="B1824" s="1" t="n">
        <v>45243</v>
      </c>
      <c r="C1824" s="1" t="n">
        <v>45847</v>
      </c>
      <c r="D1824" t="inlineStr">
        <is>
          <t>JÄMTLANDS LÄN</t>
        </is>
      </c>
      <c r="E1824" t="inlineStr">
        <is>
          <t>BRÄCKE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57942-2023</t>
        </is>
      </c>
      <c r="B1825" s="1" t="n">
        <v>45244</v>
      </c>
      <c r="C1825" s="1" t="n">
        <v>45847</v>
      </c>
      <c r="D1825" t="inlineStr">
        <is>
          <t>JÄMTLANDS LÄN</t>
        </is>
      </c>
      <c r="E1825" t="inlineStr">
        <is>
          <t>BRÄCKE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57412-2023</t>
        </is>
      </c>
      <c r="B1826" s="1" t="n">
        <v>45246</v>
      </c>
      <c r="C1826" s="1" t="n">
        <v>45847</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57420-2023</t>
        </is>
      </c>
      <c r="B1827" s="1" t="n">
        <v>45246</v>
      </c>
      <c r="C1827" s="1" t="n">
        <v>45847</v>
      </c>
      <c r="D1827" t="inlineStr">
        <is>
          <t>JÄMTLANDS LÄN</t>
        </is>
      </c>
      <c r="E1827" t="inlineStr">
        <is>
          <t>BRÄCKE</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57393-2023</t>
        </is>
      </c>
      <c r="B1828" s="1" t="n">
        <v>45246</v>
      </c>
      <c r="C1828" s="1" t="n">
        <v>45847</v>
      </c>
      <c r="D1828" t="inlineStr">
        <is>
          <t>JÄMTLANDS LÄN</t>
        </is>
      </c>
      <c r="E1828" t="inlineStr">
        <is>
          <t>BRÄCKE</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57397-2023</t>
        </is>
      </c>
      <c r="B1829" s="1" t="n">
        <v>45245</v>
      </c>
      <c r="C1829" s="1" t="n">
        <v>45847</v>
      </c>
      <c r="D1829" t="inlineStr">
        <is>
          <t>JÄMTLANDS LÄN</t>
        </is>
      </c>
      <c r="E1829" t="inlineStr">
        <is>
          <t>BRÄCKE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57414-2023</t>
        </is>
      </c>
      <c r="B1830" s="1" t="n">
        <v>45246</v>
      </c>
      <c r="C1830" s="1" t="n">
        <v>45847</v>
      </c>
      <c r="D1830" t="inlineStr">
        <is>
          <t>JÄMTLANDS LÄN</t>
        </is>
      </c>
      <c r="E1830" t="inlineStr">
        <is>
          <t>BRÄCKE</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57405-2023</t>
        </is>
      </c>
      <c r="B1831" s="1" t="n">
        <v>45245</v>
      </c>
      <c r="C1831" s="1" t="n">
        <v>45847</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57417-2023</t>
        </is>
      </c>
      <c r="B1832" s="1" t="n">
        <v>45246</v>
      </c>
      <c r="C1832" s="1" t="n">
        <v>45847</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57407-2023</t>
        </is>
      </c>
      <c r="B1833" s="1" t="n">
        <v>45245</v>
      </c>
      <c r="C1833" s="1" t="n">
        <v>45847</v>
      </c>
      <c r="D1833" t="inlineStr">
        <is>
          <t>JÄMTLANDS LÄN</t>
        </is>
      </c>
      <c r="E1833" t="inlineStr">
        <is>
          <t>BRÄCKE</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57419-2023</t>
        </is>
      </c>
      <c r="B1834" s="1" t="n">
        <v>45246</v>
      </c>
      <c r="C1834" s="1" t="n">
        <v>45847</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57779-2023</t>
        </is>
      </c>
      <c r="B1835" s="1" t="n">
        <v>45247</v>
      </c>
      <c r="C1835" s="1" t="n">
        <v>45847</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57783-2023</t>
        </is>
      </c>
      <c r="B1836" s="1" t="n">
        <v>45247</v>
      </c>
      <c r="C1836" s="1" t="n">
        <v>45847</v>
      </c>
      <c r="D1836" t="inlineStr">
        <is>
          <t>JÄMTLANDS LÄN</t>
        </is>
      </c>
      <c r="E1836" t="inlineStr">
        <is>
          <t>BRÄCKE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57798-2023</t>
        </is>
      </c>
      <c r="B1837" s="1" t="n">
        <v>45247</v>
      </c>
      <c r="C1837" s="1" t="n">
        <v>45847</v>
      </c>
      <c r="D1837" t="inlineStr">
        <is>
          <t>JÄMTLANDS LÄN</t>
        </is>
      </c>
      <c r="E1837" t="inlineStr">
        <is>
          <t>BRÄCKE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58078-2023</t>
        </is>
      </c>
      <c r="B1838" s="1" t="n">
        <v>45248</v>
      </c>
      <c r="C1838" s="1" t="n">
        <v>45847</v>
      </c>
      <c r="D1838" t="inlineStr">
        <is>
          <t>JÄMTLANDS LÄN</t>
        </is>
      </c>
      <c r="E1838" t="inlineStr">
        <is>
          <t>BRÄCKE</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58082-2023</t>
        </is>
      </c>
      <c r="B1839" s="1" t="n">
        <v>45248</v>
      </c>
      <c r="C1839" s="1" t="n">
        <v>45847</v>
      </c>
      <c r="D1839" t="inlineStr">
        <is>
          <t>JÄMTLANDS LÄN</t>
        </is>
      </c>
      <c r="E1839" t="inlineStr">
        <is>
          <t>BRÄCKE</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58083-2023</t>
        </is>
      </c>
      <c r="B1840" s="1" t="n">
        <v>45248</v>
      </c>
      <c r="C1840" s="1" t="n">
        <v>45847</v>
      </c>
      <c r="D1840" t="inlineStr">
        <is>
          <t>JÄMTLANDS LÄN</t>
        </is>
      </c>
      <c r="E1840" t="inlineStr">
        <is>
          <t>BRÄCKE</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58079-2023</t>
        </is>
      </c>
      <c r="B1841" s="1" t="n">
        <v>45248</v>
      </c>
      <c r="C1841" s="1" t="n">
        <v>45847</v>
      </c>
      <c r="D1841" t="inlineStr">
        <is>
          <t>JÄMTLANDS LÄN</t>
        </is>
      </c>
      <c r="E1841" t="inlineStr">
        <is>
          <t>BRÄCKE</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58468-2023</t>
        </is>
      </c>
      <c r="B1842" s="1" t="n">
        <v>45251</v>
      </c>
      <c r="C1842" s="1" t="n">
        <v>45847</v>
      </c>
      <c r="D1842" t="inlineStr">
        <is>
          <t>JÄMTLANDS LÄN</t>
        </is>
      </c>
      <c r="E1842" t="inlineStr">
        <is>
          <t>BRÄCKE</t>
        </is>
      </c>
      <c r="F1842" t="inlineStr">
        <is>
          <t>SCA</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58467-2023</t>
        </is>
      </c>
      <c r="B1843" s="1" t="n">
        <v>45251</v>
      </c>
      <c r="C1843" s="1" t="n">
        <v>45847</v>
      </c>
      <c r="D1843" t="inlineStr">
        <is>
          <t>JÄMTLANDS LÄN</t>
        </is>
      </c>
      <c r="E1843" t="inlineStr">
        <is>
          <t>BRÄCKE</t>
        </is>
      </c>
      <c r="F1843" t="inlineStr">
        <is>
          <t>SCA</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58471-2023</t>
        </is>
      </c>
      <c r="B1844" s="1" t="n">
        <v>45251</v>
      </c>
      <c r="C1844" s="1" t="n">
        <v>45847</v>
      </c>
      <c r="D1844" t="inlineStr">
        <is>
          <t>JÄMTLANDS LÄN</t>
        </is>
      </c>
      <c r="E1844" t="inlineStr">
        <is>
          <t>BRÄCKE</t>
        </is>
      </c>
      <c r="F1844" t="inlineStr">
        <is>
          <t>SCA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58368-2023</t>
        </is>
      </c>
      <c r="B1845" s="1" t="n">
        <v>45250</v>
      </c>
      <c r="C1845" s="1" t="n">
        <v>45847</v>
      </c>
      <c r="D1845" t="inlineStr">
        <is>
          <t>JÄMTLANDS LÄN</t>
        </is>
      </c>
      <c r="E1845" t="inlineStr">
        <is>
          <t>BRÄCKE</t>
        </is>
      </c>
      <c r="G1845" t="n">
        <v>16.1</v>
      </c>
      <c r="H1845" t="n">
        <v>0</v>
      </c>
      <c r="I1845" t="n">
        <v>0</v>
      </c>
      <c r="J1845" t="n">
        <v>0</v>
      </c>
      <c r="K1845" t="n">
        <v>0</v>
      </c>
      <c r="L1845" t="n">
        <v>0</v>
      </c>
      <c r="M1845" t="n">
        <v>0</v>
      </c>
      <c r="N1845" t="n">
        <v>0</v>
      </c>
      <c r="O1845" t="n">
        <v>0</v>
      </c>
      <c r="P1845" t="n">
        <v>0</v>
      </c>
      <c r="Q1845" t="n">
        <v>0</v>
      </c>
      <c r="R1845" s="2" t="inlineStr"/>
    </row>
    <row r="1846" ht="15" customHeight="1">
      <c r="A1846" t="inlineStr">
        <is>
          <t>A 58461-2023</t>
        </is>
      </c>
      <c r="B1846" s="1" t="n">
        <v>45250</v>
      </c>
      <c r="C1846" s="1" t="n">
        <v>45847</v>
      </c>
      <c r="D1846" t="inlineStr">
        <is>
          <t>JÄMTLANDS LÄN</t>
        </is>
      </c>
      <c r="E1846" t="inlineStr">
        <is>
          <t>BRÄCKE</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58742-2023</t>
        </is>
      </c>
      <c r="B1847" s="1" t="n">
        <v>45251</v>
      </c>
      <c r="C1847" s="1" t="n">
        <v>45847</v>
      </c>
      <c r="D1847" t="inlineStr">
        <is>
          <t>JÄMTLANDS LÄN</t>
        </is>
      </c>
      <c r="E1847" t="inlineStr">
        <is>
          <t>BRÄCKE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58758-2023</t>
        </is>
      </c>
      <c r="B1848" s="1" t="n">
        <v>45251</v>
      </c>
      <c r="C1848" s="1" t="n">
        <v>45847</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58762-2023</t>
        </is>
      </c>
      <c r="B1849" s="1" t="n">
        <v>45252</v>
      </c>
      <c r="C1849" s="1" t="n">
        <v>45847</v>
      </c>
      <c r="D1849" t="inlineStr">
        <is>
          <t>JÄMTLANDS LÄN</t>
        </is>
      </c>
      <c r="E1849" t="inlineStr">
        <is>
          <t>BRÄCKE</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58740-2023</t>
        </is>
      </c>
      <c r="B1850" s="1" t="n">
        <v>45251</v>
      </c>
      <c r="C1850" s="1" t="n">
        <v>45847</v>
      </c>
      <c r="D1850" t="inlineStr">
        <is>
          <t>JÄMTLANDS LÄN</t>
        </is>
      </c>
      <c r="E1850" t="inlineStr">
        <is>
          <t>BRÄCKE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58776-2023</t>
        </is>
      </c>
      <c r="B1851" s="1" t="n">
        <v>45252</v>
      </c>
      <c r="C1851" s="1" t="n">
        <v>45847</v>
      </c>
      <c r="D1851" t="inlineStr">
        <is>
          <t>JÄMTLANDS LÄN</t>
        </is>
      </c>
      <c r="E1851" t="inlineStr">
        <is>
          <t>BRÄCKE</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58741-2023</t>
        </is>
      </c>
      <c r="B1852" s="1" t="n">
        <v>45251</v>
      </c>
      <c r="C1852" s="1" t="n">
        <v>45847</v>
      </c>
      <c r="D1852" t="inlineStr">
        <is>
          <t>JÄMTLANDS LÄN</t>
        </is>
      </c>
      <c r="E1852" t="inlineStr">
        <is>
          <t>BRÄCKE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58767-2023</t>
        </is>
      </c>
      <c r="B1853" s="1" t="n">
        <v>45252</v>
      </c>
      <c r="C1853" s="1" t="n">
        <v>45847</v>
      </c>
      <c r="D1853" t="inlineStr">
        <is>
          <t>JÄMTLANDS LÄN</t>
        </is>
      </c>
      <c r="E1853" t="inlineStr">
        <is>
          <t>BRÄCKE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59102-2023</t>
        </is>
      </c>
      <c r="B1854" s="1" t="n">
        <v>45253</v>
      </c>
      <c r="C1854" s="1" t="n">
        <v>45847</v>
      </c>
      <c r="D1854" t="inlineStr">
        <is>
          <t>JÄMTLANDS LÄN</t>
        </is>
      </c>
      <c r="E1854" t="inlineStr">
        <is>
          <t>BRÄCKE</t>
        </is>
      </c>
      <c r="F1854" t="inlineStr">
        <is>
          <t>SCA</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59416-2023</t>
        </is>
      </c>
      <c r="B1855" s="1" t="n">
        <v>45254</v>
      </c>
      <c r="C1855" s="1" t="n">
        <v>45847</v>
      </c>
      <c r="D1855" t="inlineStr">
        <is>
          <t>JÄMTLANDS LÄN</t>
        </is>
      </c>
      <c r="E1855" t="inlineStr">
        <is>
          <t>BRÄCKE</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59419-2023</t>
        </is>
      </c>
      <c r="B1856" s="1" t="n">
        <v>45254</v>
      </c>
      <c r="C1856" s="1" t="n">
        <v>45847</v>
      </c>
      <c r="D1856" t="inlineStr">
        <is>
          <t>JÄMTLANDS LÄN</t>
        </is>
      </c>
      <c r="E1856" t="inlineStr">
        <is>
          <t>BRÄCKE</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59561-2023</t>
        </is>
      </c>
      <c r="B1857" s="1" t="n">
        <v>45253</v>
      </c>
      <c r="C1857" s="1" t="n">
        <v>45847</v>
      </c>
      <c r="D1857" t="inlineStr">
        <is>
          <t>JÄMTLANDS LÄN</t>
        </is>
      </c>
      <c r="E1857" t="inlineStr">
        <is>
          <t>BRÄCKE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59417-2023</t>
        </is>
      </c>
      <c r="B1858" s="1" t="n">
        <v>45254</v>
      </c>
      <c r="C1858" s="1" t="n">
        <v>45847</v>
      </c>
      <c r="D1858" t="inlineStr">
        <is>
          <t>JÄMTLANDS LÄN</t>
        </is>
      </c>
      <c r="E1858" t="inlineStr">
        <is>
          <t>BRÄCKE</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59595-2023</t>
        </is>
      </c>
      <c r="B1859" s="1" t="n">
        <v>45254</v>
      </c>
      <c r="C1859" s="1" t="n">
        <v>45847</v>
      </c>
      <c r="D1859" t="inlineStr">
        <is>
          <t>JÄMTLANDS LÄN</t>
        </is>
      </c>
      <c r="E1859" t="inlineStr">
        <is>
          <t>BRÄCKE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59586-2023</t>
        </is>
      </c>
      <c r="B1860" s="1" t="n">
        <v>45254</v>
      </c>
      <c r="C1860" s="1" t="n">
        <v>45847</v>
      </c>
      <c r="D1860" t="inlineStr">
        <is>
          <t>JÄMTLANDS LÄN</t>
        </is>
      </c>
      <c r="E1860" t="inlineStr">
        <is>
          <t>BRÄCKE</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60085-2023</t>
        </is>
      </c>
      <c r="B1861" s="1" t="n">
        <v>45258</v>
      </c>
      <c r="C1861" s="1" t="n">
        <v>45847</v>
      </c>
      <c r="D1861" t="inlineStr">
        <is>
          <t>JÄMTLANDS LÄN</t>
        </is>
      </c>
      <c r="E1861" t="inlineStr">
        <is>
          <t>BRÄCKE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60415-2023</t>
        </is>
      </c>
      <c r="B1862" s="1" t="n">
        <v>45258</v>
      </c>
      <c r="C1862" s="1" t="n">
        <v>45847</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60435-2023</t>
        </is>
      </c>
      <c r="B1863" s="1" t="n">
        <v>45258</v>
      </c>
      <c r="C1863" s="1" t="n">
        <v>45847</v>
      </c>
      <c r="D1863" t="inlineStr">
        <is>
          <t>JÄMTLANDS LÄN</t>
        </is>
      </c>
      <c r="E1863" t="inlineStr">
        <is>
          <t>BRÄCKE</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60453-2023</t>
        </is>
      </c>
      <c r="B1864" s="1" t="n">
        <v>45259</v>
      </c>
      <c r="C1864" s="1" t="n">
        <v>45847</v>
      </c>
      <c r="D1864" t="inlineStr">
        <is>
          <t>JÄMTLANDS LÄN</t>
        </is>
      </c>
      <c r="E1864" t="inlineStr">
        <is>
          <t>BRÄCKE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60581-2023</t>
        </is>
      </c>
      <c r="B1865" s="1" t="n">
        <v>45260</v>
      </c>
      <c r="C1865" s="1" t="n">
        <v>45847</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60582-2023</t>
        </is>
      </c>
      <c r="B1866" s="1" t="n">
        <v>45260</v>
      </c>
      <c r="C1866" s="1" t="n">
        <v>45847</v>
      </c>
      <c r="D1866" t="inlineStr">
        <is>
          <t>JÄMTLANDS LÄN</t>
        </is>
      </c>
      <c r="E1866" t="inlineStr">
        <is>
          <t>BRÄCKE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60996-2023</t>
        </is>
      </c>
      <c r="B1867" s="1" t="n">
        <v>45259</v>
      </c>
      <c r="C1867" s="1" t="n">
        <v>45847</v>
      </c>
      <c r="D1867" t="inlineStr">
        <is>
          <t>JÄMTLANDS LÄN</t>
        </is>
      </c>
      <c r="E1867" t="inlineStr">
        <is>
          <t>BRÄCKE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60866-2023</t>
        </is>
      </c>
      <c r="B1868" s="1" t="n">
        <v>45261</v>
      </c>
      <c r="C1868" s="1" t="n">
        <v>45847</v>
      </c>
      <c r="D1868" t="inlineStr">
        <is>
          <t>JÄMTLANDS LÄN</t>
        </is>
      </c>
      <c r="E1868" t="inlineStr">
        <is>
          <t>BRÄCKE</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60870-2023</t>
        </is>
      </c>
      <c r="B1869" s="1" t="n">
        <v>45261</v>
      </c>
      <c r="C1869" s="1" t="n">
        <v>45847</v>
      </c>
      <c r="D1869" t="inlineStr">
        <is>
          <t>JÄMTLANDS LÄN</t>
        </is>
      </c>
      <c r="E1869" t="inlineStr">
        <is>
          <t>BRÄCKE</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60833-2023</t>
        </is>
      </c>
      <c r="B1870" s="1" t="n">
        <v>45260</v>
      </c>
      <c r="C1870" s="1" t="n">
        <v>45847</v>
      </c>
      <c r="D1870" t="inlineStr">
        <is>
          <t>JÄMTLANDS LÄN</t>
        </is>
      </c>
      <c r="E1870" t="inlineStr">
        <is>
          <t>BRÄCKE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60865-2023</t>
        </is>
      </c>
      <c r="B1871" s="1" t="n">
        <v>45260</v>
      </c>
      <c r="C1871" s="1" t="n">
        <v>45847</v>
      </c>
      <c r="D1871" t="inlineStr">
        <is>
          <t>JÄMTLANDS LÄN</t>
        </is>
      </c>
      <c r="E1871" t="inlineStr">
        <is>
          <t>BRÄCKE</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60954-2023</t>
        </is>
      </c>
      <c r="B1872" s="1" t="n">
        <v>45261</v>
      </c>
      <c r="C1872" s="1" t="n">
        <v>45847</v>
      </c>
      <c r="D1872" t="inlineStr">
        <is>
          <t>JÄMTLANDS LÄN</t>
        </is>
      </c>
      <c r="E1872" t="inlineStr">
        <is>
          <t>BRÄCKE</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61149-2023</t>
        </is>
      </c>
      <c r="B1873" s="1" t="n">
        <v>45262</v>
      </c>
      <c r="C1873" s="1" t="n">
        <v>45847</v>
      </c>
      <c r="D1873" t="inlineStr">
        <is>
          <t>JÄMTLANDS LÄN</t>
        </is>
      </c>
      <c r="E1873" t="inlineStr">
        <is>
          <t>BRÄCKE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61440-2023</t>
        </is>
      </c>
      <c r="B1874" s="1" t="n">
        <v>45261</v>
      </c>
      <c r="C1874" s="1" t="n">
        <v>45847</v>
      </c>
      <c r="D1874" t="inlineStr">
        <is>
          <t>JÄMTLANDS LÄN</t>
        </is>
      </c>
      <c r="E1874" t="inlineStr">
        <is>
          <t>BRÄCKE</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61504-2023</t>
        </is>
      </c>
      <c r="B1875" s="1" t="n">
        <v>45264</v>
      </c>
      <c r="C1875" s="1" t="n">
        <v>45847</v>
      </c>
      <c r="D1875" t="inlineStr">
        <is>
          <t>JÄMTLANDS LÄN</t>
        </is>
      </c>
      <c r="E1875" t="inlineStr">
        <is>
          <t>BRÄCKE</t>
        </is>
      </c>
      <c r="F1875" t="inlineStr">
        <is>
          <t>SCA</t>
        </is>
      </c>
      <c r="G1875" t="n">
        <v>9.300000000000001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61503-2023</t>
        </is>
      </c>
      <c r="B1876" s="1" t="n">
        <v>45264</v>
      </c>
      <c r="C1876" s="1" t="n">
        <v>45847</v>
      </c>
      <c r="D1876" t="inlineStr">
        <is>
          <t>JÄMTLANDS LÄN</t>
        </is>
      </c>
      <c r="E1876" t="inlineStr">
        <is>
          <t>BRÄCKE</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61787-2023</t>
        </is>
      </c>
      <c r="B1877" s="1" t="n">
        <v>45265</v>
      </c>
      <c r="C1877" s="1" t="n">
        <v>45847</v>
      </c>
      <c r="D1877" t="inlineStr">
        <is>
          <t>JÄMTLANDS LÄN</t>
        </is>
      </c>
      <c r="E1877" t="inlineStr">
        <is>
          <t>BRÄCKE</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61796-2023</t>
        </is>
      </c>
      <c r="B1878" s="1" t="n">
        <v>45266</v>
      </c>
      <c r="C1878" s="1" t="n">
        <v>45847</v>
      </c>
      <c r="D1878" t="inlineStr">
        <is>
          <t>JÄMTLANDS LÄN</t>
        </is>
      </c>
      <c r="E1878" t="inlineStr">
        <is>
          <t>BRÄCKE</t>
        </is>
      </c>
      <c r="F1878" t="inlineStr">
        <is>
          <t>SCA</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62074-2023</t>
        </is>
      </c>
      <c r="B1879" s="1" t="n">
        <v>45266</v>
      </c>
      <c r="C1879" s="1" t="n">
        <v>45847</v>
      </c>
      <c r="D1879" t="inlineStr">
        <is>
          <t>JÄMTLANDS LÄN</t>
        </is>
      </c>
      <c r="E1879" t="inlineStr">
        <is>
          <t>BRÄCKE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62114-2023</t>
        </is>
      </c>
      <c r="B1880" s="1" t="n">
        <v>45266</v>
      </c>
      <c r="C1880" s="1" t="n">
        <v>45847</v>
      </c>
      <c r="D1880" t="inlineStr">
        <is>
          <t>JÄMTLANDS LÄN</t>
        </is>
      </c>
      <c r="E1880" t="inlineStr">
        <is>
          <t>BRÄCKE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62410-2023</t>
        </is>
      </c>
      <c r="B1881" s="1" t="n">
        <v>45266</v>
      </c>
      <c r="C1881" s="1" t="n">
        <v>45847</v>
      </c>
      <c r="D1881" t="inlineStr">
        <is>
          <t>JÄMTLANDS LÄN</t>
        </is>
      </c>
      <c r="E1881" t="inlineStr">
        <is>
          <t>BRÄCKE</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62354-2023</t>
        </is>
      </c>
      <c r="B1882" s="1" t="n">
        <v>45267</v>
      </c>
      <c r="C1882" s="1" t="n">
        <v>45847</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62899-2023</t>
        </is>
      </c>
      <c r="B1883" s="1" t="n">
        <v>45271</v>
      </c>
      <c r="C1883" s="1" t="n">
        <v>45847</v>
      </c>
      <c r="D1883" t="inlineStr">
        <is>
          <t>JÄMTLANDS LÄN</t>
        </is>
      </c>
      <c r="E1883" t="inlineStr">
        <is>
          <t>BRÄCKE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63089-2023</t>
        </is>
      </c>
      <c r="B1884" s="1" t="n">
        <v>45272</v>
      </c>
      <c r="C1884" s="1" t="n">
        <v>45847</v>
      </c>
      <c r="D1884" t="inlineStr">
        <is>
          <t>JÄMTLANDS LÄN</t>
        </is>
      </c>
      <c r="E1884" t="inlineStr">
        <is>
          <t>BRÄCKE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63292-2023</t>
        </is>
      </c>
      <c r="B1885" s="1" t="n">
        <v>45273</v>
      </c>
      <c r="C1885" s="1" t="n">
        <v>45847</v>
      </c>
      <c r="D1885" t="inlineStr">
        <is>
          <t>JÄMTLANDS LÄN</t>
        </is>
      </c>
      <c r="E1885" t="inlineStr">
        <is>
          <t>BRÄCKE</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63295-2023</t>
        </is>
      </c>
      <c r="B1886" s="1" t="n">
        <v>45273</v>
      </c>
      <c r="C1886" s="1" t="n">
        <v>45847</v>
      </c>
      <c r="D1886" t="inlineStr">
        <is>
          <t>JÄMTLANDS LÄN</t>
        </is>
      </c>
      <c r="E1886" t="inlineStr">
        <is>
          <t>BRÄCKE</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63534-2023</t>
        </is>
      </c>
      <c r="B1887" s="1" t="n">
        <v>45274</v>
      </c>
      <c r="C1887" s="1" t="n">
        <v>45847</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63713-2023</t>
        </is>
      </c>
      <c r="B1888" s="1" t="n">
        <v>45275</v>
      </c>
      <c r="C1888" s="1" t="n">
        <v>45847</v>
      </c>
      <c r="D1888" t="inlineStr">
        <is>
          <t>JÄMTLANDS LÄN</t>
        </is>
      </c>
      <c r="E1888" t="inlineStr">
        <is>
          <t>BRÄCKE</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63716-2023</t>
        </is>
      </c>
      <c r="B1889" s="1" t="n">
        <v>45275</v>
      </c>
      <c r="C1889" s="1" t="n">
        <v>45847</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63706-2023</t>
        </is>
      </c>
      <c r="B1890" s="1" t="n">
        <v>45275</v>
      </c>
      <c r="C1890" s="1" t="n">
        <v>45847</v>
      </c>
      <c r="D1890" t="inlineStr">
        <is>
          <t>JÄMTLANDS LÄN</t>
        </is>
      </c>
      <c r="E1890" t="inlineStr">
        <is>
          <t>BRÄCKE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63714-2023</t>
        </is>
      </c>
      <c r="B1891" s="1" t="n">
        <v>45275</v>
      </c>
      <c r="C1891" s="1" t="n">
        <v>45847</v>
      </c>
      <c r="D1891" t="inlineStr">
        <is>
          <t>JÄMTLANDS LÄN</t>
        </is>
      </c>
      <c r="E1891" t="inlineStr">
        <is>
          <t>BRÄCKE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64025-2023</t>
        </is>
      </c>
      <c r="B1892" s="1" t="n">
        <v>45278</v>
      </c>
      <c r="C1892" s="1" t="n">
        <v>45847</v>
      </c>
      <c r="D1892" t="inlineStr">
        <is>
          <t>JÄMTLANDS LÄN</t>
        </is>
      </c>
      <c r="E1892" t="inlineStr">
        <is>
          <t>BRÄCKE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64037-2023</t>
        </is>
      </c>
      <c r="B1893" s="1" t="n">
        <v>45278</v>
      </c>
      <c r="C1893" s="1" t="n">
        <v>45847</v>
      </c>
      <c r="D1893" t="inlineStr">
        <is>
          <t>JÄMTLANDS LÄN</t>
        </is>
      </c>
      <c r="E1893" t="inlineStr">
        <is>
          <t>BRÄCKE</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64034-2023</t>
        </is>
      </c>
      <c r="B1894" s="1" t="n">
        <v>45278</v>
      </c>
      <c r="C1894" s="1" t="n">
        <v>45847</v>
      </c>
      <c r="D1894" t="inlineStr">
        <is>
          <t>JÄMTLANDS LÄN</t>
        </is>
      </c>
      <c r="E1894" t="inlineStr">
        <is>
          <t>BRÄCKE</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64038-2023</t>
        </is>
      </c>
      <c r="B1895" s="1" t="n">
        <v>45278</v>
      </c>
      <c r="C1895" s="1" t="n">
        <v>45847</v>
      </c>
      <c r="D1895" t="inlineStr">
        <is>
          <t>JÄMTLANDS LÄN</t>
        </is>
      </c>
      <c r="E1895" t="inlineStr">
        <is>
          <t>BRÄCKE</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64024-2023</t>
        </is>
      </c>
      <c r="B1896" s="1" t="n">
        <v>45278</v>
      </c>
      <c r="C1896" s="1" t="n">
        <v>45847</v>
      </c>
      <c r="D1896" t="inlineStr">
        <is>
          <t>JÄMTLANDS LÄN</t>
        </is>
      </c>
      <c r="E1896" t="inlineStr">
        <is>
          <t>BRÄCKE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64117-2023</t>
        </is>
      </c>
      <c r="B1897" s="1" t="n">
        <v>45279</v>
      </c>
      <c r="C1897" s="1" t="n">
        <v>45847</v>
      </c>
      <c r="D1897" t="inlineStr">
        <is>
          <t>JÄMTLANDS LÄN</t>
        </is>
      </c>
      <c r="E1897" t="inlineStr">
        <is>
          <t>BRÄCKE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64143-2023</t>
        </is>
      </c>
      <c r="B1898" s="1" t="n">
        <v>45279</v>
      </c>
      <c r="C1898" s="1" t="n">
        <v>45847</v>
      </c>
      <c r="D1898" t="inlineStr">
        <is>
          <t>JÄMTLANDS LÄN</t>
        </is>
      </c>
      <c r="E1898" t="inlineStr">
        <is>
          <t>BRÄCKE</t>
        </is>
      </c>
      <c r="G1898" t="n">
        <v>5.5</v>
      </c>
      <c r="H1898" t="n">
        <v>0</v>
      </c>
      <c r="I1898" t="n">
        <v>0</v>
      </c>
      <c r="J1898" t="n">
        <v>0</v>
      </c>
      <c r="K1898" t="n">
        <v>0</v>
      </c>
      <c r="L1898" t="n">
        <v>0</v>
      </c>
      <c r="M1898" t="n">
        <v>0</v>
      </c>
      <c r="N1898" t="n">
        <v>0</v>
      </c>
      <c r="O1898" t="n">
        <v>0</v>
      </c>
      <c r="P1898" t="n">
        <v>0</v>
      </c>
      <c r="Q1898" t="n">
        <v>0</v>
      </c>
      <c r="R1898" s="2" t="inlineStr"/>
      <c r="U1898">
        <f>HYPERLINK("https://klasma.github.io/Logging_2305/knärot/A 64143-2023 karta knärot.png", "A 64143-2023")</f>
        <v/>
      </c>
      <c r="V1898">
        <f>HYPERLINK("https://klasma.github.io/Logging_2305/klagomål/A 64143-2023 FSC-klagomål.docx", "A 64143-2023")</f>
        <v/>
      </c>
      <c r="W1898">
        <f>HYPERLINK("https://klasma.github.io/Logging_2305/klagomålsmail/A 64143-2023 FSC-klagomål mail.docx", "A 64143-2023")</f>
        <v/>
      </c>
      <c r="X1898">
        <f>HYPERLINK("https://klasma.github.io/Logging_2305/tillsyn/A 64143-2023 tillsynsbegäran.docx", "A 64143-2023")</f>
        <v/>
      </c>
      <c r="Y1898">
        <f>HYPERLINK("https://klasma.github.io/Logging_2305/tillsynsmail/A 64143-2023 tillsynsbegäran mail.docx", "A 64143-2023")</f>
        <v/>
      </c>
    </row>
    <row r="1899" ht="15" customHeight="1">
      <c r="A1899" t="inlineStr">
        <is>
          <t>A 64266-2023</t>
        </is>
      </c>
      <c r="B1899" s="1" t="n">
        <v>45279</v>
      </c>
      <c r="C1899" s="1" t="n">
        <v>45847</v>
      </c>
      <c r="D1899" t="inlineStr">
        <is>
          <t>JÄMTLANDS LÄN</t>
        </is>
      </c>
      <c r="E1899" t="inlineStr">
        <is>
          <t>BRÄCKE</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64268-2023</t>
        </is>
      </c>
      <c r="B1900" s="1" t="n">
        <v>45279</v>
      </c>
      <c r="C1900" s="1" t="n">
        <v>45847</v>
      </c>
      <c r="D1900" t="inlineStr">
        <is>
          <t>JÄMTLANDS LÄN</t>
        </is>
      </c>
      <c r="E1900" t="inlineStr">
        <is>
          <t>BRÄCKE</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64272-2023</t>
        </is>
      </c>
      <c r="B1901" s="1" t="n">
        <v>45279</v>
      </c>
      <c r="C1901" s="1" t="n">
        <v>45847</v>
      </c>
      <c r="D1901" t="inlineStr">
        <is>
          <t>JÄMTLANDS LÄN</t>
        </is>
      </c>
      <c r="E1901" t="inlineStr">
        <is>
          <t>BRÄCKE</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64269-2023</t>
        </is>
      </c>
      <c r="B1902" s="1" t="n">
        <v>45279</v>
      </c>
      <c r="C1902" s="1" t="n">
        <v>45847</v>
      </c>
      <c r="D1902" t="inlineStr">
        <is>
          <t>JÄMTLANDS LÄN</t>
        </is>
      </c>
      <c r="E1902" t="inlineStr">
        <is>
          <t>BRÄCKE</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64302-2023</t>
        </is>
      </c>
      <c r="B1903" s="1" t="n">
        <v>45280</v>
      </c>
      <c r="C1903" s="1" t="n">
        <v>45847</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64413-2023</t>
        </is>
      </c>
      <c r="B1904" s="1" t="n">
        <v>45280</v>
      </c>
      <c r="C1904" s="1" t="n">
        <v>45847</v>
      </c>
      <c r="D1904" t="inlineStr">
        <is>
          <t>JÄMTLANDS LÄN</t>
        </is>
      </c>
      <c r="E1904" t="inlineStr">
        <is>
          <t>BRÄCKE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64643-2023</t>
        </is>
      </c>
      <c r="B1905" s="1" t="n">
        <v>45281</v>
      </c>
      <c r="C1905" s="1" t="n">
        <v>45847</v>
      </c>
      <c r="D1905" t="inlineStr">
        <is>
          <t>JÄMTLANDS LÄN</t>
        </is>
      </c>
      <c r="E1905" t="inlineStr">
        <is>
          <t>BRÄCKE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64757-2023</t>
        </is>
      </c>
      <c r="B1906" s="1" t="n">
        <v>45281</v>
      </c>
      <c r="C1906" s="1" t="n">
        <v>45847</v>
      </c>
      <c r="D1906" t="inlineStr">
        <is>
          <t>JÄMTLANDS LÄN</t>
        </is>
      </c>
      <c r="E1906" t="inlineStr">
        <is>
          <t>BRÄCKE</t>
        </is>
      </c>
      <c r="F1906" t="inlineStr">
        <is>
          <t>SCA</t>
        </is>
      </c>
      <c r="G1906" t="n">
        <v>11.7</v>
      </c>
      <c r="H1906" t="n">
        <v>0</v>
      </c>
      <c r="I1906" t="n">
        <v>0</v>
      </c>
      <c r="J1906" t="n">
        <v>0</v>
      </c>
      <c r="K1906" t="n">
        <v>0</v>
      </c>
      <c r="L1906" t="n">
        <v>0</v>
      </c>
      <c r="M1906" t="n">
        <v>0</v>
      </c>
      <c r="N1906" t="n">
        <v>0</v>
      </c>
      <c r="O1906" t="n">
        <v>0</v>
      </c>
      <c r="P1906" t="n">
        <v>0</v>
      </c>
      <c r="Q1906" t="n">
        <v>0</v>
      </c>
      <c r="R1906" s="2" t="inlineStr"/>
    </row>
    <row r="1907" ht="15" customHeight="1">
      <c r="A1907" t="inlineStr">
        <is>
          <t>A 65041-2023</t>
        </is>
      </c>
      <c r="B1907" s="1" t="n">
        <v>45287</v>
      </c>
      <c r="C1907" s="1" t="n">
        <v>45847</v>
      </c>
      <c r="D1907" t="inlineStr">
        <is>
          <t>JÄMTLANDS LÄN</t>
        </is>
      </c>
      <c r="E1907" t="inlineStr">
        <is>
          <t>BRÄCKE</t>
        </is>
      </c>
      <c r="G1907" t="n">
        <v>45.2</v>
      </c>
      <c r="H1907" t="n">
        <v>0</v>
      </c>
      <c r="I1907" t="n">
        <v>0</v>
      </c>
      <c r="J1907" t="n">
        <v>0</v>
      </c>
      <c r="K1907" t="n">
        <v>0</v>
      </c>
      <c r="L1907" t="n">
        <v>0</v>
      </c>
      <c r="M1907" t="n">
        <v>0</v>
      </c>
      <c r="N1907" t="n">
        <v>0</v>
      </c>
      <c r="O1907" t="n">
        <v>0</v>
      </c>
      <c r="P1907" t="n">
        <v>0</v>
      </c>
      <c r="Q1907" t="n">
        <v>0</v>
      </c>
      <c r="R1907" s="2" t="inlineStr"/>
    </row>
    <row r="1908" ht="15" customHeight="1">
      <c r="A1908" t="inlineStr">
        <is>
          <t>A 65096-2023</t>
        </is>
      </c>
      <c r="B1908" s="1" t="n">
        <v>45288</v>
      </c>
      <c r="C1908" s="1" t="n">
        <v>45847</v>
      </c>
      <c r="D1908" t="inlineStr">
        <is>
          <t>JÄMTLANDS LÄN</t>
        </is>
      </c>
      <c r="E1908" t="inlineStr">
        <is>
          <t>BRÄCKE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65226-2023</t>
        </is>
      </c>
      <c r="B1909" s="1" t="n">
        <v>45289</v>
      </c>
      <c r="C1909" s="1" t="n">
        <v>45847</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107-2024</t>
        </is>
      </c>
      <c r="B1910" s="1" t="n">
        <v>45293</v>
      </c>
      <c r="C1910" s="1" t="n">
        <v>45847</v>
      </c>
      <c r="D1910" t="inlineStr">
        <is>
          <t>JÄMTLANDS LÄN</t>
        </is>
      </c>
      <c r="E1910" t="inlineStr">
        <is>
          <t>BRÄCKE</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477-2024</t>
        </is>
      </c>
      <c r="B1911" s="1" t="n">
        <v>45298</v>
      </c>
      <c r="C1911" s="1" t="n">
        <v>45847</v>
      </c>
      <c r="D1911" t="inlineStr">
        <is>
          <t>JÄMTLANDS LÄN</t>
        </is>
      </c>
      <c r="E1911" t="inlineStr">
        <is>
          <t>BRÄCKE</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662-2024</t>
        </is>
      </c>
      <c r="B1912" s="1" t="n">
        <v>45299</v>
      </c>
      <c r="C1912" s="1" t="n">
        <v>45847</v>
      </c>
      <c r="D1912" t="inlineStr">
        <is>
          <t>JÄMTLANDS LÄN</t>
        </is>
      </c>
      <c r="E1912" t="inlineStr">
        <is>
          <t>BRÄCKE</t>
        </is>
      </c>
      <c r="F1912" t="inlineStr">
        <is>
          <t>SCA</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861-2024</t>
        </is>
      </c>
      <c r="B1913" s="1" t="n">
        <v>45301</v>
      </c>
      <c r="C1913" s="1" t="n">
        <v>45847</v>
      </c>
      <c r="D1913" t="inlineStr">
        <is>
          <t>JÄMTLANDS LÄN</t>
        </is>
      </c>
      <c r="E1913" t="inlineStr">
        <is>
          <t>BRÄCKE</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1277-2024</t>
        </is>
      </c>
      <c r="B1914" s="1" t="n">
        <v>45303</v>
      </c>
      <c r="C1914" s="1" t="n">
        <v>45847</v>
      </c>
      <c r="D1914" t="inlineStr">
        <is>
          <t>JÄMTLANDS LÄN</t>
        </is>
      </c>
      <c r="E1914" t="inlineStr">
        <is>
          <t>BRÄCKE</t>
        </is>
      </c>
      <c r="F1914" t="inlineStr">
        <is>
          <t>SCA</t>
        </is>
      </c>
      <c r="G1914" t="n">
        <v>25.7</v>
      </c>
      <c r="H1914" t="n">
        <v>0</v>
      </c>
      <c r="I1914" t="n">
        <v>0</v>
      </c>
      <c r="J1914" t="n">
        <v>0</v>
      </c>
      <c r="K1914" t="n">
        <v>0</v>
      </c>
      <c r="L1914" t="n">
        <v>0</v>
      </c>
      <c r="M1914" t="n">
        <v>0</v>
      </c>
      <c r="N1914" t="n">
        <v>0</v>
      </c>
      <c r="O1914" t="n">
        <v>0</v>
      </c>
      <c r="P1914" t="n">
        <v>0</v>
      </c>
      <c r="Q1914" t="n">
        <v>0</v>
      </c>
      <c r="R1914" s="2" t="inlineStr"/>
    </row>
    <row r="1915" ht="15" customHeight="1">
      <c r="A1915" t="inlineStr">
        <is>
          <t>A 1681-2024</t>
        </is>
      </c>
      <c r="B1915" s="1" t="n">
        <v>45307</v>
      </c>
      <c r="C1915" s="1" t="n">
        <v>45847</v>
      </c>
      <c r="D1915" t="inlineStr">
        <is>
          <t>JÄMTLANDS LÄN</t>
        </is>
      </c>
      <c r="E1915" t="inlineStr">
        <is>
          <t>BRÄCKE</t>
        </is>
      </c>
      <c r="F1915" t="inlineStr">
        <is>
          <t>SCA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1746-2024</t>
        </is>
      </c>
      <c r="B1916" s="1" t="n">
        <v>45307</v>
      </c>
      <c r="C1916" s="1" t="n">
        <v>45847</v>
      </c>
      <c r="D1916" t="inlineStr">
        <is>
          <t>JÄMTLANDS LÄN</t>
        </is>
      </c>
      <c r="E1916" t="inlineStr">
        <is>
          <t>BRÄCKE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1881-2024</t>
        </is>
      </c>
      <c r="B1917" s="1" t="n">
        <v>45308</v>
      </c>
      <c r="C1917" s="1" t="n">
        <v>45847</v>
      </c>
      <c r="D1917" t="inlineStr">
        <is>
          <t>JÄMTLANDS LÄN</t>
        </is>
      </c>
      <c r="E1917" t="inlineStr">
        <is>
          <t>BRÄCKE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1799-2024</t>
        </is>
      </c>
      <c r="B1918" s="1" t="n">
        <v>45307</v>
      </c>
      <c r="C1918" s="1" t="n">
        <v>45847</v>
      </c>
      <c r="D1918" t="inlineStr">
        <is>
          <t>JÄMTLANDS LÄN</t>
        </is>
      </c>
      <c r="E1918" t="inlineStr">
        <is>
          <t>BRÄCKE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2064-2024</t>
        </is>
      </c>
      <c r="B1919" s="1" t="n">
        <v>45308</v>
      </c>
      <c r="C1919" s="1" t="n">
        <v>45847</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2065-2024</t>
        </is>
      </c>
      <c r="B1920" s="1" t="n">
        <v>45309</v>
      </c>
      <c r="C1920" s="1" t="n">
        <v>45847</v>
      </c>
      <c r="D1920" t="inlineStr">
        <is>
          <t>JÄMTLANDS LÄN</t>
        </is>
      </c>
      <c r="E1920" t="inlineStr">
        <is>
          <t>BRÄCKE</t>
        </is>
      </c>
      <c r="F1920" t="inlineStr">
        <is>
          <t>SCA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2420-2024</t>
        </is>
      </c>
      <c r="B1921" s="1" t="n">
        <v>45310</v>
      </c>
      <c r="C1921" s="1" t="n">
        <v>45847</v>
      </c>
      <c r="D1921" t="inlineStr">
        <is>
          <t>JÄMTLANDS LÄN</t>
        </is>
      </c>
      <c r="E1921" t="inlineStr">
        <is>
          <t>BRÄCKE</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2421-2024</t>
        </is>
      </c>
      <c r="B1922" s="1" t="n">
        <v>45310</v>
      </c>
      <c r="C1922" s="1" t="n">
        <v>45847</v>
      </c>
      <c r="D1922" t="inlineStr">
        <is>
          <t>JÄMTLANDS LÄN</t>
        </is>
      </c>
      <c r="E1922" t="inlineStr">
        <is>
          <t>BRÄCKE</t>
        </is>
      </c>
      <c r="G1922" t="n">
        <v>10.1</v>
      </c>
      <c r="H1922" t="n">
        <v>0</v>
      </c>
      <c r="I1922" t="n">
        <v>0</v>
      </c>
      <c r="J1922" t="n">
        <v>0</v>
      </c>
      <c r="K1922" t="n">
        <v>0</v>
      </c>
      <c r="L1922" t="n">
        <v>0</v>
      </c>
      <c r="M1922" t="n">
        <v>0</v>
      </c>
      <c r="N1922" t="n">
        <v>0</v>
      </c>
      <c r="O1922" t="n">
        <v>0</v>
      </c>
      <c r="P1922" t="n">
        <v>0</v>
      </c>
      <c r="Q1922" t="n">
        <v>0</v>
      </c>
      <c r="R1922" s="2" t="inlineStr"/>
    </row>
    <row r="1923" ht="15" customHeight="1">
      <c r="A1923" t="inlineStr">
        <is>
          <t>A 2422-2024</t>
        </is>
      </c>
      <c r="B1923" s="1" t="n">
        <v>45310</v>
      </c>
      <c r="C1923" s="1" t="n">
        <v>45847</v>
      </c>
      <c r="D1923" t="inlineStr">
        <is>
          <t>JÄMTLANDS LÄN</t>
        </is>
      </c>
      <c r="E1923" t="inlineStr">
        <is>
          <t>BRÄCKE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2621-2024</t>
        </is>
      </c>
      <c r="B1924" s="1" t="n">
        <v>45313</v>
      </c>
      <c r="C1924" s="1" t="n">
        <v>45847</v>
      </c>
      <c r="D1924" t="inlineStr">
        <is>
          <t>JÄMTLANDS LÄN</t>
        </is>
      </c>
      <c r="E1924" t="inlineStr">
        <is>
          <t>BRÄCKE</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3182-2024</t>
        </is>
      </c>
      <c r="B1925" s="1" t="n">
        <v>45316</v>
      </c>
      <c r="C1925" s="1" t="n">
        <v>45847</v>
      </c>
      <c r="D1925" t="inlineStr">
        <is>
          <t>JÄMTLANDS LÄN</t>
        </is>
      </c>
      <c r="E1925" t="inlineStr">
        <is>
          <t>BRÄCKE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3179-2024</t>
        </is>
      </c>
      <c r="B1926" s="1" t="n">
        <v>45316</v>
      </c>
      <c r="C1926" s="1" t="n">
        <v>45847</v>
      </c>
      <c r="D1926" t="inlineStr">
        <is>
          <t>JÄMTLANDS LÄN</t>
        </is>
      </c>
      <c r="E1926" t="inlineStr">
        <is>
          <t>BRÄCKE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3180-2024</t>
        </is>
      </c>
      <c r="B1927" s="1" t="n">
        <v>45316</v>
      </c>
      <c r="C1927" s="1" t="n">
        <v>45847</v>
      </c>
      <c r="D1927" t="inlineStr">
        <is>
          <t>JÄMTLANDS LÄN</t>
        </is>
      </c>
      <c r="E1927" t="inlineStr">
        <is>
          <t>BRÄCKE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3233-2024</t>
        </is>
      </c>
      <c r="B1928" s="1" t="n">
        <v>45316</v>
      </c>
      <c r="C1928" s="1" t="n">
        <v>45847</v>
      </c>
      <c r="D1928" t="inlineStr">
        <is>
          <t>JÄMTLANDS LÄN</t>
        </is>
      </c>
      <c r="E1928" t="inlineStr">
        <is>
          <t>BRÄCKE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3390-2024</t>
        </is>
      </c>
      <c r="B1929" s="1" t="n">
        <v>45317</v>
      </c>
      <c r="C1929" s="1" t="n">
        <v>45847</v>
      </c>
      <c r="D1929" t="inlineStr">
        <is>
          <t>JÄMTLANDS LÄN</t>
        </is>
      </c>
      <c r="E1929" t="inlineStr">
        <is>
          <t>BRÄCKE</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3389-2024</t>
        </is>
      </c>
      <c r="B1930" s="1" t="n">
        <v>45317</v>
      </c>
      <c r="C1930" s="1" t="n">
        <v>45847</v>
      </c>
      <c r="D1930" t="inlineStr">
        <is>
          <t>JÄMTLANDS LÄN</t>
        </is>
      </c>
      <c r="E1930" t="inlineStr">
        <is>
          <t>BRÄCKE</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3487-2024</t>
        </is>
      </c>
      <c r="B1931" s="1" t="n">
        <v>45317</v>
      </c>
      <c r="C1931" s="1" t="n">
        <v>45847</v>
      </c>
      <c r="D1931" t="inlineStr">
        <is>
          <t>JÄMTLANDS LÄN</t>
        </is>
      </c>
      <c r="E1931" t="inlineStr">
        <is>
          <t>BRÄCKE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3528-2024</t>
        </is>
      </c>
      <c r="B1932" s="1" t="n">
        <v>45320</v>
      </c>
      <c r="C1932" s="1" t="n">
        <v>45847</v>
      </c>
      <c r="D1932" t="inlineStr">
        <is>
          <t>JÄMTLANDS LÄN</t>
        </is>
      </c>
      <c r="E1932" t="inlineStr">
        <is>
          <t>BRÄCKE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3626-2024</t>
        </is>
      </c>
      <c r="B1933" s="1" t="n">
        <v>45320</v>
      </c>
      <c r="C1933" s="1" t="n">
        <v>45847</v>
      </c>
      <c r="D1933" t="inlineStr">
        <is>
          <t>JÄMTLANDS LÄN</t>
        </is>
      </c>
      <c r="E1933" t="inlineStr">
        <is>
          <t>BRÄCKE</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3616-2024</t>
        </is>
      </c>
      <c r="B1934" s="1" t="n">
        <v>45320</v>
      </c>
      <c r="C1934" s="1" t="n">
        <v>45847</v>
      </c>
      <c r="D1934" t="inlineStr">
        <is>
          <t>JÄMTLANDS LÄN</t>
        </is>
      </c>
      <c r="E1934" t="inlineStr">
        <is>
          <t>BRÄCKE</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3840-2024</t>
        </is>
      </c>
      <c r="B1935" s="1" t="n">
        <v>45321</v>
      </c>
      <c r="C1935" s="1" t="n">
        <v>45847</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3972-2024</t>
        </is>
      </c>
      <c r="B1936" s="1" t="n">
        <v>45322</v>
      </c>
      <c r="C1936" s="1" t="n">
        <v>45847</v>
      </c>
      <c r="D1936" t="inlineStr">
        <is>
          <t>JÄMTLANDS LÄN</t>
        </is>
      </c>
      <c r="E1936" t="inlineStr">
        <is>
          <t>BRÄCKE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3995-2024</t>
        </is>
      </c>
      <c r="B1937" s="1" t="n">
        <v>45322</v>
      </c>
      <c r="C1937" s="1" t="n">
        <v>45847</v>
      </c>
      <c r="D1937" t="inlineStr">
        <is>
          <t>JÄMTLANDS LÄN</t>
        </is>
      </c>
      <c r="E1937" t="inlineStr">
        <is>
          <t>BRÄCKE</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4171-2024</t>
        </is>
      </c>
      <c r="B1938" s="1" t="n">
        <v>45323</v>
      </c>
      <c r="C1938" s="1" t="n">
        <v>45847</v>
      </c>
      <c r="D1938" t="inlineStr">
        <is>
          <t>JÄMTLANDS LÄN</t>
        </is>
      </c>
      <c r="E1938" t="inlineStr">
        <is>
          <t>BRÄCKE</t>
        </is>
      </c>
      <c r="F1938" t="inlineStr">
        <is>
          <t>SCA</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4170-2024</t>
        </is>
      </c>
      <c r="B1939" s="1" t="n">
        <v>45323</v>
      </c>
      <c r="C1939" s="1" t="n">
        <v>45847</v>
      </c>
      <c r="D1939" t="inlineStr">
        <is>
          <t>JÄMTLANDS LÄN</t>
        </is>
      </c>
      <c r="E1939" t="inlineStr">
        <is>
          <t>BRÄCKE</t>
        </is>
      </c>
      <c r="F1939" t="inlineStr">
        <is>
          <t>SCA</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4491-2024</t>
        </is>
      </c>
      <c r="B1940" s="1" t="n">
        <v>45327</v>
      </c>
      <c r="C1940" s="1" t="n">
        <v>45847</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4556-2024</t>
        </is>
      </c>
      <c r="B1941" s="1" t="n">
        <v>45327</v>
      </c>
      <c r="C1941" s="1" t="n">
        <v>45847</v>
      </c>
      <c r="D1941" t="inlineStr">
        <is>
          <t>JÄMTLANDS LÄN</t>
        </is>
      </c>
      <c r="E1941" t="inlineStr">
        <is>
          <t>BRÄCKE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4585-2024</t>
        </is>
      </c>
      <c r="B1942" s="1" t="n">
        <v>45327</v>
      </c>
      <c r="C1942" s="1" t="n">
        <v>45847</v>
      </c>
      <c r="D1942" t="inlineStr">
        <is>
          <t>JÄMTLANDS LÄN</t>
        </is>
      </c>
      <c r="E1942" t="inlineStr">
        <is>
          <t>BRÄCKE</t>
        </is>
      </c>
      <c r="F1942" t="inlineStr">
        <is>
          <t>SCA</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4590-2024</t>
        </is>
      </c>
      <c r="B1943" s="1" t="n">
        <v>45327</v>
      </c>
      <c r="C1943" s="1" t="n">
        <v>45847</v>
      </c>
      <c r="D1943" t="inlineStr">
        <is>
          <t>JÄMTLANDS LÄN</t>
        </is>
      </c>
      <c r="E1943" t="inlineStr">
        <is>
          <t>BRÄCKE</t>
        </is>
      </c>
      <c r="F1943" t="inlineStr">
        <is>
          <t>SCA</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4930-2024</t>
        </is>
      </c>
      <c r="B1944" s="1" t="n">
        <v>45329</v>
      </c>
      <c r="C1944" s="1" t="n">
        <v>45847</v>
      </c>
      <c r="D1944" t="inlineStr">
        <is>
          <t>JÄMTLANDS LÄN</t>
        </is>
      </c>
      <c r="E1944" t="inlineStr">
        <is>
          <t>BRÄCKE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5053-2024</t>
        </is>
      </c>
      <c r="B1945" s="1" t="n">
        <v>45329</v>
      </c>
      <c r="C1945" s="1" t="n">
        <v>45847</v>
      </c>
      <c r="D1945" t="inlineStr">
        <is>
          <t>JÄMTLANDS LÄN</t>
        </is>
      </c>
      <c r="E1945" t="inlineStr">
        <is>
          <t>BRÄCKE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5052-2024</t>
        </is>
      </c>
      <c r="B1946" s="1" t="n">
        <v>45329</v>
      </c>
      <c r="C1946" s="1" t="n">
        <v>45847</v>
      </c>
      <c r="D1946" t="inlineStr">
        <is>
          <t>JÄMTLANDS LÄN</t>
        </is>
      </c>
      <c r="E1946" t="inlineStr">
        <is>
          <t>BRÄCKE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7843-2024</t>
        </is>
      </c>
      <c r="B1947" s="1" t="n">
        <v>45329</v>
      </c>
      <c r="C1947" s="1" t="n">
        <v>45847</v>
      </c>
      <c r="D1947" t="inlineStr">
        <is>
          <t>JÄMTLANDS LÄN</t>
        </is>
      </c>
      <c r="E1947" t="inlineStr">
        <is>
          <t>BRÄCKE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5266-2024</t>
        </is>
      </c>
      <c r="B1948" s="1" t="n">
        <v>45330</v>
      </c>
      <c r="C1948" s="1" t="n">
        <v>45847</v>
      </c>
      <c r="D1948" t="inlineStr">
        <is>
          <t>JÄMTLANDS LÄN</t>
        </is>
      </c>
      <c r="E1948" t="inlineStr">
        <is>
          <t>BRÄCKE</t>
        </is>
      </c>
      <c r="F1948" t="inlineStr">
        <is>
          <t>SCA</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5270-2024</t>
        </is>
      </c>
      <c r="B1949" s="1" t="n">
        <v>45331</v>
      </c>
      <c r="C1949" s="1" t="n">
        <v>45847</v>
      </c>
      <c r="D1949" t="inlineStr">
        <is>
          <t>JÄMTLANDS LÄN</t>
        </is>
      </c>
      <c r="E1949" t="inlineStr">
        <is>
          <t>BRÄCKE</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5367-2024</t>
        </is>
      </c>
      <c r="B1950" s="1" t="n">
        <v>45331</v>
      </c>
      <c r="C1950" s="1" t="n">
        <v>45847</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5441-2024</t>
        </is>
      </c>
      <c r="B1951" s="1" t="n">
        <v>45331</v>
      </c>
      <c r="C1951" s="1" t="n">
        <v>45847</v>
      </c>
      <c r="D1951" t="inlineStr">
        <is>
          <t>JÄMTLANDS LÄN</t>
        </is>
      </c>
      <c r="E1951" t="inlineStr">
        <is>
          <t>BRÄCKE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5737-2024</t>
        </is>
      </c>
      <c r="B1952" s="1" t="n">
        <v>45334</v>
      </c>
      <c r="C1952" s="1" t="n">
        <v>45847</v>
      </c>
      <c r="D1952" t="inlineStr">
        <is>
          <t>JÄMTLANDS LÄN</t>
        </is>
      </c>
      <c r="E1952" t="inlineStr">
        <is>
          <t>BRÄCKE</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5914-2024</t>
        </is>
      </c>
      <c r="B1953" s="1" t="n">
        <v>45335</v>
      </c>
      <c r="C1953" s="1" t="n">
        <v>45847</v>
      </c>
      <c r="D1953" t="inlineStr">
        <is>
          <t>JÄMTLANDS LÄN</t>
        </is>
      </c>
      <c r="E1953" t="inlineStr">
        <is>
          <t>BRÄCKE</t>
        </is>
      </c>
      <c r="F1953" t="inlineStr">
        <is>
          <t>SCA</t>
        </is>
      </c>
      <c r="G1953" t="n">
        <v>21.2</v>
      </c>
      <c r="H1953" t="n">
        <v>0</v>
      </c>
      <c r="I1953" t="n">
        <v>0</v>
      </c>
      <c r="J1953" t="n">
        <v>0</v>
      </c>
      <c r="K1953" t="n">
        <v>0</v>
      </c>
      <c r="L1953" t="n">
        <v>0</v>
      </c>
      <c r="M1953" t="n">
        <v>0</v>
      </c>
      <c r="N1953" t="n">
        <v>0</v>
      </c>
      <c r="O1953" t="n">
        <v>0</v>
      </c>
      <c r="P1953" t="n">
        <v>0</v>
      </c>
      <c r="Q1953" t="n">
        <v>0</v>
      </c>
      <c r="R1953" s="2" t="inlineStr"/>
    </row>
    <row r="1954" ht="15" customHeight="1">
      <c r="A1954" t="inlineStr">
        <is>
          <t>A 5915-2024</t>
        </is>
      </c>
      <c r="B1954" s="1" t="n">
        <v>45335</v>
      </c>
      <c r="C1954" s="1" t="n">
        <v>45847</v>
      </c>
      <c r="D1954" t="inlineStr">
        <is>
          <t>JÄMTLANDS LÄN</t>
        </is>
      </c>
      <c r="E1954" t="inlineStr">
        <is>
          <t>BRÄCKE</t>
        </is>
      </c>
      <c r="F1954" t="inlineStr">
        <is>
          <t>SCA</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6087-2024</t>
        </is>
      </c>
      <c r="B1955" s="1" t="n">
        <v>45337</v>
      </c>
      <c r="C1955" s="1" t="n">
        <v>45847</v>
      </c>
      <c r="D1955" t="inlineStr">
        <is>
          <t>JÄMTLANDS LÄN</t>
        </is>
      </c>
      <c r="E1955" t="inlineStr">
        <is>
          <t>BRÄCKE</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6086-2024</t>
        </is>
      </c>
      <c r="B1956" s="1" t="n">
        <v>45337</v>
      </c>
      <c r="C1956" s="1" t="n">
        <v>45847</v>
      </c>
      <c r="D1956" t="inlineStr">
        <is>
          <t>JÄMTLANDS LÄN</t>
        </is>
      </c>
      <c r="E1956" t="inlineStr">
        <is>
          <t>BRÄCKE</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6190-2024</t>
        </is>
      </c>
      <c r="B1957" s="1" t="n">
        <v>45337</v>
      </c>
      <c r="C1957" s="1" t="n">
        <v>45847</v>
      </c>
      <c r="D1957" t="inlineStr">
        <is>
          <t>JÄMTLANDS LÄN</t>
        </is>
      </c>
      <c r="E1957" t="inlineStr">
        <is>
          <t>BRÄCKE</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6185-2024</t>
        </is>
      </c>
      <c r="B1958" s="1" t="n">
        <v>45337</v>
      </c>
      <c r="C1958" s="1" t="n">
        <v>45847</v>
      </c>
      <c r="D1958" t="inlineStr">
        <is>
          <t>JÄMTLANDS LÄN</t>
        </is>
      </c>
      <c r="E1958" t="inlineStr">
        <is>
          <t>BRÄCKE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6362-2024</t>
        </is>
      </c>
      <c r="B1959" s="1" t="n">
        <v>45338</v>
      </c>
      <c r="C1959" s="1" t="n">
        <v>45847</v>
      </c>
      <c r="D1959" t="inlineStr">
        <is>
          <t>JÄMTLANDS LÄN</t>
        </is>
      </c>
      <c r="E1959" t="inlineStr">
        <is>
          <t>BRÄCKE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6516-2024</t>
        </is>
      </c>
      <c r="B1960" s="1" t="n">
        <v>45341</v>
      </c>
      <c r="C1960" s="1" t="n">
        <v>45847</v>
      </c>
      <c r="D1960" t="inlineStr">
        <is>
          <t>JÄMTLANDS LÄN</t>
        </is>
      </c>
      <c r="E1960" t="inlineStr">
        <is>
          <t>BRÄCKE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6907-2024</t>
        </is>
      </c>
      <c r="B1961" s="1" t="n">
        <v>45342</v>
      </c>
      <c r="C1961" s="1" t="n">
        <v>45847</v>
      </c>
      <c r="D1961" t="inlineStr">
        <is>
          <t>JÄMTLANDS LÄN</t>
        </is>
      </c>
      <c r="E1961" t="inlineStr">
        <is>
          <t>BRÄCKE</t>
        </is>
      </c>
      <c r="F1961" t="inlineStr">
        <is>
          <t>SCA</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7283-2024</t>
        </is>
      </c>
      <c r="B1962" s="1" t="n">
        <v>45344</v>
      </c>
      <c r="C1962" s="1" t="n">
        <v>45847</v>
      </c>
      <c r="D1962" t="inlineStr">
        <is>
          <t>JÄMTLANDS LÄN</t>
        </is>
      </c>
      <c r="E1962" t="inlineStr">
        <is>
          <t>BRÄCKE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7287-2024</t>
        </is>
      </c>
      <c r="B1963" s="1" t="n">
        <v>45344</v>
      </c>
      <c r="C1963" s="1" t="n">
        <v>45847</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7286-2024</t>
        </is>
      </c>
      <c r="B1964" s="1" t="n">
        <v>45344</v>
      </c>
      <c r="C1964" s="1" t="n">
        <v>45847</v>
      </c>
      <c r="D1964" t="inlineStr">
        <is>
          <t>JÄMTLANDS LÄN</t>
        </is>
      </c>
      <c r="E1964" t="inlineStr">
        <is>
          <t>BRÄCKE</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7434-2024</t>
        </is>
      </c>
      <c r="B1965" s="1" t="n">
        <v>45345</v>
      </c>
      <c r="C1965" s="1" t="n">
        <v>45847</v>
      </c>
      <c r="D1965" t="inlineStr">
        <is>
          <t>JÄMTLANDS LÄN</t>
        </is>
      </c>
      <c r="E1965" t="inlineStr">
        <is>
          <t>BRÄCKE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7844-2024</t>
        </is>
      </c>
      <c r="B1966" s="1" t="n">
        <v>45350</v>
      </c>
      <c r="C1966" s="1" t="n">
        <v>45847</v>
      </c>
      <c r="D1966" t="inlineStr">
        <is>
          <t>JÄMTLANDS LÄN</t>
        </is>
      </c>
      <c r="E1966" t="inlineStr">
        <is>
          <t>BRÄCKE</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8037-2024</t>
        </is>
      </c>
      <c r="B1967" s="1" t="n">
        <v>45350</v>
      </c>
      <c r="C1967" s="1" t="n">
        <v>45847</v>
      </c>
      <c r="D1967" t="inlineStr">
        <is>
          <t>JÄMTLANDS LÄN</t>
        </is>
      </c>
      <c r="E1967" t="inlineStr">
        <is>
          <t>BRÄCKE</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8253-2024</t>
        </is>
      </c>
      <c r="B1968" s="1" t="n">
        <v>45350</v>
      </c>
      <c r="C1968" s="1" t="n">
        <v>45847</v>
      </c>
      <c r="D1968" t="inlineStr">
        <is>
          <t>JÄMTLANDS LÄN</t>
        </is>
      </c>
      <c r="E1968" t="inlineStr">
        <is>
          <t>BRÄCKE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8242-2024</t>
        </is>
      </c>
      <c r="B1969" s="1" t="n">
        <v>45352</v>
      </c>
      <c r="C1969" s="1" t="n">
        <v>45847</v>
      </c>
      <c r="D1969" t="inlineStr">
        <is>
          <t>JÄMTLANDS LÄN</t>
        </is>
      </c>
      <c r="E1969" t="inlineStr">
        <is>
          <t>BRÄCKE</t>
        </is>
      </c>
      <c r="F1969" t="inlineStr">
        <is>
          <t>SCA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8416-2024</t>
        </is>
      </c>
      <c r="B1970" s="1" t="n">
        <v>45353</v>
      </c>
      <c r="C1970" s="1" t="n">
        <v>45847</v>
      </c>
      <c r="D1970" t="inlineStr">
        <is>
          <t>JÄMTLANDS LÄN</t>
        </is>
      </c>
      <c r="E1970" t="inlineStr">
        <is>
          <t>BRÄCKE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8415-2024</t>
        </is>
      </c>
      <c r="B1971" s="1" t="n">
        <v>45353</v>
      </c>
      <c r="C1971" s="1" t="n">
        <v>45847</v>
      </c>
      <c r="D1971" t="inlineStr">
        <is>
          <t>JÄMTLANDS LÄN</t>
        </is>
      </c>
      <c r="E1971" t="inlineStr">
        <is>
          <t>BRÄCKE</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8657-2024</t>
        </is>
      </c>
      <c r="B1972" s="1" t="n">
        <v>45356</v>
      </c>
      <c r="C1972" s="1" t="n">
        <v>45847</v>
      </c>
      <c r="D1972" t="inlineStr">
        <is>
          <t>JÄMTLANDS LÄN</t>
        </is>
      </c>
      <c r="E1972" t="inlineStr">
        <is>
          <t>BRÄCKE</t>
        </is>
      </c>
      <c r="F1972" t="inlineStr">
        <is>
          <t>SCA</t>
        </is>
      </c>
      <c r="G1972" t="n">
        <v>35.6</v>
      </c>
      <c r="H1972" t="n">
        <v>0</v>
      </c>
      <c r="I1972" t="n">
        <v>0</v>
      </c>
      <c r="J1972" t="n">
        <v>0</v>
      </c>
      <c r="K1972" t="n">
        <v>0</v>
      </c>
      <c r="L1972" t="n">
        <v>0</v>
      </c>
      <c r="M1972" t="n">
        <v>0</v>
      </c>
      <c r="N1972" t="n">
        <v>0</v>
      </c>
      <c r="O1972" t="n">
        <v>0</v>
      </c>
      <c r="P1972" t="n">
        <v>0</v>
      </c>
      <c r="Q1972" t="n">
        <v>0</v>
      </c>
      <c r="R1972" s="2" t="inlineStr"/>
    </row>
    <row r="1973" ht="15" customHeight="1">
      <c r="A1973" t="inlineStr">
        <is>
          <t>A 8882-2024</t>
        </is>
      </c>
      <c r="B1973" s="1" t="n">
        <v>45357</v>
      </c>
      <c r="C1973" s="1" t="n">
        <v>45847</v>
      </c>
      <c r="D1973" t="inlineStr">
        <is>
          <t>JÄMTLANDS LÄN</t>
        </is>
      </c>
      <c r="E1973" t="inlineStr">
        <is>
          <t>BRÄCKE</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9118-2024</t>
        </is>
      </c>
      <c r="B1974" s="1" t="n">
        <v>45358</v>
      </c>
      <c r="C1974" s="1" t="n">
        <v>45847</v>
      </c>
      <c r="D1974" t="inlineStr">
        <is>
          <t>JÄMTLANDS LÄN</t>
        </is>
      </c>
      <c r="E1974" t="inlineStr">
        <is>
          <t>BRÄCKE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9332-2024</t>
        </is>
      </c>
      <c r="B1975" s="1" t="n">
        <v>45359</v>
      </c>
      <c r="C1975" s="1" t="n">
        <v>45847</v>
      </c>
      <c r="D1975" t="inlineStr">
        <is>
          <t>JÄMTLANDS LÄN</t>
        </is>
      </c>
      <c r="E1975" t="inlineStr">
        <is>
          <t>BRÄCKE</t>
        </is>
      </c>
      <c r="F1975" t="inlineStr">
        <is>
          <t>SCA</t>
        </is>
      </c>
      <c r="G1975" t="n">
        <v>30.2</v>
      </c>
      <c r="H1975" t="n">
        <v>0</v>
      </c>
      <c r="I1975" t="n">
        <v>0</v>
      </c>
      <c r="J1975" t="n">
        <v>0</v>
      </c>
      <c r="K1975" t="n">
        <v>0</v>
      </c>
      <c r="L1975" t="n">
        <v>0</v>
      </c>
      <c r="M1975" t="n">
        <v>0</v>
      </c>
      <c r="N1975" t="n">
        <v>0</v>
      </c>
      <c r="O1975" t="n">
        <v>0</v>
      </c>
      <c r="P1975" t="n">
        <v>0</v>
      </c>
      <c r="Q1975" t="n">
        <v>0</v>
      </c>
      <c r="R1975" s="2" t="inlineStr"/>
    </row>
    <row r="1976" ht="15" customHeight="1">
      <c r="A1976" t="inlineStr">
        <is>
          <t>A 9553-2024</t>
        </is>
      </c>
      <c r="B1976" s="1" t="n">
        <v>45360</v>
      </c>
      <c r="C1976" s="1" t="n">
        <v>45847</v>
      </c>
      <c r="D1976" t="inlineStr">
        <is>
          <t>JÄMTLANDS LÄN</t>
        </is>
      </c>
      <c r="E1976" t="inlineStr">
        <is>
          <t>BRÄCKE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9816-2024</t>
        </is>
      </c>
      <c r="B1977" s="1" t="n">
        <v>45363</v>
      </c>
      <c r="C1977" s="1" t="n">
        <v>45847</v>
      </c>
      <c r="D1977" t="inlineStr">
        <is>
          <t>JÄMTLANDS LÄN</t>
        </is>
      </c>
      <c r="E1977" t="inlineStr">
        <is>
          <t>BRÄCKE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9821-2024</t>
        </is>
      </c>
      <c r="B1978" s="1" t="n">
        <v>45363</v>
      </c>
      <c r="C1978" s="1" t="n">
        <v>45847</v>
      </c>
      <c r="D1978" t="inlineStr">
        <is>
          <t>JÄMTLANDS LÄN</t>
        </is>
      </c>
      <c r="E1978" t="inlineStr">
        <is>
          <t>BRÄCKE</t>
        </is>
      </c>
      <c r="F1978" t="inlineStr">
        <is>
          <t>SCA</t>
        </is>
      </c>
      <c r="G1978" t="n">
        <v>12.2</v>
      </c>
      <c r="H1978" t="n">
        <v>0</v>
      </c>
      <c r="I1978" t="n">
        <v>0</v>
      </c>
      <c r="J1978" t="n">
        <v>0</v>
      </c>
      <c r="K1978" t="n">
        <v>0</v>
      </c>
      <c r="L1978" t="n">
        <v>0</v>
      </c>
      <c r="M1978" t="n">
        <v>0</v>
      </c>
      <c r="N1978" t="n">
        <v>0</v>
      </c>
      <c r="O1978" t="n">
        <v>0</v>
      </c>
      <c r="P1978" t="n">
        <v>0</v>
      </c>
      <c r="Q1978" t="n">
        <v>0</v>
      </c>
      <c r="R1978" s="2" t="inlineStr"/>
    </row>
    <row r="1979" ht="15" customHeight="1">
      <c r="A1979" t="inlineStr">
        <is>
          <t>A 10037-2024</t>
        </is>
      </c>
      <c r="B1979" s="1" t="n">
        <v>45364</v>
      </c>
      <c r="C1979" s="1" t="n">
        <v>45847</v>
      </c>
      <c r="D1979" t="inlineStr">
        <is>
          <t>JÄMTLANDS LÄN</t>
        </is>
      </c>
      <c r="E1979" t="inlineStr">
        <is>
          <t>BRÄCKE</t>
        </is>
      </c>
      <c r="F1979" t="inlineStr">
        <is>
          <t>SCA</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10036-2024</t>
        </is>
      </c>
      <c r="B1980" s="1" t="n">
        <v>45364</v>
      </c>
      <c r="C1980" s="1" t="n">
        <v>45847</v>
      </c>
      <c r="D1980" t="inlineStr">
        <is>
          <t>JÄMTLANDS LÄN</t>
        </is>
      </c>
      <c r="E1980" t="inlineStr">
        <is>
          <t>BRÄCKE</t>
        </is>
      </c>
      <c r="F1980" t="inlineStr">
        <is>
          <t>SCA</t>
        </is>
      </c>
      <c r="G1980" t="n">
        <v>22.6</v>
      </c>
      <c r="H1980" t="n">
        <v>0</v>
      </c>
      <c r="I1980" t="n">
        <v>0</v>
      </c>
      <c r="J1980" t="n">
        <v>0</v>
      </c>
      <c r="K1980" t="n">
        <v>0</v>
      </c>
      <c r="L1980" t="n">
        <v>0</v>
      </c>
      <c r="M1980" t="n">
        <v>0</v>
      </c>
      <c r="N1980" t="n">
        <v>0</v>
      </c>
      <c r="O1980" t="n">
        <v>0</v>
      </c>
      <c r="P1980" t="n">
        <v>0</v>
      </c>
      <c r="Q1980" t="n">
        <v>0</v>
      </c>
      <c r="R1980" s="2" t="inlineStr"/>
    </row>
    <row r="1981" ht="15" customHeight="1">
      <c r="A1981" t="inlineStr">
        <is>
          <t>A 10213-2024</t>
        </is>
      </c>
      <c r="B1981" s="1" t="n">
        <v>45364</v>
      </c>
      <c r="C1981" s="1" t="n">
        <v>45847</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10215-2024</t>
        </is>
      </c>
      <c r="B1982" s="1" t="n">
        <v>45364</v>
      </c>
      <c r="C1982" s="1" t="n">
        <v>45847</v>
      </c>
      <c r="D1982" t="inlineStr">
        <is>
          <t>JÄMTLANDS LÄN</t>
        </is>
      </c>
      <c r="E1982" t="inlineStr">
        <is>
          <t>BRÄCKE</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10558-2024</t>
        </is>
      </c>
      <c r="B1983" s="1" t="n">
        <v>45366</v>
      </c>
      <c r="C1983" s="1" t="n">
        <v>45847</v>
      </c>
      <c r="D1983" t="inlineStr">
        <is>
          <t>JÄMTLANDS LÄN</t>
        </is>
      </c>
      <c r="E1983" t="inlineStr">
        <is>
          <t>BRÄCKE</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10543-2024</t>
        </is>
      </c>
      <c r="B1984" s="1" t="n">
        <v>45366</v>
      </c>
      <c r="C1984" s="1" t="n">
        <v>45847</v>
      </c>
      <c r="D1984" t="inlineStr">
        <is>
          <t>JÄMTLANDS LÄN</t>
        </is>
      </c>
      <c r="E1984" t="inlineStr">
        <is>
          <t>BRÄCKE</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10621-2024</t>
        </is>
      </c>
      <c r="B1985" s="1" t="n">
        <v>45367</v>
      </c>
      <c r="C1985" s="1" t="n">
        <v>45847</v>
      </c>
      <c r="D1985" t="inlineStr">
        <is>
          <t>JÄMTLANDS LÄN</t>
        </is>
      </c>
      <c r="E1985" t="inlineStr">
        <is>
          <t>BRÄCKE</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10855-2024</t>
        </is>
      </c>
      <c r="B1986" s="1" t="n">
        <v>45370</v>
      </c>
      <c r="C1986" s="1" t="n">
        <v>45847</v>
      </c>
      <c r="D1986" t="inlineStr">
        <is>
          <t>JÄMTLANDS LÄN</t>
        </is>
      </c>
      <c r="E1986" t="inlineStr">
        <is>
          <t>BRÄCKE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10859-2024</t>
        </is>
      </c>
      <c r="B1987" s="1" t="n">
        <v>45370</v>
      </c>
      <c r="C1987" s="1" t="n">
        <v>45847</v>
      </c>
      <c r="D1987" t="inlineStr">
        <is>
          <t>JÄMTLANDS LÄN</t>
        </is>
      </c>
      <c r="E1987" t="inlineStr">
        <is>
          <t>BRÄCKE</t>
        </is>
      </c>
      <c r="F1987" t="inlineStr">
        <is>
          <t>SCA</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10858-2024</t>
        </is>
      </c>
      <c r="B1988" s="1" t="n">
        <v>45370</v>
      </c>
      <c r="C1988" s="1" t="n">
        <v>45847</v>
      </c>
      <c r="D1988" t="inlineStr">
        <is>
          <t>JÄMTLANDS LÄN</t>
        </is>
      </c>
      <c r="E1988" t="inlineStr">
        <is>
          <t>BRÄCKE</t>
        </is>
      </c>
      <c r="F1988" t="inlineStr">
        <is>
          <t>SCA</t>
        </is>
      </c>
      <c r="G1988" t="n">
        <v>15.2</v>
      </c>
      <c r="H1988" t="n">
        <v>0</v>
      </c>
      <c r="I1988" t="n">
        <v>0</v>
      </c>
      <c r="J1988" t="n">
        <v>0</v>
      </c>
      <c r="K1988" t="n">
        <v>0</v>
      </c>
      <c r="L1988" t="n">
        <v>0</v>
      </c>
      <c r="M1988" t="n">
        <v>0</v>
      </c>
      <c r="N1988" t="n">
        <v>0</v>
      </c>
      <c r="O1988" t="n">
        <v>0</v>
      </c>
      <c r="P1988" t="n">
        <v>0</v>
      </c>
      <c r="Q1988" t="n">
        <v>0</v>
      </c>
      <c r="R1988" s="2" t="inlineStr"/>
    </row>
    <row r="1989" ht="15" customHeight="1">
      <c r="A1989" t="inlineStr">
        <is>
          <t>A 10857-2024</t>
        </is>
      </c>
      <c r="B1989" s="1" t="n">
        <v>45370</v>
      </c>
      <c r="C1989" s="1" t="n">
        <v>45847</v>
      </c>
      <c r="D1989" t="inlineStr">
        <is>
          <t>JÄMTLANDS LÄN</t>
        </is>
      </c>
      <c r="E1989" t="inlineStr">
        <is>
          <t>BRÄCKE</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10877-2024</t>
        </is>
      </c>
      <c r="B1990" s="1" t="n">
        <v>45370</v>
      </c>
      <c r="C1990" s="1" t="n">
        <v>45847</v>
      </c>
      <c r="D1990" t="inlineStr">
        <is>
          <t>JÄMTLANDS LÄN</t>
        </is>
      </c>
      <c r="E1990" t="inlineStr">
        <is>
          <t>BRÄCKE</t>
        </is>
      </c>
      <c r="F1990" t="inlineStr">
        <is>
          <t>SCA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10856-2024</t>
        </is>
      </c>
      <c r="B1991" s="1" t="n">
        <v>45370</v>
      </c>
      <c r="C1991" s="1" t="n">
        <v>45847</v>
      </c>
      <c r="D1991" t="inlineStr">
        <is>
          <t>JÄMTLANDS LÄN</t>
        </is>
      </c>
      <c r="E1991" t="inlineStr">
        <is>
          <t>BRÄCKE</t>
        </is>
      </c>
      <c r="F1991" t="inlineStr">
        <is>
          <t>SCA</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11084-2024</t>
        </is>
      </c>
      <c r="B1992" s="1" t="n">
        <v>45370</v>
      </c>
      <c r="C1992" s="1" t="n">
        <v>45847</v>
      </c>
      <c r="D1992" t="inlineStr">
        <is>
          <t>JÄMTLANDS LÄN</t>
        </is>
      </c>
      <c r="E1992" t="inlineStr">
        <is>
          <t>BRÄCKE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11085-2024</t>
        </is>
      </c>
      <c r="B1993" s="1" t="n">
        <v>45370</v>
      </c>
      <c r="C1993" s="1" t="n">
        <v>45847</v>
      </c>
      <c r="D1993" t="inlineStr">
        <is>
          <t>JÄMTLANDS LÄN</t>
        </is>
      </c>
      <c r="E1993" t="inlineStr">
        <is>
          <t>BRÄCKE</t>
        </is>
      </c>
      <c r="F1993" t="inlineStr">
        <is>
          <t>SCA</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11093-2024</t>
        </is>
      </c>
      <c r="B1994" s="1" t="n">
        <v>45370</v>
      </c>
      <c r="C1994" s="1" t="n">
        <v>45847</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11331-2024</t>
        </is>
      </c>
      <c r="B1995" s="1" t="n">
        <v>45372</v>
      </c>
      <c r="C1995" s="1" t="n">
        <v>45847</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11336-2024</t>
        </is>
      </c>
      <c r="B1996" s="1" t="n">
        <v>45372</v>
      </c>
      <c r="C1996" s="1" t="n">
        <v>45847</v>
      </c>
      <c r="D1996" t="inlineStr">
        <is>
          <t>JÄMTLANDS LÄN</t>
        </is>
      </c>
      <c r="E1996" t="inlineStr">
        <is>
          <t>BRÄCKE</t>
        </is>
      </c>
      <c r="F1996" t="inlineStr">
        <is>
          <t>SCA</t>
        </is>
      </c>
      <c r="G1996" t="n">
        <v>26.1</v>
      </c>
      <c r="H1996" t="n">
        <v>0</v>
      </c>
      <c r="I1996" t="n">
        <v>0</v>
      </c>
      <c r="J1996" t="n">
        <v>0</v>
      </c>
      <c r="K1996" t="n">
        <v>0</v>
      </c>
      <c r="L1996" t="n">
        <v>0</v>
      </c>
      <c r="M1996" t="n">
        <v>0</v>
      </c>
      <c r="N1996" t="n">
        <v>0</v>
      </c>
      <c r="O1996" t="n">
        <v>0</v>
      </c>
      <c r="P1996" t="n">
        <v>0</v>
      </c>
      <c r="Q1996" t="n">
        <v>0</v>
      </c>
      <c r="R1996" s="2" t="inlineStr"/>
    </row>
    <row r="1997" ht="15" customHeight="1">
      <c r="A1997" t="inlineStr">
        <is>
          <t>A 11337-2024</t>
        </is>
      </c>
      <c r="B1997" s="1" t="n">
        <v>45372</v>
      </c>
      <c r="C1997" s="1" t="n">
        <v>45847</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11543-2024</t>
        </is>
      </c>
      <c r="B1998" s="1" t="n">
        <v>45372</v>
      </c>
      <c r="C1998" s="1" t="n">
        <v>45847</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11536-2024</t>
        </is>
      </c>
      <c r="B1999" s="1" t="n">
        <v>45372</v>
      </c>
      <c r="C1999" s="1" t="n">
        <v>45847</v>
      </c>
      <c r="D1999" t="inlineStr">
        <is>
          <t>JÄMTLANDS LÄN</t>
        </is>
      </c>
      <c r="E1999" t="inlineStr">
        <is>
          <t>BRÄCKE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11545-2024</t>
        </is>
      </c>
      <c r="B2000" s="1" t="n">
        <v>45372</v>
      </c>
      <c r="C2000" s="1" t="n">
        <v>45847</v>
      </c>
      <c r="D2000" t="inlineStr">
        <is>
          <t>JÄMTLANDS LÄN</t>
        </is>
      </c>
      <c r="E2000" t="inlineStr">
        <is>
          <t>BRÄCKE</t>
        </is>
      </c>
      <c r="F2000" t="inlineStr">
        <is>
          <t>SCA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11553-2024</t>
        </is>
      </c>
      <c r="B2001" s="1" t="n">
        <v>45372</v>
      </c>
      <c r="C2001" s="1" t="n">
        <v>45847</v>
      </c>
      <c r="D2001" t="inlineStr">
        <is>
          <t>JÄMTLANDS LÄN</t>
        </is>
      </c>
      <c r="E2001" t="inlineStr">
        <is>
          <t>BRÄCKE</t>
        </is>
      </c>
      <c r="F2001" t="inlineStr">
        <is>
          <t>Naturvårdsverket</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11658-2024</t>
        </is>
      </c>
      <c r="B2002" s="1" t="n">
        <v>45373</v>
      </c>
      <c r="C2002" s="1" t="n">
        <v>45847</v>
      </c>
      <c r="D2002" t="inlineStr">
        <is>
          <t>JÄMTLANDS LÄN</t>
        </is>
      </c>
      <c r="E2002" t="inlineStr">
        <is>
          <t>BRÄCKE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11830-2024</t>
        </is>
      </c>
      <c r="B2003" s="1" t="n">
        <v>45376</v>
      </c>
      <c r="C2003" s="1" t="n">
        <v>45847</v>
      </c>
      <c r="D2003" t="inlineStr">
        <is>
          <t>JÄMTLANDS LÄN</t>
        </is>
      </c>
      <c r="E2003" t="inlineStr">
        <is>
          <t>BRÄCKE</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11993-2024</t>
        </is>
      </c>
      <c r="B2004" s="1" t="n">
        <v>45376</v>
      </c>
      <c r="C2004" s="1" t="n">
        <v>45847</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11975-2024</t>
        </is>
      </c>
      <c r="B2005" s="1" t="n">
        <v>45376</v>
      </c>
      <c r="C2005" s="1" t="n">
        <v>45847</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11991-2024</t>
        </is>
      </c>
      <c r="B2006" s="1" t="n">
        <v>45376</v>
      </c>
      <c r="C2006" s="1" t="n">
        <v>45847</v>
      </c>
      <c r="D2006" t="inlineStr">
        <is>
          <t>JÄMTLANDS LÄN</t>
        </is>
      </c>
      <c r="E2006" t="inlineStr">
        <is>
          <t>BRÄCKE</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11992-2024</t>
        </is>
      </c>
      <c r="B2007" s="1" t="n">
        <v>45376</v>
      </c>
      <c r="C2007" s="1" t="n">
        <v>45847</v>
      </c>
      <c r="D2007" t="inlineStr">
        <is>
          <t>JÄMTLANDS LÄN</t>
        </is>
      </c>
      <c r="E2007" t="inlineStr">
        <is>
          <t>BRÄCKE</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11974-2024</t>
        </is>
      </c>
      <c r="B2008" s="1" t="n">
        <v>45376</v>
      </c>
      <c r="C2008" s="1" t="n">
        <v>45847</v>
      </c>
      <c r="D2008" t="inlineStr">
        <is>
          <t>JÄMTLANDS LÄN</t>
        </is>
      </c>
      <c r="E2008" t="inlineStr">
        <is>
          <t>BRÄCKE</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12195-2024</t>
        </is>
      </c>
      <c r="B2009" s="1" t="n">
        <v>45377</v>
      </c>
      <c r="C2009" s="1" t="n">
        <v>45847</v>
      </c>
      <c r="D2009" t="inlineStr">
        <is>
          <t>JÄMTLANDS LÄN</t>
        </is>
      </c>
      <c r="E2009" t="inlineStr">
        <is>
          <t>BRÄCKE</t>
        </is>
      </c>
      <c r="F2009" t="inlineStr">
        <is>
          <t>SCA</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12183-2024</t>
        </is>
      </c>
      <c r="B2010" s="1" t="n">
        <v>45377</v>
      </c>
      <c r="C2010" s="1" t="n">
        <v>45847</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12370-2024</t>
        </is>
      </c>
      <c r="B2011" s="1" t="n">
        <v>45378</v>
      </c>
      <c r="C2011" s="1" t="n">
        <v>45847</v>
      </c>
      <c r="D2011" t="inlineStr">
        <is>
          <t>JÄMTLANDS LÄN</t>
        </is>
      </c>
      <c r="E2011" t="inlineStr">
        <is>
          <t>BRÄCKE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12859-2024</t>
        </is>
      </c>
      <c r="B2012" s="1" t="n">
        <v>45385</v>
      </c>
      <c r="C2012" s="1" t="n">
        <v>45847</v>
      </c>
      <c r="D2012" t="inlineStr">
        <is>
          <t>JÄMTLANDS LÄN</t>
        </is>
      </c>
      <c r="E2012" t="inlineStr">
        <is>
          <t>BRÄCKE</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12864-2024</t>
        </is>
      </c>
      <c r="B2013" s="1" t="n">
        <v>45385</v>
      </c>
      <c r="C2013" s="1" t="n">
        <v>45847</v>
      </c>
      <c r="D2013" t="inlineStr">
        <is>
          <t>JÄMTLANDS LÄN</t>
        </is>
      </c>
      <c r="E2013" t="inlineStr">
        <is>
          <t>BRÄCKE</t>
        </is>
      </c>
      <c r="F2013" t="inlineStr">
        <is>
          <t>SCA</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12862-2024</t>
        </is>
      </c>
      <c r="B2014" s="1" t="n">
        <v>45385</v>
      </c>
      <c r="C2014" s="1" t="n">
        <v>45847</v>
      </c>
      <c r="D2014" t="inlineStr">
        <is>
          <t>JÄMTLANDS LÄN</t>
        </is>
      </c>
      <c r="E2014" t="inlineStr">
        <is>
          <t>BRÄCKE</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12891-2024</t>
        </is>
      </c>
      <c r="B2015" s="1" t="n">
        <v>45385</v>
      </c>
      <c r="C2015" s="1" t="n">
        <v>45847</v>
      </c>
      <c r="D2015" t="inlineStr">
        <is>
          <t>JÄMTLANDS LÄN</t>
        </is>
      </c>
      <c r="E2015" t="inlineStr">
        <is>
          <t>BRÄCKE</t>
        </is>
      </c>
      <c r="F2015" t="inlineStr">
        <is>
          <t>Kyrkan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12889-2024</t>
        </is>
      </c>
      <c r="B2016" s="1" t="n">
        <v>45385</v>
      </c>
      <c r="C2016" s="1" t="n">
        <v>45847</v>
      </c>
      <c r="D2016" t="inlineStr">
        <is>
          <t>JÄMTLANDS LÄN</t>
        </is>
      </c>
      <c r="E2016" t="inlineStr">
        <is>
          <t>BRÄCKE</t>
        </is>
      </c>
      <c r="F2016" t="inlineStr">
        <is>
          <t>Kyrkan</t>
        </is>
      </c>
      <c r="G2016" t="n">
        <v>12.1</v>
      </c>
      <c r="H2016" t="n">
        <v>0</v>
      </c>
      <c r="I2016" t="n">
        <v>0</v>
      </c>
      <c r="J2016" t="n">
        <v>0</v>
      </c>
      <c r="K2016" t="n">
        <v>0</v>
      </c>
      <c r="L2016" t="n">
        <v>0</v>
      </c>
      <c r="M2016" t="n">
        <v>0</v>
      </c>
      <c r="N2016" t="n">
        <v>0</v>
      </c>
      <c r="O2016" t="n">
        <v>0</v>
      </c>
      <c r="P2016" t="n">
        <v>0</v>
      </c>
      <c r="Q2016" t="n">
        <v>0</v>
      </c>
      <c r="R2016" s="2" t="inlineStr"/>
    </row>
    <row r="2017" ht="15" customHeight="1">
      <c r="A2017" t="inlineStr">
        <is>
          <t>A 13183-2024</t>
        </is>
      </c>
      <c r="B2017" s="1" t="n">
        <v>45386</v>
      </c>
      <c r="C2017" s="1" t="n">
        <v>45847</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13166-2024</t>
        </is>
      </c>
      <c r="B2018" s="1" t="n">
        <v>45386</v>
      </c>
      <c r="C2018" s="1" t="n">
        <v>45847</v>
      </c>
      <c r="D2018" t="inlineStr">
        <is>
          <t>JÄMTLANDS LÄN</t>
        </is>
      </c>
      <c r="E2018" t="inlineStr">
        <is>
          <t>BRÄCKE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13178-2024</t>
        </is>
      </c>
      <c r="B2019" s="1" t="n">
        <v>45386</v>
      </c>
      <c r="C2019" s="1" t="n">
        <v>45847</v>
      </c>
      <c r="D2019" t="inlineStr">
        <is>
          <t>JÄMTLANDS LÄN</t>
        </is>
      </c>
      <c r="E2019" t="inlineStr">
        <is>
          <t>BRÄCKE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13180-2024</t>
        </is>
      </c>
      <c r="B2020" s="1" t="n">
        <v>45386</v>
      </c>
      <c r="C2020" s="1" t="n">
        <v>45847</v>
      </c>
      <c r="D2020" t="inlineStr">
        <is>
          <t>JÄMTLANDS LÄN</t>
        </is>
      </c>
      <c r="E2020" t="inlineStr">
        <is>
          <t>BRÄCKE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13554-2024</t>
        </is>
      </c>
      <c r="B2021" s="1" t="n">
        <v>45387</v>
      </c>
      <c r="C2021" s="1" t="n">
        <v>45847</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13668-2024</t>
        </is>
      </c>
      <c r="B2022" s="1" t="n">
        <v>45387</v>
      </c>
      <c r="C2022" s="1" t="n">
        <v>45847</v>
      </c>
      <c r="D2022" t="inlineStr">
        <is>
          <t>JÄMTLANDS LÄN</t>
        </is>
      </c>
      <c r="E2022" t="inlineStr">
        <is>
          <t>BRÄCKE</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13549-2024</t>
        </is>
      </c>
      <c r="B2023" s="1" t="n">
        <v>45387</v>
      </c>
      <c r="C2023" s="1" t="n">
        <v>45847</v>
      </c>
      <c r="D2023" t="inlineStr">
        <is>
          <t>JÄMTLANDS LÄN</t>
        </is>
      </c>
      <c r="E2023" t="inlineStr">
        <is>
          <t>BRÄCKE</t>
        </is>
      </c>
      <c r="F2023" t="inlineStr">
        <is>
          <t>SCA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13757-2024</t>
        </is>
      </c>
      <c r="B2024" s="1" t="n">
        <v>45391</v>
      </c>
      <c r="C2024" s="1" t="n">
        <v>45847</v>
      </c>
      <c r="D2024" t="inlineStr">
        <is>
          <t>JÄMTLANDS LÄN</t>
        </is>
      </c>
      <c r="E2024" t="inlineStr">
        <is>
          <t>BRÄCKE</t>
        </is>
      </c>
      <c r="G2024" t="n">
        <v>11.9</v>
      </c>
      <c r="H2024" t="n">
        <v>0</v>
      </c>
      <c r="I2024" t="n">
        <v>0</v>
      </c>
      <c r="J2024" t="n">
        <v>0</v>
      </c>
      <c r="K2024" t="n">
        <v>0</v>
      </c>
      <c r="L2024" t="n">
        <v>0</v>
      </c>
      <c r="M2024" t="n">
        <v>0</v>
      </c>
      <c r="N2024" t="n">
        <v>0</v>
      </c>
      <c r="O2024" t="n">
        <v>0</v>
      </c>
      <c r="P2024" t="n">
        <v>0</v>
      </c>
      <c r="Q2024" t="n">
        <v>0</v>
      </c>
      <c r="R2024" s="2" t="inlineStr"/>
    </row>
    <row r="2025" ht="15" customHeight="1">
      <c r="A2025" t="inlineStr">
        <is>
          <t>A 13762-2024</t>
        </is>
      </c>
      <c r="B2025" s="1" t="n">
        <v>45390</v>
      </c>
      <c r="C2025" s="1" t="n">
        <v>45847</v>
      </c>
      <c r="D2025" t="inlineStr">
        <is>
          <t>JÄMTLANDS LÄN</t>
        </is>
      </c>
      <c r="E2025" t="inlineStr">
        <is>
          <t>BRÄCKE</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13933-2024</t>
        </is>
      </c>
      <c r="B2026" s="1" t="n">
        <v>45392</v>
      </c>
      <c r="C2026" s="1" t="n">
        <v>45847</v>
      </c>
      <c r="D2026" t="inlineStr">
        <is>
          <t>JÄMTLANDS LÄN</t>
        </is>
      </c>
      <c r="E2026" t="inlineStr">
        <is>
          <t>BRÄCKE</t>
        </is>
      </c>
      <c r="F2026" t="inlineStr">
        <is>
          <t>SCA</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13938-2024</t>
        </is>
      </c>
      <c r="B2027" s="1" t="n">
        <v>45392</v>
      </c>
      <c r="C2027" s="1" t="n">
        <v>45847</v>
      </c>
      <c r="D2027" t="inlineStr">
        <is>
          <t>JÄMTLANDS LÄN</t>
        </is>
      </c>
      <c r="E2027" t="inlineStr">
        <is>
          <t>BRÄCKE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13944-2024</t>
        </is>
      </c>
      <c r="B2028" s="1" t="n">
        <v>45392</v>
      </c>
      <c r="C2028" s="1" t="n">
        <v>45847</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13932-2024</t>
        </is>
      </c>
      <c r="B2029" s="1" t="n">
        <v>45391</v>
      </c>
      <c r="C2029" s="1" t="n">
        <v>45847</v>
      </c>
      <c r="D2029" t="inlineStr">
        <is>
          <t>JÄMTLANDS LÄN</t>
        </is>
      </c>
      <c r="E2029" t="inlineStr">
        <is>
          <t>BRÄCKE</t>
        </is>
      </c>
      <c r="F2029" t="inlineStr">
        <is>
          <t>SCA</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13995-2024</t>
        </is>
      </c>
      <c r="B2030" s="1" t="n">
        <v>45392</v>
      </c>
      <c r="C2030" s="1" t="n">
        <v>45847</v>
      </c>
      <c r="D2030" t="inlineStr">
        <is>
          <t>JÄMTLANDS LÄN</t>
        </is>
      </c>
      <c r="E2030" t="inlineStr">
        <is>
          <t>BRÄCKE</t>
        </is>
      </c>
      <c r="F2030" t="inlineStr">
        <is>
          <t>Kyrkan</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14003-2024</t>
        </is>
      </c>
      <c r="B2031" s="1" t="n">
        <v>45392</v>
      </c>
      <c r="C2031" s="1" t="n">
        <v>45847</v>
      </c>
      <c r="D2031" t="inlineStr">
        <is>
          <t>JÄMTLANDS LÄN</t>
        </is>
      </c>
      <c r="E2031" t="inlineStr">
        <is>
          <t>BRÄCKE</t>
        </is>
      </c>
      <c r="F2031" t="inlineStr">
        <is>
          <t>Kyrkan</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14373-2024</t>
        </is>
      </c>
      <c r="B2032" s="1" t="n">
        <v>45393</v>
      </c>
      <c r="C2032" s="1" t="n">
        <v>45847</v>
      </c>
      <c r="D2032" t="inlineStr">
        <is>
          <t>JÄMTLANDS LÄN</t>
        </is>
      </c>
      <c r="E2032" t="inlineStr">
        <is>
          <t>BRÄCKE</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14370-2024</t>
        </is>
      </c>
      <c r="B2033" s="1" t="n">
        <v>45394</v>
      </c>
      <c r="C2033" s="1" t="n">
        <v>45847</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14450-2024</t>
        </is>
      </c>
      <c r="B2034" s="1" t="n">
        <v>45394</v>
      </c>
      <c r="C2034" s="1" t="n">
        <v>45847</v>
      </c>
      <c r="D2034" t="inlineStr">
        <is>
          <t>JÄMTLANDS LÄN</t>
        </is>
      </c>
      <c r="E2034" t="inlineStr">
        <is>
          <t>BRÄCKE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14492-2024</t>
        </is>
      </c>
      <c r="B2035" s="1" t="n">
        <v>45394</v>
      </c>
      <c r="C2035" s="1" t="n">
        <v>45847</v>
      </c>
      <c r="D2035" t="inlineStr">
        <is>
          <t>JÄMTLANDS LÄN</t>
        </is>
      </c>
      <c r="E2035" t="inlineStr">
        <is>
          <t>BRÄCKE</t>
        </is>
      </c>
      <c r="G2035" t="n">
        <v>16.6</v>
      </c>
      <c r="H2035" t="n">
        <v>0</v>
      </c>
      <c r="I2035" t="n">
        <v>0</v>
      </c>
      <c r="J2035" t="n">
        <v>0</v>
      </c>
      <c r="K2035" t="n">
        <v>0</v>
      </c>
      <c r="L2035" t="n">
        <v>0</v>
      </c>
      <c r="M2035" t="n">
        <v>0</v>
      </c>
      <c r="N2035" t="n">
        <v>0</v>
      </c>
      <c r="O2035" t="n">
        <v>0</v>
      </c>
      <c r="P2035" t="n">
        <v>0</v>
      </c>
      <c r="Q2035" t="n">
        <v>0</v>
      </c>
      <c r="R2035" s="2" t="inlineStr"/>
    </row>
    <row r="2036" ht="15" customHeight="1">
      <c r="A2036" t="inlineStr">
        <is>
          <t>A 14503-2024</t>
        </is>
      </c>
      <c r="B2036" s="1" t="n">
        <v>45394</v>
      </c>
      <c r="C2036" s="1" t="n">
        <v>45847</v>
      </c>
      <c r="D2036" t="inlineStr">
        <is>
          <t>JÄMTLANDS LÄN</t>
        </is>
      </c>
      <c r="E2036" t="inlineStr">
        <is>
          <t>BRÄCKE</t>
        </is>
      </c>
      <c r="G2036" t="n">
        <v>15.2</v>
      </c>
      <c r="H2036" t="n">
        <v>0</v>
      </c>
      <c r="I2036" t="n">
        <v>0</v>
      </c>
      <c r="J2036" t="n">
        <v>0</v>
      </c>
      <c r="K2036" t="n">
        <v>0</v>
      </c>
      <c r="L2036" t="n">
        <v>0</v>
      </c>
      <c r="M2036" t="n">
        <v>0</v>
      </c>
      <c r="N2036" t="n">
        <v>0</v>
      </c>
      <c r="O2036" t="n">
        <v>0</v>
      </c>
      <c r="P2036" t="n">
        <v>0</v>
      </c>
      <c r="Q2036" t="n">
        <v>0</v>
      </c>
      <c r="R2036" s="2" t="inlineStr"/>
    </row>
    <row r="2037" ht="15" customHeight="1">
      <c r="A2037" t="inlineStr">
        <is>
          <t>A 14645-2024</t>
        </is>
      </c>
      <c r="B2037" s="1" t="n">
        <v>45397</v>
      </c>
      <c r="C2037" s="1" t="n">
        <v>45847</v>
      </c>
      <c r="D2037" t="inlineStr">
        <is>
          <t>JÄMTLANDS LÄN</t>
        </is>
      </c>
      <c r="E2037" t="inlineStr">
        <is>
          <t>BRÄCKE</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14662-2024</t>
        </is>
      </c>
      <c r="B2038" s="1" t="n">
        <v>45397</v>
      </c>
      <c r="C2038" s="1" t="n">
        <v>45847</v>
      </c>
      <c r="D2038" t="inlineStr">
        <is>
          <t>JÄMTLANDS LÄN</t>
        </is>
      </c>
      <c r="E2038" t="inlineStr">
        <is>
          <t>BRÄCKE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14654-2024</t>
        </is>
      </c>
      <c r="B2039" s="1" t="n">
        <v>45397</v>
      </c>
      <c r="C2039" s="1" t="n">
        <v>45847</v>
      </c>
      <c r="D2039" t="inlineStr">
        <is>
          <t>JÄMTLANDS LÄN</t>
        </is>
      </c>
      <c r="E2039" t="inlineStr">
        <is>
          <t>BRÄCKE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14664-2024</t>
        </is>
      </c>
      <c r="B2040" s="1" t="n">
        <v>45397</v>
      </c>
      <c r="C2040" s="1" t="n">
        <v>45847</v>
      </c>
      <c r="D2040" t="inlineStr">
        <is>
          <t>JÄMTLANDS LÄN</t>
        </is>
      </c>
      <c r="E2040" t="inlineStr">
        <is>
          <t>BRÄCKE</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14969-2024</t>
        </is>
      </c>
      <c r="B2041" s="1" t="n">
        <v>45399</v>
      </c>
      <c r="C2041" s="1" t="n">
        <v>45847</v>
      </c>
      <c r="D2041" t="inlineStr">
        <is>
          <t>JÄMTLANDS LÄN</t>
        </is>
      </c>
      <c r="E2041" t="inlineStr">
        <is>
          <t>BRÄCKE</t>
        </is>
      </c>
      <c r="F2041" t="inlineStr">
        <is>
          <t>SCA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14979-2024</t>
        </is>
      </c>
      <c r="B2042" s="1" t="n">
        <v>45399</v>
      </c>
      <c r="C2042" s="1" t="n">
        <v>45847</v>
      </c>
      <c r="D2042" t="inlineStr">
        <is>
          <t>JÄMTLANDS LÄN</t>
        </is>
      </c>
      <c r="E2042" t="inlineStr">
        <is>
          <t>BRÄCKE</t>
        </is>
      </c>
      <c r="F2042" t="inlineStr">
        <is>
          <t>SCA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14968-2024</t>
        </is>
      </c>
      <c r="B2043" s="1" t="n">
        <v>45399</v>
      </c>
      <c r="C2043" s="1" t="n">
        <v>45847</v>
      </c>
      <c r="D2043" t="inlineStr">
        <is>
          <t>JÄMTLANDS LÄN</t>
        </is>
      </c>
      <c r="E2043" t="inlineStr">
        <is>
          <t>BRÄCKE</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15145-2024</t>
        </is>
      </c>
      <c r="B2044" s="1" t="n">
        <v>45400</v>
      </c>
      <c r="C2044" s="1" t="n">
        <v>45847</v>
      </c>
      <c r="D2044" t="inlineStr">
        <is>
          <t>JÄMTLANDS LÄN</t>
        </is>
      </c>
      <c r="E2044" t="inlineStr">
        <is>
          <t>BRÄCKE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15149-2024</t>
        </is>
      </c>
      <c r="B2045" s="1" t="n">
        <v>45400</v>
      </c>
      <c r="C2045" s="1" t="n">
        <v>45847</v>
      </c>
      <c r="D2045" t="inlineStr">
        <is>
          <t>JÄMTLANDS LÄN</t>
        </is>
      </c>
      <c r="E2045" t="inlineStr">
        <is>
          <t>BRÄCKE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15144-2024</t>
        </is>
      </c>
      <c r="B2046" s="1" t="n">
        <v>45400</v>
      </c>
      <c r="C2046" s="1" t="n">
        <v>45847</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15148-2024</t>
        </is>
      </c>
      <c r="B2047" s="1" t="n">
        <v>45400</v>
      </c>
      <c r="C2047" s="1" t="n">
        <v>45847</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15155-2024</t>
        </is>
      </c>
      <c r="B2048" s="1" t="n">
        <v>45400</v>
      </c>
      <c r="C2048" s="1" t="n">
        <v>45847</v>
      </c>
      <c r="D2048" t="inlineStr">
        <is>
          <t>JÄMTLANDS LÄN</t>
        </is>
      </c>
      <c r="E2048" t="inlineStr">
        <is>
          <t>BRÄCKE</t>
        </is>
      </c>
      <c r="F2048" t="inlineStr">
        <is>
          <t>SCA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15201-2024</t>
        </is>
      </c>
      <c r="B2049" s="1" t="n">
        <v>45400</v>
      </c>
      <c r="C2049" s="1" t="n">
        <v>45847</v>
      </c>
      <c r="D2049" t="inlineStr">
        <is>
          <t>JÄMTLANDS LÄN</t>
        </is>
      </c>
      <c r="E2049" t="inlineStr">
        <is>
          <t>BRÄCKE</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16060-2024</t>
        </is>
      </c>
      <c r="B2050" s="1" t="n">
        <v>45406</v>
      </c>
      <c r="C2050" s="1" t="n">
        <v>45847</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16059-2024</t>
        </is>
      </c>
      <c r="B2051" s="1" t="n">
        <v>45406</v>
      </c>
      <c r="C2051" s="1" t="n">
        <v>45847</v>
      </c>
      <c r="D2051" t="inlineStr">
        <is>
          <t>JÄMTLANDS LÄN</t>
        </is>
      </c>
      <c r="E2051" t="inlineStr">
        <is>
          <t>BRÄCKE</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16158-2024</t>
        </is>
      </c>
      <c r="B2052" s="1" t="n">
        <v>45406</v>
      </c>
      <c r="C2052" s="1" t="n">
        <v>45847</v>
      </c>
      <c r="D2052" t="inlineStr">
        <is>
          <t>JÄMTLANDS LÄN</t>
        </is>
      </c>
      <c r="E2052" t="inlineStr">
        <is>
          <t>BRÄCKE</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16196-2024</t>
        </is>
      </c>
      <c r="B2053" s="1" t="n">
        <v>45406</v>
      </c>
      <c r="C2053" s="1" t="n">
        <v>45847</v>
      </c>
      <c r="D2053" t="inlineStr">
        <is>
          <t>JÄMTLANDS LÄN</t>
        </is>
      </c>
      <c r="E2053" t="inlineStr">
        <is>
          <t>BRÄCKE</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16472-2024</t>
        </is>
      </c>
      <c r="B2054" s="1" t="n">
        <v>45408</v>
      </c>
      <c r="C2054" s="1" t="n">
        <v>45847</v>
      </c>
      <c r="D2054" t="inlineStr">
        <is>
          <t>JÄMTLANDS LÄN</t>
        </is>
      </c>
      <c r="E2054" t="inlineStr">
        <is>
          <t>BRÄCKE</t>
        </is>
      </c>
      <c r="F2054" t="inlineStr">
        <is>
          <t>SCA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16512-2024</t>
        </is>
      </c>
      <c r="B2055" s="1" t="n">
        <v>45408</v>
      </c>
      <c r="C2055" s="1" t="n">
        <v>45847</v>
      </c>
      <c r="D2055" t="inlineStr">
        <is>
          <t>JÄMTLANDS LÄN</t>
        </is>
      </c>
      <c r="E2055" t="inlineStr">
        <is>
          <t>BRÄCKE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16462-2024</t>
        </is>
      </c>
      <c r="B2056" s="1" t="n">
        <v>45408</v>
      </c>
      <c r="C2056" s="1" t="n">
        <v>45847</v>
      </c>
      <c r="D2056" t="inlineStr">
        <is>
          <t>JÄMTLANDS LÄN</t>
        </is>
      </c>
      <c r="E2056" t="inlineStr">
        <is>
          <t>BRÄCKE</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16466-2024</t>
        </is>
      </c>
      <c r="B2057" s="1" t="n">
        <v>45408</v>
      </c>
      <c r="C2057" s="1" t="n">
        <v>45847</v>
      </c>
      <c r="D2057" t="inlineStr">
        <is>
          <t>JÄMTLANDS LÄN</t>
        </is>
      </c>
      <c r="E2057" t="inlineStr">
        <is>
          <t>BRÄCKE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16708-2024</t>
        </is>
      </c>
      <c r="B2058" s="1" t="n">
        <v>45409</v>
      </c>
      <c r="C2058" s="1" t="n">
        <v>45847</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16707-2024</t>
        </is>
      </c>
      <c r="B2059" s="1" t="n">
        <v>45409</v>
      </c>
      <c r="C2059" s="1" t="n">
        <v>45847</v>
      </c>
      <c r="D2059" t="inlineStr">
        <is>
          <t>JÄMTLANDS LÄN</t>
        </is>
      </c>
      <c r="E2059" t="inlineStr">
        <is>
          <t>BRÄCKE</t>
        </is>
      </c>
      <c r="F2059" t="inlineStr">
        <is>
          <t>SCA</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17016-2024</t>
        </is>
      </c>
      <c r="B2060" s="1" t="n">
        <v>45411</v>
      </c>
      <c r="C2060" s="1" t="n">
        <v>45847</v>
      </c>
      <c r="D2060" t="inlineStr">
        <is>
          <t>JÄMTLANDS LÄN</t>
        </is>
      </c>
      <c r="E2060" t="inlineStr">
        <is>
          <t>BRÄCKE</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17184-2024</t>
        </is>
      </c>
      <c r="B2061" s="1" t="n">
        <v>45413</v>
      </c>
      <c r="C2061" s="1" t="n">
        <v>45847</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17183-2024</t>
        </is>
      </c>
      <c r="B2062" s="1" t="n">
        <v>45413</v>
      </c>
      <c r="C2062" s="1" t="n">
        <v>45847</v>
      </c>
      <c r="D2062" t="inlineStr">
        <is>
          <t>JÄMTLANDS LÄN</t>
        </is>
      </c>
      <c r="E2062" t="inlineStr">
        <is>
          <t>BRÄCKE</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17182-2024</t>
        </is>
      </c>
      <c r="B2063" s="1" t="n">
        <v>45413</v>
      </c>
      <c r="C2063" s="1" t="n">
        <v>45847</v>
      </c>
      <c r="D2063" t="inlineStr">
        <is>
          <t>JÄMTLANDS LÄN</t>
        </is>
      </c>
      <c r="E2063" t="inlineStr">
        <is>
          <t>BRÄCKE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17174-2024</t>
        </is>
      </c>
      <c r="B2064" s="1" t="n">
        <v>45413</v>
      </c>
      <c r="C2064" s="1" t="n">
        <v>45847</v>
      </c>
      <c r="D2064" t="inlineStr">
        <is>
          <t>JÄMTLANDS LÄN</t>
        </is>
      </c>
      <c r="E2064" t="inlineStr">
        <is>
          <t>BRÄCKE</t>
        </is>
      </c>
      <c r="F2064" t="inlineStr">
        <is>
          <t>SCA</t>
        </is>
      </c>
      <c r="G2064" t="n">
        <v>20.3</v>
      </c>
      <c r="H2064" t="n">
        <v>0</v>
      </c>
      <c r="I2064" t="n">
        <v>0</v>
      </c>
      <c r="J2064" t="n">
        <v>0</v>
      </c>
      <c r="K2064" t="n">
        <v>0</v>
      </c>
      <c r="L2064" t="n">
        <v>0</v>
      </c>
      <c r="M2064" t="n">
        <v>0</v>
      </c>
      <c r="N2064" t="n">
        <v>0</v>
      </c>
      <c r="O2064" t="n">
        <v>0</v>
      </c>
      <c r="P2064" t="n">
        <v>0</v>
      </c>
      <c r="Q2064" t="n">
        <v>0</v>
      </c>
      <c r="R2064" s="2" t="inlineStr"/>
    </row>
    <row r="2065" ht="15" customHeight="1">
      <c r="A2065" t="inlineStr">
        <is>
          <t>A 17420-2024</t>
        </is>
      </c>
      <c r="B2065" s="1" t="n">
        <v>45415</v>
      </c>
      <c r="C2065" s="1" t="n">
        <v>45847</v>
      </c>
      <c r="D2065" t="inlineStr">
        <is>
          <t>JÄMTLANDS LÄN</t>
        </is>
      </c>
      <c r="E2065" t="inlineStr">
        <is>
          <t>BRÄCKE</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17597-2024</t>
        </is>
      </c>
      <c r="B2066" s="1" t="n">
        <v>45416</v>
      </c>
      <c r="C2066" s="1" t="n">
        <v>45847</v>
      </c>
      <c r="D2066" t="inlineStr">
        <is>
          <t>JÄMTLANDS LÄN</t>
        </is>
      </c>
      <c r="E2066" t="inlineStr">
        <is>
          <t>BRÄCKE</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17592-2024</t>
        </is>
      </c>
      <c r="B2067" s="1" t="n">
        <v>45416</v>
      </c>
      <c r="C2067" s="1" t="n">
        <v>45847</v>
      </c>
      <c r="D2067" t="inlineStr">
        <is>
          <t>JÄMTLANDS LÄN</t>
        </is>
      </c>
      <c r="E2067" t="inlineStr">
        <is>
          <t>BRÄCKE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17809-2024</t>
        </is>
      </c>
      <c r="B2068" s="1" t="n">
        <v>45419</v>
      </c>
      <c r="C2068" s="1" t="n">
        <v>45847</v>
      </c>
      <c r="D2068" t="inlineStr">
        <is>
          <t>JÄMTLANDS LÄN</t>
        </is>
      </c>
      <c r="E2068" t="inlineStr">
        <is>
          <t>BRÄCKE</t>
        </is>
      </c>
      <c r="G2068" t="n">
        <v>21.7</v>
      </c>
      <c r="H2068" t="n">
        <v>0</v>
      </c>
      <c r="I2068" t="n">
        <v>0</v>
      </c>
      <c r="J2068" t="n">
        <v>0</v>
      </c>
      <c r="K2068" t="n">
        <v>0</v>
      </c>
      <c r="L2068" t="n">
        <v>0</v>
      </c>
      <c r="M2068" t="n">
        <v>0</v>
      </c>
      <c r="N2068" t="n">
        <v>0</v>
      </c>
      <c r="O2068" t="n">
        <v>0</v>
      </c>
      <c r="P2068" t="n">
        <v>0</v>
      </c>
      <c r="Q2068" t="n">
        <v>0</v>
      </c>
      <c r="R2068" s="2" t="inlineStr"/>
    </row>
    <row r="2069" ht="15" customHeight="1">
      <c r="A2069" t="inlineStr">
        <is>
          <t>A 17810-2024</t>
        </is>
      </c>
      <c r="B2069" s="1" t="n">
        <v>45419</v>
      </c>
      <c r="C2069" s="1" t="n">
        <v>45847</v>
      </c>
      <c r="D2069" t="inlineStr">
        <is>
          <t>JÄMTLANDS LÄN</t>
        </is>
      </c>
      <c r="E2069" t="inlineStr">
        <is>
          <t>BRÄCKE</t>
        </is>
      </c>
      <c r="G2069" t="n">
        <v>14.4</v>
      </c>
      <c r="H2069" t="n">
        <v>0</v>
      </c>
      <c r="I2069" t="n">
        <v>0</v>
      </c>
      <c r="J2069" t="n">
        <v>0</v>
      </c>
      <c r="K2069" t="n">
        <v>0</v>
      </c>
      <c r="L2069" t="n">
        <v>0</v>
      </c>
      <c r="M2069" t="n">
        <v>0</v>
      </c>
      <c r="N2069" t="n">
        <v>0</v>
      </c>
      <c r="O2069" t="n">
        <v>0</v>
      </c>
      <c r="P2069" t="n">
        <v>0</v>
      </c>
      <c r="Q2069" t="n">
        <v>0</v>
      </c>
      <c r="R2069" s="2" t="inlineStr"/>
    </row>
    <row r="2070" ht="15" customHeight="1">
      <c r="A2070" t="inlineStr">
        <is>
          <t>A 18047-2024</t>
        </is>
      </c>
      <c r="B2070" s="1" t="n">
        <v>45420</v>
      </c>
      <c r="C2070" s="1" t="n">
        <v>45847</v>
      </c>
      <c r="D2070" t="inlineStr">
        <is>
          <t>JÄMTLANDS LÄN</t>
        </is>
      </c>
      <c r="E2070" t="inlineStr">
        <is>
          <t>BRÄCKE</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18600-2024</t>
        </is>
      </c>
      <c r="B2071" s="1" t="n">
        <v>45426</v>
      </c>
      <c r="C2071" s="1" t="n">
        <v>45847</v>
      </c>
      <c r="D2071" t="inlineStr">
        <is>
          <t>JÄMTLANDS LÄN</t>
        </is>
      </c>
      <c r="E2071" t="inlineStr">
        <is>
          <t>BRÄCKE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18640-2024</t>
        </is>
      </c>
      <c r="B2072" s="1" t="n">
        <v>45426</v>
      </c>
      <c r="C2072" s="1" t="n">
        <v>45847</v>
      </c>
      <c r="D2072" t="inlineStr">
        <is>
          <t>JÄMTLANDS LÄN</t>
        </is>
      </c>
      <c r="E2072" t="inlineStr">
        <is>
          <t>BRÄCKE</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18637-2024</t>
        </is>
      </c>
      <c r="B2073" s="1" t="n">
        <v>45426</v>
      </c>
      <c r="C2073" s="1" t="n">
        <v>45847</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18641-2024</t>
        </is>
      </c>
      <c r="B2074" s="1" t="n">
        <v>45426</v>
      </c>
      <c r="C2074" s="1" t="n">
        <v>45847</v>
      </c>
      <c r="D2074" t="inlineStr">
        <is>
          <t>JÄMTLANDS LÄN</t>
        </is>
      </c>
      <c r="E2074" t="inlineStr">
        <is>
          <t>BRÄCKE</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18645-2024</t>
        </is>
      </c>
      <c r="B2075" s="1" t="n">
        <v>45426</v>
      </c>
      <c r="C2075" s="1" t="n">
        <v>45847</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18606-2024</t>
        </is>
      </c>
      <c r="B2076" s="1" t="n">
        <v>45426</v>
      </c>
      <c r="C2076" s="1" t="n">
        <v>45847</v>
      </c>
      <c r="D2076" t="inlineStr">
        <is>
          <t>JÄMTLANDS LÄN</t>
        </is>
      </c>
      <c r="E2076" t="inlineStr">
        <is>
          <t>BRÄCKE</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18626-2024</t>
        </is>
      </c>
      <c r="B2077" s="1" t="n">
        <v>45426</v>
      </c>
      <c r="C2077" s="1" t="n">
        <v>45847</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18630-2024</t>
        </is>
      </c>
      <c r="B2078" s="1" t="n">
        <v>45426</v>
      </c>
      <c r="C2078" s="1" t="n">
        <v>45847</v>
      </c>
      <c r="D2078" t="inlineStr">
        <is>
          <t>JÄMTLANDS LÄN</t>
        </is>
      </c>
      <c r="E2078" t="inlineStr">
        <is>
          <t>BRÄCKE</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18760-2024</t>
        </is>
      </c>
      <c r="B2079" s="1" t="n">
        <v>45426</v>
      </c>
      <c r="C2079" s="1" t="n">
        <v>45847</v>
      </c>
      <c r="D2079" t="inlineStr">
        <is>
          <t>JÄMTLANDS LÄN</t>
        </is>
      </c>
      <c r="E2079" t="inlineStr">
        <is>
          <t>BRÄCKE</t>
        </is>
      </c>
      <c r="G2079" t="n">
        <v>11.1</v>
      </c>
      <c r="H2079" t="n">
        <v>0</v>
      </c>
      <c r="I2079" t="n">
        <v>0</v>
      </c>
      <c r="J2079" t="n">
        <v>0</v>
      </c>
      <c r="K2079" t="n">
        <v>0</v>
      </c>
      <c r="L2079" t="n">
        <v>0</v>
      </c>
      <c r="M2079" t="n">
        <v>0</v>
      </c>
      <c r="N2079" t="n">
        <v>0</v>
      </c>
      <c r="O2079" t="n">
        <v>0</v>
      </c>
      <c r="P2079" t="n">
        <v>0</v>
      </c>
      <c r="Q2079" t="n">
        <v>0</v>
      </c>
      <c r="R2079" s="2" t="inlineStr"/>
    </row>
    <row r="2080" ht="15" customHeight="1">
      <c r="A2080" t="inlineStr">
        <is>
          <t>A 18729-2024</t>
        </is>
      </c>
      <c r="B2080" s="1" t="n">
        <v>45426</v>
      </c>
      <c r="C2080" s="1" t="n">
        <v>45847</v>
      </c>
      <c r="D2080" t="inlineStr">
        <is>
          <t>JÄMTLANDS LÄN</t>
        </is>
      </c>
      <c r="E2080" t="inlineStr">
        <is>
          <t>BRÄCKE</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18801-2024</t>
        </is>
      </c>
      <c r="B2081" s="1" t="n">
        <v>45426</v>
      </c>
      <c r="C2081" s="1" t="n">
        <v>45847</v>
      </c>
      <c r="D2081" t="inlineStr">
        <is>
          <t>JÄMTLANDS LÄN</t>
        </is>
      </c>
      <c r="E2081" t="inlineStr">
        <is>
          <t>BRÄCKE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18755-2024</t>
        </is>
      </c>
      <c r="B2082" s="1" t="n">
        <v>45426</v>
      </c>
      <c r="C2082" s="1" t="n">
        <v>45847</v>
      </c>
      <c r="D2082" t="inlineStr">
        <is>
          <t>JÄMTLANDS LÄN</t>
        </is>
      </c>
      <c r="E2082" t="inlineStr">
        <is>
          <t>BRÄCKE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18877-2024</t>
        </is>
      </c>
      <c r="B2083" s="1" t="n">
        <v>45427</v>
      </c>
      <c r="C2083" s="1" t="n">
        <v>45847</v>
      </c>
      <c r="D2083" t="inlineStr">
        <is>
          <t>JÄMTLANDS LÄN</t>
        </is>
      </c>
      <c r="E2083" t="inlineStr">
        <is>
          <t>BRÄCKE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18965-2024</t>
        </is>
      </c>
      <c r="B2084" s="1" t="n">
        <v>45427</v>
      </c>
      <c r="C2084" s="1" t="n">
        <v>45847</v>
      </c>
      <c r="D2084" t="inlineStr">
        <is>
          <t>JÄMTLANDS LÄN</t>
        </is>
      </c>
      <c r="E2084" t="inlineStr">
        <is>
          <t>BRÄCKE</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19291-2024</t>
        </is>
      </c>
      <c r="B2085" s="1" t="n">
        <v>45428</v>
      </c>
      <c r="C2085" s="1" t="n">
        <v>45847</v>
      </c>
      <c r="D2085" t="inlineStr">
        <is>
          <t>JÄMTLANDS LÄN</t>
        </is>
      </c>
      <c r="E2085" t="inlineStr">
        <is>
          <t>BRÄCKE</t>
        </is>
      </c>
      <c r="F2085" t="inlineStr">
        <is>
          <t>Övriga Aktiebolag</t>
        </is>
      </c>
      <c r="G2085" t="n">
        <v>20.8</v>
      </c>
      <c r="H2085" t="n">
        <v>0</v>
      </c>
      <c r="I2085" t="n">
        <v>0</v>
      </c>
      <c r="J2085" t="n">
        <v>0</v>
      </c>
      <c r="K2085" t="n">
        <v>0</v>
      </c>
      <c r="L2085" t="n">
        <v>0</v>
      </c>
      <c r="M2085" t="n">
        <v>0</v>
      </c>
      <c r="N2085" t="n">
        <v>0</v>
      </c>
      <c r="O2085" t="n">
        <v>0</v>
      </c>
      <c r="P2085" t="n">
        <v>0</v>
      </c>
      <c r="Q2085" t="n">
        <v>0</v>
      </c>
      <c r="R2085" s="2" t="inlineStr"/>
    </row>
    <row r="2086" ht="15" customHeight="1">
      <c r="A2086" t="inlineStr">
        <is>
          <t>A 19332-2024</t>
        </is>
      </c>
      <c r="B2086" s="1" t="n">
        <v>45429</v>
      </c>
      <c r="C2086" s="1" t="n">
        <v>45847</v>
      </c>
      <c r="D2086" t="inlineStr">
        <is>
          <t>JÄMTLANDS LÄN</t>
        </is>
      </c>
      <c r="E2086" t="inlineStr">
        <is>
          <t>BRÄCKE</t>
        </is>
      </c>
      <c r="F2086" t="inlineStr">
        <is>
          <t>SCA</t>
        </is>
      </c>
      <c r="G2086" t="n">
        <v>15.9</v>
      </c>
      <c r="H2086" t="n">
        <v>0</v>
      </c>
      <c r="I2086" t="n">
        <v>0</v>
      </c>
      <c r="J2086" t="n">
        <v>0</v>
      </c>
      <c r="K2086" t="n">
        <v>0</v>
      </c>
      <c r="L2086" t="n">
        <v>0</v>
      </c>
      <c r="M2086" t="n">
        <v>0</v>
      </c>
      <c r="N2086" t="n">
        <v>0</v>
      </c>
      <c r="O2086" t="n">
        <v>0</v>
      </c>
      <c r="P2086" t="n">
        <v>0</v>
      </c>
      <c r="Q2086" t="n">
        <v>0</v>
      </c>
      <c r="R2086" s="2" t="inlineStr"/>
    </row>
    <row r="2087" ht="15" customHeight="1">
      <c r="A2087" t="inlineStr">
        <is>
          <t>A 19344-2024</t>
        </is>
      </c>
      <c r="B2087" s="1" t="n">
        <v>45429</v>
      </c>
      <c r="C2087" s="1" t="n">
        <v>45847</v>
      </c>
      <c r="D2087" t="inlineStr">
        <is>
          <t>JÄMTLANDS LÄN</t>
        </is>
      </c>
      <c r="E2087" t="inlineStr">
        <is>
          <t>BRÄCKE</t>
        </is>
      </c>
      <c r="F2087" t="inlineStr">
        <is>
          <t>SCA</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19584-2024</t>
        </is>
      </c>
      <c r="B2088" s="1" t="n">
        <v>45429</v>
      </c>
      <c r="C2088" s="1" t="n">
        <v>45847</v>
      </c>
      <c r="D2088" t="inlineStr">
        <is>
          <t>JÄMTLANDS LÄN</t>
        </is>
      </c>
      <c r="E2088" t="inlineStr">
        <is>
          <t>BRÄCKE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20001-2024</t>
        </is>
      </c>
      <c r="B2089" s="1" t="n">
        <v>45434</v>
      </c>
      <c r="C2089" s="1" t="n">
        <v>45847</v>
      </c>
      <c r="D2089" t="inlineStr">
        <is>
          <t>JÄMTLANDS LÄN</t>
        </is>
      </c>
      <c r="E2089" t="inlineStr">
        <is>
          <t>BRÄCKE</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19999-2024</t>
        </is>
      </c>
      <c r="B2090" s="1" t="n">
        <v>45434</v>
      </c>
      <c r="C2090" s="1" t="n">
        <v>45847</v>
      </c>
      <c r="D2090" t="inlineStr">
        <is>
          <t>JÄMTLANDS LÄN</t>
        </is>
      </c>
      <c r="E2090" t="inlineStr">
        <is>
          <t>BRÄCKE</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20003-2024</t>
        </is>
      </c>
      <c r="B2091" s="1" t="n">
        <v>45434</v>
      </c>
      <c r="C2091" s="1" t="n">
        <v>45847</v>
      </c>
      <c r="D2091" t="inlineStr">
        <is>
          <t>JÄMTLANDS LÄN</t>
        </is>
      </c>
      <c r="E2091" t="inlineStr">
        <is>
          <t>BRÄCKE</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19996-2024</t>
        </is>
      </c>
      <c r="B2092" s="1" t="n">
        <v>45434</v>
      </c>
      <c r="C2092" s="1" t="n">
        <v>45847</v>
      </c>
      <c r="D2092" t="inlineStr">
        <is>
          <t>JÄMTLANDS LÄN</t>
        </is>
      </c>
      <c r="E2092" t="inlineStr">
        <is>
          <t>BRÄCKE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20000-2024</t>
        </is>
      </c>
      <c r="B2093" s="1" t="n">
        <v>45434</v>
      </c>
      <c r="C2093" s="1" t="n">
        <v>45847</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20009-2024</t>
        </is>
      </c>
      <c r="B2094" s="1" t="n">
        <v>45434</v>
      </c>
      <c r="C2094" s="1" t="n">
        <v>45847</v>
      </c>
      <c r="D2094" t="inlineStr">
        <is>
          <t>JÄMTLANDS LÄN</t>
        </is>
      </c>
      <c r="E2094" t="inlineStr">
        <is>
          <t>BRÄCKE</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20074-2024</t>
        </is>
      </c>
      <c r="B2095" s="1" t="n">
        <v>45434</v>
      </c>
      <c r="C2095" s="1" t="n">
        <v>45847</v>
      </c>
      <c r="D2095" t="inlineStr">
        <is>
          <t>JÄMTLANDS LÄN</t>
        </is>
      </c>
      <c r="E2095" t="inlineStr">
        <is>
          <t>BRÄCKE</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20261-2024</t>
        </is>
      </c>
      <c r="B2096" s="1" t="n">
        <v>45435</v>
      </c>
      <c r="C2096" s="1" t="n">
        <v>45847</v>
      </c>
      <c r="D2096" t="inlineStr">
        <is>
          <t>JÄMTLANDS LÄN</t>
        </is>
      </c>
      <c r="E2096" t="inlineStr">
        <is>
          <t>BRÄCKE</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20262-2024</t>
        </is>
      </c>
      <c r="B2097" s="1" t="n">
        <v>45435</v>
      </c>
      <c r="C2097" s="1" t="n">
        <v>45847</v>
      </c>
      <c r="D2097" t="inlineStr">
        <is>
          <t>JÄMTLANDS LÄN</t>
        </is>
      </c>
      <c r="E2097" t="inlineStr">
        <is>
          <t>BRÄCKE</t>
        </is>
      </c>
      <c r="F2097" t="inlineStr">
        <is>
          <t>SCA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20263-2024</t>
        </is>
      </c>
      <c r="B2098" s="1" t="n">
        <v>45435</v>
      </c>
      <c r="C2098" s="1" t="n">
        <v>45847</v>
      </c>
      <c r="D2098" t="inlineStr">
        <is>
          <t>JÄMTLANDS LÄN</t>
        </is>
      </c>
      <c r="E2098" t="inlineStr">
        <is>
          <t>BRÄCKE</t>
        </is>
      </c>
      <c r="F2098" t="inlineStr">
        <is>
          <t>SCA</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20267-2024</t>
        </is>
      </c>
      <c r="B2099" s="1" t="n">
        <v>45435</v>
      </c>
      <c r="C2099" s="1" t="n">
        <v>45847</v>
      </c>
      <c r="D2099" t="inlineStr">
        <is>
          <t>JÄMTLANDS LÄN</t>
        </is>
      </c>
      <c r="E2099" t="inlineStr">
        <is>
          <t>BRÄCKE</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20260-2024</t>
        </is>
      </c>
      <c r="B2100" s="1" t="n">
        <v>45435</v>
      </c>
      <c r="C2100" s="1" t="n">
        <v>45847</v>
      </c>
      <c r="D2100" t="inlineStr">
        <is>
          <t>JÄMTLANDS LÄN</t>
        </is>
      </c>
      <c r="E2100" t="inlineStr">
        <is>
          <t>BRÄCKE</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20513-2024</t>
        </is>
      </c>
      <c r="B2101" s="1" t="n">
        <v>45436</v>
      </c>
      <c r="C2101" s="1" t="n">
        <v>45847</v>
      </c>
      <c r="D2101" t="inlineStr">
        <is>
          <t>JÄMTLANDS LÄN</t>
        </is>
      </c>
      <c r="E2101" t="inlineStr">
        <is>
          <t>BRÄCKE</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20512-2024</t>
        </is>
      </c>
      <c r="B2102" s="1" t="n">
        <v>45436</v>
      </c>
      <c r="C2102" s="1" t="n">
        <v>45847</v>
      </c>
      <c r="D2102" t="inlineStr">
        <is>
          <t>JÄMTLANDS LÄN</t>
        </is>
      </c>
      <c r="E2102" t="inlineStr">
        <is>
          <t>BRÄCKE</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20525-2024</t>
        </is>
      </c>
      <c r="B2103" s="1" t="n">
        <v>45436</v>
      </c>
      <c r="C2103" s="1" t="n">
        <v>45847</v>
      </c>
      <c r="D2103" t="inlineStr">
        <is>
          <t>JÄMTLANDS LÄN</t>
        </is>
      </c>
      <c r="E2103" t="inlineStr">
        <is>
          <t>BRÄCKE</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20514-2024</t>
        </is>
      </c>
      <c r="B2104" s="1" t="n">
        <v>45436</v>
      </c>
      <c r="C2104" s="1" t="n">
        <v>45847</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20760-2024</t>
        </is>
      </c>
      <c r="B2105" s="1" t="n">
        <v>45437</v>
      </c>
      <c r="C2105" s="1" t="n">
        <v>45847</v>
      </c>
      <c r="D2105" t="inlineStr">
        <is>
          <t>JÄMTLANDS LÄN</t>
        </is>
      </c>
      <c r="E2105" t="inlineStr">
        <is>
          <t>BRÄCKE</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20798-2024</t>
        </is>
      </c>
      <c r="B2106" s="1" t="n">
        <v>45439</v>
      </c>
      <c r="C2106" s="1" t="n">
        <v>45847</v>
      </c>
      <c r="D2106" t="inlineStr">
        <is>
          <t>JÄMTLANDS LÄN</t>
        </is>
      </c>
      <c r="E2106" t="inlineStr">
        <is>
          <t>BRÄCKE</t>
        </is>
      </c>
      <c r="F2106" t="inlineStr">
        <is>
          <t>SCA</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21086-2024</t>
        </is>
      </c>
      <c r="B2107" s="1" t="n">
        <v>45440</v>
      </c>
      <c r="C2107" s="1" t="n">
        <v>45847</v>
      </c>
      <c r="D2107" t="inlineStr">
        <is>
          <t>JÄMTLANDS LÄN</t>
        </is>
      </c>
      <c r="E2107" t="inlineStr">
        <is>
          <t>BRÄCKE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21374-2024</t>
        </is>
      </c>
      <c r="B2108" s="1" t="n">
        <v>45441</v>
      </c>
      <c r="C2108" s="1" t="n">
        <v>45847</v>
      </c>
      <c r="D2108" t="inlineStr">
        <is>
          <t>JÄMTLANDS LÄN</t>
        </is>
      </c>
      <c r="E2108" t="inlineStr">
        <is>
          <t>BRÄCKE</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21378-2024</t>
        </is>
      </c>
      <c r="B2109" s="1" t="n">
        <v>45441</v>
      </c>
      <c r="C2109" s="1" t="n">
        <v>45847</v>
      </c>
      <c r="D2109" t="inlineStr">
        <is>
          <t>JÄMTLANDS LÄN</t>
        </is>
      </c>
      <c r="E2109" t="inlineStr">
        <is>
          <t>BRÄCKE</t>
        </is>
      </c>
      <c r="F2109" t="inlineStr">
        <is>
          <t>SCA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21381-2024</t>
        </is>
      </c>
      <c r="B2110" s="1" t="n">
        <v>45441</v>
      </c>
      <c r="C2110" s="1" t="n">
        <v>45847</v>
      </c>
      <c r="D2110" t="inlineStr">
        <is>
          <t>JÄMTLANDS LÄN</t>
        </is>
      </c>
      <c r="E2110" t="inlineStr">
        <is>
          <t>BRÄCKE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21382-2024</t>
        </is>
      </c>
      <c r="B2111" s="1" t="n">
        <v>45441</v>
      </c>
      <c r="C2111" s="1" t="n">
        <v>45847</v>
      </c>
      <c r="D2111" t="inlineStr">
        <is>
          <t>JÄMTLANDS LÄN</t>
        </is>
      </c>
      <c r="E2111" t="inlineStr">
        <is>
          <t>BRÄCKE</t>
        </is>
      </c>
      <c r="F2111" t="inlineStr">
        <is>
          <t>SCA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21375-2024</t>
        </is>
      </c>
      <c r="B2112" s="1" t="n">
        <v>45441</v>
      </c>
      <c r="C2112" s="1" t="n">
        <v>45847</v>
      </c>
      <c r="D2112" t="inlineStr">
        <is>
          <t>JÄMTLANDS LÄN</t>
        </is>
      </c>
      <c r="E2112" t="inlineStr">
        <is>
          <t>BRÄCKE</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21379-2024</t>
        </is>
      </c>
      <c r="B2113" s="1" t="n">
        <v>45441</v>
      </c>
      <c r="C2113" s="1" t="n">
        <v>45847</v>
      </c>
      <c r="D2113" t="inlineStr">
        <is>
          <t>JÄMTLANDS LÄN</t>
        </is>
      </c>
      <c r="E2113" t="inlineStr">
        <is>
          <t>BRÄCKE</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21449-2024</t>
        </is>
      </c>
      <c r="B2114" s="1" t="n">
        <v>45441</v>
      </c>
      <c r="C2114" s="1" t="n">
        <v>45847</v>
      </c>
      <c r="D2114" t="inlineStr">
        <is>
          <t>JÄMTLANDS LÄN</t>
        </is>
      </c>
      <c r="E2114" t="inlineStr">
        <is>
          <t>BRÄCKE</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22116-2024</t>
        </is>
      </c>
      <c r="B2115" s="1" t="n">
        <v>45444</v>
      </c>
      <c r="C2115" s="1" t="n">
        <v>45847</v>
      </c>
      <c r="D2115" t="inlineStr">
        <is>
          <t>JÄMTLANDS LÄN</t>
        </is>
      </c>
      <c r="E2115" t="inlineStr">
        <is>
          <t>BRÄCKE</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22120-2024</t>
        </is>
      </c>
      <c r="B2116" s="1" t="n">
        <v>45444</v>
      </c>
      <c r="C2116" s="1" t="n">
        <v>45847</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22121-2024</t>
        </is>
      </c>
      <c r="B2117" s="1" t="n">
        <v>45444</v>
      </c>
      <c r="C2117" s="1" t="n">
        <v>45847</v>
      </c>
      <c r="D2117" t="inlineStr">
        <is>
          <t>JÄMTLANDS LÄN</t>
        </is>
      </c>
      <c r="E2117" t="inlineStr">
        <is>
          <t>BRÄCKE</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22001-2024</t>
        </is>
      </c>
      <c r="B2118" s="1" t="n">
        <v>45443</v>
      </c>
      <c r="C2118" s="1" t="n">
        <v>45847</v>
      </c>
      <c r="D2118" t="inlineStr">
        <is>
          <t>JÄMTLANDS LÄN</t>
        </is>
      </c>
      <c r="E2118" t="inlineStr">
        <is>
          <t>BRÄCKE</t>
        </is>
      </c>
      <c r="F2118" t="inlineStr">
        <is>
          <t>Övriga Aktiebolag</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22160-2024</t>
        </is>
      </c>
      <c r="B2119" s="1" t="n">
        <v>45446</v>
      </c>
      <c r="C2119" s="1" t="n">
        <v>45847</v>
      </c>
      <c r="D2119" t="inlineStr">
        <is>
          <t>JÄMTLANDS LÄN</t>
        </is>
      </c>
      <c r="E2119" t="inlineStr">
        <is>
          <t>BRÄCKE</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22455-2024</t>
        </is>
      </c>
      <c r="B2120" s="1" t="n">
        <v>45447</v>
      </c>
      <c r="C2120" s="1" t="n">
        <v>45847</v>
      </c>
      <c r="D2120" t="inlineStr">
        <is>
          <t>JÄMTLANDS LÄN</t>
        </is>
      </c>
      <c r="E2120" t="inlineStr">
        <is>
          <t>BRÄCKE</t>
        </is>
      </c>
      <c r="F2120" t="inlineStr">
        <is>
          <t>SCA</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22459-2024</t>
        </is>
      </c>
      <c r="B2121" s="1" t="n">
        <v>45447</v>
      </c>
      <c r="C2121" s="1" t="n">
        <v>45847</v>
      </c>
      <c r="D2121" t="inlineStr">
        <is>
          <t>JÄMTLANDS LÄN</t>
        </is>
      </c>
      <c r="E2121" t="inlineStr">
        <is>
          <t>BRÄCKE</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22267-2024</t>
        </is>
      </c>
      <c r="B2122" s="1" t="n">
        <v>45446</v>
      </c>
      <c r="C2122" s="1" t="n">
        <v>45847</v>
      </c>
      <c r="D2122" t="inlineStr">
        <is>
          <t>JÄMTLANDS LÄN</t>
        </is>
      </c>
      <c r="E2122" t="inlineStr">
        <is>
          <t>BRÄCKE</t>
        </is>
      </c>
      <c r="F2122" t="inlineStr">
        <is>
          <t>Övriga Aktiebolag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22662-2024</t>
        </is>
      </c>
      <c r="B2123" s="1" t="n">
        <v>45448</v>
      </c>
      <c r="C2123" s="1" t="n">
        <v>45847</v>
      </c>
      <c r="D2123" t="inlineStr">
        <is>
          <t>JÄMTLANDS LÄN</t>
        </is>
      </c>
      <c r="E2123" t="inlineStr">
        <is>
          <t>BRÄCKE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22940-2024</t>
        </is>
      </c>
      <c r="B2124" s="1" t="n">
        <v>45449</v>
      </c>
      <c r="C2124" s="1" t="n">
        <v>45847</v>
      </c>
      <c r="D2124" t="inlineStr">
        <is>
          <t>JÄMTLANDS LÄN</t>
        </is>
      </c>
      <c r="E2124" t="inlineStr">
        <is>
          <t>BRÄCKE</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22936-2024</t>
        </is>
      </c>
      <c r="B2125" s="1" t="n">
        <v>45449</v>
      </c>
      <c r="C2125" s="1" t="n">
        <v>45847</v>
      </c>
      <c r="D2125" t="inlineStr">
        <is>
          <t>JÄMTLANDS LÄN</t>
        </is>
      </c>
      <c r="E2125" t="inlineStr">
        <is>
          <t>BRÄCKE</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22937-2024</t>
        </is>
      </c>
      <c r="B2126" s="1" t="n">
        <v>45449</v>
      </c>
      <c r="C2126" s="1" t="n">
        <v>45847</v>
      </c>
      <c r="D2126" t="inlineStr">
        <is>
          <t>JÄMTLANDS LÄN</t>
        </is>
      </c>
      <c r="E2126" t="inlineStr">
        <is>
          <t>BRÄCKE</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22934-2024</t>
        </is>
      </c>
      <c r="B2127" s="1" t="n">
        <v>45449</v>
      </c>
      <c r="C2127" s="1" t="n">
        <v>45847</v>
      </c>
      <c r="D2127" t="inlineStr">
        <is>
          <t>JÄMTLANDS LÄN</t>
        </is>
      </c>
      <c r="E2127" t="inlineStr">
        <is>
          <t>BRÄCKE</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22981-2024</t>
        </is>
      </c>
      <c r="B2128" s="1" t="n">
        <v>45449</v>
      </c>
      <c r="C2128" s="1" t="n">
        <v>45847</v>
      </c>
      <c r="D2128" t="inlineStr">
        <is>
          <t>JÄMTLANDS LÄN</t>
        </is>
      </c>
      <c r="E2128" t="inlineStr">
        <is>
          <t>BRÄCKE</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22980-2024</t>
        </is>
      </c>
      <c r="B2129" s="1" t="n">
        <v>45449</v>
      </c>
      <c r="C2129" s="1" t="n">
        <v>45847</v>
      </c>
      <c r="D2129" t="inlineStr">
        <is>
          <t>JÄMTLANDS LÄN</t>
        </is>
      </c>
      <c r="E2129" t="inlineStr">
        <is>
          <t>BRÄCKE</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22985-2024</t>
        </is>
      </c>
      <c r="B2130" s="1" t="n">
        <v>45450</v>
      </c>
      <c r="C2130" s="1" t="n">
        <v>45847</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22979-2024</t>
        </is>
      </c>
      <c r="B2131" s="1" t="n">
        <v>45449</v>
      </c>
      <c r="C2131" s="1" t="n">
        <v>45847</v>
      </c>
      <c r="D2131" t="inlineStr">
        <is>
          <t>JÄMTLANDS LÄN</t>
        </is>
      </c>
      <c r="E2131" t="inlineStr">
        <is>
          <t>BRÄCKE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23081-2024</t>
        </is>
      </c>
      <c r="B2132" s="1" t="n">
        <v>45450</v>
      </c>
      <c r="C2132" s="1" t="n">
        <v>45847</v>
      </c>
      <c r="D2132" t="inlineStr">
        <is>
          <t>JÄMTLANDS LÄN</t>
        </is>
      </c>
      <c r="E2132" t="inlineStr">
        <is>
          <t>BRÄCKE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23064-2024</t>
        </is>
      </c>
      <c r="B2133" s="1" t="n">
        <v>45450</v>
      </c>
      <c r="C2133" s="1" t="n">
        <v>45847</v>
      </c>
      <c r="D2133" t="inlineStr">
        <is>
          <t>JÄMTLANDS LÄN</t>
        </is>
      </c>
      <c r="E2133" t="inlineStr">
        <is>
          <t>BRÄCKE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23178-2024</t>
        </is>
      </c>
      <c r="B2134" s="1" t="n">
        <v>45451</v>
      </c>
      <c r="C2134" s="1" t="n">
        <v>45847</v>
      </c>
      <c r="D2134" t="inlineStr">
        <is>
          <t>JÄMTLANDS LÄN</t>
        </is>
      </c>
      <c r="E2134" t="inlineStr">
        <is>
          <t>BRÄCKE</t>
        </is>
      </c>
      <c r="F2134" t="inlineStr">
        <is>
          <t>SCA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23534-2024</t>
        </is>
      </c>
      <c r="B2135" s="1" t="n">
        <v>45454</v>
      </c>
      <c r="C2135" s="1" t="n">
        <v>45847</v>
      </c>
      <c r="D2135" t="inlineStr">
        <is>
          <t>JÄMTLANDS LÄN</t>
        </is>
      </c>
      <c r="E2135" t="inlineStr">
        <is>
          <t>BRÄCKE</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23640-2024</t>
        </is>
      </c>
      <c r="B2136" s="1" t="n">
        <v>45454</v>
      </c>
      <c r="C2136" s="1" t="n">
        <v>45847</v>
      </c>
      <c r="D2136" t="inlineStr">
        <is>
          <t>JÄMTLANDS LÄN</t>
        </is>
      </c>
      <c r="E2136" t="inlineStr">
        <is>
          <t>BRÄCKE</t>
        </is>
      </c>
      <c r="G2136" t="n">
        <v>19.4</v>
      </c>
      <c r="H2136" t="n">
        <v>0</v>
      </c>
      <c r="I2136" t="n">
        <v>0</v>
      </c>
      <c r="J2136" t="n">
        <v>0</v>
      </c>
      <c r="K2136" t="n">
        <v>0</v>
      </c>
      <c r="L2136" t="n">
        <v>0</v>
      </c>
      <c r="M2136" t="n">
        <v>0</v>
      </c>
      <c r="N2136" t="n">
        <v>0</v>
      </c>
      <c r="O2136" t="n">
        <v>0</v>
      </c>
      <c r="P2136" t="n">
        <v>0</v>
      </c>
      <c r="Q2136" t="n">
        <v>0</v>
      </c>
      <c r="R2136" s="2" t="inlineStr"/>
    </row>
    <row r="2137" ht="15" customHeight="1">
      <c r="A2137" t="inlineStr">
        <is>
          <t>A 23932-2024</t>
        </is>
      </c>
      <c r="B2137" s="1" t="n">
        <v>45456</v>
      </c>
      <c r="C2137" s="1" t="n">
        <v>45847</v>
      </c>
      <c r="D2137" t="inlineStr">
        <is>
          <t>JÄMTLANDS LÄN</t>
        </is>
      </c>
      <c r="E2137" t="inlineStr">
        <is>
          <t>BRÄCKE</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24006-2024</t>
        </is>
      </c>
      <c r="B2138" s="1" t="n">
        <v>45456</v>
      </c>
      <c r="C2138" s="1" t="n">
        <v>45847</v>
      </c>
      <c r="D2138" t="inlineStr">
        <is>
          <t>JÄMTLANDS LÄN</t>
        </is>
      </c>
      <c r="E2138" t="inlineStr">
        <is>
          <t>BRÄCKE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24010-2024</t>
        </is>
      </c>
      <c r="B2139" s="1" t="n">
        <v>45456</v>
      </c>
      <c r="C2139" s="1" t="n">
        <v>45847</v>
      </c>
      <c r="D2139" t="inlineStr">
        <is>
          <t>JÄMTLANDS LÄN</t>
        </is>
      </c>
      <c r="E2139" t="inlineStr">
        <is>
          <t>BRÄCKE</t>
        </is>
      </c>
      <c r="F2139" t="inlineStr">
        <is>
          <t>Övriga Aktiebolag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24062-2024</t>
        </is>
      </c>
      <c r="B2140" s="1" t="n">
        <v>45456</v>
      </c>
      <c r="C2140" s="1" t="n">
        <v>45847</v>
      </c>
      <c r="D2140" t="inlineStr">
        <is>
          <t>JÄMTLANDS LÄN</t>
        </is>
      </c>
      <c r="E2140" t="inlineStr">
        <is>
          <t>BRÄCKE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24026-2024</t>
        </is>
      </c>
      <c r="B2141" s="1" t="n">
        <v>45456</v>
      </c>
      <c r="C2141" s="1" t="n">
        <v>45847</v>
      </c>
      <c r="D2141" t="inlineStr">
        <is>
          <t>JÄMTLANDS LÄN</t>
        </is>
      </c>
      <c r="E2141" t="inlineStr">
        <is>
          <t>BRÄCKE</t>
        </is>
      </c>
      <c r="F2141" t="inlineStr">
        <is>
          <t>Övriga Aktiebolag</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24190-2024</t>
        </is>
      </c>
      <c r="B2142" s="1" t="n">
        <v>45457</v>
      </c>
      <c r="C2142" s="1" t="n">
        <v>45847</v>
      </c>
      <c r="D2142" t="inlineStr">
        <is>
          <t>JÄMTLANDS LÄN</t>
        </is>
      </c>
      <c r="E2142" t="inlineStr">
        <is>
          <t>BRÄCKE</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24200-2024</t>
        </is>
      </c>
      <c r="B2143" s="1" t="n">
        <v>45457</v>
      </c>
      <c r="C2143" s="1" t="n">
        <v>45847</v>
      </c>
      <c r="D2143" t="inlineStr">
        <is>
          <t>JÄMTLANDS LÄN</t>
        </is>
      </c>
      <c r="E2143" t="inlineStr">
        <is>
          <t>BRÄCKE</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24432-2024</t>
        </is>
      </c>
      <c r="B2144" s="1" t="n">
        <v>45458</v>
      </c>
      <c r="C2144" s="1" t="n">
        <v>45847</v>
      </c>
      <c r="D2144" t="inlineStr">
        <is>
          <t>JÄMTLANDS LÄN</t>
        </is>
      </c>
      <c r="E2144" t="inlineStr">
        <is>
          <t>BRÄCKE</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24442-2024</t>
        </is>
      </c>
      <c r="B2145" s="1" t="n">
        <v>45458</v>
      </c>
      <c r="C2145" s="1" t="n">
        <v>45847</v>
      </c>
      <c r="D2145" t="inlineStr">
        <is>
          <t>JÄMTLANDS LÄN</t>
        </is>
      </c>
      <c r="E2145" t="inlineStr">
        <is>
          <t>BRÄCKE</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24307-2024</t>
        </is>
      </c>
      <c r="B2146" s="1" t="n">
        <v>45457</v>
      </c>
      <c r="C2146" s="1" t="n">
        <v>45847</v>
      </c>
      <c r="D2146" t="inlineStr">
        <is>
          <t>JÄMTLANDS LÄN</t>
        </is>
      </c>
      <c r="E2146" t="inlineStr">
        <is>
          <t>BRÄCKE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24499-2024</t>
        </is>
      </c>
      <c r="B2147" s="1" t="n">
        <v>45460</v>
      </c>
      <c r="C2147" s="1" t="n">
        <v>45847</v>
      </c>
      <c r="D2147" t="inlineStr">
        <is>
          <t>JÄMTLANDS LÄN</t>
        </is>
      </c>
      <c r="E2147" t="inlineStr">
        <is>
          <t>BRÄCKE</t>
        </is>
      </c>
      <c r="F2147" t="inlineStr">
        <is>
          <t>SCA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24673-2024</t>
        </is>
      </c>
      <c r="B2148" s="1" t="n">
        <v>45460</v>
      </c>
      <c r="C2148" s="1" t="n">
        <v>45847</v>
      </c>
      <c r="D2148" t="inlineStr">
        <is>
          <t>JÄMTLANDS LÄN</t>
        </is>
      </c>
      <c r="E2148" t="inlineStr">
        <is>
          <t>BRÄCKE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24594-2024</t>
        </is>
      </c>
      <c r="B2149" s="1" t="n">
        <v>45460</v>
      </c>
      <c r="C2149" s="1" t="n">
        <v>45847</v>
      </c>
      <c r="D2149" t="inlineStr">
        <is>
          <t>JÄMTLANDS LÄN</t>
        </is>
      </c>
      <c r="E2149" t="inlineStr">
        <is>
          <t>BRÄCKE</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24878-2024</t>
        </is>
      </c>
      <c r="B2150" s="1" t="n">
        <v>45461</v>
      </c>
      <c r="C2150" s="1" t="n">
        <v>45847</v>
      </c>
      <c r="D2150" t="inlineStr">
        <is>
          <t>JÄMTLANDS LÄN</t>
        </is>
      </c>
      <c r="E2150" t="inlineStr">
        <is>
          <t>BRÄCKE</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24874-2024</t>
        </is>
      </c>
      <c r="B2151" s="1" t="n">
        <v>45461</v>
      </c>
      <c r="C2151" s="1" t="n">
        <v>45847</v>
      </c>
      <c r="D2151" t="inlineStr">
        <is>
          <t>JÄMTLANDS LÄN</t>
        </is>
      </c>
      <c r="E2151" t="inlineStr">
        <is>
          <t>BRÄCKE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25021-2024</t>
        </is>
      </c>
      <c r="B2152" s="1" t="n">
        <v>45462</v>
      </c>
      <c r="C2152" s="1" t="n">
        <v>45847</v>
      </c>
      <c r="D2152" t="inlineStr">
        <is>
          <t>JÄMTLANDS LÄN</t>
        </is>
      </c>
      <c r="E2152" t="inlineStr">
        <is>
          <t>BRÄCKE</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24974-2024</t>
        </is>
      </c>
      <c r="B2153" s="1" t="n">
        <v>45461</v>
      </c>
      <c r="C2153" s="1" t="n">
        <v>45847</v>
      </c>
      <c r="D2153" t="inlineStr">
        <is>
          <t>JÄMTLANDS LÄN</t>
        </is>
      </c>
      <c r="E2153" t="inlineStr">
        <is>
          <t>BRÄCKE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25372-2024</t>
        </is>
      </c>
      <c r="B2154" s="1" t="n">
        <v>45463</v>
      </c>
      <c r="C2154" s="1" t="n">
        <v>45847</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25413-2024</t>
        </is>
      </c>
      <c r="B2155" s="1" t="n">
        <v>45462</v>
      </c>
      <c r="C2155" s="1" t="n">
        <v>45847</v>
      </c>
      <c r="D2155" t="inlineStr">
        <is>
          <t>JÄMTLANDS LÄN</t>
        </is>
      </c>
      <c r="E2155" t="inlineStr">
        <is>
          <t>BRÄCKE</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25718-2024</t>
        </is>
      </c>
      <c r="B2156" s="1" t="n">
        <v>45464</v>
      </c>
      <c r="C2156" s="1" t="n">
        <v>45847</v>
      </c>
      <c r="D2156" t="inlineStr">
        <is>
          <t>JÄMTLANDS LÄN</t>
        </is>
      </c>
      <c r="E2156" t="inlineStr">
        <is>
          <t>BRÄCKE</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25726-2024</t>
        </is>
      </c>
      <c r="B2157" s="1" t="n">
        <v>45464</v>
      </c>
      <c r="C2157" s="1" t="n">
        <v>45847</v>
      </c>
      <c r="D2157" t="inlineStr">
        <is>
          <t>JÄMTLANDS LÄN</t>
        </is>
      </c>
      <c r="E2157" t="inlineStr">
        <is>
          <t>BRÄCKE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25934-2024</t>
        </is>
      </c>
      <c r="B2158" s="1" t="n">
        <v>45467</v>
      </c>
      <c r="C2158" s="1" t="n">
        <v>45847</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25890-2024</t>
        </is>
      </c>
      <c r="B2159" s="1" t="n">
        <v>45467</v>
      </c>
      <c r="C2159" s="1" t="n">
        <v>45847</v>
      </c>
      <c r="D2159" t="inlineStr">
        <is>
          <t>JÄMTLANDS LÄN</t>
        </is>
      </c>
      <c r="E2159" t="inlineStr">
        <is>
          <t>BRÄCKE</t>
        </is>
      </c>
      <c r="F2159" t="inlineStr">
        <is>
          <t>Kyrkan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25883-2024</t>
        </is>
      </c>
      <c r="B2160" s="1" t="n">
        <v>45467</v>
      </c>
      <c r="C2160" s="1" t="n">
        <v>45847</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26024-2024</t>
        </is>
      </c>
      <c r="B2161" s="1" t="n">
        <v>45468</v>
      </c>
      <c r="C2161" s="1" t="n">
        <v>45847</v>
      </c>
      <c r="D2161" t="inlineStr">
        <is>
          <t>JÄMTLANDS LÄN</t>
        </is>
      </c>
      <c r="E2161" t="inlineStr">
        <is>
          <t>BRÄCKE</t>
        </is>
      </c>
      <c r="F2161" t="inlineStr">
        <is>
          <t>SCA</t>
        </is>
      </c>
      <c r="G2161" t="n">
        <v>23.3</v>
      </c>
      <c r="H2161" t="n">
        <v>0</v>
      </c>
      <c r="I2161" t="n">
        <v>0</v>
      </c>
      <c r="J2161" t="n">
        <v>0</v>
      </c>
      <c r="K2161" t="n">
        <v>0</v>
      </c>
      <c r="L2161" t="n">
        <v>0</v>
      </c>
      <c r="M2161" t="n">
        <v>0</v>
      </c>
      <c r="N2161" t="n">
        <v>0</v>
      </c>
      <c r="O2161" t="n">
        <v>0</v>
      </c>
      <c r="P2161" t="n">
        <v>0</v>
      </c>
      <c r="Q2161" t="n">
        <v>0</v>
      </c>
      <c r="R2161" s="2" t="inlineStr"/>
    </row>
    <row r="2162" ht="15" customHeight="1">
      <c r="A2162" t="inlineStr">
        <is>
          <t>A 26032-2024</t>
        </is>
      </c>
      <c r="B2162" s="1" t="n">
        <v>45468</v>
      </c>
      <c r="C2162" s="1" t="n">
        <v>45847</v>
      </c>
      <c r="D2162" t="inlineStr">
        <is>
          <t>JÄMTLANDS LÄN</t>
        </is>
      </c>
      <c r="E2162" t="inlineStr">
        <is>
          <t>BRÄCKE</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26025-2024</t>
        </is>
      </c>
      <c r="B2163" s="1" t="n">
        <v>45468</v>
      </c>
      <c r="C2163" s="1" t="n">
        <v>45847</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26029-2024</t>
        </is>
      </c>
      <c r="B2164" s="1" t="n">
        <v>45468</v>
      </c>
      <c r="C2164" s="1" t="n">
        <v>45847</v>
      </c>
      <c r="D2164" t="inlineStr">
        <is>
          <t>JÄMTLANDS LÄN</t>
        </is>
      </c>
      <c r="E2164" t="inlineStr">
        <is>
          <t>BRÄCKE</t>
        </is>
      </c>
      <c r="F2164" t="inlineStr">
        <is>
          <t>SCA</t>
        </is>
      </c>
      <c r="G2164" t="n">
        <v>40.9</v>
      </c>
      <c r="H2164" t="n">
        <v>0</v>
      </c>
      <c r="I2164" t="n">
        <v>0</v>
      </c>
      <c r="J2164" t="n">
        <v>0</v>
      </c>
      <c r="K2164" t="n">
        <v>0</v>
      </c>
      <c r="L2164" t="n">
        <v>0</v>
      </c>
      <c r="M2164" t="n">
        <v>0</v>
      </c>
      <c r="N2164" t="n">
        <v>0</v>
      </c>
      <c r="O2164" t="n">
        <v>0</v>
      </c>
      <c r="P2164" t="n">
        <v>0</v>
      </c>
      <c r="Q2164" t="n">
        <v>0</v>
      </c>
      <c r="R2164" s="2" t="inlineStr"/>
      <c r="U2164">
        <f>HYPERLINK("https://klasma.github.io/Logging_2305/knärot/A 26029-2024 karta knärot.png", "A 26029-2024")</f>
        <v/>
      </c>
      <c r="V2164">
        <f>HYPERLINK("https://klasma.github.io/Logging_2305/klagomål/A 26029-2024 FSC-klagomål.docx", "A 26029-2024")</f>
        <v/>
      </c>
      <c r="W2164">
        <f>HYPERLINK("https://klasma.github.io/Logging_2305/klagomålsmail/A 26029-2024 FSC-klagomål mail.docx", "A 26029-2024")</f>
        <v/>
      </c>
      <c r="X2164">
        <f>HYPERLINK("https://klasma.github.io/Logging_2305/tillsyn/A 26029-2024 tillsynsbegäran.docx", "A 26029-2024")</f>
        <v/>
      </c>
      <c r="Y2164">
        <f>HYPERLINK("https://klasma.github.io/Logging_2305/tillsynsmail/A 26029-2024 tillsynsbegäran mail.docx", "A 26029-2024")</f>
        <v/>
      </c>
    </row>
    <row r="2165" ht="15" customHeight="1">
      <c r="A2165" t="inlineStr">
        <is>
          <t>A 26320-2024</t>
        </is>
      </c>
      <c r="B2165" s="1" t="n">
        <v>45469</v>
      </c>
      <c r="C2165" s="1" t="n">
        <v>45847</v>
      </c>
      <c r="D2165" t="inlineStr">
        <is>
          <t>JÄMTLANDS LÄN</t>
        </is>
      </c>
      <c r="E2165" t="inlineStr">
        <is>
          <t>BRÄCKE</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26302-2024</t>
        </is>
      </c>
      <c r="B2166" s="1" t="n">
        <v>45469</v>
      </c>
      <c r="C2166" s="1" t="n">
        <v>45847</v>
      </c>
      <c r="D2166" t="inlineStr">
        <is>
          <t>JÄMTLANDS LÄN</t>
        </is>
      </c>
      <c r="E2166" t="inlineStr">
        <is>
          <t>BRÄCKE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26278-2024</t>
        </is>
      </c>
      <c r="B2167" s="1" t="n">
        <v>45468</v>
      </c>
      <c r="C2167" s="1" t="n">
        <v>45847</v>
      </c>
      <c r="D2167" t="inlineStr">
        <is>
          <t>JÄMTLANDS LÄN</t>
        </is>
      </c>
      <c r="E2167" t="inlineStr">
        <is>
          <t>BRÄCKE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26342-2024</t>
        </is>
      </c>
      <c r="B2168" s="1" t="n">
        <v>45468</v>
      </c>
      <c r="C2168" s="1" t="n">
        <v>45847</v>
      </c>
      <c r="D2168" t="inlineStr">
        <is>
          <t>JÄMTLANDS LÄN</t>
        </is>
      </c>
      <c r="E2168" t="inlineStr">
        <is>
          <t>BRÄCKE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26522-2024</t>
        </is>
      </c>
      <c r="B2169" s="1" t="n">
        <v>45469</v>
      </c>
      <c r="C2169" s="1" t="n">
        <v>45847</v>
      </c>
      <c r="D2169" t="inlineStr">
        <is>
          <t>JÄMTLANDS LÄN</t>
        </is>
      </c>
      <c r="E2169" t="inlineStr">
        <is>
          <t>BRÄCKE</t>
        </is>
      </c>
      <c r="G2169" t="n">
        <v>14.1</v>
      </c>
      <c r="H2169" t="n">
        <v>0</v>
      </c>
      <c r="I2169" t="n">
        <v>0</v>
      </c>
      <c r="J2169" t="n">
        <v>0</v>
      </c>
      <c r="K2169" t="n">
        <v>0</v>
      </c>
      <c r="L2169" t="n">
        <v>0</v>
      </c>
      <c r="M2169" t="n">
        <v>0</v>
      </c>
      <c r="N2169" t="n">
        <v>0</v>
      </c>
      <c r="O2169" t="n">
        <v>0</v>
      </c>
      <c r="P2169" t="n">
        <v>0</v>
      </c>
      <c r="Q2169" t="n">
        <v>0</v>
      </c>
      <c r="R2169" s="2" t="inlineStr"/>
    </row>
    <row r="2170" ht="15" customHeight="1">
      <c r="A2170" t="inlineStr">
        <is>
          <t>A 26658-2024</t>
        </is>
      </c>
      <c r="B2170" s="1" t="n">
        <v>45470</v>
      </c>
      <c r="C2170" s="1" t="n">
        <v>45847</v>
      </c>
      <c r="D2170" t="inlineStr">
        <is>
          <t>JÄMTLANDS LÄN</t>
        </is>
      </c>
      <c r="E2170" t="inlineStr">
        <is>
          <t>BRÄCKE</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26910-2024</t>
        </is>
      </c>
      <c r="B2171" s="1" t="n">
        <v>45470</v>
      </c>
      <c r="C2171" s="1" t="n">
        <v>45847</v>
      </c>
      <c r="D2171" t="inlineStr">
        <is>
          <t>JÄMTLANDS LÄN</t>
        </is>
      </c>
      <c r="E2171" t="inlineStr">
        <is>
          <t>BRÄCKE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26923-2024</t>
        </is>
      </c>
      <c r="B2172" s="1" t="n">
        <v>45471</v>
      </c>
      <c r="C2172" s="1" t="n">
        <v>45847</v>
      </c>
      <c r="D2172" t="inlineStr">
        <is>
          <t>JÄMTLANDS LÄN</t>
        </is>
      </c>
      <c r="E2172" t="inlineStr">
        <is>
          <t>BRÄCKE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26919-2024</t>
        </is>
      </c>
      <c r="B2173" s="1" t="n">
        <v>45471</v>
      </c>
      <c r="C2173" s="1" t="n">
        <v>45847</v>
      </c>
      <c r="D2173" t="inlineStr">
        <is>
          <t>JÄMTLANDS LÄN</t>
        </is>
      </c>
      <c r="E2173" t="inlineStr">
        <is>
          <t>BRÄCKE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26911-2024</t>
        </is>
      </c>
      <c r="B2174" s="1" t="n">
        <v>45470</v>
      </c>
      <c r="C2174" s="1" t="n">
        <v>45847</v>
      </c>
      <c r="D2174" t="inlineStr">
        <is>
          <t>JÄMTLANDS LÄN</t>
        </is>
      </c>
      <c r="E2174" t="inlineStr">
        <is>
          <t>BRÄCKE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27280-2024</t>
        </is>
      </c>
      <c r="B2175" s="1" t="n">
        <v>45472</v>
      </c>
      <c r="C2175" s="1" t="n">
        <v>45847</v>
      </c>
      <c r="D2175" t="inlineStr">
        <is>
          <t>JÄMTLANDS LÄN</t>
        </is>
      </c>
      <c r="E2175" t="inlineStr">
        <is>
          <t>BRÄCKE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27455-2024</t>
        </is>
      </c>
      <c r="B2176" s="1" t="n">
        <v>45474</v>
      </c>
      <c r="C2176" s="1" t="n">
        <v>45847</v>
      </c>
      <c r="D2176" t="inlineStr">
        <is>
          <t>JÄMTLANDS LÄN</t>
        </is>
      </c>
      <c r="E2176" t="inlineStr">
        <is>
          <t>BRÄCKE</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27460-2024</t>
        </is>
      </c>
      <c r="B2177" s="1" t="n">
        <v>45474</v>
      </c>
      <c r="C2177" s="1" t="n">
        <v>45847</v>
      </c>
      <c r="D2177" t="inlineStr">
        <is>
          <t>JÄMTLANDS LÄN</t>
        </is>
      </c>
      <c r="E2177" t="inlineStr">
        <is>
          <t>BRÄCKE</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27449-2024</t>
        </is>
      </c>
      <c r="B2178" s="1" t="n">
        <v>45474</v>
      </c>
      <c r="C2178" s="1" t="n">
        <v>45847</v>
      </c>
      <c r="D2178" t="inlineStr">
        <is>
          <t>JÄMTLANDS LÄN</t>
        </is>
      </c>
      <c r="E2178" t="inlineStr">
        <is>
          <t>BRÄCKE</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27466-2024</t>
        </is>
      </c>
      <c r="B2179" s="1" t="n">
        <v>45474</v>
      </c>
      <c r="C2179" s="1" t="n">
        <v>45847</v>
      </c>
      <c r="D2179" t="inlineStr">
        <is>
          <t>JÄMTLANDS LÄN</t>
        </is>
      </c>
      <c r="E2179" t="inlineStr">
        <is>
          <t>BRÄCKE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27549-2024</t>
        </is>
      </c>
      <c r="B2180" s="1" t="n">
        <v>45474</v>
      </c>
      <c r="C2180" s="1" t="n">
        <v>45847</v>
      </c>
      <c r="D2180" t="inlineStr">
        <is>
          <t>JÄMTLANDS LÄN</t>
        </is>
      </c>
      <c r="E2180" t="inlineStr">
        <is>
          <t>BRÄCKE</t>
        </is>
      </c>
      <c r="G2180" t="n">
        <v>12.8</v>
      </c>
      <c r="H2180" t="n">
        <v>0</v>
      </c>
      <c r="I2180" t="n">
        <v>0</v>
      </c>
      <c r="J2180" t="n">
        <v>0</v>
      </c>
      <c r="K2180" t="n">
        <v>0</v>
      </c>
      <c r="L2180" t="n">
        <v>0</v>
      </c>
      <c r="M2180" t="n">
        <v>0</v>
      </c>
      <c r="N2180" t="n">
        <v>0</v>
      </c>
      <c r="O2180" t="n">
        <v>0</v>
      </c>
      <c r="P2180" t="n">
        <v>0</v>
      </c>
      <c r="Q2180" t="n">
        <v>0</v>
      </c>
      <c r="R2180" s="2" t="inlineStr"/>
    </row>
    <row r="2181" ht="15" customHeight="1">
      <c r="A2181" t="inlineStr">
        <is>
          <t>A 27926-2024</t>
        </is>
      </c>
      <c r="B2181" s="1" t="n">
        <v>45476</v>
      </c>
      <c r="C2181" s="1" t="n">
        <v>45847</v>
      </c>
      <c r="D2181" t="inlineStr">
        <is>
          <t>JÄMTLANDS LÄN</t>
        </is>
      </c>
      <c r="E2181" t="inlineStr">
        <is>
          <t>BRÄCKE</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27838-2024</t>
        </is>
      </c>
      <c r="B2182" s="1" t="n">
        <v>45475</v>
      </c>
      <c r="C2182" s="1" t="n">
        <v>45847</v>
      </c>
      <c r="D2182" t="inlineStr">
        <is>
          <t>JÄMTLANDS LÄN</t>
        </is>
      </c>
      <c r="E2182" t="inlineStr">
        <is>
          <t>BRÄCKE</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27799-2024</t>
        </is>
      </c>
      <c r="B2183" s="1" t="n">
        <v>45475</v>
      </c>
      <c r="C2183" s="1" t="n">
        <v>45847</v>
      </c>
      <c r="D2183" t="inlineStr">
        <is>
          <t>JÄMTLANDS LÄN</t>
        </is>
      </c>
      <c r="E2183" t="inlineStr">
        <is>
          <t>BRÄCKE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28157-2024</t>
        </is>
      </c>
      <c r="B2184" s="1" t="n">
        <v>45477</v>
      </c>
      <c r="C2184" s="1" t="n">
        <v>45847</v>
      </c>
      <c r="D2184" t="inlineStr">
        <is>
          <t>JÄMTLANDS LÄN</t>
        </is>
      </c>
      <c r="E2184" t="inlineStr">
        <is>
          <t>BRÄCKE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28077-2024</t>
        </is>
      </c>
      <c r="B2185" s="1" t="n">
        <v>45476</v>
      </c>
      <c r="C2185" s="1" t="n">
        <v>45847</v>
      </c>
      <c r="D2185" t="inlineStr">
        <is>
          <t>JÄMTLANDS LÄN</t>
        </is>
      </c>
      <c r="E2185" t="inlineStr">
        <is>
          <t>BRÄCKE</t>
        </is>
      </c>
      <c r="G2185" t="n">
        <v>18.3</v>
      </c>
      <c r="H2185" t="n">
        <v>0</v>
      </c>
      <c r="I2185" t="n">
        <v>0</v>
      </c>
      <c r="J2185" t="n">
        <v>0</v>
      </c>
      <c r="K2185" t="n">
        <v>0</v>
      </c>
      <c r="L2185" t="n">
        <v>0</v>
      </c>
      <c r="M2185" t="n">
        <v>0</v>
      </c>
      <c r="N2185" t="n">
        <v>0</v>
      </c>
      <c r="O2185" t="n">
        <v>0</v>
      </c>
      <c r="P2185" t="n">
        <v>0</v>
      </c>
      <c r="Q2185" t="n">
        <v>0</v>
      </c>
      <c r="R2185" s="2" t="inlineStr"/>
    </row>
    <row r="2186" ht="15" customHeight="1">
      <c r="A2186" t="inlineStr">
        <is>
          <t>A 28635-2024</t>
        </is>
      </c>
      <c r="B2186" s="1" t="n">
        <v>45478</v>
      </c>
      <c r="C2186" s="1" t="n">
        <v>45847</v>
      </c>
      <c r="D2186" t="inlineStr">
        <is>
          <t>JÄMTLANDS LÄN</t>
        </is>
      </c>
      <c r="E2186" t="inlineStr">
        <is>
          <t>BRÄCKE</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28765-2024</t>
        </is>
      </c>
      <c r="B2187" s="1" t="n">
        <v>45478</v>
      </c>
      <c r="C2187" s="1" t="n">
        <v>45847</v>
      </c>
      <c r="D2187" t="inlineStr">
        <is>
          <t>JÄMTLANDS LÄN</t>
        </is>
      </c>
      <c r="E2187" t="inlineStr">
        <is>
          <t>BRÄCKE</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28616-2024</t>
        </is>
      </c>
      <c r="B2188" s="1" t="n">
        <v>45478</v>
      </c>
      <c r="C2188" s="1" t="n">
        <v>45847</v>
      </c>
      <c r="D2188" t="inlineStr">
        <is>
          <t>JÄMTLANDS LÄN</t>
        </is>
      </c>
      <c r="E2188" t="inlineStr">
        <is>
          <t>BRÄCKE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28766-2024</t>
        </is>
      </c>
      <c r="B2189" s="1" t="n">
        <v>45478</v>
      </c>
      <c r="C2189" s="1" t="n">
        <v>45847</v>
      </c>
      <c r="D2189" t="inlineStr">
        <is>
          <t>JÄMTLANDS LÄN</t>
        </is>
      </c>
      <c r="E2189" t="inlineStr">
        <is>
          <t>BRÄCKE</t>
        </is>
      </c>
      <c r="F2189" t="inlineStr">
        <is>
          <t>Sveaskog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29028-2024</t>
        </is>
      </c>
      <c r="B2190" s="1" t="n">
        <v>45481</v>
      </c>
      <c r="C2190" s="1" t="n">
        <v>45847</v>
      </c>
      <c r="D2190" t="inlineStr">
        <is>
          <t>JÄMTLANDS LÄN</t>
        </is>
      </c>
      <c r="E2190" t="inlineStr">
        <is>
          <t>BRÄCKE</t>
        </is>
      </c>
      <c r="F2190" t="inlineStr">
        <is>
          <t>Övriga Aktiebolag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29003-2024</t>
        </is>
      </c>
      <c r="B2191" s="1" t="n">
        <v>45481</v>
      </c>
      <c r="C2191" s="1" t="n">
        <v>45847</v>
      </c>
      <c r="D2191" t="inlineStr">
        <is>
          <t>JÄMTLANDS LÄN</t>
        </is>
      </c>
      <c r="E2191" t="inlineStr">
        <is>
          <t>BRÄCKE</t>
        </is>
      </c>
      <c r="F2191" t="inlineStr">
        <is>
          <t>Övriga Aktiebolag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29162-2024</t>
        </is>
      </c>
      <c r="B2192" s="1" t="n">
        <v>45482</v>
      </c>
      <c r="C2192" s="1" t="n">
        <v>45847</v>
      </c>
      <c r="D2192" t="inlineStr">
        <is>
          <t>JÄMTLANDS LÄN</t>
        </is>
      </c>
      <c r="E2192" t="inlineStr">
        <is>
          <t>BRÄCKE</t>
        </is>
      </c>
      <c r="F2192" t="inlineStr">
        <is>
          <t>Övriga Aktiebolag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29203-2024</t>
        </is>
      </c>
      <c r="B2193" s="1" t="n">
        <v>45482</v>
      </c>
      <c r="C2193" s="1" t="n">
        <v>45847</v>
      </c>
      <c r="D2193" t="inlineStr">
        <is>
          <t>JÄMTLANDS LÄN</t>
        </is>
      </c>
      <c r="E2193" t="inlineStr">
        <is>
          <t>BRÄCKE</t>
        </is>
      </c>
      <c r="F2193" t="inlineStr">
        <is>
          <t>Övriga Aktiebolag</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29189-2024</t>
        </is>
      </c>
      <c r="B2194" s="1" t="n">
        <v>45482</v>
      </c>
      <c r="C2194" s="1" t="n">
        <v>45847</v>
      </c>
      <c r="D2194" t="inlineStr">
        <is>
          <t>JÄMTLANDS LÄN</t>
        </is>
      </c>
      <c r="E2194" t="inlineStr">
        <is>
          <t>BRÄCKE</t>
        </is>
      </c>
      <c r="F2194" t="inlineStr">
        <is>
          <t>Övriga Aktiebolag</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29130-2024</t>
        </is>
      </c>
      <c r="B2195" s="1" t="n">
        <v>45482</v>
      </c>
      <c r="C2195" s="1" t="n">
        <v>45847</v>
      </c>
      <c r="D2195" t="inlineStr">
        <is>
          <t>JÄMTLANDS LÄN</t>
        </is>
      </c>
      <c r="E2195" t="inlineStr">
        <is>
          <t>BRÄCKE</t>
        </is>
      </c>
      <c r="F2195" t="inlineStr">
        <is>
          <t>Övriga Aktiebolag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29262-2024</t>
        </is>
      </c>
      <c r="B2196" s="1" t="n">
        <v>45483</v>
      </c>
      <c r="C2196" s="1" t="n">
        <v>45847</v>
      </c>
      <c r="D2196" t="inlineStr">
        <is>
          <t>JÄMTLANDS LÄN</t>
        </is>
      </c>
      <c r="E2196" t="inlineStr">
        <is>
          <t>BRÄCKE</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29409-2024</t>
        </is>
      </c>
      <c r="B2197" s="1" t="n">
        <v>45483</v>
      </c>
      <c r="C2197" s="1" t="n">
        <v>45847</v>
      </c>
      <c r="D2197" t="inlineStr">
        <is>
          <t>JÄMTLANDS LÄN</t>
        </is>
      </c>
      <c r="E2197" t="inlineStr">
        <is>
          <t>BRÄCKE</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29456-2024</t>
        </is>
      </c>
      <c r="B2198" s="1" t="n">
        <v>45484</v>
      </c>
      <c r="C2198" s="1" t="n">
        <v>45847</v>
      </c>
      <c r="D2198" t="inlineStr">
        <is>
          <t>JÄMTLANDS LÄN</t>
        </is>
      </c>
      <c r="E2198" t="inlineStr">
        <is>
          <t>BRÄCKE</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29460-2024</t>
        </is>
      </c>
      <c r="B2199" s="1" t="n">
        <v>45484</v>
      </c>
      <c r="C2199" s="1" t="n">
        <v>45847</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29348-2024</t>
        </is>
      </c>
      <c r="B2200" s="1" t="n">
        <v>45483</v>
      </c>
      <c r="C2200" s="1" t="n">
        <v>45847</v>
      </c>
      <c r="D2200" t="inlineStr">
        <is>
          <t>JÄMTLANDS LÄN</t>
        </is>
      </c>
      <c r="E2200" t="inlineStr">
        <is>
          <t>BRÄCKE</t>
        </is>
      </c>
      <c r="F2200" t="inlineStr">
        <is>
          <t>Kommuner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29637-2024</t>
        </is>
      </c>
      <c r="B2201" s="1" t="n">
        <v>45484</v>
      </c>
      <c r="C2201" s="1" t="n">
        <v>45847</v>
      </c>
      <c r="D2201" t="inlineStr">
        <is>
          <t>JÄMTLANDS LÄN</t>
        </is>
      </c>
      <c r="E2201" t="inlineStr">
        <is>
          <t>BRÄCKE</t>
        </is>
      </c>
      <c r="F2201" t="inlineStr">
        <is>
          <t>Kommuner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29572-2024</t>
        </is>
      </c>
      <c r="B2202" s="1" t="n">
        <v>45484</v>
      </c>
      <c r="C2202" s="1" t="n">
        <v>45847</v>
      </c>
      <c r="D2202" t="inlineStr">
        <is>
          <t>JÄMTLANDS LÄN</t>
        </is>
      </c>
      <c r="E2202" t="inlineStr">
        <is>
          <t>BRÄCKE</t>
        </is>
      </c>
      <c r="F2202" t="inlineStr">
        <is>
          <t>Övriga Aktiebolag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29638-2024</t>
        </is>
      </c>
      <c r="B2203" s="1" t="n">
        <v>45484</v>
      </c>
      <c r="C2203" s="1" t="n">
        <v>45847</v>
      </c>
      <c r="D2203" t="inlineStr">
        <is>
          <t>JÄMTLANDS LÄN</t>
        </is>
      </c>
      <c r="E2203" t="inlineStr">
        <is>
          <t>BRÄCKE</t>
        </is>
      </c>
      <c r="F2203" t="inlineStr">
        <is>
          <t>Kommuner</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29521-2024</t>
        </is>
      </c>
      <c r="B2204" s="1" t="n">
        <v>45484</v>
      </c>
      <c r="C2204" s="1" t="n">
        <v>45847</v>
      </c>
      <c r="D2204" t="inlineStr">
        <is>
          <t>JÄMTLANDS LÄN</t>
        </is>
      </c>
      <c r="E2204" t="inlineStr">
        <is>
          <t>BRÄCKE</t>
        </is>
      </c>
      <c r="F2204" t="inlineStr">
        <is>
          <t>Övriga Aktiebolag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29493-2024</t>
        </is>
      </c>
      <c r="B2205" s="1" t="n">
        <v>45484</v>
      </c>
      <c r="C2205" s="1" t="n">
        <v>45847</v>
      </c>
      <c r="D2205" t="inlineStr">
        <is>
          <t>JÄMTLANDS LÄN</t>
        </is>
      </c>
      <c r="E2205" t="inlineStr">
        <is>
          <t>BRÄCKE</t>
        </is>
      </c>
      <c r="F2205" t="inlineStr">
        <is>
          <t>Övriga Aktiebolag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29868-2024</t>
        </is>
      </c>
      <c r="B2206" s="1" t="n">
        <v>45486</v>
      </c>
      <c r="C2206" s="1" t="n">
        <v>45847</v>
      </c>
      <c r="D2206" t="inlineStr">
        <is>
          <t>JÄMTLANDS LÄN</t>
        </is>
      </c>
      <c r="E2206" t="inlineStr">
        <is>
          <t>BRÄCKE</t>
        </is>
      </c>
      <c r="F2206" t="inlineStr">
        <is>
          <t>SCA</t>
        </is>
      </c>
      <c r="G2206" t="n">
        <v>20.1</v>
      </c>
      <c r="H2206" t="n">
        <v>0</v>
      </c>
      <c r="I2206" t="n">
        <v>0</v>
      </c>
      <c r="J2206" t="n">
        <v>0</v>
      </c>
      <c r="K2206" t="n">
        <v>0</v>
      </c>
      <c r="L2206" t="n">
        <v>0</v>
      </c>
      <c r="M2206" t="n">
        <v>0</v>
      </c>
      <c r="N2206" t="n">
        <v>0</v>
      </c>
      <c r="O2206" t="n">
        <v>0</v>
      </c>
      <c r="P2206" t="n">
        <v>0</v>
      </c>
      <c r="Q2206" t="n">
        <v>0</v>
      </c>
      <c r="R2206" s="2" t="inlineStr"/>
    </row>
    <row r="2207" ht="15" customHeight="1">
      <c r="A2207" t="inlineStr">
        <is>
          <t>A 29872-2024</t>
        </is>
      </c>
      <c r="B2207" s="1" t="n">
        <v>45486</v>
      </c>
      <c r="C2207" s="1" t="n">
        <v>45847</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29873-2024</t>
        </is>
      </c>
      <c r="B2208" s="1" t="n">
        <v>45486</v>
      </c>
      <c r="C2208" s="1" t="n">
        <v>45847</v>
      </c>
      <c r="D2208" t="inlineStr">
        <is>
          <t>JÄMTLANDS LÄN</t>
        </is>
      </c>
      <c r="E2208" t="inlineStr">
        <is>
          <t>BRÄCKE</t>
        </is>
      </c>
      <c r="F2208" t="inlineStr">
        <is>
          <t>SCA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30038-2024</t>
        </is>
      </c>
      <c r="B2209" s="1" t="n">
        <v>45488</v>
      </c>
      <c r="C2209" s="1" t="n">
        <v>45847</v>
      </c>
      <c r="D2209" t="inlineStr">
        <is>
          <t>JÄMTLANDS LÄN</t>
        </is>
      </c>
      <c r="E2209" t="inlineStr">
        <is>
          <t>BRÄCKE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30287-2024</t>
        </is>
      </c>
      <c r="B2210" s="1" t="n">
        <v>45490</v>
      </c>
      <c r="C2210" s="1" t="n">
        <v>45847</v>
      </c>
      <c r="D2210" t="inlineStr">
        <is>
          <t>JÄMTLANDS LÄN</t>
        </is>
      </c>
      <c r="E2210" t="inlineStr">
        <is>
          <t>BRÄCKE</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30480-2024</t>
        </is>
      </c>
      <c r="B2211" s="1" t="n">
        <v>45492</v>
      </c>
      <c r="C2211" s="1" t="n">
        <v>45847</v>
      </c>
      <c r="D2211" t="inlineStr">
        <is>
          <t>JÄMTLANDS LÄN</t>
        </is>
      </c>
      <c r="E2211" t="inlineStr">
        <is>
          <t>BRÄCKE</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30488-2024</t>
        </is>
      </c>
      <c r="B2212" s="1" t="n">
        <v>45492</v>
      </c>
      <c r="C2212" s="1" t="n">
        <v>45847</v>
      </c>
      <c r="D2212" t="inlineStr">
        <is>
          <t>JÄMTLANDS LÄN</t>
        </is>
      </c>
      <c r="E2212" t="inlineStr">
        <is>
          <t>BRÄCKE</t>
        </is>
      </c>
      <c r="F2212" t="inlineStr">
        <is>
          <t>Naturvårdsverket</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30463-2024</t>
        </is>
      </c>
      <c r="B2213" s="1" t="n">
        <v>45492</v>
      </c>
      <c r="C2213" s="1" t="n">
        <v>45847</v>
      </c>
      <c r="D2213" t="inlineStr">
        <is>
          <t>JÄMTLANDS LÄN</t>
        </is>
      </c>
      <c r="E2213" t="inlineStr">
        <is>
          <t>BRÄCKE</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30487-2024</t>
        </is>
      </c>
      <c r="B2214" s="1" t="n">
        <v>45492</v>
      </c>
      <c r="C2214" s="1" t="n">
        <v>45847</v>
      </c>
      <c r="D2214" t="inlineStr">
        <is>
          <t>JÄMTLANDS LÄN</t>
        </is>
      </c>
      <c r="E2214" t="inlineStr">
        <is>
          <t>BRÄCKE</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30569-2024</t>
        </is>
      </c>
      <c r="B2215" s="1" t="n">
        <v>45493</v>
      </c>
      <c r="C2215" s="1" t="n">
        <v>45847</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30501-2024</t>
        </is>
      </c>
      <c r="B2216" s="1" t="n">
        <v>45492</v>
      </c>
      <c r="C2216" s="1" t="n">
        <v>45847</v>
      </c>
      <c r="D2216" t="inlineStr">
        <is>
          <t>JÄMTLANDS LÄN</t>
        </is>
      </c>
      <c r="E2216" t="inlineStr">
        <is>
          <t>BRÄCKE</t>
        </is>
      </c>
      <c r="G2216" t="n">
        <v>13.6</v>
      </c>
      <c r="H2216" t="n">
        <v>0</v>
      </c>
      <c r="I2216" t="n">
        <v>0</v>
      </c>
      <c r="J2216" t="n">
        <v>0</v>
      </c>
      <c r="K2216" t="n">
        <v>0</v>
      </c>
      <c r="L2216" t="n">
        <v>0</v>
      </c>
      <c r="M2216" t="n">
        <v>0</v>
      </c>
      <c r="N2216" t="n">
        <v>0</v>
      </c>
      <c r="O2216" t="n">
        <v>0</v>
      </c>
      <c r="P2216" t="n">
        <v>0</v>
      </c>
      <c r="Q2216" t="n">
        <v>0</v>
      </c>
      <c r="R2216" s="2" t="inlineStr"/>
    </row>
    <row r="2217" ht="15" customHeight="1">
      <c r="A2217" t="inlineStr">
        <is>
          <t>A 30661-2024</t>
        </is>
      </c>
      <c r="B2217" s="1" t="n">
        <v>45495</v>
      </c>
      <c r="C2217" s="1" t="n">
        <v>45847</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30685-2024</t>
        </is>
      </c>
      <c r="B2218" s="1" t="n">
        <v>45496</v>
      </c>
      <c r="C2218" s="1" t="n">
        <v>45847</v>
      </c>
      <c r="D2218" t="inlineStr">
        <is>
          <t>JÄMTLANDS LÄN</t>
        </is>
      </c>
      <c r="E2218" t="inlineStr">
        <is>
          <t>BRÄCKE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30933-2024</t>
        </is>
      </c>
      <c r="B2219" s="1" t="n">
        <v>45498</v>
      </c>
      <c r="C2219" s="1" t="n">
        <v>45847</v>
      </c>
      <c r="D2219" t="inlineStr">
        <is>
          <t>JÄMTLANDS LÄN</t>
        </is>
      </c>
      <c r="E2219" t="inlineStr">
        <is>
          <t>BRÄCKE</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30874-2024</t>
        </is>
      </c>
      <c r="B2220" s="1" t="n">
        <v>45498</v>
      </c>
      <c r="C2220" s="1" t="n">
        <v>45847</v>
      </c>
      <c r="D2220" t="inlineStr">
        <is>
          <t>JÄMTLANDS LÄN</t>
        </is>
      </c>
      <c r="E2220" t="inlineStr">
        <is>
          <t>BRÄCKE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31035-2024</t>
        </is>
      </c>
      <c r="B2221" s="1" t="n">
        <v>45501</v>
      </c>
      <c r="C2221" s="1" t="n">
        <v>45847</v>
      </c>
      <c r="D2221" t="inlineStr">
        <is>
          <t>JÄMTLANDS LÄN</t>
        </is>
      </c>
      <c r="E2221" t="inlineStr">
        <is>
          <t>BRÄCKE</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31468-2024</t>
        </is>
      </c>
      <c r="B2222" s="1" t="n">
        <v>45506</v>
      </c>
      <c r="C2222" s="1" t="n">
        <v>45847</v>
      </c>
      <c r="D2222" t="inlineStr">
        <is>
          <t>JÄMTLANDS LÄN</t>
        </is>
      </c>
      <c r="E2222" t="inlineStr">
        <is>
          <t>BRÄCKE</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31566-2024</t>
        </is>
      </c>
      <c r="B2223" s="1" t="n">
        <v>45506</v>
      </c>
      <c r="C2223" s="1" t="n">
        <v>45847</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31558-2024</t>
        </is>
      </c>
      <c r="B2224" s="1" t="n">
        <v>45505</v>
      </c>
      <c r="C2224" s="1" t="n">
        <v>45847</v>
      </c>
      <c r="D2224" t="inlineStr">
        <is>
          <t>JÄMTLANDS LÄN</t>
        </is>
      </c>
      <c r="E2224" t="inlineStr">
        <is>
          <t>BRÄCKE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31519-2024</t>
        </is>
      </c>
      <c r="B2225" s="1" t="n">
        <v>45505</v>
      </c>
      <c r="C2225" s="1" t="n">
        <v>45847</v>
      </c>
      <c r="D2225" t="inlineStr">
        <is>
          <t>JÄMTLANDS LÄN</t>
        </is>
      </c>
      <c r="E2225" t="inlineStr">
        <is>
          <t>BRÄCKE</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31525-2024</t>
        </is>
      </c>
      <c r="B2226" s="1" t="n">
        <v>45506</v>
      </c>
      <c r="C2226" s="1" t="n">
        <v>45847</v>
      </c>
      <c r="D2226" t="inlineStr">
        <is>
          <t>JÄMTLANDS LÄN</t>
        </is>
      </c>
      <c r="E2226" t="inlineStr">
        <is>
          <t>BRÄCKE</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31517-2024</t>
        </is>
      </c>
      <c r="B2227" s="1" t="n">
        <v>45505</v>
      </c>
      <c r="C2227" s="1" t="n">
        <v>45847</v>
      </c>
      <c r="D2227" t="inlineStr">
        <is>
          <t>JÄMTLANDS LÄN</t>
        </is>
      </c>
      <c r="E2227" t="inlineStr">
        <is>
          <t>BRÄCKE</t>
        </is>
      </c>
      <c r="F2227" t="inlineStr">
        <is>
          <t>SCA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31466-2024</t>
        </is>
      </c>
      <c r="B2228" s="1" t="n">
        <v>45506</v>
      </c>
      <c r="C2228" s="1" t="n">
        <v>45847</v>
      </c>
      <c r="D2228" t="inlineStr">
        <is>
          <t>JÄMTLANDS LÄN</t>
        </is>
      </c>
      <c r="E2228" t="inlineStr">
        <is>
          <t>BRÄCKE</t>
        </is>
      </c>
      <c r="F2228" t="inlineStr">
        <is>
          <t>SCA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31403-2024</t>
        </is>
      </c>
      <c r="B2229" s="1" t="n">
        <v>45505</v>
      </c>
      <c r="C2229" s="1" t="n">
        <v>45847</v>
      </c>
      <c r="D2229" t="inlineStr">
        <is>
          <t>JÄMTLANDS LÄN</t>
        </is>
      </c>
      <c r="E2229" t="inlineStr">
        <is>
          <t>BRÄCKE</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31567-2024</t>
        </is>
      </c>
      <c r="B2230" s="1" t="n">
        <v>45506</v>
      </c>
      <c r="C2230" s="1" t="n">
        <v>45847</v>
      </c>
      <c r="D2230" t="inlineStr">
        <is>
          <t>JÄMTLANDS LÄN</t>
        </is>
      </c>
      <c r="E2230" t="inlineStr">
        <is>
          <t>BRÄCKE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31508-2024</t>
        </is>
      </c>
      <c r="B2231" s="1" t="n">
        <v>45505</v>
      </c>
      <c r="C2231" s="1" t="n">
        <v>45847</v>
      </c>
      <c r="D2231" t="inlineStr">
        <is>
          <t>JÄMTLANDS LÄN</t>
        </is>
      </c>
      <c r="E2231" t="inlineStr">
        <is>
          <t>BRÄCKE</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31467-2024</t>
        </is>
      </c>
      <c r="B2232" s="1" t="n">
        <v>45506</v>
      </c>
      <c r="C2232" s="1" t="n">
        <v>45847</v>
      </c>
      <c r="D2232" t="inlineStr">
        <is>
          <t>JÄMTLANDS LÄN</t>
        </is>
      </c>
      <c r="E2232" t="inlineStr">
        <is>
          <t>BRÄCKE</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31526-2024</t>
        </is>
      </c>
      <c r="B2233" s="1" t="n">
        <v>45506</v>
      </c>
      <c r="C2233" s="1" t="n">
        <v>45847</v>
      </c>
      <c r="D2233" t="inlineStr">
        <is>
          <t>JÄMTLANDS LÄN</t>
        </is>
      </c>
      <c r="E2233" t="inlineStr">
        <is>
          <t>BRÄCKE</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31692-2024</t>
        </is>
      </c>
      <c r="B2234" s="1" t="n">
        <v>45508</v>
      </c>
      <c r="C2234" s="1" t="n">
        <v>45847</v>
      </c>
      <c r="D2234" t="inlineStr">
        <is>
          <t>JÄMTLANDS LÄN</t>
        </is>
      </c>
      <c r="E2234" t="inlineStr">
        <is>
          <t>BRÄCKE</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31713-2024</t>
        </is>
      </c>
      <c r="B2235" s="1" t="n">
        <v>45509</v>
      </c>
      <c r="C2235" s="1" t="n">
        <v>45847</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31745-2024</t>
        </is>
      </c>
      <c r="B2236" s="1" t="n">
        <v>45509</v>
      </c>
      <c r="C2236" s="1" t="n">
        <v>45847</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31756-2024</t>
        </is>
      </c>
      <c r="B2237" s="1" t="n">
        <v>45509</v>
      </c>
      <c r="C2237" s="1" t="n">
        <v>45847</v>
      </c>
      <c r="D2237" t="inlineStr">
        <is>
          <t>JÄMTLANDS LÄN</t>
        </is>
      </c>
      <c r="E2237" t="inlineStr">
        <is>
          <t>BRÄCKE</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31888-2024</t>
        </is>
      </c>
      <c r="B2238" s="1" t="n">
        <v>45509</v>
      </c>
      <c r="C2238" s="1" t="n">
        <v>45847</v>
      </c>
      <c r="D2238" t="inlineStr">
        <is>
          <t>JÄMTLANDS LÄN</t>
        </is>
      </c>
      <c r="E2238" t="inlineStr">
        <is>
          <t>BRÄCKE</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32060-2024</t>
        </is>
      </c>
      <c r="B2239" s="1" t="n">
        <v>45511</v>
      </c>
      <c r="C2239" s="1" t="n">
        <v>45847</v>
      </c>
      <c r="D2239" t="inlineStr">
        <is>
          <t>JÄMTLANDS LÄN</t>
        </is>
      </c>
      <c r="E2239" t="inlineStr">
        <is>
          <t>BRÄCKE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32440-2024</t>
        </is>
      </c>
      <c r="B2240" s="1" t="n">
        <v>45513</v>
      </c>
      <c r="C2240" s="1" t="n">
        <v>45847</v>
      </c>
      <c r="D2240" t="inlineStr">
        <is>
          <t>JÄMTLANDS LÄN</t>
        </is>
      </c>
      <c r="E2240" t="inlineStr">
        <is>
          <t>BRÄCKE</t>
        </is>
      </c>
      <c r="F2240" t="inlineStr">
        <is>
          <t>SCA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32429-2024</t>
        </is>
      </c>
      <c r="B2241" s="1" t="n">
        <v>45513</v>
      </c>
      <c r="C2241" s="1" t="n">
        <v>45847</v>
      </c>
      <c r="D2241" t="inlineStr">
        <is>
          <t>JÄMTLANDS LÄN</t>
        </is>
      </c>
      <c r="E2241" t="inlineStr">
        <is>
          <t>BRÄCKE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32636-2024</t>
        </is>
      </c>
      <c r="B2242" s="1" t="n">
        <v>45514</v>
      </c>
      <c r="C2242" s="1" t="n">
        <v>45847</v>
      </c>
      <c r="D2242" t="inlineStr">
        <is>
          <t>JÄMTLANDS LÄN</t>
        </is>
      </c>
      <c r="E2242" t="inlineStr">
        <is>
          <t>BRÄCKE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32637-2024</t>
        </is>
      </c>
      <c r="B2243" s="1" t="n">
        <v>45514</v>
      </c>
      <c r="C2243" s="1" t="n">
        <v>45847</v>
      </c>
      <c r="D2243" t="inlineStr">
        <is>
          <t>JÄMTLANDS LÄN</t>
        </is>
      </c>
      <c r="E2243" t="inlineStr">
        <is>
          <t>BRÄCKE</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32671-2024</t>
        </is>
      </c>
      <c r="B2244" s="1" t="n">
        <v>45514</v>
      </c>
      <c r="C2244" s="1" t="n">
        <v>45847</v>
      </c>
      <c r="D2244" t="inlineStr">
        <is>
          <t>JÄMTLANDS LÄN</t>
        </is>
      </c>
      <c r="E2244" t="inlineStr">
        <is>
          <t>BRÄCKE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33112-2024</t>
        </is>
      </c>
      <c r="B2245" s="1" t="n">
        <v>45518</v>
      </c>
      <c r="C2245" s="1" t="n">
        <v>45847</v>
      </c>
      <c r="D2245" t="inlineStr">
        <is>
          <t>JÄMTLANDS LÄN</t>
        </is>
      </c>
      <c r="E2245" t="inlineStr">
        <is>
          <t>BRÄCKE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33310-2024</t>
        </is>
      </c>
      <c r="B2246" s="1" t="n">
        <v>45519</v>
      </c>
      <c r="C2246" s="1" t="n">
        <v>45847</v>
      </c>
      <c r="D2246" t="inlineStr">
        <is>
          <t>JÄMTLANDS LÄN</t>
        </is>
      </c>
      <c r="E2246" t="inlineStr">
        <is>
          <t>BRÄCKE</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33506-2024</t>
        </is>
      </c>
      <c r="B2247" s="1" t="n">
        <v>45519</v>
      </c>
      <c r="C2247" s="1" t="n">
        <v>45847</v>
      </c>
      <c r="D2247" t="inlineStr">
        <is>
          <t>JÄMTLANDS LÄN</t>
        </is>
      </c>
      <c r="E2247" t="inlineStr">
        <is>
          <t>BRÄCKE</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33773-2024</t>
        </is>
      </c>
      <c r="B2248" s="1" t="n">
        <v>45520</v>
      </c>
      <c r="C2248" s="1" t="n">
        <v>45847</v>
      </c>
      <c r="D2248" t="inlineStr">
        <is>
          <t>JÄMTLANDS LÄN</t>
        </is>
      </c>
      <c r="E2248" t="inlineStr">
        <is>
          <t>BRÄCKE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33774-2024</t>
        </is>
      </c>
      <c r="B2249" s="1" t="n">
        <v>45520</v>
      </c>
      <c r="C2249" s="1" t="n">
        <v>45847</v>
      </c>
      <c r="D2249" t="inlineStr">
        <is>
          <t>JÄMTLANDS LÄN</t>
        </is>
      </c>
      <c r="E2249" t="inlineStr">
        <is>
          <t>BRÄCKE</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33960-2024</t>
        </is>
      </c>
      <c r="B2250" s="1" t="n">
        <v>45523</v>
      </c>
      <c r="C2250" s="1" t="n">
        <v>45847</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34807-2024</t>
        </is>
      </c>
      <c r="B2251" s="1" t="n">
        <v>45526</v>
      </c>
      <c r="C2251" s="1" t="n">
        <v>45847</v>
      </c>
      <c r="D2251" t="inlineStr">
        <is>
          <t>JÄMTLANDS LÄN</t>
        </is>
      </c>
      <c r="E2251" t="inlineStr">
        <is>
          <t>BRÄCKE</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34645-2024</t>
        </is>
      </c>
      <c r="B2252" s="1" t="n">
        <v>45526</v>
      </c>
      <c r="C2252" s="1" t="n">
        <v>45847</v>
      </c>
      <c r="D2252" t="inlineStr">
        <is>
          <t>JÄMTLANDS LÄN</t>
        </is>
      </c>
      <c r="E2252" t="inlineStr">
        <is>
          <t>BRÄCKE</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34647-2024</t>
        </is>
      </c>
      <c r="B2253" s="1" t="n">
        <v>45526</v>
      </c>
      <c r="C2253" s="1" t="n">
        <v>45847</v>
      </c>
      <c r="D2253" t="inlineStr">
        <is>
          <t>JÄMTLANDS LÄN</t>
        </is>
      </c>
      <c r="E2253" t="inlineStr">
        <is>
          <t>BRÄCKE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34646-2024</t>
        </is>
      </c>
      <c r="B2254" s="1" t="n">
        <v>45526</v>
      </c>
      <c r="C2254" s="1" t="n">
        <v>45847</v>
      </c>
      <c r="D2254" t="inlineStr">
        <is>
          <t>JÄMTLANDS LÄN</t>
        </is>
      </c>
      <c r="E2254" t="inlineStr">
        <is>
          <t>BRÄCKE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35394-2024</t>
        </is>
      </c>
      <c r="B2255" s="1" t="n">
        <v>45531</v>
      </c>
      <c r="C2255" s="1" t="n">
        <v>45847</v>
      </c>
      <c r="D2255" t="inlineStr">
        <is>
          <t>JÄMTLANDS LÄN</t>
        </is>
      </c>
      <c r="E2255" t="inlineStr">
        <is>
          <t>BRÄCKE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35398-2024</t>
        </is>
      </c>
      <c r="B2256" s="1" t="n">
        <v>45531</v>
      </c>
      <c r="C2256" s="1" t="n">
        <v>45847</v>
      </c>
      <c r="D2256" t="inlineStr">
        <is>
          <t>JÄMTLANDS LÄN</t>
        </is>
      </c>
      <c r="E2256" t="inlineStr">
        <is>
          <t>BRÄCKE</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35395-2024</t>
        </is>
      </c>
      <c r="B2257" s="1" t="n">
        <v>45531</v>
      </c>
      <c r="C2257" s="1" t="n">
        <v>45847</v>
      </c>
      <c r="D2257" t="inlineStr">
        <is>
          <t>JÄMTLANDS LÄN</t>
        </is>
      </c>
      <c r="E2257" t="inlineStr">
        <is>
          <t>BRÄCKE</t>
        </is>
      </c>
      <c r="F2257" t="inlineStr">
        <is>
          <t>SCA</t>
        </is>
      </c>
      <c r="G2257" t="n">
        <v>23.2</v>
      </c>
      <c r="H2257" t="n">
        <v>0</v>
      </c>
      <c r="I2257" t="n">
        <v>0</v>
      </c>
      <c r="J2257" t="n">
        <v>0</v>
      </c>
      <c r="K2257" t="n">
        <v>0</v>
      </c>
      <c r="L2257" t="n">
        <v>0</v>
      </c>
      <c r="M2257" t="n">
        <v>0</v>
      </c>
      <c r="N2257" t="n">
        <v>0</v>
      </c>
      <c r="O2257" t="n">
        <v>0</v>
      </c>
      <c r="P2257" t="n">
        <v>0</v>
      </c>
      <c r="Q2257" t="n">
        <v>0</v>
      </c>
      <c r="R2257" s="2" t="inlineStr"/>
    </row>
    <row r="2258" ht="15" customHeight="1">
      <c r="A2258" t="inlineStr">
        <is>
          <t>A 35413-2024</t>
        </is>
      </c>
      <c r="B2258" s="1" t="n">
        <v>45531</v>
      </c>
      <c r="C2258" s="1" t="n">
        <v>45847</v>
      </c>
      <c r="D2258" t="inlineStr">
        <is>
          <t>JÄMTLANDS LÄN</t>
        </is>
      </c>
      <c r="E2258" t="inlineStr">
        <is>
          <t>BRÄCKE</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35400-2024</t>
        </is>
      </c>
      <c r="B2259" s="1" t="n">
        <v>45531</v>
      </c>
      <c r="C2259" s="1" t="n">
        <v>45847</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35428-2024</t>
        </is>
      </c>
      <c r="B2260" s="1" t="n">
        <v>45531</v>
      </c>
      <c r="C2260" s="1" t="n">
        <v>45847</v>
      </c>
      <c r="D2260" t="inlineStr">
        <is>
          <t>JÄMTLANDS LÄN</t>
        </is>
      </c>
      <c r="E2260" t="inlineStr">
        <is>
          <t>BRÄCKE</t>
        </is>
      </c>
      <c r="F2260" t="inlineStr">
        <is>
          <t>SCA</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35903-2024</t>
        </is>
      </c>
      <c r="B2261" s="1" t="n">
        <v>45533</v>
      </c>
      <c r="C2261" s="1" t="n">
        <v>45847</v>
      </c>
      <c r="D2261" t="inlineStr">
        <is>
          <t>JÄMTLANDS LÄN</t>
        </is>
      </c>
      <c r="E2261" t="inlineStr">
        <is>
          <t>BRÄCKE</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36326-2024</t>
        </is>
      </c>
      <c r="B2262" s="1" t="n">
        <v>45534</v>
      </c>
      <c r="C2262" s="1" t="n">
        <v>45847</v>
      </c>
      <c r="D2262" t="inlineStr">
        <is>
          <t>JÄMTLANDS LÄN</t>
        </is>
      </c>
      <c r="E2262" t="inlineStr">
        <is>
          <t>BRÄCKE</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36457-2024</t>
        </is>
      </c>
      <c r="B2263" s="1" t="n">
        <v>45537</v>
      </c>
      <c r="C2263" s="1" t="n">
        <v>45847</v>
      </c>
      <c r="D2263" t="inlineStr">
        <is>
          <t>JÄMTLANDS LÄN</t>
        </is>
      </c>
      <c r="E2263" t="inlineStr">
        <is>
          <t>BRÄCKE</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36549-2024</t>
        </is>
      </c>
      <c r="B2264" s="1" t="n">
        <v>45537</v>
      </c>
      <c r="C2264" s="1" t="n">
        <v>45847</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36551-2024</t>
        </is>
      </c>
      <c r="B2265" s="1" t="n">
        <v>45537</v>
      </c>
      <c r="C2265" s="1" t="n">
        <v>45847</v>
      </c>
      <c r="D2265" t="inlineStr">
        <is>
          <t>JÄMTLANDS LÄN</t>
        </is>
      </c>
      <c r="E2265" t="inlineStr">
        <is>
          <t>BRÄCKE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37173-2024</t>
        </is>
      </c>
      <c r="B2266" s="1" t="n">
        <v>45539</v>
      </c>
      <c r="C2266" s="1" t="n">
        <v>45847</v>
      </c>
      <c r="D2266" t="inlineStr">
        <is>
          <t>JÄMTLANDS LÄN</t>
        </is>
      </c>
      <c r="E2266" t="inlineStr">
        <is>
          <t>BRÄCKE</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37303-2024</t>
        </is>
      </c>
      <c r="B2267" s="1" t="n">
        <v>45540</v>
      </c>
      <c r="C2267" s="1" t="n">
        <v>45847</v>
      </c>
      <c r="D2267" t="inlineStr">
        <is>
          <t>JÄMTLANDS LÄN</t>
        </is>
      </c>
      <c r="E2267" t="inlineStr">
        <is>
          <t>BRÄCKE</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37960-2024</t>
        </is>
      </c>
      <c r="B2268" s="1" t="n">
        <v>45544</v>
      </c>
      <c r="C2268" s="1" t="n">
        <v>45847</v>
      </c>
      <c r="D2268" t="inlineStr">
        <is>
          <t>JÄMTLANDS LÄN</t>
        </is>
      </c>
      <c r="E2268" t="inlineStr">
        <is>
          <t>BRÄCKE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37883-2024</t>
        </is>
      </c>
      <c r="B2269" s="1" t="n">
        <v>45544</v>
      </c>
      <c r="C2269" s="1" t="n">
        <v>45847</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37959-2024</t>
        </is>
      </c>
      <c r="B2270" s="1" t="n">
        <v>45544</v>
      </c>
      <c r="C2270" s="1" t="n">
        <v>45847</v>
      </c>
      <c r="D2270" t="inlineStr">
        <is>
          <t>JÄMTLANDS LÄN</t>
        </is>
      </c>
      <c r="E2270" t="inlineStr">
        <is>
          <t>BRÄCKE</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38007-2024</t>
        </is>
      </c>
      <c r="B2271" s="1" t="n">
        <v>45544</v>
      </c>
      <c r="C2271" s="1" t="n">
        <v>45847</v>
      </c>
      <c r="D2271" t="inlineStr">
        <is>
          <t>JÄMTLANDS LÄN</t>
        </is>
      </c>
      <c r="E2271" t="inlineStr">
        <is>
          <t>BRÄCKE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38162-2024</t>
        </is>
      </c>
      <c r="B2272" s="1" t="n">
        <v>45545</v>
      </c>
      <c r="C2272" s="1" t="n">
        <v>45847</v>
      </c>
      <c r="D2272" t="inlineStr">
        <is>
          <t>JÄMTLANDS LÄN</t>
        </is>
      </c>
      <c r="E2272" t="inlineStr">
        <is>
          <t>BRÄCKE</t>
        </is>
      </c>
      <c r="F2272" t="inlineStr">
        <is>
          <t>SCA</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38105-2024</t>
        </is>
      </c>
      <c r="B2273" s="1" t="n">
        <v>45545</v>
      </c>
      <c r="C2273" s="1" t="n">
        <v>45847</v>
      </c>
      <c r="D2273" t="inlineStr">
        <is>
          <t>JÄMTLANDS LÄN</t>
        </is>
      </c>
      <c r="E2273" t="inlineStr">
        <is>
          <t>BRÄCKE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38164-2024</t>
        </is>
      </c>
      <c r="B2274" s="1" t="n">
        <v>45545</v>
      </c>
      <c r="C2274" s="1" t="n">
        <v>45847</v>
      </c>
      <c r="D2274" t="inlineStr">
        <is>
          <t>JÄMTLANDS LÄN</t>
        </is>
      </c>
      <c r="E2274" t="inlineStr">
        <is>
          <t>BRÄCKE</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38302-2024</t>
        </is>
      </c>
      <c r="B2275" s="1" t="n">
        <v>45545</v>
      </c>
      <c r="C2275" s="1" t="n">
        <v>45847</v>
      </c>
      <c r="D2275" t="inlineStr">
        <is>
          <t>JÄMTLANDS LÄN</t>
        </is>
      </c>
      <c r="E2275" t="inlineStr">
        <is>
          <t>BRÄCKE</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38321-2024</t>
        </is>
      </c>
      <c r="B2276" s="1" t="n">
        <v>45545</v>
      </c>
      <c r="C2276" s="1" t="n">
        <v>45847</v>
      </c>
      <c r="D2276" t="inlineStr">
        <is>
          <t>JÄMTLANDS LÄN</t>
        </is>
      </c>
      <c r="E2276" t="inlineStr">
        <is>
          <t>BRÄCKE</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38336-2024</t>
        </is>
      </c>
      <c r="B2277" s="1" t="n">
        <v>45545</v>
      </c>
      <c r="C2277" s="1" t="n">
        <v>45847</v>
      </c>
      <c r="D2277" t="inlineStr">
        <is>
          <t>JÄMTLANDS LÄN</t>
        </is>
      </c>
      <c r="E2277" t="inlineStr">
        <is>
          <t>BRÄCKE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38404-2024</t>
        </is>
      </c>
      <c r="B2278" s="1" t="n">
        <v>45546</v>
      </c>
      <c r="C2278" s="1" t="n">
        <v>45847</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38401-2024</t>
        </is>
      </c>
      <c r="B2279" s="1" t="n">
        <v>45546</v>
      </c>
      <c r="C2279" s="1" t="n">
        <v>45847</v>
      </c>
      <c r="D2279" t="inlineStr">
        <is>
          <t>JÄMTLANDS LÄN</t>
        </is>
      </c>
      <c r="E2279" t="inlineStr">
        <is>
          <t>BRÄCKE</t>
        </is>
      </c>
      <c r="F2279" t="inlineStr">
        <is>
          <t>SCA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38509-2024</t>
        </is>
      </c>
      <c r="B2280" s="1" t="n">
        <v>45546</v>
      </c>
      <c r="C2280" s="1" t="n">
        <v>45847</v>
      </c>
      <c r="D2280" t="inlineStr">
        <is>
          <t>JÄMTLANDS LÄN</t>
        </is>
      </c>
      <c r="E2280" t="inlineStr">
        <is>
          <t>BRÄCKE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38817-2024</t>
        </is>
      </c>
      <c r="B2281" s="1" t="n">
        <v>45547</v>
      </c>
      <c r="C2281" s="1" t="n">
        <v>45847</v>
      </c>
      <c r="D2281" t="inlineStr">
        <is>
          <t>JÄMTLANDS LÄN</t>
        </is>
      </c>
      <c r="E2281" t="inlineStr">
        <is>
          <t>BRÄCKE</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38865-2024</t>
        </is>
      </c>
      <c r="B2282" s="1" t="n">
        <v>45547</v>
      </c>
      <c r="C2282" s="1" t="n">
        <v>45847</v>
      </c>
      <c r="D2282" t="inlineStr">
        <is>
          <t>JÄMTLANDS LÄN</t>
        </is>
      </c>
      <c r="E2282" t="inlineStr">
        <is>
          <t>BRÄCKE</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38862-2024</t>
        </is>
      </c>
      <c r="B2283" s="1" t="n">
        <v>45547</v>
      </c>
      <c r="C2283" s="1" t="n">
        <v>45847</v>
      </c>
      <c r="D2283" t="inlineStr">
        <is>
          <t>JÄMTLANDS LÄN</t>
        </is>
      </c>
      <c r="E2283" t="inlineStr">
        <is>
          <t>BRÄCKE</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38943-2024</t>
        </is>
      </c>
      <c r="B2284" s="1" t="n">
        <v>45548</v>
      </c>
      <c r="C2284" s="1" t="n">
        <v>45847</v>
      </c>
      <c r="D2284" t="inlineStr">
        <is>
          <t>JÄMTLANDS LÄN</t>
        </is>
      </c>
      <c r="E2284" t="inlineStr">
        <is>
          <t>BRÄCKE</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39122-2024</t>
        </is>
      </c>
      <c r="B2285" s="1" t="n">
        <v>45548</v>
      </c>
      <c r="C2285" s="1" t="n">
        <v>45847</v>
      </c>
      <c r="D2285" t="inlineStr">
        <is>
          <t>JÄMTLANDS LÄN</t>
        </is>
      </c>
      <c r="E2285" t="inlineStr">
        <is>
          <t>BRÄCKE</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39192-2024</t>
        </is>
      </c>
      <c r="B2286" s="1" t="n">
        <v>45548</v>
      </c>
      <c r="C2286" s="1" t="n">
        <v>45847</v>
      </c>
      <c r="D2286" t="inlineStr">
        <is>
          <t>JÄMTLANDS LÄN</t>
        </is>
      </c>
      <c r="E2286" t="inlineStr">
        <is>
          <t>BRÄCKE</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39281-2024</t>
        </is>
      </c>
      <c r="B2287" s="1" t="n">
        <v>45551</v>
      </c>
      <c r="C2287" s="1" t="n">
        <v>45847</v>
      </c>
      <c r="D2287" t="inlineStr">
        <is>
          <t>JÄMTLANDS LÄN</t>
        </is>
      </c>
      <c r="E2287" t="inlineStr">
        <is>
          <t>BRÄCKE</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39326-2024</t>
        </is>
      </c>
      <c r="B2288" s="1" t="n">
        <v>45551</v>
      </c>
      <c r="C2288" s="1" t="n">
        <v>45847</v>
      </c>
      <c r="D2288" t="inlineStr">
        <is>
          <t>JÄMTLANDS LÄN</t>
        </is>
      </c>
      <c r="E2288" t="inlineStr">
        <is>
          <t>BRÄCKE</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39662-2024</t>
        </is>
      </c>
      <c r="B2289" s="1" t="n">
        <v>45552</v>
      </c>
      <c r="C2289" s="1" t="n">
        <v>45847</v>
      </c>
      <c r="D2289" t="inlineStr">
        <is>
          <t>JÄMTLANDS LÄN</t>
        </is>
      </c>
      <c r="E2289" t="inlineStr">
        <is>
          <t>BRÄCKE</t>
        </is>
      </c>
      <c r="F2289" t="inlineStr">
        <is>
          <t>SCA</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39742-2024</t>
        </is>
      </c>
      <c r="B2290" s="1" t="n">
        <v>45552</v>
      </c>
      <c r="C2290" s="1" t="n">
        <v>45847</v>
      </c>
      <c r="D2290" t="inlineStr">
        <is>
          <t>JÄMTLANDS LÄN</t>
        </is>
      </c>
      <c r="E2290" t="inlineStr">
        <is>
          <t>BRÄCKE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39884-2024</t>
        </is>
      </c>
      <c r="B2291" s="1" t="n">
        <v>45553</v>
      </c>
      <c r="C2291" s="1" t="n">
        <v>45847</v>
      </c>
      <c r="D2291" t="inlineStr">
        <is>
          <t>JÄMTLANDS LÄN</t>
        </is>
      </c>
      <c r="E2291" t="inlineStr">
        <is>
          <t>BRÄCKE</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39945-2024</t>
        </is>
      </c>
      <c r="B2292" s="1" t="n">
        <v>45553</v>
      </c>
      <c r="C2292" s="1" t="n">
        <v>45847</v>
      </c>
      <c r="D2292" t="inlineStr">
        <is>
          <t>JÄMTLANDS LÄN</t>
        </is>
      </c>
      <c r="E2292" t="inlineStr">
        <is>
          <t>BRÄCKE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39885-2024</t>
        </is>
      </c>
      <c r="B2293" s="1" t="n">
        <v>45553</v>
      </c>
      <c r="C2293" s="1" t="n">
        <v>45847</v>
      </c>
      <c r="D2293" t="inlineStr">
        <is>
          <t>JÄMTLANDS LÄN</t>
        </is>
      </c>
      <c r="E2293" t="inlineStr">
        <is>
          <t>BRÄCKE</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39883-2024</t>
        </is>
      </c>
      <c r="B2294" s="1" t="n">
        <v>45553</v>
      </c>
      <c r="C2294" s="1" t="n">
        <v>45847</v>
      </c>
      <c r="D2294" t="inlineStr">
        <is>
          <t>JÄMTLANDS LÄN</t>
        </is>
      </c>
      <c r="E2294" t="inlineStr">
        <is>
          <t>BRÄCKE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39996-2024</t>
        </is>
      </c>
      <c r="B2295" s="1" t="n">
        <v>45553</v>
      </c>
      <c r="C2295" s="1" t="n">
        <v>45847</v>
      </c>
      <c r="D2295" t="inlineStr">
        <is>
          <t>JÄMTLANDS LÄN</t>
        </is>
      </c>
      <c r="E2295" t="inlineStr">
        <is>
          <t>BRÄCKE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40218-2024</t>
        </is>
      </c>
      <c r="B2296" s="1" t="n">
        <v>45554</v>
      </c>
      <c r="C2296" s="1" t="n">
        <v>45847</v>
      </c>
      <c r="D2296" t="inlineStr">
        <is>
          <t>JÄMTLANDS LÄN</t>
        </is>
      </c>
      <c r="E2296" t="inlineStr">
        <is>
          <t>BRÄCKE</t>
        </is>
      </c>
      <c r="F2296" t="inlineStr">
        <is>
          <t>SCA</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40343-2024</t>
        </is>
      </c>
      <c r="B2297" s="1" t="n">
        <v>45555</v>
      </c>
      <c r="C2297" s="1" t="n">
        <v>45847</v>
      </c>
      <c r="D2297" t="inlineStr">
        <is>
          <t>JÄMTLANDS LÄN</t>
        </is>
      </c>
      <c r="E2297" t="inlineStr">
        <is>
          <t>BRÄCKE</t>
        </is>
      </c>
      <c r="F2297" t="inlineStr">
        <is>
          <t>SCA</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40387-2024</t>
        </is>
      </c>
      <c r="B2298" s="1" t="n">
        <v>45555</v>
      </c>
      <c r="C2298" s="1" t="n">
        <v>45847</v>
      </c>
      <c r="D2298" t="inlineStr">
        <is>
          <t>JÄMTLANDS LÄN</t>
        </is>
      </c>
      <c r="E2298" t="inlineStr">
        <is>
          <t>BRÄCKE</t>
        </is>
      </c>
      <c r="G2298" t="n">
        <v>10.9</v>
      </c>
      <c r="H2298" t="n">
        <v>0</v>
      </c>
      <c r="I2298" t="n">
        <v>0</v>
      </c>
      <c r="J2298" t="n">
        <v>0</v>
      </c>
      <c r="K2298" t="n">
        <v>0</v>
      </c>
      <c r="L2298" t="n">
        <v>0</v>
      </c>
      <c r="M2298" t="n">
        <v>0</v>
      </c>
      <c r="N2298" t="n">
        <v>0</v>
      </c>
      <c r="O2298" t="n">
        <v>0</v>
      </c>
      <c r="P2298" t="n">
        <v>0</v>
      </c>
      <c r="Q2298" t="n">
        <v>0</v>
      </c>
      <c r="R2298" s="2" t="inlineStr"/>
    </row>
    <row r="2299" ht="15" customHeight="1">
      <c r="A2299" t="inlineStr">
        <is>
          <t>A 40521-2024</t>
        </is>
      </c>
      <c r="B2299" s="1" t="n">
        <v>45555</v>
      </c>
      <c r="C2299" s="1" t="n">
        <v>45847</v>
      </c>
      <c r="D2299" t="inlineStr">
        <is>
          <t>JÄMTLANDS LÄN</t>
        </is>
      </c>
      <c r="E2299" t="inlineStr">
        <is>
          <t>BRÄCKE</t>
        </is>
      </c>
      <c r="F2299" t="inlineStr">
        <is>
          <t>SCA</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40792-2024</t>
        </is>
      </c>
      <c r="B2300" s="1" t="n">
        <v>45558</v>
      </c>
      <c r="C2300" s="1" t="n">
        <v>45847</v>
      </c>
      <c r="D2300" t="inlineStr">
        <is>
          <t>JÄMTLANDS LÄN</t>
        </is>
      </c>
      <c r="E2300" t="inlineStr">
        <is>
          <t>BRÄCKE</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40693-2024</t>
        </is>
      </c>
      <c r="B2301" s="1" t="n">
        <v>45558</v>
      </c>
      <c r="C2301" s="1" t="n">
        <v>45847</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40791-2024</t>
        </is>
      </c>
      <c r="B2302" s="1" t="n">
        <v>45558</v>
      </c>
      <c r="C2302" s="1" t="n">
        <v>45847</v>
      </c>
      <c r="D2302" t="inlineStr">
        <is>
          <t>JÄMTLANDS LÄN</t>
        </is>
      </c>
      <c r="E2302" t="inlineStr">
        <is>
          <t>BRÄCKE</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40950-2024</t>
        </is>
      </c>
      <c r="B2303" s="1" t="n">
        <v>45558</v>
      </c>
      <c r="C2303" s="1" t="n">
        <v>45847</v>
      </c>
      <c r="D2303" t="inlineStr">
        <is>
          <t>JÄMTLANDS LÄN</t>
        </is>
      </c>
      <c r="E2303" t="inlineStr">
        <is>
          <t>BRÄCKE</t>
        </is>
      </c>
      <c r="F2303" t="inlineStr">
        <is>
          <t>SCA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40971-2024</t>
        </is>
      </c>
      <c r="B2304" s="1" t="n">
        <v>45558</v>
      </c>
      <c r="C2304" s="1" t="n">
        <v>45847</v>
      </c>
      <c r="D2304" t="inlineStr">
        <is>
          <t>JÄMTLANDS LÄN</t>
        </is>
      </c>
      <c r="E2304" t="inlineStr">
        <is>
          <t>BRÄCKE</t>
        </is>
      </c>
      <c r="F2304" t="inlineStr">
        <is>
          <t>SCA</t>
        </is>
      </c>
      <c r="G2304" t="n">
        <v>15.9</v>
      </c>
      <c r="H2304" t="n">
        <v>0</v>
      </c>
      <c r="I2304" t="n">
        <v>0</v>
      </c>
      <c r="J2304" t="n">
        <v>0</v>
      </c>
      <c r="K2304" t="n">
        <v>0</v>
      </c>
      <c r="L2304" t="n">
        <v>0</v>
      </c>
      <c r="M2304" t="n">
        <v>0</v>
      </c>
      <c r="N2304" t="n">
        <v>0</v>
      </c>
      <c r="O2304" t="n">
        <v>0</v>
      </c>
      <c r="P2304" t="n">
        <v>0</v>
      </c>
      <c r="Q2304" t="n">
        <v>0</v>
      </c>
      <c r="R2304" s="2" t="inlineStr"/>
    </row>
    <row r="2305" ht="15" customHeight="1">
      <c r="A2305" t="inlineStr">
        <is>
          <t>A 40790-2024</t>
        </is>
      </c>
      <c r="B2305" s="1" t="n">
        <v>45558</v>
      </c>
      <c r="C2305" s="1" t="n">
        <v>45847</v>
      </c>
      <c r="D2305" t="inlineStr">
        <is>
          <t>JÄMTLANDS LÄN</t>
        </is>
      </c>
      <c r="E2305" t="inlineStr">
        <is>
          <t>BRÄCKE</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40951-2024</t>
        </is>
      </c>
      <c r="B2306" s="1" t="n">
        <v>45558</v>
      </c>
      <c r="C2306" s="1" t="n">
        <v>45847</v>
      </c>
      <c r="D2306" t="inlineStr">
        <is>
          <t>JÄMTLANDS LÄN</t>
        </is>
      </c>
      <c r="E2306" t="inlineStr">
        <is>
          <t>BRÄCKE</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41313-2024</t>
        </is>
      </c>
      <c r="B2307" s="1" t="n">
        <v>45559</v>
      </c>
      <c r="C2307" s="1" t="n">
        <v>45847</v>
      </c>
      <c r="D2307" t="inlineStr">
        <is>
          <t>JÄMTLANDS LÄN</t>
        </is>
      </c>
      <c r="E2307" t="inlineStr">
        <is>
          <t>BRÄCKE</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41311-2024</t>
        </is>
      </c>
      <c r="B2308" s="1" t="n">
        <v>45559</v>
      </c>
      <c r="C2308" s="1" t="n">
        <v>45847</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41315-2024</t>
        </is>
      </c>
      <c r="B2309" s="1" t="n">
        <v>45559</v>
      </c>
      <c r="C2309" s="1" t="n">
        <v>45847</v>
      </c>
      <c r="D2309" t="inlineStr">
        <is>
          <t>JÄMTLANDS LÄN</t>
        </is>
      </c>
      <c r="E2309" t="inlineStr">
        <is>
          <t>BRÄCKE</t>
        </is>
      </c>
      <c r="F2309" t="inlineStr">
        <is>
          <t>SCA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41314-2024</t>
        </is>
      </c>
      <c r="B2310" s="1" t="n">
        <v>45559</v>
      </c>
      <c r="C2310" s="1" t="n">
        <v>45847</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41552-2024</t>
        </is>
      </c>
      <c r="B2311" s="1" t="n">
        <v>45560</v>
      </c>
      <c r="C2311" s="1" t="n">
        <v>45847</v>
      </c>
      <c r="D2311" t="inlineStr">
        <is>
          <t>JÄMTLANDS LÄN</t>
        </is>
      </c>
      <c r="E2311" t="inlineStr">
        <is>
          <t>BRÄCKE</t>
        </is>
      </c>
      <c r="F2311" t="inlineStr">
        <is>
          <t>Övriga Aktiebolag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41418-2024</t>
        </is>
      </c>
      <c r="B2312" s="1" t="n">
        <v>45560</v>
      </c>
      <c r="C2312" s="1" t="n">
        <v>45847</v>
      </c>
      <c r="D2312" t="inlineStr">
        <is>
          <t>JÄMTLANDS LÄN</t>
        </is>
      </c>
      <c r="E2312" t="inlineStr">
        <is>
          <t>BRÄCKE</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41423-2024</t>
        </is>
      </c>
      <c r="B2313" s="1" t="n">
        <v>45560</v>
      </c>
      <c r="C2313" s="1" t="n">
        <v>45847</v>
      </c>
      <c r="D2313" t="inlineStr">
        <is>
          <t>JÄMTLANDS LÄN</t>
        </is>
      </c>
      <c r="E2313" t="inlineStr">
        <is>
          <t>BRÄCKE</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41450-2024</t>
        </is>
      </c>
      <c r="B2314" s="1" t="n">
        <v>45560</v>
      </c>
      <c r="C2314" s="1" t="n">
        <v>45847</v>
      </c>
      <c r="D2314" t="inlineStr">
        <is>
          <t>JÄMTLANDS LÄN</t>
        </is>
      </c>
      <c r="E2314" t="inlineStr">
        <is>
          <t>BRÄCKE</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41424-2024</t>
        </is>
      </c>
      <c r="B2315" s="1" t="n">
        <v>45560</v>
      </c>
      <c r="C2315" s="1" t="n">
        <v>45847</v>
      </c>
      <c r="D2315" t="inlineStr">
        <is>
          <t>JÄMTLANDS LÄN</t>
        </is>
      </c>
      <c r="E2315" t="inlineStr">
        <is>
          <t>BRÄCKE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41706-2024</t>
        </is>
      </c>
      <c r="B2316" s="1" t="n">
        <v>45560</v>
      </c>
      <c r="C2316" s="1" t="n">
        <v>45847</v>
      </c>
      <c r="D2316" t="inlineStr">
        <is>
          <t>JÄMTLANDS LÄN</t>
        </is>
      </c>
      <c r="E2316" t="inlineStr">
        <is>
          <t>BRÄCKE</t>
        </is>
      </c>
      <c r="F2316" t="inlineStr">
        <is>
          <t>SCA</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41773-2024</t>
        </is>
      </c>
      <c r="B2317" s="1" t="n">
        <v>45561</v>
      </c>
      <c r="C2317" s="1" t="n">
        <v>45847</v>
      </c>
      <c r="D2317" t="inlineStr">
        <is>
          <t>JÄMTLANDS LÄN</t>
        </is>
      </c>
      <c r="E2317" t="inlineStr">
        <is>
          <t>BRÄCKE</t>
        </is>
      </c>
      <c r="F2317" t="inlineStr">
        <is>
          <t>SCA</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41831-2024</t>
        </is>
      </c>
      <c r="B2318" s="1" t="n">
        <v>45561</v>
      </c>
      <c r="C2318" s="1" t="n">
        <v>45847</v>
      </c>
      <c r="D2318" t="inlineStr">
        <is>
          <t>JÄMTLANDS LÄN</t>
        </is>
      </c>
      <c r="E2318" t="inlineStr">
        <is>
          <t>BRÄCKE</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41763-2024</t>
        </is>
      </c>
      <c r="B2319" s="1" t="n">
        <v>45561</v>
      </c>
      <c r="C2319" s="1" t="n">
        <v>45847</v>
      </c>
      <c r="D2319" t="inlineStr">
        <is>
          <t>JÄMTLANDS LÄN</t>
        </is>
      </c>
      <c r="E2319" t="inlineStr">
        <is>
          <t>BRÄCKE</t>
        </is>
      </c>
      <c r="F2319" t="inlineStr">
        <is>
          <t>SCA</t>
        </is>
      </c>
      <c r="G2319" t="n">
        <v>13.9</v>
      </c>
      <c r="H2319" t="n">
        <v>0</v>
      </c>
      <c r="I2319" t="n">
        <v>0</v>
      </c>
      <c r="J2319" t="n">
        <v>0</v>
      </c>
      <c r="K2319" t="n">
        <v>0</v>
      </c>
      <c r="L2319" t="n">
        <v>0</v>
      </c>
      <c r="M2319" t="n">
        <v>0</v>
      </c>
      <c r="N2319" t="n">
        <v>0</v>
      </c>
      <c r="O2319" t="n">
        <v>0</v>
      </c>
      <c r="P2319" t="n">
        <v>0</v>
      </c>
      <c r="Q2319" t="n">
        <v>0</v>
      </c>
      <c r="R2319" s="2" t="inlineStr"/>
    </row>
    <row r="2320" ht="15" customHeight="1">
      <c r="A2320" t="inlineStr">
        <is>
          <t>A 41825-2024</t>
        </is>
      </c>
      <c r="B2320" s="1" t="n">
        <v>45561</v>
      </c>
      <c r="C2320" s="1" t="n">
        <v>45847</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41829-2024</t>
        </is>
      </c>
      <c r="B2321" s="1" t="n">
        <v>45561</v>
      </c>
      <c r="C2321" s="1" t="n">
        <v>45847</v>
      </c>
      <c r="D2321" t="inlineStr">
        <is>
          <t>JÄMTLANDS LÄN</t>
        </is>
      </c>
      <c r="E2321" t="inlineStr">
        <is>
          <t>BRÄCKE</t>
        </is>
      </c>
      <c r="F2321" t="inlineStr">
        <is>
          <t>SCA</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41869-2024</t>
        </is>
      </c>
      <c r="B2322" s="1" t="n">
        <v>45561</v>
      </c>
      <c r="C2322" s="1" t="n">
        <v>45847</v>
      </c>
      <c r="D2322" t="inlineStr">
        <is>
          <t>JÄMTLANDS LÄN</t>
        </is>
      </c>
      <c r="E2322" t="inlineStr">
        <is>
          <t>BRÄCKE</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42306-2024</t>
        </is>
      </c>
      <c r="B2323" s="1" t="n">
        <v>45562</v>
      </c>
      <c r="C2323" s="1" t="n">
        <v>45847</v>
      </c>
      <c r="D2323" t="inlineStr">
        <is>
          <t>JÄMTLANDS LÄN</t>
        </is>
      </c>
      <c r="E2323" t="inlineStr">
        <is>
          <t>BRÄCKE</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42091-2024</t>
        </is>
      </c>
      <c r="B2324" s="1" t="n">
        <v>45562</v>
      </c>
      <c r="C2324" s="1" t="n">
        <v>45847</v>
      </c>
      <c r="D2324" t="inlineStr">
        <is>
          <t>JÄMTLANDS LÄN</t>
        </is>
      </c>
      <c r="E2324" t="inlineStr">
        <is>
          <t>BRÄCKE</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42480-2024</t>
        </is>
      </c>
      <c r="B2325" s="1" t="n">
        <v>45565</v>
      </c>
      <c r="C2325" s="1" t="n">
        <v>45847</v>
      </c>
      <c r="D2325" t="inlineStr">
        <is>
          <t>JÄMTLANDS LÄN</t>
        </is>
      </c>
      <c r="E2325" t="inlineStr">
        <is>
          <t>BRÄCKE</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42719-2024</t>
        </is>
      </c>
      <c r="B2326" s="1" t="n">
        <v>45566</v>
      </c>
      <c r="C2326" s="1" t="n">
        <v>45847</v>
      </c>
      <c r="D2326" t="inlineStr">
        <is>
          <t>JÄMTLANDS LÄN</t>
        </is>
      </c>
      <c r="E2326" t="inlineStr">
        <is>
          <t>BRÄCKE</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42716-2024</t>
        </is>
      </c>
      <c r="B2327" s="1" t="n">
        <v>45566</v>
      </c>
      <c r="C2327" s="1" t="n">
        <v>45847</v>
      </c>
      <c r="D2327" t="inlineStr">
        <is>
          <t>JÄMTLANDS LÄN</t>
        </is>
      </c>
      <c r="E2327" t="inlineStr">
        <is>
          <t>BRÄCKE</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42956-2024</t>
        </is>
      </c>
      <c r="B2328" s="1" t="n">
        <v>45567</v>
      </c>
      <c r="C2328" s="1" t="n">
        <v>45847</v>
      </c>
      <c r="D2328" t="inlineStr">
        <is>
          <t>JÄMTLANDS LÄN</t>
        </is>
      </c>
      <c r="E2328" t="inlineStr">
        <is>
          <t>BRÄCKE</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42952-2024</t>
        </is>
      </c>
      <c r="B2329" s="1" t="n">
        <v>45567</v>
      </c>
      <c r="C2329" s="1" t="n">
        <v>45847</v>
      </c>
      <c r="D2329" t="inlineStr">
        <is>
          <t>JÄMTLANDS LÄN</t>
        </is>
      </c>
      <c r="E2329" t="inlineStr">
        <is>
          <t>BRÄCKE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42959-2024</t>
        </is>
      </c>
      <c r="B2330" s="1" t="n">
        <v>45567</v>
      </c>
      <c r="C2330" s="1" t="n">
        <v>45847</v>
      </c>
      <c r="D2330" t="inlineStr">
        <is>
          <t>JÄMTLANDS LÄN</t>
        </is>
      </c>
      <c r="E2330" t="inlineStr">
        <is>
          <t>BRÄCKE</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43463-2024</t>
        </is>
      </c>
      <c r="B2331" s="1" t="n">
        <v>45568</v>
      </c>
      <c r="C2331" s="1" t="n">
        <v>45847</v>
      </c>
      <c r="D2331" t="inlineStr">
        <is>
          <t>JÄMTLANDS LÄN</t>
        </is>
      </c>
      <c r="E2331" t="inlineStr">
        <is>
          <t>BRÄCKE</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43381-2024</t>
        </is>
      </c>
      <c r="B2332" s="1" t="n">
        <v>45568</v>
      </c>
      <c r="C2332" s="1" t="n">
        <v>45847</v>
      </c>
      <c r="D2332" t="inlineStr">
        <is>
          <t>JÄMTLANDS LÄN</t>
        </is>
      </c>
      <c r="E2332" t="inlineStr">
        <is>
          <t>BRÄCKE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43380-2024</t>
        </is>
      </c>
      <c r="B2333" s="1" t="n">
        <v>45568</v>
      </c>
      <c r="C2333" s="1" t="n">
        <v>45847</v>
      </c>
      <c r="D2333" t="inlineStr">
        <is>
          <t>JÄMTLANDS LÄN</t>
        </is>
      </c>
      <c r="E2333" t="inlineStr">
        <is>
          <t>BRÄCKE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43382-2024</t>
        </is>
      </c>
      <c r="B2334" s="1" t="n">
        <v>45568</v>
      </c>
      <c r="C2334" s="1" t="n">
        <v>45847</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44082-2024</t>
        </is>
      </c>
      <c r="B2335" s="1" t="n">
        <v>45572</v>
      </c>
      <c r="C2335" s="1" t="n">
        <v>45847</v>
      </c>
      <c r="D2335" t="inlineStr">
        <is>
          <t>JÄMTLANDS LÄN</t>
        </is>
      </c>
      <c r="E2335" t="inlineStr">
        <is>
          <t>BRÄCKE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44607-2024</t>
        </is>
      </c>
      <c r="B2336" s="1" t="n">
        <v>45574</v>
      </c>
      <c r="C2336" s="1" t="n">
        <v>45847</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44643-2024</t>
        </is>
      </c>
      <c r="B2337" s="1" t="n">
        <v>45574</v>
      </c>
      <c r="C2337" s="1" t="n">
        <v>45847</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44841-2024</t>
        </is>
      </c>
      <c r="B2338" s="1" t="n">
        <v>45574</v>
      </c>
      <c r="C2338" s="1" t="n">
        <v>45847</v>
      </c>
      <c r="D2338" t="inlineStr">
        <is>
          <t>JÄMTLANDS LÄN</t>
        </is>
      </c>
      <c r="E2338" t="inlineStr">
        <is>
          <t>BRÄCKE</t>
        </is>
      </c>
      <c r="F2338" t="inlineStr">
        <is>
          <t>SCA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44613-2024</t>
        </is>
      </c>
      <c r="B2339" s="1" t="n">
        <v>45574</v>
      </c>
      <c r="C2339" s="1" t="n">
        <v>45847</v>
      </c>
      <c r="D2339" t="inlineStr">
        <is>
          <t>JÄMTLANDS LÄN</t>
        </is>
      </c>
      <c r="E2339" t="inlineStr">
        <is>
          <t>BRÄCKE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44645-2024</t>
        </is>
      </c>
      <c r="B2340" s="1" t="n">
        <v>45574</v>
      </c>
      <c r="C2340" s="1" t="n">
        <v>45847</v>
      </c>
      <c r="D2340" t="inlineStr">
        <is>
          <t>JÄMTLANDS LÄN</t>
        </is>
      </c>
      <c r="E2340" t="inlineStr">
        <is>
          <t>BRÄCKE</t>
        </is>
      </c>
      <c r="F2340" t="inlineStr">
        <is>
          <t>SCA</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45204-2024</t>
        </is>
      </c>
      <c r="B2341" s="1" t="n">
        <v>45575</v>
      </c>
      <c r="C2341" s="1" t="n">
        <v>45847</v>
      </c>
      <c r="D2341" t="inlineStr">
        <is>
          <t>JÄMTLANDS LÄN</t>
        </is>
      </c>
      <c r="E2341" t="inlineStr">
        <is>
          <t>BRÄCKE</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45414-2024</t>
        </is>
      </c>
      <c r="B2342" s="1" t="n">
        <v>45576</v>
      </c>
      <c r="C2342" s="1" t="n">
        <v>45847</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45375-2024</t>
        </is>
      </c>
      <c r="B2343" s="1" t="n">
        <v>45576</v>
      </c>
      <c r="C2343" s="1" t="n">
        <v>45847</v>
      </c>
      <c r="D2343" t="inlineStr">
        <is>
          <t>JÄMTLANDS LÄN</t>
        </is>
      </c>
      <c r="E2343" t="inlineStr">
        <is>
          <t>BRÄCKE</t>
        </is>
      </c>
      <c r="F2343" t="inlineStr">
        <is>
          <t>Kommuner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45383-2024</t>
        </is>
      </c>
      <c r="B2344" s="1" t="n">
        <v>45576</v>
      </c>
      <c r="C2344" s="1" t="n">
        <v>45847</v>
      </c>
      <c r="D2344" t="inlineStr">
        <is>
          <t>JÄMTLANDS LÄN</t>
        </is>
      </c>
      <c r="E2344" t="inlineStr">
        <is>
          <t>BRÄCKE</t>
        </is>
      </c>
      <c r="F2344" t="inlineStr">
        <is>
          <t>Kommuner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45381-2024</t>
        </is>
      </c>
      <c r="B2345" s="1" t="n">
        <v>45576</v>
      </c>
      <c r="C2345" s="1" t="n">
        <v>45847</v>
      </c>
      <c r="D2345" t="inlineStr">
        <is>
          <t>JÄMTLANDS LÄN</t>
        </is>
      </c>
      <c r="E2345" t="inlineStr">
        <is>
          <t>BRÄCKE</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45758-2024</t>
        </is>
      </c>
      <c r="B2346" s="1" t="n">
        <v>45579</v>
      </c>
      <c r="C2346" s="1" t="n">
        <v>45847</v>
      </c>
      <c r="D2346" t="inlineStr">
        <is>
          <t>JÄMTLANDS LÄN</t>
        </is>
      </c>
      <c r="E2346" t="inlineStr">
        <is>
          <t>BRÄCKE</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45807-2024</t>
        </is>
      </c>
      <c r="B2347" s="1" t="n">
        <v>45579</v>
      </c>
      <c r="C2347" s="1" t="n">
        <v>45847</v>
      </c>
      <c r="D2347" t="inlineStr">
        <is>
          <t>JÄMTLANDS LÄN</t>
        </is>
      </c>
      <c r="E2347" t="inlineStr">
        <is>
          <t>BRÄCKE</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45722-2024</t>
        </is>
      </c>
      <c r="B2348" s="1" t="n">
        <v>45579</v>
      </c>
      <c r="C2348" s="1" t="n">
        <v>45847</v>
      </c>
      <c r="D2348" t="inlineStr">
        <is>
          <t>JÄMTLANDS LÄN</t>
        </is>
      </c>
      <c r="E2348" t="inlineStr">
        <is>
          <t>BRÄCKE</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45828-2024</t>
        </is>
      </c>
      <c r="B2349" s="1" t="n">
        <v>45579</v>
      </c>
      <c r="C2349" s="1" t="n">
        <v>45847</v>
      </c>
      <c r="D2349" t="inlineStr">
        <is>
          <t>JÄMTLANDS LÄN</t>
        </is>
      </c>
      <c r="E2349" t="inlineStr">
        <is>
          <t>BRÄCKE</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45939-2024</t>
        </is>
      </c>
      <c r="B2350" s="1" t="n">
        <v>45580</v>
      </c>
      <c r="C2350" s="1" t="n">
        <v>45847</v>
      </c>
      <c r="D2350" t="inlineStr">
        <is>
          <t>JÄMTLANDS LÄN</t>
        </is>
      </c>
      <c r="E2350" t="inlineStr">
        <is>
          <t>BRÄCKE</t>
        </is>
      </c>
      <c r="F2350" t="inlineStr">
        <is>
          <t>Naturvårdsverket</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45957-2024</t>
        </is>
      </c>
      <c r="B2351" s="1" t="n">
        <v>45580</v>
      </c>
      <c r="C2351" s="1" t="n">
        <v>45847</v>
      </c>
      <c r="D2351" t="inlineStr">
        <is>
          <t>JÄMTLANDS LÄN</t>
        </is>
      </c>
      <c r="E2351" t="inlineStr">
        <is>
          <t>BRÄCKE</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45906-2024</t>
        </is>
      </c>
      <c r="B2352" s="1" t="n">
        <v>45580</v>
      </c>
      <c r="C2352" s="1" t="n">
        <v>45847</v>
      </c>
      <c r="D2352" t="inlineStr">
        <is>
          <t>JÄMTLANDS LÄN</t>
        </is>
      </c>
      <c r="E2352" t="inlineStr">
        <is>
          <t>BRÄCKE</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45974-2024</t>
        </is>
      </c>
      <c r="B2353" s="1" t="n">
        <v>45580</v>
      </c>
      <c r="C2353" s="1" t="n">
        <v>45847</v>
      </c>
      <c r="D2353" t="inlineStr">
        <is>
          <t>JÄMTLANDS LÄN</t>
        </is>
      </c>
      <c r="E2353" t="inlineStr">
        <is>
          <t>BRÄCKE</t>
        </is>
      </c>
      <c r="F2353" t="inlineStr">
        <is>
          <t>Naturvårdsverket</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46595-2024</t>
        </is>
      </c>
      <c r="B2354" s="1" t="n">
        <v>45582</v>
      </c>
      <c r="C2354" s="1" t="n">
        <v>45847</v>
      </c>
      <c r="D2354" t="inlineStr">
        <is>
          <t>JÄMTLANDS LÄN</t>
        </is>
      </c>
      <c r="E2354" t="inlineStr">
        <is>
          <t>BRÄCKE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46713-2024</t>
        </is>
      </c>
      <c r="B2355" s="1" t="n">
        <v>45583</v>
      </c>
      <c r="C2355" s="1" t="n">
        <v>45847</v>
      </c>
      <c r="D2355" t="inlineStr">
        <is>
          <t>JÄMTLANDS LÄN</t>
        </is>
      </c>
      <c r="E2355" t="inlineStr">
        <is>
          <t>BRÄCKE</t>
        </is>
      </c>
      <c r="F2355" t="inlineStr">
        <is>
          <t>SCA</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46763-2024</t>
        </is>
      </c>
      <c r="B2356" s="1" t="n">
        <v>45583</v>
      </c>
      <c r="C2356" s="1" t="n">
        <v>45847</v>
      </c>
      <c r="D2356" t="inlineStr">
        <is>
          <t>JÄMTLANDS LÄN</t>
        </is>
      </c>
      <c r="E2356" t="inlineStr">
        <is>
          <t>BRÄCKE</t>
        </is>
      </c>
      <c r="F2356" t="inlineStr">
        <is>
          <t>Naturvårdsverket</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47550-2024</t>
        </is>
      </c>
      <c r="B2357" s="1" t="n">
        <v>45587</v>
      </c>
      <c r="C2357" s="1" t="n">
        <v>45847</v>
      </c>
      <c r="D2357" t="inlineStr">
        <is>
          <t>JÄMTLANDS LÄN</t>
        </is>
      </c>
      <c r="E2357" t="inlineStr">
        <is>
          <t>BRÄCKE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47747-2024</t>
        </is>
      </c>
      <c r="B2358" s="1" t="n">
        <v>45588</v>
      </c>
      <c r="C2358" s="1" t="n">
        <v>45847</v>
      </c>
      <c r="D2358" t="inlineStr">
        <is>
          <t>JÄMTLANDS LÄN</t>
        </is>
      </c>
      <c r="E2358" t="inlineStr">
        <is>
          <t>BRÄCKE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47748-2024</t>
        </is>
      </c>
      <c r="B2359" s="1" t="n">
        <v>45588</v>
      </c>
      <c r="C2359" s="1" t="n">
        <v>45847</v>
      </c>
      <c r="D2359" t="inlineStr">
        <is>
          <t>JÄMTLANDS LÄN</t>
        </is>
      </c>
      <c r="E2359" t="inlineStr">
        <is>
          <t>BRÄCKE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47729-2024</t>
        </is>
      </c>
      <c r="B2360" s="1" t="n">
        <v>45588</v>
      </c>
      <c r="C2360" s="1" t="n">
        <v>45847</v>
      </c>
      <c r="D2360" t="inlineStr">
        <is>
          <t>JÄMTLANDS LÄN</t>
        </is>
      </c>
      <c r="E2360" t="inlineStr">
        <is>
          <t>BRÄCKE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47746-2024</t>
        </is>
      </c>
      <c r="B2361" s="1" t="n">
        <v>45588</v>
      </c>
      <c r="C2361" s="1" t="n">
        <v>45847</v>
      </c>
      <c r="D2361" t="inlineStr">
        <is>
          <t>JÄMTLANDS LÄN</t>
        </is>
      </c>
      <c r="E2361" t="inlineStr">
        <is>
          <t>BRÄCKE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47845-2024</t>
        </is>
      </c>
      <c r="B2362" s="1" t="n">
        <v>45588</v>
      </c>
      <c r="C2362" s="1" t="n">
        <v>45847</v>
      </c>
      <c r="D2362" t="inlineStr">
        <is>
          <t>JÄMTLANDS LÄN</t>
        </is>
      </c>
      <c r="E2362" t="inlineStr">
        <is>
          <t>BRÄCKE</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47827-2024</t>
        </is>
      </c>
      <c r="B2363" s="1" t="n">
        <v>45588</v>
      </c>
      <c r="C2363" s="1" t="n">
        <v>45847</v>
      </c>
      <c r="D2363" t="inlineStr">
        <is>
          <t>JÄMTLANDS LÄN</t>
        </is>
      </c>
      <c r="E2363" t="inlineStr">
        <is>
          <t>BRÄCKE</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47934-2024</t>
        </is>
      </c>
      <c r="B2364" s="1" t="n">
        <v>45589</v>
      </c>
      <c r="C2364" s="1" t="n">
        <v>45847</v>
      </c>
      <c r="D2364" t="inlineStr">
        <is>
          <t>JÄMTLANDS LÄN</t>
        </is>
      </c>
      <c r="E2364" t="inlineStr">
        <is>
          <t>BRÄCKE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48211-2024</t>
        </is>
      </c>
      <c r="B2365" s="1" t="n">
        <v>45590</v>
      </c>
      <c r="C2365" s="1" t="n">
        <v>45847</v>
      </c>
      <c r="D2365" t="inlineStr">
        <is>
          <t>JÄMTLANDS LÄN</t>
        </is>
      </c>
      <c r="E2365" t="inlineStr">
        <is>
          <t>BRÄCKE</t>
        </is>
      </c>
      <c r="F2365" t="inlineStr">
        <is>
          <t>SCA</t>
        </is>
      </c>
      <c r="G2365" t="n">
        <v>1.9</v>
      </c>
      <c r="H2365" t="n">
        <v>0</v>
      </c>
      <c r="I2365" t="n">
        <v>0</v>
      </c>
      <c r="J2365" t="n">
        <v>0</v>
      </c>
      <c r="K2365" t="n">
        <v>0</v>
      </c>
      <c r="L2365" t="n">
        <v>0</v>
      </c>
      <c r="M2365" t="n">
        <v>0</v>
      </c>
      <c r="N2365" t="n">
        <v>0</v>
      </c>
      <c r="O2365" t="n">
        <v>0</v>
      </c>
      <c r="P2365" t="n">
        <v>0</v>
      </c>
      <c r="Q2365" t="n">
        <v>0</v>
      </c>
      <c r="R2365" s="2" t="inlineStr"/>
      <c r="U2365">
        <f>HYPERLINK("https://klasma.github.io/Logging_2305/knärot/A 48211-2024 karta knärot.png", "A 48211-2024")</f>
        <v/>
      </c>
      <c r="V2365">
        <f>HYPERLINK("https://klasma.github.io/Logging_2305/klagomål/A 48211-2024 FSC-klagomål.docx", "A 48211-2024")</f>
        <v/>
      </c>
      <c r="W2365">
        <f>HYPERLINK("https://klasma.github.io/Logging_2305/klagomålsmail/A 48211-2024 FSC-klagomål mail.docx", "A 48211-2024")</f>
        <v/>
      </c>
      <c r="X2365">
        <f>HYPERLINK("https://klasma.github.io/Logging_2305/tillsyn/A 48211-2024 tillsynsbegäran.docx", "A 48211-2024")</f>
        <v/>
      </c>
      <c r="Y2365">
        <f>HYPERLINK("https://klasma.github.io/Logging_2305/tillsynsmail/A 48211-2024 tillsynsbegäran mail.docx", "A 48211-2024")</f>
        <v/>
      </c>
    </row>
    <row r="2366" ht="15" customHeight="1">
      <c r="A2366" t="inlineStr">
        <is>
          <t>A 48416-2024</t>
        </is>
      </c>
      <c r="B2366" s="1" t="n">
        <v>45590</v>
      </c>
      <c r="C2366" s="1" t="n">
        <v>45847</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48342-2024</t>
        </is>
      </c>
      <c r="B2367" s="1" t="n">
        <v>45590</v>
      </c>
      <c r="C2367" s="1" t="n">
        <v>45847</v>
      </c>
      <c r="D2367" t="inlineStr">
        <is>
          <t>JÄMTLANDS LÄN</t>
        </is>
      </c>
      <c r="E2367" t="inlineStr">
        <is>
          <t>BRÄCKE</t>
        </is>
      </c>
      <c r="F2367" t="inlineStr">
        <is>
          <t>SCA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48439-2024</t>
        </is>
      </c>
      <c r="B2368" s="1" t="n">
        <v>45590</v>
      </c>
      <c r="C2368" s="1" t="n">
        <v>45847</v>
      </c>
      <c r="D2368" t="inlineStr">
        <is>
          <t>JÄMTLANDS LÄN</t>
        </is>
      </c>
      <c r="E2368" t="inlineStr">
        <is>
          <t>BRÄCKE</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48398-2024</t>
        </is>
      </c>
      <c r="B2369" s="1" t="n">
        <v>45590</v>
      </c>
      <c r="C2369" s="1" t="n">
        <v>45847</v>
      </c>
      <c r="D2369" t="inlineStr">
        <is>
          <t>JÄMTLANDS LÄN</t>
        </is>
      </c>
      <c r="E2369" t="inlineStr">
        <is>
          <t>BRÄCKE</t>
        </is>
      </c>
      <c r="F2369" t="inlineStr">
        <is>
          <t>SCA</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48189-2024</t>
        </is>
      </c>
      <c r="B2370" s="1" t="n">
        <v>45590</v>
      </c>
      <c r="C2370" s="1" t="n">
        <v>45847</v>
      </c>
      <c r="D2370" t="inlineStr">
        <is>
          <t>JÄMTLANDS LÄN</t>
        </is>
      </c>
      <c r="E2370" t="inlineStr">
        <is>
          <t>BRÄCKE</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48440-2024</t>
        </is>
      </c>
      <c r="B2371" s="1" t="n">
        <v>45590</v>
      </c>
      <c r="C2371" s="1" t="n">
        <v>45847</v>
      </c>
      <c r="D2371" t="inlineStr">
        <is>
          <t>JÄMTLANDS LÄN</t>
        </is>
      </c>
      <c r="E2371" t="inlineStr">
        <is>
          <t>BRÄCKE</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48784-2024</t>
        </is>
      </c>
      <c r="B2372" s="1" t="n">
        <v>45593</v>
      </c>
      <c r="C2372" s="1" t="n">
        <v>45847</v>
      </c>
      <c r="D2372" t="inlineStr">
        <is>
          <t>JÄMTLANDS LÄN</t>
        </is>
      </c>
      <c r="E2372" t="inlineStr">
        <is>
          <t>BRÄCKE</t>
        </is>
      </c>
      <c r="F2372" t="inlineStr">
        <is>
          <t>SCA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48554-2024</t>
        </is>
      </c>
      <c r="B2373" s="1" t="n">
        <v>45593</v>
      </c>
      <c r="C2373" s="1" t="n">
        <v>45847</v>
      </c>
      <c r="D2373" t="inlineStr">
        <is>
          <t>JÄMTLANDS LÄN</t>
        </is>
      </c>
      <c r="E2373" t="inlineStr">
        <is>
          <t>BRÄCKE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49032-2024</t>
        </is>
      </c>
      <c r="B2374" s="1" t="n">
        <v>45594</v>
      </c>
      <c r="C2374" s="1" t="n">
        <v>45847</v>
      </c>
      <c r="D2374" t="inlineStr">
        <is>
          <t>JÄMTLANDS LÄN</t>
        </is>
      </c>
      <c r="E2374" t="inlineStr">
        <is>
          <t>BRÄCKE</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49097-2024</t>
        </is>
      </c>
      <c r="B2375" s="1" t="n">
        <v>45594</v>
      </c>
      <c r="C2375" s="1" t="n">
        <v>45847</v>
      </c>
      <c r="D2375" t="inlineStr">
        <is>
          <t>JÄMTLANDS LÄN</t>
        </is>
      </c>
      <c r="E2375" t="inlineStr">
        <is>
          <t>BRÄCKE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49185-2024</t>
        </is>
      </c>
      <c r="B2376" s="1" t="n">
        <v>45595</v>
      </c>
      <c r="C2376" s="1" t="n">
        <v>45847</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49189-2024</t>
        </is>
      </c>
      <c r="B2377" s="1" t="n">
        <v>45595</v>
      </c>
      <c r="C2377" s="1" t="n">
        <v>45847</v>
      </c>
      <c r="D2377" t="inlineStr">
        <is>
          <t>JÄMTLANDS LÄN</t>
        </is>
      </c>
      <c r="E2377" t="inlineStr">
        <is>
          <t>BRÄCKE</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49339-2024</t>
        </is>
      </c>
      <c r="B2378" s="1" t="n">
        <v>45595</v>
      </c>
      <c r="C2378" s="1" t="n">
        <v>45847</v>
      </c>
      <c r="D2378" t="inlineStr">
        <is>
          <t>JÄMTLANDS LÄN</t>
        </is>
      </c>
      <c r="E2378" t="inlineStr">
        <is>
          <t>BRÄCKE</t>
        </is>
      </c>
      <c r="F2378" t="inlineStr">
        <is>
          <t>SCA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49338-2024</t>
        </is>
      </c>
      <c r="B2379" s="1" t="n">
        <v>45595</v>
      </c>
      <c r="C2379" s="1" t="n">
        <v>45847</v>
      </c>
      <c r="D2379" t="inlineStr">
        <is>
          <t>JÄMTLANDS LÄN</t>
        </is>
      </c>
      <c r="E2379" t="inlineStr">
        <is>
          <t>BRÄCKE</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49398-2024</t>
        </is>
      </c>
      <c r="B2380" s="1" t="n">
        <v>45595</v>
      </c>
      <c r="C2380" s="1" t="n">
        <v>45847</v>
      </c>
      <c r="D2380" t="inlineStr">
        <is>
          <t>JÄMTLANDS LÄN</t>
        </is>
      </c>
      <c r="E2380" t="inlineStr">
        <is>
          <t>BRÄCKE</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49399-2024</t>
        </is>
      </c>
      <c r="B2381" s="1" t="n">
        <v>45595</v>
      </c>
      <c r="C2381" s="1" t="n">
        <v>45847</v>
      </c>
      <c r="D2381" t="inlineStr">
        <is>
          <t>JÄMTLANDS LÄN</t>
        </is>
      </c>
      <c r="E2381" t="inlineStr">
        <is>
          <t>BRÄCKE</t>
        </is>
      </c>
      <c r="F2381" t="inlineStr">
        <is>
          <t>SCA</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49291-2024</t>
        </is>
      </c>
      <c r="B2382" s="1" t="n">
        <v>45595</v>
      </c>
      <c r="C2382" s="1" t="n">
        <v>45847</v>
      </c>
      <c r="D2382" t="inlineStr">
        <is>
          <t>JÄMTLANDS LÄN</t>
        </is>
      </c>
      <c r="E2382" t="inlineStr">
        <is>
          <t>BRÄCKE</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49400-2024</t>
        </is>
      </c>
      <c r="B2383" s="1" t="n">
        <v>45595</v>
      </c>
      <c r="C2383" s="1" t="n">
        <v>45847</v>
      </c>
      <c r="D2383" t="inlineStr">
        <is>
          <t>JÄMTLANDS LÄN</t>
        </is>
      </c>
      <c r="E2383" t="inlineStr">
        <is>
          <t>BRÄCKE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49307-2024</t>
        </is>
      </c>
      <c r="B2384" s="1" t="n">
        <v>45595</v>
      </c>
      <c r="C2384" s="1" t="n">
        <v>45847</v>
      </c>
      <c r="D2384" t="inlineStr">
        <is>
          <t>JÄMTLANDS LÄN</t>
        </is>
      </c>
      <c r="E2384" t="inlineStr">
        <is>
          <t>BRÄCKE</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49712-2024</t>
        </is>
      </c>
      <c r="B2385" s="1" t="n">
        <v>45596</v>
      </c>
      <c r="C2385" s="1" t="n">
        <v>45847</v>
      </c>
      <c r="D2385" t="inlineStr">
        <is>
          <t>JÄMTLANDS LÄN</t>
        </is>
      </c>
      <c r="E2385" t="inlineStr">
        <is>
          <t>BRÄCKE</t>
        </is>
      </c>
      <c r="F2385" t="inlineStr">
        <is>
          <t>Naturvårdsverket</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49709-2024</t>
        </is>
      </c>
      <c r="B2386" s="1" t="n">
        <v>45596</v>
      </c>
      <c r="C2386" s="1" t="n">
        <v>45847</v>
      </c>
      <c r="D2386" t="inlineStr">
        <is>
          <t>JÄMTLANDS LÄN</t>
        </is>
      </c>
      <c r="E2386" t="inlineStr">
        <is>
          <t>BRÄCKE</t>
        </is>
      </c>
      <c r="F2386" t="inlineStr">
        <is>
          <t>SCA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49721-2024</t>
        </is>
      </c>
      <c r="B2387" s="1" t="n">
        <v>45596</v>
      </c>
      <c r="C2387" s="1" t="n">
        <v>45847</v>
      </c>
      <c r="D2387" t="inlineStr">
        <is>
          <t>JÄMTLANDS LÄN</t>
        </is>
      </c>
      <c r="E2387" t="inlineStr">
        <is>
          <t>BRÄCKE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49526-2024</t>
        </is>
      </c>
      <c r="B2388" s="1" t="n">
        <v>45596</v>
      </c>
      <c r="C2388" s="1" t="n">
        <v>45847</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49707-2024</t>
        </is>
      </c>
      <c r="B2389" s="1" t="n">
        <v>45596</v>
      </c>
      <c r="C2389" s="1" t="n">
        <v>45847</v>
      </c>
      <c r="D2389" t="inlineStr">
        <is>
          <t>JÄMTLANDS LÄN</t>
        </is>
      </c>
      <c r="E2389" t="inlineStr">
        <is>
          <t>BRÄCKE</t>
        </is>
      </c>
      <c r="F2389" t="inlineStr">
        <is>
          <t>SCA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49591-2024</t>
        </is>
      </c>
      <c r="B2390" s="1" t="n">
        <v>45596</v>
      </c>
      <c r="C2390" s="1" t="n">
        <v>45847</v>
      </c>
      <c r="D2390" t="inlineStr">
        <is>
          <t>JÄMTLANDS LÄN</t>
        </is>
      </c>
      <c r="E2390" t="inlineStr">
        <is>
          <t>BRÄCKE</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49527-2024</t>
        </is>
      </c>
      <c r="B2391" s="1" t="n">
        <v>45596</v>
      </c>
      <c r="C2391" s="1" t="n">
        <v>45847</v>
      </c>
      <c r="D2391" t="inlineStr">
        <is>
          <t>JÄMTLANDS LÄN</t>
        </is>
      </c>
      <c r="E2391" t="inlineStr">
        <is>
          <t>BRÄCKE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49951-2024</t>
        </is>
      </c>
      <c r="B2392" s="1" t="n">
        <v>45597</v>
      </c>
      <c r="C2392" s="1" t="n">
        <v>45847</v>
      </c>
      <c r="D2392" t="inlineStr">
        <is>
          <t>JÄMTLANDS LÄN</t>
        </is>
      </c>
      <c r="E2392" t="inlineStr">
        <is>
          <t>BRÄCKE</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50522-2024</t>
        </is>
      </c>
      <c r="B2393" s="1" t="n">
        <v>45601</v>
      </c>
      <c r="C2393" s="1" t="n">
        <v>45847</v>
      </c>
      <c r="D2393" t="inlineStr">
        <is>
          <t>JÄMTLANDS LÄN</t>
        </is>
      </c>
      <c r="E2393" t="inlineStr">
        <is>
          <t>BRÄCKE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50520-2024</t>
        </is>
      </c>
      <c r="B2394" s="1" t="n">
        <v>45601</v>
      </c>
      <c r="C2394" s="1" t="n">
        <v>45847</v>
      </c>
      <c r="D2394" t="inlineStr">
        <is>
          <t>JÄMTLANDS LÄN</t>
        </is>
      </c>
      <c r="E2394" t="inlineStr">
        <is>
          <t>BRÄCKE</t>
        </is>
      </c>
      <c r="F2394" t="inlineStr">
        <is>
          <t>SCA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50591-2024</t>
        </is>
      </c>
      <c r="B2395" s="1" t="n">
        <v>45601</v>
      </c>
      <c r="C2395" s="1" t="n">
        <v>45847</v>
      </c>
      <c r="D2395" t="inlineStr">
        <is>
          <t>JÄMTLANDS LÄN</t>
        </is>
      </c>
      <c r="E2395" t="inlineStr">
        <is>
          <t>BRÄCKE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50946-2024</t>
        </is>
      </c>
      <c r="B2396" s="1" t="n">
        <v>45602</v>
      </c>
      <c r="C2396" s="1" t="n">
        <v>45847</v>
      </c>
      <c r="D2396" t="inlineStr">
        <is>
          <t>JÄMTLANDS LÄN</t>
        </is>
      </c>
      <c r="E2396" t="inlineStr">
        <is>
          <t>BRÄCKE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50813-2024</t>
        </is>
      </c>
      <c r="B2397" s="1" t="n">
        <v>45602</v>
      </c>
      <c r="C2397" s="1" t="n">
        <v>45847</v>
      </c>
      <c r="D2397" t="inlineStr">
        <is>
          <t>JÄMTLANDS LÄN</t>
        </is>
      </c>
      <c r="E2397" t="inlineStr">
        <is>
          <t>BRÄCKE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51195-2024</t>
        </is>
      </c>
      <c r="B2398" s="1" t="n">
        <v>45603</v>
      </c>
      <c r="C2398" s="1" t="n">
        <v>45847</v>
      </c>
      <c r="D2398" t="inlineStr">
        <is>
          <t>JÄMTLANDS LÄN</t>
        </is>
      </c>
      <c r="E2398" t="inlineStr">
        <is>
          <t>BRÄCKE</t>
        </is>
      </c>
      <c r="F2398" t="inlineStr">
        <is>
          <t>SCA</t>
        </is>
      </c>
      <c r="G2398" t="n">
        <v>17.4</v>
      </c>
      <c r="H2398" t="n">
        <v>0</v>
      </c>
      <c r="I2398" t="n">
        <v>0</v>
      </c>
      <c r="J2398" t="n">
        <v>0</v>
      </c>
      <c r="K2398" t="n">
        <v>0</v>
      </c>
      <c r="L2398" t="n">
        <v>0</v>
      </c>
      <c r="M2398" t="n">
        <v>0</v>
      </c>
      <c r="N2398" t="n">
        <v>0</v>
      </c>
      <c r="O2398" t="n">
        <v>0</v>
      </c>
      <c r="P2398" t="n">
        <v>0</v>
      </c>
      <c r="Q2398" t="n">
        <v>0</v>
      </c>
      <c r="R2398" s="2" t="inlineStr"/>
    </row>
    <row r="2399" ht="15" customHeight="1">
      <c r="A2399" t="inlineStr">
        <is>
          <t>A 51068-2024</t>
        </is>
      </c>
      <c r="B2399" s="1" t="n">
        <v>45603</v>
      </c>
      <c r="C2399" s="1" t="n">
        <v>45847</v>
      </c>
      <c r="D2399" t="inlineStr">
        <is>
          <t>JÄMTLANDS LÄN</t>
        </is>
      </c>
      <c r="E2399" t="inlineStr">
        <is>
          <t>BRÄCKE</t>
        </is>
      </c>
      <c r="F2399" t="inlineStr">
        <is>
          <t>SCA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51378-2024</t>
        </is>
      </c>
      <c r="B2400" s="1" t="n">
        <v>45604</v>
      </c>
      <c r="C2400" s="1" t="n">
        <v>45847</v>
      </c>
      <c r="D2400" t="inlineStr">
        <is>
          <t>JÄMTLANDS LÄN</t>
        </is>
      </c>
      <c r="E2400" t="inlineStr">
        <is>
          <t>BRÄCKE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51416-2024</t>
        </is>
      </c>
      <c r="B2401" s="1" t="n">
        <v>45604</v>
      </c>
      <c r="C2401" s="1" t="n">
        <v>45847</v>
      </c>
      <c r="D2401" t="inlineStr">
        <is>
          <t>JÄMTLANDS LÄN</t>
        </is>
      </c>
      <c r="E2401" t="inlineStr">
        <is>
          <t>BRÄCKE</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51428-2024</t>
        </is>
      </c>
      <c r="B2402" s="1" t="n">
        <v>45604</v>
      </c>
      <c r="C2402" s="1" t="n">
        <v>45847</v>
      </c>
      <c r="D2402" t="inlineStr">
        <is>
          <t>JÄMTLANDS LÄN</t>
        </is>
      </c>
      <c r="E2402" t="inlineStr">
        <is>
          <t>BRÄCKE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51540-2024</t>
        </is>
      </c>
      <c r="B2403" s="1" t="n">
        <v>45604</v>
      </c>
      <c r="C2403" s="1" t="n">
        <v>45847</v>
      </c>
      <c r="D2403" t="inlineStr">
        <is>
          <t>JÄMTLANDS LÄN</t>
        </is>
      </c>
      <c r="E2403" t="inlineStr">
        <is>
          <t>BRÄCKE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51913-2024</t>
        </is>
      </c>
      <c r="B2404" s="1" t="n">
        <v>45607</v>
      </c>
      <c r="C2404" s="1" t="n">
        <v>45847</v>
      </c>
      <c r="D2404" t="inlineStr">
        <is>
          <t>JÄMTLANDS LÄN</t>
        </is>
      </c>
      <c r="E2404" t="inlineStr">
        <is>
          <t>BRÄCKE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52229-2024</t>
        </is>
      </c>
      <c r="B2405" s="1" t="n">
        <v>45608</v>
      </c>
      <c r="C2405" s="1" t="n">
        <v>45847</v>
      </c>
      <c r="D2405" t="inlineStr">
        <is>
          <t>JÄMTLANDS LÄN</t>
        </is>
      </c>
      <c r="E2405" t="inlineStr">
        <is>
          <t>BRÄCKE</t>
        </is>
      </c>
      <c r="F2405" t="inlineStr">
        <is>
          <t>SCA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52227-2024</t>
        </is>
      </c>
      <c r="B2406" s="1" t="n">
        <v>45608</v>
      </c>
      <c r="C2406" s="1" t="n">
        <v>45847</v>
      </c>
      <c r="D2406" t="inlineStr">
        <is>
          <t>JÄMTLANDS LÄN</t>
        </is>
      </c>
      <c r="E2406" t="inlineStr">
        <is>
          <t>BRÄCKE</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52529-2024</t>
        </is>
      </c>
      <c r="B2407" s="1" t="n">
        <v>45609</v>
      </c>
      <c r="C2407" s="1" t="n">
        <v>45847</v>
      </c>
      <c r="D2407" t="inlineStr">
        <is>
          <t>JÄMTLANDS LÄN</t>
        </is>
      </c>
      <c r="E2407" t="inlineStr">
        <is>
          <t>BRÄCKE</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52610-2024</t>
        </is>
      </c>
      <c r="B2408" s="1" t="n">
        <v>45609</v>
      </c>
      <c r="C2408" s="1" t="n">
        <v>45847</v>
      </c>
      <c r="D2408" t="inlineStr">
        <is>
          <t>JÄMTLANDS LÄN</t>
        </is>
      </c>
      <c r="E2408" t="inlineStr">
        <is>
          <t>BRÄCKE</t>
        </is>
      </c>
      <c r="G2408" t="n">
        <v>16.7</v>
      </c>
      <c r="H2408" t="n">
        <v>0</v>
      </c>
      <c r="I2408" t="n">
        <v>0</v>
      </c>
      <c r="J2408" t="n">
        <v>0</v>
      </c>
      <c r="K2408" t="n">
        <v>0</v>
      </c>
      <c r="L2408" t="n">
        <v>0</v>
      </c>
      <c r="M2408" t="n">
        <v>0</v>
      </c>
      <c r="N2408" t="n">
        <v>0</v>
      </c>
      <c r="O2408" t="n">
        <v>0</v>
      </c>
      <c r="P2408" t="n">
        <v>0</v>
      </c>
      <c r="Q2408" t="n">
        <v>0</v>
      </c>
      <c r="R2408" s="2" t="inlineStr"/>
    </row>
    <row r="2409" ht="15" customHeight="1">
      <c r="A2409" t="inlineStr">
        <is>
          <t>A 53152-2024</t>
        </is>
      </c>
      <c r="B2409" s="1" t="n">
        <v>45611</v>
      </c>
      <c r="C2409" s="1" t="n">
        <v>45847</v>
      </c>
      <c r="D2409" t="inlineStr">
        <is>
          <t>JÄMTLANDS LÄN</t>
        </is>
      </c>
      <c r="E2409" t="inlineStr">
        <is>
          <t>BRÄCKE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53016-2024</t>
        </is>
      </c>
      <c r="B2410" s="1" t="n">
        <v>45611</v>
      </c>
      <c r="C2410" s="1" t="n">
        <v>45847</v>
      </c>
      <c r="D2410" t="inlineStr">
        <is>
          <t>JÄMTLANDS LÄN</t>
        </is>
      </c>
      <c r="E2410" t="inlineStr">
        <is>
          <t>BRÄCKE</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53200-2024</t>
        </is>
      </c>
      <c r="B2411" s="1" t="n">
        <v>45612</v>
      </c>
      <c r="C2411" s="1" t="n">
        <v>45847</v>
      </c>
      <c r="D2411" t="inlineStr">
        <is>
          <t>JÄMTLANDS LÄN</t>
        </is>
      </c>
      <c r="E2411" t="inlineStr">
        <is>
          <t>BRÄCKE</t>
        </is>
      </c>
      <c r="F2411" t="inlineStr">
        <is>
          <t>SCA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53273-2024</t>
        </is>
      </c>
      <c r="B2412" s="1" t="n">
        <v>45614</v>
      </c>
      <c r="C2412" s="1" t="n">
        <v>45847</v>
      </c>
      <c r="D2412" t="inlineStr">
        <is>
          <t>JÄMTLANDS LÄN</t>
        </is>
      </c>
      <c r="E2412" t="inlineStr">
        <is>
          <t>BRÄCKE</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53578-2024</t>
        </is>
      </c>
      <c r="B2413" s="1" t="n">
        <v>45614</v>
      </c>
      <c r="C2413" s="1" t="n">
        <v>45847</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53608-2024</t>
        </is>
      </c>
      <c r="B2414" s="1" t="n">
        <v>45614</v>
      </c>
      <c r="C2414" s="1" t="n">
        <v>45847</v>
      </c>
      <c r="D2414" t="inlineStr">
        <is>
          <t>JÄMTLANDS LÄN</t>
        </is>
      </c>
      <c r="E2414" t="inlineStr">
        <is>
          <t>BRÄCKE</t>
        </is>
      </c>
      <c r="F2414" t="inlineStr">
        <is>
          <t>SCA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53560-2024</t>
        </is>
      </c>
      <c r="B2415" s="1" t="n">
        <v>45614</v>
      </c>
      <c r="C2415" s="1" t="n">
        <v>45847</v>
      </c>
      <c r="D2415" t="inlineStr">
        <is>
          <t>JÄMTLANDS LÄN</t>
        </is>
      </c>
      <c r="E2415" t="inlineStr">
        <is>
          <t>BRÄCKE</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53604-2024</t>
        </is>
      </c>
      <c r="B2416" s="1" t="n">
        <v>45614</v>
      </c>
      <c r="C2416" s="1" t="n">
        <v>45847</v>
      </c>
      <c r="D2416" t="inlineStr">
        <is>
          <t>JÄMTLANDS LÄN</t>
        </is>
      </c>
      <c r="E2416" t="inlineStr">
        <is>
          <t>BRÄCKE</t>
        </is>
      </c>
      <c r="F2416" t="inlineStr">
        <is>
          <t>SCA</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53260-2024</t>
        </is>
      </c>
      <c r="B2417" s="1" t="n">
        <v>45614</v>
      </c>
      <c r="C2417" s="1" t="n">
        <v>45847</v>
      </c>
      <c r="D2417" t="inlineStr">
        <is>
          <t>JÄMTLANDS LÄN</t>
        </is>
      </c>
      <c r="E2417" t="inlineStr">
        <is>
          <t>BRÄCKE</t>
        </is>
      </c>
      <c r="F2417" t="inlineStr">
        <is>
          <t>SCA</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53696-2024</t>
        </is>
      </c>
      <c r="B2418" s="1" t="n">
        <v>45615</v>
      </c>
      <c r="C2418" s="1" t="n">
        <v>45847</v>
      </c>
      <c r="D2418" t="inlineStr">
        <is>
          <t>JÄMTLANDS LÄN</t>
        </is>
      </c>
      <c r="E2418" t="inlineStr">
        <is>
          <t>BRÄCKE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53724-2024</t>
        </is>
      </c>
      <c r="B2419" s="1" t="n">
        <v>45615</v>
      </c>
      <c r="C2419" s="1" t="n">
        <v>45847</v>
      </c>
      <c r="D2419" t="inlineStr">
        <is>
          <t>JÄMTLANDS LÄN</t>
        </is>
      </c>
      <c r="E2419" t="inlineStr">
        <is>
          <t>BRÄCKE</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53806-2024</t>
        </is>
      </c>
      <c r="B2420" s="1" t="n">
        <v>45615</v>
      </c>
      <c r="C2420" s="1" t="n">
        <v>45847</v>
      </c>
      <c r="D2420" t="inlineStr">
        <is>
          <t>JÄMTLANDS LÄN</t>
        </is>
      </c>
      <c r="E2420" t="inlineStr">
        <is>
          <t>BRÄCKE</t>
        </is>
      </c>
      <c r="F2420" t="inlineStr">
        <is>
          <t>SCA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54479-2024</t>
        </is>
      </c>
      <c r="B2421" s="1" t="n">
        <v>45617</v>
      </c>
      <c r="C2421" s="1" t="n">
        <v>45847</v>
      </c>
      <c r="D2421" t="inlineStr">
        <is>
          <t>JÄMTLANDS LÄN</t>
        </is>
      </c>
      <c r="E2421" t="inlineStr">
        <is>
          <t>BRÄCKE</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54863-2024</t>
        </is>
      </c>
      <c r="B2422" s="1" t="n">
        <v>45618</v>
      </c>
      <c r="C2422" s="1" t="n">
        <v>45847</v>
      </c>
      <c r="D2422" t="inlineStr">
        <is>
          <t>JÄMTLANDS LÄN</t>
        </is>
      </c>
      <c r="E2422" t="inlineStr">
        <is>
          <t>BRÄCKE</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54865-2024</t>
        </is>
      </c>
      <c r="B2423" s="1" t="n">
        <v>45618</v>
      </c>
      <c r="C2423" s="1" t="n">
        <v>45847</v>
      </c>
      <c r="D2423" t="inlineStr">
        <is>
          <t>JÄMTLANDS LÄN</t>
        </is>
      </c>
      <c r="E2423" t="inlineStr">
        <is>
          <t>BRÄCKE</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55247-2024</t>
        </is>
      </c>
      <c r="B2424" s="1" t="n">
        <v>45621</v>
      </c>
      <c r="C2424" s="1" t="n">
        <v>45847</v>
      </c>
      <c r="D2424" t="inlineStr">
        <is>
          <t>JÄMTLANDS LÄN</t>
        </is>
      </c>
      <c r="E2424" t="inlineStr">
        <is>
          <t>BRÄCKE</t>
        </is>
      </c>
      <c r="F2424" t="inlineStr">
        <is>
          <t>SCA</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55221-2024</t>
        </is>
      </c>
      <c r="B2425" s="1" t="n">
        <v>45621</v>
      </c>
      <c r="C2425" s="1" t="n">
        <v>45847</v>
      </c>
      <c r="D2425" t="inlineStr">
        <is>
          <t>JÄMTLANDS LÄN</t>
        </is>
      </c>
      <c r="E2425" t="inlineStr">
        <is>
          <t>BRÄCKE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55436-2024</t>
        </is>
      </c>
      <c r="B2426" s="1" t="n">
        <v>45622</v>
      </c>
      <c r="C2426" s="1" t="n">
        <v>45847</v>
      </c>
      <c r="D2426" t="inlineStr">
        <is>
          <t>JÄMTLANDS LÄN</t>
        </is>
      </c>
      <c r="E2426" t="inlineStr">
        <is>
          <t>BRÄCKE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55506-2024</t>
        </is>
      </c>
      <c r="B2427" s="1" t="n">
        <v>45622</v>
      </c>
      <c r="C2427" s="1" t="n">
        <v>45847</v>
      </c>
      <c r="D2427" t="inlineStr">
        <is>
          <t>JÄMTLANDS LÄN</t>
        </is>
      </c>
      <c r="E2427" t="inlineStr">
        <is>
          <t>BRÄCKE</t>
        </is>
      </c>
      <c r="G2427" t="n">
        <v>10.8</v>
      </c>
      <c r="H2427" t="n">
        <v>0</v>
      </c>
      <c r="I2427" t="n">
        <v>0</v>
      </c>
      <c r="J2427" t="n">
        <v>0</v>
      </c>
      <c r="K2427" t="n">
        <v>0</v>
      </c>
      <c r="L2427" t="n">
        <v>0</v>
      </c>
      <c r="M2427" t="n">
        <v>0</v>
      </c>
      <c r="N2427" t="n">
        <v>0</v>
      </c>
      <c r="O2427" t="n">
        <v>0</v>
      </c>
      <c r="P2427" t="n">
        <v>0</v>
      </c>
      <c r="Q2427" t="n">
        <v>0</v>
      </c>
      <c r="R2427" s="2" t="inlineStr"/>
    </row>
    <row r="2428" ht="15" customHeight="1">
      <c r="A2428" t="inlineStr">
        <is>
          <t>A 55478-2024</t>
        </is>
      </c>
      <c r="B2428" s="1" t="n">
        <v>45622</v>
      </c>
      <c r="C2428" s="1" t="n">
        <v>45847</v>
      </c>
      <c r="D2428" t="inlineStr">
        <is>
          <t>JÄMTLANDS LÄN</t>
        </is>
      </c>
      <c r="E2428" t="inlineStr">
        <is>
          <t>BRÄCKE</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55621-2024</t>
        </is>
      </c>
      <c r="B2429" s="1" t="n">
        <v>45622</v>
      </c>
      <c r="C2429" s="1" t="n">
        <v>45847</v>
      </c>
      <c r="D2429" t="inlineStr">
        <is>
          <t>JÄMTLANDS LÄN</t>
        </is>
      </c>
      <c r="E2429" t="inlineStr">
        <is>
          <t>BRÄCKE</t>
        </is>
      </c>
      <c r="F2429" t="inlineStr">
        <is>
          <t>SCA</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55468-2024</t>
        </is>
      </c>
      <c r="B2430" s="1" t="n">
        <v>45622</v>
      </c>
      <c r="C2430" s="1" t="n">
        <v>45847</v>
      </c>
      <c r="D2430" t="inlineStr">
        <is>
          <t>JÄMTLANDS LÄN</t>
        </is>
      </c>
      <c r="E2430" t="inlineStr">
        <is>
          <t>BRÄCKE</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55791-2024</t>
        </is>
      </c>
      <c r="B2431" s="1" t="n">
        <v>45623</v>
      </c>
      <c r="C2431" s="1" t="n">
        <v>45847</v>
      </c>
      <c r="D2431" t="inlineStr">
        <is>
          <t>JÄMTLANDS LÄN</t>
        </is>
      </c>
      <c r="E2431" t="inlineStr">
        <is>
          <t>BRÄCKE</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55977-2024</t>
        </is>
      </c>
      <c r="B2432" s="1" t="n">
        <v>45623</v>
      </c>
      <c r="C2432" s="1" t="n">
        <v>45847</v>
      </c>
      <c r="D2432" t="inlineStr">
        <is>
          <t>JÄMTLANDS LÄN</t>
        </is>
      </c>
      <c r="E2432" t="inlineStr">
        <is>
          <t>BRÄCKE</t>
        </is>
      </c>
      <c r="F2432" t="inlineStr">
        <is>
          <t>SCA</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55976-2024</t>
        </is>
      </c>
      <c r="B2433" s="1" t="n">
        <v>45623</v>
      </c>
      <c r="C2433" s="1" t="n">
        <v>45847</v>
      </c>
      <c r="D2433" t="inlineStr">
        <is>
          <t>JÄMTLANDS LÄN</t>
        </is>
      </c>
      <c r="E2433" t="inlineStr">
        <is>
          <t>BRÄCKE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55997-2024</t>
        </is>
      </c>
      <c r="B2434" s="1" t="n">
        <v>45623</v>
      </c>
      <c r="C2434" s="1" t="n">
        <v>45847</v>
      </c>
      <c r="D2434" t="inlineStr">
        <is>
          <t>JÄMTLANDS LÄN</t>
        </is>
      </c>
      <c r="E2434" t="inlineStr">
        <is>
          <t>BRÄCKE</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56235-2024</t>
        </is>
      </c>
      <c r="B2435" s="1" t="n">
        <v>45624</v>
      </c>
      <c r="C2435" s="1" t="n">
        <v>45847</v>
      </c>
      <c r="D2435" t="inlineStr">
        <is>
          <t>JÄMTLANDS LÄN</t>
        </is>
      </c>
      <c r="E2435" t="inlineStr">
        <is>
          <t>BRÄCKE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56047-2024</t>
        </is>
      </c>
      <c r="B2436" s="1" t="n">
        <v>45624</v>
      </c>
      <c r="C2436" s="1" t="n">
        <v>45847</v>
      </c>
      <c r="D2436" t="inlineStr">
        <is>
          <t>JÄMTLANDS LÄN</t>
        </is>
      </c>
      <c r="E2436" t="inlineStr">
        <is>
          <t>BRÄCKE</t>
        </is>
      </c>
      <c r="F2436" t="inlineStr">
        <is>
          <t>SCA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56429-2024</t>
        </is>
      </c>
      <c r="B2437" s="1" t="n">
        <v>45625</v>
      </c>
      <c r="C2437" s="1" t="n">
        <v>45847</v>
      </c>
      <c r="D2437" t="inlineStr">
        <is>
          <t>JÄMTLANDS LÄN</t>
        </is>
      </c>
      <c r="E2437" t="inlineStr">
        <is>
          <t>BRÄCKE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56493-2024</t>
        </is>
      </c>
      <c r="B2438" s="1" t="n">
        <v>45625</v>
      </c>
      <c r="C2438" s="1" t="n">
        <v>45847</v>
      </c>
      <c r="D2438" t="inlineStr">
        <is>
          <t>JÄMTLANDS LÄN</t>
        </is>
      </c>
      <c r="E2438" t="inlineStr">
        <is>
          <t>BRÄCKE</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56505-2024</t>
        </is>
      </c>
      <c r="B2439" s="1" t="n">
        <v>45625</v>
      </c>
      <c r="C2439" s="1" t="n">
        <v>45847</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56372-2024</t>
        </is>
      </c>
      <c r="B2440" s="1" t="n">
        <v>45625</v>
      </c>
      <c r="C2440" s="1" t="n">
        <v>45847</v>
      </c>
      <c r="D2440" t="inlineStr">
        <is>
          <t>JÄMTLANDS LÄN</t>
        </is>
      </c>
      <c r="E2440" t="inlineStr">
        <is>
          <t>BRÄCKE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56432-2024</t>
        </is>
      </c>
      <c r="B2441" s="1" t="n">
        <v>45625</v>
      </c>
      <c r="C2441" s="1" t="n">
        <v>45847</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56491-2024</t>
        </is>
      </c>
      <c r="B2442" s="1" t="n">
        <v>45625</v>
      </c>
      <c r="C2442" s="1" t="n">
        <v>45847</v>
      </c>
      <c r="D2442" t="inlineStr">
        <is>
          <t>JÄMTLANDS LÄN</t>
        </is>
      </c>
      <c r="E2442" t="inlineStr">
        <is>
          <t>BRÄCKE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56963-2024</t>
        </is>
      </c>
      <c r="B2443" s="1" t="n">
        <v>45628</v>
      </c>
      <c r="C2443" s="1" t="n">
        <v>45847</v>
      </c>
      <c r="D2443" t="inlineStr">
        <is>
          <t>JÄMTLANDS LÄN</t>
        </is>
      </c>
      <c r="E2443" t="inlineStr">
        <is>
          <t>BRÄCKE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57066-2024</t>
        </is>
      </c>
      <c r="B2444" s="1" t="n">
        <v>45629</v>
      </c>
      <c r="C2444" s="1" t="n">
        <v>45847</v>
      </c>
      <c r="D2444" t="inlineStr">
        <is>
          <t>JÄMTLANDS LÄN</t>
        </is>
      </c>
      <c r="E2444" t="inlineStr">
        <is>
          <t>BRÄCKE</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57070-2024</t>
        </is>
      </c>
      <c r="B2445" s="1" t="n">
        <v>45629</v>
      </c>
      <c r="C2445" s="1" t="n">
        <v>45847</v>
      </c>
      <c r="D2445" t="inlineStr">
        <is>
          <t>JÄMTLANDS LÄN</t>
        </is>
      </c>
      <c r="E2445" t="inlineStr">
        <is>
          <t>BRÄCKE</t>
        </is>
      </c>
      <c r="F2445" t="inlineStr">
        <is>
          <t>SCA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57088-2024</t>
        </is>
      </c>
      <c r="B2446" s="1" t="n">
        <v>45629</v>
      </c>
      <c r="C2446" s="1" t="n">
        <v>45847</v>
      </c>
      <c r="D2446" t="inlineStr">
        <is>
          <t>JÄMTLANDS LÄN</t>
        </is>
      </c>
      <c r="E2446" t="inlineStr">
        <is>
          <t>BRÄCKE</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57096-2024</t>
        </is>
      </c>
      <c r="B2447" s="1" t="n">
        <v>45629</v>
      </c>
      <c r="C2447" s="1" t="n">
        <v>45847</v>
      </c>
      <c r="D2447" t="inlineStr">
        <is>
          <t>JÄMTLANDS LÄN</t>
        </is>
      </c>
      <c r="E2447" t="inlineStr">
        <is>
          <t>BRÄCKE</t>
        </is>
      </c>
      <c r="F2447" t="inlineStr">
        <is>
          <t>SCA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57121-2024</t>
        </is>
      </c>
      <c r="B2448" s="1" t="n">
        <v>45629</v>
      </c>
      <c r="C2448" s="1" t="n">
        <v>45847</v>
      </c>
      <c r="D2448" t="inlineStr">
        <is>
          <t>JÄMTLANDS LÄN</t>
        </is>
      </c>
      <c r="E2448" t="inlineStr">
        <is>
          <t>BRÄCKE</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57069-2024</t>
        </is>
      </c>
      <c r="B2449" s="1" t="n">
        <v>45629</v>
      </c>
      <c r="C2449" s="1" t="n">
        <v>45847</v>
      </c>
      <c r="D2449" t="inlineStr">
        <is>
          <t>JÄMTLANDS LÄN</t>
        </is>
      </c>
      <c r="E2449" t="inlineStr">
        <is>
          <t>BRÄCKE</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57184-2024</t>
        </is>
      </c>
      <c r="B2450" s="1" t="n">
        <v>45629</v>
      </c>
      <c r="C2450" s="1" t="n">
        <v>45847</v>
      </c>
      <c r="D2450" t="inlineStr">
        <is>
          <t>JÄMTLANDS LÄN</t>
        </is>
      </c>
      <c r="E2450" t="inlineStr">
        <is>
          <t>BRÄCKE</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57473-2024</t>
        </is>
      </c>
      <c r="B2451" s="1" t="n">
        <v>45630</v>
      </c>
      <c r="C2451" s="1" t="n">
        <v>45847</v>
      </c>
      <c r="D2451" t="inlineStr">
        <is>
          <t>JÄMTLANDS LÄN</t>
        </is>
      </c>
      <c r="E2451" t="inlineStr">
        <is>
          <t>BRÄCKE</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57605-2024</t>
        </is>
      </c>
      <c r="B2452" s="1" t="n">
        <v>45630</v>
      </c>
      <c r="C2452" s="1" t="n">
        <v>45847</v>
      </c>
      <c r="D2452" t="inlineStr">
        <is>
          <t>JÄMTLANDS LÄN</t>
        </is>
      </c>
      <c r="E2452" t="inlineStr">
        <is>
          <t>BRÄCKE</t>
        </is>
      </c>
      <c r="F2452" t="inlineStr">
        <is>
          <t>SCA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57586-2024</t>
        </is>
      </c>
      <c r="B2453" s="1" t="n">
        <v>45630</v>
      </c>
      <c r="C2453" s="1" t="n">
        <v>45847</v>
      </c>
      <c r="D2453" t="inlineStr">
        <is>
          <t>JÄMTLANDS LÄN</t>
        </is>
      </c>
      <c r="E2453" t="inlineStr">
        <is>
          <t>BRÄCKE</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57590-2024</t>
        </is>
      </c>
      <c r="B2454" s="1" t="n">
        <v>45630</v>
      </c>
      <c r="C2454" s="1" t="n">
        <v>45847</v>
      </c>
      <c r="D2454" t="inlineStr">
        <is>
          <t>JÄMTLANDS LÄN</t>
        </is>
      </c>
      <c r="E2454" t="inlineStr">
        <is>
          <t>BRÄCKE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57610-2024</t>
        </is>
      </c>
      <c r="B2455" s="1" t="n">
        <v>45630</v>
      </c>
      <c r="C2455" s="1" t="n">
        <v>45847</v>
      </c>
      <c r="D2455" t="inlineStr">
        <is>
          <t>JÄMTLANDS LÄN</t>
        </is>
      </c>
      <c r="E2455" t="inlineStr">
        <is>
          <t>BRÄCKE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57615-2024</t>
        </is>
      </c>
      <c r="B2456" s="1" t="n">
        <v>45630</v>
      </c>
      <c r="C2456" s="1" t="n">
        <v>45847</v>
      </c>
      <c r="D2456" t="inlineStr">
        <is>
          <t>JÄMTLANDS LÄN</t>
        </is>
      </c>
      <c r="E2456" t="inlineStr">
        <is>
          <t>BRÄCKE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57623-2024</t>
        </is>
      </c>
      <c r="B2457" s="1" t="n">
        <v>45630</v>
      </c>
      <c r="C2457" s="1" t="n">
        <v>45847</v>
      </c>
      <c r="D2457" t="inlineStr">
        <is>
          <t>JÄMTLANDS LÄN</t>
        </is>
      </c>
      <c r="E2457" t="inlineStr">
        <is>
          <t>BRÄCKE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57973-2024</t>
        </is>
      </c>
      <c r="B2458" s="1" t="n">
        <v>45631</v>
      </c>
      <c r="C2458" s="1" t="n">
        <v>45847</v>
      </c>
      <c r="D2458" t="inlineStr">
        <is>
          <t>JÄMTLANDS LÄN</t>
        </is>
      </c>
      <c r="E2458" t="inlineStr">
        <is>
          <t>BRÄCKE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58086-2024</t>
        </is>
      </c>
      <c r="B2459" s="1" t="n">
        <v>45632</v>
      </c>
      <c r="C2459" s="1" t="n">
        <v>45847</v>
      </c>
      <c r="D2459" t="inlineStr">
        <is>
          <t>JÄMTLANDS LÄN</t>
        </is>
      </c>
      <c r="E2459" t="inlineStr">
        <is>
          <t>BRÄCKE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58369-2024</t>
        </is>
      </c>
      <c r="B2460" s="1" t="n">
        <v>45632</v>
      </c>
      <c r="C2460" s="1" t="n">
        <v>45847</v>
      </c>
      <c r="D2460" t="inlineStr">
        <is>
          <t>JÄMTLANDS LÄN</t>
        </is>
      </c>
      <c r="E2460" t="inlineStr">
        <is>
          <t>BRÄCKE</t>
        </is>
      </c>
      <c r="F2460" t="inlineStr">
        <is>
          <t>SCA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58449-2024</t>
        </is>
      </c>
      <c r="B2461" s="1" t="n">
        <v>45635</v>
      </c>
      <c r="C2461" s="1" t="n">
        <v>45847</v>
      </c>
      <c r="D2461" t="inlineStr">
        <is>
          <t>JÄMTLANDS LÄN</t>
        </is>
      </c>
      <c r="E2461" t="inlineStr">
        <is>
          <t>BRÄCKE</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58537-2024</t>
        </is>
      </c>
      <c r="B2462" s="1" t="n">
        <v>45635</v>
      </c>
      <c r="C2462" s="1" t="n">
        <v>45847</v>
      </c>
      <c r="D2462" t="inlineStr">
        <is>
          <t>JÄMTLANDS LÄN</t>
        </is>
      </c>
      <c r="E2462" t="inlineStr">
        <is>
          <t>BRÄCKE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58491-2024</t>
        </is>
      </c>
      <c r="B2463" s="1" t="n">
        <v>45635</v>
      </c>
      <c r="C2463" s="1" t="n">
        <v>45847</v>
      </c>
      <c r="D2463" t="inlineStr">
        <is>
          <t>JÄMTLANDS LÄN</t>
        </is>
      </c>
      <c r="E2463" t="inlineStr">
        <is>
          <t>BRÄCKE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59059-2024</t>
        </is>
      </c>
      <c r="B2464" s="1" t="n">
        <v>45636</v>
      </c>
      <c r="C2464" s="1" t="n">
        <v>45847</v>
      </c>
      <c r="D2464" t="inlineStr">
        <is>
          <t>JÄMTLANDS LÄN</t>
        </is>
      </c>
      <c r="E2464" t="inlineStr">
        <is>
          <t>BRÄCKE</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58903-2024</t>
        </is>
      </c>
      <c r="B2465" s="1" t="n">
        <v>45636</v>
      </c>
      <c r="C2465" s="1" t="n">
        <v>45847</v>
      </c>
      <c r="D2465" t="inlineStr">
        <is>
          <t>JÄMTLANDS LÄN</t>
        </is>
      </c>
      <c r="E2465" t="inlineStr">
        <is>
          <t>BRÄCKE</t>
        </is>
      </c>
      <c r="F2465" t="inlineStr">
        <is>
          <t>Övriga Aktiebolag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58848-2024</t>
        </is>
      </c>
      <c r="B2466" s="1" t="n">
        <v>45636</v>
      </c>
      <c r="C2466" s="1" t="n">
        <v>45847</v>
      </c>
      <c r="D2466" t="inlineStr">
        <is>
          <t>JÄMTLANDS LÄN</t>
        </is>
      </c>
      <c r="E2466" t="inlineStr">
        <is>
          <t>BRÄCKE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59008-2024</t>
        </is>
      </c>
      <c r="B2467" s="1" t="n">
        <v>45636</v>
      </c>
      <c r="C2467" s="1" t="n">
        <v>45847</v>
      </c>
      <c r="D2467" t="inlineStr">
        <is>
          <t>JÄMTLANDS LÄN</t>
        </is>
      </c>
      <c r="E2467" t="inlineStr">
        <is>
          <t>BRÄCKE</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59021-2024</t>
        </is>
      </c>
      <c r="B2468" s="1" t="n">
        <v>45636</v>
      </c>
      <c r="C2468" s="1" t="n">
        <v>45847</v>
      </c>
      <c r="D2468" t="inlineStr">
        <is>
          <t>JÄMTLANDS LÄN</t>
        </is>
      </c>
      <c r="E2468" t="inlineStr">
        <is>
          <t>BRÄCKE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59245-2024</t>
        </is>
      </c>
      <c r="B2469" s="1" t="n">
        <v>45637</v>
      </c>
      <c r="C2469" s="1" t="n">
        <v>45847</v>
      </c>
      <c r="D2469" t="inlineStr">
        <is>
          <t>JÄMTLANDS LÄN</t>
        </is>
      </c>
      <c r="E2469" t="inlineStr">
        <is>
          <t>BRÄCKE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59746-2024</t>
        </is>
      </c>
      <c r="B2470" s="1" t="n">
        <v>45638</v>
      </c>
      <c r="C2470" s="1" t="n">
        <v>45847</v>
      </c>
      <c r="D2470" t="inlineStr">
        <is>
          <t>JÄMTLANDS LÄN</t>
        </is>
      </c>
      <c r="E2470" t="inlineStr">
        <is>
          <t>BRÄCKE</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59774-2024</t>
        </is>
      </c>
      <c r="B2471" s="1" t="n">
        <v>45639</v>
      </c>
      <c r="C2471" s="1" t="n">
        <v>45847</v>
      </c>
      <c r="D2471" t="inlineStr">
        <is>
          <t>JÄMTLANDS LÄN</t>
        </is>
      </c>
      <c r="E2471" t="inlineStr">
        <is>
          <t>BRÄCKE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59846-2024</t>
        </is>
      </c>
      <c r="B2472" s="1" t="n">
        <v>45639</v>
      </c>
      <c r="C2472" s="1" t="n">
        <v>45847</v>
      </c>
      <c r="D2472" t="inlineStr">
        <is>
          <t>JÄMTLANDS LÄN</t>
        </is>
      </c>
      <c r="E2472" t="inlineStr">
        <is>
          <t>BRÄCKE</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59760-2024</t>
        </is>
      </c>
      <c r="B2473" s="1" t="n">
        <v>45639</v>
      </c>
      <c r="C2473" s="1" t="n">
        <v>45847</v>
      </c>
      <c r="D2473" t="inlineStr">
        <is>
          <t>JÄMTLANDS LÄN</t>
        </is>
      </c>
      <c r="E2473" t="inlineStr">
        <is>
          <t>BRÄCKE</t>
        </is>
      </c>
      <c r="F2473" t="inlineStr">
        <is>
          <t>SCA</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59650-2024</t>
        </is>
      </c>
      <c r="B2474" s="1" t="n">
        <v>45639</v>
      </c>
      <c r="C2474" s="1" t="n">
        <v>45847</v>
      </c>
      <c r="D2474" t="inlineStr">
        <is>
          <t>JÄMTLANDS LÄN</t>
        </is>
      </c>
      <c r="E2474" t="inlineStr">
        <is>
          <t>BRÄCKE</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60150-2024</t>
        </is>
      </c>
      <c r="B2475" s="1" t="n">
        <v>45639</v>
      </c>
      <c r="C2475" s="1" t="n">
        <v>45847</v>
      </c>
      <c r="D2475" t="inlineStr">
        <is>
          <t>JÄMTLANDS LÄN</t>
        </is>
      </c>
      <c r="E2475" t="inlineStr">
        <is>
          <t>BRÄCKE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59763-2024</t>
        </is>
      </c>
      <c r="B2476" s="1" t="n">
        <v>45639</v>
      </c>
      <c r="C2476" s="1" t="n">
        <v>45847</v>
      </c>
      <c r="D2476" t="inlineStr">
        <is>
          <t>JÄMTLANDS LÄN</t>
        </is>
      </c>
      <c r="E2476" t="inlineStr">
        <is>
          <t>BRÄCKE</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60196-2024</t>
        </is>
      </c>
      <c r="B2477" s="1" t="n">
        <v>45642</v>
      </c>
      <c r="C2477" s="1" t="n">
        <v>45847</v>
      </c>
      <c r="D2477" t="inlineStr">
        <is>
          <t>JÄMTLANDS LÄN</t>
        </is>
      </c>
      <c r="E2477" t="inlineStr">
        <is>
          <t>BRÄCKE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60182-2024</t>
        </is>
      </c>
      <c r="B2478" s="1" t="n">
        <v>45642</v>
      </c>
      <c r="C2478" s="1" t="n">
        <v>45847</v>
      </c>
      <c r="D2478" t="inlineStr">
        <is>
          <t>JÄMTLANDS LÄN</t>
        </is>
      </c>
      <c r="E2478" t="inlineStr">
        <is>
          <t>BRÄCKE</t>
        </is>
      </c>
      <c r="G2478" t="n">
        <v>12.1</v>
      </c>
      <c r="H2478" t="n">
        <v>0</v>
      </c>
      <c r="I2478" t="n">
        <v>0</v>
      </c>
      <c r="J2478" t="n">
        <v>0</v>
      </c>
      <c r="K2478" t="n">
        <v>0</v>
      </c>
      <c r="L2478" t="n">
        <v>0</v>
      </c>
      <c r="M2478" t="n">
        <v>0</v>
      </c>
      <c r="N2478" t="n">
        <v>0</v>
      </c>
      <c r="O2478" t="n">
        <v>0</v>
      </c>
      <c r="P2478" t="n">
        <v>0</v>
      </c>
      <c r="Q2478" t="n">
        <v>0</v>
      </c>
      <c r="R2478" s="2" t="inlineStr"/>
    </row>
    <row r="2479" ht="15" customHeight="1">
      <c r="A2479" t="inlineStr">
        <is>
          <t>A 60474-2024</t>
        </is>
      </c>
      <c r="B2479" s="1" t="n">
        <v>45643</v>
      </c>
      <c r="C2479" s="1" t="n">
        <v>45847</v>
      </c>
      <c r="D2479" t="inlineStr">
        <is>
          <t>JÄMTLANDS LÄN</t>
        </is>
      </c>
      <c r="E2479" t="inlineStr">
        <is>
          <t>BRÄCKE</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60666-2024</t>
        </is>
      </c>
      <c r="B2480" s="1" t="n">
        <v>45644</v>
      </c>
      <c r="C2480" s="1" t="n">
        <v>45847</v>
      </c>
      <c r="D2480" t="inlineStr">
        <is>
          <t>JÄMTLANDS LÄN</t>
        </is>
      </c>
      <c r="E2480" t="inlineStr">
        <is>
          <t>BRÄCKE</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60654-2024</t>
        </is>
      </c>
      <c r="B2481" s="1" t="n">
        <v>45644</v>
      </c>
      <c r="C2481" s="1" t="n">
        <v>45847</v>
      </c>
      <c r="D2481" t="inlineStr">
        <is>
          <t>JÄMTLANDS LÄN</t>
        </is>
      </c>
      <c r="E2481" t="inlineStr">
        <is>
          <t>BRÄCKE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60659-2024</t>
        </is>
      </c>
      <c r="B2482" s="1" t="n">
        <v>45644</v>
      </c>
      <c r="C2482" s="1" t="n">
        <v>45847</v>
      </c>
      <c r="D2482" t="inlineStr">
        <is>
          <t>JÄMTLANDS LÄN</t>
        </is>
      </c>
      <c r="E2482" t="inlineStr">
        <is>
          <t>BRÄCKE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61079-2024</t>
        </is>
      </c>
      <c r="B2483" s="1" t="n">
        <v>45645</v>
      </c>
      <c r="C2483" s="1" t="n">
        <v>45847</v>
      </c>
      <c r="D2483" t="inlineStr">
        <is>
          <t>JÄMTLANDS LÄN</t>
        </is>
      </c>
      <c r="E2483" t="inlineStr">
        <is>
          <t>BRÄCKE</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61362-2024</t>
        </is>
      </c>
      <c r="B2484" s="1" t="n">
        <v>45646</v>
      </c>
      <c r="C2484" s="1" t="n">
        <v>45847</v>
      </c>
      <c r="D2484" t="inlineStr">
        <is>
          <t>JÄMTLANDS LÄN</t>
        </is>
      </c>
      <c r="E2484" t="inlineStr">
        <is>
          <t>BRÄCKE</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61466-2024</t>
        </is>
      </c>
      <c r="B2485" s="1" t="n">
        <v>45646</v>
      </c>
      <c r="C2485" s="1" t="n">
        <v>45847</v>
      </c>
      <c r="D2485" t="inlineStr">
        <is>
          <t>JÄMTLANDS LÄN</t>
        </is>
      </c>
      <c r="E2485" t="inlineStr">
        <is>
          <t>BRÄCKE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61483-2024</t>
        </is>
      </c>
      <c r="B2486" s="1" t="n">
        <v>45646</v>
      </c>
      <c r="C2486" s="1" t="n">
        <v>45847</v>
      </c>
      <c r="D2486" t="inlineStr">
        <is>
          <t>JÄMTLANDS LÄN</t>
        </is>
      </c>
      <c r="E2486" t="inlineStr">
        <is>
          <t>BRÄCKE</t>
        </is>
      </c>
      <c r="F2486" t="inlineStr">
        <is>
          <t>Övriga Aktiebolag</t>
        </is>
      </c>
      <c r="G2486" t="n">
        <v>13.8</v>
      </c>
      <c r="H2486" t="n">
        <v>0</v>
      </c>
      <c r="I2486" t="n">
        <v>0</v>
      </c>
      <c r="J2486" t="n">
        <v>0</v>
      </c>
      <c r="K2486" t="n">
        <v>0</v>
      </c>
      <c r="L2486" t="n">
        <v>0</v>
      </c>
      <c r="M2486" t="n">
        <v>0</v>
      </c>
      <c r="N2486" t="n">
        <v>0</v>
      </c>
      <c r="O2486" t="n">
        <v>0</v>
      </c>
      <c r="P2486" t="n">
        <v>0</v>
      </c>
      <c r="Q2486" t="n">
        <v>0</v>
      </c>
      <c r="R2486" s="2" t="inlineStr"/>
    </row>
    <row r="2487" ht="15" customHeight="1">
      <c r="A2487" t="inlineStr">
        <is>
          <t>A 61914-2024</t>
        </is>
      </c>
      <c r="B2487" s="1" t="n">
        <v>45653</v>
      </c>
      <c r="C2487" s="1" t="n">
        <v>45847</v>
      </c>
      <c r="D2487" t="inlineStr">
        <is>
          <t>JÄMTLANDS LÄN</t>
        </is>
      </c>
      <c r="E2487" t="inlineStr">
        <is>
          <t>BRÄCKE</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61973-2024</t>
        </is>
      </c>
      <c r="B2488" s="1" t="n">
        <v>45653</v>
      </c>
      <c r="C2488" s="1" t="n">
        <v>45847</v>
      </c>
      <c r="D2488" t="inlineStr">
        <is>
          <t>JÄMTLANDS LÄN</t>
        </is>
      </c>
      <c r="E2488" t="inlineStr">
        <is>
          <t>BRÄCKE</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62102-2024</t>
        </is>
      </c>
      <c r="B2489" s="1" t="n">
        <v>45656</v>
      </c>
      <c r="C2489" s="1" t="n">
        <v>45847</v>
      </c>
      <c r="D2489" t="inlineStr">
        <is>
          <t>JÄMTLANDS LÄN</t>
        </is>
      </c>
      <c r="E2489" t="inlineStr">
        <is>
          <t>BRÄCKE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103-2025</t>
        </is>
      </c>
      <c r="B2490" s="1" t="n">
        <v>45659</v>
      </c>
      <c r="C2490" s="1" t="n">
        <v>45847</v>
      </c>
      <c r="D2490" t="inlineStr">
        <is>
          <t>JÄMTLANDS LÄN</t>
        </is>
      </c>
      <c r="E2490" t="inlineStr">
        <is>
          <t>BRÄCKE</t>
        </is>
      </c>
      <c r="F2490" t="inlineStr">
        <is>
          <t>SCA</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172-2025</t>
        </is>
      </c>
      <c r="B2491" s="1" t="n">
        <v>45659</v>
      </c>
      <c r="C2491" s="1" t="n">
        <v>45847</v>
      </c>
      <c r="D2491" t="inlineStr">
        <is>
          <t>JÄMTLANDS LÄN</t>
        </is>
      </c>
      <c r="E2491" t="inlineStr">
        <is>
          <t>BRÄCKE</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104-2025</t>
        </is>
      </c>
      <c r="B2492" s="1" t="n">
        <v>45659</v>
      </c>
      <c r="C2492" s="1" t="n">
        <v>45847</v>
      </c>
      <c r="D2492" t="inlineStr">
        <is>
          <t>JÄMTLANDS LÄN</t>
        </is>
      </c>
      <c r="E2492" t="inlineStr">
        <is>
          <t>BRÄCKE</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278-2025</t>
        </is>
      </c>
      <c r="B2493" s="1" t="n">
        <v>45660</v>
      </c>
      <c r="C2493" s="1" t="n">
        <v>45847</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231-2025</t>
        </is>
      </c>
      <c r="B2494" s="1" t="n">
        <v>45660</v>
      </c>
      <c r="C2494" s="1" t="n">
        <v>45847</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285-2025</t>
        </is>
      </c>
      <c r="B2495" s="1" t="n">
        <v>45660</v>
      </c>
      <c r="C2495" s="1" t="n">
        <v>45847</v>
      </c>
      <c r="D2495" t="inlineStr">
        <is>
          <t>JÄMTLANDS LÄN</t>
        </is>
      </c>
      <c r="E2495" t="inlineStr">
        <is>
          <t>BRÄCKE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427-2025</t>
        </is>
      </c>
      <c r="B2496" s="1" t="n">
        <v>45664</v>
      </c>
      <c r="C2496" s="1" t="n">
        <v>45847</v>
      </c>
      <c r="D2496" t="inlineStr">
        <is>
          <t>JÄMTLANDS LÄN</t>
        </is>
      </c>
      <c r="E2496" t="inlineStr">
        <is>
          <t>BRÄCKE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506-2025</t>
        </is>
      </c>
      <c r="B2497" s="1" t="n">
        <v>45664</v>
      </c>
      <c r="C2497" s="1" t="n">
        <v>45847</v>
      </c>
      <c r="D2497" t="inlineStr">
        <is>
          <t>JÄMTLANDS LÄN</t>
        </is>
      </c>
      <c r="E2497" t="inlineStr">
        <is>
          <t>BRÄCKE</t>
        </is>
      </c>
      <c r="F2497" t="inlineStr">
        <is>
          <t>SCA</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782-2025</t>
        </is>
      </c>
      <c r="B2498" s="1" t="n">
        <v>45665</v>
      </c>
      <c r="C2498" s="1" t="n">
        <v>45847</v>
      </c>
      <c r="D2498" t="inlineStr">
        <is>
          <t>JÄMTLANDS LÄN</t>
        </is>
      </c>
      <c r="E2498" t="inlineStr">
        <is>
          <t>BRÄCKE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783-2025</t>
        </is>
      </c>
      <c r="B2499" s="1" t="n">
        <v>45665</v>
      </c>
      <c r="C2499" s="1" t="n">
        <v>45847</v>
      </c>
      <c r="D2499" t="inlineStr">
        <is>
          <t>JÄMTLANDS LÄN</t>
        </is>
      </c>
      <c r="E2499" t="inlineStr">
        <is>
          <t>BRÄCKE</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1127-2025</t>
        </is>
      </c>
      <c r="B2500" s="1" t="n">
        <v>45666</v>
      </c>
      <c r="C2500" s="1" t="n">
        <v>45847</v>
      </c>
      <c r="D2500" t="inlineStr">
        <is>
          <t>JÄMTLANDS LÄN</t>
        </is>
      </c>
      <c r="E2500" t="inlineStr">
        <is>
          <t>BRÄCKE</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1079-2025</t>
        </is>
      </c>
      <c r="B2501" s="1" t="n">
        <v>45666</v>
      </c>
      <c r="C2501" s="1" t="n">
        <v>45847</v>
      </c>
      <c r="D2501" t="inlineStr">
        <is>
          <t>JÄMTLANDS LÄN</t>
        </is>
      </c>
      <c r="E2501" t="inlineStr">
        <is>
          <t>BRÄCKE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1080-2025</t>
        </is>
      </c>
      <c r="B2502" s="1" t="n">
        <v>45666</v>
      </c>
      <c r="C2502" s="1" t="n">
        <v>45847</v>
      </c>
      <c r="D2502" t="inlineStr">
        <is>
          <t>JÄMTLANDS LÄN</t>
        </is>
      </c>
      <c r="E2502" t="inlineStr">
        <is>
          <t>BRÄCKE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1174-2025</t>
        </is>
      </c>
      <c r="B2503" s="1" t="n">
        <v>45667</v>
      </c>
      <c r="C2503" s="1" t="n">
        <v>45847</v>
      </c>
      <c r="D2503" t="inlineStr">
        <is>
          <t>JÄMTLANDS LÄN</t>
        </is>
      </c>
      <c r="E2503" t="inlineStr">
        <is>
          <t>BRÄCKE</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1347-2025</t>
        </is>
      </c>
      <c r="B2504" s="1" t="n">
        <v>45667</v>
      </c>
      <c r="C2504" s="1" t="n">
        <v>45847</v>
      </c>
      <c r="D2504" t="inlineStr">
        <is>
          <t>JÄMTLANDS LÄN</t>
        </is>
      </c>
      <c r="E2504" t="inlineStr">
        <is>
          <t>BRÄCKE</t>
        </is>
      </c>
      <c r="F2504" t="inlineStr">
        <is>
          <t>SCA</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1504-2025</t>
        </is>
      </c>
      <c r="B2505" s="1" t="n">
        <v>45670</v>
      </c>
      <c r="C2505" s="1" t="n">
        <v>45847</v>
      </c>
      <c r="D2505" t="inlineStr">
        <is>
          <t>JÄMTLANDS LÄN</t>
        </is>
      </c>
      <c r="E2505" t="inlineStr">
        <is>
          <t>BRÄCKE</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1672-2025</t>
        </is>
      </c>
      <c r="B2506" s="1" t="n">
        <v>45670</v>
      </c>
      <c r="C2506" s="1" t="n">
        <v>45847</v>
      </c>
      <c r="D2506" t="inlineStr">
        <is>
          <t>JÄMTLANDS LÄN</t>
        </is>
      </c>
      <c r="E2506" t="inlineStr">
        <is>
          <t>BRÄCKE</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1914-2025</t>
        </is>
      </c>
      <c r="B2507" s="1" t="n">
        <v>45671</v>
      </c>
      <c r="C2507" s="1" t="n">
        <v>45847</v>
      </c>
      <c r="D2507" t="inlineStr">
        <is>
          <t>JÄMTLANDS LÄN</t>
        </is>
      </c>
      <c r="E2507" t="inlineStr">
        <is>
          <t>BRÄCKE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2179-2025</t>
        </is>
      </c>
      <c r="B2508" s="1" t="n">
        <v>45673</v>
      </c>
      <c r="C2508" s="1" t="n">
        <v>45847</v>
      </c>
      <c r="D2508" t="inlineStr">
        <is>
          <t>JÄMTLANDS LÄN</t>
        </is>
      </c>
      <c r="E2508" t="inlineStr">
        <is>
          <t>BRÄCKE</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2197-2025</t>
        </is>
      </c>
      <c r="B2509" s="1" t="n">
        <v>45673</v>
      </c>
      <c r="C2509" s="1" t="n">
        <v>45847</v>
      </c>
      <c r="D2509" t="inlineStr">
        <is>
          <t>JÄMTLANDS LÄN</t>
        </is>
      </c>
      <c r="E2509" t="inlineStr">
        <is>
          <t>BRÄCKE</t>
        </is>
      </c>
      <c r="F2509" t="inlineStr">
        <is>
          <t>SCA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2245-2025</t>
        </is>
      </c>
      <c r="B2510" s="1" t="n">
        <v>45673</v>
      </c>
      <c r="C2510" s="1" t="n">
        <v>45847</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2484-2025</t>
        </is>
      </c>
      <c r="B2511" s="1" t="n">
        <v>45673</v>
      </c>
      <c r="C2511" s="1" t="n">
        <v>45847</v>
      </c>
      <c r="D2511" t="inlineStr">
        <is>
          <t>JÄMTLANDS LÄN</t>
        </is>
      </c>
      <c r="E2511" t="inlineStr">
        <is>
          <t>BRÄCKE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2483-2025</t>
        </is>
      </c>
      <c r="B2512" s="1" t="n">
        <v>45673</v>
      </c>
      <c r="C2512" s="1" t="n">
        <v>45847</v>
      </c>
      <c r="D2512" t="inlineStr">
        <is>
          <t>JÄMTLANDS LÄN</t>
        </is>
      </c>
      <c r="E2512" t="inlineStr">
        <is>
          <t>BRÄCKE</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2511-2025</t>
        </is>
      </c>
      <c r="B2513" s="1" t="n">
        <v>45674</v>
      </c>
      <c r="C2513" s="1" t="n">
        <v>45847</v>
      </c>
      <c r="D2513" t="inlineStr">
        <is>
          <t>JÄMTLANDS LÄN</t>
        </is>
      </c>
      <c r="E2513" t="inlineStr">
        <is>
          <t>BRÄCKE</t>
        </is>
      </c>
      <c r="F2513" t="inlineStr">
        <is>
          <t>SCA</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2498-2025</t>
        </is>
      </c>
      <c r="B2514" s="1" t="n">
        <v>45674</v>
      </c>
      <c r="C2514" s="1" t="n">
        <v>45847</v>
      </c>
      <c r="D2514" t="inlineStr">
        <is>
          <t>JÄMTLANDS LÄN</t>
        </is>
      </c>
      <c r="E2514" t="inlineStr">
        <is>
          <t>BRÄCKE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2432-2025</t>
        </is>
      </c>
      <c r="B2515" s="1" t="n">
        <v>45674</v>
      </c>
      <c r="C2515" s="1" t="n">
        <v>45847</v>
      </c>
      <c r="D2515" t="inlineStr">
        <is>
          <t>JÄMTLANDS LÄN</t>
        </is>
      </c>
      <c r="E2515" t="inlineStr">
        <is>
          <t>BRÄCKE</t>
        </is>
      </c>
      <c r="F2515" t="inlineStr">
        <is>
          <t>SCA</t>
        </is>
      </c>
      <c r="G2515" t="n">
        <v>16.1</v>
      </c>
      <c r="H2515" t="n">
        <v>0</v>
      </c>
      <c r="I2515" t="n">
        <v>0</v>
      </c>
      <c r="J2515" t="n">
        <v>0</v>
      </c>
      <c r="K2515" t="n">
        <v>0</v>
      </c>
      <c r="L2515" t="n">
        <v>0</v>
      </c>
      <c r="M2515" t="n">
        <v>0</v>
      </c>
      <c r="N2515" t="n">
        <v>0</v>
      </c>
      <c r="O2515" t="n">
        <v>0</v>
      </c>
      <c r="P2515" t="n">
        <v>0</v>
      </c>
      <c r="Q2515" t="n">
        <v>0</v>
      </c>
      <c r="R2515" s="2" t="inlineStr"/>
    </row>
    <row r="2516" ht="15" customHeight="1">
      <c r="A2516" t="inlineStr">
        <is>
          <t>A 2581-2025</t>
        </is>
      </c>
      <c r="B2516" s="1" t="n">
        <v>45674</v>
      </c>
      <c r="C2516" s="1" t="n">
        <v>45847</v>
      </c>
      <c r="D2516" t="inlineStr">
        <is>
          <t>JÄMTLANDS LÄN</t>
        </is>
      </c>
      <c r="E2516" t="inlineStr">
        <is>
          <t>BRÄCKE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2540-2025</t>
        </is>
      </c>
      <c r="B2517" s="1" t="n">
        <v>45674</v>
      </c>
      <c r="C2517" s="1" t="n">
        <v>45847</v>
      </c>
      <c r="D2517" t="inlineStr">
        <is>
          <t>JÄMTLANDS LÄN</t>
        </is>
      </c>
      <c r="E2517" t="inlineStr">
        <is>
          <t>BRÄCKE</t>
        </is>
      </c>
      <c r="F2517" t="inlineStr">
        <is>
          <t>SCA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2508-2025</t>
        </is>
      </c>
      <c r="B2518" s="1" t="n">
        <v>45674</v>
      </c>
      <c r="C2518" s="1" t="n">
        <v>45847</v>
      </c>
      <c r="D2518" t="inlineStr">
        <is>
          <t>JÄMTLANDS LÄN</t>
        </is>
      </c>
      <c r="E2518" t="inlineStr">
        <is>
          <t>BRÄCKE</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2774-2025</t>
        </is>
      </c>
      <c r="B2519" s="1" t="n">
        <v>45677</v>
      </c>
      <c r="C2519" s="1" t="n">
        <v>45847</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2960-2025</t>
        </is>
      </c>
      <c r="B2520" s="1" t="n">
        <v>45678</v>
      </c>
      <c r="C2520" s="1" t="n">
        <v>45847</v>
      </c>
      <c r="D2520" t="inlineStr">
        <is>
          <t>JÄMTLANDS LÄN</t>
        </is>
      </c>
      <c r="E2520" t="inlineStr">
        <is>
          <t>BRÄCKE</t>
        </is>
      </c>
      <c r="F2520" t="inlineStr">
        <is>
          <t>SCA</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2923-2025</t>
        </is>
      </c>
      <c r="B2521" s="1" t="n">
        <v>45678</v>
      </c>
      <c r="C2521" s="1" t="n">
        <v>45847</v>
      </c>
      <c r="D2521" t="inlineStr">
        <is>
          <t>JÄMTLANDS LÄN</t>
        </is>
      </c>
      <c r="E2521" t="inlineStr">
        <is>
          <t>BRÄCKE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3331-2025</t>
        </is>
      </c>
      <c r="B2522" s="1" t="n">
        <v>45679</v>
      </c>
      <c r="C2522" s="1" t="n">
        <v>45847</v>
      </c>
      <c r="D2522" t="inlineStr">
        <is>
          <t>JÄMTLANDS LÄN</t>
        </is>
      </c>
      <c r="E2522" t="inlineStr">
        <is>
          <t>BRÄCKE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3247-2025</t>
        </is>
      </c>
      <c r="B2523" s="1" t="n">
        <v>45679</v>
      </c>
      <c r="C2523" s="1" t="n">
        <v>45847</v>
      </c>
      <c r="D2523" t="inlineStr">
        <is>
          <t>JÄMTLANDS LÄN</t>
        </is>
      </c>
      <c r="E2523" t="inlineStr">
        <is>
          <t>BRÄCKE</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3254-2025</t>
        </is>
      </c>
      <c r="B2524" s="1" t="n">
        <v>45679</v>
      </c>
      <c r="C2524" s="1" t="n">
        <v>45847</v>
      </c>
      <c r="D2524" t="inlineStr">
        <is>
          <t>JÄMTLANDS LÄN</t>
        </is>
      </c>
      <c r="E2524" t="inlineStr">
        <is>
          <t>BRÄCKE</t>
        </is>
      </c>
      <c r="F2524" t="inlineStr">
        <is>
          <t>SCA</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3249-2025</t>
        </is>
      </c>
      <c r="B2525" s="1" t="n">
        <v>45679</v>
      </c>
      <c r="C2525" s="1" t="n">
        <v>45847</v>
      </c>
      <c r="D2525" t="inlineStr">
        <is>
          <t>JÄMTLANDS LÄN</t>
        </is>
      </c>
      <c r="E2525" t="inlineStr">
        <is>
          <t>BRÄCKE</t>
        </is>
      </c>
      <c r="F2525" t="inlineStr">
        <is>
          <t>SCA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3248-2025</t>
        </is>
      </c>
      <c r="B2526" s="1" t="n">
        <v>45679</v>
      </c>
      <c r="C2526" s="1" t="n">
        <v>45847</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3476-2025</t>
        </is>
      </c>
      <c r="B2527" s="1" t="n">
        <v>45680</v>
      </c>
      <c r="C2527" s="1" t="n">
        <v>45847</v>
      </c>
      <c r="D2527" t="inlineStr">
        <is>
          <t>JÄMTLANDS LÄN</t>
        </is>
      </c>
      <c r="E2527" t="inlineStr">
        <is>
          <t>BRÄCKE</t>
        </is>
      </c>
      <c r="F2527" t="inlineStr">
        <is>
          <t>SCA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3560-2025</t>
        </is>
      </c>
      <c r="B2528" s="1" t="n">
        <v>45680</v>
      </c>
      <c r="C2528" s="1" t="n">
        <v>45847</v>
      </c>
      <c r="D2528" t="inlineStr">
        <is>
          <t>JÄMTLANDS LÄN</t>
        </is>
      </c>
      <c r="E2528" t="inlineStr">
        <is>
          <t>BRÄCKE</t>
        </is>
      </c>
      <c r="F2528" t="inlineStr">
        <is>
          <t>SCA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3787-2025</t>
        </is>
      </c>
      <c r="B2529" s="1" t="n">
        <v>45681</v>
      </c>
      <c r="C2529" s="1" t="n">
        <v>45847</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3823-2025</t>
        </is>
      </c>
      <c r="B2530" s="1" t="n">
        <v>45681</v>
      </c>
      <c r="C2530" s="1" t="n">
        <v>45847</v>
      </c>
      <c r="D2530" t="inlineStr">
        <is>
          <t>JÄMTLANDS LÄN</t>
        </is>
      </c>
      <c r="E2530" t="inlineStr">
        <is>
          <t>BRÄCKE</t>
        </is>
      </c>
      <c r="F2530" t="inlineStr">
        <is>
          <t>SCA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3785-2025</t>
        </is>
      </c>
      <c r="B2531" s="1" t="n">
        <v>45681</v>
      </c>
      <c r="C2531" s="1" t="n">
        <v>45847</v>
      </c>
      <c r="D2531" t="inlineStr">
        <is>
          <t>JÄMTLANDS LÄN</t>
        </is>
      </c>
      <c r="E2531" t="inlineStr">
        <is>
          <t>BRÄCKE</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3789-2025</t>
        </is>
      </c>
      <c r="B2532" s="1" t="n">
        <v>45681</v>
      </c>
      <c r="C2532" s="1" t="n">
        <v>45847</v>
      </c>
      <c r="D2532" t="inlineStr">
        <is>
          <t>JÄMTLANDS LÄN</t>
        </is>
      </c>
      <c r="E2532" t="inlineStr">
        <is>
          <t>BRÄCKE</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3824-2025</t>
        </is>
      </c>
      <c r="B2533" s="1" t="n">
        <v>45681</v>
      </c>
      <c r="C2533" s="1" t="n">
        <v>45847</v>
      </c>
      <c r="D2533" t="inlineStr">
        <is>
          <t>JÄMTLANDS LÄN</t>
        </is>
      </c>
      <c r="E2533" t="inlineStr">
        <is>
          <t>BRÄCKE</t>
        </is>
      </c>
      <c r="F2533" t="inlineStr">
        <is>
          <t>SCA</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3741-2025</t>
        </is>
      </c>
      <c r="B2534" s="1" t="n">
        <v>45681</v>
      </c>
      <c r="C2534" s="1" t="n">
        <v>45847</v>
      </c>
      <c r="D2534" t="inlineStr">
        <is>
          <t>JÄMTLANDS LÄN</t>
        </is>
      </c>
      <c r="E2534" t="inlineStr">
        <is>
          <t>BRÄCKE</t>
        </is>
      </c>
      <c r="F2534" t="inlineStr">
        <is>
          <t>SCA</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3737-2025</t>
        </is>
      </c>
      <c r="B2535" s="1" t="n">
        <v>45681</v>
      </c>
      <c r="C2535" s="1" t="n">
        <v>45847</v>
      </c>
      <c r="D2535" t="inlineStr">
        <is>
          <t>JÄMTLANDS LÄN</t>
        </is>
      </c>
      <c r="E2535" t="inlineStr">
        <is>
          <t>BRÄCKE</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3652-2025</t>
        </is>
      </c>
      <c r="B2536" s="1" t="n">
        <v>45681</v>
      </c>
      <c r="C2536" s="1" t="n">
        <v>45847</v>
      </c>
      <c r="D2536" t="inlineStr">
        <is>
          <t>JÄMTLANDS LÄN</t>
        </is>
      </c>
      <c r="E2536" t="inlineStr">
        <is>
          <t>BRÄCKE</t>
        </is>
      </c>
      <c r="F2536" t="inlineStr">
        <is>
          <t>SCA</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3788-2025</t>
        </is>
      </c>
      <c r="B2537" s="1" t="n">
        <v>45681</v>
      </c>
      <c r="C2537" s="1" t="n">
        <v>45847</v>
      </c>
      <c r="D2537" t="inlineStr">
        <is>
          <t>JÄMTLANDS LÄN</t>
        </is>
      </c>
      <c r="E2537" t="inlineStr">
        <is>
          <t>BRÄCKE</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3697-2025</t>
        </is>
      </c>
      <c r="B2538" s="1" t="n">
        <v>45681</v>
      </c>
      <c r="C2538" s="1" t="n">
        <v>45847</v>
      </c>
      <c r="D2538" t="inlineStr">
        <is>
          <t>JÄMTLANDS LÄN</t>
        </is>
      </c>
      <c r="E2538" t="inlineStr">
        <is>
          <t>BRÄCKE</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3603-2025</t>
        </is>
      </c>
      <c r="B2539" s="1" t="n">
        <v>45681</v>
      </c>
      <c r="C2539" s="1" t="n">
        <v>45847</v>
      </c>
      <c r="D2539" t="inlineStr">
        <is>
          <t>JÄMTLANDS LÄN</t>
        </is>
      </c>
      <c r="E2539" t="inlineStr">
        <is>
          <t>BRÄCKE</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3841-2025</t>
        </is>
      </c>
      <c r="B2540" s="1" t="n">
        <v>45683</v>
      </c>
      <c r="C2540" s="1" t="n">
        <v>45847</v>
      </c>
      <c r="D2540" t="inlineStr">
        <is>
          <t>JÄMTLANDS LÄN</t>
        </is>
      </c>
      <c r="E2540" t="inlineStr">
        <is>
          <t>BRÄCKE</t>
        </is>
      </c>
      <c r="F2540" t="inlineStr">
        <is>
          <t>SCA</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3863-2025</t>
        </is>
      </c>
      <c r="B2541" s="1" t="n">
        <v>45684</v>
      </c>
      <c r="C2541" s="1" t="n">
        <v>45847</v>
      </c>
      <c r="D2541" t="inlineStr">
        <is>
          <t>JÄMTLANDS LÄN</t>
        </is>
      </c>
      <c r="E2541" t="inlineStr">
        <is>
          <t>BRÄCKE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3907-2025</t>
        </is>
      </c>
      <c r="B2542" s="1" t="n">
        <v>45684</v>
      </c>
      <c r="C2542" s="1" t="n">
        <v>45847</v>
      </c>
      <c r="D2542" t="inlineStr">
        <is>
          <t>JÄMTLANDS LÄN</t>
        </is>
      </c>
      <c r="E2542" t="inlineStr">
        <is>
          <t>BRÄCKE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3862-2025</t>
        </is>
      </c>
      <c r="B2543" s="1" t="n">
        <v>45684</v>
      </c>
      <c r="C2543" s="1" t="n">
        <v>45847</v>
      </c>
      <c r="D2543" t="inlineStr">
        <is>
          <t>JÄMTLANDS LÄN</t>
        </is>
      </c>
      <c r="E2543" t="inlineStr">
        <is>
          <t>BRÄCKE</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3866-2025</t>
        </is>
      </c>
      <c r="B2544" s="1" t="n">
        <v>45684</v>
      </c>
      <c r="C2544" s="1" t="n">
        <v>45847</v>
      </c>
      <c r="D2544" t="inlineStr">
        <is>
          <t>JÄMTLANDS LÄN</t>
        </is>
      </c>
      <c r="E2544" t="inlineStr">
        <is>
          <t>BRÄCKE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3969-2025</t>
        </is>
      </c>
      <c r="B2545" s="1" t="n">
        <v>45684</v>
      </c>
      <c r="C2545" s="1" t="n">
        <v>45847</v>
      </c>
      <c r="D2545" t="inlineStr">
        <is>
          <t>JÄMTLANDS LÄN</t>
        </is>
      </c>
      <c r="E2545" t="inlineStr">
        <is>
          <t>BRÄCKE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3865-2025</t>
        </is>
      </c>
      <c r="B2546" s="1" t="n">
        <v>45684</v>
      </c>
      <c r="C2546" s="1" t="n">
        <v>45847</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3955-2025</t>
        </is>
      </c>
      <c r="B2547" s="1" t="n">
        <v>45684</v>
      </c>
      <c r="C2547" s="1" t="n">
        <v>45847</v>
      </c>
      <c r="D2547" t="inlineStr">
        <is>
          <t>JÄMTLANDS LÄN</t>
        </is>
      </c>
      <c r="E2547" t="inlineStr">
        <is>
          <t>BRÄCKE</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4122-2025</t>
        </is>
      </c>
      <c r="B2548" s="1" t="n">
        <v>45685</v>
      </c>
      <c r="C2548" s="1" t="n">
        <v>45847</v>
      </c>
      <c r="D2548" t="inlineStr">
        <is>
          <t>JÄMTLANDS LÄN</t>
        </is>
      </c>
      <c r="E2548" t="inlineStr">
        <is>
          <t>BRÄCKE</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4130-2025</t>
        </is>
      </c>
      <c r="B2549" s="1" t="n">
        <v>45685</v>
      </c>
      <c r="C2549" s="1" t="n">
        <v>45847</v>
      </c>
      <c r="D2549" t="inlineStr">
        <is>
          <t>JÄMTLANDS LÄN</t>
        </is>
      </c>
      <c r="E2549" t="inlineStr">
        <is>
          <t>BRÄCKE</t>
        </is>
      </c>
      <c r="F2549" t="inlineStr">
        <is>
          <t>SCA</t>
        </is>
      </c>
      <c r="G2549" t="n">
        <v>14.7</v>
      </c>
      <c r="H2549" t="n">
        <v>0</v>
      </c>
      <c r="I2549" t="n">
        <v>0</v>
      </c>
      <c r="J2549" t="n">
        <v>0</v>
      </c>
      <c r="K2549" t="n">
        <v>0</v>
      </c>
      <c r="L2549" t="n">
        <v>0</v>
      </c>
      <c r="M2549" t="n">
        <v>0</v>
      </c>
      <c r="N2549" t="n">
        <v>0</v>
      </c>
      <c r="O2549" t="n">
        <v>0</v>
      </c>
      <c r="P2549" t="n">
        <v>0</v>
      </c>
      <c r="Q2549" t="n">
        <v>0</v>
      </c>
      <c r="R2549" s="2" t="inlineStr"/>
    </row>
    <row r="2550" ht="15" customHeight="1">
      <c r="A2550" t="inlineStr">
        <is>
          <t>A 4121-2025</t>
        </is>
      </c>
      <c r="B2550" s="1" t="n">
        <v>45685</v>
      </c>
      <c r="C2550" s="1" t="n">
        <v>45847</v>
      </c>
      <c r="D2550" t="inlineStr">
        <is>
          <t>JÄMTLANDS LÄN</t>
        </is>
      </c>
      <c r="E2550" t="inlineStr">
        <is>
          <t>BRÄCKE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4123-2025</t>
        </is>
      </c>
      <c r="B2551" s="1" t="n">
        <v>45685</v>
      </c>
      <c r="C2551" s="1" t="n">
        <v>45847</v>
      </c>
      <c r="D2551" t="inlineStr">
        <is>
          <t>JÄMTLANDS LÄN</t>
        </is>
      </c>
      <c r="E2551" t="inlineStr">
        <is>
          <t>BRÄCKE</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4132-2025</t>
        </is>
      </c>
      <c r="B2552" s="1" t="n">
        <v>45685</v>
      </c>
      <c r="C2552" s="1" t="n">
        <v>45847</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4424-2025</t>
        </is>
      </c>
      <c r="B2553" s="1" t="n">
        <v>45686</v>
      </c>
      <c r="C2553" s="1" t="n">
        <v>45847</v>
      </c>
      <c r="D2553" t="inlineStr">
        <is>
          <t>JÄMTLANDS LÄN</t>
        </is>
      </c>
      <c r="E2553" t="inlineStr">
        <is>
          <t>BRÄCKE</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4904-2025</t>
        </is>
      </c>
      <c r="B2554" s="1" t="n">
        <v>45688</v>
      </c>
      <c r="C2554" s="1" t="n">
        <v>45847</v>
      </c>
      <c r="D2554" t="inlineStr">
        <is>
          <t>JÄMTLANDS LÄN</t>
        </is>
      </c>
      <c r="E2554" t="inlineStr">
        <is>
          <t>BRÄCKE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4911-2025</t>
        </is>
      </c>
      <c r="B2555" s="1" t="n">
        <v>45688</v>
      </c>
      <c r="C2555" s="1" t="n">
        <v>45847</v>
      </c>
      <c r="D2555" t="inlineStr">
        <is>
          <t>JÄMTLANDS LÄN</t>
        </is>
      </c>
      <c r="E2555" t="inlineStr">
        <is>
          <t>BRÄCKE</t>
        </is>
      </c>
      <c r="F2555" t="inlineStr">
        <is>
          <t>SCA</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4842-2025</t>
        </is>
      </c>
      <c r="B2556" s="1" t="n">
        <v>45688</v>
      </c>
      <c r="C2556" s="1" t="n">
        <v>45847</v>
      </c>
      <c r="D2556" t="inlineStr">
        <is>
          <t>JÄMTLANDS LÄN</t>
        </is>
      </c>
      <c r="E2556" t="inlineStr">
        <is>
          <t>BRÄCKE</t>
        </is>
      </c>
      <c r="F2556" t="inlineStr">
        <is>
          <t>SCA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4882-2025</t>
        </is>
      </c>
      <c r="B2557" s="1" t="n">
        <v>45688</v>
      </c>
      <c r="C2557" s="1" t="n">
        <v>45847</v>
      </c>
      <c r="D2557" t="inlineStr">
        <is>
          <t>JÄMTLANDS LÄN</t>
        </is>
      </c>
      <c r="E2557" t="inlineStr">
        <is>
          <t>BRÄCKE</t>
        </is>
      </c>
      <c r="F2557" t="inlineStr">
        <is>
          <t>SCA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4902-2025</t>
        </is>
      </c>
      <c r="B2558" s="1" t="n">
        <v>45688</v>
      </c>
      <c r="C2558" s="1" t="n">
        <v>45847</v>
      </c>
      <c r="D2558" t="inlineStr">
        <is>
          <t>JÄMTLANDS LÄN</t>
        </is>
      </c>
      <c r="E2558" t="inlineStr">
        <is>
          <t>BRÄCKE</t>
        </is>
      </c>
      <c r="F2558" t="inlineStr">
        <is>
          <t>SCA</t>
        </is>
      </c>
      <c r="G2558" t="n">
        <v>17.1</v>
      </c>
      <c r="H2558" t="n">
        <v>0</v>
      </c>
      <c r="I2558" t="n">
        <v>0</v>
      </c>
      <c r="J2558" t="n">
        <v>0</v>
      </c>
      <c r="K2558" t="n">
        <v>0</v>
      </c>
      <c r="L2558" t="n">
        <v>0</v>
      </c>
      <c r="M2558" t="n">
        <v>0</v>
      </c>
      <c r="N2558" t="n">
        <v>0</v>
      </c>
      <c r="O2558" t="n">
        <v>0</v>
      </c>
      <c r="P2558" t="n">
        <v>0</v>
      </c>
      <c r="Q2558" t="n">
        <v>0</v>
      </c>
      <c r="R2558" s="2" t="inlineStr"/>
    </row>
    <row r="2559" ht="15" customHeight="1">
      <c r="A2559" t="inlineStr">
        <is>
          <t>A 4914-2025</t>
        </is>
      </c>
      <c r="B2559" s="1" t="n">
        <v>45688</v>
      </c>
      <c r="C2559" s="1" t="n">
        <v>45847</v>
      </c>
      <c r="D2559" t="inlineStr">
        <is>
          <t>JÄMTLANDS LÄN</t>
        </is>
      </c>
      <c r="E2559" t="inlineStr">
        <is>
          <t>BRÄCKE</t>
        </is>
      </c>
      <c r="F2559" t="inlineStr">
        <is>
          <t>SCA</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4939-2025</t>
        </is>
      </c>
      <c r="B2560" s="1" t="n">
        <v>45688</v>
      </c>
      <c r="C2560" s="1" t="n">
        <v>45847</v>
      </c>
      <c r="D2560" t="inlineStr">
        <is>
          <t>JÄMTLANDS LÄN</t>
        </is>
      </c>
      <c r="E2560" t="inlineStr">
        <is>
          <t>BRÄCKE</t>
        </is>
      </c>
      <c r="F2560" t="inlineStr">
        <is>
          <t>Naturvårdsverket</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4841-2025</t>
        </is>
      </c>
      <c r="B2561" s="1" t="n">
        <v>45688</v>
      </c>
      <c r="C2561" s="1" t="n">
        <v>45847</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4845-2025</t>
        </is>
      </c>
      <c r="B2562" s="1" t="n">
        <v>45688</v>
      </c>
      <c r="C2562" s="1" t="n">
        <v>45847</v>
      </c>
      <c r="D2562" t="inlineStr">
        <is>
          <t>JÄMTLANDS LÄN</t>
        </is>
      </c>
      <c r="E2562" t="inlineStr">
        <is>
          <t>BRÄCKE</t>
        </is>
      </c>
      <c r="F2562" t="inlineStr">
        <is>
          <t>SCA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4857-2025</t>
        </is>
      </c>
      <c r="B2563" s="1" t="n">
        <v>45688</v>
      </c>
      <c r="C2563" s="1" t="n">
        <v>45847</v>
      </c>
      <c r="D2563" t="inlineStr">
        <is>
          <t>JÄMTLANDS LÄN</t>
        </is>
      </c>
      <c r="E2563" t="inlineStr">
        <is>
          <t>BRÄCKE</t>
        </is>
      </c>
      <c r="F2563" t="inlineStr">
        <is>
          <t>SCA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4861-2025</t>
        </is>
      </c>
      <c r="B2564" s="1" t="n">
        <v>45688</v>
      </c>
      <c r="C2564" s="1" t="n">
        <v>45847</v>
      </c>
      <c r="D2564" t="inlineStr">
        <is>
          <t>JÄMTLANDS LÄN</t>
        </is>
      </c>
      <c r="E2564" t="inlineStr">
        <is>
          <t>BRÄCKE</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4869-2025</t>
        </is>
      </c>
      <c r="B2565" s="1" t="n">
        <v>45688</v>
      </c>
      <c r="C2565" s="1" t="n">
        <v>45847</v>
      </c>
      <c r="D2565" t="inlineStr">
        <is>
          <t>JÄMTLANDS LÄN</t>
        </is>
      </c>
      <c r="E2565" t="inlineStr">
        <is>
          <t>BRÄCKE</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4877-2025</t>
        </is>
      </c>
      <c r="B2566" s="1" t="n">
        <v>45688</v>
      </c>
      <c r="C2566" s="1" t="n">
        <v>45847</v>
      </c>
      <c r="D2566" t="inlineStr">
        <is>
          <t>JÄMTLANDS LÄN</t>
        </is>
      </c>
      <c r="E2566" t="inlineStr">
        <is>
          <t>BRÄCKE</t>
        </is>
      </c>
      <c r="F2566" t="inlineStr">
        <is>
          <t>SCA</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4893-2025</t>
        </is>
      </c>
      <c r="B2567" s="1" t="n">
        <v>45688</v>
      </c>
      <c r="C2567" s="1" t="n">
        <v>45847</v>
      </c>
      <c r="D2567" t="inlineStr">
        <is>
          <t>JÄMTLANDS LÄN</t>
        </is>
      </c>
      <c r="E2567" t="inlineStr">
        <is>
          <t>BRÄCKE</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4915-2025</t>
        </is>
      </c>
      <c r="B2568" s="1" t="n">
        <v>45688</v>
      </c>
      <c r="C2568" s="1" t="n">
        <v>45847</v>
      </c>
      <c r="D2568" t="inlineStr">
        <is>
          <t>JÄMTLANDS LÄN</t>
        </is>
      </c>
      <c r="E2568" t="inlineStr">
        <is>
          <t>BRÄCKE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4887-2025</t>
        </is>
      </c>
      <c r="B2569" s="1" t="n">
        <v>45688</v>
      </c>
      <c r="C2569" s="1" t="n">
        <v>45847</v>
      </c>
      <c r="D2569" t="inlineStr">
        <is>
          <t>JÄMTLANDS LÄN</t>
        </is>
      </c>
      <c r="E2569" t="inlineStr">
        <is>
          <t>BRÄCKE</t>
        </is>
      </c>
      <c r="F2569" t="inlineStr">
        <is>
          <t>SCA</t>
        </is>
      </c>
      <c r="G2569" t="n">
        <v>9.4</v>
      </c>
      <c r="H2569" t="n">
        <v>0</v>
      </c>
      <c r="I2569" t="n">
        <v>0</v>
      </c>
      <c r="J2569" t="n">
        <v>0</v>
      </c>
      <c r="K2569" t="n">
        <v>0</v>
      </c>
      <c r="L2569" t="n">
        <v>0</v>
      </c>
      <c r="M2569" t="n">
        <v>0</v>
      </c>
      <c r="N2569" t="n">
        <v>0</v>
      </c>
      <c r="O2569" t="n">
        <v>0</v>
      </c>
      <c r="P2569" t="n">
        <v>0</v>
      </c>
      <c r="Q2569" t="n">
        <v>0</v>
      </c>
      <c r="R2569" s="2" t="inlineStr"/>
    </row>
    <row r="2570" ht="15" customHeight="1">
      <c r="A2570" t="inlineStr">
        <is>
          <t>A 4867-2025</t>
        </is>
      </c>
      <c r="B2570" s="1" t="n">
        <v>45688</v>
      </c>
      <c r="C2570" s="1" t="n">
        <v>45847</v>
      </c>
      <c r="D2570" t="inlineStr">
        <is>
          <t>JÄMTLANDS LÄN</t>
        </is>
      </c>
      <c r="E2570" t="inlineStr">
        <is>
          <t>BRÄCKE</t>
        </is>
      </c>
      <c r="F2570" t="inlineStr">
        <is>
          <t>SCA</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4847-2025</t>
        </is>
      </c>
      <c r="B2571" s="1" t="n">
        <v>45688</v>
      </c>
      <c r="C2571" s="1" t="n">
        <v>45847</v>
      </c>
      <c r="D2571" t="inlineStr">
        <is>
          <t>JÄMTLANDS LÄN</t>
        </is>
      </c>
      <c r="E2571" t="inlineStr">
        <is>
          <t>BRÄCKE</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4884-2025</t>
        </is>
      </c>
      <c r="B2572" s="1" t="n">
        <v>45688</v>
      </c>
      <c r="C2572" s="1" t="n">
        <v>45847</v>
      </c>
      <c r="D2572" t="inlineStr">
        <is>
          <t>JÄMTLANDS LÄN</t>
        </is>
      </c>
      <c r="E2572" t="inlineStr">
        <is>
          <t>BRÄCKE</t>
        </is>
      </c>
      <c r="F2572" t="inlineStr">
        <is>
          <t>SCA</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4876-2025</t>
        </is>
      </c>
      <c r="B2573" s="1" t="n">
        <v>45688</v>
      </c>
      <c r="C2573" s="1" t="n">
        <v>45847</v>
      </c>
      <c r="D2573" t="inlineStr">
        <is>
          <t>JÄMTLANDS LÄN</t>
        </is>
      </c>
      <c r="E2573" t="inlineStr">
        <is>
          <t>BRÄCKE</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4848-2025</t>
        </is>
      </c>
      <c r="B2574" s="1" t="n">
        <v>45688</v>
      </c>
      <c r="C2574" s="1" t="n">
        <v>45847</v>
      </c>
      <c r="D2574" t="inlineStr">
        <is>
          <t>JÄMTLANDS LÄN</t>
        </is>
      </c>
      <c r="E2574" t="inlineStr">
        <is>
          <t>BRÄCKE</t>
        </is>
      </c>
      <c r="F2574" t="inlineStr">
        <is>
          <t>SCA</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4844-2025</t>
        </is>
      </c>
      <c r="B2575" s="1" t="n">
        <v>45688</v>
      </c>
      <c r="C2575" s="1" t="n">
        <v>45847</v>
      </c>
      <c r="D2575" t="inlineStr">
        <is>
          <t>JÄMTLANDS LÄN</t>
        </is>
      </c>
      <c r="E2575" t="inlineStr">
        <is>
          <t>BRÄCKE</t>
        </is>
      </c>
      <c r="F2575" t="inlineStr">
        <is>
          <t>SCA</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4836-2025</t>
        </is>
      </c>
      <c r="B2576" s="1" t="n">
        <v>45688</v>
      </c>
      <c r="C2576" s="1" t="n">
        <v>45847</v>
      </c>
      <c r="D2576" t="inlineStr">
        <is>
          <t>JÄMTLANDS LÄN</t>
        </is>
      </c>
      <c r="E2576" t="inlineStr">
        <is>
          <t>BRÄCKE</t>
        </is>
      </c>
      <c r="F2576" t="inlineStr">
        <is>
          <t>SCA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5096-2025</t>
        </is>
      </c>
      <c r="B2577" s="1" t="n">
        <v>45691</v>
      </c>
      <c r="C2577" s="1" t="n">
        <v>45847</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5097-2025</t>
        </is>
      </c>
      <c r="B2578" s="1" t="n">
        <v>45691</v>
      </c>
      <c r="C2578" s="1" t="n">
        <v>45847</v>
      </c>
      <c r="D2578" t="inlineStr">
        <is>
          <t>JÄMTLANDS LÄN</t>
        </is>
      </c>
      <c r="E2578" t="inlineStr">
        <is>
          <t>BRÄCKE</t>
        </is>
      </c>
      <c r="F2578" t="inlineStr">
        <is>
          <t>SCA</t>
        </is>
      </c>
      <c r="G2578" t="n">
        <v>41.5</v>
      </c>
      <c r="H2578" t="n">
        <v>0</v>
      </c>
      <c r="I2578" t="n">
        <v>0</v>
      </c>
      <c r="J2578" t="n">
        <v>0</v>
      </c>
      <c r="K2578" t="n">
        <v>0</v>
      </c>
      <c r="L2578" t="n">
        <v>0</v>
      </c>
      <c r="M2578" t="n">
        <v>0</v>
      </c>
      <c r="N2578" t="n">
        <v>0</v>
      </c>
      <c r="O2578" t="n">
        <v>0</v>
      </c>
      <c r="P2578" t="n">
        <v>0</v>
      </c>
      <c r="Q2578" t="n">
        <v>0</v>
      </c>
      <c r="R2578" s="2" t="inlineStr"/>
    </row>
    <row r="2579" ht="15" customHeight="1">
      <c r="A2579" t="inlineStr">
        <is>
          <t>A 5005-2025</t>
        </is>
      </c>
      <c r="B2579" s="1" t="n">
        <v>45691</v>
      </c>
      <c r="C2579" s="1" t="n">
        <v>45847</v>
      </c>
      <c r="D2579" t="inlineStr">
        <is>
          <t>JÄMTLANDS LÄN</t>
        </is>
      </c>
      <c r="E2579" t="inlineStr">
        <is>
          <t>BRÄCKE</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5070-2025</t>
        </is>
      </c>
      <c r="B2580" s="1" t="n">
        <v>45691</v>
      </c>
      <c r="C2580" s="1" t="n">
        <v>45847</v>
      </c>
      <c r="D2580" t="inlineStr">
        <is>
          <t>JÄMTLANDS LÄN</t>
        </is>
      </c>
      <c r="E2580" t="inlineStr">
        <is>
          <t>BRÄCKE</t>
        </is>
      </c>
      <c r="F2580" t="inlineStr">
        <is>
          <t>SCA</t>
        </is>
      </c>
      <c r="G2580" t="n">
        <v>21.5</v>
      </c>
      <c r="H2580" t="n">
        <v>0</v>
      </c>
      <c r="I2580" t="n">
        <v>0</v>
      </c>
      <c r="J2580" t="n">
        <v>0</v>
      </c>
      <c r="K2580" t="n">
        <v>0</v>
      </c>
      <c r="L2580" t="n">
        <v>0</v>
      </c>
      <c r="M2580" t="n">
        <v>0</v>
      </c>
      <c r="N2580" t="n">
        <v>0</v>
      </c>
      <c r="O2580" t="n">
        <v>0</v>
      </c>
      <c r="P2580" t="n">
        <v>0</v>
      </c>
      <c r="Q2580" t="n">
        <v>0</v>
      </c>
      <c r="R2580" s="2" t="inlineStr"/>
    </row>
    <row r="2581" ht="15" customHeight="1">
      <c r="A2581" t="inlineStr">
        <is>
          <t>A 5169-2025</t>
        </is>
      </c>
      <c r="B2581" s="1" t="n">
        <v>45691</v>
      </c>
      <c r="C2581" s="1" t="n">
        <v>45847</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5167-2025</t>
        </is>
      </c>
      <c r="B2582" s="1" t="n">
        <v>45691</v>
      </c>
      <c r="C2582" s="1" t="n">
        <v>45847</v>
      </c>
      <c r="D2582" t="inlineStr">
        <is>
          <t>JÄMTLANDS LÄN</t>
        </is>
      </c>
      <c r="E2582" t="inlineStr">
        <is>
          <t>BRÄCKE</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5340-2025</t>
        </is>
      </c>
      <c r="B2583" s="1" t="n">
        <v>45692</v>
      </c>
      <c r="C2583" s="1" t="n">
        <v>45847</v>
      </c>
      <c r="D2583" t="inlineStr">
        <is>
          <t>JÄMTLANDS LÄN</t>
        </is>
      </c>
      <c r="E2583" t="inlineStr">
        <is>
          <t>BRÄCKE</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5250-2025</t>
        </is>
      </c>
      <c r="B2584" s="1" t="n">
        <v>45692</v>
      </c>
      <c r="C2584" s="1" t="n">
        <v>45847</v>
      </c>
      <c r="D2584" t="inlineStr">
        <is>
          <t>JÄMTLANDS LÄN</t>
        </is>
      </c>
      <c r="E2584" t="inlineStr">
        <is>
          <t>BRÄCKE</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5482-2025</t>
        </is>
      </c>
      <c r="B2585" s="1" t="n">
        <v>45693</v>
      </c>
      <c r="C2585" s="1" t="n">
        <v>45847</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5490-2025</t>
        </is>
      </c>
      <c r="B2586" s="1" t="n">
        <v>45693</v>
      </c>
      <c r="C2586" s="1" t="n">
        <v>45847</v>
      </c>
      <c r="D2586" t="inlineStr">
        <is>
          <t>JÄMTLANDS LÄN</t>
        </is>
      </c>
      <c r="E2586" t="inlineStr">
        <is>
          <t>BRÄCKE</t>
        </is>
      </c>
      <c r="F2586" t="inlineStr">
        <is>
          <t>SCA</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5525-2025</t>
        </is>
      </c>
      <c r="B2587" s="1" t="n">
        <v>45693</v>
      </c>
      <c r="C2587" s="1" t="n">
        <v>45847</v>
      </c>
      <c r="D2587" t="inlineStr">
        <is>
          <t>JÄMTLANDS LÄN</t>
        </is>
      </c>
      <c r="E2587" t="inlineStr">
        <is>
          <t>BRÄCKE</t>
        </is>
      </c>
      <c r="F2587" t="inlineStr">
        <is>
          <t>SCA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5618-2025</t>
        </is>
      </c>
      <c r="B2588" s="1" t="n">
        <v>45693</v>
      </c>
      <c r="C2588" s="1" t="n">
        <v>45847</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5621-2025</t>
        </is>
      </c>
      <c r="B2589" s="1" t="n">
        <v>45693</v>
      </c>
      <c r="C2589" s="1" t="n">
        <v>45847</v>
      </c>
      <c r="D2589" t="inlineStr">
        <is>
          <t>JÄMTLANDS LÄN</t>
        </is>
      </c>
      <c r="E2589" t="inlineStr">
        <is>
          <t>BRÄCKE</t>
        </is>
      </c>
      <c r="F2589" t="inlineStr">
        <is>
          <t>SCA</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5483-2025</t>
        </is>
      </c>
      <c r="B2590" s="1" t="n">
        <v>45693</v>
      </c>
      <c r="C2590" s="1" t="n">
        <v>45847</v>
      </c>
      <c r="D2590" t="inlineStr">
        <is>
          <t>JÄMTLANDS LÄN</t>
        </is>
      </c>
      <c r="E2590" t="inlineStr">
        <is>
          <t>BRÄCKE</t>
        </is>
      </c>
      <c r="F2590" t="inlineStr">
        <is>
          <t>SCA</t>
        </is>
      </c>
      <c r="G2590" t="n">
        <v>20.5</v>
      </c>
      <c r="H2590" t="n">
        <v>0</v>
      </c>
      <c r="I2590" t="n">
        <v>0</v>
      </c>
      <c r="J2590" t="n">
        <v>0</v>
      </c>
      <c r="K2590" t="n">
        <v>0</v>
      </c>
      <c r="L2590" t="n">
        <v>0</v>
      </c>
      <c r="M2590" t="n">
        <v>0</v>
      </c>
      <c r="N2590" t="n">
        <v>0</v>
      </c>
      <c r="O2590" t="n">
        <v>0</v>
      </c>
      <c r="P2590" t="n">
        <v>0</v>
      </c>
      <c r="Q2590" t="n">
        <v>0</v>
      </c>
      <c r="R2590" s="2" t="inlineStr"/>
    </row>
    <row r="2591" ht="15" customHeight="1">
      <c r="A2591" t="inlineStr">
        <is>
          <t>A 5536-2025</t>
        </is>
      </c>
      <c r="B2591" s="1" t="n">
        <v>45693</v>
      </c>
      <c r="C2591" s="1" t="n">
        <v>45847</v>
      </c>
      <c r="D2591" t="inlineStr">
        <is>
          <t>JÄMTLANDS LÄN</t>
        </is>
      </c>
      <c r="E2591" t="inlineStr">
        <is>
          <t>BRÄCKE</t>
        </is>
      </c>
      <c r="F2591" t="inlineStr">
        <is>
          <t>SCA</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5527-2025</t>
        </is>
      </c>
      <c r="B2592" s="1" t="n">
        <v>45693</v>
      </c>
      <c r="C2592" s="1" t="n">
        <v>45847</v>
      </c>
      <c r="D2592" t="inlineStr">
        <is>
          <t>JÄMTLANDS LÄN</t>
        </is>
      </c>
      <c r="E2592" t="inlineStr">
        <is>
          <t>BRÄCKE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5537-2025</t>
        </is>
      </c>
      <c r="B2593" s="1" t="n">
        <v>45693</v>
      </c>
      <c r="C2593" s="1" t="n">
        <v>45847</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5516-2025</t>
        </is>
      </c>
      <c r="B2594" s="1" t="n">
        <v>45693</v>
      </c>
      <c r="C2594" s="1" t="n">
        <v>45847</v>
      </c>
      <c r="D2594" t="inlineStr">
        <is>
          <t>JÄMTLANDS LÄN</t>
        </is>
      </c>
      <c r="E2594" t="inlineStr">
        <is>
          <t>BRÄCKE</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5682-2025</t>
        </is>
      </c>
      <c r="B2595" s="1" t="n">
        <v>45694</v>
      </c>
      <c r="C2595" s="1" t="n">
        <v>45847</v>
      </c>
      <c r="D2595" t="inlineStr">
        <is>
          <t>JÄMTLANDS LÄN</t>
        </is>
      </c>
      <c r="E2595" t="inlineStr">
        <is>
          <t>BRÄCKE</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5777-2025</t>
        </is>
      </c>
      <c r="B2596" s="1" t="n">
        <v>45694</v>
      </c>
      <c r="C2596" s="1" t="n">
        <v>45847</v>
      </c>
      <c r="D2596" t="inlineStr">
        <is>
          <t>JÄMTLANDS LÄN</t>
        </is>
      </c>
      <c r="E2596" t="inlineStr">
        <is>
          <t>BRÄCKE</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5933-2025</t>
        </is>
      </c>
      <c r="B2597" s="1" t="n">
        <v>45695</v>
      </c>
      <c r="C2597" s="1" t="n">
        <v>45847</v>
      </c>
      <c r="D2597" t="inlineStr">
        <is>
          <t>JÄMTLANDS LÄN</t>
        </is>
      </c>
      <c r="E2597" t="inlineStr">
        <is>
          <t>BRÄCKE</t>
        </is>
      </c>
      <c r="F2597" t="inlineStr">
        <is>
          <t>SCA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5855-2025</t>
        </is>
      </c>
      <c r="B2598" s="1" t="n">
        <v>45695</v>
      </c>
      <c r="C2598" s="1" t="n">
        <v>45847</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c r="U2598">
        <f>HYPERLINK("https://klasma.github.io/Logging_2305/knärot/A 5855-2025 karta knärot.png", "A 5855-2025")</f>
        <v/>
      </c>
      <c r="V2598">
        <f>HYPERLINK("https://klasma.github.io/Logging_2305/klagomål/A 5855-2025 FSC-klagomål.docx", "A 5855-2025")</f>
        <v/>
      </c>
      <c r="W2598">
        <f>HYPERLINK("https://klasma.github.io/Logging_2305/klagomålsmail/A 5855-2025 FSC-klagomål mail.docx", "A 5855-2025")</f>
        <v/>
      </c>
      <c r="X2598">
        <f>HYPERLINK("https://klasma.github.io/Logging_2305/tillsyn/A 5855-2025 tillsynsbegäran.docx", "A 5855-2025")</f>
        <v/>
      </c>
      <c r="Y2598">
        <f>HYPERLINK("https://klasma.github.io/Logging_2305/tillsynsmail/A 5855-2025 tillsynsbegäran mail.docx", "A 5855-2025")</f>
        <v/>
      </c>
    </row>
    <row r="2599" ht="15" customHeight="1">
      <c r="A2599" t="inlineStr">
        <is>
          <t>A 6258-2025</t>
        </is>
      </c>
      <c r="B2599" s="1" t="n">
        <v>45698</v>
      </c>
      <c r="C2599" s="1" t="n">
        <v>45847</v>
      </c>
      <c r="D2599" t="inlineStr">
        <is>
          <t>JÄMTLANDS LÄN</t>
        </is>
      </c>
      <c r="E2599" t="inlineStr">
        <is>
          <t>BRÄCKE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6291-2025</t>
        </is>
      </c>
      <c r="B2600" s="1" t="n">
        <v>45698</v>
      </c>
      <c r="C2600" s="1" t="n">
        <v>45847</v>
      </c>
      <c r="D2600" t="inlineStr">
        <is>
          <t>JÄMTLANDS LÄN</t>
        </is>
      </c>
      <c r="E2600" t="inlineStr">
        <is>
          <t>BRÄCKE</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6213-2025</t>
        </is>
      </c>
      <c r="B2601" s="1" t="n">
        <v>45698</v>
      </c>
      <c r="C2601" s="1" t="n">
        <v>45847</v>
      </c>
      <c r="D2601" t="inlineStr">
        <is>
          <t>JÄMTLANDS LÄN</t>
        </is>
      </c>
      <c r="E2601" t="inlineStr">
        <is>
          <t>BRÄCKE</t>
        </is>
      </c>
      <c r="F2601" t="inlineStr">
        <is>
          <t>SCA</t>
        </is>
      </c>
      <c r="G2601" t="n">
        <v>11.4</v>
      </c>
      <c r="H2601" t="n">
        <v>0</v>
      </c>
      <c r="I2601" t="n">
        <v>0</v>
      </c>
      <c r="J2601" t="n">
        <v>0</v>
      </c>
      <c r="K2601" t="n">
        <v>0</v>
      </c>
      <c r="L2601" t="n">
        <v>0</v>
      </c>
      <c r="M2601" t="n">
        <v>0</v>
      </c>
      <c r="N2601" t="n">
        <v>0</v>
      </c>
      <c r="O2601" t="n">
        <v>0</v>
      </c>
      <c r="P2601" t="n">
        <v>0</v>
      </c>
      <c r="Q2601" t="n">
        <v>0</v>
      </c>
      <c r="R2601" s="2" t="inlineStr"/>
    </row>
    <row r="2602" ht="15" customHeight="1">
      <c r="A2602" t="inlineStr">
        <is>
          <t>A 6378-2025</t>
        </is>
      </c>
      <c r="B2602" s="1" t="n">
        <v>45699</v>
      </c>
      <c r="C2602" s="1" t="n">
        <v>45847</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6377-2025</t>
        </is>
      </c>
      <c r="B2603" s="1" t="n">
        <v>45699</v>
      </c>
      <c r="C2603" s="1" t="n">
        <v>45847</v>
      </c>
      <c r="D2603" t="inlineStr">
        <is>
          <t>JÄMTLANDS LÄN</t>
        </is>
      </c>
      <c r="E2603" t="inlineStr">
        <is>
          <t>BRÄCKE</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6416-2025</t>
        </is>
      </c>
      <c r="B2604" s="1" t="n">
        <v>45699</v>
      </c>
      <c r="C2604" s="1" t="n">
        <v>45847</v>
      </c>
      <c r="D2604" t="inlineStr">
        <is>
          <t>JÄMTLANDS LÄN</t>
        </is>
      </c>
      <c r="E2604" t="inlineStr">
        <is>
          <t>BRÄCKE</t>
        </is>
      </c>
      <c r="F2604" t="inlineStr">
        <is>
          <t>SCA</t>
        </is>
      </c>
      <c r="G2604" t="n">
        <v>12.6</v>
      </c>
      <c r="H2604" t="n">
        <v>0</v>
      </c>
      <c r="I2604" t="n">
        <v>0</v>
      </c>
      <c r="J2604" t="n">
        <v>0</v>
      </c>
      <c r="K2604" t="n">
        <v>0</v>
      </c>
      <c r="L2604" t="n">
        <v>0</v>
      </c>
      <c r="M2604" t="n">
        <v>0</v>
      </c>
      <c r="N2604" t="n">
        <v>0</v>
      </c>
      <c r="O2604" t="n">
        <v>0</v>
      </c>
      <c r="P2604" t="n">
        <v>0</v>
      </c>
      <c r="Q2604" t="n">
        <v>0</v>
      </c>
      <c r="R2604" s="2" t="inlineStr"/>
    </row>
    <row r="2605" ht="15" customHeight="1">
      <c r="A2605" t="inlineStr">
        <is>
          <t>A 6788-2025</t>
        </is>
      </c>
      <c r="B2605" s="1" t="n">
        <v>45700</v>
      </c>
      <c r="C2605" s="1" t="n">
        <v>45847</v>
      </c>
      <c r="D2605" t="inlineStr">
        <is>
          <t>JÄMTLANDS LÄN</t>
        </is>
      </c>
      <c r="E2605" t="inlineStr">
        <is>
          <t>BRÄCKE</t>
        </is>
      </c>
      <c r="F2605" t="inlineStr">
        <is>
          <t>SCA</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6786-2025</t>
        </is>
      </c>
      <c r="B2606" s="1" t="n">
        <v>45700</v>
      </c>
      <c r="C2606" s="1" t="n">
        <v>45847</v>
      </c>
      <c r="D2606" t="inlineStr">
        <is>
          <t>JÄMTLANDS LÄN</t>
        </is>
      </c>
      <c r="E2606" t="inlineStr">
        <is>
          <t>BRÄCKE</t>
        </is>
      </c>
      <c r="F2606" t="inlineStr">
        <is>
          <t>SCA</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6813-2025</t>
        </is>
      </c>
      <c r="B2607" s="1" t="n">
        <v>45700</v>
      </c>
      <c r="C2607" s="1" t="n">
        <v>45847</v>
      </c>
      <c r="D2607" t="inlineStr">
        <is>
          <t>JÄMTLANDS LÄN</t>
        </is>
      </c>
      <c r="E2607" t="inlineStr">
        <is>
          <t>BRÄCKE</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6707-2025</t>
        </is>
      </c>
      <c r="B2608" s="1" t="n">
        <v>45700</v>
      </c>
      <c r="C2608" s="1" t="n">
        <v>45847</v>
      </c>
      <c r="D2608" t="inlineStr">
        <is>
          <t>JÄMTLANDS LÄN</t>
        </is>
      </c>
      <c r="E2608" t="inlineStr">
        <is>
          <t>BRÄCKE</t>
        </is>
      </c>
      <c r="F2608" t="inlineStr">
        <is>
          <t>SCA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6626-2025</t>
        </is>
      </c>
      <c r="B2609" s="1" t="n">
        <v>45700</v>
      </c>
      <c r="C2609" s="1" t="n">
        <v>45847</v>
      </c>
      <c r="D2609" t="inlineStr">
        <is>
          <t>JÄMTLANDS LÄN</t>
        </is>
      </c>
      <c r="E2609" t="inlineStr">
        <is>
          <t>BRÄCKE</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6622-2025</t>
        </is>
      </c>
      <c r="B2610" s="1" t="n">
        <v>45700</v>
      </c>
      <c r="C2610" s="1" t="n">
        <v>45847</v>
      </c>
      <c r="D2610" t="inlineStr">
        <is>
          <t>JÄMTLANDS LÄN</t>
        </is>
      </c>
      <c r="E2610" t="inlineStr">
        <is>
          <t>BRÄCKE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6878-2025</t>
        </is>
      </c>
      <c r="B2611" s="1" t="n">
        <v>45701</v>
      </c>
      <c r="C2611" s="1" t="n">
        <v>45847</v>
      </c>
      <c r="D2611" t="inlineStr">
        <is>
          <t>JÄMTLANDS LÄN</t>
        </is>
      </c>
      <c r="E2611" t="inlineStr">
        <is>
          <t>BRÄCKE</t>
        </is>
      </c>
      <c r="G2611" t="n">
        <v>16.2</v>
      </c>
      <c r="H2611" t="n">
        <v>0</v>
      </c>
      <c r="I2611" t="n">
        <v>0</v>
      </c>
      <c r="J2611" t="n">
        <v>0</v>
      </c>
      <c r="K2611" t="n">
        <v>0</v>
      </c>
      <c r="L2611" t="n">
        <v>0</v>
      </c>
      <c r="M2611" t="n">
        <v>0</v>
      </c>
      <c r="N2611" t="n">
        <v>0</v>
      </c>
      <c r="O2611" t="n">
        <v>0</v>
      </c>
      <c r="P2611" t="n">
        <v>0</v>
      </c>
      <c r="Q2611" t="n">
        <v>0</v>
      </c>
      <c r="R2611" s="2" t="inlineStr"/>
    </row>
    <row r="2612" ht="15" customHeight="1">
      <c r="A2612" t="inlineStr">
        <is>
          <t>A 7301-2025</t>
        </is>
      </c>
      <c r="B2612" s="1" t="n">
        <v>45702</v>
      </c>
      <c r="C2612" s="1" t="n">
        <v>45847</v>
      </c>
      <c r="D2612" t="inlineStr">
        <is>
          <t>JÄMTLANDS LÄN</t>
        </is>
      </c>
      <c r="E2612" t="inlineStr">
        <is>
          <t>BRÄCKE</t>
        </is>
      </c>
      <c r="F2612" t="inlineStr">
        <is>
          <t>SCA</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7123-2025</t>
        </is>
      </c>
      <c r="B2613" s="1" t="n">
        <v>45702</v>
      </c>
      <c r="C2613" s="1" t="n">
        <v>45847</v>
      </c>
      <c r="D2613" t="inlineStr">
        <is>
          <t>JÄMTLANDS LÄN</t>
        </is>
      </c>
      <c r="E2613" t="inlineStr">
        <is>
          <t>BRÄCKE</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7230-2025</t>
        </is>
      </c>
      <c r="B2614" s="1" t="n">
        <v>45702</v>
      </c>
      <c r="C2614" s="1" t="n">
        <v>45847</v>
      </c>
      <c r="D2614" t="inlineStr">
        <is>
          <t>JÄMTLANDS LÄN</t>
        </is>
      </c>
      <c r="E2614" t="inlineStr">
        <is>
          <t>BRÄCKE</t>
        </is>
      </c>
      <c r="F2614" t="inlineStr">
        <is>
          <t>SCA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7588-2025</t>
        </is>
      </c>
      <c r="B2615" s="1" t="n">
        <v>45705</v>
      </c>
      <c r="C2615" s="1" t="n">
        <v>45847</v>
      </c>
      <c r="D2615" t="inlineStr">
        <is>
          <t>JÄMTLANDS LÄN</t>
        </is>
      </c>
      <c r="E2615" t="inlineStr">
        <is>
          <t>BRÄCKE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7396-2025</t>
        </is>
      </c>
      <c r="B2616" s="1" t="n">
        <v>45705</v>
      </c>
      <c r="C2616" s="1" t="n">
        <v>45847</v>
      </c>
      <c r="D2616" t="inlineStr">
        <is>
          <t>JÄMTLANDS LÄN</t>
        </is>
      </c>
      <c r="E2616" t="inlineStr">
        <is>
          <t>BRÄCKE</t>
        </is>
      </c>
      <c r="F2616" t="inlineStr">
        <is>
          <t>SCA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7512-2025</t>
        </is>
      </c>
      <c r="B2617" s="1" t="n">
        <v>45705</v>
      </c>
      <c r="C2617" s="1" t="n">
        <v>45847</v>
      </c>
      <c r="D2617" t="inlineStr">
        <is>
          <t>JÄMTLANDS LÄN</t>
        </is>
      </c>
      <c r="E2617" t="inlineStr">
        <is>
          <t>BRÄCKE</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7757-2025</t>
        </is>
      </c>
      <c r="B2618" s="1" t="n">
        <v>45706</v>
      </c>
      <c r="C2618" s="1" t="n">
        <v>45847</v>
      </c>
      <c r="D2618" t="inlineStr">
        <is>
          <t>JÄMTLANDS LÄN</t>
        </is>
      </c>
      <c r="E2618" t="inlineStr">
        <is>
          <t>BRÄCKE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7756-2025</t>
        </is>
      </c>
      <c r="B2619" s="1" t="n">
        <v>45706</v>
      </c>
      <c r="C2619" s="1" t="n">
        <v>45847</v>
      </c>
      <c r="D2619" t="inlineStr">
        <is>
          <t>JÄMTLANDS LÄN</t>
        </is>
      </c>
      <c r="E2619" t="inlineStr">
        <is>
          <t>BRÄCKE</t>
        </is>
      </c>
      <c r="F2619" t="inlineStr">
        <is>
          <t>SCA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7765-2025</t>
        </is>
      </c>
      <c r="B2620" s="1" t="n">
        <v>45706</v>
      </c>
      <c r="C2620" s="1" t="n">
        <v>45847</v>
      </c>
      <c r="D2620" t="inlineStr">
        <is>
          <t>JÄMTLANDS LÄN</t>
        </is>
      </c>
      <c r="E2620" t="inlineStr">
        <is>
          <t>BRÄCKE</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7686-2025</t>
        </is>
      </c>
      <c r="B2621" s="1" t="n">
        <v>45706</v>
      </c>
      <c r="C2621" s="1" t="n">
        <v>45847</v>
      </c>
      <c r="D2621" t="inlineStr">
        <is>
          <t>JÄMTLANDS LÄN</t>
        </is>
      </c>
      <c r="E2621" t="inlineStr">
        <is>
          <t>BRÄCKE</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7735-2025</t>
        </is>
      </c>
      <c r="B2622" s="1" t="n">
        <v>45706</v>
      </c>
      <c r="C2622" s="1" t="n">
        <v>45847</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8004-2025</t>
        </is>
      </c>
      <c r="B2623" s="1" t="n">
        <v>45707</v>
      </c>
      <c r="C2623" s="1" t="n">
        <v>45847</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7944-2025</t>
        </is>
      </c>
      <c r="B2624" s="1" t="n">
        <v>45707</v>
      </c>
      <c r="C2624" s="1" t="n">
        <v>45847</v>
      </c>
      <c r="D2624" t="inlineStr">
        <is>
          <t>JÄMTLANDS LÄN</t>
        </is>
      </c>
      <c r="E2624" t="inlineStr">
        <is>
          <t>BRÄCKE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7943-2025</t>
        </is>
      </c>
      <c r="B2625" s="1" t="n">
        <v>45707</v>
      </c>
      <c r="C2625" s="1" t="n">
        <v>45847</v>
      </c>
      <c r="D2625" t="inlineStr">
        <is>
          <t>JÄMTLANDS LÄN</t>
        </is>
      </c>
      <c r="E2625" t="inlineStr">
        <is>
          <t>BRÄCKE</t>
        </is>
      </c>
      <c r="F2625" t="inlineStr">
        <is>
          <t>SCA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8312-2025</t>
        </is>
      </c>
      <c r="B2626" s="1" t="n">
        <v>45708</v>
      </c>
      <c r="C2626" s="1" t="n">
        <v>45847</v>
      </c>
      <c r="D2626" t="inlineStr">
        <is>
          <t>JÄMTLANDS LÄN</t>
        </is>
      </c>
      <c r="E2626" t="inlineStr">
        <is>
          <t>BRÄCKE</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8258-2025</t>
        </is>
      </c>
      <c r="B2627" s="1" t="n">
        <v>45708</v>
      </c>
      <c r="C2627" s="1" t="n">
        <v>45847</v>
      </c>
      <c r="D2627" t="inlineStr">
        <is>
          <t>JÄMTLANDS LÄN</t>
        </is>
      </c>
      <c r="E2627" t="inlineStr">
        <is>
          <t>BRÄCKE</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8311-2025</t>
        </is>
      </c>
      <c r="B2628" s="1" t="n">
        <v>45708</v>
      </c>
      <c r="C2628" s="1" t="n">
        <v>45847</v>
      </c>
      <c r="D2628" t="inlineStr">
        <is>
          <t>JÄMTLANDS LÄN</t>
        </is>
      </c>
      <c r="E2628" t="inlineStr">
        <is>
          <t>BRÄCKE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8386-2025</t>
        </is>
      </c>
      <c r="B2629" s="1" t="n">
        <v>45709</v>
      </c>
      <c r="C2629" s="1" t="n">
        <v>45847</v>
      </c>
      <c r="D2629" t="inlineStr">
        <is>
          <t>JÄMTLANDS LÄN</t>
        </is>
      </c>
      <c r="E2629" t="inlineStr">
        <is>
          <t>BRÄCKE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8507-2025</t>
        </is>
      </c>
      <c r="B2630" s="1" t="n">
        <v>45709</v>
      </c>
      <c r="C2630" s="1" t="n">
        <v>45847</v>
      </c>
      <c r="D2630" t="inlineStr">
        <is>
          <t>JÄMTLANDS LÄN</t>
        </is>
      </c>
      <c r="E2630" t="inlineStr">
        <is>
          <t>BRÄCKE</t>
        </is>
      </c>
      <c r="F2630" t="inlineStr">
        <is>
          <t>SCA</t>
        </is>
      </c>
      <c r="G2630" t="n">
        <v>30.9</v>
      </c>
      <c r="H2630" t="n">
        <v>0</v>
      </c>
      <c r="I2630" t="n">
        <v>0</v>
      </c>
      <c r="J2630" t="n">
        <v>0</v>
      </c>
      <c r="K2630" t="n">
        <v>0</v>
      </c>
      <c r="L2630" t="n">
        <v>0</v>
      </c>
      <c r="M2630" t="n">
        <v>0</v>
      </c>
      <c r="N2630" t="n">
        <v>0</v>
      </c>
      <c r="O2630" t="n">
        <v>0</v>
      </c>
      <c r="P2630" t="n">
        <v>0</v>
      </c>
      <c r="Q2630" t="n">
        <v>0</v>
      </c>
      <c r="R2630" s="2" t="inlineStr"/>
    </row>
    <row r="2631" ht="15" customHeight="1">
      <c r="A2631" t="inlineStr">
        <is>
          <t>A 8777-2025</t>
        </is>
      </c>
      <c r="B2631" s="1" t="n">
        <v>45712</v>
      </c>
      <c r="C2631" s="1" t="n">
        <v>45847</v>
      </c>
      <c r="D2631" t="inlineStr">
        <is>
          <t>JÄMTLANDS LÄN</t>
        </is>
      </c>
      <c r="E2631" t="inlineStr">
        <is>
          <t>BRÄCKE</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8757-2025</t>
        </is>
      </c>
      <c r="B2632" s="1" t="n">
        <v>45712</v>
      </c>
      <c r="C2632" s="1" t="n">
        <v>45847</v>
      </c>
      <c r="D2632" t="inlineStr">
        <is>
          <t>JÄMTLANDS LÄN</t>
        </is>
      </c>
      <c r="E2632" t="inlineStr">
        <is>
          <t>BRÄCKE</t>
        </is>
      </c>
      <c r="F2632" t="inlineStr">
        <is>
          <t>SCA</t>
        </is>
      </c>
      <c r="G2632" t="n">
        <v>10.6</v>
      </c>
      <c r="H2632" t="n">
        <v>0</v>
      </c>
      <c r="I2632" t="n">
        <v>0</v>
      </c>
      <c r="J2632" t="n">
        <v>0</v>
      </c>
      <c r="K2632" t="n">
        <v>0</v>
      </c>
      <c r="L2632" t="n">
        <v>0</v>
      </c>
      <c r="M2632" t="n">
        <v>0</v>
      </c>
      <c r="N2632" t="n">
        <v>0</v>
      </c>
      <c r="O2632" t="n">
        <v>0</v>
      </c>
      <c r="P2632" t="n">
        <v>0</v>
      </c>
      <c r="Q2632" t="n">
        <v>0</v>
      </c>
      <c r="R2632" s="2" t="inlineStr"/>
    </row>
    <row r="2633" ht="15" customHeight="1">
      <c r="A2633" t="inlineStr">
        <is>
          <t>A 8739-2025</t>
        </is>
      </c>
      <c r="B2633" s="1" t="n">
        <v>45712</v>
      </c>
      <c r="C2633" s="1" t="n">
        <v>45847</v>
      </c>
      <c r="D2633" t="inlineStr">
        <is>
          <t>JÄMTLANDS LÄN</t>
        </is>
      </c>
      <c r="E2633" t="inlineStr">
        <is>
          <t>BRÄCKE</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8780-2025</t>
        </is>
      </c>
      <c r="B2634" s="1" t="n">
        <v>45712</v>
      </c>
      <c r="C2634" s="1" t="n">
        <v>45847</v>
      </c>
      <c r="D2634" t="inlineStr">
        <is>
          <t>JÄMTLANDS LÄN</t>
        </is>
      </c>
      <c r="E2634" t="inlineStr">
        <is>
          <t>BRÄCKE</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8891-2025</t>
        </is>
      </c>
      <c r="B2635" s="1" t="n">
        <v>45713</v>
      </c>
      <c r="C2635" s="1" t="n">
        <v>45847</v>
      </c>
      <c r="D2635" t="inlineStr">
        <is>
          <t>JÄMTLANDS LÄN</t>
        </is>
      </c>
      <c r="E2635" t="inlineStr">
        <is>
          <t>BRÄCKE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9091-2025</t>
        </is>
      </c>
      <c r="B2636" s="1" t="n">
        <v>45713</v>
      </c>
      <c r="C2636" s="1" t="n">
        <v>45847</v>
      </c>
      <c r="D2636" t="inlineStr">
        <is>
          <t>JÄMTLANDS LÄN</t>
        </is>
      </c>
      <c r="E2636" t="inlineStr">
        <is>
          <t>BRÄCKE</t>
        </is>
      </c>
      <c r="F2636" t="inlineStr">
        <is>
          <t>SCA</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8853-2025</t>
        </is>
      </c>
      <c r="B2637" s="1" t="n">
        <v>45713</v>
      </c>
      <c r="C2637" s="1" t="n">
        <v>45847</v>
      </c>
      <c r="D2637" t="inlineStr">
        <is>
          <t>JÄMTLANDS LÄN</t>
        </is>
      </c>
      <c r="E2637" t="inlineStr">
        <is>
          <t>BRÄCKE</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8885-2025</t>
        </is>
      </c>
      <c r="B2638" s="1" t="n">
        <v>45713</v>
      </c>
      <c r="C2638" s="1" t="n">
        <v>45847</v>
      </c>
      <c r="D2638" t="inlineStr">
        <is>
          <t>JÄMTLANDS LÄN</t>
        </is>
      </c>
      <c r="E2638" t="inlineStr">
        <is>
          <t>BRÄCKE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8890-2025</t>
        </is>
      </c>
      <c r="B2639" s="1" t="n">
        <v>45713</v>
      </c>
      <c r="C2639" s="1" t="n">
        <v>45847</v>
      </c>
      <c r="D2639" t="inlineStr">
        <is>
          <t>JÄMTLANDS LÄN</t>
        </is>
      </c>
      <c r="E2639" t="inlineStr">
        <is>
          <t>BRÄCKE</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9150-2025</t>
        </is>
      </c>
      <c r="B2640" s="1" t="n">
        <v>45714</v>
      </c>
      <c r="C2640" s="1" t="n">
        <v>45847</v>
      </c>
      <c r="D2640" t="inlineStr">
        <is>
          <t>JÄMTLANDS LÄN</t>
        </is>
      </c>
      <c r="E2640" t="inlineStr">
        <is>
          <t>BRÄCKE</t>
        </is>
      </c>
      <c r="F2640" t="inlineStr">
        <is>
          <t>SCA</t>
        </is>
      </c>
      <c r="G2640" t="n">
        <v>29.6</v>
      </c>
      <c r="H2640" t="n">
        <v>0</v>
      </c>
      <c r="I2640" t="n">
        <v>0</v>
      </c>
      <c r="J2640" t="n">
        <v>0</v>
      </c>
      <c r="K2640" t="n">
        <v>0</v>
      </c>
      <c r="L2640" t="n">
        <v>0</v>
      </c>
      <c r="M2640" t="n">
        <v>0</v>
      </c>
      <c r="N2640" t="n">
        <v>0</v>
      </c>
      <c r="O2640" t="n">
        <v>0</v>
      </c>
      <c r="P2640" t="n">
        <v>0</v>
      </c>
      <c r="Q2640" t="n">
        <v>0</v>
      </c>
      <c r="R2640" s="2" t="inlineStr"/>
    </row>
    <row r="2641" ht="15" customHeight="1">
      <c r="A2641" t="inlineStr">
        <is>
          <t>A 9434-2025</t>
        </is>
      </c>
      <c r="B2641" s="1" t="n">
        <v>45715</v>
      </c>
      <c r="C2641" s="1" t="n">
        <v>45847</v>
      </c>
      <c r="D2641" t="inlineStr">
        <is>
          <t>JÄMTLANDS LÄN</t>
        </is>
      </c>
      <c r="E2641" t="inlineStr">
        <is>
          <t>BRÄCKE</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9467-2025</t>
        </is>
      </c>
      <c r="B2642" s="1" t="n">
        <v>45715</v>
      </c>
      <c r="C2642" s="1" t="n">
        <v>45847</v>
      </c>
      <c r="D2642" t="inlineStr">
        <is>
          <t>JÄMTLANDS LÄN</t>
        </is>
      </c>
      <c r="E2642" t="inlineStr">
        <is>
          <t>BRÄCKE</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9565-2025</t>
        </is>
      </c>
      <c r="B2643" s="1" t="n">
        <v>45715</v>
      </c>
      <c r="C2643" s="1" t="n">
        <v>45847</v>
      </c>
      <c r="D2643" t="inlineStr">
        <is>
          <t>JÄMTLANDS LÄN</t>
        </is>
      </c>
      <c r="E2643" t="inlineStr">
        <is>
          <t>BRÄCKE</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9386-2025</t>
        </is>
      </c>
      <c r="B2644" s="1" t="n">
        <v>45715</v>
      </c>
      <c r="C2644" s="1" t="n">
        <v>45847</v>
      </c>
      <c r="D2644" t="inlineStr">
        <is>
          <t>JÄMTLANDS LÄN</t>
        </is>
      </c>
      <c r="E2644" t="inlineStr">
        <is>
          <t>BRÄCKE</t>
        </is>
      </c>
      <c r="F2644" t="inlineStr">
        <is>
          <t>SCA</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9387-2025</t>
        </is>
      </c>
      <c r="B2645" s="1" t="n">
        <v>45715</v>
      </c>
      <c r="C2645" s="1" t="n">
        <v>45847</v>
      </c>
      <c r="D2645" t="inlineStr">
        <is>
          <t>JÄMTLANDS LÄN</t>
        </is>
      </c>
      <c r="E2645" t="inlineStr">
        <is>
          <t>BRÄCKE</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9438-2025</t>
        </is>
      </c>
      <c r="B2646" s="1" t="n">
        <v>45715</v>
      </c>
      <c r="C2646" s="1" t="n">
        <v>45847</v>
      </c>
      <c r="D2646" t="inlineStr">
        <is>
          <t>JÄMTLANDS LÄN</t>
        </is>
      </c>
      <c r="E2646" t="inlineStr">
        <is>
          <t>BRÄCKE</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9381-2025</t>
        </is>
      </c>
      <c r="B2647" s="1" t="n">
        <v>45715</v>
      </c>
      <c r="C2647" s="1" t="n">
        <v>45847</v>
      </c>
      <c r="D2647" t="inlineStr">
        <is>
          <t>JÄMTLANDS LÄN</t>
        </is>
      </c>
      <c r="E2647" t="inlineStr">
        <is>
          <t>BRÄCKE</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9468-2025</t>
        </is>
      </c>
      <c r="B2648" s="1" t="n">
        <v>45715</v>
      </c>
      <c r="C2648" s="1" t="n">
        <v>45847</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9505-2025</t>
        </is>
      </c>
      <c r="B2649" s="1" t="n">
        <v>45715</v>
      </c>
      <c r="C2649" s="1" t="n">
        <v>45847</v>
      </c>
      <c r="D2649" t="inlineStr">
        <is>
          <t>JÄMTLANDS LÄN</t>
        </is>
      </c>
      <c r="E2649" t="inlineStr">
        <is>
          <t>BRÄCKE</t>
        </is>
      </c>
      <c r="F2649" t="inlineStr">
        <is>
          <t>SCA</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9743-2025</t>
        </is>
      </c>
      <c r="B2650" s="1" t="n">
        <v>45716</v>
      </c>
      <c r="C2650" s="1" t="n">
        <v>45847</v>
      </c>
      <c r="D2650" t="inlineStr">
        <is>
          <t>JÄMTLANDS LÄN</t>
        </is>
      </c>
      <c r="E2650" t="inlineStr">
        <is>
          <t>BRÄCKE</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9824-2025</t>
        </is>
      </c>
      <c r="B2651" s="1" t="n">
        <v>45716</v>
      </c>
      <c r="C2651" s="1" t="n">
        <v>45847</v>
      </c>
      <c r="D2651" t="inlineStr">
        <is>
          <t>JÄMTLANDS LÄN</t>
        </is>
      </c>
      <c r="E2651" t="inlineStr">
        <is>
          <t>BRÄCKE</t>
        </is>
      </c>
      <c r="F2651" t="inlineStr">
        <is>
          <t>SCA</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9707-2025</t>
        </is>
      </c>
      <c r="B2652" s="1" t="n">
        <v>45716</v>
      </c>
      <c r="C2652" s="1" t="n">
        <v>45847</v>
      </c>
      <c r="D2652" t="inlineStr">
        <is>
          <t>JÄMTLANDS LÄN</t>
        </is>
      </c>
      <c r="E2652" t="inlineStr">
        <is>
          <t>BRÄCKE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9706-2025</t>
        </is>
      </c>
      <c r="B2653" s="1" t="n">
        <v>45716</v>
      </c>
      <c r="C2653" s="1" t="n">
        <v>45847</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10103-2025</t>
        </is>
      </c>
      <c r="B2654" s="1" t="n">
        <v>45719</v>
      </c>
      <c r="C2654" s="1" t="n">
        <v>45847</v>
      </c>
      <c r="D2654" t="inlineStr">
        <is>
          <t>JÄMTLANDS LÄN</t>
        </is>
      </c>
      <c r="E2654" t="inlineStr">
        <is>
          <t>BRÄCKE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10088-2025</t>
        </is>
      </c>
      <c r="B2655" s="1" t="n">
        <v>45719</v>
      </c>
      <c r="C2655" s="1" t="n">
        <v>45847</v>
      </c>
      <c r="D2655" t="inlineStr">
        <is>
          <t>JÄMTLANDS LÄN</t>
        </is>
      </c>
      <c r="E2655" t="inlineStr">
        <is>
          <t>BRÄCKE</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9952-2025</t>
        </is>
      </c>
      <c r="B2656" s="1" t="n">
        <v>45719</v>
      </c>
      <c r="C2656" s="1" t="n">
        <v>45847</v>
      </c>
      <c r="D2656" t="inlineStr">
        <is>
          <t>JÄMTLANDS LÄN</t>
        </is>
      </c>
      <c r="E2656" t="inlineStr">
        <is>
          <t>BRÄCKE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10215-2025</t>
        </is>
      </c>
      <c r="B2657" s="1" t="n">
        <v>45720</v>
      </c>
      <c r="C2657" s="1" t="n">
        <v>45847</v>
      </c>
      <c r="D2657" t="inlineStr">
        <is>
          <t>JÄMTLANDS LÄN</t>
        </is>
      </c>
      <c r="E2657" t="inlineStr">
        <is>
          <t>BRÄCKE</t>
        </is>
      </c>
      <c r="G2657" t="n">
        <v>18.9</v>
      </c>
      <c r="H2657" t="n">
        <v>0</v>
      </c>
      <c r="I2657" t="n">
        <v>0</v>
      </c>
      <c r="J2657" t="n">
        <v>0</v>
      </c>
      <c r="K2657" t="n">
        <v>0</v>
      </c>
      <c r="L2657" t="n">
        <v>0</v>
      </c>
      <c r="M2657" t="n">
        <v>0</v>
      </c>
      <c r="N2657" t="n">
        <v>0</v>
      </c>
      <c r="O2657" t="n">
        <v>0</v>
      </c>
      <c r="P2657" t="n">
        <v>0</v>
      </c>
      <c r="Q2657" t="n">
        <v>0</v>
      </c>
      <c r="R2657" s="2" t="inlineStr"/>
      <c r="U2657">
        <f>HYPERLINK("https://klasma.github.io/Logging_232305/knärot/A 10215-2025 karta knärot.png", "A 10215-2025")</f>
        <v/>
      </c>
      <c r="V2657">
        <f>HYPERLINK("https://klasma.github.io/Logging_232305/klagomål/A 10215-2025 FSC-klagomål.docx", "A 10215-2025")</f>
        <v/>
      </c>
      <c r="W2657">
        <f>HYPERLINK("https://klasma.github.io/Logging_232305/klagomålsmail/A 10215-2025 FSC-klagomål mail.docx", "A 10215-2025")</f>
        <v/>
      </c>
      <c r="X2657">
        <f>HYPERLINK("https://klasma.github.io/Logging_232305/tillsyn/A 10215-2025 tillsynsbegäran.docx", "A 10215-2025")</f>
        <v/>
      </c>
      <c r="Y2657">
        <f>HYPERLINK("https://klasma.github.io/Logging_232305/tillsynsmail/A 10215-2025 tillsynsbegäran mail.docx", "A 10215-2025")</f>
        <v/>
      </c>
    </row>
    <row r="2658" ht="15" customHeight="1">
      <c r="A2658" t="inlineStr">
        <is>
          <t>A 10110-2025</t>
        </is>
      </c>
      <c r="B2658" s="1" t="n">
        <v>45719</v>
      </c>
      <c r="C2658" s="1" t="n">
        <v>45847</v>
      </c>
      <c r="D2658" t="inlineStr">
        <is>
          <t>JÄMTLANDS LÄN</t>
        </is>
      </c>
      <c r="E2658" t="inlineStr">
        <is>
          <t>BRÄCKE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9969-2025</t>
        </is>
      </c>
      <c r="B2659" s="1" t="n">
        <v>45719</v>
      </c>
      <c r="C2659" s="1" t="n">
        <v>45847</v>
      </c>
      <c r="D2659" t="inlineStr">
        <is>
          <t>JÄMTLANDS LÄN</t>
        </is>
      </c>
      <c r="E2659" t="inlineStr">
        <is>
          <t>BRÄCKE</t>
        </is>
      </c>
      <c r="F2659" t="inlineStr">
        <is>
          <t>SCA</t>
        </is>
      </c>
      <c r="G2659" t="n">
        <v>18.9</v>
      </c>
      <c r="H2659" t="n">
        <v>0</v>
      </c>
      <c r="I2659" t="n">
        <v>0</v>
      </c>
      <c r="J2659" t="n">
        <v>0</v>
      </c>
      <c r="K2659" t="n">
        <v>0</v>
      </c>
      <c r="L2659" t="n">
        <v>0</v>
      </c>
      <c r="M2659" t="n">
        <v>0</v>
      </c>
      <c r="N2659" t="n">
        <v>0</v>
      </c>
      <c r="O2659" t="n">
        <v>0</v>
      </c>
      <c r="P2659" t="n">
        <v>0</v>
      </c>
      <c r="Q2659" t="n">
        <v>0</v>
      </c>
      <c r="R2659" s="2" t="inlineStr"/>
    </row>
    <row r="2660" ht="15" customHeight="1">
      <c r="A2660" t="inlineStr">
        <is>
          <t>A 9970-2025</t>
        </is>
      </c>
      <c r="B2660" s="1" t="n">
        <v>45719</v>
      </c>
      <c r="C2660" s="1" t="n">
        <v>45847</v>
      </c>
      <c r="D2660" t="inlineStr">
        <is>
          <t>JÄMTLANDS LÄN</t>
        </is>
      </c>
      <c r="E2660" t="inlineStr">
        <is>
          <t>BRÄCKE</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9996-2025</t>
        </is>
      </c>
      <c r="B2661" s="1" t="n">
        <v>45719</v>
      </c>
      <c r="C2661" s="1" t="n">
        <v>45847</v>
      </c>
      <c r="D2661" t="inlineStr">
        <is>
          <t>JÄMTLANDS LÄN</t>
        </is>
      </c>
      <c r="E2661" t="inlineStr">
        <is>
          <t>BRÄCKE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10106-2025</t>
        </is>
      </c>
      <c r="B2662" s="1" t="n">
        <v>45719</v>
      </c>
      <c r="C2662" s="1" t="n">
        <v>45847</v>
      </c>
      <c r="D2662" t="inlineStr">
        <is>
          <t>JÄMTLANDS LÄN</t>
        </is>
      </c>
      <c r="E2662" t="inlineStr">
        <is>
          <t>BRÄCKE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10308-2025</t>
        </is>
      </c>
      <c r="B2663" s="1" t="n">
        <v>45720</v>
      </c>
      <c r="C2663" s="1" t="n">
        <v>45847</v>
      </c>
      <c r="D2663" t="inlineStr">
        <is>
          <t>JÄMTLANDS LÄN</t>
        </is>
      </c>
      <c r="E2663" t="inlineStr">
        <is>
          <t>BRÄCKE</t>
        </is>
      </c>
      <c r="F2663" t="inlineStr">
        <is>
          <t>SCA</t>
        </is>
      </c>
      <c r="G2663" t="n">
        <v>24.3</v>
      </c>
      <c r="H2663" t="n">
        <v>0</v>
      </c>
      <c r="I2663" t="n">
        <v>0</v>
      </c>
      <c r="J2663" t="n">
        <v>0</v>
      </c>
      <c r="K2663" t="n">
        <v>0</v>
      </c>
      <c r="L2663" t="n">
        <v>0</v>
      </c>
      <c r="M2663" t="n">
        <v>0</v>
      </c>
      <c r="N2663" t="n">
        <v>0</v>
      </c>
      <c r="O2663" t="n">
        <v>0</v>
      </c>
      <c r="P2663" t="n">
        <v>0</v>
      </c>
      <c r="Q2663" t="n">
        <v>0</v>
      </c>
      <c r="R2663" s="2" t="inlineStr"/>
    </row>
    <row r="2664" ht="15" customHeight="1">
      <c r="A2664" t="inlineStr">
        <is>
          <t>A 10337-2025</t>
        </is>
      </c>
      <c r="B2664" s="1" t="n">
        <v>45720</v>
      </c>
      <c r="C2664" s="1" t="n">
        <v>45847</v>
      </c>
      <c r="D2664" t="inlineStr">
        <is>
          <t>JÄMTLANDS LÄN</t>
        </is>
      </c>
      <c r="E2664" t="inlineStr">
        <is>
          <t>BRÄCKE</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10340-2025</t>
        </is>
      </c>
      <c r="B2665" s="1" t="n">
        <v>45720</v>
      </c>
      <c r="C2665" s="1" t="n">
        <v>45847</v>
      </c>
      <c r="D2665" t="inlineStr">
        <is>
          <t>JÄMTLANDS LÄN</t>
        </is>
      </c>
      <c r="E2665" t="inlineStr">
        <is>
          <t>BRÄCKE</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10369-2025</t>
        </is>
      </c>
      <c r="B2666" s="1" t="n">
        <v>45720</v>
      </c>
      <c r="C2666" s="1" t="n">
        <v>45847</v>
      </c>
      <c r="D2666" t="inlineStr">
        <is>
          <t>JÄMTLANDS LÄN</t>
        </is>
      </c>
      <c r="E2666" t="inlineStr">
        <is>
          <t>BRÄCKE</t>
        </is>
      </c>
      <c r="F2666" t="inlineStr">
        <is>
          <t>SCA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10370-2025</t>
        </is>
      </c>
      <c r="B2667" s="1" t="n">
        <v>45720</v>
      </c>
      <c r="C2667" s="1" t="n">
        <v>45847</v>
      </c>
      <c r="D2667" t="inlineStr">
        <is>
          <t>JÄMTLANDS LÄN</t>
        </is>
      </c>
      <c r="E2667" t="inlineStr">
        <is>
          <t>BRÄCKE</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10371-2025</t>
        </is>
      </c>
      <c r="B2668" s="1" t="n">
        <v>45720</v>
      </c>
      <c r="C2668" s="1" t="n">
        <v>45847</v>
      </c>
      <c r="D2668" t="inlineStr">
        <is>
          <t>JÄMTLANDS LÄN</t>
        </is>
      </c>
      <c r="E2668" t="inlineStr">
        <is>
          <t>BRÄCKE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10510-2025</t>
        </is>
      </c>
      <c r="B2669" s="1" t="n">
        <v>45721</v>
      </c>
      <c r="C2669" s="1" t="n">
        <v>45847</v>
      </c>
      <c r="D2669" t="inlineStr">
        <is>
          <t>JÄMTLANDS LÄN</t>
        </is>
      </c>
      <c r="E2669" t="inlineStr">
        <is>
          <t>BRÄCKE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10486-2025</t>
        </is>
      </c>
      <c r="B2670" s="1" t="n">
        <v>45721</v>
      </c>
      <c r="C2670" s="1" t="n">
        <v>45847</v>
      </c>
      <c r="D2670" t="inlineStr">
        <is>
          <t>JÄMTLANDS LÄN</t>
        </is>
      </c>
      <c r="E2670" t="inlineStr">
        <is>
          <t>BRÄCKE</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10606-2025</t>
        </is>
      </c>
      <c r="B2671" s="1" t="n">
        <v>45721</v>
      </c>
      <c r="C2671" s="1" t="n">
        <v>45847</v>
      </c>
      <c r="D2671" t="inlineStr">
        <is>
          <t>JÄMTLANDS LÄN</t>
        </is>
      </c>
      <c r="E2671" t="inlineStr">
        <is>
          <t>BRÄCKE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10883-2025</t>
        </is>
      </c>
      <c r="B2672" s="1" t="n">
        <v>45722</v>
      </c>
      <c r="C2672" s="1" t="n">
        <v>45847</v>
      </c>
      <c r="D2672" t="inlineStr">
        <is>
          <t>JÄMTLANDS LÄN</t>
        </is>
      </c>
      <c r="E2672" t="inlineStr">
        <is>
          <t>BRÄCKE</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10769-2025</t>
        </is>
      </c>
      <c r="B2673" s="1" t="n">
        <v>45722</v>
      </c>
      <c r="C2673" s="1" t="n">
        <v>45847</v>
      </c>
      <c r="D2673" t="inlineStr">
        <is>
          <t>JÄMTLANDS LÄN</t>
        </is>
      </c>
      <c r="E2673" t="inlineStr">
        <is>
          <t>BRÄCKE</t>
        </is>
      </c>
      <c r="F2673" t="inlineStr">
        <is>
          <t>SCA</t>
        </is>
      </c>
      <c r="G2673" t="n">
        <v>18.7</v>
      </c>
      <c r="H2673" t="n">
        <v>0</v>
      </c>
      <c r="I2673" t="n">
        <v>0</v>
      </c>
      <c r="J2673" t="n">
        <v>0</v>
      </c>
      <c r="K2673" t="n">
        <v>0</v>
      </c>
      <c r="L2673" t="n">
        <v>0</v>
      </c>
      <c r="M2673" t="n">
        <v>0</v>
      </c>
      <c r="N2673" t="n">
        <v>0</v>
      </c>
      <c r="O2673" t="n">
        <v>0</v>
      </c>
      <c r="P2673" t="n">
        <v>0</v>
      </c>
      <c r="Q2673" t="n">
        <v>0</v>
      </c>
      <c r="R2673" s="2" t="inlineStr"/>
    </row>
    <row r="2674" ht="15" customHeight="1">
      <c r="A2674" t="inlineStr">
        <is>
          <t>A 10799-2025</t>
        </is>
      </c>
      <c r="B2674" s="1" t="n">
        <v>45722</v>
      </c>
      <c r="C2674" s="1" t="n">
        <v>45847</v>
      </c>
      <c r="D2674" t="inlineStr">
        <is>
          <t>JÄMTLANDS LÄN</t>
        </is>
      </c>
      <c r="E2674" t="inlineStr">
        <is>
          <t>BRÄCKE</t>
        </is>
      </c>
      <c r="F2674" t="inlineStr">
        <is>
          <t>Naturvårdsverket</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11024-2025</t>
        </is>
      </c>
      <c r="B2675" s="1" t="n">
        <v>45723</v>
      </c>
      <c r="C2675" s="1" t="n">
        <v>45847</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11089-2025</t>
        </is>
      </c>
      <c r="B2676" s="1" t="n">
        <v>45723</v>
      </c>
      <c r="C2676" s="1" t="n">
        <v>45847</v>
      </c>
      <c r="D2676" t="inlineStr">
        <is>
          <t>JÄMTLANDS LÄN</t>
        </is>
      </c>
      <c r="E2676" t="inlineStr">
        <is>
          <t>BRÄCKE</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11310-2025</t>
        </is>
      </c>
      <c r="B2677" s="1" t="n">
        <v>45726</v>
      </c>
      <c r="C2677" s="1" t="n">
        <v>45847</v>
      </c>
      <c r="D2677" t="inlineStr">
        <is>
          <t>JÄMTLANDS LÄN</t>
        </is>
      </c>
      <c r="E2677" t="inlineStr">
        <is>
          <t>BRÄCKE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11236-2025</t>
        </is>
      </c>
      <c r="B2678" s="1" t="n">
        <v>45726</v>
      </c>
      <c r="C2678" s="1" t="n">
        <v>45847</v>
      </c>
      <c r="D2678" t="inlineStr">
        <is>
          <t>JÄMTLANDS LÄN</t>
        </is>
      </c>
      <c r="E2678" t="inlineStr">
        <is>
          <t>BRÄCKE</t>
        </is>
      </c>
      <c r="F2678" t="inlineStr">
        <is>
          <t>SCA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11309-2025</t>
        </is>
      </c>
      <c r="B2679" s="1" t="n">
        <v>45726</v>
      </c>
      <c r="C2679" s="1" t="n">
        <v>45847</v>
      </c>
      <c r="D2679" t="inlineStr">
        <is>
          <t>JÄMTLANDS LÄN</t>
        </is>
      </c>
      <c r="E2679" t="inlineStr">
        <is>
          <t>BRÄCKE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11438-2025</t>
        </is>
      </c>
      <c r="B2680" s="1" t="n">
        <v>45726</v>
      </c>
      <c r="C2680" s="1" t="n">
        <v>45847</v>
      </c>
      <c r="D2680" t="inlineStr">
        <is>
          <t>JÄMTLANDS LÄN</t>
        </is>
      </c>
      <c r="E2680" t="inlineStr">
        <is>
          <t>BRÄCKE</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11371-2025</t>
        </is>
      </c>
      <c r="B2681" s="1" t="n">
        <v>45726</v>
      </c>
      <c r="C2681" s="1" t="n">
        <v>45847</v>
      </c>
      <c r="D2681" t="inlineStr">
        <is>
          <t>JÄMTLANDS LÄN</t>
        </is>
      </c>
      <c r="E2681" t="inlineStr">
        <is>
          <t>BRÄCKE</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11699-2025</t>
        </is>
      </c>
      <c r="B2682" s="1" t="n">
        <v>45727</v>
      </c>
      <c r="C2682" s="1" t="n">
        <v>45847</v>
      </c>
      <c r="D2682" t="inlineStr">
        <is>
          <t>JÄMTLANDS LÄN</t>
        </is>
      </c>
      <c r="E2682" t="inlineStr">
        <is>
          <t>BRÄCKE</t>
        </is>
      </c>
      <c r="F2682" t="inlineStr">
        <is>
          <t>SCA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11545-2025</t>
        </is>
      </c>
      <c r="B2683" s="1" t="n">
        <v>45727</v>
      </c>
      <c r="C2683" s="1" t="n">
        <v>45847</v>
      </c>
      <c r="D2683" t="inlineStr">
        <is>
          <t>JÄMTLANDS LÄN</t>
        </is>
      </c>
      <c r="E2683" t="inlineStr">
        <is>
          <t>BRÄCKE</t>
        </is>
      </c>
      <c r="F2683" t="inlineStr">
        <is>
          <t>SCA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11586-2025</t>
        </is>
      </c>
      <c r="B2684" s="1" t="n">
        <v>45727</v>
      </c>
      <c r="C2684" s="1" t="n">
        <v>45847</v>
      </c>
      <c r="D2684" t="inlineStr">
        <is>
          <t>JÄMTLANDS LÄN</t>
        </is>
      </c>
      <c r="E2684" t="inlineStr">
        <is>
          <t>BRÄCKE</t>
        </is>
      </c>
      <c r="F2684" t="inlineStr">
        <is>
          <t>SCA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11657-2025</t>
        </is>
      </c>
      <c r="B2685" s="1" t="n">
        <v>45727</v>
      </c>
      <c r="C2685" s="1" t="n">
        <v>45847</v>
      </c>
      <c r="D2685" t="inlineStr">
        <is>
          <t>JÄMTLANDS LÄN</t>
        </is>
      </c>
      <c r="E2685" t="inlineStr">
        <is>
          <t>BRÄCKE</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11550-2025</t>
        </is>
      </c>
      <c r="B2686" s="1" t="n">
        <v>45727</v>
      </c>
      <c r="C2686" s="1" t="n">
        <v>45847</v>
      </c>
      <c r="D2686" t="inlineStr">
        <is>
          <t>JÄMTLANDS LÄN</t>
        </is>
      </c>
      <c r="E2686" t="inlineStr">
        <is>
          <t>BRÄCKE</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11784-2025</t>
        </is>
      </c>
      <c r="B2687" s="1" t="n">
        <v>45727</v>
      </c>
      <c r="C2687" s="1" t="n">
        <v>45847</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12042-2025</t>
        </is>
      </c>
      <c r="B2688" s="1" t="n">
        <v>45728</v>
      </c>
      <c r="C2688" s="1" t="n">
        <v>45847</v>
      </c>
      <c r="D2688" t="inlineStr">
        <is>
          <t>JÄMTLANDS LÄN</t>
        </is>
      </c>
      <c r="E2688" t="inlineStr">
        <is>
          <t>BRÄCKE</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12004-2025</t>
        </is>
      </c>
      <c r="B2689" s="1" t="n">
        <v>45728</v>
      </c>
      <c r="C2689" s="1" t="n">
        <v>45847</v>
      </c>
      <c r="D2689" t="inlineStr">
        <is>
          <t>JÄMTLANDS LÄN</t>
        </is>
      </c>
      <c r="E2689" t="inlineStr">
        <is>
          <t>BRÄCKE</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12039-2025</t>
        </is>
      </c>
      <c r="B2690" s="1" t="n">
        <v>45728</v>
      </c>
      <c r="C2690" s="1" t="n">
        <v>45847</v>
      </c>
      <c r="D2690" t="inlineStr">
        <is>
          <t>JÄMTLANDS LÄN</t>
        </is>
      </c>
      <c r="E2690" t="inlineStr">
        <is>
          <t>BRÄCKE</t>
        </is>
      </c>
      <c r="F2690" t="inlineStr">
        <is>
          <t>Naturvårdsverket</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12285-2025</t>
        </is>
      </c>
      <c r="B2691" s="1" t="n">
        <v>45729</v>
      </c>
      <c r="C2691" s="1" t="n">
        <v>45847</v>
      </c>
      <c r="D2691" t="inlineStr">
        <is>
          <t>JÄMTLANDS LÄN</t>
        </is>
      </c>
      <c r="E2691" t="inlineStr">
        <is>
          <t>BRÄCKE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12264-2025</t>
        </is>
      </c>
      <c r="B2692" s="1" t="n">
        <v>45729</v>
      </c>
      <c r="C2692" s="1" t="n">
        <v>45847</v>
      </c>
      <c r="D2692" t="inlineStr">
        <is>
          <t>JÄMTLANDS LÄN</t>
        </is>
      </c>
      <c r="E2692" t="inlineStr">
        <is>
          <t>BRÄCKE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12524-2025</t>
        </is>
      </c>
      <c r="B2693" s="1" t="n">
        <v>45730</v>
      </c>
      <c r="C2693" s="1" t="n">
        <v>45847</v>
      </c>
      <c r="D2693" t="inlineStr">
        <is>
          <t>JÄMTLANDS LÄN</t>
        </is>
      </c>
      <c r="E2693" t="inlineStr">
        <is>
          <t>BRÄCKE</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12344-2025</t>
        </is>
      </c>
      <c r="B2694" s="1" t="n">
        <v>45730</v>
      </c>
      <c r="C2694" s="1" t="n">
        <v>45847</v>
      </c>
      <c r="D2694" t="inlineStr">
        <is>
          <t>JÄMTLANDS LÄN</t>
        </is>
      </c>
      <c r="E2694" t="inlineStr">
        <is>
          <t>BRÄCKE</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12452-2025</t>
        </is>
      </c>
      <c r="B2695" s="1" t="n">
        <v>45730</v>
      </c>
      <c r="C2695" s="1" t="n">
        <v>45847</v>
      </c>
      <c r="D2695" t="inlineStr">
        <is>
          <t>JÄMTLANDS LÄN</t>
        </is>
      </c>
      <c r="E2695" t="inlineStr">
        <is>
          <t>BRÄCKE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12553-2025</t>
        </is>
      </c>
      <c r="B2696" s="1" t="n">
        <v>45731</v>
      </c>
      <c r="C2696" s="1" t="n">
        <v>45847</v>
      </c>
      <c r="D2696" t="inlineStr">
        <is>
          <t>JÄMTLANDS LÄN</t>
        </is>
      </c>
      <c r="E2696" t="inlineStr">
        <is>
          <t>BRÄCKE</t>
        </is>
      </c>
      <c r="F2696" t="inlineStr">
        <is>
          <t>SCA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12552-2025</t>
        </is>
      </c>
      <c r="B2697" s="1" t="n">
        <v>45731</v>
      </c>
      <c r="C2697" s="1" t="n">
        <v>45847</v>
      </c>
      <c r="D2697" t="inlineStr">
        <is>
          <t>JÄMTLANDS LÄN</t>
        </is>
      </c>
      <c r="E2697" t="inlineStr">
        <is>
          <t>BRÄCKE</t>
        </is>
      </c>
      <c r="F2697" t="inlineStr">
        <is>
          <t>SCA</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12640-2025</t>
        </is>
      </c>
      <c r="B2698" s="1" t="n">
        <v>45733</v>
      </c>
      <c r="C2698" s="1" t="n">
        <v>45847</v>
      </c>
      <c r="D2698" t="inlineStr">
        <is>
          <t>JÄMTLANDS LÄN</t>
        </is>
      </c>
      <c r="E2698" t="inlineStr">
        <is>
          <t>BRÄCKE</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12705-2025</t>
        </is>
      </c>
      <c r="B2699" s="1" t="n">
        <v>45733</v>
      </c>
      <c r="C2699" s="1" t="n">
        <v>45847</v>
      </c>
      <c r="D2699" t="inlineStr">
        <is>
          <t>JÄMTLANDS LÄN</t>
        </is>
      </c>
      <c r="E2699" t="inlineStr">
        <is>
          <t>BRÄCKE</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12732-2025</t>
        </is>
      </c>
      <c r="B2700" s="1" t="n">
        <v>45733</v>
      </c>
      <c r="C2700" s="1" t="n">
        <v>45847</v>
      </c>
      <c r="D2700" t="inlineStr">
        <is>
          <t>JÄMTLANDS LÄN</t>
        </is>
      </c>
      <c r="E2700" t="inlineStr">
        <is>
          <t>BRÄCKE</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12762-2025</t>
        </is>
      </c>
      <c r="B2701" s="1" t="n">
        <v>45733</v>
      </c>
      <c r="C2701" s="1" t="n">
        <v>45847</v>
      </c>
      <c r="D2701" t="inlineStr">
        <is>
          <t>JÄMTLANDS LÄN</t>
        </is>
      </c>
      <c r="E2701" t="inlineStr">
        <is>
          <t>BRÄCKE</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12722-2025</t>
        </is>
      </c>
      <c r="B2702" s="1" t="n">
        <v>45733</v>
      </c>
      <c r="C2702" s="1" t="n">
        <v>45847</v>
      </c>
      <c r="D2702" t="inlineStr">
        <is>
          <t>JÄMTLANDS LÄN</t>
        </is>
      </c>
      <c r="E2702" t="inlineStr">
        <is>
          <t>BRÄCKE</t>
        </is>
      </c>
      <c r="F2702" t="inlineStr">
        <is>
          <t>SCA</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13069-2025</t>
        </is>
      </c>
      <c r="B2703" s="1" t="n">
        <v>45734</v>
      </c>
      <c r="C2703" s="1" t="n">
        <v>45847</v>
      </c>
      <c r="D2703" t="inlineStr">
        <is>
          <t>JÄMTLANDS LÄN</t>
        </is>
      </c>
      <c r="E2703" t="inlineStr">
        <is>
          <t>BRÄCKE</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13095-2025</t>
        </is>
      </c>
      <c r="B2704" s="1" t="n">
        <v>45734</v>
      </c>
      <c r="C2704" s="1" t="n">
        <v>45847</v>
      </c>
      <c r="D2704" t="inlineStr">
        <is>
          <t>JÄMTLANDS LÄN</t>
        </is>
      </c>
      <c r="E2704" t="inlineStr">
        <is>
          <t>BRÄCKE</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13300-2025</t>
        </is>
      </c>
      <c r="B2705" s="1" t="n">
        <v>45735</v>
      </c>
      <c r="C2705" s="1" t="n">
        <v>45847</v>
      </c>
      <c r="D2705" t="inlineStr">
        <is>
          <t>JÄMTLANDS LÄN</t>
        </is>
      </c>
      <c r="E2705" t="inlineStr">
        <is>
          <t>BRÄCKE</t>
        </is>
      </c>
      <c r="F2705" t="inlineStr">
        <is>
          <t>SCA</t>
        </is>
      </c>
      <c r="G2705" t="n">
        <v>3.2</v>
      </c>
      <c r="H2705" t="n">
        <v>0</v>
      </c>
      <c r="I2705" t="n">
        <v>0</v>
      </c>
      <c r="J2705" t="n">
        <v>0</v>
      </c>
      <c r="K2705" t="n">
        <v>0</v>
      </c>
      <c r="L2705" t="n">
        <v>0</v>
      </c>
      <c r="M2705" t="n">
        <v>0</v>
      </c>
      <c r="N2705" t="n">
        <v>0</v>
      </c>
      <c r="O2705" t="n">
        <v>0</v>
      </c>
      <c r="P2705" t="n">
        <v>0</v>
      </c>
      <c r="Q2705" t="n">
        <v>0</v>
      </c>
      <c r="R2705" s="2" t="inlineStr"/>
      <c r="U2705">
        <f>HYPERLINK("https://klasma.github.io/Logging_232305/knärot/A 13300-2025 karta knärot.png", "A 13300-2025")</f>
        <v/>
      </c>
      <c r="V2705">
        <f>HYPERLINK("https://klasma.github.io/Logging_232305/klagomål/A 13300-2025 FSC-klagomål.docx", "A 13300-2025")</f>
        <v/>
      </c>
      <c r="W2705">
        <f>HYPERLINK("https://klasma.github.io/Logging_232305/klagomålsmail/A 13300-2025 FSC-klagomål mail.docx", "A 13300-2025")</f>
        <v/>
      </c>
      <c r="X2705">
        <f>HYPERLINK("https://klasma.github.io/Logging_232305/tillsyn/A 13300-2025 tillsynsbegäran.docx", "A 13300-2025")</f>
        <v/>
      </c>
      <c r="Y2705">
        <f>HYPERLINK("https://klasma.github.io/Logging_232305/tillsynsmail/A 13300-2025 tillsynsbegäran mail.docx", "A 13300-2025")</f>
        <v/>
      </c>
    </row>
    <row r="2706" ht="15" customHeight="1">
      <c r="A2706" t="inlineStr">
        <is>
          <t>A 13351-2025</t>
        </is>
      </c>
      <c r="B2706" s="1" t="n">
        <v>45735</v>
      </c>
      <c r="C2706" s="1" t="n">
        <v>45847</v>
      </c>
      <c r="D2706" t="inlineStr">
        <is>
          <t>JÄMTLANDS LÄN</t>
        </is>
      </c>
      <c r="E2706" t="inlineStr">
        <is>
          <t>BRÄCKE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13356-2025</t>
        </is>
      </c>
      <c r="B2707" s="1" t="n">
        <v>45735</v>
      </c>
      <c r="C2707" s="1" t="n">
        <v>45847</v>
      </c>
      <c r="D2707" t="inlineStr">
        <is>
          <t>JÄMTLANDS LÄN</t>
        </is>
      </c>
      <c r="E2707" t="inlineStr">
        <is>
          <t>BRÄCKE</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13167-2025</t>
        </is>
      </c>
      <c r="B2708" s="1" t="n">
        <v>45735</v>
      </c>
      <c r="C2708" s="1" t="n">
        <v>45847</v>
      </c>
      <c r="D2708" t="inlineStr">
        <is>
          <t>JÄMTLANDS LÄN</t>
        </is>
      </c>
      <c r="E2708" t="inlineStr">
        <is>
          <t>BRÄCKE</t>
        </is>
      </c>
      <c r="F2708" t="inlineStr">
        <is>
          <t>SCA</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13165-2025</t>
        </is>
      </c>
      <c r="B2709" s="1" t="n">
        <v>45735</v>
      </c>
      <c r="C2709" s="1" t="n">
        <v>45847</v>
      </c>
      <c r="D2709" t="inlineStr">
        <is>
          <t>JÄMTLANDS LÄN</t>
        </is>
      </c>
      <c r="E2709" t="inlineStr">
        <is>
          <t>BRÄCKE</t>
        </is>
      </c>
      <c r="F2709" t="inlineStr">
        <is>
          <t>SCA</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13326-2025</t>
        </is>
      </c>
      <c r="B2710" s="1" t="n">
        <v>45735</v>
      </c>
      <c r="C2710" s="1" t="n">
        <v>45847</v>
      </c>
      <c r="D2710" t="inlineStr">
        <is>
          <t>JÄMTLANDS LÄN</t>
        </is>
      </c>
      <c r="E2710" t="inlineStr">
        <is>
          <t>BRÄCKE</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13249-2025</t>
        </is>
      </c>
      <c r="B2711" s="1" t="n">
        <v>45735</v>
      </c>
      <c r="C2711" s="1" t="n">
        <v>45847</v>
      </c>
      <c r="D2711" t="inlineStr">
        <is>
          <t>JÄMTLANDS LÄN</t>
        </is>
      </c>
      <c r="E2711" t="inlineStr">
        <is>
          <t>BRÄCKE</t>
        </is>
      </c>
      <c r="F2711" t="inlineStr">
        <is>
          <t>SCA</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13621-2025</t>
        </is>
      </c>
      <c r="B2712" s="1" t="n">
        <v>45736</v>
      </c>
      <c r="C2712" s="1" t="n">
        <v>45847</v>
      </c>
      <c r="D2712" t="inlineStr">
        <is>
          <t>JÄMTLANDS LÄN</t>
        </is>
      </c>
      <c r="E2712" t="inlineStr">
        <is>
          <t>BRÄCKE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13906-2025</t>
        </is>
      </c>
      <c r="B2713" s="1" t="n">
        <v>45737</v>
      </c>
      <c r="C2713" s="1" t="n">
        <v>45847</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14289-2025</t>
        </is>
      </c>
      <c r="B2714" s="1" t="n">
        <v>45740</v>
      </c>
      <c r="C2714" s="1" t="n">
        <v>45847</v>
      </c>
      <c r="D2714" t="inlineStr">
        <is>
          <t>JÄMTLANDS LÄN</t>
        </is>
      </c>
      <c r="E2714" t="inlineStr">
        <is>
          <t>BRÄCKE</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14290-2025</t>
        </is>
      </c>
      <c r="B2715" s="1" t="n">
        <v>45740</v>
      </c>
      <c r="C2715" s="1" t="n">
        <v>45847</v>
      </c>
      <c r="D2715" t="inlineStr">
        <is>
          <t>JÄMTLANDS LÄN</t>
        </is>
      </c>
      <c r="E2715" t="inlineStr">
        <is>
          <t>BRÄCKE</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14266-2025</t>
        </is>
      </c>
      <c r="B2716" s="1" t="n">
        <v>45740</v>
      </c>
      <c r="C2716" s="1" t="n">
        <v>45847</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14124-2025</t>
        </is>
      </c>
      <c r="B2717" s="1" t="n">
        <v>45740</v>
      </c>
      <c r="C2717" s="1" t="n">
        <v>45847</v>
      </c>
      <c r="D2717" t="inlineStr">
        <is>
          <t>JÄMTLANDS LÄN</t>
        </is>
      </c>
      <c r="E2717" t="inlineStr">
        <is>
          <t>BRÄCKE</t>
        </is>
      </c>
      <c r="F2717" t="inlineStr">
        <is>
          <t>SCA</t>
        </is>
      </c>
      <c r="G2717" t="n">
        <v>18.7</v>
      </c>
      <c r="H2717" t="n">
        <v>0</v>
      </c>
      <c r="I2717" t="n">
        <v>0</v>
      </c>
      <c r="J2717" t="n">
        <v>0</v>
      </c>
      <c r="K2717" t="n">
        <v>0</v>
      </c>
      <c r="L2717" t="n">
        <v>0</v>
      </c>
      <c r="M2717" t="n">
        <v>0</v>
      </c>
      <c r="N2717" t="n">
        <v>0</v>
      </c>
      <c r="O2717" t="n">
        <v>0</v>
      </c>
      <c r="P2717" t="n">
        <v>0</v>
      </c>
      <c r="Q2717" t="n">
        <v>0</v>
      </c>
      <c r="R2717" s="2" t="inlineStr"/>
    </row>
    <row r="2718" ht="15" customHeight="1">
      <c r="A2718" t="inlineStr">
        <is>
          <t>A 14281-2025</t>
        </is>
      </c>
      <c r="B2718" s="1" t="n">
        <v>45740</v>
      </c>
      <c r="C2718" s="1" t="n">
        <v>45847</v>
      </c>
      <c r="D2718" t="inlineStr">
        <is>
          <t>JÄMTLANDS LÄN</t>
        </is>
      </c>
      <c r="E2718" t="inlineStr">
        <is>
          <t>BRÄCKE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14474-2025</t>
        </is>
      </c>
      <c r="B2719" s="1" t="n">
        <v>45741</v>
      </c>
      <c r="C2719" s="1" t="n">
        <v>45847</v>
      </c>
      <c r="D2719" t="inlineStr">
        <is>
          <t>JÄMTLANDS LÄN</t>
        </is>
      </c>
      <c r="E2719" t="inlineStr">
        <is>
          <t>BRÄCKE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14510-2025</t>
        </is>
      </c>
      <c r="B2720" s="1" t="n">
        <v>45741</v>
      </c>
      <c r="C2720" s="1" t="n">
        <v>45847</v>
      </c>
      <c r="D2720" t="inlineStr">
        <is>
          <t>JÄMTLANDS LÄN</t>
        </is>
      </c>
      <c r="E2720" t="inlineStr">
        <is>
          <t>BRÄCKE</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14485-2025</t>
        </is>
      </c>
      <c r="B2721" s="1" t="n">
        <v>45741</v>
      </c>
      <c r="C2721" s="1" t="n">
        <v>45847</v>
      </c>
      <c r="D2721" t="inlineStr">
        <is>
          <t>JÄMTLANDS LÄN</t>
        </is>
      </c>
      <c r="E2721" t="inlineStr">
        <is>
          <t>BRÄCKE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14511-2025</t>
        </is>
      </c>
      <c r="B2722" s="1" t="n">
        <v>45741</v>
      </c>
      <c r="C2722" s="1" t="n">
        <v>45847</v>
      </c>
      <c r="D2722" t="inlineStr">
        <is>
          <t>JÄMTLANDS LÄN</t>
        </is>
      </c>
      <c r="E2722" t="inlineStr">
        <is>
          <t>BRÄCKE</t>
        </is>
      </c>
      <c r="F2722" t="inlineStr">
        <is>
          <t>SCA</t>
        </is>
      </c>
      <c r="G2722" t="n">
        <v>19.5</v>
      </c>
      <c r="H2722" t="n">
        <v>0</v>
      </c>
      <c r="I2722" t="n">
        <v>0</v>
      </c>
      <c r="J2722" t="n">
        <v>0</v>
      </c>
      <c r="K2722" t="n">
        <v>0</v>
      </c>
      <c r="L2722" t="n">
        <v>0</v>
      </c>
      <c r="M2722" t="n">
        <v>0</v>
      </c>
      <c r="N2722" t="n">
        <v>0</v>
      </c>
      <c r="O2722" t="n">
        <v>0</v>
      </c>
      <c r="P2722" t="n">
        <v>0</v>
      </c>
      <c r="Q2722" t="n">
        <v>0</v>
      </c>
      <c r="R2722" s="2" t="inlineStr"/>
    </row>
    <row r="2723" ht="15" customHeight="1">
      <c r="A2723" t="inlineStr">
        <is>
          <t>A 14601-2025</t>
        </is>
      </c>
      <c r="B2723" s="1" t="n">
        <v>45742</v>
      </c>
      <c r="C2723" s="1" t="n">
        <v>45847</v>
      </c>
      <c r="D2723" t="inlineStr">
        <is>
          <t>JÄMTLANDS LÄN</t>
        </is>
      </c>
      <c r="E2723" t="inlineStr">
        <is>
          <t>BRÄCKE</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14607-2025</t>
        </is>
      </c>
      <c r="B2724" s="1" t="n">
        <v>45742</v>
      </c>
      <c r="C2724" s="1" t="n">
        <v>45847</v>
      </c>
      <c r="D2724" t="inlineStr">
        <is>
          <t>JÄMTLANDS LÄN</t>
        </is>
      </c>
      <c r="E2724" t="inlineStr">
        <is>
          <t>BRÄCKE</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14630-2025</t>
        </is>
      </c>
      <c r="B2725" s="1" t="n">
        <v>45742</v>
      </c>
      <c r="C2725" s="1" t="n">
        <v>45847</v>
      </c>
      <c r="D2725" t="inlineStr">
        <is>
          <t>JÄMTLANDS LÄN</t>
        </is>
      </c>
      <c r="E2725" t="inlineStr">
        <is>
          <t>BRÄCKE</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14844-2025</t>
        </is>
      </c>
      <c r="B2726" s="1" t="n">
        <v>45743</v>
      </c>
      <c r="C2726" s="1" t="n">
        <v>45847</v>
      </c>
      <c r="D2726" t="inlineStr">
        <is>
          <t>JÄMTLANDS LÄN</t>
        </is>
      </c>
      <c r="E2726" t="inlineStr">
        <is>
          <t>BRÄCKE</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14838-2025</t>
        </is>
      </c>
      <c r="B2727" s="1" t="n">
        <v>45743</v>
      </c>
      <c r="C2727" s="1" t="n">
        <v>45847</v>
      </c>
      <c r="D2727" t="inlineStr">
        <is>
          <t>JÄMTLANDS LÄN</t>
        </is>
      </c>
      <c r="E2727" t="inlineStr">
        <is>
          <t>BRÄCKE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15166-2025</t>
        </is>
      </c>
      <c r="B2728" s="1" t="n">
        <v>45744</v>
      </c>
      <c r="C2728" s="1" t="n">
        <v>45847</v>
      </c>
      <c r="D2728" t="inlineStr">
        <is>
          <t>JÄMTLANDS LÄN</t>
        </is>
      </c>
      <c r="E2728" t="inlineStr">
        <is>
          <t>BRÄCKE</t>
        </is>
      </c>
      <c r="F2728" t="inlineStr">
        <is>
          <t>SCA</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15243-2025</t>
        </is>
      </c>
      <c r="B2729" s="1" t="n">
        <v>45744</v>
      </c>
      <c r="C2729" s="1" t="n">
        <v>45847</v>
      </c>
      <c r="D2729" t="inlineStr">
        <is>
          <t>JÄMTLANDS LÄN</t>
        </is>
      </c>
      <c r="E2729" t="inlineStr">
        <is>
          <t>BRÄCKE</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15262-2025</t>
        </is>
      </c>
      <c r="B2730" s="1" t="n">
        <v>45744</v>
      </c>
      <c r="C2730" s="1" t="n">
        <v>45847</v>
      </c>
      <c r="D2730" t="inlineStr">
        <is>
          <t>JÄMTLANDS LÄN</t>
        </is>
      </c>
      <c r="E2730" t="inlineStr">
        <is>
          <t>BRÄCKE</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15261-2025</t>
        </is>
      </c>
      <c r="B2731" s="1" t="n">
        <v>45744</v>
      </c>
      <c r="C2731" s="1" t="n">
        <v>45847</v>
      </c>
      <c r="D2731" t="inlineStr">
        <is>
          <t>JÄMTLANDS LÄN</t>
        </is>
      </c>
      <c r="E2731" t="inlineStr">
        <is>
          <t>BRÄCKE</t>
        </is>
      </c>
      <c r="F2731" t="inlineStr">
        <is>
          <t>SCA</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15423-2025</t>
        </is>
      </c>
      <c r="B2732" s="1" t="n">
        <v>45747</v>
      </c>
      <c r="C2732" s="1" t="n">
        <v>45847</v>
      </c>
      <c r="D2732" t="inlineStr">
        <is>
          <t>JÄMTLANDS LÄN</t>
        </is>
      </c>
      <c r="E2732" t="inlineStr">
        <is>
          <t>BRÄCKE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15721-2025</t>
        </is>
      </c>
      <c r="B2733" s="1" t="n">
        <v>45748</v>
      </c>
      <c r="C2733" s="1" t="n">
        <v>45847</v>
      </c>
      <c r="D2733" t="inlineStr">
        <is>
          <t>JÄMTLANDS LÄN</t>
        </is>
      </c>
      <c r="E2733" t="inlineStr">
        <is>
          <t>BRÄCKE</t>
        </is>
      </c>
      <c r="F2733" t="inlineStr">
        <is>
          <t>SCA</t>
        </is>
      </c>
      <c r="G2733" t="n">
        <v>22.8</v>
      </c>
      <c r="H2733" t="n">
        <v>0</v>
      </c>
      <c r="I2733" t="n">
        <v>0</v>
      </c>
      <c r="J2733" t="n">
        <v>0</v>
      </c>
      <c r="K2733" t="n">
        <v>0</v>
      </c>
      <c r="L2733" t="n">
        <v>0</v>
      </c>
      <c r="M2733" t="n">
        <v>0</v>
      </c>
      <c r="N2733" t="n">
        <v>0</v>
      </c>
      <c r="O2733" t="n">
        <v>0</v>
      </c>
      <c r="P2733" t="n">
        <v>0</v>
      </c>
      <c r="Q2733" t="n">
        <v>0</v>
      </c>
      <c r="R2733" s="2" t="inlineStr"/>
    </row>
    <row r="2734" ht="15" customHeight="1">
      <c r="A2734" t="inlineStr">
        <is>
          <t>A 15794-2025</t>
        </is>
      </c>
      <c r="B2734" s="1" t="n">
        <v>45748</v>
      </c>
      <c r="C2734" s="1" t="n">
        <v>45847</v>
      </c>
      <c r="D2734" t="inlineStr">
        <is>
          <t>JÄMTLANDS LÄN</t>
        </is>
      </c>
      <c r="E2734" t="inlineStr">
        <is>
          <t>BRÄCKE</t>
        </is>
      </c>
      <c r="F2734" t="inlineStr">
        <is>
          <t>SCA</t>
        </is>
      </c>
      <c r="G2734" t="n">
        <v>21.6</v>
      </c>
      <c r="H2734" t="n">
        <v>0</v>
      </c>
      <c r="I2734" t="n">
        <v>0</v>
      </c>
      <c r="J2734" t="n">
        <v>0</v>
      </c>
      <c r="K2734" t="n">
        <v>0</v>
      </c>
      <c r="L2734" t="n">
        <v>0</v>
      </c>
      <c r="M2734" t="n">
        <v>0</v>
      </c>
      <c r="N2734" t="n">
        <v>0</v>
      </c>
      <c r="O2734" t="n">
        <v>0</v>
      </c>
      <c r="P2734" t="n">
        <v>0</v>
      </c>
      <c r="Q2734" t="n">
        <v>0</v>
      </c>
      <c r="R2734" s="2" t="inlineStr"/>
    </row>
    <row r="2735" ht="15" customHeight="1">
      <c r="A2735" t="inlineStr">
        <is>
          <t>A 15779-2025</t>
        </is>
      </c>
      <c r="B2735" s="1" t="n">
        <v>45748</v>
      </c>
      <c r="C2735" s="1" t="n">
        <v>45847</v>
      </c>
      <c r="D2735" t="inlineStr">
        <is>
          <t>JÄMTLANDS LÄN</t>
        </is>
      </c>
      <c r="E2735" t="inlineStr">
        <is>
          <t>BRÄCKE</t>
        </is>
      </c>
      <c r="F2735" t="inlineStr">
        <is>
          <t>SCA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15710-2025</t>
        </is>
      </c>
      <c r="B2736" s="1" t="n">
        <v>45748</v>
      </c>
      <c r="C2736" s="1" t="n">
        <v>45847</v>
      </c>
      <c r="D2736" t="inlineStr">
        <is>
          <t>JÄMTLANDS LÄN</t>
        </is>
      </c>
      <c r="E2736" t="inlineStr">
        <is>
          <t>BRÄCKE</t>
        </is>
      </c>
      <c r="F2736" t="inlineStr">
        <is>
          <t>SCA</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15944-2025</t>
        </is>
      </c>
      <c r="B2737" s="1" t="n">
        <v>45749</v>
      </c>
      <c r="C2737" s="1" t="n">
        <v>45847</v>
      </c>
      <c r="D2737" t="inlineStr">
        <is>
          <t>JÄMTLANDS LÄN</t>
        </is>
      </c>
      <c r="E2737" t="inlineStr">
        <is>
          <t>BRÄCKE</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16322-2025</t>
        </is>
      </c>
      <c r="B2738" s="1" t="n">
        <v>45751</v>
      </c>
      <c r="C2738" s="1" t="n">
        <v>45847</v>
      </c>
      <c r="D2738" t="inlineStr">
        <is>
          <t>JÄMTLANDS LÄN</t>
        </is>
      </c>
      <c r="E2738" t="inlineStr">
        <is>
          <t>BRÄCKE</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16317-2025</t>
        </is>
      </c>
      <c r="B2739" s="1" t="n">
        <v>45751</v>
      </c>
      <c r="C2739" s="1" t="n">
        <v>45847</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16634-2025</t>
        </is>
      </c>
      <c r="B2740" s="1" t="n">
        <v>45754</v>
      </c>
      <c r="C2740" s="1" t="n">
        <v>45847</v>
      </c>
      <c r="D2740" t="inlineStr">
        <is>
          <t>JÄMTLANDS LÄN</t>
        </is>
      </c>
      <c r="E2740" t="inlineStr">
        <is>
          <t>BRÄCKE</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17097-2025</t>
        </is>
      </c>
      <c r="B2741" s="1" t="n">
        <v>45755</v>
      </c>
      <c r="C2741" s="1" t="n">
        <v>45847</v>
      </c>
      <c r="D2741" t="inlineStr">
        <is>
          <t>JÄMTLANDS LÄN</t>
        </is>
      </c>
      <c r="E2741" t="inlineStr">
        <is>
          <t>BRÄCKE</t>
        </is>
      </c>
      <c r="F2741" t="inlineStr">
        <is>
          <t>SCA</t>
        </is>
      </c>
      <c r="G2741" t="n">
        <v>29.9</v>
      </c>
      <c r="H2741" t="n">
        <v>0</v>
      </c>
      <c r="I2741" t="n">
        <v>0</v>
      </c>
      <c r="J2741" t="n">
        <v>0</v>
      </c>
      <c r="K2741" t="n">
        <v>0</v>
      </c>
      <c r="L2741" t="n">
        <v>0</v>
      </c>
      <c r="M2741" t="n">
        <v>0</v>
      </c>
      <c r="N2741" t="n">
        <v>0</v>
      </c>
      <c r="O2741" t="n">
        <v>0</v>
      </c>
      <c r="P2741" t="n">
        <v>0</v>
      </c>
      <c r="Q2741" t="n">
        <v>0</v>
      </c>
      <c r="R2741" s="2" t="inlineStr"/>
    </row>
    <row r="2742" ht="15" customHeight="1">
      <c r="A2742" t="inlineStr">
        <is>
          <t>A 17252-2025</t>
        </is>
      </c>
      <c r="B2742" s="1" t="n">
        <v>45756</v>
      </c>
      <c r="C2742" s="1" t="n">
        <v>45847</v>
      </c>
      <c r="D2742" t="inlineStr">
        <is>
          <t>JÄMTLANDS LÄN</t>
        </is>
      </c>
      <c r="E2742" t="inlineStr">
        <is>
          <t>BRÄCKE</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17313-2025</t>
        </is>
      </c>
      <c r="B2743" s="1" t="n">
        <v>45756</v>
      </c>
      <c r="C2743" s="1" t="n">
        <v>45847</v>
      </c>
      <c r="D2743" t="inlineStr">
        <is>
          <t>JÄMTLANDS LÄN</t>
        </is>
      </c>
      <c r="E2743" t="inlineStr">
        <is>
          <t>BRÄCKE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17606-2025</t>
        </is>
      </c>
      <c r="B2744" s="1" t="n">
        <v>45757</v>
      </c>
      <c r="C2744" s="1" t="n">
        <v>45847</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17601-2025</t>
        </is>
      </c>
      <c r="B2745" s="1" t="n">
        <v>45757</v>
      </c>
      <c r="C2745" s="1" t="n">
        <v>45847</v>
      </c>
      <c r="D2745" t="inlineStr">
        <is>
          <t>JÄMTLANDS LÄN</t>
        </is>
      </c>
      <c r="E2745" t="inlineStr">
        <is>
          <t>BRÄCKE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17905-2025</t>
        </is>
      </c>
      <c r="B2746" s="1" t="n">
        <v>45758</v>
      </c>
      <c r="C2746" s="1" t="n">
        <v>45847</v>
      </c>
      <c r="D2746" t="inlineStr">
        <is>
          <t>JÄMTLANDS LÄN</t>
        </is>
      </c>
      <c r="E2746" t="inlineStr">
        <is>
          <t>BRÄCKE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17890-2025</t>
        </is>
      </c>
      <c r="B2747" s="1" t="n">
        <v>45758</v>
      </c>
      <c r="C2747" s="1" t="n">
        <v>45847</v>
      </c>
      <c r="D2747" t="inlineStr">
        <is>
          <t>JÄMTLANDS LÄN</t>
        </is>
      </c>
      <c r="E2747" t="inlineStr">
        <is>
          <t>BRÄCKE</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17907-2025</t>
        </is>
      </c>
      <c r="B2748" s="1" t="n">
        <v>45758</v>
      </c>
      <c r="C2748" s="1" t="n">
        <v>45847</v>
      </c>
      <c r="D2748" t="inlineStr">
        <is>
          <t>JÄMTLANDS LÄN</t>
        </is>
      </c>
      <c r="E2748" t="inlineStr">
        <is>
          <t>BRÄCKE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18047-2025</t>
        </is>
      </c>
      <c r="B2749" s="1" t="n">
        <v>45761</v>
      </c>
      <c r="C2749" s="1" t="n">
        <v>45847</v>
      </c>
      <c r="D2749" t="inlineStr">
        <is>
          <t>JÄMTLANDS LÄN</t>
        </is>
      </c>
      <c r="E2749" t="inlineStr">
        <is>
          <t>BRÄCKE</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18036-2025</t>
        </is>
      </c>
      <c r="B2750" s="1" t="n">
        <v>45761</v>
      </c>
      <c r="C2750" s="1" t="n">
        <v>45847</v>
      </c>
      <c r="D2750" t="inlineStr">
        <is>
          <t>JÄMTLANDS LÄN</t>
        </is>
      </c>
      <c r="E2750" t="inlineStr">
        <is>
          <t>BRÄCKE</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18057-2025</t>
        </is>
      </c>
      <c r="B2751" s="1" t="n">
        <v>45761</v>
      </c>
      <c r="C2751" s="1" t="n">
        <v>45847</v>
      </c>
      <c r="D2751" t="inlineStr">
        <is>
          <t>JÄMTLANDS LÄN</t>
        </is>
      </c>
      <c r="E2751" t="inlineStr">
        <is>
          <t>BRÄCKE</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18065-2025</t>
        </is>
      </c>
      <c r="B2752" s="1" t="n">
        <v>45761</v>
      </c>
      <c r="C2752" s="1" t="n">
        <v>45847</v>
      </c>
      <c r="D2752" t="inlineStr">
        <is>
          <t>JÄMTLANDS LÄN</t>
        </is>
      </c>
      <c r="E2752" t="inlineStr">
        <is>
          <t>BRÄCKE</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18066-2025</t>
        </is>
      </c>
      <c r="B2753" s="1" t="n">
        <v>45761</v>
      </c>
      <c r="C2753" s="1" t="n">
        <v>45847</v>
      </c>
      <c r="D2753" t="inlineStr">
        <is>
          <t>JÄMTLANDS LÄN</t>
        </is>
      </c>
      <c r="E2753" t="inlineStr">
        <is>
          <t>BRÄCKE</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17977-2025</t>
        </is>
      </c>
      <c r="B2754" s="1" t="n">
        <v>45761</v>
      </c>
      <c r="C2754" s="1" t="n">
        <v>45847</v>
      </c>
      <c r="D2754" t="inlineStr">
        <is>
          <t>JÄMTLANDS LÄN</t>
        </is>
      </c>
      <c r="E2754" t="inlineStr">
        <is>
          <t>BRÄCKE</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17973-2025</t>
        </is>
      </c>
      <c r="B2755" s="1" t="n">
        <v>45761</v>
      </c>
      <c r="C2755" s="1" t="n">
        <v>45847</v>
      </c>
      <c r="D2755" t="inlineStr">
        <is>
          <t>JÄMTLANDS LÄN</t>
        </is>
      </c>
      <c r="E2755" t="inlineStr">
        <is>
          <t>BRÄCKE</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18350-2025</t>
        </is>
      </c>
      <c r="B2756" s="1" t="n">
        <v>45762</v>
      </c>
      <c r="C2756" s="1" t="n">
        <v>45847</v>
      </c>
      <c r="D2756" t="inlineStr">
        <is>
          <t>JÄMTLANDS LÄN</t>
        </is>
      </c>
      <c r="E2756" t="inlineStr">
        <is>
          <t>BRÄCKE</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18266-2025</t>
        </is>
      </c>
      <c r="B2757" s="1" t="n">
        <v>45762</v>
      </c>
      <c r="C2757" s="1" t="n">
        <v>45847</v>
      </c>
      <c r="D2757" t="inlineStr">
        <is>
          <t>JÄMTLANDS LÄN</t>
        </is>
      </c>
      <c r="E2757" t="inlineStr">
        <is>
          <t>BRÄCKE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18267-2025</t>
        </is>
      </c>
      <c r="B2758" s="1" t="n">
        <v>45762</v>
      </c>
      <c r="C2758" s="1" t="n">
        <v>45847</v>
      </c>
      <c r="D2758" t="inlineStr">
        <is>
          <t>JÄMTLANDS LÄN</t>
        </is>
      </c>
      <c r="E2758" t="inlineStr">
        <is>
          <t>BRÄCKE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18255-2025</t>
        </is>
      </c>
      <c r="B2759" s="1" t="n">
        <v>45762</v>
      </c>
      <c r="C2759" s="1" t="n">
        <v>45847</v>
      </c>
      <c r="D2759" t="inlineStr">
        <is>
          <t>JÄMTLANDS LÄN</t>
        </is>
      </c>
      <c r="E2759" t="inlineStr">
        <is>
          <t>BRÄCKE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18265-2025</t>
        </is>
      </c>
      <c r="B2760" s="1" t="n">
        <v>45762</v>
      </c>
      <c r="C2760" s="1" t="n">
        <v>45847</v>
      </c>
      <c r="D2760" t="inlineStr">
        <is>
          <t>JÄMTLANDS LÄN</t>
        </is>
      </c>
      <c r="E2760" t="inlineStr">
        <is>
          <t>BRÄCKE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18791-2025</t>
        </is>
      </c>
      <c r="B2761" s="1" t="n">
        <v>45764</v>
      </c>
      <c r="C2761" s="1" t="n">
        <v>45847</v>
      </c>
      <c r="D2761" t="inlineStr">
        <is>
          <t>JÄMTLANDS LÄN</t>
        </is>
      </c>
      <c r="E2761" t="inlineStr">
        <is>
          <t>BRÄCKE</t>
        </is>
      </c>
      <c r="F2761" t="inlineStr">
        <is>
          <t>SCA</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18965-2025</t>
        </is>
      </c>
      <c r="B2762" s="1" t="n">
        <v>45764</v>
      </c>
      <c r="C2762" s="1" t="n">
        <v>45847</v>
      </c>
      <c r="D2762" t="inlineStr">
        <is>
          <t>JÄMTLANDS LÄN</t>
        </is>
      </c>
      <c r="E2762" t="inlineStr">
        <is>
          <t>BRÄCKE</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18982-2025</t>
        </is>
      </c>
      <c r="B2763" s="1" t="n">
        <v>45764</v>
      </c>
      <c r="C2763" s="1" t="n">
        <v>45847</v>
      </c>
      <c r="D2763" t="inlineStr">
        <is>
          <t>JÄMTLANDS LÄN</t>
        </is>
      </c>
      <c r="E2763" t="inlineStr">
        <is>
          <t>BRÄCKE</t>
        </is>
      </c>
      <c r="F2763" t="inlineStr">
        <is>
          <t>SCA</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18983-2025</t>
        </is>
      </c>
      <c r="B2764" s="1" t="n">
        <v>45764</v>
      </c>
      <c r="C2764" s="1" t="n">
        <v>45847</v>
      </c>
      <c r="D2764" t="inlineStr">
        <is>
          <t>JÄMTLANDS LÄN</t>
        </is>
      </c>
      <c r="E2764" t="inlineStr">
        <is>
          <t>BRÄCKE</t>
        </is>
      </c>
      <c r="G2764" t="n">
        <v>23.8</v>
      </c>
      <c r="H2764" t="n">
        <v>0</v>
      </c>
      <c r="I2764" t="n">
        <v>0</v>
      </c>
      <c r="J2764" t="n">
        <v>0</v>
      </c>
      <c r="K2764" t="n">
        <v>0</v>
      </c>
      <c r="L2764" t="n">
        <v>0</v>
      </c>
      <c r="M2764" t="n">
        <v>0</v>
      </c>
      <c r="N2764" t="n">
        <v>0</v>
      </c>
      <c r="O2764" t="n">
        <v>0</v>
      </c>
      <c r="P2764" t="n">
        <v>0</v>
      </c>
      <c r="Q2764" t="n">
        <v>0</v>
      </c>
      <c r="R2764" s="2" t="inlineStr"/>
    </row>
    <row r="2765" ht="15" customHeight="1">
      <c r="A2765" t="inlineStr">
        <is>
          <t>A 19342-2025</t>
        </is>
      </c>
      <c r="B2765" s="1" t="n">
        <v>45769</v>
      </c>
      <c r="C2765" s="1" t="n">
        <v>45847</v>
      </c>
      <c r="D2765" t="inlineStr">
        <is>
          <t>JÄMTLANDS LÄN</t>
        </is>
      </c>
      <c r="E2765" t="inlineStr">
        <is>
          <t>BRÄCKE</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19386-2025</t>
        </is>
      </c>
      <c r="B2766" s="1" t="n">
        <v>45769</v>
      </c>
      <c r="C2766" s="1" t="n">
        <v>45847</v>
      </c>
      <c r="D2766" t="inlineStr">
        <is>
          <t>JÄMTLANDS LÄN</t>
        </is>
      </c>
      <c r="E2766" t="inlineStr">
        <is>
          <t>BRÄCKE</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19615-2025</t>
        </is>
      </c>
      <c r="B2767" s="1" t="n">
        <v>45770</v>
      </c>
      <c r="C2767" s="1" t="n">
        <v>45847</v>
      </c>
      <c r="D2767" t="inlineStr">
        <is>
          <t>JÄMTLANDS LÄN</t>
        </is>
      </c>
      <c r="E2767" t="inlineStr">
        <is>
          <t>BRÄCKE</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19667-2025</t>
        </is>
      </c>
      <c r="B2768" s="1" t="n">
        <v>45770</v>
      </c>
      <c r="C2768" s="1" t="n">
        <v>45847</v>
      </c>
      <c r="D2768" t="inlineStr">
        <is>
          <t>JÄMTLANDS LÄN</t>
        </is>
      </c>
      <c r="E2768" t="inlineStr">
        <is>
          <t>BRÄCKE</t>
        </is>
      </c>
      <c r="F2768" t="inlineStr">
        <is>
          <t>Kyrkan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20157-2025</t>
        </is>
      </c>
      <c r="B2769" s="1" t="n">
        <v>45772</v>
      </c>
      <c r="C2769" s="1" t="n">
        <v>45847</v>
      </c>
      <c r="D2769" t="inlineStr">
        <is>
          <t>JÄMTLANDS LÄN</t>
        </is>
      </c>
      <c r="E2769" t="inlineStr">
        <is>
          <t>BRÄCKE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20532-2025</t>
        </is>
      </c>
      <c r="B2770" s="1" t="n">
        <v>45775</v>
      </c>
      <c r="C2770" s="1" t="n">
        <v>45847</v>
      </c>
      <c r="D2770" t="inlineStr">
        <is>
          <t>JÄMTLANDS LÄN</t>
        </is>
      </c>
      <c r="E2770" t="inlineStr">
        <is>
          <t>BRÄCKE</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20756-2025</t>
        </is>
      </c>
      <c r="B2771" s="1" t="n">
        <v>45776</v>
      </c>
      <c r="C2771" s="1" t="n">
        <v>45847</v>
      </c>
      <c r="D2771" t="inlineStr">
        <is>
          <t>JÄMTLANDS LÄN</t>
        </is>
      </c>
      <c r="E2771" t="inlineStr">
        <is>
          <t>BRÄCKE</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20731-2025</t>
        </is>
      </c>
      <c r="B2772" s="1" t="n">
        <v>45776</v>
      </c>
      <c r="C2772" s="1" t="n">
        <v>45847</v>
      </c>
      <c r="D2772" t="inlineStr">
        <is>
          <t>JÄMTLANDS LÄN</t>
        </is>
      </c>
      <c r="E2772" t="inlineStr">
        <is>
          <t>BRÄCKE</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20778-2025</t>
        </is>
      </c>
      <c r="B2773" s="1" t="n">
        <v>45776</v>
      </c>
      <c r="C2773" s="1" t="n">
        <v>45847</v>
      </c>
      <c r="D2773" t="inlineStr">
        <is>
          <t>JÄMTLANDS LÄN</t>
        </is>
      </c>
      <c r="E2773" t="inlineStr">
        <is>
          <t>BRÄCKE</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20870-2025</t>
        </is>
      </c>
      <c r="B2774" s="1" t="n">
        <v>45777</v>
      </c>
      <c r="C2774" s="1" t="n">
        <v>45847</v>
      </c>
      <c r="D2774" t="inlineStr">
        <is>
          <t>JÄMTLANDS LÄN</t>
        </is>
      </c>
      <c r="E2774" t="inlineStr">
        <is>
          <t>BRÄCKE</t>
        </is>
      </c>
      <c r="F2774" t="inlineStr">
        <is>
          <t>SCA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20909-2025</t>
        </is>
      </c>
      <c r="B2775" s="1" t="n">
        <v>45777</v>
      </c>
      <c r="C2775" s="1" t="n">
        <v>45847</v>
      </c>
      <c r="D2775" t="inlineStr">
        <is>
          <t>JÄMTLANDS LÄN</t>
        </is>
      </c>
      <c r="E2775" t="inlineStr">
        <is>
          <t>BRÄCKE</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21037-2025</t>
        </is>
      </c>
      <c r="B2776" s="1" t="n">
        <v>45777</v>
      </c>
      <c r="C2776" s="1" t="n">
        <v>45847</v>
      </c>
      <c r="D2776" t="inlineStr">
        <is>
          <t>JÄMTLANDS LÄN</t>
        </is>
      </c>
      <c r="E2776" t="inlineStr">
        <is>
          <t>BRÄCKE</t>
        </is>
      </c>
      <c r="F2776" t="inlineStr">
        <is>
          <t>SCA</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21108-2025</t>
        </is>
      </c>
      <c r="B2777" s="1" t="n">
        <v>45777</v>
      </c>
      <c r="C2777" s="1" t="n">
        <v>45847</v>
      </c>
      <c r="D2777" t="inlineStr">
        <is>
          <t>JÄMTLANDS LÄN</t>
        </is>
      </c>
      <c r="E2777" t="inlineStr">
        <is>
          <t>BRÄCKE</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21305-2025</t>
        </is>
      </c>
      <c r="B2778" s="1" t="n">
        <v>45781</v>
      </c>
      <c r="C2778" s="1" t="n">
        <v>45847</v>
      </c>
      <c r="D2778" t="inlineStr">
        <is>
          <t>JÄMTLANDS LÄN</t>
        </is>
      </c>
      <c r="E2778" t="inlineStr">
        <is>
          <t>BRÄCKE</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21551-2025</t>
        </is>
      </c>
      <c r="B2779" s="1" t="n">
        <v>45782</v>
      </c>
      <c r="C2779" s="1" t="n">
        <v>45847</v>
      </c>
      <c r="D2779" t="inlineStr">
        <is>
          <t>JÄMTLANDS LÄN</t>
        </is>
      </c>
      <c r="E2779" t="inlineStr">
        <is>
          <t>BRÄCKE</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21549-2025</t>
        </is>
      </c>
      <c r="B2780" s="1" t="n">
        <v>45782</v>
      </c>
      <c r="C2780" s="1" t="n">
        <v>45847</v>
      </c>
      <c r="D2780" t="inlineStr">
        <is>
          <t>JÄMTLANDS LÄN</t>
        </is>
      </c>
      <c r="E2780" t="inlineStr">
        <is>
          <t>BRÄCKE</t>
        </is>
      </c>
      <c r="F2780" t="inlineStr">
        <is>
          <t>SCA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21449-2025</t>
        </is>
      </c>
      <c r="B2781" s="1" t="n">
        <v>45782</v>
      </c>
      <c r="C2781" s="1" t="n">
        <v>45847</v>
      </c>
      <c r="D2781" t="inlineStr">
        <is>
          <t>JÄMTLANDS LÄN</t>
        </is>
      </c>
      <c r="E2781" t="inlineStr">
        <is>
          <t>BRÄCKE</t>
        </is>
      </c>
      <c r="F2781" t="inlineStr">
        <is>
          <t>SCA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21450-2025</t>
        </is>
      </c>
      <c r="B2782" s="1" t="n">
        <v>45782</v>
      </c>
      <c r="C2782" s="1" t="n">
        <v>45847</v>
      </c>
      <c r="D2782" t="inlineStr">
        <is>
          <t>JÄMTLANDS LÄN</t>
        </is>
      </c>
      <c r="E2782" t="inlineStr">
        <is>
          <t>BRÄCKE</t>
        </is>
      </c>
      <c r="F2782" t="inlineStr">
        <is>
          <t>SCA</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21368-2025</t>
        </is>
      </c>
      <c r="B2783" s="1" t="n">
        <v>45782</v>
      </c>
      <c r="C2783" s="1" t="n">
        <v>45847</v>
      </c>
      <c r="D2783" t="inlineStr">
        <is>
          <t>JÄMTLANDS LÄN</t>
        </is>
      </c>
      <c r="E2783" t="inlineStr">
        <is>
          <t>BRÄCKE</t>
        </is>
      </c>
      <c r="F2783" t="inlineStr">
        <is>
          <t>SCA</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21486-2025</t>
        </is>
      </c>
      <c r="B2784" s="1" t="n">
        <v>45782</v>
      </c>
      <c r="C2784" s="1" t="n">
        <v>45847</v>
      </c>
      <c r="D2784" t="inlineStr">
        <is>
          <t>JÄMTLANDS LÄN</t>
        </is>
      </c>
      <c r="E2784" t="inlineStr">
        <is>
          <t>BRÄCKE</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21634-2025</t>
        </is>
      </c>
      <c r="B2785" s="1" t="n">
        <v>45783</v>
      </c>
      <c r="C2785" s="1" t="n">
        <v>45847</v>
      </c>
      <c r="D2785" t="inlineStr">
        <is>
          <t>JÄMTLANDS LÄN</t>
        </is>
      </c>
      <c r="E2785" t="inlineStr">
        <is>
          <t>BRÄCKE</t>
        </is>
      </c>
      <c r="F2785" t="inlineStr">
        <is>
          <t>SCA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21720-2025</t>
        </is>
      </c>
      <c r="B2786" s="1" t="n">
        <v>45783</v>
      </c>
      <c r="C2786" s="1" t="n">
        <v>45847</v>
      </c>
      <c r="D2786" t="inlineStr">
        <is>
          <t>JÄMTLANDS LÄN</t>
        </is>
      </c>
      <c r="E2786" t="inlineStr">
        <is>
          <t>BRÄCKE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21961-2025</t>
        </is>
      </c>
      <c r="B2787" s="1" t="n">
        <v>45784</v>
      </c>
      <c r="C2787" s="1" t="n">
        <v>45847</v>
      </c>
      <c r="D2787" t="inlineStr">
        <is>
          <t>JÄMTLANDS LÄN</t>
        </is>
      </c>
      <c r="E2787" t="inlineStr">
        <is>
          <t>BRÄCKE</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22000-2025</t>
        </is>
      </c>
      <c r="B2788" s="1" t="n">
        <v>45784</v>
      </c>
      <c r="C2788" s="1" t="n">
        <v>45847</v>
      </c>
      <c r="D2788" t="inlineStr">
        <is>
          <t>JÄMTLANDS LÄN</t>
        </is>
      </c>
      <c r="E2788" t="inlineStr">
        <is>
          <t>BRÄCKE</t>
        </is>
      </c>
      <c r="F2788" t="inlineStr">
        <is>
          <t>SCA</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22167-2025</t>
        </is>
      </c>
      <c r="B2789" s="1" t="n">
        <v>45785</v>
      </c>
      <c r="C2789" s="1" t="n">
        <v>45847</v>
      </c>
      <c r="D2789" t="inlineStr">
        <is>
          <t>JÄMTLANDS LÄN</t>
        </is>
      </c>
      <c r="E2789" t="inlineStr">
        <is>
          <t>BRÄCKE</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22164-2025</t>
        </is>
      </c>
      <c r="B2790" s="1" t="n">
        <v>45785</v>
      </c>
      <c r="C2790" s="1" t="n">
        <v>45847</v>
      </c>
      <c r="D2790" t="inlineStr">
        <is>
          <t>JÄMTLANDS LÄN</t>
        </is>
      </c>
      <c r="E2790" t="inlineStr">
        <is>
          <t>BRÄCKE</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22190-2025</t>
        </is>
      </c>
      <c r="B2791" s="1" t="n">
        <v>45785</v>
      </c>
      <c r="C2791" s="1" t="n">
        <v>45847</v>
      </c>
      <c r="D2791" t="inlineStr">
        <is>
          <t>JÄMTLANDS LÄN</t>
        </is>
      </c>
      <c r="E2791" t="inlineStr">
        <is>
          <t>BRÄCKE</t>
        </is>
      </c>
      <c r="G2791" t="n">
        <v>18.6</v>
      </c>
      <c r="H2791" t="n">
        <v>0</v>
      </c>
      <c r="I2791" t="n">
        <v>0</v>
      </c>
      <c r="J2791" t="n">
        <v>0</v>
      </c>
      <c r="K2791" t="n">
        <v>0</v>
      </c>
      <c r="L2791" t="n">
        <v>0</v>
      </c>
      <c r="M2791" t="n">
        <v>0</v>
      </c>
      <c r="N2791" t="n">
        <v>0</v>
      </c>
      <c r="O2791" t="n">
        <v>0</v>
      </c>
      <c r="P2791" t="n">
        <v>0</v>
      </c>
      <c r="Q2791" t="n">
        <v>0</v>
      </c>
      <c r="R2791" s="2" t="inlineStr"/>
    </row>
    <row r="2792" ht="15" customHeight="1">
      <c r="A2792" t="inlineStr">
        <is>
          <t>A 22313-2025</t>
        </is>
      </c>
      <c r="B2792" s="1" t="n">
        <v>45786</v>
      </c>
      <c r="C2792" s="1" t="n">
        <v>45847</v>
      </c>
      <c r="D2792" t="inlineStr">
        <is>
          <t>JÄMTLANDS LÄN</t>
        </is>
      </c>
      <c r="E2792" t="inlineStr">
        <is>
          <t>BRÄCKE</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22670-2025</t>
        </is>
      </c>
      <c r="B2793" s="1" t="n">
        <v>45789</v>
      </c>
      <c r="C2793" s="1" t="n">
        <v>45847</v>
      </c>
      <c r="D2793" t="inlineStr">
        <is>
          <t>JÄMTLANDS LÄN</t>
        </is>
      </c>
      <c r="E2793" t="inlineStr">
        <is>
          <t>BRÄCKE</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22792-2025</t>
        </is>
      </c>
      <c r="B2794" s="1" t="n">
        <v>45789</v>
      </c>
      <c r="C2794" s="1" t="n">
        <v>45847</v>
      </c>
      <c r="D2794" t="inlineStr">
        <is>
          <t>JÄMTLANDS LÄN</t>
        </is>
      </c>
      <c r="E2794" t="inlineStr">
        <is>
          <t>BRÄCKE</t>
        </is>
      </c>
      <c r="F2794" t="inlineStr">
        <is>
          <t>SCA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22773-2025</t>
        </is>
      </c>
      <c r="B2795" s="1" t="n">
        <v>45789</v>
      </c>
      <c r="C2795" s="1" t="n">
        <v>45847</v>
      </c>
      <c r="D2795" t="inlineStr">
        <is>
          <t>JÄMTLANDS LÄN</t>
        </is>
      </c>
      <c r="E2795" t="inlineStr">
        <is>
          <t>BRÄCKE</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22772-2025</t>
        </is>
      </c>
      <c r="B2796" s="1" t="n">
        <v>45789</v>
      </c>
      <c r="C2796" s="1" t="n">
        <v>45847</v>
      </c>
      <c r="D2796" t="inlineStr">
        <is>
          <t>JÄMTLANDS LÄN</t>
        </is>
      </c>
      <c r="E2796" t="inlineStr">
        <is>
          <t>BRÄCKE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22841-2025</t>
        </is>
      </c>
      <c r="B2797" s="1" t="n">
        <v>45789</v>
      </c>
      <c r="C2797" s="1" t="n">
        <v>45847</v>
      </c>
      <c r="D2797" t="inlineStr">
        <is>
          <t>JÄMTLANDS LÄN</t>
        </is>
      </c>
      <c r="E2797" t="inlineStr">
        <is>
          <t>BRÄCKE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22816-2025</t>
        </is>
      </c>
      <c r="B2798" s="1" t="n">
        <v>45789</v>
      </c>
      <c r="C2798" s="1" t="n">
        <v>45847</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22705-2025</t>
        </is>
      </c>
      <c r="B2799" s="1" t="n">
        <v>45789</v>
      </c>
      <c r="C2799" s="1" t="n">
        <v>45847</v>
      </c>
      <c r="D2799" t="inlineStr">
        <is>
          <t>JÄMTLANDS LÄN</t>
        </is>
      </c>
      <c r="E2799" t="inlineStr">
        <is>
          <t>BRÄCKE</t>
        </is>
      </c>
      <c r="F2799" t="inlineStr">
        <is>
          <t>SCA</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22652-2025</t>
        </is>
      </c>
      <c r="B2800" s="1" t="n">
        <v>45789</v>
      </c>
      <c r="C2800" s="1" t="n">
        <v>45847</v>
      </c>
      <c r="D2800" t="inlineStr">
        <is>
          <t>JÄMTLANDS LÄN</t>
        </is>
      </c>
      <c r="E2800" t="inlineStr">
        <is>
          <t>BRÄCKE</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22958-2025</t>
        </is>
      </c>
      <c r="B2801" s="1" t="n">
        <v>45790</v>
      </c>
      <c r="C2801" s="1" t="n">
        <v>45847</v>
      </c>
      <c r="D2801" t="inlineStr">
        <is>
          <t>JÄMTLANDS LÄN</t>
        </is>
      </c>
      <c r="E2801" t="inlineStr">
        <is>
          <t>BRÄCKE</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22957-2025</t>
        </is>
      </c>
      <c r="B2802" s="1" t="n">
        <v>45790</v>
      </c>
      <c r="C2802" s="1" t="n">
        <v>45847</v>
      </c>
      <c r="D2802" t="inlineStr">
        <is>
          <t>JÄMTLANDS LÄN</t>
        </is>
      </c>
      <c r="E2802" t="inlineStr">
        <is>
          <t>BRÄCKE</t>
        </is>
      </c>
      <c r="F2802" t="inlineStr">
        <is>
          <t>SCA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22940-2025</t>
        </is>
      </c>
      <c r="B2803" s="1" t="n">
        <v>45790</v>
      </c>
      <c r="C2803" s="1" t="n">
        <v>45847</v>
      </c>
      <c r="D2803" t="inlineStr">
        <is>
          <t>JÄMTLANDS LÄN</t>
        </is>
      </c>
      <c r="E2803" t="inlineStr">
        <is>
          <t>BRÄCKE</t>
        </is>
      </c>
      <c r="F2803" t="inlineStr">
        <is>
          <t>SCA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23363-2025</t>
        </is>
      </c>
      <c r="B2804" s="1" t="n">
        <v>45791</v>
      </c>
      <c r="C2804" s="1" t="n">
        <v>45847</v>
      </c>
      <c r="D2804" t="inlineStr">
        <is>
          <t>JÄMTLANDS LÄN</t>
        </is>
      </c>
      <c r="E2804" t="inlineStr">
        <is>
          <t>BRÄCKE</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23344-2025</t>
        </is>
      </c>
      <c r="B2805" s="1" t="n">
        <v>45791</v>
      </c>
      <c r="C2805" s="1" t="n">
        <v>45847</v>
      </c>
      <c r="D2805" t="inlineStr">
        <is>
          <t>JÄMTLANDS LÄN</t>
        </is>
      </c>
      <c r="E2805" t="inlineStr">
        <is>
          <t>BRÄCKE</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23320-2025</t>
        </is>
      </c>
      <c r="B2806" s="1" t="n">
        <v>45791</v>
      </c>
      <c r="C2806" s="1" t="n">
        <v>45847</v>
      </c>
      <c r="D2806" t="inlineStr">
        <is>
          <t>JÄMTLANDS LÄN</t>
        </is>
      </c>
      <c r="E2806" t="inlineStr">
        <is>
          <t>BRÄCKE</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23298-2025</t>
        </is>
      </c>
      <c r="B2807" s="1" t="n">
        <v>45791</v>
      </c>
      <c r="C2807" s="1" t="n">
        <v>45847</v>
      </c>
      <c r="D2807" t="inlineStr">
        <is>
          <t>JÄMTLANDS LÄN</t>
        </is>
      </c>
      <c r="E2807" t="inlineStr">
        <is>
          <t>BRÄCKE</t>
        </is>
      </c>
      <c r="F2807" t="inlineStr">
        <is>
          <t>SCA</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23303-2025</t>
        </is>
      </c>
      <c r="B2808" s="1" t="n">
        <v>45791</v>
      </c>
      <c r="C2808" s="1" t="n">
        <v>45847</v>
      </c>
      <c r="D2808" t="inlineStr">
        <is>
          <t>JÄMTLANDS LÄN</t>
        </is>
      </c>
      <c r="E2808" t="inlineStr">
        <is>
          <t>BRÄCKE</t>
        </is>
      </c>
      <c r="G2808" t="n">
        <v>22.2</v>
      </c>
      <c r="H2808" t="n">
        <v>0</v>
      </c>
      <c r="I2808" t="n">
        <v>0</v>
      </c>
      <c r="J2808" t="n">
        <v>0</v>
      </c>
      <c r="K2808" t="n">
        <v>0</v>
      </c>
      <c r="L2808" t="n">
        <v>0</v>
      </c>
      <c r="M2808" t="n">
        <v>0</v>
      </c>
      <c r="N2808" t="n">
        <v>0</v>
      </c>
      <c r="O2808" t="n">
        <v>0</v>
      </c>
      <c r="P2808" t="n">
        <v>0</v>
      </c>
      <c r="Q2808" t="n">
        <v>0</v>
      </c>
      <c r="R2808" s="2" t="inlineStr"/>
    </row>
    <row r="2809" ht="15" customHeight="1">
      <c r="A2809" t="inlineStr">
        <is>
          <t>A 23211-2025</t>
        </is>
      </c>
      <c r="B2809" s="1" t="n">
        <v>45791</v>
      </c>
      <c r="C2809" s="1" t="n">
        <v>45847</v>
      </c>
      <c r="D2809" t="inlineStr">
        <is>
          <t>JÄMTLANDS LÄN</t>
        </is>
      </c>
      <c r="E2809" t="inlineStr">
        <is>
          <t>BRÄCKE</t>
        </is>
      </c>
      <c r="F2809" t="inlineStr">
        <is>
          <t>SCA</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23583-2025</t>
        </is>
      </c>
      <c r="B2810" s="1" t="n">
        <v>45792</v>
      </c>
      <c r="C2810" s="1" t="n">
        <v>45847</v>
      </c>
      <c r="D2810" t="inlineStr">
        <is>
          <t>JÄMTLANDS LÄN</t>
        </is>
      </c>
      <c r="E2810" t="inlineStr">
        <is>
          <t>BRÄCKE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23491-2025</t>
        </is>
      </c>
      <c r="B2811" s="1" t="n">
        <v>45792</v>
      </c>
      <c r="C2811" s="1" t="n">
        <v>45847</v>
      </c>
      <c r="D2811" t="inlineStr">
        <is>
          <t>JÄMTLANDS LÄN</t>
        </is>
      </c>
      <c r="E2811" t="inlineStr">
        <is>
          <t>BRÄCKE</t>
        </is>
      </c>
      <c r="F2811" t="inlineStr">
        <is>
          <t>SCA</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23458-2025</t>
        </is>
      </c>
      <c r="B2812" s="1" t="n">
        <v>45792</v>
      </c>
      <c r="C2812" s="1" t="n">
        <v>45847</v>
      </c>
      <c r="D2812" t="inlineStr">
        <is>
          <t>JÄMTLANDS LÄN</t>
        </is>
      </c>
      <c r="E2812" t="inlineStr">
        <is>
          <t>BRÄCKE</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23539-2025</t>
        </is>
      </c>
      <c r="B2813" s="1" t="n">
        <v>45792</v>
      </c>
      <c r="C2813" s="1" t="n">
        <v>45847</v>
      </c>
      <c r="D2813" t="inlineStr">
        <is>
          <t>JÄMTLANDS LÄN</t>
        </is>
      </c>
      <c r="E2813" t="inlineStr">
        <is>
          <t>BRÄCKE</t>
        </is>
      </c>
      <c r="G2813" t="n">
        <v>14.9</v>
      </c>
      <c r="H2813" t="n">
        <v>0</v>
      </c>
      <c r="I2813" t="n">
        <v>0</v>
      </c>
      <c r="J2813" t="n">
        <v>0</v>
      </c>
      <c r="K2813" t="n">
        <v>0</v>
      </c>
      <c r="L2813" t="n">
        <v>0</v>
      </c>
      <c r="M2813" t="n">
        <v>0</v>
      </c>
      <c r="N2813" t="n">
        <v>0</v>
      </c>
      <c r="O2813" t="n">
        <v>0</v>
      </c>
      <c r="P2813" t="n">
        <v>0</v>
      </c>
      <c r="Q2813" t="n">
        <v>0</v>
      </c>
      <c r="R2813" s="2" t="inlineStr"/>
    </row>
    <row r="2814" ht="15" customHeight="1">
      <c r="A2814" t="inlineStr">
        <is>
          <t>A 23723-2025</t>
        </is>
      </c>
      <c r="B2814" s="1" t="n">
        <v>45793</v>
      </c>
      <c r="C2814" s="1" t="n">
        <v>45847</v>
      </c>
      <c r="D2814" t="inlineStr">
        <is>
          <t>JÄMTLANDS LÄN</t>
        </is>
      </c>
      <c r="E2814" t="inlineStr">
        <is>
          <t>BRÄCKE</t>
        </is>
      </c>
      <c r="F2814" t="inlineStr">
        <is>
          <t>SCA</t>
        </is>
      </c>
      <c r="G2814" t="n">
        <v>9.800000000000001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23842-2025</t>
        </is>
      </c>
      <c r="B2815" s="1" t="n">
        <v>45793</v>
      </c>
      <c r="C2815" s="1" t="n">
        <v>45847</v>
      </c>
      <c r="D2815" t="inlineStr">
        <is>
          <t>JÄMTLANDS LÄN</t>
        </is>
      </c>
      <c r="E2815" t="inlineStr">
        <is>
          <t>BRÄCKE</t>
        </is>
      </c>
      <c r="F2815" t="inlineStr">
        <is>
          <t>SCA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24043-2025</t>
        </is>
      </c>
      <c r="B2816" s="1" t="n">
        <v>45796</v>
      </c>
      <c r="C2816" s="1" t="n">
        <v>45847</v>
      </c>
      <c r="D2816" t="inlineStr">
        <is>
          <t>JÄMTLANDS LÄN</t>
        </is>
      </c>
      <c r="E2816" t="inlineStr">
        <is>
          <t>BRÄCKE</t>
        </is>
      </c>
      <c r="F2816" t="inlineStr">
        <is>
          <t>SCA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24077-2025</t>
        </is>
      </c>
      <c r="B2817" s="1" t="n">
        <v>45796</v>
      </c>
      <c r="C2817" s="1" t="n">
        <v>45847</v>
      </c>
      <c r="D2817" t="inlineStr">
        <is>
          <t>JÄMTLANDS LÄN</t>
        </is>
      </c>
      <c r="E2817" t="inlineStr">
        <is>
          <t>BRÄCKE</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24154-2025</t>
        </is>
      </c>
      <c r="B2818" s="1" t="n">
        <v>45796</v>
      </c>
      <c r="C2818" s="1" t="n">
        <v>45847</v>
      </c>
      <c r="D2818" t="inlineStr">
        <is>
          <t>JÄMTLANDS LÄN</t>
        </is>
      </c>
      <c r="E2818" t="inlineStr">
        <is>
          <t>BRÄCKE</t>
        </is>
      </c>
      <c r="F2818" t="inlineStr">
        <is>
          <t>SCA</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24236-2025</t>
        </is>
      </c>
      <c r="B2819" s="1" t="n">
        <v>45797</v>
      </c>
      <c r="C2819" s="1" t="n">
        <v>45847</v>
      </c>
      <c r="D2819" t="inlineStr">
        <is>
          <t>JÄMTLANDS LÄN</t>
        </is>
      </c>
      <c r="E2819" t="inlineStr">
        <is>
          <t>BRÄCKE</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24427-2025</t>
        </is>
      </c>
      <c r="B2820" s="1" t="n">
        <v>45797</v>
      </c>
      <c r="C2820" s="1" t="n">
        <v>45847</v>
      </c>
      <c r="D2820" t="inlineStr">
        <is>
          <t>JÄMTLANDS LÄN</t>
        </is>
      </c>
      <c r="E2820" t="inlineStr">
        <is>
          <t>BRÄCKE</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24433-2025</t>
        </is>
      </c>
      <c r="B2821" s="1" t="n">
        <v>45797</v>
      </c>
      <c r="C2821" s="1" t="n">
        <v>45847</v>
      </c>
      <c r="D2821" t="inlineStr">
        <is>
          <t>JÄMTLANDS LÄN</t>
        </is>
      </c>
      <c r="E2821" t="inlineStr">
        <is>
          <t>BRÄCKE</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24436-2025</t>
        </is>
      </c>
      <c r="B2822" s="1" t="n">
        <v>45797</v>
      </c>
      <c r="C2822" s="1" t="n">
        <v>45847</v>
      </c>
      <c r="D2822" t="inlineStr">
        <is>
          <t>JÄMTLANDS LÄN</t>
        </is>
      </c>
      <c r="E2822" t="inlineStr">
        <is>
          <t>BRÄCKE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24437-2025</t>
        </is>
      </c>
      <c r="B2823" s="1" t="n">
        <v>45797</v>
      </c>
      <c r="C2823" s="1" t="n">
        <v>45847</v>
      </c>
      <c r="D2823" t="inlineStr">
        <is>
          <t>JÄMTLANDS LÄN</t>
        </is>
      </c>
      <c r="E2823" t="inlineStr">
        <is>
          <t>BRÄCKE</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24604-2025</t>
        </is>
      </c>
      <c r="B2824" s="1" t="n">
        <v>45798</v>
      </c>
      <c r="C2824" s="1" t="n">
        <v>45847</v>
      </c>
      <c r="D2824" t="inlineStr">
        <is>
          <t>JÄMTLANDS LÄN</t>
        </is>
      </c>
      <c r="E2824" t="inlineStr">
        <is>
          <t>BRÄCKE</t>
        </is>
      </c>
      <c r="F2824" t="inlineStr">
        <is>
          <t>SCA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24490-2025</t>
        </is>
      </c>
      <c r="B2825" s="1" t="n">
        <v>45798</v>
      </c>
      <c r="C2825" s="1" t="n">
        <v>45847</v>
      </c>
      <c r="D2825" t="inlineStr">
        <is>
          <t>JÄMTLANDS LÄN</t>
        </is>
      </c>
      <c r="E2825" t="inlineStr">
        <is>
          <t>BRÄCKE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24550-2025</t>
        </is>
      </c>
      <c r="B2826" s="1" t="n">
        <v>45798</v>
      </c>
      <c r="C2826" s="1" t="n">
        <v>45847</v>
      </c>
      <c r="D2826" t="inlineStr">
        <is>
          <t>JÄMTLANDS LÄN</t>
        </is>
      </c>
      <c r="E2826" t="inlineStr">
        <is>
          <t>BRÄCKE</t>
        </is>
      </c>
      <c r="F2826" t="inlineStr">
        <is>
          <t>SCA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24492-2025</t>
        </is>
      </c>
      <c r="B2827" s="1" t="n">
        <v>45798</v>
      </c>
      <c r="C2827" s="1" t="n">
        <v>45847</v>
      </c>
      <c r="D2827" t="inlineStr">
        <is>
          <t>JÄMTLANDS LÄN</t>
        </is>
      </c>
      <c r="E2827" t="inlineStr">
        <is>
          <t>BRÄCKE</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24508-2025</t>
        </is>
      </c>
      <c r="B2828" s="1" t="n">
        <v>45798</v>
      </c>
      <c r="C2828" s="1" t="n">
        <v>45847</v>
      </c>
      <c r="D2828" t="inlineStr">
        <is>
          <t>JÄMTLANDS LÄN</t>
        </is>
      </c>
      <c r="E2828" t="inlineStr">
        <is>
          <t>BRÄCKE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24454-2025</t>
        </is>
      </c>
      <c r="B2829" s="1" t="n">
        <v>45798</v>
      </c>
      <c r="C2829" s="1" t="n">
        <v>45847</v>
      </c>
      <c r="D2829" t="inlineStr">
        <is>
          <t>JÄMTLANDS LÄN</t>
        </is>
      </c>
      <c r="E2829" t="inlineStr">
        <is>
          <t>BRÄCKE</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24456-2025</t>
        </is>
      </c>
      <c r="B2830" s="1" t="n">
        <v>45798</v>
      </c>
      <c r="C2830" s="1" t="n">
        <v>45847</v>
      </c>
      <c r="D2830" t="inlineStr">
        <is>
          <t>JÄMTLANDS LÄN</t>
        </is>
      </c>
      <c r="E2830" t="inlineStr">
        <is>
          <t>BRÄCKE</t>
        </is>
      </c>
      <c r="F2830" t="inlineStr">
        <is>
          <t>SCA</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24489-2025</t>
        </is>
      </c>
      <c r="B2831" s="1" t="n">
        <v>45798</v>
      </c>
      <c r="C2831" s="1" t="n">
        <v>45847</v>
      </c>
      <c r="D2831" t="inlineStr">
        <is>
          <t>JÄMTLANDS LÄN</t>
        </is>
      </c>
      <c r="E2831" t="inlineStr">
        <is>
          <t>BRÄCKE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24491-2025</t>
        </is>
      </c>
      <c r="B2832" s="1" t="n">
        <v>45798</v>
      </c>
      <c r="C2832" s="1" t="n">
        <v>45847</v>
      </c>
      <c r="D2832" t="inlineStr">
        <is>
          <t>JÄMTLANDS LÄN</t>
        </is>
      </c>
      <c r="E2832" t="inlineStr">
        <is>
          <t>BRÄCKE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24502-2025</t>
        </is>
      </c>
      <c r="B2833" s="1" t="n">
        <v>45798</v>
      </c>
      <c r="C2833" s="1" t="n">
        <v>45847</v>
      </c>
      <c r="D2833" t="inlineStr">
        <is>
          <t>JÄMTLANDS LÄN</t>
        </is>
      </c>
      <c r="E2833" t="inlineStr">
        <is>
          <t>BRÄCKE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24647-2025</t>
        </is>
      </c>
      <c r="B2834" s="1" t="n">
        <v>45798</v>
      </c>
      <c r="C2834" s="1" t="n">
        <v>45847</v>
      </c>
      <c r="D2834" t="inlineStr">
        <is>
          <t>JÄMTLANDS LÄN</t>
        </is>
      </c>
      <c r="E2834" t="inlineStr">
        <is>
          <t>BRÄCKE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24588-2025</t>
        </is>
      </c>
      <c r="B2835" s="1" t="n">
        <v>45798</v>
      </c>
      <c r="C2835" s="1" t="n">
        <v>45847</v>
      </c>
      <c r="D2835" t="inlineStr">
        <is>
          <t>JÄMTLANDS LÄN</t>
        </is>
      </c>
      <c r="E2835" t="inlineStr">
        <is>
          <t>BRÄCKE</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24636-2025</t>
        </is>
      </c>
      <c r="B2836" s="1" t="n">
        <v>45798</v>
      </c>
      <c r="C2836" s="1" t="n">
        <v>45847</v>
      </c>
      <c r="D2836" t="inlineStr">
        <is>
          <t>JÄMTLANDS LÄN</t>
        </is>
      </c>
      <c r="E2836" t="inlineStr">
        <is>
          <t>BRÄCKE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24784-2025</t>
        </is>
      </c>
      <c r="B2837" s="1" t="n">
        <v>45799</v>
      </c>
      <c r="C2837" s="1" t="n">
        <v>45847</v>
      </c>
      <c r="D2837" t="inlineStr">
        <is>
          <t>JÄMTLANDS LÄN</t>
        </is>
      </c>
      <c r="E2837" t="inlineStr">
        <is>
          <t>BRÄCKE</t>
        </is>
      </c>
      <c r="F2837" t="inlineStr">
        <is>
          <t>SCA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24850-2025</t>
        </is>
      </c>
      <c r="B2838" s="1" t="n">
        <v>45799</v>
      </c>
      <c r="C2838" s="1" t="n">
        <v>45847</v>
      </c>
      <c r="D2838" t="inlineStr">
        <is>
          <t>JÄMTLANDS LÄN</t>
        </is>
      </c>
      <c r="E2838" t="inlineStr">
        <is>
          <t>BRÄCKE</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25101-2025</t>
        </is>
      </c>
      <c r="B2839" s="1" t="n">
        <v>45800</v>
      </c>
      <c r="C2839" s="1" t="n">
        <v>45847</v>
      </c>
      <c r="D2839" t="inlineStr">
        <is>
          <t>JÄMTLANDS LÄN</t>
        </is>
      </c>
      <c r="E2839" t="inlineStr">
        <is>
          <t>BRÄCKE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25159-2025</t>
        </is>
      </c>
      <c r="B2840" s="1" t="n">
        <v>45800</v>
      </c>
      <c r="C2840" s="1" t="n">
        <v>45847</v>
      </c>
      <c r="D2840" t="inlineStr">
        <is>
          <t>JÄMTLANDS LÄN</t>
        </is>
      </c>
      <c r="E2840" t="inlineStr">
        <is>
          <t>BRÄCKE</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25102-2025</t>
        </is>
      </c>
      <c r="B2841" s="1" t="n">
        <v>45800</v>
      </c>
      <c r="C2841" s="1" t="n">
        <v>45847</v>
      </c>
      <c r="D2841" t="inlineStr">
        <is>
          <t>JÄMTLANDS LÄN</t>
        </is>
      </c>
      <c r="E2841" t="inlineStr">
        <is>
          <t>BRÄCKE</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25718-2025</t>
        </is>
      </c>
      <c r="B2842" s="1" t="n">
        <v>45803</v>
      </c>
      <c r="C2842" s="1" t="n">
        <v>45847</v>
      </c>
      <c r="D2842" t="inlineStr">
        <is>
          <t>JÄMTLANDS LÄN</t>
        </is>
      </c>
      <c r="E2842" t="inlineStr">
        <is>
          <t>BRÄCKE</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25734-2025</t>
        </is>
      </c>
      <c r="B2843" s="1" t="n">
        <v>45803</v>
      </c>
      <c r="C2843" s="1" t="n">
        <v>45847</v>
      </c>
      <c r="D2843" t="inlineStr">
        <is>
          <t>JÄMTLANDS LÄN</t>
        </is>
      </c>
      <c r="E2843" t="inlineStr">
        <is>
          <t>BRÄCKE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25821-2025</t>
        </is>
      </c>
      <c r="B2844" s="1" t="n">
        <v>45804</v>
      </c>
      <c r="C2844" s="1" t="n">
        <v>45847</v>
      </c>
      <c r="D2844" t="inlineStr">
        <is>
          <t>JÄMTLANDS LÄN</t>
        </is>
      </c>
      <c r="E2844" t="inlineStr">
        <is>
          <t>BRÄCKE</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26090-2025</t>
        </is>
      </c>
      <c r="B2845" s="1" t="n">
        <v>45805</v>
      </c>
      <c r="C2845" s="1" t="n">
        <v>45847</v>
      </c>
      <c r="D2845" t="inlineStr">
        <is>
          <t>JÄMTLANDS LÄN</t>
        </is>
      </c>
      <c r="E2845" t="inlineStr">
        <is>
          <t>BRÄCKE</t>
        </is>
      </c>
      <c r="F2845" t="inlineStr">
        <is>
          <t>SCA</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26298-2025</t>
        </is>
      </c>
      <c r="B2846" s="1" t="n">
        <v>45805</v>
      </c>
      <c r="C2846" s="1" t="n">
        <v>45847</v>
      </c>
      <c r="D2846" t="inlineStr">
        <is>
          <t>JÄMTLANDS LÄN</t>
        </is>
      </c>
      <c r="E2846" t="inlineStr">
        <is>
          <t>BRÄCKE</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26379-2025</t>
        </is>
      </c>
      <c r="B2847" s="1" t="n">
        <v>45806</v>
      </c>
      <c r="C2847" s="1" t="n">
        <v>45847</v>
      </c>
      <c r="D2847" t="inlineStr">
        <is>
          <t>JÄMTLANDS LÄN</t>
        </is>
      </c>
      <c r="E2847" t="inlineStr">
        <is>
          <t>BRÄCKE</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26371-2025</t>
        </is>
      </c>
      <c r="B2848" s="1" t="n">
        <v>45806</v>
      </c>
      <c r="C2848" s="1" t="n">
        <v>45847</v>
      </c>
      <c r="D2848" t="inlineStr">
        <is>
          <t>JÄMTLANDS LÄN</t>
        </is>
      </c>
      <c r="E2848" t="inlineStr">
        <is>
          <t>BRÄCKE</t>
        </is>
      </c>
      <c r="F2848" t="inlineStr">
        <is>
          <t>SCA</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26736-2025</t>
        </is>
      </c>
      <c r="B2849" s="1" t="n">
        <v>45810</v>
      </c>
      <c r="C2849" s="1" t="n">
        <v>45847</v>
      </c>
      <c r="D2849" t="inlineStr">
        <is>
          <t>JÄMTLANDS LÄN</t>
        </is>
      </c>
      <c r="E2849" t="inlineStr">
        <is>
          <t>BRÄCKE</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26818-2025</t>
        </is>
      </c>
      <c r="B2850" s="1" t="n">
        <v>45810</v>
      </c>
      <c r="C2850" s="1" t="n">
        <v>45847</v>
      </c>
      <c r="D2850" t="inlineStr">
        <is>
          <t>JÄMTLANDS LÄN</t>
        </is>
      </c>
      <c r="E2850" t="inlineStr">
        <is>
          <t>BRÄCKE</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27041-2025</t>
        </is>
      </c>
      <c r="B2851" s="1" t="n">
        <v>45811</v>
      </c>
      <c r="C2851" s="1" t="n">
        <v>45847</v>
      </c>
      <c r="D2851" t="inlineStr">
        <is>
          <t>JÄMTLANDS LÄN</t>
        </is>
      </c>
      <c r="E2851" t="inlineStr">
        <is>
          <t>BRÄCKE</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27197-2025</t>
        </is>
      </c>
      <c r="B2852" s="1" t="n">
        <v>45812</v>
      </c>
      <c r="C2852" s="1" t="n">
        <v>45847</v>
      </c>
      <c r="D2852" t="inlineStr">
        <is>
          <t>JÄMTLANDS LÄN</t>
        </is>
      </c>
      <c r="E2852" t="inlineStr">
        <is>
          <t>BRÄCKE</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27278-2025</t>
        </is>
      </c>
      <c r="B2853" s="1" t="n">
        <v>45812</v>
      </c>
      <c r="C2853" s="1" t="n">
        <v>45847</v>
      </c>
      <c r="D2853" t="inlineStr">
        <is>
          <t>JÄMTLANDS LÄN</t>
        </is>
      </c>
      <c r="E2853" t="inlineStr">
        <is>
          <t>BRÄCKE</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27546-2025</t>
        </is>
      </c>
      <c r="B2854" s="1" t="n">
        <v>45813</v>
      </c>
      <c r="C2854" s="1" t="n">
        <v>45847</v>
      </c>
      <c r="D2854" t="inlineStr">
        <is>
          <t>JÄMTLANDS LÄN</t>
        </is>
      </c>
      <c r="E2854" t="inlineStr">
        <is>
          <t>BRÄCKE</t>
        </is>
      </c>
      <c r="F2854" t="inlineStr">
        <is>
          <t>SCA</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27542-2025</t>
        </is>
      </c>
      <c r="B2855" s="1" t="n">
        <v>45813</v>
      </c>
      <c r="C2855" s="1" t="n">
        <v>45847</v>
      </c>
      <c r="D2855" t="inlineStr">
        <is>
          <t>JÄMTLANDS LÄN</t>
        </is>
      </c>
      <c r="E2855" t="inlineStr">
        <is>
          <t>BRÄCKE</t>
        </is>
      </c>
      <c r="F2855" t="inlineStr">
        <is>
          <t>SCA</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27516-2025</t>
        </is>
      </c>
      <c r="B2856" s="1" t="n">
        <v>45813</v>
      </c>
      <c r="C2856" s="1" t="n">
        <v>45847</v>
      </c>
      <c r="D2856" t="inlineStr">
        <is>
          <t>JÄMTLANDS LÄN</t>
        </is>
      </c>
      <c r="E2856" t="inlineStr">
        <is>
          <t>BRÄCKE</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27453-2025</t>
        </is>
      </c>
      <c r="B2857" s="1" t="n">
        <v>45813</v>
      </c>
      <c r="C2857" s="1" t="n">
        <v>45847</v>
      </c>
      <c r="D2857" t="inlineStr">
        <is>
          <t>JÄMTLANDS LÄN</t>
        </is>
      </c>
      <c r="E2857" t="inlineStr">
        <is>
          <t>BRÄCKE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27511-2025</t>
        </is>
      </c>
      <c r="B2858" s="1" t="n">
        <v>45813</v>
      </c>
      <c r="C2858" s="1" t="n">
        <v>45847</v>
      </c>
      <c r="D2858" t="inlineStr">
        <is>
          <t>JÄMTLANDS LÄN</t>
        </is>
      </c>
      <c r="E2858" t="inlineStr">
        <is>
          <t>BRÄCKE</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27872-2025</t>
        </is>
      </c>
      <c r="B2859" s="1" t="n">
        <v>45817</v>
      </c>
      <c r="C2859" s="1" t="n">
        <v>45847</v>
      </c>
      <c r="D2859" t="inlineStr">
        <is>
          <t>JÄMTLANDS LÄN</t>
        </is>
      </c>
      <c r="E2859" t="inlineStr">
        <is>
          <t>BRÄCKE</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28153-2025</t>
        </is>
      </c>
      <c r="B2860" s="1" t="n">
        <v>45818</v>
      </c>
      <c r="C2860" s="1" t="n">
        <v>45847</v>
      </c>
      <c r="D2860" t="inlineStr">
        <is>
          <t>JÄMTLANDS LÄN</t>
        </is>
      </c>
      <c r="E2860" t="inlineStr">
        <is>
          <t>BRÄCKE</t>
        </is>
      </c>
      <c r="F2860" t="inlineStr">
        <is>
          <t>Övriga Aktiebolag</t>
        </is>
      </c>
      <c r="G2860" t="n">
        <v>16.2</v>
      </c>
      <c r="H2860" t="n">
        <v>0</v>
      </c>
      <c r="I2860" t="n">
        <v>0</v>
      </c>
      <c r="J2860" t="n">
        <v>0</v>
      </c>
      <c r="K2860" t="n">
        <v>0</v>
      </c>
      <c r="L2860" t="n">
        <v>0</v>
      </c>
      <c r="M2860" t="n">
        <v>0</v>
      </c>
      <c r="N2860" t="n">
        <v>0</v>
      </c>
      <c r="O2860" t="n">
        <v>0</v>
      </c>
      <c r="P2860" t="n">
        <v>0</v>
      </c>
      <c r="Q2860" t="n">
        <v>0</v>
      </c>
      <c r="R2860" s="2" t="inlineStr"/>
    </row>
    <row r="2861" ht="15" customHeight="1">
      <c r="A2861" t="inlineStr">
        <is>
          <t>A 28173-2025</t>
        </is>
      </c>
      <c r="B2861" s="1" t="n">
        <v>45818</v>
      </c>
      <c r="C2861" s="1" t="n">
        <v>45847</v>
      </c>
      <c r="D2861" t="inlineStr">
        <is>
          <t>JÄMTLANDS LÄN</t>
        </is>
      </c>
      <c r="E2861" t="inlineStr">
        <is>
          <t>BRÄCKE</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28198-2025</t>
        </is>
      </c>
      <c r="B2862" s="1" t="n">
        <v>45818</v>
      </c>
      <c r="C2862" s="1" t="n">
        <v>45847</v>
      </c>
      <c r="D2862" t="inlineStr">
        <is>
          <t>JÄMTLANDS LÄN</t>
        </is>
      </c>
      <c r="E2862" t="inlineStr">
        <is>
          <t>BRÄCKE</t>
        </is>
      </c>
      <c r="F2862" t="inlineStr">
        <is>
          <t>Övriga Aktiebolag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28323-2025</t>
        </is>
      </c>
      <c r="B2863" s="1" t="n">
        <v>45818</v>
      </c>
      <c r="C2863" s="1" t="n">
        <v>45847</v>
      </c>
      <c r="D2863" t="inlineStr">
        <is>
          <t>JÄMTLANDS LÄN</t>
        </is>
      </c>
      <c r="E2863" t="inlineStr">
        <is>
          <t>BRÄCKE</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28210-2025</t>
        </is>
      </c>
      <c r="B2864" s="1" t="n">
        <v>45818</v>
      </c>
      <c r="C2864" s="1" t="n">
        <v>45847</v>
      </c>
      <c r="D2864" t="inlineStr">
        <is>
          <t>JÄMTLANDS LÄN</t>
        </is>
      </c>
      <c r="E2864" t="inlineStr">
        <is>
          <t>BRÄCKE</t>
        </is>
      </c>
      <c r="F2864" t="inlineStr">
        <is>
          <t>Övriga Aktiebolag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28289-2025</t>
        </is>
      </c>
      <c r="B2865" s="1" t="n">
        <v>45818</v>
      </c>
      <c r="C2865" s="1" t="n">
        <v>45847</v>
      </c>
      <c r="D2865" t="inlineStr">
        <is>
          <t>JÄMTLANDS LÄN</t>
        </is>
      </c>
      <c r="E2865" t="inlineStr">
        <is>
          <t>BRÄCKE</t>
        </is>
      </c>
      <c r="F2865" t="inlineStr">
        <is>
          <t>Övriga Aktiebolag</t>
        </is>
      </c>
      <c r="G2865" t="n">
        <v>12.8</v>
      </c>
      <c r="H2865" t="n">
        <v>0</v>
      </c>
      <c r="I2865" t="n">
        <v>0</v>
      </c>
      <c r="J2865" t="n">
        <v>0</v>
      </c>
      <c r="K2865" t="n">
        <v>0</v>
      </c>
      <c r="L2865" t="n">
        <v>0</v>
      </c>
      <c r="M2865" t="n">
        <v>0</v>
      </c>
      <c r="N2865" t="n">
        <v>0</v>
      </c>
      <c r="O2865" t="n">
        <v>0</v>
      </c>
      <c r="P2865" t="n">
        <v>0</v>
      </c>
      <c r="Q2865" t="n">
        <v>0</v>
      </c>
      <c r="R2865" s="2" t="inlineStr"/>
    </row>
    <row r="2866" ht="15" customHeight="1">
      <c r="A2866" t="inlineStr">
        <is>
          <t>A 28656-2025</t>
        </is>
      </c>
      <c r="B2866" s="1" t="n">
        <v>45819</v>
      </c>
      <c r="C2866" s="1" t="n">
        <v>45847</v>
      </c>
      <c r="D2866" t="inlineStr">
        <is>
          <t>JÄMTLANDS LÄN</t>
        </is>
      </c>
      <c r="E2866" t="inlineStr">
        <is>
          <t>BRÄCKE</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28636-2025</t>
        </is>
      </c>
      <c r="B2867" s="1" t="n">
        <v>45819</v>
      </c>
      <c r="C2867" s="1" t="n">
        <v>45847</v>
      </c>
      <c r="D2867" t="inlineStr">
        <is>
          <t>JÄMTLANDS LÄN</t>
        </is>
      </c>
      <c r="E2867" t="inlineStr">
        <is>
          <t>BRÄCKE</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28675-2025</t>
        </is>
      </c>
      <c r="B2868" s="1" t="n">
        <v>45819</v>
      </c>
      <c r="C2868" s="1" t="n">
        <v>45847</v>
      </c>
      <c r="D2868" t="inlineStr">
        <is>
          <t>JÄMTLANDS LÄN</t>
        </is>
      </c>
      <c r="E2868" t="inlineStr">
        <is>
          <t>BRÄCKE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28937-2025</t>
        </is>
      </c>
      <c r="B2869" s="1" t="n">
        <v>45820</v>
      </c>
      <c r="C2869" s="1" t="n">
        <v>45847</v>
      </c>
      <c r="D2869" t="inlineStr">
        <is>
          <t>JÄMTLANDS LÄN</t>
        </is>
      </c>
      <c r="E2869" t="inlineStr">
        <is>
          <t>BRÄCKE</t>
        </is>
      </c>
      <c r="F2869" t="inlineStr">
        <is>
          <t>SCA</t>
        </is>
      </c>
      <c r="G2869" t="n">
        <v>11.5</v>
      </c>
      <c r="H2869" t="n">
        <v>0</v>
      </c>
      <c r="I2869" t="n">
        <v>0</v>
      </c>
      <c r="J2869" t="n">
        <v>0</v>
      </c>
      <c r="K2869" t="n">
        <v>0</v>
      </c>
      <c r="L2869" t="n">
        <v>0</v>
      </c>
      <c r="M2869" t="n">
        <v>0</v>
      </c>
      <c r="N2869" t="n">
        <v>0</v>
      </c>
      <c r="O2869" t="n">
        <v>0</v>
      </c>
      <c r="P2869" t="n">
        <v>0</v>
      </c>
      <c r="Q2869" t="n">
        <v>0</v>
      </c>
      <c r="R2869" s="2" t="inlineStr"/>
    </row>
    <row r="2870" ht="15" customHeight="1">
      <c r="A2870" t="inlineStr">
        <is>
          <t>A 28928-2025</t>
        </is>
      </c>
      <c r="B2870" s="1" t="n">
        <v>45820</v>
      </c>
      <c r="C2870" s="1" t="n">
        <v>45847</v>
      </c>
      <c r="D2870" t="inlineStr">
        <is>
          <t>JÄMTLANDS LÄN</t>
        </is>
      </c>
      <c r="E2870" t="inlineStr">
        <is>
          <t>BRÄCKE</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29021-2025</t>
        </is>
      </c>
      <c r="B2871" s="1" t="n">
        <v>45821</v>
      </c>
      <c r="C2871" s="1" t="n">
        <v>45847</v>
      </c>
      <c r="D2871" t="inlineStr">
        <is>
          <t>JÄMTLANDS LÄN</t>
        </is>
      </c>
      <c r="E2871" t="inlineStr">
        <is>
          <t>BRÄCKE</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29091-2025</t>
        </is>
      </c>
      <c r="B2872" s="1" t="n">
        <v>45821</v>
      </c>
      <c r="C2872" s="1" t="n">
        <v>45847</v>
      </c>
      <c r="D2872" t="inlineStr">
        <is>
          <t>JÄMTLANDS LÄN</t>
        </is>
      </c>
      <c r="E2872" t="inlineStr">
        <is>
          <t>BRÄCKE</t>
        </is>
      </c>
      <c r="F2872" t="inlineStr">
        <is>
          <t>SCA</t>
        </is>
      </c>
      <c r="G2872" t="n">
        <v>13.8</v>
      </c>
      <c r="H2872" t="n">
        <v>0</v>
      </c>
      <c r="I2872" t="n">
        <v>0</v>
      </c>
      <c r="J2872" t="n">
        <v>0</v>
      </c>
      <c r="K2872" t="n">
        <v>0</v>
      </c>
      <c r="L2872" t="n">
        <v>0</v>
      </c>
      <c r="M2872" t="n">
        <v>0</v>
      </c>
      <c r="N2872" t="n">
        <v>0</v>
      </c>
      <c r="O2872" t="n">
        <v>0</v>
      </c>
      <c r="P2872" t="n">
        <v>0</v>
      </c>
      <c r="Q2872" t="n">
        <v>0</v>
      </c>
      <c r="R2872" s="2" t="inlineStr"/>
    </row>
    <row r="2873" ht="15" customHeight="1">
      <c r="A2873" t="inlineStr">
        <is>
          <t>A 29038-2025</t>
        </is>
      </c>
      <c r="B2873" s="1" t="n">
        <v>45821</v>
      </c>
      <c r="C2873" s="1" t="n">
        <v>45847</v>
      </c>
      <c r="D2873" t="inlineStr">
        <is>
          <t>JÄMTLANDS LÄN</t>
        </is>
      </c>
      <c r="E2873" t="inlineStr">
        <is>
          <t>BRÄCKE</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29107-2025</t>
        </is>
      </c>
      <c r="B2874" s="1" t="n">
        <v>45821</v>
      </c>
      <c r="C2874" s="1" t="n">
        <v>45847</v>
      </c>
      <c r="D2874" t="inlineStr">
        <is>
          <t>JÄMTLANDS LÄN</t>
        </is>
      </c>
      <c r="E2874" t="inlineStr">
        <is>
          <t>BRÄCKE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28972-2025</t>
        </is>
      </c>
      <c r="B2875" s="1" t="n">
        <v>45821</v>
      </c>
      <c r="C2875" s="1" t="n">
        <v>45847</v>
      </c>
      <c r="D2875" t="inlineStr">
        <is>
          <t>JÄMTLANDS LÄN</t>
        </is>
      </c>
      <c r="E2875" t="inlineStr">
        <is>
          <t>BRÄCKE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29124-2025</t>
        </is>
      </c>
      <c r="B2876" s="1" t="n">
        <v>45821</v>
      </c>
      <c r="C2876" s="1" t="n">
        <v>45847</v>
      </c>
      <c r="D2876" t="inlineStr">
        <is>
          <t>JÄMTLANDS LÄN</t>
        </is>
      </c>
      <c r="E2876" t="inlineStr">
        <is>
          <t>BRÄCKE</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29431-2025</t>
        </is>
      </c>
      <c r="B2877" s="1" t="n">
        <v>45824</v>
      </c>
      <c r="C2877" s="1" t="n">
        <v>45847</v>
      </c>
      <c r="D2877" t="inlineStr">
        <is>
          <t>JÄMTLANDS LÄN</t>
        </is>
      </c>
      <c r="E2877" t="inlineStr">
        <is>
          <t>BRÄCKE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29534-2025</t>
        </is>
      </c>
      <c r="B2878" s="1" t="n">
        <v>45825</v>
      </c>
      <c r="C2878" s="1" t="n">
        <v>45847</v>
      </c>
      <c r="D2878" t="inlineStr">
        <is>
          <t>JÄMTLANDS LÄN</t>
        </is>
      </c>
      <c r="E2878" t="inlineStr">
        <is>
          <t>BRÄCKE</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29763-2025</t>
        </is>
      </c>
      <c r="B2879" s="1" t="n">
        <v>45825</v>
      </c>
      <c r="C2879" s="1" t="n">
        <v>45847</v>
      </c>
      <c r="D2879" t="inlineStr">
        <is>
          <t>JÄMTLANDS LÄN</t>
        </is>
      </c>
      <c r="E2879" t="inlineStr">
        <is>
          <t>BRÄCKE</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30016-2025</t>
        </is>
      </c>
      <c r="B2880" s="1" t="n">
        <v>45826</v>
      </c>
      <c r="C2880" s="1" t="n">
        <v>45847</v>
      </c>
      <c r="D2880" t="inlineStr">
        <is>
          <t>JÄMTLANDS LÄN</t>
        </is>
      </c>
      <c r="E2880" t="inlineStr">
        <is>
          <t>BRÄCKE</t>
        </is>
      </c>
      <c r="F2880" t="inlineStr">
        <is>
          <t>SCA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29909-2025</t>
        </is>
      </c>
      <c r="B2881" s="1" t="n">
        <v>45826</v>
      </c>
      <c r="C2881" s="1" t="n">
        <v>45847</v>
      </c>
      <c r="D2881" t="inlineStr">
        <is>
          <t>JÄMTLANDS LÄN</t>
        </is>
      </c>
      <c r="E2881" t="inlineStr">
        <is>
          <t>BRÄCKE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29996-2025</t>
        </is>
      </c>
      <c r="B2882" s="1" t="n">
        <v>45826</v>
      </c>
      <c r="C2882" s="1" t="n">
        <v>45847</v>
      </c>
      <c r="D2882" t="inlineStr">
        <is>
          <t>JÄMTLANDS LÄN</t>
        </is>
      </c>
      <c r="E2882" t="inlineStr">
        <is>
          <t>BRÄCKE</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30014-2025</t>
        </is>
      </c>
      <c r="B2883" s="1" t="n">
        <v>45826</v>
      </c>
      <c r="C2883" s="1" t="n">
        <v>45847</v>
      </c>
      <c r="D2883" t="inlineStr">
        <is>
          <t>JÄMTLANDS LÄN</t>
        </is>
      </c>
      <c r="E2883" t="inlineStr">
        <is>
          <t>BRÄCKE</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30391-2025</t>
        </is>
      </c>
      <c r="B2884" s="1" t="n">
        <v>45827</v>
      </c>
      <c r="C2884" s="1" t="n">
        <v>45847</v>
      </c>
      <c r="D2884" t="inlineStr">
        <is>
          <t>JÄMTLANDS LÄN</t>
        </is>
      </c>
      <c r="E2884" t="inlineStr">
        <is>
          <t>BRÄCKE</t>
        </is>
      </c>
      <c r="F2884" t="inlineStr">
        <is>
          <t>SCA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30313-2025</t>
        </is>
      </c>
      <c r="B2885" s="1" t="n">
        <v>45827</v>
      </c>
      <c r="C2885" s="1" t="n">
        <v>45847</v>
      </c>
      <c r="D2885" t="inlineStr">
        <is>
          <t>JÄMTLANDS LÄN</t>
        </is>
      </c>
      <c r="E2885" t="inlineStr">
        <is>
          <t>BRÄCKE</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30393-2025</t>
        </is>
      </c>
      <c r="B2886" s="1" t="n">
        <v>45827</v>
      </c>
      <c r="C2886" s="1" t="n">
        <v>45847</v>
      </c>
      <c r="D2886" t="inlineStr">
        <is>
          <t>JÄMTLANDS LÄN</t>
        </is>
      </c>
      <c r="E2886" t="inlineStr">
        <is>
          <t>BRÄCKE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30425-2025</t>
        </is>
      </c>
      <c r="B2887" s="1" t="n">
        <v>45827</v>
      </c>
      <c r="C2887" s="1" t="n">
        <v>45847</v>
      </c>
      <c r="D2887" t="inlineStr">
        <is>
          <t>JÄMTLANDS LÄN</t>
        </is>
      </c>
      <c r="E2887" t="inlineStr">
        <is>
          <t>BRÄCKE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30310-2025</t>
        </is>
      </c>
      <c r="B2888" s="1" t="n">
        <v>45827</v>
      </c>
      <c r="C2888" s="1" t="n">
        <v>45847</v>
      </c>
      <c r="D2888" t="inlineStr">
        <is>
          <t>JÄMTLANDS LÄN</t>
        </is>
      </c>
      <c r="E2888" t="inlineStr">
        <is>
          <t>BRÄCKE</t>
        </is>
      </c>
      <c r="F2888" t="inlineStr">
        <is>
          <t>SCA</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30317-2025</t>
        </is>
      </c>
      <c r="B2889" s="1" t="n">
        <v>45827</v>
      </c>
      <c r="C2889" s="1" t="n">
        <v>45847</v>
      </c>
      <c r="D2889" t="inlineStr">
        <is>
          <t>JÄMTLANDS LÄN</t>
        </is>
      </c>
      <c r="E2889" t="inlineStr">
        <is>
          <t>BRÄCKE</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30424-2025</t>
        </is>
      </c>
      <c r="B2890" s="1" t="n">
        <v>45827</v>
      </c>
      <c r="C2890" s="1" t="n">
        <v>45847</v>
      </c>
      <c r="D2890" t="inlineStr">
        <is>
          <t>JÄMTLANDS LÄN</t>
        </is>
      </c>
      <c r="E2890" t="inlineStr">
        <is>
          <t>BRÄCKE</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30392-2025</t>
        </is>
      </c>
      <c r="B2891" s="1" t="n">
        <v>45827</v>
      </c>
      <c r="C2891" s="1" t="n">
        <v>45847</v>
      </c>
      <c r="D2891" t="inlineStr">
        <is>
          <t>JÄMTLANDS LÄN</t>
        </is>
      </c>
      <c r="E2891" t="inlineStr">
        <is>
          <t>BRÄCKE</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30732-2025</t>
        </is>
      </c>
      <c r="B2892" s="1" t="n">
        <v>45831</v>
      </c>
      <c r="C2892" s="1" t="n">
        <v>45847</v>
      </c>
      <c r="D2892" t="inlineStr">
        <is>
          <t>JÄMTLANDS LÄN</t>
        </is>
      </c>
      <c r="E2892" t="inlineStr">
        <is>
          <t>BRÄCKE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30714-2025</t>
        </is>
      </c>
      <c r="B2893" s="1" t="n">
        <v>45831</v>
      </c>
      <c r="C2893" s="1" t="n">
        <v>45847</v>
      </c>
      <c r="D2893" t="inlineStr">
        <is>
          <t>JÄMTLANDS LÄN</t>
        </is>
      </c>
      <c r="E2893" t="inlineStr">
        <is>
          <t>BRÄCKE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30619-2025</t>
        </is>
      </c>
      <c r="B2894" s="1" t="n">
        <v>45831</v>
      </c>
      <c r="C2894" s="1" t="n">
        <v>45847</v>
      </c>
      <c r="D2894" t="inlineStr">
        <is>
          <t>JÄMTLANDS LÄN</t>
        </is>
      </c>
      <c r="E2894" t="inlineStr">
        <is>
          <t>BRÄCKE</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31138-2025</t>
        </is>
      </c>
      <c r="B2895" s="1" t="n">
        <v>45832</v>
      </c>
      <c r="C2895" s="1" t="n">
        <v>45847</v>
      </c>
      <c r="D2895" t="inlineStr">
        <is>
          <t>JÄMTLANDS LÄN</t>
        </is>
      </c>
      <c r="E2895" t="inlineStr">
        <is>
          <t>BRÄCKE</t>
        </is>
      </c>
      <c r="F2895" t="inlineStr">
        <is>
          <t>SCA</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31059-2025</t>
        </is>
      </c>
      <c r="B2896" s="1" t="n">
        <v>45832</v>
      </c>
      <c r="C2896" s="1" t="n">
        <v>45847</v>
      </c>
      <c r="D2896" t="inlineStr">
        <is>
          <t>JÄMTLANDS LÄN</t>
        </is>
      </c>
      <c r="E2896" t="inlineStr">
        <is>
          <t>BRÄCKE</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31274-2025</t>
        </is>
      </c>
      <c r="B2897" s="1" t="n">
        <v>45833</v>
      </c>
      <c r="C2897" s="1" t="n">
        <v>45847</v>
      </c>
      <c r="D2897" t="inlineStr">
        <is>
          <t>JÄMTLANDS LÄN</t>
        </is>
      </c>
      <c r="E2897" t="inlineStr">
        <is>
          <t>BRÄCKE</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31379-2025</t>
        </is>
      </c>
      <c r="B2898" s="1" t="n">
        <v>45833</v>
      </c>
      <c r="C2898" s="1" t="n">
        <v>45847</v>
      </c>
      <c r="D2898" t="inlineStr">
        <is>
          <t>JÄMTLANDS LÄN</t>
        </is>
      </c>
      <c r="E2898" t="inlineStr">
        <is>
          <t>BRÄCKE</t>
        </is>
      </c>
      <c r="F2898" t="inlineStr">
        <is>
          <t>SCA</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31425-2025</t>
        </is>
      </c>
      <c r="B2899" s="1" t="n">
        <v>45833</v>
      </c>
      <c r="C2899" s="1" t="n">
        <v>45847</v>
      </c>
      <c r="D2899" t="inlineStr">
        <is>
          <t>JÄMTLANDS LÄN</t>
        </is>
      </c>
      <c r="E2899" t="inlineStr">
        <is>
          <t>BRÄCKE</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31482-2025</t>
        </is>
      </c>
      <c r="B2900" s="1" t="n">
        <v>45833</v>
      </c>
      <c r="C2900" s="1" t="n">
        <v>45847</v>
      </c>
      <c r="D2900" t="inlineStr">
        <is>
          <t>JÄMTLANDS LÄN</t>
        </is>
      </c>
      <c r="E2900" t="inlineStr">
        <is>
          <t>BRÄCKE</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31794-2025</t>
        </is>
      </c>
      <c r="B2901" s="1" t="n">
        <v>45834</v>
      </c>
      <c r="C2901" s="1" t="n">
        <v>45847</v>
      </c>
      <c r="D2901" t="inlineStr">
        <is>
          <t>JÄMTLANDS LÄN</t>
        </is>
      </c>
      <c r="E2901" t="inlineStr">
        <is>
          <t>BRÄCKE</t>
        </is>
      </c>
      <c r="F2901" t="inlineStr">
        <is>
          <t>Övriga Aktiebolag</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31819-2025</t>
        </is>
      </c>
      <c r="B2902" s="1" t="n">
        <v>45834</v>
      </c>
      <c r="C2902" s="1" t="n">
        <v>45847</v>
      </c>
      <c r="D2902" t="inlineStr">
        <is>
          <t>JÄMTLANDS LÄN</t>
        </is>
      </c>
      <c r="E2902" t="inlineStr">
        <is>
          <t>BRÄCKE</t>
        </is>
      </c>
      <c r="F2902" t="inlineStr">
        <is>
          <t>Övriga Aktiebolag</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31668-2025</t>
        </is>
      </c>
      <c r="B2903" s="1" t="n">
        <v>45834</v>
      </c>
      <c r="C2903" s="1" t="n">
        <v>45847</v>
      </c>
      <c r="D2903" t="inlineStr">
        <is>
          <t>JÄMTLANDS LÄN</t>
        </is>
      </c>
      <c r="E2903" t="inlineStr">
        <is>
          <t>BRÄCKE</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31696-2025</t>
        </is>
      </c>
      <c r="B2904" s="1" t="n">
        <v>45834</v>
      </c>
      <c r="C2904" s="1" t="n">
        <v>45847</v>
      </c>
      <c r="D2904" t="inlineStr">
        <is>
          <t>JÄMTLANDS LÄN</t>
        </is>
      </c>
      <c r="E2904" t="inlineStr">
        <is>
          <t>BRÄCKE</t>
        </is>
      </c>
      <c r="F2904" t="inlineStr">
        <is>
          <t>SCA</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31832-2025</t>
        </is>
      </c>
      <c r="B2905" s="1" t="n">
        <v>45834</v>
      </c>
      <c r="C2905" s="1" t="n">
        <v>45847</v>
      </c>
      <c r="D2905" t="inlineStr">
        <is>
          <t>JÄMTLANDS LÄN</t>
        </is>
      </c>
      <c r="E2905" t="inlineStr">
        <is>
          <t>BRÄCKE</t>
        </is>
      </c>
      <c r="F2905" t="inlineStr">
        <is>
          <t>Övriga Aktiebolag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31728-2025</t>
        </is>
      </c>
      <c r="B2906" s="1" t="n">
        <v>45834</v>
      </c>
      <c r="C2906" s="1" t="n">
        <v>45847</v>
      </c>
      <c r="D2906" t="inlineStr">
        <is>
          <t>JÄMTLANDS LÄN</t>
        </is>
      </c>
      <c r="E2906" t="inlineStr">
        <is>
          <t>BRÄCKE</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31749-2025</t>
        </is>
      </c>
      <c r="B2907" s="1" t="n">
        <v>45834</v>
      </c>
      <c r="C2907" s="1" t="n">
        <v>45847</v>
      </c>
      <c r="D2907" t="inlineStr">
        <is>
          <t>JÄMTLANDS LÄN</t>
        </is>
      </c>
      <c r="E2907" t="inlineStr">
        <is>
          <t>BRÄCKE</t>
        </is>
      </c>
      <c r="F2907" t="inlineStr">
        <is>
          <t>Övriga Aktiebolag</t>
        </is>
      </c>
      <c r="G2907" t="n">
        <v>12.5</v>
      </c>
      <c r="H2907" t="n">
        <v>0</v>
      </c>
      <c r="I2907" t="n">
        <v>0</v>
      </c>
      <c r="J2907" t="n">
        <v>0</v>
      </c>
      <c r="K2907" t="n">
        <v>0</v>
      </c>
      <c r="L2907" t="n">
        <v>0</v>
      </c>
      <c r="M2907" t="n">
        <v>0</v>
      </c>
      <c r="N2907" t="n">
        <v>0</v>
      </c>
      <c r="O2907" t="n">
        <v>0</v>
      </c>
      <c r="P2907" t="n">
        <v>0</v>
      </c>
      <c r="Q2907" t="n">
        <v>0</v>
      </c>
      <c r="R2907" s="2" t="inlineStr"/>
    </row>
    <row r="2908" ht="15" customHeight="1">
      <c r="A2908" t="inlineStr">
        <is>
          <t>A 31806-2025</t>
        </is>
      </c>
      <c r="B2908" s="1" t="n">
        <v>45834</v>
      </c>
      <c r="C2908" s="1" t="n">
        <v>45847</v>
      </c>
      <c r="D2908" t="inlineStr">
        <is>
          <t>JÄMTLANDS LÄN</t>
        </is>
      </c>
      <c r="E2908" t="inlineStr">
        <is>
          <t>BRÄCKE</t>
        </is>
      </c>
      <c r="F2908" t="inlineStr">
        <is>
          <t>Övriga Aktiebolag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32272-2025</t>
        </is>
      </c>
      <c r="B2909" s="1" t="n">
        <v>45835</v>
      </c>
      <c r="C2909" s="1" t="n">
        <v>45847</v>
      </c>
      <c r="D2909" t="inlineStr">
        <is>
          <t>JÄMTLANDS LÄN</t>
        </is>
      </c>
      <c r="E2909" t="inlineStr">
        <is>
          <t>BRÄCKE</t>
        </is>
      </c>
      <c r="F2909" t="inlineStr">
        <is>
          <t>SCA</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32146-2025</t>
        </is>
      </c>
      <c r="B2910" s="1" t="n">
        <v>45835</v>
      </c>
      <c r="C2910" s="1" t="n">
        <v>45847</v>
      </c>
      <c r="D2910" t="inlineStr">
        <is>
          <t>JÄMTLANDS LÄN</t>
        </is>
      </c>
      <c r="E2910" t="inlineStr">
        <is>
          <t>BRÄCKE</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32149-2025</t>
        </is>
      </c>
      <c r="B2911" s="1" t="n">
        <v>45835</v>
      </c>
      <c r="C2911" s="1" t="n">
        <v>45847</v>
      </c>
      <c r="D2911" t="inlineStr">
        <is>
          <t>JÄMTLANDS LÄN</t>
        </is>
      </c>
      <c r="E2911" t="inlineStr">
        <is>
          <t>BRÄCKE</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31962-2025</t>
        </is>
      </c>
      <c r="B2912" s="1" t="n">
        <v>45835</v>
      </c>
      <c r="C2912" s="1" t="n">
        <v>45847</v>
      </c>
      <c r="D2912" t="inlineStr">
        <is>
          <t>JÄMTLANDS LÄN</t>
        </is>
      </c>
      <c r="E2912" t="inlineStr">
        <is>
          <t>BRÄCKE</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32281-2025</t>
        </is>
      </c>
      <c r="B2913" s="1" t="n">
        <v>45835</v>
      </c>
      <c r="C2913" s="1" t="n">
        <v>45847</v>
      </c>
      <c r="D2913" t="inlineStr">
        <is>
          <t>JÄMTLANDS LÄN</t>
        </is>
      </c>
      <c r="E2913" t="inlineStr">
        <is>
          <t>BRÄCKE</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32443-2025</t>
        </is>
      </c>
      <c r="B2914" s="1" t="n">
        <v>45838</v>
      </c>
      <c r="C2914" s="1" t="n">
        <v>45847</v>
      </c>
      <c r="D2914" t="inlineStr">
        <is>
          <t>JÄMTLANDS LÄN</t>
        </is>
      </c>
      <c r="E2914" t="inlineStr">
        <is>
          <t>BRÄCKE</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32659-2025</t>
        </is>
      </c>
      <c r="B2915" s="1" t="n">
        <v>45838</v>
      </c>
      <c r="C2915" s="1" t="n">
        <v>45847</v>
      </c>
      <c r="D2915" t="inlineStr">
        <is>
          <t>JÄMTLANDS LÄN</t>
        </is>
      </c>
      <c r="E2915" t="inlineStr">
        <is>
          <t>BRÄCKE</t>
        </is>
      </c>
      <c r="F2915" t="inlineStr">
        <is>
          <t>SCA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32596-2025</t>
        </is>
      </c>
      <c r="B2916" s="1" t="n">
        <v>45838</v>
      </c>
      <c r="C2916" s="1" t="n">
        <v>45847</v>
      </c>
      <c r="D2916" t="inlineStr">
        <is>
          <t>JÄMTLANDS LÄN</t>
        </is>
      </c>
      <c r="E2916" t="inlineStr">
        <is>
          <t>BRÄCKE</t>
        </is>
      </c>
      <c r="F2916" t="inlineStr">
        <is>
          <t>SCA</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32913-2025</t>
        </is>
      </c>
      <c r="B2917" s="1" t="n">
        <v>45839</v>
      </c>
      <c r="C2917" s="1" t="n">
        <v>45847</v>
      </c>
      <c r="D2917" t="inlineStr">
        <is>
          <t>JÄMTLANDS LÄN</t>
        </is>
      </c>
      <c r="E2917" t="inlineStr">
        <is>
          <t>BRÄCKE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32851-2025</t>
        </is>
      </c>
      <c r="B2918" s="1" t="n">
        <v>45839</v>
      </c>
      <c r="C2918" s="1" t="n">
        <v>45847</v>
      </c>
      <c r="D2918" t="inlineStr">
        <is>
          <t>JÄMTLANDS LÄN</t>
        </is>
      </c>
      <c r="E2918" t="inlineStr">
        <is>
          <t>BRÄCKE</t>
        </is>
      </c>
      <c r="F2918" t="inlineStr">
        <is>
          <t>SCA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32697-2025</t>
        </is>
      </c>
      <c r="B2919" s="1" t="n">
        <v>45839</v>
      </c>
      <c r="C2919" s="1" t="n">
        <v>45847</v>
      </c>
      <c r="D2919" t="inlineStr">
        <is>
          <t>JÄMTLANDS LÄN</t>
        </is>
      </c>
      <c r="E2919" t="inlineStr">
        <is>
          <t>BRÄCKE</t>
        </is>
      </c>
      <c r="F2919" t="inlineStr">
        <is>
          <t>SCA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33275-2025</t>
        </is>
      </c>
      <c r="B2920" s="1" t="n">
        <v>45840</v>
      </c>
      <c r="C2920" s="1" t="n">
        <v>45847</v>
      </c>
      <c r="D2920" t="inlineStr">
        <is>
          <t>JÄMTLANDS LÄN</t>
        </is>
      </c>
      <c r="E2920" t="inlineStr">
        <is>
          <t>BRÄCKE</t>
        </is>
      </c>
      <c r="F2920" t="inlineStr">
        <is>
          <t>SCA</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33133-2025</t>
        </is>
      </c>
      <c r="B2921" s="1" t="n">
        <v>45840</v>
      </c>
      <c r="C2921" s="1" t="n">
        <v>45847</v>
      </c>
      <c r="D2921" t="inlineStr">
        <is>
          <t>JÄMTLANDS LÄN</t>
        </is>
      </c>
      <c r="E2921" t="inlineStr">
        <is>
          <t>BRÄCKE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33648-2025</t>
        </is>
      </c>
      <c r="B2922" s="1" t="n">
        <v>45841</v>
      </c>
      <c r="C2922" s="1" t="n">
        <v>45847</v>
      </c>
      <c r="D2922" t="inlineStr">
        <is>
          <t>JÄMTLANDS LÄN</t>
        </is>
      </c>
      <c r="E2922" t="inlineStr">
        <is>
          <t>BRÄCKE</t>
        </is>
      </c>
      <c r="F2922" t="inlineStr">
        <is>
          <t>SCA</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33937-2025</t>
        </is>
      </c>
      <c r="B2923" s="1" t="n">
        <v>45842</v>
      </c>
      <c r="C2923" s="1" t="n">
        <v>45847</v>
      </c>
      <c r="D2923" t="inlineStr">
        <is>
          <t>JÄMTLANDS LÄN</t>
        </is>
      </c>
      <c r="E2923" t="inlineStr">
        <is>
          <t>BRÄCKE</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33956-2025</t>
        </is>
      </c>
      <c r="B2924" s="1" t="n">
        <v>45842</v>
      </c>
      <c r="C2924" s="1" t="n">
        <v>45847</v>
      </c>
      <c r="D2924" t="inlineStr">
        <is>
          <t>JÄMTLANDS LÄN</t>
        </is>
      </c>
      <c r="E2924" t="inlineStr">
        <is>
          <t>BRÄCKE</t>
        </is>
      </c>
      <c r="F2924" t="inlineStr">
        <is>
          <t>SCA</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33902-2025</t>
        </is>
      </c>
      <c r="B2925" s="1" t="n">
        <v>45842</v>
      </c>
      <c r="C2925" s="1" t="n">
        <v>45847</v>
      </c>
      <c r="D2925" t="inlineStr">
        <is>
          <t>JÄMTLANDS LÄN</t>
        </is>
      </c>
      <c r="E2925" t="inlineStr">
        <is>
          <t>BRÄCKE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33776-2025</t>
        </is>
      </c>
      <c r="B2926" s="1" t="n">
        <v>45842</v>
      </c>
      <c r="C2926" s="1" t="n">
        <v>45847</v>
      </c>
      <c r="D2926" t="inlineStr">
        <is>
          <t>JÄMTLANDS LÄN</t>
        </is>
      </c>
      <c r="E2926" t="inlineStr">
        <is>
          <t>BRÄCKE</t>
        </is>
      </c>
      <c r="F2926" t="inlineStr">
        <is>
          <t>Övriga Aktiebolag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33796-2025</t>
        </is>
      </c>
      <c r="B2927" s="1" t="n">
        <v>45842</v>
      </c>
      <c r="C2927" s="1" t="n">
        <v>45847</v>
      </c>
      <c r="D2927" t="inlineStr">
        <is>
          <t>JÄMTLANDS LÄN</t>
        </is>
      </c>
      <c r="E2927" t="inlineStr">
        <is>
          <t>BRÄCKE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33854-2025</t>
        </is>
      </c>
      <c r="B2928" s="1" t="n">
        <v>45842</v>
      </c>
      <c r="C2928" s="1" t="n">
        <v>45847</v>
      </c>
      <c r="D2928" t="inlineStr">
        <is>
          <t>JÄMTLANDS LÄN</t>
        </is>
      </c>
      <c r="E2928" t="inlineStr">
        <is>
          <t>BRÄCKE</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33868-2025</t>
        </is>
      </c>
      <c r="B2929" s="1" t="n">
        <v>45842</v>
      </c>
      <c r="C2929" s="1" t="n">
        <v>45847</v>
      </c>
      <c r="D2929" t="inlineStr">
        <is>
          <t>JÄMTLANDS LÄN</t>
        </is>
      </c>
      <c r="E2929" t="inlineStr">
        <is>
          <t>BRÄCKE</t>
        </is>
      </c>
      <c r="F2929" t="inlineStr">
        <is>
          <t>Övriga Aktiebolag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33873-2025</t>
        </is>
      </c>
      <c r="B2930" s="1" t="n">
        <v>45842</v>
      </c>
      <c r="C2930" s="1" t="n">
        <v>45847</v>
      </c>
      <c r="D2930" t="inlineStr">
        <is>
          <t>JÄMTLANDS LÄN</t>
        </is>
      </c>
      <c r="E2930" t="inlineStr">
        <is>
          <t>BRÄCKE</t>
        </is>
      </c>
      <c r="F2930" t="inlineStr">
        <is>
          <t>Övriga Aktiebolag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33900-2025</t>
        </is>
      </c>
      <c r="B2931" s="1" t="n">
        <v>45842</v>
      </c>
      <c r="C2931" s="1" t="n">
        <v>45847</v>
      </c>
      <c r="D2931" t="inlineStr">
        <is>
          <t>JÄMTLANDS LÄN</t>
        </is>
      </c>
      <c r="E2931" t="inlineStr">
        <is>
          <t>BRÄCKE</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34189-2025</t>
        </is>
      </c>
      <c r="B2932" s="1" t="n">
        <v>45845</v>
      </c>
      <c r="C2932" s="1" t="n">
        <v>45847</v>
      </c>
      <c r="D2932" t="inlineStr">
        <is>
          <t>JÄMTLANDS LÄN</t>
        </is>
      </c>
      <c r="E2932" t="inlineStr">
        <is>
          <t>BRÄCKE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34155-2025</t>
        </is>
      </c>
      <c r="B2933" s="1" t="n">
        <v>45845</v>
      </c>
      <c r="C2933" s="1" t="n">
        <v>45847</v>
      </c>
      <c r="D2933" t="inlineStr">
        <is>
          <t>JÄMTLANDS LÄN</t>
        </is>
      </c>
      <c r="E2933" t="inlineStr">
        <is>
          <t>BRÄCKE</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34102-2025</t>
        </is>
      </c>
      <c r="B2934" s="1" t="n">
        <v>45845</v>
      </c>
      <c r="C2934" s="1" t="n">
        <v>45847</v>
      </c>
      <c r="D2934" t="inlineStr">
        <is>
          <t>JÄMTLANDS LÄN</t>
        </is>
      </c>
      <c r="E2934" t="inlineStr">
        <is>
          <t>BRÄCKE</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34087-2025</t>
        </is>
      </c>
      <c r="B2935" s="1" t="n">
        <v>45845</v>
      </c>
      <c r="C2935" s="1" t="n">
        <v>45847</v>
      </c>
      <c r="D2935" t="inlineStr">
        <is>
          <t>JÄMTLANDS LÄN</t>
        </is>
      </c>
      <c r="E2935" t="inlineStr">
        <is>
          <t>BRÄCKE</t>
        </is>
      </c>
      <c r="F2935" t="inlineStr">
        <is>
          <t>SCA</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34294-2025</t>
        </is>
      </c>
      <c r="B2936" s="1" t="n">
        <v>45846</v>
      </c>
      <c r="C2936" s="1" t="n">
        <v>45847</v>
      </c>
      <c r="D2936" t="inlineStr">
        <is>
          <t>JÄMTLANDS LÄN</t>
        </is>
      </c>
      <c r="E2936" t="inlineStr">
        <is>
          <t>BRÄCKE</t>
        </is>
      </c>
      <c r="F2936" t="inlineStr">
        <is>
          <t>SCA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34338-2025</t>
        </is>
      </c>
      <c r="B2937" s="1" t="n">
        <v>45846</v>
      </c>
      <c r="C2937" s="1" t="n">
        <v>45847</v>
      </c>
      <c r="D2937" t="inlineStr">
        <is>
          <t>JÄMTLANDS LÄN</t>
        </is>
      </c>
      <c r="E2937" t="inlineStr">
        <is>
          <t>BRÄCKE</t>
        </is>
      </c>
      <c r="G2937" t="n">
        <v>13.3</v>
      </c>
      <c r="H2937" t="n">
        <v>0</v>
      </c>
      <c r="I2937" t="n">
        <v>0</v>
      </c>
      <c r="J2937" t="n">
        <v>0</v>
      </c>
      <c r="K2937" t="n">
        <v>0</v>
      </c>
      <c r="L2937" t="n">
        <v>0</v>
      </c>
      <c r="M2937" t="n">
        <v>0</v>
      </c>
      <c r="N2937" t="n">
        <v>0</v>
      </c>
      <c r="O2937" t="n">
        <v>0</v>
      </c>
      <c r="P2937" t="n">
        <v>0</v>
      </c>
      <c r="Q2937" t="n">
        <v>0</v>
      </c>
      <c r="R2937" s="2" t="inlineStr"/>
    </row>
    <row r="2938">
      <c r="A2938" t="inlineStr">
        <is>
          <t>A 34322-2025</t>
        </is>
      </c>
      <c r="B2938" s="1" t="n">
        <v>45846</v>
      </c>
      <c r="C2938" s="1" t="n">
        <v>45847</v>
      </c>
      <c r="D2938" t="inlineStr">
        <is>
          <t>JÄMTLANDS LÄN</t>
        </is>
      </c>
      <c r="E2938" t="inlineStr">
        <is>
          <t>BRÄCKE</t>
        </is>
      </c>
      <c r="F2938" t="inlineStr">
        <is>
          <t>SCA</t>
        </is>
      </c>
      <c r="G2938" t="n">
        <v>32.6</v>
      </c>
      <c r="H2938" t="n">
        <v>0</v>
      </c>
      <c r="I2938" t="n">
        <v>0</v>
      </c>
      <c r="J2938" t="n">
        <v>0</v>
      </c>
      <c r="K2938" t="n">
        <v>0</v>
      </c>
      <c r="L2938" t="n">
        <v>0</v>
      </c>
      <c r="M2938" t="n">
        <v>0</v>
      </c>
      <c r="N2938" t="n">
        <v>0</v>
      </c>
      <c r="O2938" t="n">
        <v>0</v>
      </c>
      <c r="P2938" t="n">
        <v>0</v>
      </c>
      <c r="Q2938" t="n">
        <v>0</v>
      </c>
      <c r="R2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2025-07-09T20:44:58Z</dcterms:created>
  <dcterms:modified xmlns:dcterms="http://purl.org/dc/terms/" xmlns:xsi="http://www.w3.org/2001/XMLSchema-instance" xsi:type="dcterms:W3CDTF">2025-07-09T20:45:01Z</dcterms:modified>
</cp:coreProperties>
</file>