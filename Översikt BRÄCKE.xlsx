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45754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45754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45754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45754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45754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45754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45754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45754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45754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45754</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45754</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45754</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45754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45754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45754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45754</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45754</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45754</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45754</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45754</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45754</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45754</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45754</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45754</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45754</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45754</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45754</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45754</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45754</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45754</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45754</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45754</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45754</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45754</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45754</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45754</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45754</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45754</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45754</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45754</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45754</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45754</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45754</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45754</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45754</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45754</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45754</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45754</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45754</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45754</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45754</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45754</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45754</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45754</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45754</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45754</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45754</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45754</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45754</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45754</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45754</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45754</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45754</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45754</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45754</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45754</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45754</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45754</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45754</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45754</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45754</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45754</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45754</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45754</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45754</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45754</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45754</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45754</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45754</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45754</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45754</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45754</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45754</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45754</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45754</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45754</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45754</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45754</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45754</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45754</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45754</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45754</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45754</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45754</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45754</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45754</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45754</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45754</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45754</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45754</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45754</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45754</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45754</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45754</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45754</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45754</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45754</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45754</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45754</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42079-2019</t>
        </is>
      </c>
      <c r="B111" s="1" t="n">
        <v>43700</v>
      </c>
      <c r="C111" s="1" t="n">
        <v>45754</v>
      </c>
      <c r="D111" t="inlineStr">
        <is>
          <t>JÄMTLANDS LÄN</t>
        </is>
      </c>
      <c r="E111" t="inlineStr">
        <is>
          <t>BRÄCKE</t>
        </is>
      </c>
      <c r="F111" t="inlineStr">
        <is>
          <t>SCA</t>
        </is>
      </c>
      <c r="G111" t="n">
        <v>6.3</v>
      </c>
      <c r="H111" t="n">
        <v>1</v>
      </c>
      <c r="I111" t="n">
        <v>1</v>
      </c>
      <c r="J111" t="n">
        <v>3</v>
      </c>
      <c r="K111" t="n">
        <v>0</v>
      </c>
      <c r="L111" t="n">
        <v>0</v>
      </c>
      <c r="M111" t="n">
        <v>0</v>
      </c>
      <c r="N111" t="n">
        <v>0</v>
      </c>
      <c r="O111" t="n">
        <v>3</v>
      </c>
      <c r="P111" t="n">
        <v>0</v>
      </c>
      <c r="Q111" t="n">
        <v>4</v>
      </c>
      <c r="R111" s="2" t="inlineStr">
        <is>
          <t>Garnlav
Lunglav
Tretåig hackspett
Korallblylav</t>
        </is>
      </c>
      <c r="S111">
        <f>HYPERLINK("https://klasma.github.io/Logging_2305/artfynd/A 42079-2019 artfynd.xlsx", "A 42079-2019")</f>
        <v/>
      </c>
      <c r="T111">
        <f>HYPERLINK("https://klasma.github.io/Logging_2305/kartor/A 42079-2019 karta.png", "A 42079-2019")</f>
        <v/>
      </c>
      <c r="V111">
        <f>HYPERLINK("https://klasma.github.io/Logging_2305/klagomål/A 42079-2019 FSC-klagomål.docx", "A 42079-2019")</f>
        <v/>
      </c>
      <c r="W111">
        <f>HYPERLINK("https://klasma.github.io/Logging_2305/klagomålsmail/A 42079-2019 FSC-klagomål mail.docx", "A 42079-2019")</f>
        <v/>
      </c>
      <c r="X111">
        <f>HYPERLINK("https://klasma.github.io/Logging_2305/tillsyn/A 42079-2019 tillsynsbegäran.docx", "A 42079-2019")</f>
        <v/>
      </c>
      <c r="Y111">
        <f>HYPERLINK("https://klasma.github.io/Logging_2305/tillsynsmail/A 42079-2019 tillsynsbegäran mail.docx", "A 42079-2019")</f>
        <v/>
      </c>
      <c r="Z111">
        <f>HYPERLINK("https://klasma.github.io/Logging_2305/fåglar/A 42079-2019 prioriterade fågelarter.docx", "A 42079-2019")</f>
        <v/>
      </c>
    </row>
    <row r="112" ht="15" customHeight="1">
      <c r="A112" t="inlineStr">
        <is>
          <t>A 50587-2019</t>
        </is>
      </c>
      <c r="B112" s="1" t="n">
        <v>43735</v>
      </c>
      <c r="C112" s="1" t="n">
        <v>45754</v>
      </c>
      <c r="D112" t="inlineStr">
        <is>
          <t>JÄMTLANDS LÄN</t>
        </is>
      </c>
      <c r="E112" t="inlineStr">
        <is>
          <t>BRÄCKE</t>
        </is>
      </c>
      <c r="F112" t="inlineStr">
        <is>
          <t>SCA</t>
        </is>
      </c>
      <c r="G112" t="n">
        <v>3.3</v>
      </c>
      <c r="H112" t="n">
        <v>4</v>
      </c>
      <c r="I112" t="n">
        <v>0</v>
      </c>
      <c r="J112" t="n">
        <v>2</v>
      </c>
      <c r="K112" t="n">
        <v>1</v>
      </c>
      <c r="L112" t="n">
        <v>0</v>
      </c>
      <c r="M112" t="n">
        <v>0</v>
      </c>
      <c r="N112" t="n">
        <v>0</v>
      </c>
      <c r="O112" t="n">
        <v>3</v>
      </c>
      <c r="P112" t="n">
        <v>1</v>
      </c>
      <c r="Q112" t="n">
        <v>4</v>
      </c>
      <c r="R112" s="2" t="inlineStr">
        <is>
          <t>Knärot
Spillkråka
Tretåig hackspett
Gråspett</t>
        </is>
      </c>
      <c r="S112">
        <f>HYPERLINK("https://klasma.github.io/Logging_2305/artfynd/A 50587-2019 artfynd.xlsx", "A 50587-2019")</f>
        <v/>
      </c>
      <c r="T112">
        <f>HYPERLINK("https://klasma.github.io/Logging_2305/kartor/A 50587-2019 karta.png", "A 50587-2019")</f>
        <v/>
      </c>
      <c r="U112">
        <f>HYPERLINK("https://klasma.github.io/Logging_2305/knärot/A 50587-2019 karta knärot.png", "A 50587-2019")</f>
        <v/>
      </c>
      <c r="V112">
        <f>HYPERLINK("https://klasma.github.io/Logging_2305/klagomål/A 50587-2019 FSC-klagomål.docx", "A 50587-2019")</f>
        <v/>
      </c>
      <c r="W112">
        <f>HYPERLINK("https://klasma.github.io/Logging_2305/klagomålsmail/A 50587-2019 FSC-klagomål mail.docx", "A 50587-2019")</f>
        <v/>
      </c>
      <c r="X112">
        <f>HYPERLINK("https://klasma.github.io/Logging_2305/tillsyn/A 50587-2019 tillsynsbegäran.docx", "A 50587-2019")</f>
        <v/>
      </c>
      <c r="Y112">
        <f>HYPERLINK("https://klasma.github.io/Logging_2305/tillsynsmail/A 50587-2019 tillsynsbegäran mail.docx", "A 50587-2019")</f>
        <v/>
      </c>
      <c r="Z112">
        <f>HYPERLINK("https://klasma.github.io/Logging_2305/fåglar/A 50587-2019 prioriterade fågelarter.docx", "A 50587-2019")</f>
        <v/>
      </c>
    </row>
    <row r="113" ht="15" customHeight="1">
      <c r="A113" t="inlineStr">
        <is>
          <t>A 24547-2020</t>
        </is>
      </c>
      <c r="B113" s="1" t="n">
        <v>43977</v>
      </c>
      <c r="C113" s="1" t="n">
        <v>45754</v>
      </c>
      <c r="D113" t="inlineStr">
        <is>
          <t>JÄMTLANDS LÄN</t>
        </is>
      </c>
      <c r="E113" t="inlineStr">
        <is>
          <t>BRÄCKE</t>
        </is>
      </c>
      <c r="G113" t="n">
        <v>5.2</v>
      </c>
      <c r="H113" t="n">
        <v>3</v>
      </c>
      <c r="I113" t="n">
        <v>1</v>
      </c>
      <c r="J113" t="n">
        <v>2</v>
      </c>
      <c r="K113" t="n">
        <v>1</v>
      </c>
      <c r="L113" t="n">
        <v>0</v>
      </c>
      <c r="M113" t="n">
        <v>0</v>
      </c>
      <c r="N113" t="n">
        <v>0</v>
      </c>
      <c r="O113" t="n">
        <v>3</v>
      </c>
      <c r="P113" t="n">
        <v>1</v>
      </c>
      <c r="Q113" t="n">
        <v>4</v>
      </c>
      <c r="R113" s="2" t="inlineStr">
        <is>
          <t>Knärot
Lunglav
Spillkråka
Korallrot</t>
        </is>
      </c>
      <c r="S113">
        <f>HYPERLINK("https://klasma.github.io/Logging_2305/artfynd/A 24547-2020 artfynd.xlsx", "A 24547-2020")</f>
        <v/>
      </c>
      <c r="T113">
        <f>HYPERLINK("https://klasma.github.io/Logging_2305/kartor/A 24547-2020 karta.png", "A 24547-2020")</f>
        <v/>
      </c>
      <c r="U113">
        <f>HYPERLINK("https://klasma.github.io/Logging_2305/knärot/A 24547-2020 karta knärot.png", "A 24547-2020")</f>
        <v/>
      </c>
      <c r="V113">
        <f>HYPERLINK("https://klasma.github.io/Logging_2305/klagomål/A 24547-2020 FSC-klagomål.docx", "A 24547-2020")</f>
        <v/>
      </c>
      <c r="W113">
        <f>HYPERLINK("https://klasma.github.io/Logging_2305/klagomålsmail/A 24547-2020 FSC-klagomål mail.docx", "A 24547-2020")</f>
        <v/>
      </c>
      <c r="X113">
        <f>HYPERLINK("https://klasma.github.io/Logging_2305/tillsyn/A 24547-2020 tillsynsbegäran.docx", "A 24547-2020")</f>
        <v/>
      </c>
      <c r="Y113">
        <f>HYPERLINK("https://klasma.github.io/Logging_2305/tillsynsmail/A 24547-2020 tillsynsbegäran mail.docx", "A 24547-2020")</f>
        <v/>
      </c>
      <c r="Z113">
        <f>HYPERLINK("https://klasma.github.io/Logging_2305/fåglar/A 24547-2020 prioriterade fågelarter.docx", "A 24547-2020")</f>
        <v/>
      </c>
    </row>
    <row r="114" ht="15" customHeight="1">
      <c r="A114" t="inlineStr">
        <is>
          <t>A 24562-2020</t>
        </is>
      </c>
      <c r="B114" s="1" t="n">
        <v>43977</v>
      </c>
      <c r="C114" s="1" t="n">
        <v>45754</v>
      </c>
      <c r="D114" t="inlineStr">
        <is>
          <t>JÄMTLANDS LÄN</t>
        </is>
      </c>
      <c r="E114" t="inlineStr">
        <is>
          <t>BRÄCKE</t>
        </is>
      </c>
      <c r="G114" t="n">
        <v>14.6</v>
      </c>
      <c r="H114" t="n">
        <v>1</v>
      </c>
      <c r="I114" t="n">
        <v>1</v>
      </c>
      <c r="J114" t="n">
        <v>2</v>
      </c>
      <c r="K114" t="n">
        <v>1</v>
      </c>
      <c r="L114" t="n">
        <v>0</v>
      </c>
      <c r="M114" t="n">
        <v>0</v>
      </c>
      <c r="N114" t="n">
        <v>0</v>
      </c>
      <c r="O114" t="n">
        <v>3</v>
      </c>
      <c r="P114" t="n">
        <v>1</v>
      </c>
      <c r="Q114" t="n">
        <v>4</v>
      </c>
      <c r="R114" s="2" t="inlineStr">
        <is>
          <t>Knärot
Lunglav
Ullticka
Stuplav</t>
        </is>
      </c>
      <c r="S114">
        <f>HYPERLINK("https://klasma.github.io/Logging_2305/artfynd/A 24562-2020 artfynd.xlsx", "A 24562-2020")</f>
        <v/>
      </c>
      <c r="T114">
        <f>HYPERLINK("https://klasma.github.io/Logging_2305/kartor/A 24562-2020 karta.png", "A 24562-2020")</f>
        <v/>
      </c>
      <c r="U114">
        <f>HYPERLINK("https://klasma.github.io/Logging_2305/knärot/A 24562-2020 karta knärot.png", "A 24562-2020")</f>
        <v/>
      </c>
      <c r="V114">
        <f>HYPERLINK("https://klasma.github.io/Logging_2305/klagomål/A 24562-2020 FSC-klagomål.docx", "A 24562-2020")</f>
        <v/>
      </c>
      <c r="W114">
        <f>HYPERLINK("https://klasma.github.io/Logging_2305/klagomålsmail/A 24562-2020 FSC-klagomål mail.docx", "A 24562-2020")</f>
        <v/>
      </c>
      <c r="X114">
        <f>HYPERLINK("https://klasma.github.io/Logging_2305/tillsyn/A 24562-2020 tillsynsbegäran.docx", "A 24562-2020")</f>
        <v/>
      </c>
      <c r="Y114">
        <f>HYPERLINK("https://klasma.github.io/Logging_2305/tillsynsmail/A 24562-2020 tillsynsbegäran mail.docx", "A 24562-2020")</f>
        <v/>
      </c>
    </row>
    <row r="115" ht="15" customHeight="1">
      <c r="A115" t="inlineStr">
        <is>
          <t>A 39056-2020</t>
        </is>
      </c>
      <c r="B115" s="1" t="n">
        <v>44062</v>
      </c>
      <c r="C115" s="1" t="n">
        <v>45754</v>
      </c>
      <c r="D115" t="inlineStr">
        <is>
          <t>JÄMTLANDS LÄN</t>
        </is>
      </c>
      <c r="E115" t="inlineStr">
        <is>
          <t>BRÄCKE</t>
        </is>
      </c>
      <c r="F115" t="inlineStr">
        <is>
          <t>SCA</t>
        </is>
      </c>
      <c r="G115" t="n">
        <v>3.3</v>
      </c>
      <c r="H115" t="n">
        <v>1</v>
      </c>
      <c r="I115" t="n">
        <v>0</v>
      </c>
      <c r="J115" t="n">
        <v>4</v>
      </c>
      <c r="K115" t="n">
        <v>0</v>
      </c>
      <c r="L115" t="n">
        <v>0</v>
      </c>
      <c r="M115" t="n">
        <v>0</v>
      </c>
      <c r="N115" t="n">
        <v>0</v>
      </c>
      <c r="O115" t="n">
        <v>4</v>
      </c>
      <c r="P115" t="n">
        <v>0</v>
      </c>
      <c r="Q115" t="n">
        <v>4</v>
      </c>
      <c r="R115" s="2" t="inlineStr">
        <is>
          <t>Blå taggsvamp
Garnlav
Kolflarnlav
Tretåig hackspett</t>
        </is>
      </c>
      <c r="S115">
        <f>HYPERLINK("https://klasma.github.io/Logging_2305/artfynd/A 39056-2020 artfynd.xlsx", "A 39056-2020")</f>
        <v/>
      </c>
      <c r="T115">
        <f>HYPERLINK("https://klasma.github.io/Logging_2305/kartor/A 39056-2020 karta.png", "A 39056-2020")</f>
        <v/>
      </c>
      <c r="V115">
        <f>HYPERLINK("https://klasma.github.io/Logging_2305/klagomål/A 39056-2020 FSC-klagomål.docx", "A 39056-2020")</f>
        <v/>
      </c>
      <c r="W115">
        <f>HYPERLINK("https://klasma.github.io/Logging_2305/klagomålsmail/A 39056-2020 FSC-klagomål mail.docx", "A 39056-2020")</f>
        <v/>
      </c>
      <c r="X115">
        <f>HYPERLINK("https://klasma.github.io/Logging_2305/tillsyn/A 39056-2020 tillsynsbegäran.docx", "A 39056-2020")</f>
        <v/>
      </c>
      <c r="Y115">
        <f>HYPERLINK("https://klasma.github.io/Logging_2305/tillsynsmail/A 39056-2020 tillsynsbegäran mail.docx", "A 39056-2020")</f>
        <v/>
      </c>
      <c r="Z115">
        <f>HYPERLINK("https://klasma.github.io/Logging_2305/fåglar/A 39056-2020 prioriterade fågelarter.docx", "A 39056-2020")</f>
        <v/>
      </c>
    </row>
    <row r="116" ht="15" customHeight="1">
      <c r="A116" t="inlineStr">
        <is>
          <t>A 26672-2021</t>
        </is>
      </c>
      <c r="B116" s="1" t="n">
        <v>44348</v>
      </c>
      <c r="C116" s="1" t="n">
        <v>45754</v>
      </c>
      <c r="D116" t="inlineStr">
        <is>
          <t>JÄMTLANDS LÄN</t>
        </is>
      </c>
      <c r="E116" t="inlineStr">
        <is>
          <t>BRÄCKE</t>
        </is>
      </c>
      <c r="F116" t="inlineStr">
        <is>
          <t>SCA</t>
        </is>
      </c>
      <c r="G116" t="n">
        <v>9.4</v>
      </c>
      <c r="H116" t="n">
        <v>1</v>
      </c>
      <c r="I116" t="n">
        <v>1</v>
      </c>
      <c r="J116" t="n">
        <v>2</v>
      </c>
      <c r="K116" t="n">
        <v>0</v>
      </c>
      <c r="L116" t="n">
        <v>0</v>
      </c>
      <c r="M116" t="n">
        <v>0</v>
      </c>
      <c r="N116" t="n">
        <v>0</v>
      </c>
      <c r="O116" t="n">
        <v>2</v>
      </c>
      <c r="P116" t="n">
        <v>0</v>
      </c>
      <c r="Q116" t="n">
        <v>4</v>
      </c>
      <c r="R116" s="2" t="inlineStr">
        <is>
          <t>Lunglav
Vedtrappmossa
Stuplav
Revlummer</t>
        </is>
      </c>
      <c r="S116">
        <f>HYPERLINK("https://klasma.github.io/Logging_2305/artfynd/A 26672-2021 artfynd.xlsx", "A 26672-2021")</f>
        <v/>
      </c>
      <c r="T116">
        <f>HYPERLINK("https://klasma.github.io/Logging_2305/kartor/A 26672-2021 karta.png", "A 26672-2021")</f>
        <v/>
      </c>
      <c r="V116">
        <f>HYPERLINK("https://klasma.github.io/Logging_2305/klagomål/A 26672-2021 FSC-klagomål.docx", "A 26672-2021")</f>
        <v/>
      </c>
      <c r="W116">
        <f>HYPERLINK("https://klasma.github.io/Logging_2305/klagomålsmail/A 26672-2021 FSC-klagomål mail.docx", "A 26672-2021")</f>
        <v/>
      </c>
      <c r="X116">
        <f>HYPERLINK("https://klasma.github.io/Logging_2305/tillsyn/A 26672-2021 tillsynsbegäran.docx", "A 26672-2021")</f>
        <v/>
      </c>
      <c r="Y116">
        <f>HYPERLINK("https://klasma.github.io/Logging_2305/tillsynsmail/A 26672-2021 tillsynsbegäran mail.docx", "A 26672-2021")</f>
        <v/>
      </c>
    </row>
    <row r="117" ht="15" customHeight="1">
      <c r="A117" t="inlineStr">
        <is>
          <t>A 36820-2021</t>
        </is>
      </c>
      <c r="B117" s="1" t="n">
        <v>44392</v>
      </c>
      <c r="C117" s="1" t="n">
        <v>45754</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37958-2021</t>
        </is>
      </c>
      <c r="B118" s="1" t="n">
        <v>44403</v>
      </c>
      <c r="C118" s="1" t="n">
        <v>45754</v>
      </c>
      <c r="D118" t="inlineStr">
        <is>
          <t>JÄMTLANDS LÄN</t>
        </is>
      </c>
      <c r="E118" t="inlineStr">
        <is>
          <t>BRÄCKE</t>
        </is>
      </c>
      <c r="F118" t="inlineStr">
        <is>
          <t>SCA</t>
        </is>
      </c>
      <c r="G118" t="n">
        <v>3.5</v>
      </c>
      <c r="H118" t="n">
        <v>0</v>
      </c>
      <c r="I118" t="n">
        <v>0</v>
      </c>
      <c r="J118" t="n">
        <v>4</v>
      </c>
      <c r="K118" t="n">
        <v>0</v>
      </c>
      <c r="L118" t="n">
        <v>0</v>
      </c>
      <c r="M118" t="n">
        <v>0</v>
      </c>
      <c r="N118" t="n">
        <v>0</v>
      </c>
      <c r="O118" t="n">
        <v>4</v>
      </c>
      <c r="P118" t="n">
        <v>0</v>
      </c>
      <c r="Q118" t="n">
        <v>4</v>
      </c>
      <c r="R118" s="2" t="inlineStr">
        <is>
          <t>Dvärgbägarlav
Kolflarnlav
Lunglav
Vedtrappmossa</t>
        </is>
      </c>
      <c r="S118">
        <f>HYPERLINK("https://klasma.github.io/Logging_2305/artfynd/A 37958-2021 artfynd.xlsx", "A 37958-2021")</f>
        <v/>
      </c>
      <c r="T118">
        <f>HYPERLINK("https://klasma.github.io/Logging_2305/kartor/A 37958-2021 karta.png", "A 37958-2021")</f>
        <v/>
      </c>
      <c r="V118">
        <f>HYPERLINK("https://klasma.github.io/Logging_2305/klagomål/A 37958-2021 FSC-klagomål.docx", "A 37958-2021")</f>
        <v/>
      </c>
      <c r="W118">
        <f>HYPERLINK("https://klasma.github.io/Logging_2305/klagomålsmail/A 37958-2021 FSC-klagomål mail.docx", "A 37958-2021")</f>
        <v/>
      </c>
      <c r="X118">
        <f>HYPERLINK("https://klasma.github.io/Logging_2305/tillsyn/A 37958-2021 tillsynsbegäran.docx", "A 37958-2021")</f>
        <v/>
      </c>
      <c r="Y118">
        <f>HYPERLINK("https://klasma.github.io/Logging_2305/tillsynsmail/A 37958-2021 tillsynsbegäran mail.docx", "A 37958-2021")</f>
        <v/>
      </c>
    </row>
    <row r="119" ht="15" customHeight="1">
      <c r="A119" t="inlineStr">
        <is>
          <t>A 33928-2022</t>
        </is>
      </c>
      <c r="B119" s="1" t="n">
        <v>44790</v>
      </c>
      <c r="C119" s="1" t="n">
        <v>45754</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45420-2022</t>
        </is>
      </c>
      <c r="B120" s="1" t="n">
        <v>44844</v>
      </c>
      <c r="C120" s="1" t="n">
        <v>45754</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46649-2022</t>
        </is>
      </c>
      <c r="B121" s="1" t="n">
        <v>44849</v>
      </c>
      <c r="C121" s="1" t="n">
        <v>45754</v>
      </c>
      <c r="D121" t="inlineStr">
        <is>
          <t>JÄMTLANDS LÄN</t>
        </is>
      </c>
      <c r="E121" t="inlineStr">
        <is>
          <t>BRÄCKE</t>
        </is>
      </c>
      <c r="F121" t="inlineStr">
        <is>
          <t>SCA</t>
        </is>
      </c>
      <c r="G121" t="n">
        <v>1.8</v>
      </c>
      <c r="H121" t="n">
        <v>1</v>
      </c>
      <c r="I121" t="n">
        <v>3</v>
      </c>
      <c r="J121" t="n">
        <v>1</v>
      </c>
      <c r="K121" t="n">
        <v>0</v>
      </c>
      <c r="L121" t="n">
        <v>0</v>
      </c>
      <c r="M121" t="n">
        <v>0</v>
      </c>
      <c r="N121" t="n">
        <v>0</v>
      </c>
      <c r="O121" t="n">
        <v>1</v>
      </c>
      <c r="P121" t="n">
        <v>0</v>
      </c>
      <c r="Q121" t="n">
        <v>4</v>
      </c>
      <c r="R121" s="2" t="inlineStr">
        <is>
          <t>Talltita
Rödgul trumpetsvamp
Skarp dropptaggsvamp
Svavelriska</t>
        </is>
      </c>
      <c r="S121">
        <f>HYPERLINK("https://klasma.github.io/Logging_2305/artfynd/A 46649-2022 artfynd.xlsx", "A 46649-2022")</f>
        <v/>
      </c>
      <c r="T121">
        <f>HYPERLINK("https://klasma.github.io/Logging_2305/kartor/A 46649-2022 karta.png", "A 46649-2022")</f>
        <v/>
      </c>
      <c r="V121">
        <f>HYPERLINK("https://klasma.github.io/Logging_2305/klagomål/A 46649-2022 FSC-klagomål.docx", "A 46649-2022")</f>
        <v/>
      </c>
      <c r="W121">
        <f>HYPERLINK("https://klasma.github.io/Logging_2305/klagomålsmail/A 46649-2022 FSC-klagomål mail.docx", "A 46649-2022")</f>
        <v/>
      </c>
      <c r="X121">
        <f>HYPERLINK("https://klasma.github.io/Logging_2305/tillsyn/A 46649-2022 tillsynsbegäran.docx", "A 46649-2022")</f>
        <v/>
      </c>
      <c r="Y121">
        <f>HYPERLINK("https://klasma.github.io/Logging_2305/tillsynsmail/A 46649-2022 tillsynsbegäran mail.docx", "A 46649-2022")</f>
        <v/>
      </c>
      <c r="Z121">
        <f>HYPERLINK("https://klasma.github.io/Logging_2305/fåglar/A 46649-2022 prioriterade fågelarter.docx", "A 46649-2022")</f>
        <v/>
      </c>
    </row>
    <row r="122" ht="15" customHeight="1">
      <c r="A122" t="inlineStr">
        <is>
          <t>A 40400-2023</t>
        </is>
      </c>
      <c r="B122" s="1" t="n">
        <v>45169</v>
      </c>
      <c r="C122" s="1" t="n">
        <v>45754</v>
      </c>
      <c r="D122" t="inlineStr">
        <is>
          <t>JÄMTLANDS LÄN</t>
        </is>
      </c>
      <c r="E122" t="inlineStr">
        <is>
          <t>BRÄCKE</t>
        </is>
      </c>
      <c r="F122" t="inlineStr">
        <is>
          <t>SCA</t>
        </is>
      </c>
      <c r="G122" t="n">
        <v>4.5</v>
      </c>
      <c r="H122" t="n">
        <v>0</v>
      </c>
      <c r="I122" t="n">
        <v>0</v>
      </c>
      <c r="J122" t="n">
        <v>2</v>
      </c>
      <c r="K122" t="n">
        <v>2</v>
      </c>
      <c r="L122" t="n">
        <v>0</v>
      </c>
      <c r="M122" t="n">
        <v>0</v>
      </c>
      <c r="N122" t="n">
        <v>0</v>
      </c>
      <c r="O122" t="n">
        <v>4</v>
      </c>
      <c r="P122" t="n">
        <v>2</v>
      </c>
      <c r="Q122" t="n">
        <v>4</v>
      </c>
      <c r="R122" s="2" t="inlineStr">
        <is>
          <t>Gräddporing
Ulltickeporing
Kolflarnlav
Ullticka</t>
        </is>
      </c>
      <c r="S122">
        <f>HYPERLINK("https://klasma.github.io/Logging_2305/artfynd/A 40400-2023 artfynd.xlsx", "A 40400-2023")</f>
        <v/>
      </c>
      <c r="T122">
        <f>HYPERLINK("https://klasma.github.io/Logging_2305/kartor/A 40400-2023 karta.png", "A 40400-2023")</f>
        <v/>
      </c>
      <c r="V122">
        <f>HYPERLINK("https://klasma.github.io/Logging_2305/klagomål/A 40400-2023 FSC-klagomål.docx", "A 40400-2023")</f>
        <v/>
      </c>
      <c r="W122">
        <f>HYPERLINK("https://klasma.github.io/Logging_2305/klagomålsmail/A 40400-2023 FSC-klagomål mail.docx", "A 40400-2023")</f>
        <v/>
      </c>
      <c r="X122">
        <f>HYPERLINK("https://klasma.github.io/Logging_2305/tillsyn/A 40400-2023 tillsynsbegäran.docx", "A 40400-2023")</f>
        <v/>
      </c>
      <c r="Y122">
        <f>HYPERLINK("https://klasma.github.io/Logging_2305/tillsynsmail/A 40400-2023 tillsynsbegäran mail.docx", "A 40400-2023")</f>
        <v/>
      </c>
    </row>
    <row r="123" ht="15" customHeight="1">
      <c r="A123" t="inlineStr">
        <is>
          <t>A 43415-2023</t>
        </is>
      </c>
      <c r="B123" s="1" t="n">
        <v>45183</v>
      </c>
      <c r="C123" s="1" t="n">
        <v>45754</v>
      </c>
      <c r="D123" t="inlineStr">
        <is>
          <t>JÄMTLANDS LÄN</t>
        </is>
      </c>
      <c r="E123" t="inlineStr">
        <is>
          <t>BRÄCKE</t>
        </is>
      </c>
      <c r="F123" t="inlineStr">
        <is>
          <t>Naturvårdsverket</t>
        </is>
      </c>
      <c r="G123" t="n">
        <v>27</v>
      </c>
      <c r="H123" t="n">
        <v>1</v>
      </c>
      <c r="I123" t="n">
        <v>0</v>
      </c>
      <c r="J123" t="n">
        <v>3</v>
      </c>
      <c r="K123" t="n">
        <v>1</v>
      </c>
      <c r="L123" t="n">
        <v>0</v>
      </c>
      <c r="M123" t="n">
        <v>0</v>
      </c>
      <c r="N123" t="n">
        <v>0</v>
      </c>
      <c r="O123" t="n">
        <v>4</v>
      </c>
      <c r="P123" t="n">
        <v>1</v>
      </c>
      <c r="Q123" t="n">
        <v>4</v>
      </c>
      <c r="R123" s="2" t="inlineStr">
        <is>
          <t>Doftticka
Lunglav
Ullticka
Vedtrappmossa</t>
        </is>
      </c>
      <c r="S123">
        <f>HYPERLINK("https://klasma.github.io/Logging_2305/artfynd/A 43415-2023 artfynd.xlsx", "A 43415-2023")</f>
        <v/>
      </c>
      <c r="T123">
        <f>HYPERLINK("https://klasma.github.io/Logging_2305/kartor/A 43415-2023 karta.png", "A 43415-2023")</f>
        <v/>
      </c>
      <c r="V123">
        <f>HYPERLINK("https://klasma.github.io/Logging_2305/klagomål/A 43415-2023 FSC-klagomål.docx", "A 43415-2023")</f>
        <v/>
      </c>
      <c r="W123">
        <f>HYPERLINK("https://klasma.github.io/Logging_2305/klagomålsmail/A 43415-2023 FSC-klagomål mail.docx", "A 43415-2023")</f>
        <v/>
      </c>
      <c r="X123">
        <f>HYPERLINK("https://klasma.github.io/Logging_2305/tillsyn/A 43415-2023 tillsynsbegäran.docx", "A 43415-2023")</f>
        <v/>
      </c>
      <c r="Y123">
        <f>HYPERLINK("https://klasma.github.io/Logging_2305/tillsynsmail/A 43415-2023 tillsynsbegäran mail.docx", "A 43415-2023")</f>
        <v/>
      </c>
    </row>
    <row r="124" ht="15" customHeight="1">
      <c r="A124" t="inlineStr">
        <is>
          <t>A 43620-2023</t>
        </is>
      </c>
      <c r="B124" s="1" t="n">
        <v>45184</v>
      </c>
      <c r="C124" s="1" t="n">
        <v>45754</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47172-2023</t>
        </is>
      </c>
      <c r="B125" s="1" t="n">
        <v>45201</v>
      </c>
      <c r="C125" s="1" t="n">
        <v>45754</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47499-2023</t>
        </is>
      </c>
      <c r="B126" s="1" t="n">
        <v>45202</v>
      </c>
      <c r="C126" s="1" t="n">
        <v>45754</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48431-2023</t>
        </is>
      </c>
      <c r="B127" s="1" t="n">
        <v>45205</v>
      </c>
      <c r="C127" s="1" t="n">
        <v>45754</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48431-2023 artfynd.xlsx", "A 48431-2023")</f>
        <v/>
      </c>
      <c r="T127">
        <f>HYPERLINK("https://klasma.github.io/Logging_2305/kartor/A 48431-2023 karta.png", "A 48431-2023")</f>
        <v/>
      </c>
      <c r="V127">
        <f>HYPERLINK("https://klasma.github.io/Logging_2305/klagomål/A 48431-2023 FSC-klagomål.docx", "A 48431-2023")</f>
        <v/>
      </c>
      <c r="W127">
        <f>HYPERLINK("https://klasma.github.io/Logging_2305/klagomålsmail/A 48431-2023 FSC-klagomål mail.docx", "A 48431-2023")</f>
        <v/>
      </c>
      <c r="X127">
        <f>HYPERLINK("https://klasma.github.io/Logging_2305/tillsyn/A 48431-2023 tillsynsbegäran.docx", "A 48431-2023")</f>
        <v/>
      </c>
      <c r="Y127">
        <f>HYPERLINK("https://klasma.github.io/Logging_2305/tillsynsmail/A 48431-2023 tillsynsbegäran mail.docx", "A 48431-2023")</f>
        <v/>
      </c>
    </row>
    <row r="128" ht="15" customHeight="1">
      <c r="A128" t="inlineStr">
        <is>
          <t>A 48479-2023</t>
        </is>
      </c>
      <c r="B128" s="1" t="n">
        <v>45206</v>
      </c>
      <c r="C128" s="1" t="n">
        <v>45754</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48508-2023</t>
        </is>
      </c>
      <c r="B129" s="1" t="n">
        <v>45207</v>
      </c>
      <c r="C129" s="1" t="n">
        <v>45754</v>
      </c>
      <c r="D129" t="inlineStr">
        <is>
          <t>JÄMTLANDS LÄN</t>
        </is>
      </c>
      <c r="E129" t="inlineStr">
        <is>
          <t>BRÄCKE</t>
        </is>
      </c>
      <c r="F129" t="inlineStr">
        <is>
          <t>SCA</t>
        </is>
      </c>
      <c r="G129" t="n">
        <v>5.1</v>
      </c>
      <c r="H129" t="n">
        <v>1</v>
      </c>
      <c r="I129" t="n">
        <v>1</v>
      </c>
      <c r="J129" t="n">
        <v>3</v>
      </c>
      <c r="K129" t="n">
        <v>0</v>
      </c>
      <c r="L129" t="n">
        <v>0</v>
      </c>
      <c r="M129" t="n">
        <v>0</v>
      </c>
      <c r="N129" t="n">
        <v>0</v>
      </c>
      <c r="O129" t="n">
        <v>3</v>
      </c>
      <c r="P129" t="n">
        <v>0</v>
      </c>
      <c r="Q129" t="n">
        <v>4</v>
      </c>
      <c r="R129" s="2" t="inlineStr">
        <is>
          <t>Garnlav
Lunglav
Tretåig hackspett
Stuplav</t>
        </is>
      </c>
      <c r="S129">
        <f>HYPERLINK("https://klasma.github.io/Logging_2305/artfynd/A 48508-2023 artfynd.xlsx", "A 48508-2023")</f>
        <v/>
      </c>
      <c r="T129">
        <f>HYPERLINK("https://klasma.github.io/Logging_2305/kartor/A 48508-2023 karta.png", "A 48508-2023")</f>
        <v/>
      </c>
      <c r="V129">
        <f>HYPERLINK("https://klasma.github.io/Logging_2305/klagomål/A 48508-2023 FSC-klagomål.docx", "A 48508-2023")</f>
        <v/>
      </c>
      <c r="W129">
        <f>HYPERLINK("https://klasma.github.io/Logging_2305/klagomålsmail/A 48508-2023 FSC-klagomål mail.docx", "A 48508-2023")</f>
        <v/>
      </c>
      <c r="X129">
        <f>HYPERLINK("https://klasma.github.io/Logging_2305/tillsyn/A 48508-2023 tillsynsbegäran.docx", "A 48508-2023")</f>
        <v/>
      </c>
      <c r="Y129">
        <f>HYPERLINK("https://klasma.github.io/Logging_2305/tillsynsmail/A 48508-2023 tillsynsbegäran mail.docx", "A 48508-2023")</f>
        <v/>
      </c>
      <c r="Z129">
        <f>HYPERLINK("https://klasma.github.io/Logging_2305/fåglar/A 48508-2023 prioriterade fågelarter.docx", "A 48508-2023")</f>
        <v/>
      </c>
    </row>
    <row r="130" ht="15" customHeight="1">
      <c r="A130" t="inlineStr">
        <is>
          <t>A 57079-2023</t>
        </is>
      </c>
      <c r="B130" s="1" t="n">
        <v>45245</v>
      </c>
      <c r="C130" s="1" t="n">
        <v>45754</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64032-2023</t>
        </is>
      </c>
      <c r="B131" s="1" t="n">
        <v>45278</v>
      </c>
      <c r="C131" s="1" t="n">
        <v>45754</v>
      </c>
      <c r="D131" t="inlineStr">
        <is>
          <t>JÄMTLANDS LÄN</t>
        </is>
      </c>
      <c r="E131" t="inlineStr">
        <is>
          <t>BRÄCKE</t>
        </is>
      </c>
      <c r="F131" t="inlineStr">
        <is>
          <t>SCA</t>
        </is>
      </c>
      <c r="G131" t="n">
        <v>3.1</v>
      </c>
      <c r="H131" t="n">
        <v>0</v>
      </c>
      <c r="I131" t="n">
        <v>1</v>
      </c>
      <c r="J131" t="n">
        <v>3</v>
      </c>
      <c r="K131" t="n">
        <v>0</v>
      </c>
      <c r="L131" t="n">
        <v>0</v>
      </c>
      <c r="M131" t="n">
        <v>0</v>
      </c>
      <c r="N131" t="n">
        <v>0</v>
      </c>
      <c r="O131" t="n">
        <v>3</v>
      </c>
      <c r="P131" t="n">
        <v>0</v>
      </c>
      <c r="Q131" t="n">
        <v>4</v>
      </c>
      <c r="R131" s="2" t="inlineStr">
        <is>
          <t>Garnlav
Kolflarnlav
Lunglav
Skinnlav</t>
        </is>
      </c>
      <c r="S131">
        <f>HYPERLINK("https://klasma.github.io/Logging_2305/artfynd/A 64032-2023 artfynd.xlsx", "A 64032-2023")</f>
        <v/>
      </c>
      <c r="T131">
        <f>HYPERLINK("https://klasma.github.io/Logging_2305/kartor/A 64032-2023 karta.png", "A 64032-2023")</f>
        <v/>
      </c>
      <c r="V131">
        <f>HYPERLINK("https://klasma.github.io/Logging_2305/klagomål/A 64032-2023 FSC-klagomål.docx", "A 64032-2023")</f>
        <v/>
      </c>
      <c r="W131">
        <f>HYPERLINK("https://klasma.github.io/Logging_2305/klagomålsmail/A 64032-2023 FSC-klagomål mail.docx", "A 64032-2023")</f>
        <v/>
      </c>
      <c r="X131">
        <f>HYPERLINK("https://klasma.github.io/Logging_2305/tillsyn/A 64032-2023 tillsynsbegäran.docx", "A 64032-2023")</f>
        <v/>
      </c>
      <c r="Y131">
        <f>HYPERLINK("https://klasma.github.io/Logging_2305/tillsynsmail/A 64032-2023 tillsynsbegäran mail.docx", "A 64032-2023")</f>
        <v/>
      </c>
    </row>
    <row r="132" ht="15" customHeight="1">
      <c r="A132" t="inlineStr">
        <is>
          <t>A 1279-2024</t>
        </is>
      </c>
      <c r="B132" s="1" t="n">
        <v>45302</v>
      </c>
      <c r="C132" s="1" t="n">
        <v>45754</v>
      </c>
      <c r="D132" t="inlineStr">
        <is>
          <t>JÄMTLANDS LÄN</t>
        </is>
      </c>
      <c r="E132" t="inlineStr">
        <is>
          <t>BRÄCKE</t>
        </is>
      </c>
      <c r="F132" t="inlineStr">
        <is>
          <t>SCA</t>
        </is>
      </c>
      <c r="G132" t="n">
        <v>16.1</v>
      </c>
      <c r="H132" t="n">
        <v>2</v>
      </c>
      <c r="I132" t="n">
        <v>0</v>
      </c>
      <c r="J132" t="n">
        <v>2</v>
      </c>
      <c r="K132" t="n">
        <v>1</v>
      </c>
      <c r="L132" t="n">
        <v>0</v>
      </c>
      <c r="M132" t="n">
        <v>0</v>
      </c>
      <c r="N132" t="n">
        <v>0</v>
      </c>
      <c r="O132" t="n">
        <v>3</v>
      </c>
      <c r="P132" t="n">
        <v>1</v>
      </c>
      <c r="Q132" t="n">
        <v>4</v>
      </c>
      <c r="R132" s="2" t="inlineStr">
        <is>
          <t>Åsstarr
Månlåsbräken
Smålom
Sparvuggla</t>
        </is>
      </c>
      <c r="S132">
        <f>HYPERLINK("https://klasma.github.io/Logging_2305/artfynd/A 1279-2024 artfynd.xlsx", "A 1279-2024")</f>
        <v/>
      </c>
      <c r="T132">
        <f>HYPERLINK("https://klasma.github.io/Logging_2305/kartor/A 1279-2024 karta.png", "A 1279-2024")</f>
        <v/>
      </c>
      <c r="V132">
        <f>HYPERLINK("https://klasma.github.io/Logging_2305/klagomål/A 1279-2024 FSC-klagomål.docx", "A 1279-2024")</f>
        <v/>
      </c>
      <c r="W132">
        <f>HYPERLINK("https://klasma.github.io/Logging_2305/klagomålsmail/A 1279-2024 FSC-klagomål mail.docx", "A 1279-2024")</f>
        <v/>
      </c>
      <c r="X132">
        <f>HYPERLINK("https://klasma.github.io/Logging_2305/tillsyn/A 1279-2024 tillsynsbegäran.docx", "A 1279-2024")</f>
        <v/>
      </c>
      <c r="Y132">
        <f>HYPERLINK("https://klasma.github.io/Logging_2305/tillsynsmail/A 1279-2024 tillsynsbegäran mail.docx", "A 1279-2024")</f>
        <v/>
      </c>
      <c r="Z132">
        <f>HYPERLINK("https://klasma.github.io/Logging_2305/fåglar/A 1279-2024 prioriterade fågelarter.docx", "A 1279-2024")</f>
        <v/>
      </c>
    </row>
    <row r="133" ht="15" customHeight="1">
      <c r="A133" t="inlineStr">
        <is>
          <t>A 5269-2024</t>
        </is>
      </c>
      <c r="B133" s="1" t="n">
        <v>45331</v>
      </c>
      <c r="C133" s="1" t="n">
        <v>45754</v>
      </c>
      <c r="D133" t="inlineStr">
        <is>
          <t>JÄMTLANDS LÄN</t>
        </is>
      </c>
      <c r="E133" t="inlineStr">
        <is>
          <t>BRÄCKE</t>
        </is>
      </c>
      <c r="F133" t="inlineStr">
        <is>
          <t>SCA</t>
        </is>
      </c>
      <c r="G133" t="n">
        <v>8.300000000000001</v>
      </c>
      <c r="H133" t="n">
        <v>1</v>
      </c>
      <c r="I133" t="n">
        <v>0</v>
      </c>
      <c r="J133" t="n">
        <v>4</v>
      </c>
      <c r="K133" t="n">
        <v>0</v>
      </c>
      <c r="L133" t="n">
        <v>0</v>
      </c>
      <c r="M133" t="n">
        <v>0</v>
      </c>
      <c r="N133" t="n">
        <v>0</v>
      </c>
      <c r="O133" t="n">
        <v>4</v>
      </c>
      <c r="P133" t="n">
        <v>0</v>
      </c>
      <c r="Q133" t="n">
        <v>4</v>
      </c>
      <c r="R133" s="2" t="inlineStr">
        <is>
          <t>Granticka
Lunglav
Skogshare
Tretåig hackspett</t>
        </is>
      </c>
      <c r="S133">
        <f>HYPERLINK("https://klasma.github.io/Logging_2305/artfynd/A 5269-2024 artfynd.xlsx", "A 5269-2024")</f>
        <v/>
      </c>
      <c r="T133">
        <f>HYPERLINK("https://klasma.github.io/Logging_2305/kartor/A 5269-2024 karta.png", "A 5269-2024")</f>
        <v/>
      </c>
      <c r="V133">
        <f>HYPERLINK("https://klasma.github.io/Logging_2305/klagomål/A 5269-2024 FSC-klagomål.docx", "A 5269-2024")</f>
        <v/>
      </c>
      <c r="W133">
        <f>HYPERLINK("https://klasma.github.io/Logging_2305/klagomålsmail/A 5269-2024 FSC-klagomål mail.docx", "A 5269-2024")</f>
        <v/>
      </c>
      <c r="X133">
        <f>HYPERLINK("https://klasma.github.io/Logging_2305/tillsyn/A 5269-2024 tillsynsbegäran.docx", "A 5269-2024")</f>
        <v/>
      </c>
      <c r="Y133">
        <f>HYPERLINK("https://klasma.github.io/Logging_2305/tillsynsmail/A 5269-2024 tillsynsbegäran mail.docx", "A 5269-2024")</f>
        <v/>
      </c>
      <c r="Z133">
        <f>HYPERLINK("https://klasma.github.io/Logging_2305/fåglar/A 5269-2024 prioriterade fågelarter.docx", "A 5269-2024")</f>
        <v/>
      </c>
    </row>
    <row r="134" ht="15" customHeight="1">
      <c r="A134" t="inlineStr">
        <is>
          <t>A 12863-2024</t>
        </is>
      </c>
      <c r="B134" s="1" t="n">
        <v>45385</v>
      </c>
      <c r="C134" s="1" t="n">
        <v>45754</v>
      </c>
      <c r="D134" t="inlineStr">
        <is>
          <t>JÄMTLANDS LÄN</t>
        </is>
      </c>
      <c r="E134" t="inlineStr">
        <is>
          <t>BRÄCKE</t>
        </is>
      </c>
      <c r="F134" t="inlineStr">
        <is>
          <t>SCA</t>
        </is>
      </c>
      <c r="G134" t="n">
        <v>10.2</v>
      </c>
      <c r="H134" t="n">
        <v>0</v>
      </c>
      <c r="I134" t="n">
        <v>1</v>
      </c>
      <c r="J134" t="n">
        <v>2</v>
      </c>
      <c r="K134" t="n">
        <v>1</v>
      </c>
      <c r="L134" t="n">
        <v>0</v>
      </c>
      <c r="M134" t="n">
        <v>0</v>
      </c>
      <c r="N134" t="n">
        <v>0</v>
      </c>
      <c r="O134" t="n">
        <v>3</v>
      </c>
      <c r="P134" t="n">
        <v>1</v>
      </c>
      <c r="Q134" t="n">
        <v>4</v>
      </c>
      <c r="R134" s="2" t="inlineStr">
        <is>
          <t>Gräddporing
Dvärgbägarlav
Skrovellav
Dropptaggsvamp</t>
        </is>
      </c>
      <c r="S134">
        <f>HYPERLINK("https://klasma.github.io/Logging_2305/artfynd/A 12863-2024 artfynd.xlsx", "A 12863-2024")</f>
        <v/>
      </c>
      <c r="T134">
        <f>HYPERLINK("https://klasma.github.io/Logging_2305/kartor/A 12863-2024 karta.png", "A 12863-2024")</f>
        <v/>
      </c>
      <c r="V134">
        <f>HYPERLINK("https://klasma.github.io/Logging_2305/klagomål/A 12863-2024 FSC-klagomål.docx", "A 12863-2024")</f>
        <v/>
      </c>
      <c r="W134">
        <f>HYPERLINK("https://klasma.github.io/Logging_2305/klagomålsmail/A 12863-2024 FSC-klagomål mail.docx", "A 12863-2024")</f>
        <v/>
      </c>
      <c r="X134">
        <f>HYPERLINK("https://klasma.github.io/Logging_2305/tillsyn/A 12863-2024 tillsynsbegäran.docx", "A 12863-2024")</f>
        <v/>
      </c>
      <c r="Y134">
        <f>HYPERLINK("https://klasma.github.io/Logging_2305/tillsynsmail/A 12863-2024 tillsynsbegäran mail.docx", "A 12863-2024")</f>
        <v/>
      </c>
    </row>
    <row r="135" ht="15" customHeight="1">
      <c r="A135" t="inlineStr">
        <is>
          <t>A 15158-2024</t>
        </is>
      </c>
      <c r="B135" s="1" t="n">
        <v>45400</v>
      </c>
      <c r="C135" s="1" t="n">
        <v>45754</v>
      </c>
      <c r="D135" t="inlineStr">
        <is>
          <t>JÄMTLANDS LÄN</t>
        </is>
      </c>
      <c r="E135" t="inlineStr">
        <is>
          <t>BRÄCKE</t>
        </is>
      </c>
      <c r="F135" t="inlineStr">
        <is>
          <t>Naturvårdsverket</t>
        </is>
      </c>
      <c r="G135" t="n">
        <v>5.5</v>
      </c>
      <c r="H135" t="n">
        <v>1</v>
      </c>
      <c r="I135" t="n">
        <v>2</v>
      </c>
      <c r="J135" t="n">
        <v>1</v>
      </c>
      <c r="K135" t="n">
        <v>1</v>
      </c>
      <c r="L135" t="n">
        <v>0</v>
      </c>
      <c r="M135" t="n">
        <v>0</v>
      </c>
      <c r="N135" t="n">
        <v>0</v>
      </c>
      <c r="O135" t="n">
        <v>2</v>
      </c>
      <c r="P135" t="n">
        <v>1</v>
      </c>
      <c r="Q135" t="n">
        <v>4</v>
      </c>
      <c r="R135" s="2" t="inlineStr">
        <is>
          <t>Knärot
Blå taggsvamp
Dropptaggsvamp
Skarp dropptaggsvamp</t>
        </is>
      </c>
      <c r="S135">
        <f>HYPERLINK("https://klasma.github.io/Logging_2305/artfynd/A 15158-2024 artfynd.xlsx", "A 15158-2024")</f>
        <v/>
      </c>
      <c r="T135">
        <f>HYPERLINK("https://klasma.github.io/Logging_2305/kartor/A 15158-2024 karta.png", "A 15158-2024")</f>
        <v/>
      </c>
      <c r="U135">
        <f>HYPERLINK("https://klasma.github.io/Logging_2305/knärot/A 15158-2024 karta knärot.png", "A 15158-2024")</f>
        <v/>
      </c>
      <c r="V135">
        <f>HYPERLINK("https://klasma.github.io/Logging_2305/klagomål/A 15158-2024 FSC-klagomål.docx", "A 15158-2024")</f>
        <v/>
      </c>
      <c r="W135">
        <f>HYPERLINK("https://klasma.github.io/Logging_2305/klagomålsmail/A 15158-2024 FSC-klagomål mail.docx", "A 15158-2024")</f>
        <v/>
      </c>
      <c r="X135">
        <f>HYPERLINK("https://klasma.github.io/Logging_2305/tillsyn/A 15158-2024 tillsynsbegäran.docx", "A 15158-2024")</f>
        <v/>
      </c>
      <c r="Y135">
        <f>HYPERLINK("https://klasma.github.io/Logging_2305/tillsynsmail/A 15158-2024 tillsynsbegäran mail.docx", "A 15158-2024")</f>
        <v/>
      </c>
    </row>
    <row r="136" ht="15" customHeight="1">
      <c r="A136" t="inlineStr">
        <is>
          <t>A 16252-2024</t>
        </is>
      </c>
      <c r="B136" s="1" t="n">
        <v>45407</v>
      </c>
      <c r="C136" s="1" t="n">
        <v>45754</v>
      </c>
      <c r="D136" t="inlineStr">
        <is>
          <t>JÄMTLANDS LÄN</t>
        </is>
      </c>
      <c r="E136" t="inlineStr">
        <is>
          <t>BRÄCKE</t>
        </is>
      </c>
      <c r="G136" t="n">
        <v>1</v>
      </c>
      <c r="H136" t="n">
        <v>1</v>
      </c>
      <c r="I136" t="n">
        <v>1</v>
      </c>
      <c r="J136" t="n">
        <v>2</v>
      </c>
      <c r="K136" t="n">
        <v>0</v>
      </c>
      <c r="L136" t="n">
        <v>0</v>
      </c>
      <c r="M136" t="n">
        <v>0</v>
      </c>
      <c r="N136" t="n">
        <v>0</v>
      </c>
      <c r="O136" t="n">
        <v>2</v>
      </c>
      <c r="P136" t="n">
        <v>0</v>
      </c>
      <c r="Q136" t="n">
        <v>4</v>
      </c>
      <c r="R136" s="2" t="inlineStr">
        <is>
          <t>Lunglav
Ullticka
Underviol
Lavskrika</t>
        </is>
      </c>
      <c r="S136">
        <f>HYPERLINK("https://klasma.github.io/Logging_2305/artfynd/A 16252-2024 artfynd.xlsx", "A 16252-2024")</f>
        <v/>
      </c>
      <c r="T136">
        <f>HYPERLINK("https://klasma.github.io/Logging_2305/kartor/A 16252-2024 karta.png", "A 16252-2024")</f>
        <v/>
      </c>
      <c r="U136">
        <f>HYPERLINK("https://klasma.github.io/Logging_2305/knärot/A 16252-2024 karta knärot.png", "A 16252-2024")</f>
        <v/>
      </c>
      <c r="V136">
        <f>HYPERLINK("https://klasma.github.io/Logging_2305/klagomål/A 16252-2024 FSC-klagomål.docx", "A 16252-2024")</f>
        <v/>
      </c>
      <c r="W136">
        <f>HYPERLINK("https://klasma.github.io/Logging_2305/klagomålsmail/A 16252-2024 FSC-klagomål mail.docx", "A 16252-2024")</f>
        <v/>
      </c>
      <c r="X136">
        <f>HYPERLINK("https://klasma.github.io/Logging_2305/tillsyn/A 16252-2024 tillsynsbegäran.docx", "A 16252-2024")</f>
        <v/>
      </c>
      <c r="Y136">
        <f>HYPERLINK("https://klasma.github.io/Logging_2305/tillsynsmail/A 16252-2024 tillsynsbegäran mail.docx", "A 16252-2024")</f>
        <v/>
      </c>
      <c r="Z136">
        <f>HYPERLINK("https://klasma.github.io/Logging_2305/fåglar/A 16252-2024 prioriterade fågelarter.docx", "A 16252-2024")</f>
        <v/>
      </c>
    </row>
    <row r="137" ht="15" customHeight="1">
      <c r="A137" t="inlineStr">
        <is>
          <t>A 28553-2024</t>
        </is>
      </c>
      <c r="B137" s="1" t="n">
        <v>45478</v>
      </c>
      <c r="C137" s="1" t="n">
        <v>45754</v>
      </c>
      <c r="D137" t="inlineStr">
        <is>
          <t>JÄMTLANDS LÄN</t>
        </is>
      </c>
      <c r="E137" t="inlineStr">
        <is>
          <t>BRÄCKE</t>
        </is>
      </c>
      <c r="G137" t="n">
        <v>14.5</v>
      </c>
      <c r="H137" t="n">
        <v>2</v>
      </c>
      <c r="I137" t="n">
        <v>0</v>
      </c>
      <c r="J137" t="n">
        <v>3</v>
      </c>
      <c r="K137" t="n">
        <v>1</v>
      </c>
      <c r="L137" t="n">
        <v>0</v>
      </c>
      <c r="M137" t="n">
        <v>0</v>
      </c>
      <c r="N137" t="n">
        <v>0</v>
      </c>
      <c r="O137" t="n">
        <v>4</v>
      </c>
      <c r="P137" t="n">
        <v>1</v>
      </c>
      <c r="Q137" t="n">
        <v>4</v>
      </c>
      <c r="R137" s="2" t="inlineStr">
        <is>
          <t>Knärot
Granticka
Lunglav
Tretåig hackspett</t>
        </is>
      </c>
      <c r="S137">
        <f>HYPERLINK("https://klasma.github.io/Logging_2305/artfynd/A 28553-2024 artfynd.xlsx", "A 28553-2024")</f>
        <v/>
      </c>
      <c r="T137">
        <f>HYPERLINK("https://klasma.github.io/Logging_2305/kartor/A 28553-2024 karta.png", "A 28553-2024")</f>
        <v/>
      </c>
      <c r="U137">
        <f>HYPERLINK("https://klasma.github.io/Logging_2305/knärot/A 28553-2024 karta knärot.png", "A 28553-2024")</f>
        <v/>
      </c>
      <c r="V137">
        <f>HYPERLINK("https://klasma.github.io/Logging_2305/klagomål/A 28553-2024 FSC-klagomål.docx", "A 28553-2024")</f>
        <v/>
      </c>
      <c r="W137">
        <f>HYPERLINK("https://klasma.github.io/Logging_2305/klagomålsmail/A 28553-2024 FSC-klagomål mail.docx", "A 28553-2024")</f>
        <v/>
      </c>
      <c r="X137">
        <f>HYPERLINK("https://klasma.github.io/Logging_2305/tillsyn/A 28553-2024 tillsynsbegäran.docx", "A 28553-2024")</f>
        <v/>
      </c>
      <c r="Y137">
        <f>HYPERLINK("https://klasma.github.io/Logging_2305/tillsynsmail/A 28553-2024 tillsynsbegäran mail.docx", "A 28553-2024")</f>
        <v/>
      </c>
      <c r="Z137">
        <f>HYPERLINK("https://klasma.github.io/Logging_2305/fåglar/A 28553-2024 prioriterade fågelarter.docx", "A 28553-2024")</f>
        <v/>
      </c>
    </row>
    <row r="138" ht="15" customHeight="1">
      <c r="A138" t="inlineStr">
        <is>
          <t>A 32260-2024</t>
        </is>
      </c>
      <c r="B138" s="1" t="n">
        <v>45512</v>
      </c>
      <c r="C138" s="1" t="n">
        <v>45754</v>
      </c>
      <c r="D138" t="inlineStr">
        <is>
          <t>JÄMTLANDS LÄN</t>
        </is>
      </c>
      <c r="E138" t="inlineStr">
        <is>
          <t>BRÄCKE</t>
        </is>
      </c>
      <c r="F138" t="inlineStr">
        <is>
          <t>SCA</t>
        </is>
      </c>
      <c r="G138" t="n">
        <v>3.7</v>
      </c>
      <c r="H138" t="n">
        <v>0</v>
      </c>
      <c r="I138" t="n">
        <v>1</v>
      </c>
      <c r="J138" t="n">
        <v>3</v>
      </c>
      <c r="K138" t="n">
        <v>0</v>
      </c>
      <c r="L138" t="n">
        <v>0</v>
      </c>
      <c r="M138" t="n">
        <v>0</v>
      </c>
      <c r="N138" t="n">
        <v>0</v>
      </c>
      <c r="O138" t="n">
        <v>3</v>
      </c>
      <c r="P138" t="n">
        <v>0</v>
      </c>
      <c r="Q138" t="n">
        <v>4</v>
      </c>
      <c r="R138" s="2" t="inlineStr">
        <is>
          <t>Garnlav
Lunglav
Skrovellav
Luddlav</t>
        </is>
      </c>
      <c r="S138">
        <f>HYPERLINK("https://klasma.github.io/Logging_2305/artfynd/A 32260-2024 artfynd.xlsx", "A 32260-2024")</f>
        <v/>
      </c>
      <c r="T138">
        <f>HYPERLINK("https://klasma.github.io/Logging_2305/kartor/A 32260-2024 karta.png", "A 32260-2024")</f>
        <v/>
      </c>
      <c r="V138">
        <f>HYPERLINK("https://klasma.github.io/Logging_2305/klagomål/A 32260-2024 FSC-klagomål.docx", "A 32260-2024")</f>
        <v/>
      </c>
      <c r="W138">
        <f>HYPERLINK("https://klasma.github.io/Logging_2305/klagomålsmail/A 32260-2024 FSC-klagomål mail.docx", "A 32260-2024")</f>
        <v/>
      </c>
      <c r="X138">
        <f>HYPERLINK("https://klasma.github.io/Logging_2305/tillsyn/A 32260-2024 tillsynsbegäran.docx", "A 32260-2024")</f>
        <v/>
      </c>
      <c r="Y138">
        <f>HYPERLINK("https://klasma.github.io/Logging_2305/tillsynsmail/A 32260-2024 tillsynsbegäran mail.docx", "A 32260-2024")</f>
        <v/>
      </c>
    </row>
    <row r="139" ht="15" customHeight="1">
      <c r="A139" t="inlineStr">
        <is>
          <t>A 32654-2024</t>
        </is>
      </c>
      <c r="B139" s="1" t="n">
        <v>45514</v>
      </c>
      <c r="C139" s="1" t="n">
        <v>45754</v>
      </c>
      <c r="D139" t="inlineStr">
        <is>
          <t>JÄMTLANDS LÄN</t>
        </is>
      </c>
      <c r="E139" t="inlineStr">
        <is>
          <t>BRÄCKE</t>
        </is>
      </c>
      <c r="F139" t="inlineStr">
        <is>
          <t>SCA</t>
        </is>
      </c>
      <c r="G139" t="n">
        <v>4.2</v>
      </c>
      <c r="H139" t="n">
        <v>0</v>
      </c>
      <c r="I139" t="n">
        <v>1</v>
      </c>
      <c r="J139" t="n">
        <v>3</v>
      </c>
      <c r="K139" t="n">
        <v>0</v>
      </c>
      <c r="L139" t="n">
        <v>0</v>
      </c>
      <c r="M139" t="n">
        <v>0</v>
      </c>
      <c r="N139" t="n">
        <v>0</v>
      </c>
      <c r="O139" t="n">
        <v>3</v>
      </c>
      <c r="P139" t="n">
        <v>0</v>
      </c>
      <c r="Q139" t="n">
        <v>4</v>
      </c>
      <c r="R139" s="2" t="inlineStr">
        <is>
          <t>Garnlav
Granticka
Lunglav
Stuplav</t>
        </is>
      </c>
      <c r="S139">
        <f>HYPERLINK("https://klasma.github.io/Logging_2305/artfynd/A 32654-2024 artfynd.xlsx", "A 32654-2024")</f>
        <v/>
      </c>
      <c r="T139">
        <f>HYPERLINK("https://klasma.github.io/Logging_2305/kartor/A 32654-2024 karta.png", "A 32654-2024")</f>
        <v/>
      </c>
      <c r="V139">
        <f>HYPERLINK("https://klasma.github.io/Logging_2305/klagomål/A 32654-2024 FSC-klagomål.docx", "A 32654-2024")</f>
        <v/>
      </c>
      <c r="W139">
        <f>HYPERLINK("https://klasma.github.io/Logging_2305/klagomålsmail/A 32654-2024 FSC-klagomål mail.docx", "A 32654-2024")</f>
        <v/>
      </c>
      <c r="X139">
        <f>HYPERLINK("https://klasma.github.io/Logging_2305/tillsyn/A 32654-2024 tillsynsbegäran.docx", "A 32654-2024")</f>
        <v/>
      </c>
      <c r="Y139">
        <f>HYPERLINK("https://klasma.github.io/Logging_2305/tillsynsmail/A 32654-2024 tillsynsbegäran mail.docx", "A 32654-2024")</f>
        <v/>
      </c>
    </row>
    <row r="140" ht="15" customHeight="1">
      <c r="A140" t="inlineStr">
        <is>
          <t>A 37218-2024</t>
        </is>
      </c>
      <c r="B140" s="1" t="n">
        <v>45539</v>
      </c>
      <c r="C140" s="1" t="n">
        <v>45754</v>
      </c>
      <c r="D140" t="inlineStr">
        <is>
          <t>JÄMTLANDS LÄN</t>
        </is>
      </c>
      <c r="E140" t="inlineStr">
        <is>
          <t>BRÄCKE</t>
        </is>
      </c>
      <c r="F140" t="inlineStr">
        <is>
          <t>SCA</t>
        </is>
      </c>
      <c r="G140" t="n">
        <v>8.1</v>
      </c>
      <c r="H140" t="n">
        <v>1</v>
      </c>
      <c r="I140" t="n">
        <v>2</v>
      </c>
      <c r="J140" t="n">
        <v>2</v>
      </c>
      <c r="K140" t="n">
        <v>0</v>
      </c>
      <c r="L140" t="n">
        <v>0</v>
      </c>
      <c r="M140" t="n">
        <v>0</v>
      </c>
      <c r="N140" t="n">
        <v>0</v>
      </c>
      <c r="O140" t="n">
        <v>2</v>
      </c>
      <c r="P140" t="n">
        <v>0</v>
      </c>
      <c r="Q140" t="n">
        <v>4</v>
      </c>
      <c r="R140" s="2" t="inlineStr">
        <is>
          <t>Lunglav
Spillkråka
Svart trolldruva
Underviol</t>
        </is>
      </c>
      <c r="S140">
        <f>HYPERLINK("https://klasma.github.io/Logging_2305/artfynd/A 37218-2024 artfynd.xlsx", "A 37218-2024")</f>
        <v/>
      </c>
      <c r="T140">
        <f>HYPERLINK("https://klasma.github.io/Logging_2305/kartor/A 37218-2024 karta.png", "A 37218-2024")</f>
        <v/>
      </c>
      <c r="V140">
        <f>HYPERLINK("https://klasma.github.io/Logging_2305/klagomål/A 37218-2024 FSC-klagomål.docx", "A 37218-2024")</f>
        <v/>
      </c>
      <c r="W140">
        <f>HYPERLINK("https://klasma.github.io/Logging_2305/klagomålsmail/A 37218-2024 FSC-klagomål mail.docx", "A 37218-2024")</f>
        <v/>
      </c>
      <c r="X140">
        <f>HYPERLINK("https://klasma.github.io/Logging_2305/tillsyn/A 37218-2024 tillsynsbegäran.docx", "A 37218-2024")</f>
        <v/>
      </c>
      <c r="Y140">
        <f>HYPERLINK("https://klasma.github.io/Logging_2305/tillsynsmail/A 37218-2024 tillsynsbegäran mail.docx", "A 37218-2024")</f>
        <v/>
      </c>
      <c r="Z140">
        <f>HYPERLINK("https://klasma.github.io/Logging_2305/fåglar/A 37218-2024 prioriterade fågelarter.docx", "A 37218-2024")</f>
        <v/>
      </c>
    </row>
    <row r="141" ht="15" customHeight="1">
      <c r="A141" t="inlineStr">
        <is>
          <t>A 42105-2024</t>
        </is>
      </c>
      <c r="B141" s="1" t="n">
        <v>45562</v>
      </c>
      <c r="C141" s="1" t="n">
        <v>45754</v>
      </c>
      <c r="D141" t="inlineStr">
        <is>
          <t>JÄMTLANDS LÄN</t>
        </is>
      </c>
      <c r="E141" t="inlineStr">
        <is>
          <t>BRÄCKE</t>
        </is>
      </c>
      <c r="F141" t="inlineStr">
        <is>
          <t>SCA</t>
        </is>
      </c>
      <c r="G141" t="n">
        <v>2.2</v>
      </c>
      <c r="H141" t="n">
        <v>0</v>
      </c>
      <c r="I141" t="n">
        <v>0</v>
      </c>
      <c r="J141" t="n">
        <v>4</v>
      </c>
      <c r="K141" t="n">
        <v>0</v>
      </c>
      <c r="L141" t="n">
        <v>0</v>
      </c>
      <c r="M141" t="n">
        <v>0</v>
      </c>
      <c r="N141" t="n">
        <v>0</v>
      </c>
      <c r="O141" t="n">
        <v>4</v>
      </c>
      <c r="P141" t="n">
        <v>0</v>
      </c>
      <c r="Q141" t="n">
        <v>4</v>
      </c>
      <c r="R141" s="2" t="inlineStr">
        <is>
          <t>Gränsticka
Mörk kolflarnlav
Ullticka
Violettgrå tagellav</t>
        </is>
      </c>
      <c r="S141">
        <f>HYPERLINK("https://klasma.github.io/Logging_2305/artfynd/A 42105-2024 artfynd.xlsx", "A 42105-2024")</f>
        <v/>
      </c>
      <c r="T141">
        <f>HYPERLINK("https://klasma.github.io/Logging_2305/kartor/A 42105-2024 karta.png", "A 42105-2024")</f>
        <v/>
      </c>
      <c r="V141">
        <f>HYPERLINK("https://klasma.github.io/Logging_2305/klagomål/A 42105-2024 FSC-klagomål.docx", "A 42105-2024")</f>
        <v/>
      </c>
      <c r="W141">
        <f>HYPERLINK("https://klasma.github.io/Logging_2305/klagomålsmail/A 42105-2024 FSC-klagomål mail.docx", "A 42105-2024")</f>
        <v/>
      </c>
      <c r="X141">
        <f>HYPERLINK("https://klasma.github.io/Logging_2305/tillsyn/A 42105-2024 tillsynsbegäran.docx", "A 42105-2024")</f>
        <v/>
      </c>
      <c r="Y141">
        <f>HYPERLINK("https://klasma.github.io/Logging_2305/tillsynsmail/A 42105-2024 tillsynsbegäran mail.docx", "A 42105-2024")</f>
        <v/>
      </c>
    </row>
    <row r="142" ht="15" customHeight="1">
      <c r="A142" t="inlineStr">
        <is>
          <t>A 44132-2024</t>
        </is>
      </c>
      <c r="B142" s="1" t="n">
        <v>45572</v>
      </c>
      <c r="C142" s="1" t="n">
        <v>45754</v>
      </c>
      <c r="D142" t="inlineStr">
        <is>
          <t>JÄMTLANDS LÄN</t>
        </is>
      </c>
      <c r="E142" t="inlineStr">
        <is>
          <t>BRÄCKE</t>
        </is>
      </c>
      <c r="G142" t="n">
        <v>10.2</v>
      </c>
      <c r="H142" t="n">
        <v>2</v>
      </c>
      <c r="I142" t="n">
        <v>1</v>
      </c>
      <c r="J142" t="n">
        <v>2</v>
      </c>
      <c r="K142" t="n">
        <v>1</v>
      </c>
      <c r="L142" t="n">
        <v>0</v>
      </c>
      <c r="M142" t="n">
        <v>0</v>
      </c>
      <c r="N142" t="n">
        <v>0</v>
      </c>
      <c r="O142" t="n">
        <v>3</v>
      </c>
      <c r="P142" t="n">
        <v>1</v>
      </c>
      <c r="Q142" t="n">
        <v>4</v>
      </c>
      <c r="R142" s="2" t="inlineStr">
        <is>
          <t>Knärot
Lunglav
Vitgrynig nållav
Spindelblomster</t>
        </is>
      </c>
      <c r="S142">
        <f>HYPERLINK("https://klasma.github.io/Logging_2305/artfynd/A 44132-2024 artfynd.xlsx", "A 44132-2024")</f>
        <v/>
      </c>
      <c r="T142">
        <f>HYPERLINK("https://klasma.github.io/Logging_2305/kartor/A 44132-2024 karta.png", "A 44132-2024")</f>
        <v/>
      </c>
      <c r="U142">
        <f>HYPERLINK("https://klasma.github.io/Logging_2305/knärot/A 44132-2024 karta knärot.png", "A 44132-2024")</f>
        <v/>
      </c>
      <c r="V142">
        <f>HYPERLINK("https://klasma.github.io/Logging_2305/klagomål/A 44132-2024 FSC-klagomål.docx", "A 44132-2024")</f>
        <v/>
      </c>
      <c r="W142">
        <f>HYPERLINK("https://klasma.github.io/Logging_2305/klagomålsmail/A 44132-2024 FSC-klagomål mail.docx", "A 44132-2024")</f>
        <v/>
      </c>
      <c r="X142">
        <f>HYPERLINK("https://klasma.github.io/Logging_2305/tillsyn/A 44132-2024 tillsynsbegäran.docx", "A 44132-2024")</f>
        <v/>
      </c>
      <c r="Y142">
        <f>HYPERLINK("https://klasma.github.io/Logging_2305/tillsynsmail/A 44132-2024 tillsynsbegäran mail.docx", "A 44132-2024")</f>
        <v/>
      </c>
    </row>
    <row r="143" ht="15" customHeight="1">
      <c r="A143" t="inlineStr">
        <is>
          <t>A 46594-2024</t>
        </is>
      </c>
      <c r="B143" s="1" t="n">
        <v>45582</v>
      </c>
      <c r="C143" s="1" t="n">
        <v>45754</v>
      </c>
      <c r="D143" t="inlineStr">
        <is>
          <t>JÄMTLANDS LÄN</t>
        </is>
      </c>
      <c r="E143" t="inlineStr">
        <is>
          <t>BRÄCKE</t>
        </is>
      </c>
      <c r="G143" t="n">
        <v>2.8</v>
      </c>
      <c r="H143" t="n">
        <v>1</v>
      </c>
      <c r="I143" t="n">
        <v>0</v>
      </c>
      <c r="J143" t="n">
        <v>3</v>
      </c>
      <c r="K143" t="n">
        <v>1</v>
      </c>
      <c r="L143" t="n">
        <v>0</v>
      </c>
      <c r="M143" t="n">
        <v>0</v>
      </c>
      <c r="N143" t="n">
        <v>0</v>
      </c>
      <c r="O143" t="n">
        <v>4</v>
      </c>
      <c r="P143" t="n">
        <v>1</v>
      </c>
      <c r="Q143" t="n">
        <v>4</v>
      </c>
      <c r="R143" s="2" t="inlineStr">
        <is>
          <t>Knärot
Garnlav
Granticka
Knottrig blåslav</t>
        </is>
      </c>
      <c r="S143">
        <f>HYPERLINK("https://klasma.github.io/Logging_2305/artfynd/A 46594-2024 artfynd.xlsx", "A 46594-2024")</f>
        <v/>
      </c>
      <c r="T143">
        <f>HYPERLINK("https://klasma.github.io/Logging_2305/kartor/A 46594-2024 karta.png", "A 46594-2024")</f>
        <v/>
      </c>
      <c r="U143">
        <f>HYPERLINK("https://klasma.github.io/Logging_2305/knärot/A 46594-2024 karta knärot.png", "A 46594-2024")</f>
        <v/>
      </c>
      <c r="V143">
        <f>HYPERLINK("https://klasma.github.io/Logging_2305/klagomål/A 46594-2024 FSC-klagomål.docx", "A 46594-2024")</f>
        <v/>
      </c>
      <c r="W143">
        <f>HYPERLINK("https://klasma.github.io/Logging_2305/klagomålsmail/A 46594-2024 FSC-klagomål mail.docx", "A 46594-2024")</f>
        <v/>
      </c>
      <c r="X143">
        <f>HYPERLINK("https://klasma.github.io/Logging_2305/tillsyn/A 46594-2024 tillsynsbegäran.docx", "A 46594-2024")</f>
        <v/>
      </c>
      <c r="Y143">
        <f>HYPERLINK("https://klasma.github.io/Logging_2305/tillsynsmail/A 46594-2024 tillsynsbegäran mail.docx", "A 46594-2024")</f>
        <v/>
      </c>
    </row>
    <row r="144" ht="15" customHeight="1">
      <c r="A144" t="inlineStr">
        <is>
          <t>A 49375-2024</t>
        </is>
      </c>
      <c r="B144" s="1" t="n">
        <v>45595</v>
      </c>
      <c r="C144" s="1" t="n">
        <v>45754</v>
      </c>
      <c r="D144" t="inlineStr">
        <is>
          <t>JÄMTLANDS LÄN</t>
        </is>
      </c>
      <c r="E144" t="inlineStr">
        <is>
          <t>BRÄCKE</t>
        </is>
      </c>
      <c r="F144" t="inlineStr">
        <is>
          <t>SCA</t>
        </is>
      </c>
      <c r="G144" t="n">
        <v>8.5</v>
      </c>
      <c r="H144" t="n">
        <v>0</v>
      </c>
      <c r="I144" t="n">
        <v>0</v>
      </c>
      <c r="J144" t="n">
        <v>4</v>
      </c>
      <c r="K144" t="n">
        <v>0</v>
      </c>
      <c r="L144" t="n">
        <v>0</v>
      </c>
      <c r="M144" t="n">
        <v>0</v>
      </c>
      <c r="N144" t="n">
        <v>0</v>
      </c>
      <c r="O144" t="n">
        <v>4</v>
      </c>
      <c r="P144" t="n">
        <v>0</v>
      </c>
      <c r="Q144" t="n">
        <v>4</v>
      </c>
      <c r="R144" s="2" t="inlineStr">
        <is>
          <t>Doftskinn
Granticka
Lunglav
Skrovellav</t>
        </is>
      </c>
      <c r="S144">
        <f>HYPERLINK("https://klasma.github.io/Logging_2305/artfynd/A 49375-2024 artfynd.xlsx", "A 49375-2024")</f>
        <v/>
      </c>
      <c r="T144">
        <f>HYPERLINK("https://klasma.github.io/Logging_2305/kartor/A 49375-2024 karta.png", "A 49375-2024")</f>
        <v/>
      </c>
      <c r="V144">
        <f>HYPERLINK("https://klasma.github.io/Logging_2305/klagomål/A 49375-2024 FSC-klagomål.docx", "A 49375-2024")</f>
        <v/>
      </c>
      <c r="W144">
        <f>HYPERLINK("https://klasma.github.io/Logging_2305/klagomålsmail/A 49375-2024 FSC-klagomål mail.docx", "A 49375-2024")</f>
        <v/>
      </c>
      <c r="X144">
        <f>HYPERLINK("https://klasma.github.io/Logging_2305/tillsyn/A 49375-2024 tillsynsbegäran.docx", "A 49375-2024")</f>
        <v/>
      </c>
      <c r="Y144">
        <f>HYPERLINK("https://klasma.github.io/Logging_2305/tillsynsmail/A 49375-2024 tillsynsbegäran mail.docx", "A 49375-2024")</f>
        <v/>
      </c>
    </row>
    <row r="145" ht="15" customHeight="1">
      <c r="A145" t="inlineStr">
        <is>
          <t>A 51421-2024</t>
        </is>
      </c>
      <c r="B145" s="1" t="n">
        <v>45604</v>
      </c>
      <c r="C145" s="1" t="n">
        <v>45754</v>
      </c>
      <c r="D145" t="inlineStr">
        <is>
          <t>JÄMTLANDS LÄN</t>
        </is>
      </c>
      <c r="E145" t="inlineStr">
        <is>
          <t>BRÄCKE</t>
        </is>
      </c>
      <c r="G145" t="n">
        <v>4.2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HYPERLINK("https://klasma.github.io/Logging_2305/artfynd/A 51421-2024 artfynd.xlsx", "A 51421-2024")</f>
        <v/>
      </c>
      <c r="T145">
        <f>HYPERLINK("https://klasma.github.io/Logging_2305/kartor/A 51421-2024 karta.png", "A 51421-2024")</f>
        <v/>
      </c>
      <c r="U145">
        <f>HYPERLINK("https://klasma.github.io/Logging_2305/knärot/A 51421-2024 karta knärot.png", "A 51421-2024")</f>
        <v/>
      </c>
      <c r="V145">
        <f>HYPERLINK("https://klasma.github.io/Logging_2305/klagomål/A 51421-2024 FSC-klagomål.docx", "A 51421-2024")</f>
        <v/>
      </c>
      <c r="W145">
        <f>HYPERLINK("https://klasma.github.io/Logging_2305/klagomålsmail/A 51421-2024 FSC-klagomål mail.docx", "A 51421-2024")</f>
        <v/>
      </c>
      <c r="X145">
        <f>HYPERLINK("https://klasma.github.io/Logging_2305/tillsyn/A 51421-2024 tillsynsbegäran.docx", "A 51421-2024")</f>
        <v/>
      </c>
      <c r="Y145">
        <f>HYPERLINK("https://klasma.github.io/Logging_2305/tillsynsmail/A 51421-2024 tillsynsbegäran mail.docx", "A 51421-2024")</f>
        <v/>
      </c>
    </row>
    <row r="146" ht="15" customHeight="1">
      <c r="A146" t="inlineStr">
        <is>
          <t>A 54133-2024</t>
        </is>
      </c>
      <c r="B146" s="1" t="n">
        <v>45616</v>
      </c>
      <c r="C146" s="1" t="n">
        <v>45754</v>
      </c>
      <c r="D146" t="inlineStr">
        <is>
          <t>JÄMTLANDS LÄN</t>
        </is>
      </c>
      <c r="E146" t="inlineStr">
        <is>
          <t>BRÄCKE</t>
        </is>
      </c>
      <c r="G146" t="n">
        <v>2.3</v>
      </c>
      <c r="H146" t="n">
        <v>0</v>
      </c>
      <c r="I146" t="n">
        <v>0</v>
      </c>
      <c r="J146" t="n">
        <v>4</v>
      </c>
      <c r="K146" t="n">
        <v>0</v>
      </c>
      <c r="L146" t="n">
        <v>0</v>
      </c>
      <c r="M146" t="n">
        <v>0</v>
      </c>
      <c r="N146" t="n">
        <v>0</v>
      </c>
      <c r="O146" t="n">
        <v>4</v>
      </c>
      <c r="P146" t="n">
        <v>0</v>
      </c>
      <c r="Q146" t="n">
        <v>4</v>
      </c>
      <c r="R146" s="2" t="inlineStr">
        <is>
          <t>Garnlav
Lunglav
Rosenticka
Ullticka</t>
        </is>
      </c>
      <c r="S146">
        <f>HYPERLINK("https://klasma.github.io/Logging_2305/artfynd/A 54133-2024 artfynd.xlsx", "A 54133-2024")</f>
        <v/>
      </c>
      <c r="T146">
        <f>HYPERLINK("https://klasma.github.io/Logging_2305/kartor/A 54133-2024 karta.png", "A 54133-2024")</f>
        <v/>
      </c>
      <c r="V146">
        <f>HYPERLINK("https://klasma.github.io/Logging_2305/klagomål/A 54133-2024 FSC-klagomål.docx", "A 54133-2024")</f>
        <v/>
      </c>
      <c r="W146">
        <f>HYPERLINK("https://klasma.github.io/Logging_2305/klagomålsmail/A 54133-2024 FSC-klagomål mail.docx", "A 54133-2024")</f>
        <v/>
      </c>
      <c r="X146">
        <f>HYPERLINK("https://klasma.github.io/Logging_2305/tillsyn/A 54133-2024 tillsynsbegäran.docx", "A 54133-2024")</f>
        <v/>
      </c>
      <c r="Y146">
        <f>HYPERLINK("https://klasma.github.io/Logging_2305/tillsynsmail/A 54133-2024 tillsynsbegäran mail.docx", "A 54133-2024")</f>
        <v/>
      </c>
    </row>
    <row r="147" ht="15" customHeight="1">
      <c r="A147" t="inlineStr">
        <is>
          <t>A 57076-2024</t>
        </is>
      </c>
      <c r="B147" s="1" t="n">
        <v>45629</v>
      </c>
      <c r="C147" s="1" t="n">
        <v>45754</v>
      </c>
      <c r="D147" t="inlineStr">
        <is>
          <t>JÄMTLANDS LÄN</t>
        </is>
      </c>
      <c r="E147" t="inlineStr">
        <is>
          <t>BRÄCKE</t>
        </is>
      </c>
      <c r="F147" t="inlineStr">
        <is>
          <t>SCA</t>
        </is>
      </c>
      <c r="G147" t="n">
        <v>1.3</v>
      </c>
      <c r="H147" t="n">
        <v>1</v>
      </c>
      <c r="I147" t="n">
        <v>2</v>
      </c>
      <c r="J147" t="n">
        <v>1</v>
      </c>
      <c r="K147" t="n">
        <v>1</v>
      </c>
      <c r="L147" t="n">
        <v>0</v>
      </c>
      <c r="M147" t="n">
        <v>0</v>
      </c>
      <c r="N147" t="n">
        <v>0</v>
      </c>
      <c r="O147" t="n">
        <v>2</v>
      </c>
      <c r="P147" t="n">
        <v>1</v>
      </c>
      <c r="Q147" t="n">
        <v>4</v>
      </c>
      <c r="R147" s="2" t="inlineStr">
        <is>
          <t>Knärot
Lunglav
Luddlav
Vedticka</t>
        </is>
      </c>
      <c r="S147">
        <f>HYPERLINK("https://klasma.github.io/Logging_2305/artfynd/A 57076-2024 artfynd.xlsx", "A 57076-2024")</f>
        <v/>
      </c>
      <c r="T147">
        <f>HYPERLINK("https://klasma.github.io/Logging_2305/kartor/A 57076-2024 karta.png", "A 57076-2024")</f>
        <v/>
      </c>
      <c r="U147">
        <f>HYPERLINK("https://klasma.github.io/Logging_2305/knärot/A 57076-2024 karta knärot.png", "A 57076-2024")</f>
        <v/>
      </c>
      <c r="V147">
        <f>HYPERLINK("https://klasma.github.io/Logging_2305/klagomål/A 57076-2024 FSC-klagomål.docx", "A 57076-2024")</f>
        <v/>
      </c>
      <c r="W147">
        <f>HYPERLINK("https://klasma.github.io/Logging_2305/klagomålsmail/A 57076-2024 FSC-klagomål mail.docx", "A 57076-2024")</f>
        <v/>
      </c>
      <c r="X147">
        <f>HYPERLINK("https://klasma.github.io/Logging_2305/tillsyn/A 57076-2024 tillsynsbegäran.docx", "A 57076-2024")</f>
        <v/>
      </c>
      <c r="Y147">
        <f>HYPERLINK("https://klasma.github.io/Logging_2305/tillsynsmail/A 57076-2024 tillsynsbegäran mail.docx", "A 57076-2024")</f>
        <v/>
      </c>
    </row>
    <row r="148" ht="15" customHeight="1">
      <c r="A148" t="inlineStr">
        <is>
          <t>A 57606-2024</t>
        </is>
      </c>
      <c r="B148" s="1" t="n">
        <v>45630</v>
      </c>
      <c r="C148" s="1" t="n">
        <v>45754</v>
      </c>
      <c r="D148" t="inlineStr">
        <is>
          <t>JÄMTLANDS LÄN</t>
        </is>
      </c>
      <c r="E148" t="inlineStr">
        <is>
          <t>BRÄCKE</t>
        </is>
      </c>
      <c r="F148" t="inlineStr">
        <is>
          <t>SCA</t>
        </is>
      </c>
      <c r="G148" t="n">
        <v>3.3</v>
      </c>
      <c r="H148" t="n">
        <v>4</v>
      </c>
      <c r="I148" t="n">
        <v>0</v>
      </c>
      <c r="J148" t="n">
        <v>2</v>
      </c>
      <c r="K148" t="n">
        <v>1</v>
      </c>
      <c r="L148" t="n">
        <v>0</v>
      </c>
      <c r="M148" t="n">
        <v>0</v>
      </c>
      <c r="N148" t="n">
        <v>0</v>
      </c>
      <c r="O148" t="n">
        <v>3</v>
      </c>
      <c r="P148" t="n">
        <v>1</v>
      </c>
      <c r="Q148" t="n">
        <v>4</v>
      </c>
      <c r="R148" s="2" t="inlineStr">
        <is>
          <t>Knärot
Spillkråka
Tretåig hackspett
Gråspett</t>
        </is>
      </c>
      <c r="S148">
        <f>HYPERLINK("https://klasma.github.io/Logging_2305/artfynd/A 57606-2024 artfynd.xlsx", "A 57606-2024")</f>
        <v/>
      </c>
      <c r="T148">
        <f>HYPERLINK("https://klasma.github.io/Logging_2305/kartor/A 57606-2024 karta.png", "A 57606-2024")</f>
        <v/>
      </c>
      <c r="U148">
        <f>HYPERLINK("https://klasma.github.io/Logging_2305/knärot/A 57606-2024 karta knärot.png", "A 57606-2024")</f>
        <v/>
      </c>
      <c r="V148">
        <f>HYPERLINK("https://klasma.github.io/Logging_2305/klagomål/A 57606-2024 FSC-klagomål.docx", "A 57606-2024")</f>
        <v/>
      </c>
      <c r="W148">
        <f>HYPERLINK("https://klasma.github.io/Logging_2305/klagomålsmail/A 57606-2024 FSC-klagomål mail.docx", "A 57606-2024")</f>
        <v/>
      </c>
      <c r="X148">
        <f>HYPERLINK("https://klasma.github.io/Logging_2305/tillsyn/A 57606-2024 tillsynsbegäran.docx", "A 57606-2024")</f>
        <v/>
      </c>
      <c r="Y148">
        <f>HYPERLINK("https://klasma.github.io/Logging_2305/tillsynsmail/A 57606-2024 tillsynsbegäran mail.docx", "A 57606-2024")</f>
        <v/>
      </c>
      <c r="Z148">
        <f>HYPERLINK("https://klasma.github.io/Logging_2305/fåglar/A 57606-2024 prioriterade fågelarter.docx", "A 57606-2024")</f>
        <v/>
      </c>
    </row>
    <row r="149" ht="15" customHeight="1">
      <c r="A149" t="inlineStr">
        <is>
          <t>A 2296-2025</t>
        </is>
      </c>
      <c r="B149" s="1" t="n">
        <v>45673</v>
      </c>
      <c r="C149" s="1" t="n">
        <v>45754</v>
      </c>
      <c r="D149" t="inlineStr">
        <is>
          <t>JÄMTLANDS LÄN</t>
        </is>
      </c>
      <c r="E149" t="inlineStr">
        <is>
          <t>BRÄCKE</t>
        </is>
      </c>
      <c r="F149" t="inlineStr">
        <is>
          <t>SCA</t>
        </is>
      </c>
      <c r="G149" t="n">
        <v>2.5</v>
      </c>
      <c r="H149" t="n">
        <v>0</v>
      </c>
      <c r="I149" t="n">
        <v>1</v>
      </c>
      <c r="J149" t="n">
        <v>2</v>
      </c>
      <c r="K149" t="n">
        <v>1</v>
      </c>
      <c r="L149" t="n">
        <v>0</v>
      </c>
      <c r="M149" t="n">
        <v>0</v>
      </c>
      <c r="N149" t="n">
        <v>0</v>
      </c>
      <c r="O149" t="n">
        <v>3</v>
      </c>
      <c r="P149" t="n">
        <v>1</v>
      </c>
      <c r="Q149" t="n">
        <v>4</v>
      </c>
      <c r="R149" s="2" t="inlineStr">
        <is>
          <t>Ulltickeporing
Garnlav
Ullticka
Skarp dropptaggsvamp</t>
        </is>
      </c>
      <c r="S149">
        <f>HYPERLINK("https://klasma.github.io/Logging_2305/artfynd/A 2296-2025 artfynd.xlsx", "A 2296-2025")</f>
        <v/>
      </c>
      <c r="T149">
        <f>HYPERLINK("https://klasma.github.io/Logging_2305/kartor/A 2296-2025 karta.png", "A 2296-2025")</f>
        <v/>
      </c>
      <c r="V149">
        <f>HYPERLINK("https://klasma.github.io/Logging_2305/klagomål/A 2296-2025 FSC-klagomål.docx", "A 2296-2025")</f>
        <v/>
      </c>
      <c r="W149">
        <f>HYPERLINK("https://klasma.github.io/Logging_2305/klagomålsmail/A 2296-2025 FSC-klagomål mail.docx", "A 2296-2025")</f>
        <v/>
      </c>
      <c r="X149">
        <f>HYPERLINK("https://klasma.github.io/Logging_2305/tillsyn/A 2296-2025 tillsynsbegäran.docx", "A 2296-2025")</f>
        <v/>
      </c>
      <c r="Y149">
        <f>HYPERLINK("https://klasma.github.io/Logging_2305/tillsynsmail/A 2296-2025 tillsynsbegäran mail.docx", "A 2296-2025")</f>
        <v/>
      </c>
    </row>
    <row r="150" ht="15" customHeight="1">
      <c r="A150" t="inlineStr">
        <is>
          <t>A 3665-2025</t>
        </is>
      </c>
      <c r="B150" s="1" t="n">
        <v>45681</v>
      </c>
      <c r="C150" s="1" t="n">
        <v>45754</v>
      </c>
      <c r="D150" t="inlineStr">
        <is>
          <t>JÄMTLANDS LÄN</t>
        </is>
      </c>
      <c r="E150" t="inlineStr">
        <is>
          <t>BRÄCKE</t>
        </is>
      </c>
      <c r="F150" t="inlineStr">
        <is>
          <t>SCA</t>
        </is>
      </c>
      <c r="G150" t="n">
        <v>27</v>
      </c>
      <c r="H150" t="n">
        <v>1</v>
      </c>
      <c r="I150" t="n">
        <v>0</v>
      </c>
      <c r="J150" t="n">
        <v>4</v>
      </c>
      <c r="K150" t="n">
        <v>0</v>
      </c>
      <c r="L150" t="n">
        <v>0</v>
      </c>
      <c r="M150" t="n">
        <v>0</v>
      </c>
      <c r="N150" t="n">
        <v>0</v>
      </c>
      <c r="O150" t="n">
        <v>4</v>
      </c>
      <c r="P150" t="n">
        <v>0</v>
      </c>
      <c r="Q150" t="n">
        <v>4</v>
      </c>
      <c r="R150" s="2" t="inlineStr">
        <is>
          <t>Granticka
Månlåsbräken
Tretåig hackspett
Ullticka</t>
        </is>
      </c>
      <c r="S150">
        <f>HYPERLINK("https://klasma.github.io/Logging_2305/artfynd/A 3665-2025 artfynd.xlsx", "A 3665-2025")</f>
        <v/>
      </c>
      <c r="T150">
        <f>HYPERLINK("https://klasma.github.io/Logging_2305/kartor/A 3665-2025 karta.png", "A 3665-2025")</f>
        <v/>
      </c>
      <c r="V150">
        <f>HYPERLINK("https://klasma.github.io/Logging_2305/klagomål/A 3665-2025 FSC-klagomål.docx", "A 3665-2025")</f>
        <v/>
      </c>
      <c r="W150">
        <f>HYPERLINK("https://klasma.github.io/Logging_2305/klagomålsmail/A 3665-2025 FSC-klagomål mail.docx", "A 3665-2025")</f>
        <v/>
      </c>
      <c r="X150">
        <f>HYPERLINK("https://klasma.github.io/Logging_2305/tillsyn/A 3665-2025 tillsynsbegäran.docx", "A 3665-2025")</f>
        <v/>
      </c>
      <c r="Y150">
        <f>HYPERLINK("https://klasma.github.io/Logging_2305/tillsynsmail/A 3665-2025 tillsynsbegäran mail.docx", "A 3665-2025")</f>
        <v/>
      </c>
      <c r="Z150">
        <f>HYPERLINK("https://klasma.github.io/Logging_2305/fåglar/A 3665-2025 prioriterade fågelarter.docx", "A 3665-2025")</f>
        <v/>
      </c>
    </row>
    <row r="151" ht="15" customHeight="1">
      <c r="A151" t="inlineStr">
        <is>
          <t>A 7445-2025</t>
        </is>
      </c>
      <c r="B151" s="1" t="n">
        <v>45705</v>
      </c>
      <c r="C151" s="1" t="n">
        <v>45754</v>
      </c>
      <c r="D151" t="inlineStr">
        <is>
          <t>JÄMTLANDS LÄN</t>
        </is>
      </c>
      <c r="E151" t="inlineStr">
        <is>
          <t>BRÄCKE</t>
        </is>
      </c>
      <c r="G151" t="n">
        <v>2.1</v>
      </c>
      <c r="H151" t="n">
        <v>1</v>
      </c>
      <c r="I151" t="n">
        <v>1</v>
      </c>
      <c r="J151" t="n">
        <v>2</v>
      </c>
      <c r="K151" t="n">
        <v>0</v>
      </c>
      <c r="L151" t="n">
        <v>0</v>
      </c>
      <c r="M151" t="n">
        <v>0</v>
      </c>
      <c r="N151" t="n">
        <v>0</v>
      </c>
      <c r="O151" t="n">
        <v>2</v>
      </c>
      <c r="P151" t="n">
        <v>0</v>
      </c>
      <c r="Q151" t="n">
        <v>4</v>
      </c>
      <c r="R151" s="2" t="inlineStr">
        <is>
          <t>Garnlav
Lunglav
Stuplav
Revlummer</t>
        </is>
      </c>
      <c r="S151">
        <f>HYPERLINK("https://klasma.github.io/Logging_2305/artfynd/A 7445-2025 artfynd.xlsx", "A 7445-2025")</f>
        <v/>
      </c>
      <c r="T151">
        <f>HYPERLINK("https://klasma.github.io/Logging_2305/kartor/A 7445-2025 karta.png", "A 7445-2025")</f>
        <v/>
      </c>
      <c r="V151">
        <f>HYPERLINK("https://klasma.github.io/Logging_2305/klagomål/A 7445-2025 FSC-klagomål.docx", "A 7445-2025")</f>
        <v/>
      </c>
      <c r="W151">
        <f>HYPERLINK("https://klasma.github.io/Logging_2305/klagomålsmail/A 7445-2025 FSC-klagomål mail.docx", "A 7445-2025")</f>
        <v/>
      </c>
      <c r="X151">
        <f>HYPERLINK("https://klasma.github.io/Logging_2305/tillsyn/A 7445-2025 tillsynsbegäran.docx", "A 7445-2025")</f>
        <v/>
      </c>
      <c r="Y151">
        <f>HYPERLINK("https://klasma.github.io/Logging_2305/tillsynsmail/A 7445-2025 tillsynsbegäran mail.docx", "A 7445-2025")</f>
        <v/>
      </c>
    </row>
    <row r="152" ht="15" customHeight="1">
      <c r="A152" t="inlineStr">
        <is>
          <t>A 14253-2025</t>
        </is>
      </c>
      <c r="B152" s="1" t="n">
        <v>45740</v>
      </c>
      <c r="C152" s="1" t="n">
        <v>45754</v>
      </c>
      <c r="D152" t="inlineStr">
        <is>
          <t>JÄMTLANDS LÄN</t>
        </is>
      </c>
      <c r="E152" t="inlineStr">
        <is>
          <t>BRÄCKE</t>
        </is>
      </c>
      <c r="F152" t="inlineStr">
        <is>
          <t>SCA</t>
        </is>
      </c>
      <c r="G152" t="n">
        <v>7.3</v>
      </c>
      <c r="H152" t="n">
        <v>1</v>
      </c>
      <c r="I152" t="n">
        <v>2</v>
      </c>
      <c r="J152" t="n">
        <v>1</v>
      </c>
      <c r="K152" t="n">
        <v>0</v>
      </c>
      <c r="L152" t="n">
        <v>0</v>
      </c>
      <c r="M152" t="n">
        <v>0</v>
      </c>
      <c r="N152" t="n">
        <v>0</v>
      </c>
      <c r="O152" t="n">
        <v>1</v>
      </c>
      <c r="P152" t="n">
        <v>0</v>
      </c>
      <c r="Q152" t="n">
        <v>4</v>
      </c>
      <c r="R152" s="2" t="inlineStr">
        <is>
          <t>Blå taggsvamp
Dropptaggsvamp
Skarp dropptaggsvamp
Grönsiska</t>
        </is>
      </c>
      <c r="S152">
        <f>HYPERLINK("https://klasma.github.io/Logging_232305/artfynd/A 14253-2025 artfynd.xlsx", "A 14253-2025")</f>
        <v/>
      </c>
      <c r="T152">
        <f>HYPERLINK("https://klasma.github.io/Logging_232305/kartor/A 14253-2025 karta.png", "A 14253-2025")</f>
        <v/>
      </c>
      <c r="V152">
        <f>HYPERLINK("https://klasma.github.io/Logging_232305/klagomål/A 14253-2025 FSC-klagomål.docx", "A 14253-2025")</f>
        <v/>
      </c>
      <c r="W152">
        <f>HYPERLINK("https://klasma.github.io/Logging_232305/klagomålsmail/A 14253-2025 FSC-klagomål mail.docx", "A 14253-2025")</f>
        <v/>
      </c>
      <c r="X152">
        <f>HYPERLINK("https://klasma.github.io/Logging_232305/tillsyn/A 14253-2025 tillsynsbegäran.docx", "A 14253-2025")</f>
        <v/>
      </c>
      <c r="Y152">
        <f>HYPERLINK("https://klasma.github.io/Logging_232305/tillsynsmail/A 14253-2025 tillsynsbegäran mail.docx", "A 14253-2025")</f>
        <v/>
      </c>
      <c r="Z152">
        <f>HYPERLINK("https://klasma.github.io/Logging_232305/fåglar/A 14253-2025 prioriterade fågelarter.docx", "A 14253-2025")</f>
        <v/>
      </c>
    </row>
    <row r="153" ht="15" customHeight="1">
      <c r="A153" t="inlineStr">
        <is>
          <t>A 14978-2025</t>
        </is>
      </c>
      <c r="B153" s="1" t="n">
        <v>45743</v>
      </c>
      <c r="C153" s="1" t="n">
        <v>45754</v>
      </c>
      <c r="D153" t="inlineStr">
        <is>
          <t>JÄMTLANDS LÄN</t>
        </is>
      </c>
      <c r="E153" t="inlineStr">
        <is>
          <t>BRÄCKE</t>
        </is>
      </c>
      <c r="F153" t="inlineStr">
        <is>
          <t>SCA</t>
        </is>
      </c>
      <c r="G153" t="n">
        <v>4.2</v>
      </c>
      <c r="H153" t="n">
        <v>1</v>
      </c>
      <c r="I153" t="n">
        <v>0</v>
      </c>
      <c r="J153" t="n">
        <v>4</v>
      </c>
      <c r="K153" t="n">
        <v>0</v>
      </c>
      <c r="L153" t="n">
        <v>0</v>
      </c>
      <c r="M153" t="n">
        <v>0</v>
      </c>
      <c r="N153" t="n">
        <v>0</v>
      </c>
      <c r="O153" t="n">
        <v>4</v>
      </c>
      <c r="P153" t="n">
        <v>0</v>
      </c>
      <c r="Q153" t="n">
        <v>4</v>
      </c>
      <c r="R153" s="2" t="inlineStr">
        <is>
          <t>Granticka
Lunglav
Tretåig hackspett
Vitgrynig nållav</t>
        </is>
      </c>
      <c r="S153">
        <f>HYPERLINK("https://klasma.github.io/Logging_232305/artfynd/A 14978-2025 artfynd.xlsx", "A 14978-2025")</f>
        <v/>
      </c>
      <c r="T153">
        <f>HYPERLINK("https://klasma.github.io/Logging_232305/kartor/A 14978-2025 karta.png", "A 14978-2025")</f>
        <v/>
      </c>
      <c r="V153">
        <f>HYPERLINK("https://klasma.github.io/Logging_232305/klagomål/A 14978-2025 FSC-klagomål.docx", "A 14978-2025")</f>
        <v/>
      </c>
      <c r="W153">
        <f>HYPERLINK("https://klasma.github.io/Logging_232305/klagomålsmail/A 14978-2025 FSC-klagomål mail.docx", "A 14978-2025")</f>
        <v/>
      </c>
      <c r="X153">
        <f>HYPERLINK("https://klasma.github.io/Logging_232305/tillsyn/A 14978-2025 tillsynsbegäran.docx", "A 14978-2025")</f>
        <v/>
      </c>
      <c r="Y153">
        <f>HYPERLINK("https://klasma.github.io/Logging_232305/tillsynsmail/A 14978-2025 tillsynsbegäran mail.docx", "A 14978-2025")</f>
        <v/>
      </c>
      <c r="Z153">
        <f>HYPERLINK("https://klasma.github.io/Logging_232305/fåglar/A 14978-2025 prioriterade fågelarter.docx", "A 14978-2025")</f>
        <v/>
      </c>
    </row>
    <row r="154" ht="15" customHeight="1">
      <c r="A154" t="inlineStr">
        <is>
          <t>A 15242-2025</t>
        </is>
      </c>
      <c r="B154" s="1" t="n">
        <v>45744</v>
      </c>
      <c r="C154" s="1" t="n">
        <v>45754</v>
      </c>
      <c r="D154" t="inlineStr">
        <is>
          <t>JÄMTLANDS LÄN</t>
        </is>
      </c>
      <c r="E154" t="inlineStr">
        <is>
          <t>BRÄCKE</t>
        </is>
      </c>
      <c r="F154" t="inlineStr">
        <is>
          <t>SCA</t>
        </is>
      </c>
      <c r="G154" t="n">
        <v>27</v>
      </c>
      <c r="H154" t="n">
        <v>1</v>
      </c>
      <c r="I154" t="n">
        <v>0</v>
      </c>
      <c r="J154" t="n">
        <v>4</v>
      </c>
      <c r="K154" t="n">
        <v>0</v>
      </c>
      <c r="L154" t="n">
        <v>0</v>
      </c>
      <c r="M154" t="n">
        <v>0</v>
      </c>
      <c r="N154" t="n">
        <v>0</v>
      </c>
      <c r="O154" t="n">
        <v>4</v>
      </c>
      <c r="P154" t="n">
        <v>0</v>
      </c>
      <c r="Q154" t="n">
        <v>4</v>
      </c>
      <c r="R154" s="2" t="inlineStr">
        <is>
          <t>Granticka
Månlåsbräken
Tretåig hackspett
Ullticka</t>
        </is>
      </c>
      <c r="S154">
        <f>HYPERLINK("https://klasma.github.io/Logging_232305/artfynd/A 15242-2025 artfynd.xlsx", "A 15242-2025")</f>
        <v/>
      </c>
      <c r="T154">
        <f>HYPERLINK("https://klasma.github.io/Logging_232305/kartor/A 15242-2025 karta.png", "A 15242-2025")</f>
        <v/>
      </c>
      <c r="V154">
        <f>HYPERLINK("https://klasma.github.io/Logging_232305/klagomål/A 15242-2025 FSC-klagomål.docx", "A 15242-2025")</f>
        <v/>
      </c>
      <c r="W154">
        <f>HYPERLINK("https://klasma.github.io/Logging_232305/klagomålsmail/A 15242-2025 FSC-klagomål mail.docx", "A 15242-2025")</f>
        <v/>
      </c>
      <c r="X154">
        <f>HYPERLINK("https://klasma.github.io/Logging_232305/tillsyn/A 15242-2025 tillsynsbegäran.docx", "A 15242-2025")</f>
        <v/>
      </c>
      <c r="Y154">
        <f>HYPERLINK("https://klasma.github.io/Logging_232305/tillsynsmail/A 15242-2025 tillsynsbegäran mail.docx", "A 15242-2025")</f>
        <v/>
      </c>
      <c r="Z154">
        <f>HYPERLINK("https://klasma.github.io/Logging_232305/fåglar/A 15242-2025 prioriterade fågelarter.docx", "A 15242-2025")</f>
        <v/>
      </c>
    </row>
    <row r="155" ht="15" customHeight="1">
      <c r="A155" t="inlineStr">
        <is>
          <t>A 15263-2025</t>
        </is>
      </c>
      <c r="B155" s="1" t="n">
        <v>45744</v>
      </c>
      <c r="C155" s="1" t="n">
        <v>45754</v>
      </c>
      <c r="D155" t="inlineStr">
        <is>
          <t>JÄMTLANDS LÄN</t>
        </is>
      </c>
      <c r="E155" t="inlineStr">
        <is>
          <t>BRÄCKE</t>
        </is>
      </c>
      <c r="F155" t="inlineStr">
        <is>
          <t>SCA</t>
        </is>
      </c>
      <c r="G155" t="n">
        <v>2</v>
      </c>
      <c r="H155" t="n">
        <v>0</v>
      </c>
      <c r="I155" t="n">
        <v>1</v>
      </c>
      <c r="J155" t="n">
        <v>3</v>
      </c>
      <c r="K155" t="n">
        <v>0</v>
      </c>
      <c r="L155" t="n">
        <v>0</v>
      </c>
      <c r="M155" t="n">
        <v>0</v>
      </c>
      <c r="N155" t="n">
        <v>0</v>
      </c>
      <c r="O155" t="n">
        <v>3</v>
      </c>
      <c r="P155" t="n">
        <v>0</v>
      </c>
      <c r="Q155" t="n">
        <v>4</v>
      </c>
      <c r="R155" s="2" t="inlineStr">
        <is>
          <t>Garnlav
Lunglav
Skrovellav
Stuplav</t>
        </is>
      </c>
      <c r="S155">
        <f>HYPERLINK("https://klasma.github.io/Logging_232305/artfynd/A 15263-2025 artfynd.xlsx", "A 15263-2025")</f>
        <v/>
      </c>
      <c r="T155">
        <f>HYPERLINK("https://klasma.github.io/Logging_232305/kartor/A 15263-2025 karta.png", "A 15263-2025")</f>
        <v/>
      </c>
      <c r="V155">
        <f>HYPERLINK("https://klasma.github.io/Logging_232305/klagomål/A 15263-2025 FSC-klagomål.docx", "A 15263-2025")</f>
        <v/>
      </c>
      <c r="W155">
        <f>HYPERLINK("https://klasma.github.io/Logging_232305/klagomålsmail/A 15263-2025 FSC-klagomål mail.docx", "A 15263-2025")</f>
        <v/>
      </c>
      <c r="X155">
        <f>HYPERLINK("https://klasma.github.io/Logging_232305/tillsyn/A 15263-2025 tillsynsbegäran.docx", "A 15263-2025")</f>
        <v/>
      </c>
      <c r="Y155">
        <f>HYPERLINK("https://klasma.github.io/Logging_232305/tillsynsmail/A 15263-2025 tillsynsbegäran mail.docx", "A 15263-2025")</f>
        <v/>
      </c>
    </row>
    <row r="156" ht="15" customHeight="1">
      <c r="A156" t="inlineStr">
        <is>
          <t>A 35801-2020</t>
        </is>
      </c>
      <c r="B156" s="1" t="n">
        <v>44046</v>
      </c>
      <c r="C156" s="1" t="n">
        <v>45754</v>
      </c>
      <c r="D156" t="inlineStr">
        <is>
          <t>JÄMTLANDS LÄN</t>
        </is>
      </c>
      <c r="E156" t="inlineStr">
        <is>
          <t>BRÄCKE</t>
        </is>
      </c>
      <c r="F156" t="inlineStr">
        <is>
          <t>SCA</t>
        </is>
      </c>
      <c r="G156" t="n">
        <v>0.9</v>
      </c>
      <c r="H156" t="n">
        <v>0</v>
      </c>
      <c r="I156" t="n">
        <v>0</v>
      </c>
      <c r="J156" t="n">
        <v>2</v>
      </c>
      <c r="K156" t="n">
        <v>1</v>
      </c>
      <c r="L156" t="n">
        <v>0</v>
      </c>
      <c r="M156" t="n">
        <v>0</v>
      </c>
      <c r="N156" t="n">
        <v>0</v>
      </c>
      <c r="O156" t="n">
        <v>3</v>
      </c>
      <c r="P156" t="n">
        <v>1</v>
      </c>
      <c r="Q156" t="n">
        <v>3</v>
      </c>
      <c r="R156" s="2" t="inlineStr">
        <is>
          <t>Goliatmusseron
Orange taggsvamp
Svart taggsvamp</t>
        </is>
      </c>
      <c r="S156">
        <f>HYPERLINK("https://klasma.github.io/Logging_2305/artfynd/A 35801-2020 artfynd.xlsx", "A 35801-2020")</f>
        <v/>
      </c>
      <c r="T156">
        <f>HYPERLINK("https://klasma.github.io/Logging_2305/kartor/A 35801-2020 karta.png", "A 35801-2020")</f>
        <v/>
      </c>
      <c r="V156">
        <f>HYPERLINK("https://klasma.github.io/Logging_2305/klagomål/A 35801-2020 FSC-klagomål.docx", "A 35801-2020")</f>
        <v/>
      </c>
      <c r="W156">
        <f>HYPERLINK("https://klasma.github.io/Logging_2305/klagomålsmail/A 35801-2020 FSC-klagomål mail.docx", "A 35801-2020")</f>
        <v/>
      </c>
      <c r="X156">
        <f>HYPERLINK("https://klasma.github.io/Logging_2305/tillsyn/A 35801-2020 tillsynsbegäran.docx", "A 35801-2020")</f>
        <v/>
      </c>
      <c r="Y156">
        <f>HYPERLINK("https://klasma.github.io/Logging_2305/tillsynsmail/A 35801-2020 tillsynsbegäran mail.docx", "A 35801-2020")</f>
        <v/>
      </c>
    </row>
    <row r="157" ht="15" customHeight="1">
      <c r="A157" t="inlineStr">
        <is>
          <t>A 40405-2020</t>
        </is>
      </c>
      <c r="B157" s="1" t="n">
        <v>44068</v>
      </c>
      <c r="C157" s="1" t="n">
        <v>45754</v>
      </c>
      <c r="D157" t="inlineStr">
        <is>
          <t>JÄMTLANDS LÄN</t>
        </is>
      </c>
      <c r="E157" t="inlineStr">
        <is>
          <t>BRÄCKE</t>
        </is>
      </c>
      <c r="F157" t="inlineStr">
        <is>
          <t>SCA</t>
        </is>
      </c>
      <c r="G157" t="n">
        <v>1</v>
      </c>
      <c r="H157" t="n">
        <v>0</v>
      </c>
      <c r="I157" t="n">
        <v>0</v>
      </c>
      <c r="J157" t="n">
        <v>2</v>
      </c>
      <c r="K157" t="n">
        <v>1</v>
      </c>
      <c r="L157" t="n">
        <v>0</v>
      </c>
      <c r="M157" t="n">
        <v>0</v>
      </c>
      <c r="N157" t="n">
        <v>0</v>
      </c>
      <c r="O157" t="n">
        <v>3</v>
      </c>
      <c r="P157" t="n">
        <v>1</v>
      </c>
      <c r="Q157" t="n">
        <v>3</v>
      </c>
      <c r="R157" s="2" t="inlineStr">
        <is>
          <t>Tvillingspindling
Flattoppad klubbsvamp
Persiljespindling</t>
        </is>
      </c>
      <c r="S157">
        <f>HYPERLINK("https://klasma.github.io/Logging_2305/artfynd/A 40405-2020 artfynd.xlsx", "A 40405-2020")</f>
        <v/>
      </c>
      <c r="T157">
        <f>HYPERLINK("https://klasma.github.io/Logging_2305/kartor/A 40405-2020 karta.png", "A 40405-2020")</f>
        <v/>
      </c>
      <c r="V157">
        <f>HYPERLINK("https://klasma.github.io/Logging_2305/klagomål/A 40405-2020 FSC-klagomål.docx", "A 40405-2020")</f>
        <v/>
      </c>
      <c r="W157">
        <f>HYPERLINK("https://klasma.github.io/Logging_2305/klagomålsmail/A 40405-2020 FSC-klagomål mail.docx", "A 40405-2020")</f>
        <v/>
      </c>
      <c r="X157">
        <f>HYPERLINK("https://klasma.github.io/Logging_2305/tillsyn/A 40405-2020 tillsynsbegäran.docx", "A 40405-2020")</f>
        <v/>
      </c>
      <c r="Y157">
        <f>HYPERLINK("https://klasma.github.io/Logging_2305/tillsynsmail/A 40405-2020 tillsynsbegäran mail.docx", "A 40405-2020")</f>
        <v/>
      </c>
    </row>
    <row r="158" ht="15" customHeight="1">
      <c r="A158" t="inlineStr">
        <is>
          <t>A 26102-2021</t>
        </is>
      </c>
      <c r="B158" s="1" t="n">
        <v>44344</v>
      </c>
      <c r="C158" s="1" t="n">
        <v>45754</v>
      </c>
      <c r="D158" t="inlineStr">
        <is>
          <t>JÄMTLANDS LÄN</t>
        </is>
      </c>
      <c r="E158" t="inlineStr">
        <is>
          <t>BRÄCKE</t>
        </is>
      </c>
      <c r="F158" t="inlineStr">
        <is>
          <t>SCA</t>
        </is>
      </c>
      <c r="G158" t="n">
        <v>21.3</v>
      </c>
      <c r="H158" t="n">
        <v>1</v>
      </c>
      <c r="I158" t="n">
        <v>1</v>
      </c>
      <c r="J158" t="n">
        <v>1</v>
      </c>
      <c r="K158" t="n">
        <v>0</v>
      </c>
      <c r="L158" t="n">
        <v>0</v>
      </c>
      <c r="M158" t="n">
        <v>0</v>
      </c>
      <c r="N158" t="n">
        <v>0</v>
      </c>
      <c r="O158" t="n">
        <v>1</v>
      </c>
      <c r="P158" t="n">
        <v>0</v>
      </c>
      <c r="Q158" t="n">
        <v>3</v>
      </c>
      <c r="R158" s="2" t="inlineStr">
        <is>
          <t>Lunglav
Ögonpyrola
Revlummer</t>
        </is>
      </c>
      <c r="S158">
        <f>HYPERLINK("https://klasma.github.io/Logging_2305/artfynd/A 26102-2021 artfynd.xlsx", "A 26102-2021")</f>
        <v/>
      </c>
      <c r="T158">
        <f>HYPERLINK("https://klasma.github.io/Logging_2305/kartor/A 26102-2021 karta.png", "A 26102-2021")</f>
        <v/>
      </c>
      <c r="V158">
        <f>HYPERLINK("https://klasma.github.io/Logging_2305/klagomål/A 26102-2021 FSC-klagomål.docx", "A 26102-2021")</f>
        <v/>
      </c>
      <c r="W158">
        <f>HYPERLINK("https://klasma.github.io/Logging_2305/klagomålsmail/A 26102-2021 FSC-klagomål mail.docx", "A 26102-2021")</f>
        <v/>
      </c>
      <c r="X158">
        <f>HYPERLINK("https://klasma.github.io/Logging_2305/tillsyn/A 26102-2021 tillsynsbegäran.docx", "A 26102-2021")</f>
        <v/>
      </c>
      <c r="Y158">
        <f>HYPERLINK("https://klasma.github.io/Logging_2305/tillsynsmail/A 26102-2021 tillsynsbegäran mail.docx", "A 26102-2021")</f>
        <v/>
      </c>
    </row>
    <row r="159" ht="15" customHeight="1">
      <c r="A159" t="inlineStr">
        <is>
          <t>A 37061-2021</t>
        </is>
      </c>
      <c r="B159" s="1" t="n">
        <v>44393</v>
      </c>
      <c r="C159" s="1" t="n">
        <v>45754</v>
      </c>
      <c r="D159" t="inlineStr">
        <is>
          <t>JÄMTLANDS LÄN</t>
        </is>
      </c>
      <c r="E159" t="inlineStr">
        <is>
          <t>BRÄCKE</t>
        </is>
      </c>
      <c r="F159" t="inlineStr">
        <is>
          <t>SCA</t>
        </is>
      </c>
      <c r="G159" t="n">
        <v>3.4</v>
      </c>
      <c r="H159" t="n">
        <v>1</v>
      </c>
      <c r="I159" t="n">
        <v>1</v>
      </c>
      <c r="J159" t="n">
        <v>1</v>
      </c>
      <c r="K159" t="n">
        <v>1</v>
      </c>
      <c r="L159" t="n">
        <v>0</v>
      </c>
      <c r="M159" t="n">
        <v>0</v>
      </c>
      <c r="N159" t="n">
        <v>0</v>
      </c>
      <c r="O159" t="n">
        <v>2</v>
      </c>
      <c r="P159" t="n">
        <v>1</v>
      </c>
      <c r="Q159" t="n">
        <v>3</v>
      </c>
      <c r="R159" s="2" t="inlineStr">
        <is>
          <t>Knärot
Lunglav
Stuplav</t>
        </is>
      </c>
      <c r="S159">
        <f>HYPERLINK("https://klasma.github.io/Logging_2305/artfynd/A 37061-2021 artfynd.xlsx", "A 37061-2021")</f>
        <v/>
      </c>
      <c r="T159">
        <f>HYPERLINK("https://klasma.github.io/Logging_2305/kartor/A 37061-2021 karta.png", "A 37061-2021")</f>
        <v/>
      </c>
      <c r="U159">
        <f>HYPERLINK("https://klasma.github.io/Logging_2305/knärot/A 37061-2021 karta knärot.png", "A 37061-2021")</f>
        <v/>
      </c>
      <c r="V159">
        <f>HYPERLINK("https://klasma.github.io/Logging_2305/klagomål/A 37061-2021 FSC-klagomål.docx", "A 37061-2021")</f>
        <v/>
      </c>
      <c r="W159">
        <f>HYPERLINK("https://klasma.github.io/Logging_2305/klagomålsmail/A 37061-2021 FSC-klagomål mail.docx", "A 37061-2021")</f>
        <v/>
      </c>
      <c r="X159">
        <f>HYPERLINK("https://klasma.github.io/Logging_2305/tillsyn/A 37061-2021 tillsynsbegäran.docx", "A 37061-2021")</f>
        <v/>
      </c>
      <c r="Y159">
        <f>HYPERLINK("https://klasma.github.io/Logging_2305/tillsynsmail/A 37061-2021 tillsynsbegäran mail.docx", "A 37061-2021")</f>
        <v/>
      </c>
    </row>
    <row r="160" ht="15" customHeight="1">
      <c r="A160" t="inlineStr">
        <is>
          <t>A 38279-2021</t>
        </is>
      </c>
      <c r="B160" s="1" t="n">
        <v>44406</v>
      </c>
      <c r="C160" s="1" t="n">
        <v>45754</v>
      </c>
      <c r="D160" t="inlineStr">
        <is>
          <t>JÄMTLANDS LÄN</t>
        </is>
      </c>
      <c r="E160" t="inlineStr">
        <is>
          <t>BRÄCKE</t>
        </is>
      </c>
      <c r="F160" t="inlineStr">
        <is>
          <t>SCA</t>
        </is>
      </c>
      <c r="G160" t="n">
        <v>2.2</v>
      </c>
      <c r="H160" t="n">
        <v>0</v>
      </c>
      <c r="I160" t="n">
        <v>1</v>
      </c>
      <c r="J160" t="n">
        <v>1</v>
      </c>
      <c r="K160" t="n">
        <v>1</v>
      </c>
      <c r="L160" t="n">
        <v>0</v>
      </c>
      <c r="M160" t="n">
        <v>0</v>
      </c>
      <c r="N160" t="n">
        <v>0</v>
      </c>
      <c r="O160" t="n">
        <v>2</v>
      </c>
      <c r="P160" t="n">
        <v>1</v>
      </c>
      <c r="Q160" t="n">
        <v>3</v>
      </c>
      <c r="R160" s="2" t="inlineStr">
        <is>
          <t>Goliatmusseron
Lunglav
Dropptaggsvamp</t>
        </is>
      </c>
      <c r="S160">
        <f>HYPERLINK("https://klasma.github.io/Logging_2305/artfynd/A 38279-2021 artfynd.xlsx", "A 38279-2021")</f>
        <v/>
      </c>
      <c r="T160">
        <f>HYPERLINK("https://klasma.github.io/Logging_2305/kartor/A 38279-2021 karta.png", "A 38279-2021")</f>
        <v/>
      </c>
      <c r="V160">
        <f>HYPERLINK("https://klasma.github.io/Logging_2305/klagomål/A 38279-2021 FSC-klagomål.docx", "A 38279-2021")</f>
        <v/>
      </c>
      <c r="W160">
        <f>HYPERLINK("https://klasma.github.io/Logging_2305/klagomålsmail/A 38279-2021 FSC-klagomål mail.docx", "A 38279-2021")</f>
        <v/>
      </c>
      <c r="X160">
        <f>HYPERLINK("https://klasma.github.io/Logging_2305/tillsyn/A 38279-2021 tillsynsbegäran.docx", "A 38279-2021")</f>
        <v/>
      </c>
      <c r="Y160">
        <f>HYPERLINK("https://klasma.github.io/Logging_2305/tillsynsmail/A 38279-2021 tillsynsbegäran mail.docx", "A 38279-2021")</f>
        <v/>
      </c>
    </row>
    <row r="161" ht="15" customHeight="1">
      <c r="A161" t="inlineStr">
        <is>
          <t>A 56222-2021</t>
        </is>
      </c>
      <c r="B161" s="1" t="n">
        <v>44477</v>
      </c>
      <c r="C161" s="1" t="n">
        <v>45754</v>
      </c>
      <c r="D161" t="inlineStr">
        <is>
          <t>JÄMTLANDS LÄN</t>
        </is>
      </c>
      <c r="E161" t="inlineStr">
        <is>
          <t>BRÄCKE</t>
        </is>
      </c>
      <c r="F161" t="inlineStr">
        <is>
          <t>SCA</t>
        </is>
      </c>
      <c r="G161" t="n">
        <v>1.8</v>
      </c>
      <c r="H161" t="n">
        <v>0</v>
      </c>
      <c r="I161" t="n">
        <v>0</v>
      </c>
      <c r="J161" t="n">
        <v>3</v>
      </c>
      <c r="K161" t="n">
        <v>0</v>
      </c>
      <c r="L161" t="n">
        <v>0</v>
      </c>
      <c r="M161" t="n">
        <v>0</v>
      </c>
      <c r="N161" t="n">
        <v>0</v>
      </c>
      <c r="O161" t="n">
        <v>3</v>
      </c>
      <c r="P161" t="n">
        <v>0</v>
      </c>
      <c r="Q161" t="n">
        <v>3</v>
      </c>
      <c r="R161" s="2" t="inlineStr">
        <is>
          <t>Gammelgransskål
Granticka
Ullticka</t>
        </is>
      </c>
      <c r="S161">
        <f>HYPERLINK("https://klasma.github.io/Logging_2305/artfynd/A 56222-2021 artfynd.xlsx", "A 56222-2021")</f>
        <v/>
      </c>
      <c r="T161">
        <f>HYPERLINK("https://klasma.github.io/Logging_2305/kartor/A 56222-2021 karta.png", "A 56222-2021")</f>
        <v/>
      </c>
      <c r="V161">
        <f>HYPERLINK("https://klasma.github.io/Logging_2305/klagomål/A 56222-2021 FSC-klagomål.docx", "A 56222-2021")</f>
        <v/>
      </c>
      <c r="W161">
        <f>HYPERLINK("https://klasma.github.io/Logging_2305/klagomålsmail/A 56222-2021 FSC-klagomål mail.docx", "A 56222-2021")</f>
        <v/>
      </c>
      <c r="X161">
        <f>HYPERLINK("https://klasma.github.io/Logging_2305/tillsyn/A 56222-2021 tillsynsbegäran.docx", "A 56222-2021")</f>
        <v/>
      </c>
      <c r="Y161">
        <f>HYPERLINK("https://klasma.github.io/Logging_2305/tillsynsmail/A 56222-2021 tillsynsbegäran mail.docx", "A 56222-2021")</f>
        <v/>
      </c>
    </row>
    <row r="162" ht="15" customHeight="1">
      <c r="A162" t="inlineStr">
        <is>
          <t>A 4180-2022</t>
        </is>
      </c>
      <c r="B162" s="1" t="n">
        <v>44588</v>
      </c>
      <c r="C162" s="1" t="n">
        <v>45754</v>
      </c>
      <c r="D162" t="inlineStr">
        <is>
          <t>JÄMTLANDS LÄN</t>
        </is>
      </c>
      <c r="E162" t="inlineStr">
        <is>
          <t>BRÄCKE</t>
        </is>
      </c>
      <c r="G162" t="n">
        <v>6.1</v>
      </c>
      <c r="H162" t="n">
        <v>2</v>
      </c>
      <c r="I162" t="n">
        <v>1</v>
      </c>
      <c r="J162" t="n">
        <v>1</v>
      </c>
      <c r="K162" t="n">
        <v>1</v>
      </c>
      <c r="L162" t="n">
        <v>0</v>
      </c>
      <c r="M162" t="n">
        <v>0</v>
      </c>
      <c r="N162" t="n">
        <v>0</v>
      </c>
      <c r="O162" t="n">
        <v>2</v>
      </c>
      <c r="P162" t="n">
        <v>1</v>
      </c>
      <c r="Q162" t="n">
        <v>3</v>
      </c>
      <c r="R162" s="2" t="inlineStr">
        <is>
          <t>Knärot
Skogsfru
Ögonpyrola</t>
        </is>
      </c>
      <c r="S162">
        <f>HYPERLINK("https://klasma.github.io/Logging_2305/artfynd/A 4180-2022 artfynd.xlsx", "A 4180-2022")</f>
        <v/>
      </c>
      <c r="T162">
        <f>HYPERLINK("https://klasma.github.io/Logging_2305/kartor/A 4180-2022 karta.png", "A 4180-2022")</f>
        <v/>
      </c>
      <c r="U162">
        <f>HYPERLINK("https://klasma.github.io/Logging_2305/knärot/A 4180-2022 karta knärot.png", "A 4180-2022")</f>
        <v/>
      </c>
      <c r="V162">
        <f>HYPERLINK("https://klasma.github.io/Logging_2305/klagomål/A 4180-2022 FSC-klagomål.docx", "A 4180-2022")</f>
        <v/>
      </c>
      <c r="W162">
        <f>HYPERLINK("https://klasma.github.io/Logging_2305/klagomålsmail/A 4180-2022 FSC-klagomål mail.docx", "A 4180-2022")</f>
        <v/>
      </c>
      <c r="X162">
        <f>HYPERLINK("https://klasma.github.io/Logging_2305/tillsyn/A 4180-2022 tillsynsbegäran.docx", "A 4180-2022")</f>
        <v/>
      </c>
      <c r="Y162">
        <f>HYPERLINK("https://klasma.github.io/Logging_2305/tillsynsmail/A 4180-2022 tillsynsbegäran mail.docx", "A 4180-2022")</f>
        <v/>
      </c>
    </row>
    <row r="163" ht="15" customHeight="1">
      <c r="A163" t="inlineStr">
        <is>
          <t>A 11002-2022</t>
        </is>
      </c>
      <c r="B163" s="1" t="n">
        <v>44628</v>
      </c>
      <c r="C163" s="1" t="n">
        <v>45754</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44428-2022</t>
        </is>
      </c>
      <c r="B164" s="1" t="n">
        <v>44839</v>
      </c>
      <c r="C164" s="1" t="n">
        <v>45754</v>
      </c>
      <c r="D164" t="inlineStr">
        <is>
          <t>JÄMTLANDS LÄN</t>
        </is>
      </c>
      <c r="E164" t="inlineStr">
        <is>
          <t>BRÄCKE</t>
        </is>
      </c>
      <c r="F164" t="inlineStr">
        <is>
          <t>SCA</t>
        </is>
      </c>
      <c r="G164" t="n">
        <v>4.3</v>
      </c>
      <c r="H164" t="n">
        <v>0</v>
      </c>
      <c r="I164" t="n">
        <v>2</v>
      </c>
      <c r="J164" t="n">
        <v>1</v>
      </c>
      <c r="K164" t="n">
        <v>0</v>
      </c>
      <c r="L164" t="n">
        <v>0</v>
      </c>
      <c r="M164" t="n">
        <v>0</v>
      </c>
      <c r="N164" t="n">
        <v>0</v>
      </c>
      <c r="O164" t="n">
        <v>1</v>
      </c>
      <c r="P164" t="n">
        <v>0</v>
      </c>
      <c r="Q164" t="n">
        <v>3</v>
      </c>
      <c r="R164" s="2" t="inlineStr">
        <is>
          <t>Motaggsvamp
Dropptaggsvamp
Skinnlav</t>
        </is>
      </c>
      <c r="S164">
        <f>HYPERLINK("https://klasma.github.io/Logging_2305/artfynd/A 44428-2022 artfynd.xlsx", "A 44428-2022")</f>
        <v/>
      </c>
      <c r="T164">
        <f>HYPERLINK("https://klasma.github.io/Logging_2305/kartor/A 44428-2022 karta.png", "A 44428-2022")</f>
        <v/>
      </c>
      <c r="V164">
        <f>HYPERLINK("https://klasma.github.io/Logging_2305/klagomål/A 44428-2022 FSC-klagomål.docx", "A 44428-2022")</f>
        <v/>
      </c>
      <c r="W164">
        <f>HYPERLINK("https://klasma.github.io/Logging_2305/klagomålsmail/A 44428-2022 FSC-klagomål mail.docx", "A 44428-2022")</f>
        <v/>
      </c>
      <c r="X164">
        <f>HYPERLINK("https://klasma.github.io/Logging_2305/tillsyn/A 44428-2022 tillsynsbegäran.docx", "A 44428-2022")</f>
        <v/>
      </c>
      <c r="Y164">
        <f>HYPERLINK("https://klasma.github.io/Logging_2305/tillsynsmail/A 44428-2022 tillsynsbegäran mail.docx", "A 44428-2022")</f>
        <v/>
      </c>
    </row>
    <row r="165" ht="15" customHeight="1">
      <c r="A165" t="inlineStr">
        <is>
          <t>A 53284-2022</t>
        </is>
      </c>
      <c r="B165" s="1" t="n">
        <v>44876</v>
      </c>
      <c r="C165" s="1" t="n">
        <v>45754</v>
      </c>
      <c r="D165" t="inlineStr">
        <is>
          <t>JÄMTLANDS LÄN</t>
        </is>
      </c>
      <c r="E165" t="inlineStr">
        <is>
          <t>BRÄCKE</t>
        </is>
      </c>
      <c r="F165" t="inlineStr">
        <is>
          <t>SCA</t>
        </is>
      </c>
      <c r="G165" t="n">
        <v>10.3</v>
      </c>
      <c r="H165" t="n">
        <v>0</v>
      </c>
      <c r="I165" t="n">
        <v>0</v>
      </c>
      <c r="J165" t="n">
        <v>3</v>
      </c>
      <c r="K165" t="n">
        <v>0</v>
      </c>
      <c r="L165" t="n">
        <v>0</v>
      </c>
      <c r="M165" t="n">
        <v>0</v>
      </c>
      <c r="N165" t="n">
        <v>0</v>
      </c>
      <c r="O165" t="n">
        <v>3</v>
      </c>
      <c r="P165" t="n">
        <v>0</v>
      </c>
      <c r="Q165" t="n">
        <v>3</v>
      </c>
      <c r="R165" s="2" t="inlineStr">
        <is>
          <t>Blanksvart spiklav
Dvärgbägarlav
Kolflarnlav</t>
        </is>
      </c>
      <c r="S165">
        <f>HYPERLINK("https://klasma.github.io/Logging_2305/artfynd/A 53284-2022 artfynd.xlsx", "A 53284-2022")</f>
        <v/>
      </c>
      <c r="T165">
        <f>HYPERLINK("https://klasma.github.io/Logging_2305/kartor/A 53284-2022 karta.png", "A 53284-2022")</f>
        <v/>
      </c>
      <c r="V165">
        <f>HYPERLINK("https://klasma.github.io/Logging_2305/klagomål/A 53284-2022 FSC-klagomål.docx", "A 53284-2022")</f>
        <v/>
      </c>
      <c r="W165">
        <f>HYPERLINK("https://klasma.github.io/Logging_2305/klagomålsmail/A 53284-2022 FSC-klagomål mail.docx", "A 53284-2022")</f>
        <v/>
      </c>
      <c r="X165">
        <f>HYPERLINK("https://klasma.github.io/Logging_2305/tillsyn/A 53284-2022 tillsynsbegäran.docx", "A 53284-2022")</f>
        <v/>
      </c>
      <c r="Y165">
        <f>HYPERLINK("https://klasma.github.io/Logging_2305/tillsynsmail/A 53284-2022 tillsynsbegäran mail.docx", "A 53284-2022")</f>
        <v/>
      </c>
    </row>
    <row r="166" ht="15" customHeight="1">
      <c r="A166" t="inlineStr">
        <is>
          <t>A 32725-2023</t>
        </is>
      </c>
      <c r="B166" s="1" t="n">
        <v>45121</v>
      </c>
      <c r="C166" s="1" t="n">
        <v>45754</v>
      </c>
      <c r="D166" t="inlineStr">
        <is>
          <t>JÄMTLANDS LÄN</t>
        </is>
      </c>
      <c r="E166" t="inlineStr">
        <is>
          <t>BRÄCKE</t>
        </is>
      </c>
      <c r="F166" t="inlineStr">
        <is>
          <t>SCA</t>
        </is>
      </c>
      <c r="G166" t="n">
        <v>10.9</v>
      </c>
      <c r="H166" t="n">
        <v>1</v>
      </c>
      <c r="I166" t="n">
        <v>0</v>
      </c>
      <c r="J166" t="n">
        <v>3</v>
      </c>
      <c r="K166" t="n">
        <v>0</v>
      </c>
      <c r="L166" t="n">
        <v>0</v>
      </c>
      <c r="M166" t="n">
        <v>0</v>
      </c>
      <c r="N166" t="n">
        <v>0</v>
      </c>
      <c r="O166" t="n">
        <v>3</v>
      </c>
      <c r="P166" t="n">
        <v>0</v>
      </c>
      <c r="Q166" t="n">
        <v>3</v>
      </c>
      <c r="R166" s="2" t="inlineStr">
        <is>
          <t>Doftskinn
Garnlav
Tretåig hackspett</t>
        </is>
      </c>
      <c r="S166">
        <f>HYPERLINK("https://klasma.github.io/Logging_2305/artfynd/A 32725-2023 artfynd.xlsx", "A 32725-2023")</f>
        <v/>
      </c>
      <c r="T166">
        <f>HYPERLINK("https://klasma.github.io/Logging_2305/kartor/A 32725-2023 karta.png", "A 32725-2023")</f>
        <v/>
      </c>
      <c r="V166">
        <f>HYPERLINK("https://klasma.github.io/Logging_2305/klagomål/A 32725-2023 FSC-klagomål.docx", "A 32725-2023")</f>
        <v/>
      </c>
      <c r="W166">
        <f>HYPERLINK("https://klasma.github.io/Logging_2305/klagomålsmail/A 32725-2023 FSC-klagomål mail.docx", "A 32725-2023")</f>
        <v/>
      </c>
      <c r="X166">
        <f>HYPERLINK("https://klasma.github.io/Logging_2305/tillsyn/A 32725-2023 tillsynsbegäran.docx", "A 32725-2023")</f>
        <v/>
      </c>
      <c r="Y166">
        <f>HYPERLINK("https://klasma.github.io/Logging_2305/tillsynsmail/A 32725-2023 tillsynsbegäran mail.docx", "A 32725-2023")</f>
        <v/>
      </c>
      <c r="Z166">
        <f>HYPERLINK("https://klasma.github.io/Logging_2305/fåglar/A 32725-2023 prioriterade fågelarter.docx", "A 32725-2023")</f>
        <v/>
      </c>
    </row>
    <row r="167" ht="15" customHeight="1">
      <c r="A167" t="inlineStr">
        <is>
          <t>A 40406-2023</t>
        </is>
      </c>
      <c r="B167" s="1" t="n">
        <v>45169</v>
      </c>
      <c r="C167" s="1" t="n">
        <v>45754</v>
      </c>
      <c r="D167" t="inlineStr">
        <is>
          <t>JÄMTLANDS LÄN</t>
        </is>
      </c>
      <c r="E167" t="inlineStr">
        <is>
          <t>BRÄCKE</t>
        </is>
      </c>
      <c r="G167" t="n">
        <v>8.1</v>
      </c>
      <c r="H167" t="n">
        <v>0</v>
      </c>
      <c r="I167" t="n">
        <v>2</v>
      </c>
      <c r="J167" t="n">
        <v>0</v>
      </c>
      <c r="K167" t="n">
        <v>1</v>
      </c>
      <c r="L167" t="n">
        <v>0</v>
      </c>
      <c r="M167" t="n">
        <v>0</v>
      </c>
      <c r="N167" t="n">
        <v>0</v>
      </c>
      <c r="O167" t="n">
        <v>1</v>
      </c>
      <c r="P167" t="n">
        <v>1</v>
      </c>
      <c r="Q167" t="n">
        <v>3</v>
      </c>
      <c r="R167" s="2" t="inlineStr">
        <is>
          <t>Gräddporing
Dropptaggsvamp
Gräsull</t>
        </is>
      </c>
      <c r="S167">
        <f>HYPERLINK("https://klasma.github.io/Logging_2305/artfynd/A 40406-2023 artfynd.xlsx", "A 40406-2023")</f>
        <v/>
      </c>
      <c r="T167">
        <f>HYPERLINK("https://klasma.github.io/Logging_2305/kartor/A 40406-2023 karta.png", "A 40406-2023")</f>
        <v/>
      </c>
      <c r="V167">
        <f>HYPERLINK("https://klasma.github.io/Logging_2305/klagomål/A 40406-2023 FSC-klagomål.docx", "A 40406-2023")</f>
        <v/>
      </c>
      <c r="W167">
        <f>HYPERLINK("https://klasma.github.io/Logging_2305/klagomålsmail/A 40406-2023 FSC-klagomål mail.docx", "A 40406-2023")</f>
        <v/>
      </c>
      <c r="X167">
        <f>HYPERLINK("https://klasma.github.io/Logging_2305/tillsyn/A 40406-2023 tillsynsbegäran.docx", "A 40406-2023")</f>
        <v/>
      </c>
      <c r="Y167">
        <f>HYPERLINK("https://klasma.github.io/Logging_2305/tillsynsmail/A 40406-2023 tillsynsbegäran mail.docx", "A 40406-2023")</f>
        <v/>
      </c>
    </row>
    <row r="168" ht="15" customHeight="1">
      <c r="A168" t="inlineStr">
        <is>
          <t>A 40827-2023</t>
        </is>
      </c>
      <c r="B168" s="1" t="n">
        <v>45171</v>
      </c>
      <c r="C168" s="1" t="n">
        <v>45754</v>
      </c>
      <c r="D168" t="inlineStr">
        <is>
          <t>JÄMTLANDS LÄN</t>
        </is>
      </c>
      <c r="E168" t="inlineStr">
        <is>
          <t>BRÄCKE</t>
        </is>
      </c>
      <c r="G168" t="n">
        <v>16.7</v>
      </c>
      <c r="H168" t="n">
        <v>2</v>
      </c>
      <c r="I168" t="n">
        <v>1</v>
      </c>
      <c r="J168" t="n">
        <v>1</v>
      </c>
      <c r="K168" t="n">
        <v>0</v>
      </c>
      <c r="L168" t="n">
        <v>0</v>
      </c>
      <c r="M168" t="n">
        <v>0</v>
      </c>
      <c r="N168" t="n">
        <v>0</v>
      </c>
      <c r="O168" t="n">
        <v>1</v>
      </c>
      <c r="P168" t="n">
        <v>0</v>
      </c>
      <c r="Q168" t="n">
        <v>3</v>
      </c>
      <c r="R168" s="2" t="inlineStr">
        <is>
          <t>Brunklöver
Plattlummer
Revlummer</t>
        </is>
      </c>
      <c r="S168">
        <f>HYPERLINK("https://klasma.github.io/Logging_2305/artfynd/A 40827-2023 artfynd.xlsx", "A 40827-2023")</f>
        <v/>
      </c>
      <c r="T168">
        <f>HYPERLINK("https://klasma.github.io/Logging_2305/kartor/A 40827-2023 karta.png", "A 40827-2023")</f>
        <v/>
      </c>
      <c r="V168">
        <f>HYPERLINK("https://klasma.github.io/Logging_2305/klagomål/A 40827-2023 FSC-klagomål.docx", "A 40827-2023")</f>
        <v/>
      </c>
      <c r="W168">
        <f>HYPERLINK("https://klasma.github.io/Logging_2305/klagomålsmail/A 40827-2023 FSC-klagomål mail.docx", "A 40827-2023")</f>
        <v/>
      </c>
      <c r="X168">
        <f>HYPERLINK("https://klasma.github.io/Logging_2305/tillsyn/A 40827-2023 tillsynsbegäran.docx", "A 40827-2023")</f>
        <v/>
      </c>
      <c r="Y168">
        <f>HYPERLINK("https://klasma.github.io/Logging_2305/tillsynsmail/A 40827-2023 tillsynsbegäran mail.docx", "A 40827-2023")</f>
        <v/>
      </c>
    </row>
    <row r="169" ht="15" customHeight="1">
      <c r="A169" t="inlineStr">
        <is>
          <t>A 41648-2023</t>
        </is>
      </c>
      <c r="B169" s="1" t="n">
        <v>45175</v>
      </c>
      <c r="C169" s="1" t="n">
        <v>45754</v>
      </c>
      <c r="D169" t="inlineStr">
        <is>
          <t>JÄMTLANDS LÄN</t>
        </is>
      </c>
      <c r="E169" t="inlineStr">
        <is>
          <t>BRÄCKE</t>
        </is>
      </c>
      <c r="F169" t="inlineStr">
        <is>
          <t>SCA</t>
        </is>
      </c>
      <c r="G169" t="n">
        <v>6.7</v>
      </c>
      <c r="H169" t="n">
        <v>2</v>
      </c>
      <c r="I169" t="n">
        <v>1</v>
      </c>
      <c r="J169" t="n">
        <v>1</v>
      </c>
      <c r="K169" t="n">
        <v>1</v>
      </c>
      <c r="L169" t="n">
        <v>0</v>
      </c>
      <c r="M169" t="n">
        <v>0</v>
      </c>
      <c r="N169" t="n">
        <v>0</v>
      </c>
      <c r="O169" t="n">
        <v>2</v>
      </c>
      <c r="P169" t="n">
        <v>1</v>
      </c>
      <c r="Q169" t="n">
        <v>3</v>
      </c>
      <c r="R169" s="2" t="inlineStr">
        <is>
          <t>Knärot
Flattoppad klubbsvamp
Spindelblomster</t>
        </is>
      </c>
      <c r="S169">
        <f>HYPERLINK("https://klasma.github.io/Logging_2305/artfynd/A 41648-2023 artfynd.xlsx", "A 41648-2023")</f>
        <v/>
      </c>
      <c r="T169">
        <f>HYPERLINK("https://klasma.github.io/Logging_2305/kartor/A 41648-2023 karta.png", "A 41648-2023")</f>
        <v/>
      </c>
      <c r="U169">
        <f>HYPERLINK("https://klasma.github.io/Logging_2305/knärot/A 41648-2023 karta knärot.png", "A 41648-2023")</f>
        <v/>
      </c>
      <c r="V169">
        <f>HYPERLINK("https://klasma.github.io/Logging_2305/klagomål/A 41648-2023 FSC-klagomål.docx", "A 41648-2023")</f>
        <v/>
      </c>
      <c r="W169">
        <f>HYPERLINK("https://klasma.github.io/Logging_2305/klagomålsmail/A 41648-2023 FSC-klagomål mail.docx", "A 41648-2023")</f>
        <v/>
      </c>
      <c r="X169">
        <f>HYPERLINK("https://klasma.github.io/Logging_2305/tillsyn/A 41648-2023 tillsynsbegäran.docx", "A 41648-2023")</f>
        <v/>
      </c>
      <c r="Y169">
        <f>HYPERLINK("https://klasma.github.io/Logging_2305/tillsynsmail/A 41648-2023 tillsynsbegäran mail.docx", "A 41648-2023")</f>
        <v/>
      </c>
    </row>
    <row r="170" ht="15" customHeight="1">
      <c r="A170" t="inlineStr">
        <is>
          <t>A 48067-2023</t>
        </is>
      </c>
      <c r="B170" s="1" t="n">
        <v>45204</v>
      </c>
      <c r="C170" s="1" t="n">
        <v>45754</v>
      </c>
      <c r="D170" t="inlineStr">
        <is>
          <t>JÄMTLANDS LÄN</t>
        </is>
      </c>
      <c r="E170" t="inlineStr">
        <is>
          <t>BRÄCKE</t>
        </is>
      </c>
      <c r="F170" t="inlineStr">
        <is>
          <t>SCA</t>
        </is>
      </c>
      <c r="G170" t="n">
        <v>1.2</v>
      </c>
      <c r="H170" t="n">
        <v>0</v>
      </c>
      <c r="I170" t="n">
        <v>2</v>
      </c>
      <c r="J170" t="n">
        <v>1</v>
      </c>
      <c r="K170" t="n">
        <v>0</v>
      </c>
      <c r="L170" t="n">
        <v>0</v>
      </c>
      <c r="M170" t="n">
        <v>0</v>
      </c>
      <c r="N170" t="n">
        <v>0</v>
      </c>
      <c r="O170" t="n">
        <v>1</v>
      </c>
      <c r="P170" t="n">
        <v>0</v>
      </c>
      <c r="Q170" t="n">
        <v>3</v>
      </c>
      <c r="R170" s="2" t="inlineStr">
        <is>
          <t>Lunglav
Gytterlav
Korallblylav</t>
        </is>
      </c>
      <c r="S170">
        <f>HYPERLINK("https://klasma.github.io/Logging_2305/artfynd/A 48067-2023 artfynd.xlsx", "A 48067-2023")</f>
        <v/>
      </c>
      <c r="T170">
        <f>HYPERLINK("https://klasma.github.io/Logging_2305/kartor/A 48067-2023 karta.png", "A 48067-2023")</f>
        <v/>
      </c>
      <c r="V170">
        <f>HYPERLINK("https://klasma.github.io/Logging_2305/klagomål/A 48067-2023 FSC-klagomål.docx", "A 48067-2023")</f>
        <v/>
      </c>
      <c r="W170">
        <f>HYPERLINK("https://klasma.github.io/Logging_2305/klagomålsmail/A 48067-2023 FSC-klagomål mail.docx", "A 48067-2023")</f>
        <v/>
      </c>
      <c r="X170">
        <f>HYPERLINK("https://klasma.github.io/Logging_2305/tillsyn/A 48067-2023 tillsynsbegäran.docx", "A 48067-2023")</f>
        <v/>
      </c>
      <c r="Y170">
        <f>HYPERLINK("https://klasma.github.io/Logging_2305/tillsynsmail/A 48067-2023 tillsynsbegäran mail.docx", "A 48067-2023")</f>
        <v/>
      </c>
    </row>
    <row r="171" ht="15" customHeight="1">
      <c r="A171" t="inlineStr">
        <is>
          <t>A 2061-2024</t>
        </is>
      </c>
      <c r="B171" s="1" t="n">
        <v>45308</v>
      </c>
      <c r="C171" s="1" t="n">
        <v>45754</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Lunglav
Stiftgelélav
Skinnlav</t>
        </is>
      </c>
      <c r="S171">
        <f>HYPERLINK("https://klasma.github.io/Logging_2305/artfynd/A 2061-2024 artfynd.xlsx", "A 2061-2024")</f>
        <v/>
      </c>
      <c r="T171">
        <f>HYPERLINK("https://klasma.github.io/Logging_2305/kartor/A 2061-2024 karta.png", "A 2061-2024")</f>
        <v/>
      </c>
      <c r="V171">
        <f>HYPERLINK("https://klasma.github.io/Logging_2305/klagomål/A 2061-2024 FSC-klagomål.docx", "A 2061-2024")</f>
        <v/>
      </c>
      <c r="W171">
        <f>HYPERLINK("https://klasma.github.io/Logging_2305/klagomålsmail/A 2061-2024 FSC-klagomål mail.docx", "A 2061-2024")</f>
        <v/>
      </c>
      <c r="X171">
        <f>HYPERLINK("https://klasma.github.io/Logging_2305/tillsyn/A 2061-2024 tillsynsbegäran.docx", "A 2061-2024")</f>
        <v/>
      </c>
      <c r="Y171">
        <f>HYPERLINK("https://klasma.github.io/Logging_2305/tillsynsmail/A 2061-2024 tillsynsbegäran mail.docx", "A 2061-2024")</f>
        <v/>
      </c>
    </row>
    <row r="172" ht="15" customHeight="1">
      <c r="A172" t="inlineStr">
        <is>
          <t>A 19336-2024</t>
        </is>
      </c>
      <c r="B172" s="1" t="n">
        <v>45429</v>
      </c>
      <c r="C172" s="1" t="n">
        <v>45754</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21851-2024</t>
        </is>
      </c>
      <c r="B173" s="1" t="n">
        <v>45443</v>
      </c>
      <c r="C173" s="1" t="n">
        <v>45754</v>
      </c>
      <c r="D173" t="inlineStr">
        <is>
          <t>JÄMTLANDS LÄN</t>
        </is>
      </c>
      <c r="E173" t="inlineStr">
        <is>
          <t>BRÄCKE</t>
        </is>
      </c>
      <c r="F173" t="inlineStr">
        <is>
          <t>SCA</t>
        </is>
      </c>
      <c r="G173" t="n">
        <v>5</v>
      </c>
      <c r="H173" t="n">
        <v>0</v>
      </c>
      <c r="I173" t="n">
        <v>0</v>
      </c>
      <c r="J173" t="n">
        <v>2</v>
      </c>
      <c r="K173" t="n">
        <v>1</v>
      </c>
      <c r="L173" t="n">
        <v>0</v>
      </c>
      <c r="M173" t="n">
        <v>0</v>
      </c>
      <c r="N173" t="n">
        <v>0</v>
      </c>
      <c r="O173" t="n">
        <v>3</v>
      </c>
      <c r="P173" t="n">
        <v>1</v>
      </c>
      <c r="Q173" t="n">
        <v>3</v>
      </c>
      <c r="R173" s="2" t="inlineStr">
        <is>
          <t>Gräddporing
Dvärgbägarlav
Vaddporing</t>
        </is>
      </c>
      <c r="S173">
        <f>HYPERLINK("https://klasma.github.io/Logging_2305/artfynd/A 21851-2024 artfynd.xlsx", "A 21851-2024")</f>
        <v/>
      </c>
      <c r="T173">
        <f>HYPERLINK("https://klasma.github.io/Logging_2305/kartor/A 21851-2024 karta.png", "A 21851-2024")</f>
        <v/>
      </c>
      <c r="V173">
        <f>HYPERLINK("https://klasma.github.io/Logging_2305/klagomål/A 21851-2024 FSC-klagomål.docx", "A 21851-2024")</f>
        <v/>
      </c>
      <c r="W173">
        <f>HYPERLINK("https://klasma.github.io/Logging_2305/klagomålsmail/A 21851-2024 FSC-klagomål mail.docx", "A 21851-2024")</f>
        <v/>
      </c>
      <c r="X173">
        <f>HYPERLINK("https://klasma.github.io/Logging_2305/tillsyn/A 21851-2024 tillsynsbegäran.docx", "A 21851-2024")</f>
        <v/>
      </c>
      <c r="Y173">
        <f>HYPERLINK("https://klasma.github.io/Logging_2305/tillsynsmail/A 21851-2024 tillsynsbegäran mail.docx", "A 21851-2024")</f>
        <v/>
      </c>
    </row>
    <row r="174" ht="15" customHeight="1">
      <c r="A174" t="inlineStr">
        <is>
          <t>A 25717-2024</t>
        </is>
      </c>
      <c r="B174" s="1" t="n">
        <v>45464</v>
      </c>
      <c r="C174" s="1" t="n">
        <v>45754</v>
      </c>
      <c r="D174" t="inlineStr">
        <is>
          <t>JÄMTLANDS LÄN</t>
        </is>
      </c>
      <c r="E174" t="inlineStr">
        <is>
          <t>BRÄCKE</t>
        </is>
      </c>
      <c r="G174" t="n">
        <v>2.9</v>
      </c>
      <c r="H174" t="n">
        <v>1</v>
      </c>
      <c r="I174" t="n">
        <v>1</v>
      </c>
      <c r="J174" t="n">
        <v>1</v>
      </c>
      <c r="K174" t="n">
        <v>1</v>
      </c>
      <c r="L174" t="n">
        <v>0</v>
      </c>
      <c r="M174" t="n">
        <v>0</v>
      </c>
      <c r="N174" t="n">
        <v>0</v>
      </c>
      <c r="O174" t="n">
        <v>2</v>
      </c>
      <c r="P174" t="n">
        <v>1</v>
      </c>
      <c r="Q174" t="n">
        <v>3</v>
      </c>
      <c r="R174" s="2" t="inlineStr">
        <is>
          <t>Knärot
Lunglav
Skinnlav</t>
        </is>
      </c>
      <c r="S174">
        <f>HYPERLINK("https://klasma.github.io/Logging_2305/artfynd/A 25717-2024 artfynd.xlsx", "A 25717-2024")</f>
        <v/>
      </c>
      <c r="T174">
        <f>HYPERLINK("https://klasma.github.io/Logging_2305/kartor/A 25717-2024 karta.png", "A 25717-2024")</f>
        <v/>
      </c>
      <c r="U174">
        <f>HYPERLINK("https://klasma.github.io/Logging_2305/knärot/A 25717-2024 karta knärot.png", "A 25717-2024")</f>
        <v/>
      </c>
      <c r="V174">
        <f>HYPERLINK("https://klasma.github.io/Logging_2305/klagomål/A 25717-2024 FSC-klagomål.docx", "A 25717-2024")</f>
        <v/>
      </c>
      <c r="W174">
        <f>HYPERLINK("https://klasma.github.io/Logging_2305/klagomålsmail/A 25717-2024 FSC-klagomål mail.docx", "A 25717-2024")</f>
        <v/>
      </c>
      <c r="X174">
        <f>HYPERLINK("https://klasma.github.io/Logging_2305/tillsyn/A 25717-2024 tillsynsbegäran.docx", "A 25717-2024")</f>
        <v/>
      </c>
      <c r="Y174">
        <f>HYPERLINK("https://klasma.github.io/Logging_2305/tillsynsmail/A 25717-2024 tillsynsbegäran mail.docx", "A 25717-2024")</f>
        <v/>
      </c>
    </row>
    <row r="175" ht="15" customHeight="1">
      <c r="A175" t="inlineStr">
        <is>
          <t>A 29455-2024</t>
        </is>
      </c>
      <c r="B175" s="1" t="n">
        <v>45484</v>
      </c>
      <c r="C175" s="1" t="n">
        <v>45754</v>
      </c>
      <c r="D175" t="inlineStr">
        <is>
          <t>JÄMTLANDS LÄN</t>
        </is>
      </c>
      <c r="E175" t="inlineStr">
        <is>
          <t>BRÄCKE</t>
        </is>
      </c>
      <c r="F175" t="inlineStr">
        <is>
          <t>SCA</t>
        </is>
      </c>
      <c r="G175" t="n">
        <v>6</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29455-2024 artfynd.xlsx", "A 29455-2024")</f>
        <v/>
      </c>
      <c r="T175">
        <f>HYPERLINK("https://klasma.github.io/Logging_2305/kartor/A 29455-2024 karta.png", "A 29455-2024")</f>
        <v/>
      </c>
      <c r="V175">
        <f>HYPERLINK("https://klasma.github.io/Logging_2305/klagomål/A 29455-2024 FSC-klagomål.docx", "A 29455-2024")</f>
        <v/>
      </c>
      <c r="W175">
        <f>HYPERLINK("https://klasma.github.io/Logging_2305/klagomålsmail/A 29455-2024 FSC-klagomål mail.docx", "A 29455-2024")</f>
        <v/>
      </c>
      <c r="X175">
        <f>HYPERLINK("https://klasma.github.io/Logging_2305/tillsyn/A 29455-2024 tillsynsbegäran.docx", "A 29455-2024")</f>
        <v/>
      </c>
      <c r="Y175">
        <f>HYPERLINK("https://klasma.github.io/Logging_2305/tillsynsmail/A 29455-2024 tillsynsbegäran mail.docx", "A 29455-2024")</f>
        <v/>
      </c>
    </row>
    <row r="176" ht="15" customHeight="1">
      <c r="A176" t="inlineStr">
        <is>
          <t>A 29690-2024</t>
        </is>
      </c>
      <c r="B176" s="1" t="n">
        <v>45485</v>
      </c>
      <c r="C176" s="1" t="n">
        <v>45754</v>
      </c>
      <c r="D176" t="inlineStr">
        <is>
          <t>JÄMTLANDS LÄN</t>
        </is>
      </c>
      <c r="E176" t="inlineStr">
        <is>
          <t>BRÄCKE</t>
        </is>
      </c>
      <c r="F176" t="inlineStr">
        <is>
          <t>SCA</t>
        </is>
      </c>
      <c r="G176" t="n">
        <v>12.7</v>
      </c>
      <c r="H176" t="n">
        <v>0</v>
      </c>
      <c r="I176" t="n">
        <v>1</v>
      </c>
      <c r="J176" t="n">
        <v>2</v>
      </c>
      <c r="K176" t="n">
        <v>0</v>
      </c>
      <c r="L176" t="n">
        <v>0</v>
      </c>
      <c r="M176" t="n">
        <v>0</v>
      </c>
      <c r="N176" t="n">
        <v>0</v>
      </c>
      <c r="O176" t="n">
        <v>2</v>
      </c>
      <c r="P176" t="n">
        <v>0</v>
      </c>
      <c r="Q176" t="n">
        <v>3</v>
      </c>
      <c r="R176" s="2" t="inlineStr">
        <is>
          <t>Garnlav
Granticka
Vedticka</t>
        </is>
      </c>
      <c r="S176">
        <f>HYPERLINK("https://klasma.github.io/Logging_2305/artfynd/A 29690-2024 artfynd.xlsx", "A 29690-2024")</f>
        <v/>
      </c>
      <c r="T176">
        <f>HYPERLINK("https://klasma.github.io/Logging_2305/kartor/A 29690-2024 karta.png", "A 29690-2024")</f>
        <v/>
      </c>
      <c r="V176">
        <f>HYPERLINK("https://klasma.github.io/Logging_2305/klagomål/A 29690-2024 FSC-klagomål.docx", "A 29690-2024")</f>
        <v/>
      </c>
      <c r="W176">
        <f>HYPERLINK("https://klasma.github.io/Logging_2305/klagomålsmail/A 29690-2024 FSC-klagomål mail.docx", "A 29690-2024")</f>
        <v/>
      </c>
      <c r="X176">
        <f>HYPERLINK("https://klasma.github.io/Logging_2305/tillsyn/A 29690-2024 tillsynsbegäran.docx", "A 29690-2024")</f>
        <v/>
      </c>
      <c r="Y176">
        <f>HYPERLINK("https://klasma.github.io/Logging_2305/tillsynsmail/A 29690-2024 tillsynsbegäran mail.docx", "A 29690-2024")</f>
        <v/>
      </c>
    </row>
    <row r="177" ht="15" customHeight="1">
      <c r="A177" t="inlineStr">
        <is>
          <t>A 29689-2024</t>
        </is>
      </c>
      <c r="B177" s="1" t="n">
        <v>45485</v>
      </c>
      <c r="C177" s="1" t="n">
        <v>45754</v>
      </c>
      <c r="D177" t="inlineStr">
        <is>
          <t>JÄMTLANDS LÄN</t>
        </is>
      </c>
      <c r="E177" t="inlineStr">
        <is>
          <t>BRÄCKE</t>
        </is>
      </c>
      <c r="F177" t="inlineStr">
        <is>
          <t>SCA</t>
        </is>
      </c>
      <c r="G177" t="n">
        <v>6.3</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29689-2024 artfynd.xlsx", "A 29689-2024")</f>
        <v/>
      </c>
      <c r="T177">
        <f>HYPERLINK("https://klasma.github.io/Logging_2305/kartor/A 29689-2024 karta.png", "A 29689-2024")</f>
        <v/>
      </c>
      <c r="V177">
        <f>HYPERLINK("https://klasma.github.io/Logging_2305/klagomål/A 29689-2024 FSC-klagomål.docx", "A 29689-2024")</f>
        <v/>
      </c>
      <c r="W177">
        <f>HYPERLINK("https://klasma.github.io/Logging_2305/klagomålsmail/A 29689-2024 FSC-klagomål mail.docx", "A 29689-2024")</f>
        <v/>
      </c>
      <c r="X177">
        <f>HYPERLINK("https://klasma.github.io/Logging_2305/tillsyn/A 29689-2024 tillsynsbegäran.docx", "A 29689-2024")</f>
        <v/>
      </c>
      <c r="Y177">
        <f>HYPERLINK("https://klasma.github.io/Logging_2305/tillsynsmail/A 29689-2024 tillsynsbegäran mail.docx", "A 29689-2024")</f>
        <v/>
      </c>
    </row>
    <row r="178" ht="15" customHeight="1">
      <c r="A178" t="inlineStr">
        <is>
          <t>A 30989-2024</t>
        </is>
      </c>
      <c r="B178" s="1" t="n">
        <v>45499</v>
      </c>
      <c r="C178" s="1" t="n">
        <v>45754</v>
      </c>
      <c r="D178" t="inlineStr">
        <is>
          <t>JÄMTLANDS LÄN</t>
        </is>
      </c>
      <c r="E178" t="inlineStr">
        <is>
          <t>BRÄCKE</t>
        </is>
      </c>
      <c r="F178" t="inlineStr">
        <is>
          <t>Sveaskog</t>
        </is>
      </c>
      <c r="G178" t="n">
        <v>2.5</v>
      </c>
      <c r="H178" t="n">
        <v>1</v>
      </c>
      <c r="I178" t="n">
        <v>1</v>
      </c>
      <c r="J178" t="n">
        <v>2</v>
      </c>
      <c r="K178" t="n">
        <v>0</v>
      </c>
      <c r="L178" t="n">
        <v>0</v>
      </c>
      <c r="M178" t="n">
        <v>0</v>
      </c>
      <c r="N178" t="n">
        <v>0</v>
      </c>
      <c r="O178" t="n">
        <v>2</v>
      </c>
      <c r="P178" t="n">
        <v>0</v>
      </c>
      <c r="Q178" t="n">
        <v>3</v>
      </c>
      <c r="R178" s="2" t="inlineStr">
        <is>
          <t>Lunglav
Skrovellav
Tvåblad</t>
        </is>
      </c>
      <c r="S178">
        <f>HYPERLINK("https://klasma.github.io/Logging_2305/artfynd/A 30989-2024 artfynd.xlsx", "A 30989-2024")</f>
        <v/>
      </c>
      <c r="T178">
        <f>HYPERLINK("https://klasma.github.io/Logging_2305/kartor/A 30989-2024 karta.png", "A 30989-2024")</f>
        <v/>
      </c>
      <c r="V178">
        <f>HYPERLINK("https://klasma.github.io/Logging_2305/klagomål/A 30989-2024 FSC-klagomål.docx", "A 30989-2024")</f>
        <v/>
      </c>
      <c r="W178">
        <f>HYPERLINK("https://klasma.github.io/Logging_2305/klagomålsmail/A 30989-2024 FSC-klagomål mail.docx", "A 30989-2024")</f>
        <v/>
      </c>
      <c r="X178">
        <f>HYPERLINK("https://klasma.github.io/Logging_2305/tillsyn/A 30989-2024 tillsynsbegäran.docx", "A 30989-2024")</f>
        <v/>
      </c>
      <c r="Y178">
        <f>HYPERLINK("https://klasma.github.io/Logging_2305/tillsynsmail/A 30989-2024 tillsynsbegäran mail.docx", "A 30989-2024")</f>
        <v/>
      </c>
    </row>
    <row r="179" ht="15" customHeight="1">
      <c r="A179" t="inlineStr">
        <is>
          <t>A 33938-2024</t>
        </is>
      </c>
      <c r="B179" s="1" t="n">
        <v>45523</v>
      </c>
      <c r="C179" s="1" t="n">
        <v>45754</v>
      </c>
      <c r="D179" t="inlineStr">
        <is>
          <t>JÄMTLANDS LÄN</t>
        </is>
      </c>
      <c r="E179" t="inlineStr">
        <is>
          <t>BRÄCKE</t>
        </is>
      </c>
      <c r="F179" t="inlineStr">
        <is>
          <t>Kommuner</t>
        </is>
      </c>
      <c r="G179" t="n">
        <v>11</v>
      </c>
      <c r="H179" t="n">
        <v>0</v>
      </c>
      <c r="I179" t="n">
        <v>3</v>
      </c>
      <c r="J179" t="n">
        <v>0</v>
      </c>
      <c r="K179" t="n">
        <v>0</v>
      </c>
      <c r="L179" t="n">
        <v>0</v>
      </c>
      <c r="M179" t="n">
        <v>0</v>
      </c>
      <c r="N179" t="n">
        <v>0</v>
      </c>
      <c r="O179" t="n">
        <v>0</v>
      </c>
      <c r="P179" t="n">
        <v>0</v>
      </c>
      <c r="Q179" t="n">
        <v>3</v>
      </c>
      <c r="R179" s="2" t="inlineStr">
        <is>
          <t>Dropptaggsvamp
Skarp dropptaggsvamp
Zontaggsvamp</t>
        </is>
      </c>
      <c r="S179">
        <f>HYPERLINK("https://klasma.github.io/Logging_2305/artfynd/A 33938-2024 artfynd.xlsx", "A 33938-2024")</f>
        <v/>
      </c>
      <c r="T179">
        <f>HYPERLINK("https://klasma.github.io/Logging_2305/kartor/A 33938-2024 karta.png", "A 33938-2024")</f>
        <v/>
      </c>
      <c r="V179">
        <f>HYPERLINK("https://klasma.github.io/Logging_2305/klagomål/A 33938-2024 FSC-klagomål.docx", "A 33938-2024")</f>
        <v/>
      </c>
      <c r="W179">
        <f>HYPERLINK("https://klasma.github.io/Logging_2305/klagomålsmail/A 33938-2024 FSC-klagomål mail.docx", "A 33938-2024")</f>
        <v/>
      </c>
      <c r="X179">
        <f>HYPERLINK("https://klasma.github.io/Logging_2305/tillsyn/A 33938-2024 tillsynsbegäran.docx", "A 33938-2024")</f>
        <v/>
      </c>
      <c r="Y179">
        <f>HYPERLINK("https://klasma.github.io/Logging_2305/tillsynsmail/A 33938-2024 tillsynsbegäran mail.docx", "A 33938-2024")</f>
        <v/>
      </c>
    </row>
    <row r="180" ht="15" customHeight="1">
      <c r="A180" t="inlineStr">
        <is>
          <t>A 45991-2024</t>
        </is>
      </c>
      <c r="B180" s="1" t="n">
        <v>45580</v>
      </c>
      <c r="C180" s="1" t="n">
        <v>45754</v>
      </c>
      <c r="D180" t="inlineStr">
        <is>
          <t>JÄMTLANDS LÄN</t>
        </is>
      </c>
      <c r="E180" t="inlineStr">
        <is>
          <t>BRÄCKE</t>
        </is>
      </c>
      <c r="F180" t="inlineStr">
        <is>
          <t>SCA</t>
        </is>
      </c>
      <c r="G180" t="n">
        <v>8.6</v>
      </c>
      <c r="H180" t="n">
        <v>0</v>
      </c>
      <c r="I180" t="n">
        <v>0</v>
      </c>
      <c r="J180" t="n">
        <v>3</v>
      </c>
      <c r="K180" t="n">
        <v>0</v>
      </c>
      <c r="L180" t="n">
        <v>0</v>
      </c>
      <c r="M180" t="n">
        <v>0</v>
      </c>
      <c r="N180" t="n">
        <v>0</v>
      </c>
      <c r="O180" t="n">
        <v>3</v>
      </c>
      <c r="P180" t="n">
        <v>0</v>
      </c>
      <c r="Q180" t="n">
        <v>3</v>
      </c>
      <c r="R180" s="2" t="inlineStr">
        <is>
          <t>Garnlav
Lunglav
Vitgrynig nållav</t>
        </is>
      </c>
      <c r="S180">
        <f>HYPERLINK("https://klasma.github.io/Logging_2305/artfynd/A 45991-2024 artfynd.xlsx", "A 45991-2024")</f>
        <v/>
      </c>
      <c r="T180">
        <f>HYPERLINK("https://klasma.github.io/Logging_2305/kartor/A 45991-2024 karta.png", "A 45991-2024")</f>
        <v/>
      </c>
      <c r="V180">
        <f>HYPERLINK("https://klasma.github.io/Logging_2305/klagomål/A 45991-2024 FSC-klagomål.docx", "A 45991-2024")</f>
        <v/>
      </c>
      <c r="W180">
        <f>HYPERLINK("https://klasma.github.io/Logging_2305/klagomålsmail/A 45991-2024 FSC-klagomål mail.docx", "A 45991-2024")</f>
        <v/>
      </c>
      <c r="X180">
        <f>HYPERLINK("https://klasma.github.io/Logging_2305/tillsyn/A 45991-2024 tillsynsbegäran.docx", "A 45991-2024")</f>
        <v/>
      </c>
      <c r="Y180">
        <f>HYPERLINK("https://klasma.github.io/Logging_2305/tillsynsmail/A 45991-2024 tillsynsbegäran mail.docx", "A 45991-2024")</f>
        <v/>
      </c>
    </row>
    <row r="181" ht="15" customHeight="1">
      <c r="A181" t="inlineStr">
        <is>
          <t>A 49371-2024</t>
        </is>
      </c>
      <c r="B181" s="1" t="n">
        <v>45595</v>
      </c>
      <c r="C181" s="1" t="n">
        <v>45754</v>
      </c>
      <c r="D181" t="inlineStr">
        <is>
          <t>JÄMTLANDS LÄN</t>
        </is>
      </c>
      <c r="E181" t="inlineStr">
        <is>
          <t>BRÄCKE</t>
        </is>
      </c>
      <c r="F181" t="inlineStr">
        <is>
          <t>SCA</t>
        </is>
      </c>
      <c r="G181" t="n">
        <v>8.1</v>
      </c>
      <c r="H181" t="n">
        <v>0</v>
      </c>
      <c r="I181" t="n">
        <v>0</v>
      </c>
      <c r="J181" t="n">
        <v>3</v>
      </c>
      <c r="K181" t="n">
        <v>0</v>
      </c>
      <c r="L181" t="n">
        <v>0</v>
      </c>
      <c r="M181" t="n">
        <v>0</v>
      </c>
      <c r="N181" t="n">
        <v>0</v>
      </c>
      <c r="O181" t="n">
        <v>3</v>
      </c>
      <c r="P181" t="n">
        <v>0</v>
      </c>
      <c r="Q181" t="n">
        <v>3</v>
      </c>
      <c r="R181" s="2" t="inlineStr">
        <is>
          <t>Gränsticka
Lunglav
Ullticka</t>
        </is>
      </c>
      <c r="S181">
        <f>HYPERLINK("https://klasma.github.io/Logging_2305/artfynd/A 49371-2024 artfynd.xlsx", "A 49371-2024")</f>
        <v/>
      </c>
      <c r="T181">
        <f>HYPERLINK("https://klasma.github.io/Logging_2305/kartor/A 49371-2024 karta.png", "A 49371-2024")</f>
        <v/>
      </c>
      <c r="V181">
        <f>HYPERLINK("https://klasma.github.io/Logging_2305/klagomål/A 49371-2024 FSC-klagomål.docx", "A 49371-2024")</f>
        <v/>
      </c>
      <c r="W181">
        <f>HYPERLINK("https://klasma.github.io/Logging_2305/klagomålsmail/A 49371-2024 FSC-klagomål mail.docx", "A 49371-2024")</f>
        <v/>
      </c>
      <c r="X181">
        <f>HYPERLINK("https://klasma.github.io/Logging_2305/tillsyn/A 49371-2024 tillsynsbegäran.docx", "A 49371-2024")</f>
        <v/>
      </c>
      <c r="Y181">
        <f>HYPERLINK("https://klasma.github.io/Logging_2305/tillsynsmail/A 49371-2024 tillsynsbegäran mail.docx", "A 49371-2024")</f>
        <v/>
      </c>
    </row>
    <row r="182" ht="15" customHeight="1">
      <c r="A182" t="inlineStr">
        <is>
          <t>A 49560-2024</t>
        </is>
      </c>
      <c r="B182" s="1" t="n">
        <v>45596</v>
      </c>
      <c r="C182" s="1" t="n">
        <v>45754</v>
      </c>
      <c r="D182" t="inlineStr">
        <is>
          <t>JÄMTLANDS LÄN</t>
        </is>
      </c>
      <c r="E182" t="inlineStr">
        <is>
          <t>BRÄCKE</t>
        </is>
      </c>
      <c r="G182" t="n">
        <v>4.6</v>
      </c>
      <c r="H182" t="n">
        <v>1</v>
      </c>
      <c r="I182" t="n">
        <v>0</v>
      </c>
      <c r="J182" t="n">
        <v>2</v>
      </c>
      <c r="K182" t="n">
        <v>1</v>
      </c>
      <c r="L182" t="n">
        <v>0</v>
      </c>
      <c r="M182" t="n">
        <v>0</v>
      </c>
      <c r="N182" t="n">
        <v>0</v>
      </c>
      <c r="O182" t="n">
        <v>3</v>
      </c>
      <c r="P182" t="n">
        <v>1</v>
      </c>
      <c r="Q182" t="n">
        <v>3</v>
      </c>
      <c r="R182" s="2" t="inlineStr">
        <is>
          <t>Knärot
Garnlav
Lunglav</t>
        </is>
      </c>
      <c r="S182">
        <f>HYPERLINK("https://klasma.github.io/Logging_2305/artfynd/A 49560-2024 artfynd.xlsx", "A 49560-2024")</f>
        <v/>
      </c>
      <c r="T182">
        <f>HYPERLINK("https://klasma.github.io/Logging_2305/kartor/A 49560-2024 karta.png", "A 49560-2024")</f>
        <v/>
      </c>
      <c r="U182">
        <f>HYPERLINK("https://klasma.github.io/Logging_2305/knärot/A 49560-2024 karta knärot.png", "A 49560-2024")</f>
        <v/>
      </c>
      <c r="V182">
        <f>HYPERLINK("https://klasma.github.io/Logging_2305/klagomål/A 49560-2024 FSC-klagomål.docx", "A 49560-2024")</f>
        <v/>
      </c>
      <c r="W182">
        <f>HYPERLINK("https://klasma.github.io/Logging_2305/klagomålsmail/A 49560-2024 FSC-klagomål mail.docx", "A 49560-2024")</f>
        <v/>
      </c>
      <c r="X182">
        <f>HYPERLINK("https://klasma.github.io/Logging_2305/tillsyn/A 49560-2024 tillsynsbegäran.docx", "A 49560-2024")</f>
        <v/>
      </c>
      <c r="Y182">
        <f>HYPERLINK("https://klasma.github.io/Logging_2305/tillsynsmail/A 49560-2024 tillsynsbegäran mail.docx", "A 49560-2024")</f>
        <v/>
      </c>
    </row>
    <row r="183" ht="15" customHeight="1">
      <c r="A183" t="inlineStr">
        <is>
          <t>A 50616-2024</t>
        </is>
      </c>
      <c r="B183" s="1" t="n">
        <v>45601</v>
      </c>
      <c r="C183" s="1" t="n">
        <v>45754</v>
      </c>
      <c r="D183" t="inlineStr">
        <is>
          <t>JÄMTLANDS LÄN</t>
        </is>
      </c>
      <c r="E183" t="inlineStr">
        <is>
          <t>BRÄCKE</t>
        </is>
      </c>
      <c r="F183" t="inlineStr">
        <is>
          <t>SCA</t>
        </is>
      </c>
      <c r="G183" t="n">
        <v>3.5</v>
      </c>
      <c r="H183" t="n">
        <v>0</v>
      </c>
      <c r="I183" t="n">
        <v>1</v>
      </c>
      <c r="J183" t="n">
        <v>2</v>
      </c>
      <c r="K183" t="n">
        <v>0</v>
      </c>
      <c r="L183" t="n">
        <v>0</v>
      </c>
      <c r="M183" t="n">
        <v>0</v>
      </c>
      <c r="N183" t="n">
        <v>0</v>
      </c>
      <c r="O183" t="n">
        <v>2</v>
      </c>
      <c r="P183" t="n">
        <v>0</v>
      </c>
      <c r="Q183" t="n">
        <v>3</v>
      </c>
      <c r="R183" s="2" t="inlineStr">
        <is>
          <t>Garnlav
Lunglav
Stuplav</t>
        </is>
      </c>
      <c r="S183">
        <f>HYPERLINK("https://klasma.github.io/Logging_2305/artfynd/A 50616-2024 artfynd.xlsx", "A 50616-2024")</f>
        <v/>
      </c>
      <c r="T183">
        <f>HYPERLINK("https://klasma.github.io/Logging_2305/kartor/A 50616-2024 karta.png", "A 50616-2024")</f>
        <v/>
      </c>
      <c r="V183">
        <f>HYPERLINK("https://klasma.github.io/Logging_2305/klagomål/A 50616-2024 FSC-klagomål.docx", "A 50616-2024")</f>
        <v/>
      </c>
      <c r="W183">
        <f>HYPERLINK("https://klasma.github.io/Logging_2305/klagomålsmail/A 50616-2024 FSC-klagomål mail.docx", "A 50616-2024")</f>
        <v/>
      </c>
      <c r="X183">
        <f>HYPERLINK("https://klasma.github.io/Logging_2305/tillsyn/A 50616-2024 tillsynsbegäran.docx", "A 50616-2024")</f>
        <v/>
      </c>
      <c r="Y183">
        <f>HYPERLINK("https://klasma.github.io/Logging_2305/tillsynsmail/A 50616-2024 tillsynsbegäran mail.docx", "A 50616-2024")</f>
        <v/>
      </c>
    </row>
    <row r="184" ht="15" customHeight="1">
      <c r="A184" t="inlineStr">
        <is>
          <t>A 54967-2024</t>
        </is>
      </c>
      <c r="B184" s="1" t="n">
        <v>45620</v>
      </c>
      <c r="C184" s="1" t="n">
        <v>45754</v>
      </c>
      <c r="D184" t="inlineStr">
        <is>
          <t>JÄMTLANDS LÄN</t>
        </is>
      </c>
      <c r="E184" t="inlineStr">
        <is>
          <t>BRÄCKE</t>
        </is>
      </c>
      <c r="G184" t="n">
        <v>3.8</v>
      </c>
      <c r="H184" t="n">
        <v>0</v>
      </c>
      <c r="I184" t="n">
        <v>0</v>
      </c>
      <c r="J184" t="n">
        <v>3</v>
      </c>
      <c r="K184" t="n">
        <v>0</v>
      </c>
      <c r="L184" t="n">
        <v>0</v>
      </c>
      <c r="M184" t="n">
        <v>0</v>
      </c>
      <c r="N184" t="n">
        <v>0</v>
      </c>
      <c r="O184" t="n">
        <v>3</v>
      </c>
      <c r="P184" t="n">
        <v>0</v>
      </c>
      <c r="Q184" t="n">
        <v>3</v>
      </c>
      <c r="R184" s="2" t="inlineStr">
        <is>
          <t>Garnlav
Lunglav
Ullticka</t>
        </is>
      </c>
      <c r="S184">
        <f>HYPERLINK("https://klasma.github.io/Logging_2305/artfynd/A 54967-2024 artfynd.xlsx", "A 54967-2024")</f>
        <v/>
      </c>
      <c r="T184">
        <f>HYPERLINK("https://klasma.github.io/Logging_2305/kartor/A 54967-2024 karta.png", "A 54967-2024")</f>
        <v/>
      </c>
      <c r="V184">
        <f>HYPERLINK("https://klasma.github.io/Logging_2305/klagomål/A 54967-2024 FSC-klagomål.docx", "A 54967-2024")</f>
        <v/>
      </c>
      <c r="W184">
        <f>HYPERLINK("https://klasma.github.io/Logging_2305/klagomålsmail/A 54967-2024 FSC-klagomål mail.docx", "A 54967-2024")</f>
        <v/>
      </c>
      <c r="X184">
        <f>HYPERLINK("https://klasma.github.io/Logging_2305/tillsyn/A 54967-2024 tillsynsbegäran.docx", "A 54967-2024")</f>
        <v/>
      </c>
      <c r="Y184">
        <f>HYPERLINK("https://klasma.github.io/Logging_2305/tillsynsmail/A 54967-2024 tillsynsbegäran mail.docx", "A 54967-2024")</f>
        <v/>
      </c>
    </row>
    <row r="185" ht="15" customHeight="1">
      <c r="A185" t="inlineStr">
        <is>
          <t>A 57105-2024</t>
        </is>
      </c>
      <c r="B185" s="1" t="n">
        <v>45629</v>
      </c>
      <c r="C185" s="1" t="n">
        <v>45754</v>
      </c>
      <c r="D185" t="inlineStr">
        <is>
          <t>JÄMTLANDS LÄN</t>
        </is>
      </c>
      <c r="E185" t="inlineStr">
        <is>
          <t>BRÄCKE</t>
        </is>
      </c>
      <c r="G185" t="n">
        <v>1.7</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57105-2024 artfynd.xlsx", "A 57105-2024")</f>
        <v/>
      </c>
      <c r="T185">
        <f>HYPERLINK("https://klasma.github.io/Logging_2305/kartor/A 57105-2024 karta.png", "A 57105-2024")</f>
        <v/>
      </c>
      <c r="V185">
        <f>HYPERLINK("https://klasma.github.io/Logging_2305/klagomål/A 57105-2024 FSC-klagomål.docx", "A 57105-2024")</f>
        <v/>
      </c>
      <c r="W185">
        <f>HYPERLINK("https://klasma.github.io/Logging_2305/klagomålsmail/A 57105-2024 FSC-klagomål mail.docx", "A 57105-2024")</f>
        <v/>
      </c>
      <c r="X185">
        <f>HYPERLINK("https://klasma.github.io/Logging_2305/tillsyn/A 57105-2024 tillsynsbegäran.docx", "A 57105-2024")</f>
        <v/>
      </c>
      <c r="Y185">
        <f>HYPERLINK("https://klasma.github.io/Logging_2305/tillsynsmail/A 57105-2024 tillsynsbegäran mail.docx", "A 57105-2024")</f>
        <v/>
      </c>
    </row>
    <row r="186" ht="15" customHeight="1">
      <c r="A186" t="inlineStr">
        <is>
          <t>A 60613-2024</t>
        </is>
      </c>
      <c r="B186" s="1" t="n">
        <v>45644</v>
      </c>
      <c r="C186" s="1" t="n">
        <v>45754</v>
      </c>
      <c r="D186" t="inlineStr">
        <is>
          <t>JÄMTLANDS LÄN</t>
        </is>
      </c>
      <c r="E186" t="inlineStr">
        <is>
          <t>BRÄCKE</t>
        </is>
      </c>
      <c r="F186" t="inlineStr">
        <is>
          <t>SCA</t>
        </is>
      </c>
      <c r="G186" t="n">
        <v>16.3</v>
      </c>
      <c r="H186" t="n">
        <v>0</v>
      </c>
      <c r="I186" t="n">
        <v>1</v>
      </c>
      <c r="J186" t="n">
        <v>2</v>
      </c>
      <c r="K186" t="n">
        <v>0</v>
      </c>
      <c r="L186" t="n">
        <v>0</v>
      </c>
      <c r="M186" t="n">
        <v>0</v>
      </c>
      <c r="N186" t="n">
        <v>0</v>
      </c>
      <c r="O186" t="n">
        <v>2</v>
      </c>
      <c r="P186" t="n">
        <v>0</v>
      </c>
      <c r="Q186" t="n">
        <v>3</v>
      </c>
      <c r="R186" s="2" t="inlineStr">
        <is>
          <t>Dvärgbägarlav
Mörk kolflarnlav
Stor aspticka</t>
        </is>
      </c>
      <c r="S186">
        <f>HYPERLINK("https://klasma.github.io/Logging_2305/artfynd/A 60613-2024 artfynd.xlsx", "A 60613-2024")</f>
        <v/>
      </c>
      <c r="T186">
        <f>HYPERLINK("https://klasma.github.io/Logging_2305/kartor/A 60613-2024 karta.png", "A 60613-2024")</f>
        <v/>
      </c>
      <c r="U186">
        <f>HYPERLINK("https://klasma.github.io/Logging_2305/knärot/A 60613-2024 karta knärot.png", "A 60613-2024")</f>
        <v/>
      </c>
      <c r="V186">
        <f>HYPERLINK("https://klasma.github.io/Logging_2305/klagomål/A 60613-2024 FSC-klagomål.docx", "A 60613-2024")</f>
        <v/>
      </c>
      <c r="W186">
        <f>HYPERLINK("https://klasma.github.io/Logging_2305/klagomålsmail/A 60613-2024 FSC-klagomål mail.docx", "A 60613-2024")</f>
        <v/>
      </c>
      <c r="X186">
        <f>HYPERLINK("https://klasma.github.io/Logging_2305/tillsyn/A 60613-2024 tillsynsbegäran.docx", "A 60613-2024")</f>
        <v/>
      </c>
      <c r="Y186">
        <f>HYPERLINK("https://klasma.github.io/Logging_2305/tillsynsmail/A 60613-2024 tillsynsbegäran mail.docx", "A 60613-2024")</f>
        <v/>
      </c>
    </row>
    <row r="187" ht="15" customHeight="1">
      <c r="A187" t="inlineStr">
        <is>
          <t>A 60610-2024</t>
        </is>
      </c>
      <c r="B187" s="1" t="n">
        <v>45644</v>
      </c>
      <c r="C187" s="1" t="n">
        <v>45754</v>
      </c>
      <c r="D187" t="inlineStr">
        <is>
          <t>JÄMTLANDS LÄN</t>
        </is>
      </c>
      <c r="E187" t="inlineStr">
        <is>
          <t>BRÄCKE</t>
        </is>
      </c>
      <c r="F187" t="inlineStr">
        <is>
          <t>SCA</t>
        </is>
      </c>
      <c r="G187" t="n">
        <v>1.1</v>
      </c>
      <c r="H187" t="n">
        <v>0</v>
      </c>
      <c r="I187" t="n">
        <v>0</v>
      </c>
      <c r="J187" t="n">
        <v>3</v>
      </c>
      <c r="K187" t="n">
        <v>0</v>
      </c>
      <c r="L187" t="n">
        <v>0</v>
      </c>
      <c r="M187" t="n">
        <v>0</v>
      </c>
      <c r="N187" t="n">
        <v>0</v>
      </c>
      <c r="O187" t="n">
        <v>3</v>
      </c>
      <c r="P187" t="n">
        <v>0</v>
      </c>
      <c r="Q187" t="n">
        <v>3</v>
      </c>
      <c r="R187" s="2" t="inlineStr">
        <is>
          <t>Garnlav
Lunglav
Skrovellav</t>
        </is>
      </c>
      <c r="S187">
        <f>HYPERLINK("https://klasma.github.io/Logging_2305/artfynd/A 60610-2024 artfynd.xlsx", "A 60610-2024")</f>
        <v/>
      </c>
      <c r="T187">
        <f>HYPERLINK("https://klasma.github.io/Logging_2305/kartor/A 60610-2024 karta.png", "A 60610-2024")</f>
        <v/>
      </c>
      <c r="V187">
        <f>HYPERLINK("https://klasma.github.io/Logging_2305/klagomål/A 60610-2024 FSC-klagomål.docx", "A 60610-2024")</f>
        <v/>
      </c>
      <c r="W187">
        <f>HYPERLINK("https://klasma.github.io/Logging_2305/klagomålsmail/A 60610-2024 FSC-klagomål mail.docx", "A 60610-2024")</f>
        <v/>
      </c>
      <c r="X187">
        <f>HYPERLINK("https://klasma.github.io/Logging_2305/tillsyn/A 60610-2024 tillsynsbegäran.docx", "A 60610-2024")</f>
        <v/>
      </c>
      <c r="Y187">
        <f>HYPERLINK("https://klasma.github.io/Logging_2305/tillsynsmail/A 60610-2024 tillsynsbegäran mail.docx", "A 60610-2024")</f>
        <v/>
      </c>
    </row>
    <row r="188" ht="15" customHeight="1">
      <c r="A188" t="inlineStr">
        <is>
          <t>A 2298-2025</t>
        </is>
      </c>
      <c r="B188" s="1" t="n">
        <v>45673</v>
      </c>
      <c r="C188" s="1" t="n">
        <v>45754</v>
      </c>
      <c r="D188" t="inlineStr">
        <is>
          <t>JÄMTLANDS LÄN</t>
        </is>
      </c>
      <c r="E188" t="inlineStr">
        <is>
          <t>BRÄCKE</t>
        </is>
      </c>
      <c r="F188" t="inlineStr">
        <is>
          <t>SCA</t>
        </is>
      </c>
      <c r="G188" t="n">
        <v>8.300000000000001</v>
      </c>
      <c r="H188" t="n">
        <v>0</v>
      </c>
      <c r="I188" t="n">
        <v>0</v>
      </c>
      <c r="J188" t="n">
        <v>2</v>
      </c>
      <c r="K188" t="n">
        <v>1</v>
      </c>
      <c r="L188" t="n">
        <v>0</v>
      </c>
      <c r="M188" t="n">
        <v>0</v>
      </c>
      <c r="N188" t="n">
        <v>0</v>
      </c>
      <c r="O188" t="n">
        <v>3</v>
      </c>
      <c r="P188" t="n">
        <v>1</v>
      </c>
      <c r="Q188" t="n">
        <v>3</v>
      </c>
      <c r="R188" s="2" t="inlineStr">
        <is>
          <t>Rynkskinn
Granticka
Vaddporing</t>
        </is>
      </c>
      <c r="S188">
        <f>HYPERLINK("https://klasma.github.io/Logging_2305/artfynd/A 2298-2025 artfynd.xlsx", "A 2298-2025")</f>
        <v/>
      </c>
      <c r="T188">
        <f>HYPERLINK("https://klasma.github.io/Logging_2305/kartor/A 2298-2025 karta.png", "A 2298-2025")</f>
        <v/>
      </c>
      <c r="V188">
        <f>HYPERLINK("https://klasma.github.io/Logging_2305/klagomål/A 2298-2025 FSC-klagomål.docx", "A 2298-2025")</f>
        <v/>
      </c>
      <c r="W188">
        <f>HYPERLINK("https://klasma.github.io/Logging_2305/klagomålsmail/A 2298-2025 FSC-klagomål mail.docx", "A 2298-2025")</f>
        <v/>
      </c>
      <c r="X188">
        <f>HYPERLINK("https://klasma.github.io/Logging_2305/tillsyn/A 2298-2025 tillsynsbegäran.docx", "A 2298-2025")</f>
        <v/>
      </c>
      <c r="Y188">
        <f>HYPERLINK("https://klasma.github.io/Logging_2305/tillsynsmail/A 2298-2025 tillsynsbegäran mail.docx", "A 2298-2025")</f>
        <v/>
      </c>
    </row>
    <row r="189" ht="15" customHeight="1">
      <c r="A189" t="inlineStr">
        <is>
          <t>A 2300-2025</t>
        </is>
      </c>
      <c r="B189" s="1" t="n">
        <v>45673</v>
      </c>
      <c r="C189" s="1" t="n">
        <v>45754</v>
      </c>
      <c r="D189" t="inlineStr">
        <is>
          <t>JÄMTLANDS LÄN</t>
        </is>
      </c>
      <c r="E189" t="inlineStr">
        <is>
          <t>BRÄCKE</t>
        </is>
      </c>
      <c r="F189" t="inlineStr">
        <is>
          <t>SCA</t>
        </is>
      </c>
      <c r="G189" t="n">
        <v>2.2</v>
      </c>
      <c r="H189" t="n">
        <v>0</v>
      </c>
      <c r="I189" t="n">
        <v>0</v>
      </c>
      <c r="J189" t="n">
        <v>3</v>
      </c>
      <c r="K189" t="n">
        <v>0</v>
      </c>
      <c r="L189" t="n">
        <v>0</v>
      </c>
      <c r="M189" t="n">
        <v>0</v>
      </c>
      <c r="N189" t="n">
        <v>0</v>
      </c>
      <c r="O189" t="n">
        <v>3</v>
      </c>
      <c r="P189" t="n">
        <v>0</v>
      </c>
      <c r="Q189" t="n">
        <v>3</v>
      </c>
      <c r="R189" s="2" t="inlineStr">
        <is>
          <t>Gammelgransskål
Vedtrappmossa
Vitgrynig nållav</t>
        </is>
      </c>
      <c r="S189">
        <f>HYPERLINK("https://klasma.github.io/Logging_2305/artfynd/A 2300-2025 artfynd.xlsx", "A 2300-2025")</f>
        <v/>
      </c>
      <c r="T189">
        <f>HYPERLINK("https://klasma.github.io/Logging_2305/kartor/A 2300-2025 karta.png", "A 2300-2025")</f>
        <v/>
      </c>
      <c r="V189">
        <f>HYPERLINK("https://klasma.github.io/Logging_2305/klagomål/A 2300-2025 FSC-klagomål.docx", "A 2300-2025")</f>
        <v/>
      </c>
      <c r="W189">
        <f>HYPERLINK("https://klasma.github.io/Logging_2305/klagomålsmail/A 2300-2025 FSC-klagomål mail.docx", "A 2300-2025")</f>
        <v/>
      </c>
      <c r="X189">
        <f>HYPERLINK("https://klasma.github.io/Logging_2305/tillsyn/A 2300-2025 tillsynsbegäran.docx", "A 2300-2025")</f>
        <v/>
      </c>
      <c r="Y189">
        <f>HYPERLINK("https://klasma.github.io/Logging_2305/tillsynsmail/A 2300-2025 tillsynsbegäran mail.docx", "A 2300-2025")</f>
        <v/>
      </c>
    </row>
    <row r="190" ht="15" customHeight="1">
      <c r="A190" t="inlineStr">
        <is>
          <t>A 5014-2025</t>
        </is>
      </c>
      <c r="B190" s="1" t="n">
        <v>45691</v>
      </c>
      <c r="C190" s="1" t="n">
        <v>45754</v>
      </c>
      <c r="D190" t="inlineStr">
        <is>
          <t>JÄMTLANDS LÄN</t>
        </is>
      </c>
      <c r="E190" t="inlineStr">
        <is>
          <t>BRÄCKE</t>
        </is>
      </c>
      <c r="F190" t="inlineStr">
        <is>
          <t>SCA</t>
        </is>
      </c>
      <c r="G190" t="n">
        <v>10.8</v>
      </c>
      <c r="H190" t="n">
        <v>0</v>
      </c>
      <c r="I190" t="n">
        <v>1</v>
      </c>
      <c r="J190" t="n">
        <v>2</v>
      </c>
      <c r="K190" t="n">
        <v>0</v>
      </c>
      <c r="L190" t="n">
        <v>0</v>
      </c>
      <c r="M190" t="n">
        <v>0</v>
      </c>
      <c r="N190" t="n">
        <v>0</v>
      </c>
      <c r="O190" t="n">
        <v>2</v>
      </c>
      <c r="P190" t="n">
        <v>0</v>
      </c>
      <c r="Q190" t="n">
        <v>3</v>
      </c>
      <c r="R190" s="2" t="inlineStr">
        <is>
          <t>Mörk kolflarnlav
Nordtagging
Dropptaggsvamp</t>
        </is>
      </c>
      <c r="S190">
        <f>HYPERLINK("https://klasma.github.io/Logging_2305/artfynd/A 5014-2025 artfynd.xlsx", "A 5014-2025")</f>
        <v/>
      </c>
      <c r="T190">
        <f>HYPERLINK("https://klasma.github.io/Logging_2305/kartor/A 5014-2025 karta.png", "A 5014-2025")</f>
        <v/>
      </c>
      <c r="V190">
        <f>HYPERLINK("https://klasma.github.io/Logging_2305/klagomål/A 5014-2025 FSC-klagomål.docx", "A 5014-2025")</f>
        <v/>
      </c>
      <c r="W190">
        <f>HYPERLINK("https://klasma.github.io/Logging_2305/klagomålsmail/A 5014-2025 FSC-klagomål mail.docx", "A 5014-2025")</f>
        <v/>
      </c>
      <c r="X190">
        <f>HYPERLINK("https://klasma.github.io/Logging_2305/tillsyn/A 5014-2025 tillsynsbegäran.docx", "A 5014-2025")</f>
        <v/>
      </c>
      <c r="Y190">
        <f>HYPERLINK("https://klasma.github.io/Logging_2305/tillsynsmail/A 5014-2025 tillsynsbegäran mail.docx", "A 5014-2025")</f>
        <v/>
      </c>
    </row>
    <row r="191" ht="15" customHeight="1">
      <c r="A191" t="inlineStr">
        <is>
          <t>A 5972-2025</t>
        </is>
      </c>
      <c r="B191" s="1" t="n">
        <v>45695</v>
      </c>
      <c r="C191" s="1" t="n">
        <v>45754</v>
      </c>
      <c r="D191" t="inlineStr">
        <is>
          <t>JÄMTLANDS LÄN</t>
        </is>
      </c>
      <c r="E191" t="inlineStr">
        <is>
          <t>BRÄCKE</t>
        </is>
      </c>
      <c r="F191" t="inlineStr">
        <is>
          <t>SCA</t>
        </is>
      </c>
      <c r="G191" t="n">
        <v>12.5</v>
      </c>
      <c r="H191" t="n">
        <v>1</v>
      </c>
      <c r="I191" t="n">
        <v>1</v>
      </c>
      <c r="J191" t="n">
        <v>2</v>
      </c>
      <c r="K191" t="n">
        <v>0</v>
      </c>
      <c r="L191" t="n">
        <v>0</v>
      </c>
      <c r="M191" t="n">
        <v>0</v>
      </c>
      <c r="N191" t="n">
        <v>0</v>
      </c>
      <c r="O191" t="n">
        <v>2</v>
      </c>
      <c r="P191" t="n">
        <v>0</v>
      </c>
      <c r="Q191" t="n">
        <v>3</v>
      </c>
      <c r="R191" s="2" t="inlineStr">
        <is>
          <t>Grönsångare
Motaggsvamp
Stor aspticka</t>
        </is>
      </c>
      <c r="S191">
        <f>HYPERLINK("https://klasma.github.io/Logging_2305/artfynd/A 5972-2025 artfynd.xlsx", "A 5972-2025")</f>
        <v/>
      </c>
      <c r="T191">
        <f>HYPERLINK("https://klasma.github.io/Logging_2305/kartor/A 5972-2025 karta.png", "A 5972-2025")</f>
        <v/>
      </c>
      <c r="V191">
        <f>HYPERLINK("https://klasma.github.io/Logging_2305/klagomål/A 5972-2025 FSC-klagomål.docx", "A 5972-2025")</f>
        <v/>
      </c>
      <c r="W191">
        <f>HYPERLINK("https://klasma.github.io/Logging_2305/klagomålsmail/A 5972-2025 FSC-klagomål mail.docx", "A 5972-2025")</f>
        <v/>
      </c>
      <c r="X191">
        <f>HYPERLINK("https://klasma.github.io/Logging_2305/tillsyn/A 5972-2025 tillsynsbegäran.docx", "A 5972-2025")</f>
        <v/>
      </c>
      <c r="Y191">
        <f>HYPERLINK("https://klasma.github.io/Logging_2305/tillsynsmail/A 5972-2025 tillsynsbegäran mail.docx", "A 5972-2025")</f>
        <v/>
      </c>
      <c r="Z191">
        <f>HYPERLINK("https://klasma.github.io/Logging_2305/fåglar/A 5972-2025 prioriterade fågelarter.docx", "A 5972-2025")</f>
        <v/>
      </c>
    </row>
    <row r="192" ht="15" customHeight="1">
      <c r="A192" t="inlineStr">
        <is>
          <t>A 28341-2019</t>
        </is>
      </c>
      <c r="B192" s="1" t="n">
        <v>43623</v>
      </c>
      <c r="C192" s="1" t="n">
        <v>45754</v>
      </c>
      <c r="D192" t="inlineStr">
        <is>
          <t>JÄMTLANDS LÄN</t>
        </is>
      </c>
      <c r="E192" t="inlineStr">
        <is>
          <t>BRÄCKE</t>
        </is>
      </c>
      <c r="F192" t="inlineStr">
        <is>
          <t>SCA</t>
        </is>
      </c>
      <c r="G192" t="n">
        <v>5.4</v>
      </c>
      <c r="H192" t="n">
        <v>0</v>
      </c>
      <c r="I192" t="n">
        <v>1</v>
      </c>
      <c r="J192" t="n">
        <v>0</v>
      </c>
      <c r="K192" t="n">
        <v>1</v>
      </c>
      <c r="L192" t="n">
        <v>0</v>
      </c>
      <c r="M192" t="n">
        <v>0</v>
      </c>
      <c r="N192" t="n">
        <v>0</v>
      </c>
      <c r="O192" t="n">
        <v>1</v>
      </c>
      <c r="P192" t="n">
        <v>1</v>
      </c>
      <c r="Q192" t="n">
        <v>2</v>
      </c>
      <c r="R192" s="2" t="inlineStr">
        <is>
          <t>Liten hornflikmossa
Stor aspticka</t>
        </is>
      </c>
      <c r="S192">
        <f>HYPERLINK("https://klasma.github.io/Logging_2305/artfynd/A 28341-2019 artfynd.xlsx", "A 28341-2019")</f>
        <v/>
      </c>
      <c r="T192">
        <f>HYPERLINK("https://klasma.github.io/Logging_2305/kartor/A 28341-2019 karta.png", "A 28341-2019")</f>
        <v/>
      </c>
      <c r="V192">
        <f>HYPERLINK("https://klasma.github.io/Logging_2305/klagomål/A 28341-2019 FSC-klagomål.docx", "A 28341-2019")</f>
        <v/>
      </c>
      <c r="W192">
        <f>HYPERLINK("https://klasma.github.io/Logging_2305/klagomålsmail/A 28341-2019 FSC-klagomål mail.docx", "A 28341-2019")</f>
        <v/>
      </c>
      <c r="X192">
        <f>HYPERLINK("https://klasma.github.io/Logging_2305/tillsyn/A 28341-2019 tillsynsbegäran.docx", "A 28341-2019")</f>
        <v/>
      </c>
      <c r="Y192">
        <f>HYPERLINK("https://klasma.github.io/Logging_2305/tillsynsmail/A 28341-2019 tillsynsbegäran mail.docx", "A 28341-2019")</f>
        <v/>
      </c>
    </row>
    <row r="193" ht="15" customHeight="1">
      <c r="A193" t="inlineStr">
        <is>
          <t>A 48992-2019</t>
        </is>
      </c>
      <c r="B193" s="1" t="n">
        <v>43729</v>
      </c>
      <c r="C193" s="1" t="n">
        <v>45754</v>
      </c>
      <c r="D193" t="inlineStr">
        <is>
          <t>JÄMTLANDS LÄN</t>
        </is>
      </c>
      <c r="E193" t="inlineStr">
        <is>
          <t>BRÄCKE</t>
        </is>
      </c>
      <c r="F193" t="inlineStr">
        <is>
          <t>SCA</t>
        </is>
      </c>
      <c r="G193" t="n">
        <v>7.2</v>
      </c>
      <c r="H193" t="n">
        <v>0</v>
      </c>
      <c r="I193" t="n">
        <v>1</v>
      </c>
      <c r="J193" t="n">
        <v>0</v>
      </c>
      <c r="K193" t="n">
        <v>0</v>
      </c>
      <c r="L193" t="n">
        <v>1</v>
      </c>
      <c r="M193" t="n">
        <v>0</v>
      </c>
      <c r="N193" t="n">
        <v>0</v>
      </c>
      <c r="O193" t="n">
        <v>1</v>
      </c>
      <c r="P193" t="n">
        <v>1</v>
      </c>
      <c r="Q193" t="n">
        <v>2</v>
      </c>
      <c r="R193" s="2" t="inlineStr">
        <is>
          <t>Trolldruvemätare
Svart trolldruva</t>
        </is>
      </c>
      <c r="S193">
        <f>HYPERLINK("https://klasma.github.io/Logging_2305/artfynd/A 48992-2019 artfynd.xlsx", "A 48992-2019")</f>
        <v/>
      </c>
      <c r="T193">
        <f>HYPERLINK("https://klasma.github.io/Logging_2305/kartor/A 48992-2019 karta.png", "A 48992-2019")</f>
        <v/>
      </c>
      <c r="V193">
        <f>HYPERLINK("https://klasma.github.io/Logging_2305/klagomål/A 48992-2019 FSC-klagomål.docx", "A 48992-2019")</f>
        <v/>
      </c>
      <c r="W193">
        <f>HYPERLINK("https://klasma.github.io/Logging_2305/klagomålsmail/A 48992-2019 FSC-klagomål mail.docx", "A 48992-2019")</f>
        <v/>
      </c>
      <c r="X193">
        <f>HYPERLINK("https://klasma.github.io/Logging_2305/tillsyn/A 48992-2019 tillsynsbegäran.docx", "A 48992-2019")</f>
        <v/>
      </c>
      <c r="Y193">
        <f>HYPERLINK("https://klasma.github.io/Logging_2305/tillsynsmail/A 48992-2019 tillsynsbegäran mail.docx", "A 48992-2019")</f>
        <v/>
      </c>
    </row>
    <row r="194" ht="15" customHeight="1">
      <c r="A194" t="inlineStr">
        <is>
          <t>A 59325-2019</t>
        </is>
      </c>
      <c r="B194" s="1" t="n">
        <v>43775</v>
      </c>
      <c r="C194" s="1" t="n">
        <v>45754</v>
      </c>
      <c r="D194" t="inlineStr">
        <is>
          <t>JÄMTLANDS LÄN</t>
        </is>
      </c>
      <c r="E194" t="inlineStr">
        <is>
          <t>BRÄCKE</t>
        </is>
      </c>
      <c r="G194" t="n">
        <v>2.3</v>
      </c>
      <c r="H194" t="n">
        <v>0</v>
      </c>
      <c r="I194" t="n">
        <v>0</v>
      </c>
      <c r="J194" t="n">
        <v>2</v>
      </c>
      <c r="K194" t="n">
        <v>0</v>
      </c>
      <c r="L194" t="n">
        <v>0</v>
      </c>
      <c r="M194" t="n">
        <v>0</v>
      </c>
      <c r="N194" t="n">
        <v>0</v>
      </c>
      <c r="O194" t="n">
        <v>2</v>
      </c>
      <c r="P194" t="n">
        <v>0</v>
      </c>
      <c r="Q194" t="n">
        <v>2</v>
      </c>
      <c r="R194" s="2" t="inlineStr">
        <is>
          <t>Dvärgbägarlav
Vedskivlav</t>
        </is>
      </c>
      <c r="S194">
        <f>HYPERLINK("https://klasma.github.io/Logging_2305/artfynd/A 59325-2019 artfynd.xlsx", "A 59325-2019")</f>
        <v/>
      </c>
      <c r="T194">
        <f>HYPERLINK("https://klasma.github.io/Logging_2305/kartor/A 59325-2019 karta.png", "A 59325-2019")</f>
        <v/>
      </c>
      <c r="V194">
        <f>HYPERLINK("https://klasma.github.io/Logging_2305/klagomål/A 59325-2019 FSC-klagomål.docx", "A 59325-2019")</f>
        <v/>
      </c>
      <c r="W194">
        <f>HYPERLINK("https://klasma.github.io/Logging_2305/klagomålsmail/A 59325-2019 FSC-klagomål mail.docx", "A 59325-2019")</f>
        <v/>
      </c>
      <c r="X194">
        <f>HYPERLINK("https://klasma.github.io/Logging_2305/tillsyn/A 59325-2019 tillsynsbegäran.docx", "A 59325-2019")</f>
        <v/>
      </c>
      <c r="Y194">
        <f>HYPERLINK("https://klasma.github.io/Logging_2305/tillsynsmail/A 59325-2019 tillsynsbegäran mail.docx", "A 59325-2019")</f>
        <v/>
      </c>
    </row>
    <row r="195" ht="15" customHeight="1">
      <c r="A195" t="inlineStr">
        <is>
          <t>A 64471-2019</t>
        </is>
      </c>
      <c r="B195" s="1" t="n">
        <v>43797</v>
      </c>
      <c r="C195" s="1" t="n">
        <v>45754</v>
      </c>
      <c r="D195" t="inlineStr">
        <is>
          <t>JÄMTLANDS LÄN</t>
        </is>
      </c>
      <c r="E195" t="inlineStr">
        <is>
          <t>BRÄCKE</t>
        </is>
      </c>
      <c r="F195" t="inlineStr">
        <is>
          <t>SCA</t>
        </is>
      </c>
      <c r="G195" t="n">
        <v>6.4</v>
      </c>
      <c r="H195" t="n">
        <v>1</v>
      </c>
      <c r="I195" t="n">
        <v>1</v>
      </c>
      <c r="J195" t="n">
        <v>1</v>
      </c>
      <c r="K195" t="n">
        <v>0</v>
      </c>
      <c r="L195" t="n">
        <v>0</v>
      </c>
      <c r="M195" t="n">
        <v>0</v>
      </c>
      <c r="N195" t="n">
        <v>0</v>
      </c>
      <c r="O195" t="n">
        <v>1</v>
      </c>
      <c r="P195" t="n">
        <v>0</v>
      </c>
      <c r="Q195" t="n">
        <v>2</v>
      </c>
      <c r="R195" s="2" t="inlineStr">
        <is>
          <t>Garnlav
Korallrot</t>
        </is>
      </c>
      <c r="S195">
        <f>HYPERLINK("https://klasma.github.io/Logging_2305/artfynd/A 64471-2019 artfynd.xlsx", "A 64471-2019")</f>
        <v/>
      </c>
      <c r="T195">
        <f>HYPERLINK("https://klasma.github.io/Logging_2305/kartor/A 64471-2019 karta.png", "A 64471-2019")</f>
        <v/>
      </c>
      <c r="V195">
        <f>HYPERLINK("https://klasma.github.io/Logging_2305/klagomål/A 64471-2019 FSC-klagomål.docx", "A 64471-2019")</f>
        <v/>
      </c>
      <c r="W195">
        <f>HYPERLINK("https://klasma.github.io/Logging_2305/klagomålsmail/A 64471-2019 FSC-klagomål mail.docx", "A 64471-2019")</f>
        <v/>
      </c>
      <c r="X195">
        <f>HYPERLINK("https://klasma.github.io/Logging_2305/tillsyn/A 64471-2019 tillsynsbegäran.docx", "A 64471-2019")</f>
        <v/>
      </c>
      <c r="Y195">
        <f>HYPERLINK("https://klasma.github.io/Logging_2305/tillsynsmail/A 64471-2019 tillsynsbegäran mail.docx", "A 64471-2019")</f>
        <v/>
      </c>
    </row>
    <row r="196" ht="15" customHeight="1">
      <c r="A196" t="inlineStr">
        <is>
          <t>A 33664-2020</t>
        </is>
      </c>
      <c r="B196" s="1" t="n">
        <v>44026</v>
      </c>
      <c r="C196" s="1" t="n">
        <v>45754</v>
      </c>
      <c r="D196" t="inlineStr">
        <is>
          <t>JÄMTLANDS LÄN</t>
        </is>
      </c>
      <c r="E196" t="inlineStr">
        <is>
          <t>BRÄCKE</t>
        </is>
      </c>
      <c r="G196" t="n">
        <v>6.3</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33664-2020 artfynd.xlsx", "A 33664-2020")</f>
        <v/>
      </c>
      <c r="T196">
        <f>HYPERLINK("https://klasma.github.io/Logging_2305/kartor/A 33664-2020 karta.png", "A 33664-2020")</f>
        <v/>
      </c>
      <c r="U196">
        <f>HYPERLINK("https://klasma.github.io/Logging_2305/knärot/A 33664-2020 karta knärot.png", "A 33664-2020")</f>
        <v/>
      </c>
      <c r="V196">
        <f>HYPERLINK("https://klasma.github.io/Logging_2305/klagomål/A 33664-2020 FSC-klagomål.docx", "A 33664-2020")</f>
        <v/>
      </c>
      <c r="W196">
        <f>HYPERLINK("https://klasma.github.io/Logging_2305/klagomålsmail/A 33664-2020 FSC-klagomål mail.docx", "A 33664-2020")</f>
        <v/>
      </c>
      <c r="X196">
        <f>HYPERLINK("https://klasma.github.io/Logging_2305/tillsyn/A 33664-2020 tillsynsbegäran.docx", "A 33664-2020")</f>
        <v/>
      </c>
      <c r="Y196">
        <f>HYPERLINK("https://klasma.github.io/Logging_2305/tillsynsmail/A 33664-2020 tillsynsbegäran mail.docx", "A 33664-2020")</f>
        <v/>
      </c>
    </row>
    <row r="197" ht="15" customHeight="1">
      <c r="A197" t="inlineStr">
        <is>
          <t>A 38458-2020</t>
        </is>
      </c>
      <c r="B197" s="1" t="n">
        <v>44060</v>
      </c>
      <c r="C197" s="1" t="n">
        <v>45754</v>
      </c>
      <c r="D197" t="inlineStr">
        <is>
          <t>JÄMTLANDS LÄN</t>
        </is>
      </c>
      <c r="E197" t="inlineStr">
        <is>
          <t>BRÄCKE</t>
        </is>
      </c>
      <c r="G197" t="n">
        <v>5.4</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38458-2020 artfynd.xlsx", "A 38458-2020")</f>
        <v/>
      </c>
      <c r="T197">
        <f>HYPERLINK("https://klasma.github.io/Logging_2305/kartor/A 38458-2020 karta.png", "A 38458-2020")</f>
        <v/>
      </c>
      <c r="V197">
        <f>HYPERLINK("https://klasma.github.io/Logging_2305/klagomål/A 38458-2020 FSC-klagomål.docx", "A 38458-2020")</f>
        <v/>
      </c>
      <c r="W197">
        <f>HYPERLINK("https://klasma.github.io/Logging_2305/klagomålsmail/A 38458-2020 FSC-klagomål mail.docx", "A 38458-2020")</f>
        <v/>
      </c>
      <c r="X197">
        <f>HYPERLINK("https://klasma.github.io/Logging_2305/tillsyn/A 38458-2020 tillsynsbegäran.docx", "A 38458-2020")</f>
        <v/>
      </c>
      <c r="Y197">
        <f>HYPERLINK("https://klasma.github.io/Logging_2305/tillsynsmail/A 38458-2020 tillsynsbegäran mail.docx", "A 38458-2020")</f>
        <v/>
      </c>
    </row>
    <row r="198" ht="15" customHeight="1">
      <c r="A198" t="inlineStr">
        <is>
          <t>A 25696-2021</t>
        </is>
      </c>
      <c r="B198" s="1" t="n">
        <v>44343</v>
      </c>
      <c r="C198" s="1" t="n">
        <v>45754</v>
      </c>
      <c r="D198" t="inlineStr">
        <is>
          <t>JÄMTLANDS LÄN</t>
        </is>
      </c>
      <c r="E198" t="inlineStr">
        <is>
          <t>BRÄCKE</t>
        </is>
      </c>
      <c r="G198" t="n">
        <v>13.4</v>
      </c>
      <c r="H198" t="n">
        <v>0</v>
      </c>
      <c r="I198" t="n">
        <v>0</v>
      </c>
      <c r="J198" t="n">
        <v>2</v>
      </c>
      <c r="K198" t="n">
        <v>0</v>
      </c>
      <c r="L198" t="n">
        <v>0</v>
      </c>
      <c r="M198" t="n">
        <v>0</v>
      </c>
      <c r="N198" t="n">
        <v>0</v>
      </c>
      <c r="O198" t="n">
        <v>2</v>
      </c>
      <c r="P198" t="n">
        <v>0</v>
      </c>
      <c r="Q198" t="n">
        <v>2</v>
      </c>
      <c r="R198" s="2" t="inlineStr">
        <is>
          <t>Rosenticka
Ullticka</t>
        </is>
      </c>
      <c r="S198">
        <f>HYPERLINK("https://klasma.github.io/Logging_2305/artfynd/A 25696-2021 artfynd.xlsx", "A 25696-2021")</f>
        <v/>
      </c>
      <c r="T198">
        <f>HYPERLINK("https://klasma.github.io/Logging_2305/kartor/A 25696-2021 karta.png", "A 25696-2021")</f>
        <v/>
      </c>
      <c r="V198">
        <f>HYPERLINK("https://klasma.github.io/Logging_2305/klagomål/A 25696-2021 FSC-klagomål.docx", "A 25696-2021")</f>
        <v/>
      </c>
      <c r="W198">
        <f>HYPERLINK("https://klasma.github.io/Logging_2305/klagomålsmail/A 25696-2021 FSC-klagomål mail.docx", "A 25696-2021")</f>
        <v/>
      </c>
      <c r="X198">
        <f>HYPERLINK("https://klasma.github.io/Logging_2305/tillsyn/A 25696-2021 tillsynsbegäran.docx", "A 25696-2021")</f>
        <v/>
      </c>
      <c r="Y198">
        <f>HYPERLINK("https://klasma.github.io/Logging_2305/tillsynsmail/A 25696-2021 tillsynsbegäran mail.docx", "A 25696-2021")</f>
        <v/>
      </c>
    </row>
    <row r="199" ht="15" customHeight="1">
      <c r="A199" t="inlineStr">
        <is>
          <t>A 36456-2021</t>
        </is>
      </c>
      <c r="B199" s="1" t="n">
        <v>44390</v>
      </c>
      <c r="C199" s="1" t="n">
        <v>45754</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Garnlav
Kolflarnlav</t>
        </is>
      </c>
      <c r="S199">
        <f>HYPERLINK("https://klasma.github.io/Logging_2305/artfynd/A 36456-2021 artfynd.xlsx", "A 36456-2021")</f>
        <v/>
      </c>
      <c r="T199">
        <f>HYPERLINK("https://klasma.github.io/Logging_2305/kartor/A 36456-2021 karta.png", "A 36456-2021")</f>
        <v/>
      </c>
      <c r="V199">
        <f>HYPERLINK("https://klasma.github.io/Logging_2305/klagomål/A 36456-2021 FSC-klagomål.docx", "A 36456-2021")</f>
        <v/>
      </c>
      <c r="W199">
        <f>HYPERLINK("https://klasma.github.io/Logging_2305/klagomålsmail/A 36456-2021 FSC-klagomål mail.docx", "A 36456-2021")</f>
        <v/>
      </c>
      <c r="X199">
        <f>HYPERLINK("https://klasma.github.io/Logging_2305/tillsyn/A 36456-2021 tillsynsbegäran.docx", "A 36456-2021")</f>
        <v/>
      </c>
      <c r="Y199">
        <f>HYPERLINK("https://klasma.github.io/Logging_2305/tillsynsmail/A 36456-2021 tillsynsbegäran mail.docx", "A 36456-2021")</f>
        <v/>
      </c>
    </row>
    <row r="200" ht="15" customHeight="1">
      <c r="A200" t="inlineStr">
        <is>
          <t>A 39172-2021</t>
        </is>
      </c>
      <c r="B200" s="1" t="n">
        <v>44412</v>
      </c>
      <c r="C200" s="1" t="n">
        <v>45754</v>
      </c>
      <c r="D200" t="inlineStr">
        <is>
          <t>JÄMTLANDS LÄN</t>
        </is>
      </c>
      <c r="E200" t="inlineStr">
        <is>
          <t>BRÄCKE</t>
        </is>
      </c>
      <c r="F200" t="inlineStr">
        <is>
          <t>SCA</t>
        </is>
      </c>
      <c r="G200" t="n">
        <v>9</v>
      </c>
      <c r="H200" t="n">
        <v>0</v>
      </c>
      <c r="I200" t="n">
        <v>1</v>
      </c>
      <c r="J200" t="n">
        <v>1</v>
      </c>
      <c r="K200" t="n">
        <v>0</v>
      </c>
      <c r="L200" t="n">
        <v>0</v>
      </c>
      <c r="M200" t="n">
        <v>0</v>
      </c>
      <c r="N200" t="n">
        <v>0</v>
      </c>
      <c r="O200" t="n">
        <v>1</v>
      </c>
      <c r="P200" t="n">
        <v>0</v>
      </c>
      <c r="Q200" t="n">
        <v>2</v>
      </c>
      <c r="R200" s="2" t="inlineStr">
        <is>
          <t>Lunglav
Bårdlav</t>
        </is>
      </c>
      <c r="S200">
        <f>HYPERLINK("https://klasma.github.io/Logging_2305/artfynd/A 39172-2021 artfynd.xlsx", "A 39172-2021")</f>
        <v/>
      </c>
      <c r="T200">
        <f>HYPERLINK("https://klasma.github.io/Logging_2305/kartor/A 39172-2021 karta.png", "A 39172-2021")</f>
        <v/>
      </c>
      <c r="V200">
        <f>HYPERLINK("https://klasma.github.io/Logging_2305/klagomål/A 39172-2021 FSC-klagomål.docx", "A 39172-2021")</f>
        <v/>
      </c>
      <c r="W200">
        <f>HYPERLINK("https://klasma.github.io/Logging_2305/klagomålsmail/A 39172-2021 FSC-klagomål mail.docx", "A 39172-2021")</f>
        <v/>
      </c>
      <c r="X200">
        <f>HYPERLINK("https://klasma.github.io/Logging_2305/tillsyn/A 39172-2021 tillsynsbegäran.docx", "A 39172-2021")</f>
        <v/>
      </c>
      <c r="Y200">
        <f>HYPERLINK("https://klasma.github.io/Logging_2305/tillsynsmail/A 39172-2021 tillsynsbegäran mail.docx", "A 39172-2021")</f>
        <v/>
      </c>
    </row>
    <row r="201" ht="15" customHeight="1">
      <c r="A201" t="inlineStr">
        <is>
          <t>A 59324-2021</t>
        </is>
      </c>
      <c r="B201" s="1" t="n">
        <v>44490</v>
      </c>
      <c r="C201" s="1" t="n">
        <v>45754</v>
      </c>
      <c r="D201" t="inlineStr">
        <is>
          <t>JÄMTLANDS LÄN</t>
        </is>
      </c>
      <c r="E201" t="inlineStr">
        <is>
          <t>BRÄCKE</t>
        </is>
      </c>
      <c r="F201" t="inlineStr">
        <is>
          <t>SCA</t>
        </is>
      </c>
      <c r="G201" t="n">
        <v>8.6</v>
      </c>
      <c r="H201" t="n">
        <v>0</v>
      </c>
      <c r="I201" t="n">
        <v>0</v>
      </c>
      <c r="J201" t="n">
        <v>2</v>
      </c>
      <c r="K201" t="n">
        <v>0</v>
      </c>
      <c r="L201" t="n">
        <v>0</v>
      </c>
      <c r="M201" t="n">
        <v>0</v>
      </c>
      <c r="N201" t="n">
        <v>0</v>
      </c>
      <c r="O201" t="n">
        <v>2</v>
      </c>
      <c r="P201" t="n">
        <v>0</v>
      </c>
      <c r="Q201" t="n">
        <v>2</v>
      </c>
      <c r="R201" s="2" t="inlineStr">
        <is>
          <t>Ullticka
Veckticka</t>
        </is>
      </c>
      <c r="S201">
        <f>HYPERLINK("https://klasma.github.io/Logging_2305/artfynd/A 59324-2021 artfynd.xlsx", "A 59324-2021")</f>
        <v/>
      </c>
      <c r="T201">
        <f>HYPERLINK("https://klasma.github.io/Logging_2305/kartor/A 59324-2021 karta.png", "A 59324-2021")</f>
        <v/>
      </c>
      <c r="V201">
        <f>HYPERLINK("https://klasma.github.io/Logging_2305/klagomål/A 59324-2021 FSC-klagomål.docx", "A 59324-2021")</f>
        <v/>
      </c>
      <c r="W201">
        <f>HYPERLINK("https://klasma.github.io/Logging_2305/klagomålsmail/A 59324-2021 FSC-klagomål mail.docx", "A 59324-2021")</f>
        <v/>
      </c>
      <c r="X201">
        <f>HYPERLINK("https://klasma.github.io/Logging_2305/tillsyn/A 59324-2021 tillsynsbegäran.docx", "A 59324-2021")</f>
        <v/>
      </c>
      <c r="Y201">
        <f>HYPERLINK("https://klasma.github.io/Logging_2305/tillsynsmail/A 59324-2021 tillsynsbegäran mail.docx", "A 59324-2021")</f>
        <v/>
      </c>
    </row>
    <row r="202" ht="15" customHeight="1">
      <c r="A202" t="inlineStr">
        <is>
          <t>A 61465-2021</t>
        </is>
      </c>
      <c r="B202" s="1" t="n">
        <v>44500</v>
      </c>
      <c r="C202" s="1" t="n">
        <v>45754</v>
      </c>
      <c r="D202" t="inlineStr">
        <is>
          <t>JÄMTLANDS LÄN</t>
        </is>
      </c>
      <c r="E202" t="inlineStr">
        <is>
          <t>BRÄCKE</t>
        </is>
      </c>
      <c r="F202" t="inlineStr">
        <is>
          <t>SCA</t>
        </is>
      </c>
      <c r="G202" t="n">
        <v>2.8</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61465-2021 artfynd.xlsx", "A 61465-2021")</f>
        <v/>
      </c>
      <c r="T202">
        <f>HYPERLINK("https://klasma.github.io/Logging_2305/kartor/A 61465-2021 karta.png", "A 61465-2021")</f>
        <v/>
      </c>
      <c r="V202">
        <f>HYPERLINK("https://klasma.github.io/Logging_2305/klagomål/A 61465-2021 FSC-klagomål.docx", "A 61465-2021")</f>
        <v/>
      </c>
      <c r="W202">
        <f>HYPERLINK("https://klasma.github.io/Logging_2305/klagomålsmail/A 61465-2021 FSC-klagomål mail.docx", "A 61465-2021")</f>
        <v/>
      </c>
      <c r="X202">
        <f>HYPERLINK("https://klasma.github.io/Logging_2305/tillsyn/A 61465-2021 tillsynsbegäran.docx", "A 61465-2021")</f>
        <v/>
      </c>
      <c r="Y202">
        <f>HYPERLINK("https://klasma.github.io/Logging_2305/tillsynsmail/A 61465-2021 tillsynsbegäran mail.docx", "A 61465-2021")</f>
        <v/>
      </c>
    </row>
    <row r="203" ht="15" customHeight="1">
      <c r="A203" t="inlineStr">
        <is>
          <t>A 3913-2022</t>
        </is>
      </c>
      <c r="B203" s="1" t="n">
        <v>44587</v>
      </c>
      <c r="C203" s="1" t="n">
        <v>45754</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27944-2022</t>
        </is>
      </c>
      <c r="B204" s="1" t="n">
        <v>44743</v>
      </c>
      <c r="C204" s="1" t="n">
        <v>45754</v>
      </c>
      <c r="D204" t="inlineStr">
        <is>
          <t>JÄMTLANDS LÄN</t>
        </is>
      </c>
      <c r="E204" t="inlineStr">
        <is>
          <t>BRÄCKE</t>
        </is>
      </c>
      <c r="F204" t="inlineStr">
        <is>
          <t>SCA</t>
        </is>
      </c>
      <c r="G204" t="n">
        <v>3</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27944-2022 artfynd.xlsx", "A 27944-2022")</f>
        <v/>
      </c>
      <c r="T204">
        <f>HYPERLINK("https://klasma.github.io/Logging_2305/kartor/A 27944-2022 karta.png", "A 27944-2022")</f>
        <v/>
      </c>
      <c r="V204">
        <f>HYPERLINK("https://klasma.github.io/Logging_2305/klagomål/A 27944-2022 FSC-klagomål.docx", "A 27944-2022")</f>
        <v/>
      </c>
      <c r="W204">
        <f>HYPERLINK("https://klasma.github.io/Logging_2305/klagomålsmail/A 27944-2022 FSC-klagomål mail.docx", "A 27944-2022")</f>
        <v/>
      </c>
      <c r="X204">
        <f>HYPERLINK("https://klasma.github.io/Logging_2305/tillsyn/A 27944-2022 tillsynsbegäran.docx", "A 27944-2022")</f>
        <v/>
      </c>
      <c r="Y204">
        <f>HYPERLINK("https://klasma.github.io/Logging_2305/tillsynsmail/A 27944-2022 tillsynsbegäran mail.docx", "A 27944-2022")</f>
        <v/>
      </c>
    </row>
    <row r="205" ht="15" customHeight="1">
      <c r="A205" t="inlineStr">
        <is>
          <t>A 30607-2022</t>
        </is>
      </c>
      <c r="B205" s="1" t="n">
        <v>44762</v>
      </c>
      <c r="C205" s="1" t="n">
        <v>45754</v>
      </c>
      <c r="D205" t="inlineStr">
        <is>
          <t>JÄMTLANDS LÄN</t>
        </is>
      </c>
      <c r="E205" t="inlineStr">
        <is>
          <t>BRÄCKE</t>
        </is>
      </c>
      <c r="F205" t="inlineStr">
        <is>
          <t>SCA</t>
        </is>
      </c>
      <c r="G205" t="n">
        <v>1</v>
      </c>
      <c r="H205" t="n">
        <v>0</v>
      </c>
      <c r="I205" t="n">
        <v>0</v>
      </c>
      <c r="J205" t="n">
        <v>2</v>
      </c>
      <c r="K205" t="n">
        <v>0</v>
      </c>
      <c r="L205" t="n">
        <v>0</v>
      </c>
      <c r="M205" t="n">
        <v>0</v>
      </c>
      <c r="N205" t="n">
        <v>0</v>
      </c>
      <c r="O205" t="n">
        <v>2</v>
      </c>
      <c r="P205" t="n">
        <v>0</v>
      </c>
      <c r="Q205" t="n">
        <v>2</v>
      </c>
      <c r="R205" s="2" t="inlineStr">
        <is>
          <t>Bredbrämad bastardsvärmare
Brunklöver</t>
        </is>
      </c>
      <c r="S205">
        <f>HYPERLINK("https://klasma.github.io/Logging_2305/artfynd/A 30607-2022 artfynd.xlsx", "A 30607-2022")</f>
        <v/>
      </c>
      <c r="T205">
        <f>HYPERLINK("https://klasma.github.io/Logging_2305/kartor/A 30607-2022 karta.png", "A 30607-2022")</f>
        <v/>
      </c>
      <c r="V205">
        <f>HYPERLINK("https://klasma.github.io/Logging_2305/klagomål/A 30607-2022 FSC-klagomål.docx", "A 30607-2022")</f>
        <v/>
      </c>
      <c r="W205">
        <f>HYPERLINK("https://klasma.github.io/Logging_2305/klagomålsmail/A 30607-2022 FSC-klagomål mail.docx", "A 30607-2022")</f>
        <v/>
      </c>
      <c r="X205">
        <f>HYPERLINK("https://klasma.github.io/Logging_2305/tillsyn/A 30607-2022 tillsynsbegäran.docx", "A 30607-2022")</f>
        <v/>
      </c>
      <c r="Y205">
        <f>HYPERLINK("https://klasma.github.io/Logging_2305/tillsynsmail/A 30607-2022 tillsynsbegäran mail.docx", "A 30607-2022")</f>
        <v/>
      </c>
    </row>
    <row r="206" ht="15" customHeight="1">
      <c r="A206" t="inlineStr">
        <is>
          <t>A 31455-2022</t>
        </is>
      </c>
      <c r="B206" s="1" t="n">
        <v>44774</v>
      </c>
      <c r="C206" s="1" t="n">
        <v>45754</v>
      </c>
      <c r="D206" t="inlineStr">
        <is>
          <t>JÄMTLANDS LÄN</t>
        </is>
      </c>
      <c r="E206" t="inlineStr">
        <is>
          <t>BRÄCKE</t>
        </is>
      </c>
      <c r="F206" t="inlineStr">
        <is>
          <t>SCA</t>
        </is>
      </c>
      <c r="G206" t="n">
        <v>5.5</v>
      </c>
      <c r="H206" t="n">
        <v>1</v>
      </c>
      <c r="I206" t="n">
        <v>0</v>
      </c>
      <c r="J206" t="n">
        <v>1</v>
      </c>
      <c r="K206" t="n">
        <v>0</v>
      </c>
      <c r="L206" t="n">
        <v>0</v>
      </c>
      <c r="M206" t="n">
        <v>0</v>
      </c>
      <c r="N206" t="n">
        <v>0</v>
      </c>
      <c r="O206" t="n">
        <v>1</v>
      </c>
      <c r="P206" t="n">
        <v>0</v>
      </c>
      <c r="Q206" t="n">
        <v>2</v>
      </c>
      <c r="R206" s="2" t="inlineStr">
        <is>
          <t>Lunglav
Revlummer</t>
        </is>
      </c>
      <c r="S206">
        <f>HYPERLINK("https://klasma.github.io/Logging_2305/artfynd/A 31455-2022 artfynd.xlsx", "A 31455-2022")</f>
        <v/>
      </c>
      <c r="T206">
        <f>HYPERLINK("https://klasma.github.io/Logging_2305/kartor/A 31455-2022 karta.png", "A 31455-2022")</f>
        <v/>
      </c>
      <c r="V206">
        <f>HYPERLINK("https://klasma.github.io/Logging_2305/klagomål/A 31455-2022 FSC-klagomål.docx", "A 31455-2022")</f>
        <v/>
      </c>
      <c r="W206">
        <f>HYPERLINK("https://klasma.github.io/Logging_2305/klagomålsmail/A 31455-2022 FSC-klagomål mail.docx", "A 31455-2022")</f>
        <v/>
      </c>
      <c r="X206">
        <f>HYPERLINK("https://klasma.github.io/Logging_2305/tillsyn/A 31455-2022 tillsynsbegäran.docx", "A 31455-2022")</f>
        <v/>
      </c>
      <c r="Y206">
        <f>HYPERLINK("https://klasma.github.io/Logging_2305/tillsynsmail/A 31455-2022 tillsynsbegäran mail.docx", "A 31455-2022")</f>
        <v/>
      </c>
    </row>
    <row r="207" ht="15" customHeight="1">
      <c r="A207" t="inlineStr">
        <is>
          <t>A 32507-2022</t>
        </is>
      </c>
      <c r="B207" s="1" t="n">
        <v>44782</v>
      </c>
      <c r="C207" s="1" t="n">
        <v>45754</v>
      </c>
      <c r="D207" t="inlineStr">
        <is>
          <t>JÄMTLANDS LÄN</t>
        </is>
      </c>
      <c r="E207" t="inlineStr">
        <is>
          <t>BRÄCKE</t>
        </is>
      </c>
      <c r="G207" t="n">
        <v>5.8</v>
      </c>
      <c r="H207" t="n">
        <v>1</v>
      </c>
      <c r="I207" t="n">
        <v>0</v>
      </c>
      <c r="J207" t="n">
        <v>1</v>
      </c>
      <c r="K207" t="n">
        <v>1</v>
      </c>
      <c r="L207" t="n">
        <v>0</v>
      </c>
      <c r="M207" t="n">
        <v>0</v>
      </c>
      <c r="N207" t="n">
        <v>0</v>
      </c>
      <c r="O207" t="n">
        <v>2</v>
      </c>
      <c r="P207" t="n">
        <v>1</v>
      </c>
      <c r="Q207" t="n">
        <v>2</v>
      </c>
      <c r="R207" s="2" t="inlineStr">
        <is>
          <t>Knärot
Ullticka</t>
        </is>
      </c>
      <c r="S207">
        <f>HYPERLINK("https://klasma.github.io/Logging_2305/artfynd/A 32507-2022 artfynd.xlsx", "A 32507-2022")</f>
        <v/>
      </c>
      <c r="T207">
        <f>HYPERLINK("https://klasma.github.io/Logging_2305/kartor/A 32507-2022 karta.png", "A 32507-2022")</f>
        <v/>
      </c>
      <c r="U207">
        <f>HYPERLINK("https://klasma.github.io/Logging_2305/knärot/A 32507-2022 karta knärot.png", "A 32507-2022")</f>
        <v/>
      </c>
      <c r="V207">
        <f>HYPERLINK("https://klasma.github.io/Logging_2305/klagomål/A 32507-2022 FSC-klagomål.docx", "A 32507-2022")</f>
        <v/>
      </c>
      <c r="W207">
        <f>HYPERLINK("https://klasma.github.io/Logging_2305/klagomålsmail/A 32507-2022 FSC-klagomål mail.docx", "A 32507-2022")</f>
        <v/>
      </c>
      <c r="X207">
        <f>HYPERLINK("https://klasma.github.io/Logging_2305/tillsyn/A 32507-2022 tillsynsbegäran.docx", "A 32507-2022")</f>
        <v/>
      </c>
      <c r="Y207">
        <f>HYPERLINK("https://klasma.github.io/Logging_2305/tillsynsmail/A 32507-2022 tillsynsbegäran mail.docx", "A 32507-2022")</f>
        <v/>
      </c>
    </row>
    <row r="208" ht="15" customHeight="1">
      <c r="A208" t="inlineStr">
        <is>
          <t>A 42291-2022</t>
        </is>
      </c>
      <c r="B208" s="1" t="n">
        <v>44830</v>
      </c>
      <c r="C208" s="1" t="n">
        <v>45754</v>
      </c>
      <c r="D208" t="inlineStr">
        <is>
          <t>JÄMTLANDS LÄN</t>
        </is>
      </c>
      <c r="E208" t="inlineStr">
        <is>
          <t>BRÄCKE</t>
        </is>
      </c>
      <c r="F208" t="inlineStr">
        <is>
          <t>SCA</t>
        </is>
      </c>
      <c r="G208" t="n">
        <v>4</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42291-2022 artfynd.xlsx", "A 42291-2022")</f>
        <v/>
      </c>
      <c r="T208">
        <f>HYPERLINK("https://klasma.github.io/Logging_2305/kartor/A 42291-2022 karta.png", "A 42291-2022")</f>
        <v/>
      </c>
      <c r="V208">
        <f>HYPERLINK("https://klasma.github.io/Logging_2305/klagomål/A 42291-2022 FSC-klagomål.docx", "A 42291-2022")</f>
        <v/>
      </c>
      <c r="W208">
        <f>HYPERLINK("https://klasma.github.io/Logging_2305/klagomålsmail/A 42291-2022 FSC-klagomål mail.docx", "A 42291-2022")</f>
        <v/>
      </c>
      <c r="X208">
        <f>HYPERLINK("https://klasma.github.io/Logging_2305/tillsyn/A 42291-2022 tillsynsbegäran.docx", "A 42291-2022")</f>
        <v/>
      </c>
      <c r="Y208">
        <f>HYPERLINK("https://klasma.github.io/Logging_2305/tillsynsmail/A 42291-2022 tillsynsbegäran mail.docx", "A 42291-2022")</f>
        <v/>
      </c>
    </row>
    <row r="209" ht="15" customHeight="1">
      <c r="A209" t="inlineStr">
        <is>
          <t>A 43141-2022</t>
        </is>
      </c>
      <c r="B209" s="1" t="n">
        <v>44833</v>
      </c>
      <c r="C209" s="1" t="n">
        <v>45754</v>
      </c>
      <c r="D209" t="inlineStr">
        <is>
          <t>JÄMTLANDS LÄN</t>
        </is>
      </c>
      <c r="E209" t="inlineStr">
        <is>
          <t>BRÄCKE</t>
        </is>
      </c>
      <c r="F209" t="inlineStr">
        <is>
          <t>SCA</t>
        </is>
      </c>
      <c r="G209" t="n">
        <v>2</v>
      </c>
      <c r="H209" t="n">
        <v>1</v>
      </c>
      <c r="I209" t="n">
        <v>0</v>
      </c>
      <c r="J209" t="n">
        <v>0</v>
      </c>
      <c r="K209" t="n">
        <v>2</v>
      </c>
      <c r="L209" t="n">
        <v>0</v>
      </c>
      <c r="M209" t="n">
        <v>0</v>
      </c>
      <c r="N209" t="n">
        <v>0</v>
      </c>
      <c r="O209" t="n">
        <v>2</v>
      </c>
      <c r="P209" t="n">
        <v>2</v>
      </c>
      <c r="Q209" t="n">
        <v>2</v>
      </c>
      <c r="R209" s="2" t="inlineStr">
        <is>
          <t>Frösöstarr
Knärot</t>
        </is>
      </c>
      <c r="S209">
        <f>HYPERLINK("https://klasma.github.io/Logging_2305/artfynd/A 43141-2022 artfynd.xlsx", "A 43141-2022")</f>
        <v/>
      </c>
      <c r="T209">
        <f>HYPERLINK("https://klasma.github.io/Logging_2305/kartor/A 43141-2022 karta.png", "A 43141-2022")</f>
        <v/>
      </c>
      <c r="U209">
        <f>HYPERLINK("https://klasma.github.io/Logging_2305/knärot/A 43141-2022 karta knärot.png", "A 43141-2022")</f>
        <v/>
      </c>
      <c r="V209">
        <f>HYPERLINK("https://klasma.github.io/Logging_2305/klagomål/A 43141-2022 FSC-klagomål.docx", "A 43141-2022")</f>
        <v/>
      </c>
      <c r="W209">
        <f>HYPERLINK("https://klasma.github.io/Logging_2305/klagomålsmail/A 43141-2022 FSC-klagomål mail.docx", "A 43141-2022")</f>
        <v/>
      </c>
      <c r="X209">
        <f>HYPERLINK("https://klasma.github.io/Logging_2305/tillsyn/A 43141-2022 tillsynsbegäran.docx", "A 43141-2022")</f>
        <v/>
      </c>
      <c r="Y209">
        <f>HYPERLINK("https://klasma.github.io/Logging_2305/tillsynsmail/A 43141-2022 tillsynsbegäran mail.docx", "A 43141-2022")</f>
        <v/>
      </c>
    </row>
    <row r="210" ht="15" customHeight="1">
      <c r="A210" t="inlineStr">
        <is>
          <t>A 48930-2022</t>
        </is>
      </c>
      <c r="B210" s="1" t="n">
        <v>44859</v>
      </c>
      <c r="C210" s="1" t="n">
        <v>45754</v>
      </c>
      <c r="D210" t="inlineStr">
        <is>
          <t>JÄMTLANDS LÄN</t>
        </is>
      </c>
      <c r="E210" t="inlineStr">
        <is>
          <t>BRÄCKE</t>
        </is>
      </c>
      <c r="F210" t="inlineStr">
        <is>
          <t>SCA</t>
        </is>
      </c>
      <c r="G210" t="n">
        <v>1.2</v>
      </c>
      <c r="H210" t="n">
        <v>0</v>
      </c>
      <c r="I210" t="n">
        <v>1</v>
      </c>
      <c r="J210" t="n">
        <v>1</v>
      </c>
      <c r="K210" t="n">
        <v>0</v>
      </c>
      <c r="L210" t="n">
        <v>0</v>
      </c>
      <c r="M210" t="n">
        <v>0</v>
      </c>
      <c r="N210" t="n">
        <v>0</v>
      </c>
      <c r="O210" t="n">
        <v>1</v>
      </c>
      <c r="P210" t="n">
        <v>0</v>
      </c>
      <c r="Q210" t="n">
        <v>2</v>
      </c>
      <c r="R210" s="2" t="inlineStr">
        <is>
          <t>Lunglav
Luddlav</t>
        </is>
      </c>
      <c r="S210">
        <f>HYPERLINK("https://klasma.github.io/Logging_2305/artfynd/A 48930-2022 artfynd.xlsx", "A 48930-2022")</f>
        <v/>
      </c>
      <c r="T210">
        <f>HYPERLINK("https://klasma.github.io/Logging_2305/kartor/A 48930-2022 karta.png", "A 48930-2022")</f>
        <v/>
      </c>
      <c r="V210">
        <f>HYPERLINK("https://klasma.github.io/Logging_2305/klagomål/A 48930-2022 FSC-klagomål.docx", "A 48930-2022")</f>
        <v/>
      </c>
      <c r="W210">
        <f>HYPERLINK("https://klasma.github.io/Logging_2305/klagomålsmail/A 48930-2022 FSC-klagomål mail.docx", "A 48930-2022")</f>
        <v/>
      </c>
      <c r="X210">
        <f>HYPERLINK("https://klasma.github.io/Logging_2305/tillsyn/A 48930-2022 tillsynsbegäran.docx", "A 48930-2022")</f>
        <v/>
      </c>
      <c r="Y210">
        <f>HYPERLINK("https://klasma.github.io/Logging_2305/tillsynsmail/A 48930-2022 tillsynsbegäran mail.docx", "A 48930-2022")</f>
        <v/>
      </c>
    </row>
    <row r="211" ht="15" customHeight="1">
      <c r="A211" t="inlineStr">
        <is>
          <t>A 50328-2022</t>
        </is>
      </c>
      <c r="B211" s="1" t="n">
        <v>44865</v>
      </c>
      <c r="C211" s="1" t="n">
        <v>45754</v>
      </c>
      <c r="D211" t="inlineStr">
        <is>
          <t>JÄMTLANDS LÄN</t>
        </is>
      </c>
      <c r="E211" t="inlineStr">
        <is>
          <t>BRÄCKE</t>
        </is>
      </c>
      <c r="F211" t="inlineStr">
        <is>
          <t>SCA</t>
        </is>
      </c>
      <c r="G211" t="n">
        <v>1.6</v>
      </c>
      <c r="H211" t="n">
        <v>0</v>
      </c>
      <c r="I211" t="n">
        <v>0</v>
      </c>
      <c r="J211" t="n">
        <v>2</v>
      </c>
      <c r="K211" t="n">
        <v>0</v>
      </c>
      <c r="L211" t="n">
        <v>0</v>
      </c>
      <c r="M211" t="n">
        <v>0</v>
      </c>
      <c r="N211" t="n">
        <v>0</v>
      </c>
      <c r="O211" t="n">
        <v>2</v>
      </c>
      <c r="P211" t="n">
        <v>0</v>
      </c>
      <c r="Q211" t="n">
        <v>2</v>
      </c>
      <c r="R211" s="2" t="inlineStr">
        <is>
          <t>Ullticka
Vitgrynig nållav</t>
        </is>
      </c>
      <c r="S211">
        <f>HYPERLINK("https://klasma.github.io/Logging_2305/artfynd/A 50328-2022 artfynd.xlsx", "A 50328-2022")</f>
        <v/>
      </c>
      <c r="T211">
        <f>HYPERLINK("https://klasma.github.io/Logging_2305/kartor/A 50328-2022 karta.png", "A 50328-2022")</f>
        <v/>
      </c>
      <c r="V211">
        <f>HYPERLINK("https://klasma.github.io/Logging_2305/klagomål/A 50328-2022 FSC-klagomål.docx", "A 50328-2022")</f>
        <v/>
      </c>
      <c r="W211">
        <f>HYPERLINK("https://klasma.github.io/Logging_2305/klagomålsmail/A 50328-2022 FSC-klagomål mail.docx", "A 50328-2022")</f>
        <v/>
      </c>
      <c r="X211">
        <f>HYPERLINK("https://klasma.github.io/Logging_2305/tillsyn/A 50328-2022 tillsynsbegäran.docx", "A 50328-2022")</f>
        <v/>
      </c>
      <c r="Y211">
        <f>HYPERLINK("https://klasma.github.io/Logging_2305/tillsynsmail/A 50328-2022 tillsynsbegäran mail.docx", "A 50328-2022")</f>
        <v/>
      </c>
    </row>
    <row r="212" ht="15" customHeight="1">
      <c r="A212" t="inlineStr">
        <is>
          <t>A 50336-2022</t>
        </is>
      </c>
      <c r="B212" s="1" t="n">
        <v>44865</v>
      </c>
      <c r="C212" s="1" t="n">
        <v>45754</v>
      </c>
      <c r="D212" t="inlineStr">
        <is>
          <t>JÄMTLANDS LÄN</t>
        </is>
      </c>
      <c r="E212" t="inlineStr">
        <is>
          <t>BRÄCKE</t>
        </is>
      </c>
      <c r="F212" t="inlineStr">
        <is>
          <t>SCA</t>
        </is>
      </c>
      <c r="G212" t="n">
        <v>1.8</v>
      </c>
      <c r="H212" t="n">
        <v>1</v>
      </c>
      <c r="I212" t="n">
        <v>0</v>
      </c>
      <c r="J212" t="n">
        <v>0</v>
      </c>
      <c r="K212" t="n">
        <v>2</v>
      </c>
      <c r="L212" t="n">
        <v>0</v>
      </c>
      <c r="M212" t="n">
        <v>0</v>
      </c>
      <c r="N212" t="n">
        <v>0</v>
      </c>
      <c r="O212" t="n">
        <v>2</v>
      </c>
      <c r="P212" t="n">
        <v>2</v>
      </c>
      <c r="Q212" t="n">
        <v>2</v>
      </c>
      <c r="R212" s="2" t="inlineStr">
        <is>
          <t>Gräddporing
Knärot</t>
        </is>
      </c>
      <c r="S212">
        <f>HYPERLINK("https://klasma.github.io/Logging_2305/artfynd/A 50336-2022 artfynd.xlsx", "A 50336-2022")</f>
        <v/>
      </c>
      <c r="T212">
        <f>HYPERLINK("https://klasma.github.io/Logging_2305/kartor/A 50336-2022 karta.png", "A 50336-2022")</f>
        <v/>
      </c>
      <c r="U212">
        <f>HYPERLINK("https://klasma.github.io/Logging_2305/knärot/A 50336-2022 karta knärot.png", "A 50336-2022")</f>
        <v/>
      </c>
      <c r="V212">
        <f>HYPERLINK("https://klasma.github.io/Logging_2305/klagomål/A 50336-2022 FSC-klagomål.docx", "A 50336-2022")</f>
        <v/>
      </c>
      <c r="W212">
        <f>HYPERLINK("https://klasma.github.io/Logging_2305/klagomålsmail/A 50336-2022 FSC-klagomål mail.docx", "A 50336-2022")</f>
        <v/>
      </c>
      <c r="X212">
        <f>HYPERLINK("https://klasma.github.io/Logging_2305/tillsyn/A 50336-2022 tillsynsbegäran.docx", "A 50336-2022")</f>
        <v/>
      </c>
      <c r="Y212">
        <f>HYPERLINK("https://klasma.github.io/Logging_2305/tillsynsmail/A 50336-2022 tillsynsbegäran mail.docx", "A 50336-2022")</f>
        <v/>
      </c>
    </row>
    <row r="213" ht="15" customHeight="1">
      <c r="A213" t="inlineStr">
        <is>
          <t>A 54624-2022</t>
        </is>
      </c>
      <c r="B213" s="1" t="n">
        <v>44883</v>
      </c>
      <c r="C213" s="1" t="n">
        <v>45754</v>
      </c>
      <c r="D213" t="inlineStr">
        <is>
          <t>JÄMTLANDS LÄN</t>
        </is>
      </c>
      <c r="E213" t="inlineStr">
        <is>
          <t>BRÄCKE</t>
        </is>
      </c>
      <c r="G213" t="n">
        <v>3.9</v>
      </c>
      <c r="H213" t="n">
        <v>0</v>
      </c>
      <c r="I213" t="n">
        <v>0</v>
      </c>
      <c r="J213" t="n">
        <v>2</v>
      </c>
      <c r="K213" t="n">
        <v>0</v>
      </c>
      <c r="L213" t="n">
        <v>0</v>
      </c>
      <c r="M213" t="n">
        <v>0</v>
      </c>
      <c r="N213" t="n">
        <v>0</v>
      </c>
      <c r="O213" t="n">
        <v>2</v>
      </c>
      <c r="P213" t="n">
        <v>0</v>
      </c>
      <c r="Q213" t="n">
        <v>2</v>
      </c>
      <c r="R213" s="2" t="inlineStr">
        <is>
          <t>Granticka
Lunglav</t>
        </is>
      </c>
      <c r="S213">
        <f>HYPERLINK("https://klasma.github.io/Logging_2305/artfynd/A 54624-2022 artfynd.xlsx", "A 54624-2022")</f>
        <v/>
      </c>
      <c r="T213">
        <f>HYPERLINK("https://klasma.github.io/Logging_2305/kartor/A 54624-2022 karta.png", "A 54624-2022")</f>
        <v/>
      </c>
      <c r="V213">
        <f>HYPERLINK("https://klasma.github.io/Logging_2305/klagomål/A 54624-2022 FSC-klagomål.docx", "A 54624-2022")</f>
        <v/>
      </c>
      <c r="W213">
        <f>HYPERLINK("https://klasma.github.io/Logging_2305/klagomålsmail/A 54624-2022 FSC-klagomål mail.docx", "A 54624-2022")</f>
        <v/>
      </c>
      <c r="X213">
        <f>HYPERLINK("https://klasma.github.io/Logging_2305/tillsyn/A 54624-2022 tillsynsbegäran.docx", "A 54624-2022")</f>
        <v/>
      </c>
      <c r="Y213">
        <f>HYPERLINK("https://klasma.github.io/Logging_2305/tillsynsmail/A 54624-2022 tillsynsbegäran mail.docx", "A 54624-2022")</f>
        <v/>
      </c>
    </row>
    <row r="214" ht="15" customHeight="1">
      <c r="A214" t="inlineStr">
        <is>
          <t>A 58169-2022</t>
        </is>
      </c>
      <c r="B214" s="1" t="n">
        <v>44900</v>
      </c>
      <c r="C214" s="1" t="n">
        <v>45754</v>
      </c>
      <c r="D214" t="inlineStr">
        <is>
          <t>JÄMTLANDS LÄN</t>
        </is>
      </c>
      <c r="E214" t="inlineStr">
        <is>
          <t>BRÄCKE</t>
        </is>
      </c>
      <c r="F214" t="inlineStr">
        <is>
          <t>SCA</t>
        </is>
      </c>
      <c r="G214" t="n">
        <v>9.300000000000001</v>
      </c>
      <c r="H214" t="n">
        <v>1</v>
      </c>
      <c r="I214" t="n">
        <v>0</v>
      </c>
      <c r="J214" t="n">
        <v>2</v>
      </c>
      <c r="K214" t="n">
        <v>0</v>
      </c>
      <c r="L214" t="n">
        <v>0</v>
      </c>
      <c r="M214" t="n">
        <v>0</v>
      </c>
      <c r="N214" t="n">
        <v>0</v>
      </c>
      <c r="O214" t="n">
        <v>2</v>
      </c>
      <c r="P214" t="n">
        <v>0</v>
      </c>
      <c r="Q214" t="n">
        <v>2</v>
      </c>
      <c r="R214" s="2" t="inlineStr">
        <is>
          <t>Garnlav
Talltita</t>
        </is>
      </c>
      <c r="S214">
        <f>HYPERLINK("https://klasma.github.io/Logging_2305/artfynd/A 58169-2022 artfynd.xlsx", "A 58169-2022")</f>
        <v/>
      </c>
      <c r="T214">
        <f>HYPERLINK("https://klasma.github.io/Logging_2305/kartor/A 58169-2022 karta.png", "A 58169-2022")</f>
        <v/>
      </c>
      <c r="V214">
        <f>HYPERLINK("https://klasma.github.io/Logging_2305/klagomål/A 58169-2022 FSC-klagomål.docx", "A 58169-2022")</f>
        <v/>
      </c>
      <c r="W214">
        <f>HYPERLINK("https://klasma.github.io/Logging_2305/klagomålsmail/A 58169-2022 FSC-klagomål mail.docx", "A 58169-2022")</f>
        <v/>
      </c>
      <c r="X214">
        <f>HYPERLINK("https://klasma.github.io/Logging_2305/tillsyn/A 58169-2022 tillsynsbegäran.docx", "A 58169-2022")</f>
        <v/>
      </c>
      <c r="Y214">
        <f>HYPERLINK("https://klasma.github.io/Logging_2305/tillsynsmail/A 58169-2022 tillsynsbegäran mail.docx", "A 58169-2022")</f>
        <v/>
      </c>
      <c r="Z214">
        <f>HYPERLINK("https://klasma.github.io/Logging_2305/fåglar/A 58169-2022 prioriterade fågelarter.docx", "A 58169-2022")</f>
        <v/>
      </c>
    </row>
    <row r="215" ht="15" customHeight="1">
      <c r="A215" t="inlineStr">
        <is>
          <t>A 3029-2023</t>
        </is>
      </c>
      <c r="B215" s="1" t="n">
        <v>44945</v>
      </c>
      <c r="C215" s="1" t="n">
        <v>45754</v>
      </c>
      <c r="D215" t="inlineStr">
        <is>
          <t>JÄMTLANDS LÄN</t>
        </is>
      </c>
      <c r="E215" t="inlineStr">
        <is>
          <t>BRÄCKE</t>
        </is>
      </c>
      <c r="F215" t="inlineStr">
        <is>
          <t>SCA</t>
        </is>
      </c>
      <c r="G215" t="n">
        <v>2.3</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3029-2023 artfynd.xlsx", "A 3029-2023")</f>
        <v/>
      </c>
      <c r="T215">
        <f>HYPERLINK("https://klasma.github.io/Logging_2305/kartor/A 3029-2023 karta.png", "A 3029-2023")</f>
        <v/>
      </c>
      <c r="V215">
        <f>HYPERLINK("https://klasma.github.io/Logging_2305/klagomål/A 3029-2023 FSC-klagomål.docx", "A 3029-2023")</f>
        <v/>
      </c>
      <c r="W215">
        <f>HYPERLINK("https://klasma.github.io/Logging_2305/klagomålsmail/A 3029-2023 FSC-klagomål mail.docx", "A 3029-2023")</f>
        <v/>
      </c>
      <c r="X215">
        <f>HYPERLINK("https://klasma.github.io/Logging_2305/tillsyn/A 3029-2023 tillsynsbegäran.docx", "A 3029-2023")</f>
        <v/>
      </c>
      <c r="Y215">
        <f>HYPERLINK("https://klasma.github.io/Logging_2305/tillsynsmail/A 3029-2023 tillsynsbegäran mail.docx", "A 3029-2023")</f>
        <v/>
      </c>
    </row>
    <row r="216" ht="15" customHeight="1">
      <c r="A216" t="inlineStr">
        <is>
          <t>A 8673-2023</t>
        </is>
      </c>
      <c r="B216" s="1" t="n">
        <v>44977</v>
      </c>
      <c r="C216" s="1" t="n">
        <v>45754</v>
      </c>
      <c r="D216" t="inlineStr">
        <is>
          <t>JÄMTLANDS LÄN</t>
        </is>
      </c>
      <c r="E216" t="inlineStr">
        <is>
          <t>BRÄCKE</t>
        </is>
      </c>
      <c r="G216" t="n">
        <v>11.6</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8673-2023 artfynd.xlsx", "A 8673-2023")</f>
        <v/>
      </c>
      <c r="T216">
        <f>HYPERLINK("https://klasma.github.io/Logging_2305/kartor/A 8673-2023 karta.png", "A 8673-2023")</f>
        <v/>
      </c>
      <c r="V216">
        <f>HYPERLINK("https://klasma.github.io/Logging_2305/klagomål/A 8673-2023 FSC-klagomål.docx", "A 8673-2023")</f>
        <v/>
      </c>
      <c r="W216">
        <f>HYPERLINK("https://klasma.github.io/Logging_2305/klagomålsmail/A 8673-2023 FSC-klagomål mail.docx", "A 8673-2023")</f>
        <v/>
      </c>
      <c r="X216">
        <f>HYPERLINK("https://klasma.github.io/Logging_2305/tillsyn/A 8673-2023 tillsynsbegäran.docx", "A 8673-2023")</f>
        <v/>
      </c>
      <c r="Y216">
        <f>HYPERLINK("https://klasma.github.io/Logging_2305/tillsynsmail/A 8673-2023 tillsynsbegäran mail.docx", "A 8673-2023")</f>
        <v/>
      </c>
    </row>
    <row r="217" ht="15" customHeight="1">
      <c r="A217" t="inlineStr">
        <is>
          <t>A 18165-2023</t>
        </is>
      </c>
      <c r="B217" s="1" t="n">
        <v>45041</v>
      </c>
      <c r="C217" s="1" t="n">
        <v>45754</v>
      </c>
      <c r="D217" t="inlineStr">
        <is>
          <t>JÄMTLANDS LÄN</t>
        </is>
      </c>
      <c r="E217" t="inlineStr">
        <is>
          <t>BRÄCKE</t>
        </is>
      </c>
      <c r="F217" t="inlineStr">
        <is>
          <t>SCA</t>
        </is>
      </c>
      <c r="G217" t="n">
        <v>9.6</v>
      </c>
      <c r="H217" t="n">
        <v>1</v>
      </c>
      <c r="I217" t="n">
        <v>0</v>
      </c>
      <c r="J217" t="n">
        <v>2</v>
      </c>
      <c r="K217" t="n">
        <v>0</v>
      </c>
      <c r="L217" t="n">
        <v>0</v>
      </c>
      <c r="M217" t="n">
        <v>0</v>
      </c>
      <c r="N217" t="n">
        <v>0</v>
      </c>
      <c r="O217" t="n">
        <v>2</v>
      </c>
      <c r="P217" t="n">
        <v>0</v>
      </c>
      <c r="Q217" t="n">
        <v>2</v>
      </c>
      <c r="R217" s="2" t="inlineStr">
        <is>
          <t>Garnlav
Spillkråka</t>
        </is>
      </c>
      <c r="S217">
        <f>HYPERLINK("https://klasma.github.io/Logging_2305/artfynd/A 18165-2023 artfynd.xlsx", "A 18165-2023")</f>
        <v/>
      </c>
      <c r="T217">
        <f>HYPERLINK("https://klasma.github.io/Logging_2305/kartor/A 18165-2023 karta.png", "A 18165-2023")</f>
        <v/>
      </c>
      <c r="V217">
        <f>HYPERLINK("https://klasma.github.io/Logging_2305/klagomål/A 18165-2023 FSC-klagomål.docx", "A 18165-2023")</f>
        <v/>
      </c>
      <c r="W217">
        <f>HYPERLINK("https://klasma.github.io/Logging_2305/klagomålsmail/A 18165-2023 FSC-klagomål mail.docx", "A 18165-2023")</f>
        <v/>
      </c>
      <c r="X217">
        <f>HYPERLINK("https://klasma.github.io/Logging_2305/tillsyn/A 18165-2023 tillsynsbegäran.docx", "A 18165-2023")</f>
        <v/>
      </c>
      <c r="Y217">
        <f>HYPERLINK("https://klasma.github.io/Logging_2305/tillsynsmail/A 18165-2023 tillsynsbegäran mail.docx", "A 18165-2023")</f>
        <v/>
      </c>
      <c r="Z217">
        <f>HYPERLINK("https://klasma.github.io/Logging_2305/fåglar/A 18165-2023 prioriterade fågelarter.docx", "A 18165-2023")</f>
        <v/>
      </c>
    </row>
    <row r="218" ht="15" customHeight="1">
      <c r="A218" t="inlineStr">
        <is>
          <t>A 19437-2023</t>
        </is>
      </c>
      <c r="B218" s="1" t="n">
        <v>45049</v>
      </c>
      <c r="C218" s="1" t="n">
        <v>45754</v>
      </c>
      <c r="D218" t="inlineStr">
        <is>
          <t>JÄMTLANDS LÄN</t>
        </is>
      </c>
      <c r="E218" t="inlineStr">
        <is>
          <t>BRÄCKE</t>
        </is>
      </c>
      <c r="G218" t="n">
        <v>1.5</v>
      </c>
      <c r="H218" t="n">
        <v>0</v>
      </c>
      <c r="I218" t="n">
        <v>2</v>
      </c>
      <c r="J218" t="n">
        <v>0</v>
      </c>
      <c r="K218" t="n">
        <v>0</v>
      </c>
      <c r="L218" t="n">
        <v>0</v>
      </c>
      <c r="M218" t="n">
        <v>0</v>
      </c>
      <c r="N218" t="n">
        <v>0</v>
      </c>
      <c r="O218" t="n">
        <v>0</v>
      </c>
      <c r="P218" t="n">
        <v>0</v>
      </c>
      <c r="Q218" t="n">
        <v>2</v>
      </c>
      <c r="R218" s="2" t="inlineStr">
        <is>
          <t>Stuplav
Svart trolldruva</t>
        </is>
      </c>
      <c r="S218">
        <f>HYPERLINK("https://klasma.github.io/Logging_2305/artfynd/A 19437-2023 artfynd.xlsx", "A 19437-2023")</f>
        <v/>
      </c>
      <c r="T218">
        <f>HYPERLINK("https://klasma.github.io/Logging_2305/kartor/A 19437-2023 karta.png", "A 19437-2023")</f>
        <v/>
      </c>
      <c r="U218">
        <f>HYPERLINK("https://klasma.github.io/Logging_2305/knärot/A 19437-2023 karta knärot.png", "A 19437-2023")</f>
        <v/>
      </c>
      <c r="V218">
        <f>HYPERLINK("https://klasma.github.io/Logging_2305/klagomål/A 19437-2023 FSC-klagomål.docx", "A 19437-2023")</f>
        <v/>
      </c>
      <c r="W218">
        <f>HYPERLINK("https://klasma.github.io/Logging_2305/klagomålsmail/A 19437-2023 FSC-klagomål mail.docx", "A 19437-2023")</f>
        <v/>
      </c>
      <c r="X218">
        <f>HYPERLINK("https://klasma.github.io/Logging_2305/tillsyn/A 19437-2023 tillsynsbegäran.docx", "A 19437-2023")</f>
        <v/>
      </c>
      <c r="Y218">
        <f>HYPERLINK("https://klasma.github.io/Logging_2305/tillsynsmail/A 19437-2023 tillsynsbegäran mail.docx", "A 19437-2023")</f>
        <v/>
      </c>
    </row>
    <row r="219" ht="15" customHeight="1">
      <c r="A219" t="inlineStr">
        <is>
          <t>A 19818-2023</t>
        </is>
      </c>
      <c r="B219" s="1" t="n">
        <v>45051</v>
      </c>
      <c r="C219" s="1" t="n">
        <v>45754</v>
      </c>
      <c r="D219" t="inlineStr">
        <is>
          <t>JÄMTLANDS LÄN</t>
        </is>
      </c>
      <c r="E219" t="inlineStr">
        <is>
          <t>BRÄCKE</t>
        </is>
      </c>
      <c r="F219" t="inlineStr">
        <is>
          <t>SCA</t>
        </is>
      </c>
      <c r="G219" t="n">
        <v>2.8</v>
      </c>
      <c r="H219" t="n">
        <v>0</v>
      </c>
      <c r="I219" t="n">
        <v>0</v>
      </c>
      <c r="J219" t="n">
        <v>2</v>
      </c>
      <c r="K219" t="n">
        <v>0</v>
      </c>
      <c r="L219" t="n">
        <v>0</v>
      </c>
      <c r="M219" t="n">
        <v>0</v>
      </c>
      <c r="N219" t="n">
        <v>0</v>
      </c>
      <c r="O219" t="n">
        <v>2</v>
      </c>
      <c r="P219" t="n">
        <v>0</v>
      </c>
      <c r="Q219" t="n">
        <v>2</v>
      </c>
      <c r="R219" s="2" t="inlineStr">
        <is>
          <t>Lunglav
Stiftgelélav</t>
        </is>
      </c>
      <c r="S219">
        <f>HYPERLINK("https://klasma.github.io/Logging_2305/artfynd/A 19818-2023 artfynd.xlsx", "A 19818-2023")</f>
        <v/>
      </c>
      <c r="T219">
        <f>HYPERLINK("https://klasma.github.io/Logging_2305/kartor/A 19818-2023 karta.png", "A 19818-2023")</f>
        <v/>
      </c>
      <c r="V219">
        <f>HYPERLINK("https://klasma.github.io/Logging_2305/klagomål/A 19818-2023 FSC-klagomål.docx", "A 19818-2023")</f>
        <v/>
      </c>
      <c r="W219">
        <f>HYPERLINK("https://klasma.github.io/Logging_2305/klagomålsmail/A 19818-2023 FSC-klagomål mail.docx", "A 19818-2023")</f>
        <v/>
      </c>
      <c r="X219">
        <f>HYPERLINK("https://klasma.github.io/Logging_2305/tillsyn/A 19818-2023 tillsynsbegäran.docx", "A 19818-2023")</f>
        <v/>
      </c>
      <c r="Y219">
        <f>HYPERLINK("https://klasma.github.io/Logging_2305/tillsynsmail/A 19818-2023 tillsynsbegäran mail.docx", "A 19818-2023")</f>
        <v/>
      </c>
    </row>
    <row r="220" ht="15" customHeight="1">
      <c r="A220" t="inlineStr">
        <is>
          <t>A 22989-2023</t>
        </is>
      </c>
      <c r="B220" s="1" t="n">
        <v>45072</v>
      </c>
      <c r="C220" s="1" t="n">
        <v>45754</v>
      </c>
      <c r="D220" t="inlineStr">
        <is>
          <t>JÄMTLANDS LÄN</t>
        </is>
      </c>
      <c r="E220" t="inlineStr">
        <is>
          <t>BRÄCKE</t>
        </is>
      </c>
      <c r="F220" t="inlineStr">
        <is>
          <t>SCA</t>
        </is>
      </c>
      <c r="G220" t="n">
        <v>9.800000000000001</v>
      </c>
      <c r="H220" t="n">
        <v>0</v>
      </c>
      <c r="I220" t="n">
        <v>1</v>
      </c>
      <c r="J220" t="n">
        <v>1</v>
      </c>
      <c r="K220" t="n">
        <v>0</v>
      </c>
      <c r="L220" t="n">
        <v>0</v>
      </c>
      <c r="M220" t="n">
        <v>0</v>
      </c>
      <c r="N220" t="n">
        <v>0</v>
      </c>
      <c r="O220" t="n">
        <v>1</v>
      </c>
      <c r="P220" t="n">
        <v>0</v>
      </c>
      <c r="Q220" t="n">
        <v>2</v>
      </c>
      <c r="R220" s="2" t="inlineStr">
        <is>
          <t>Lunglav
Stuplav</t>
        </is>
      </c>
      <c r="S220">
        <f>HYPERLINK("https://klasma.github.io/Logging_2305/artfynd/A 22989-2023 artfynd.xlsx", "A 22989-2023")</f>
        <v/>
      </c>
      <c r="T220">
        <f>HYPERLINK("https://klasma.github.io/Logging_2305/kartor/A 22989-2023 karta.png", "A 22989-2023")</f>
        <v/>
      </c>
      <c r="V220">
        <f>HYPERLINK("https://klasma.github.io/Logging_2305/klagomål/A 22989-2023 FSC-klagomål.docx", "A 22989-2023")</f>
        <v/>
      </c>
      <c r="W220">
        <f>HYPERLINK("https://klasma.github.io/Logging_2305/klagomålsmail/A 22989-2023 FSC-klagomål mail.docx", "A 22989-2023")</f>
        <v/>
      </c>
      <c r="X220">
        <f>HYPERLINK("https://klasma.github.io/Logging_2305/tillsyn/A 22989-2023 tillsynsbegäran.docx", "A 22989-2023")</f>
        <v/>
      </c>
      <c r="Y220">
        <f>HYPERLINK("https://klasma.github.io/Logging_2305/tillsynsmail/A 22989-2023 tillsynsbegäran mail.docx", "A 22989-2023")</f>
        <v/>
      </c>
    </row>
    <row r="221" ht="15" customHeight="1">
      <c r="A221" t="inlineStr">
        <is>
          <t>A 27000-2023</t>
        </is>
      </c>
      <c r="B221" s="1" t="n">
        <v>45093</v>
      </c>
      <c r="C221" s="1" t="n">
        <v>45754</v>
      </c>
      <c r="D221" t="inlineStr">
        <is>
          <t>JÄMTLANDS LÄN</t>
        </is>
      </c>
      <c r="E221" t="inlineStr">
        <is>
          <t>BRÄCKE</t>
        </is>
      </c>
      <c r="F221" t="inlineStr">
        <is>
          <t>SCA</t>
        </is>
      </c>
      <c r="G221" t="n">
        <v>5.8</v>
      </c>
      <c r="H221" t="n">
        <v>0</v>
      </c>
      <c r="I221" t="n">
        <v>0</v>
      </c>
      <c r="J221" t="n">
        <v>2</v>
      </c>
      <c r="K221" t="n">
        <v>0</v>
      </c>
      <c r="L221" t="n">
        <v>0</v>
      </c>
      <c r="M221" t="n">
        <v>0</v>
      </c>
      <c r="N221" t="n">
        <v>0</v>
      </c>
      <c r="O221" t="n">
        <v>2</v>
      </c>
      <c r="P221" t="n">
        <v>0</v>
      </c>
      <c r="Q221" t="n">
        <v>2</v>
      </c>
      <c r="R221" s="2" t="inlineStr">
        <is>
          <t>Dvärgbägarlav
Lunglav</t>
        </is>
      </c>
      <c r="S221">
        <f>HYPERLINK("https://klasma.github.io/Logging_2305/artfynd/A 27000-2023 artfynd.xlsx", "A 27000-2023")</f>
        <v/>
      </c>
      <c r="T221">
        <f>HYPERLINK("https://klasma.github.io/Logging_2305/kartor/A 27000-2023 karta.png", "A 27000-2023")</f>
        <v/>
      </c>
      <c r="V221">
        <f>HYPERLINK("https://klasma.github.io/Logging_2305/klagomål/A 27000-2023 FSC-klagomål.docx", "A 27000-2023")</f>
        <v/>
      </c>
      <c r="W221">
        <f>HYPERLINK("https://klasma.github.io/Logging_2305/klagomålsmail/A 27000-2023 FSC-klagomål mail.docx", "A 27000-2023")</f>
        <v/>
      </c>
      <c r="X221">
        <f>HYPERLINK("https://klasma.github.io/Logging_2305/tillsyn/A 27000-2023 tillsynsbegäran.docx", "A 27000-2023")</f>
        <v/>
      </c>
      <c r="Y221">
        <f>HYPERLINK("https://klasma.github.io/Logging_2305/tillsynsmail/A 27000-2023 tillsynsbegäran mail.docx", "A 27000-2023")</f>
        <v/>
      </c>
    </row>
    <row r="222" ht="15" customHeight="1">
      <c r="A222" t="inlineStr">
        <is>
          <t>A 28765-2023</t>
        </is>
      </c>
      <c r="B222" s="1" t="n">
        <v>45103</v>
      </c>
      <c r="C222" s="1" t="n">
        <v>45754</v>
      </c>
      <c r="D222" t="inlineStr">
        <is>
          <t>JÄMTLANDS LÄN</t>
        </is>
      </c>
      <c r="E222" t="inlineStr">
        <is>
          <t>BRÄCKE</t>
        </is>
      </c>
      <c r="F222" t="inlineStr">
        <is>
          <t>SCA</t>
        </is>
      </c>
      <c r="G222" t="n">
        <v>6</v>
      </c>
      <c r="H222" t="n">
        <v>0</v>
      </c>
      <c r="I222" t="n">
        <v>1</v>
      </c>
      <c r="J222" t="n">
        <v>1</v>
      </c>
      <c r="K222" t="n">
        <v>0</v>
      </c>
      <c r="L222" t="n">
        <v>0</v>
      </c>
      <c r="M222" t="n">
        <v>0</v>
      </c>
      <c r="N222" t="n">
        <v>0</v>
      </c>
      <c r="O222" t="n">
        <v>1</v>
      </c>
      <c r="P222" t="n">
        <v>0</v>
      </c>
      <c r="Q222" t="n">
        <v>2</v>
      </c>
      <c r="R222" s="2" t="inlineStr">
        <is>
          <t>Vedskivlav
Kransrams</t>
        </is>
      </c>
      <c r="S222">
        <f>HYPERLINK("https://klasma.github.io/Logging_2305/artfynd/A 28765-2023 artfynd.xlsx", "A 28765-2023")</f>
        <v/>
      </c>
      <c r="T222">
        <f>HYPERLINK("https://klasma.github.io/Logging_2305/kartor/A 28765-2023 karta.png", "A 28765-2023")</f>
        <v/>
      </c>
      <c r="V222">
        <f>HYPERLINK("https://klasma.github.io/Logging_2305/klagomål/A 28765-2023 FSC-klagomål.docx", "A 28765-2023")</f>
        <v/>
      </c>
      <c r="W222">
        <f>HYPERLINK("https://klasma.github.io/Logging_2305/klagomålsmail/A 28765-2023 FSC-klagomål mail.docx", "A 28765-2023")</f>
        <v/>
      </c>
      <c r="X222">
        <f>HYPERLINK("https://klasma.github.io/Logging_2305/tillsyn/A 28765-2023 tillsynsbegäran.docx", "A 28765-2023")</f>
        <v/>
      </c>
      <c r="Y222">
        <f>HYPERLINK("https://klasma.github.io/Logging_2305/tillsynsmail/A 28765-2023 tillsynsbegäran mail.docx", "A 28765-2023")</f>
        <v/>
      </c>
    </row>
    <row r="223" ht="15" customHeight="1">
      <c r="A223" t="inlineStr">
        <is>
          <t>A 29333-2023</t>
        </is>
      </c>
      <c r="B223" s="1" t="n">
        <v>45105</v>
      </c>
      <c r="C223" s="1" t="n">
        <v>45754</v>
      </c>
      <c r="D223" t="inlineStr">
        <is>
          <t>JÄMTLANDS LÄN</t>
        </is>
      </c>
      <c r="E223" t="inlineStr">
        <is>
          <t>BRÄCKE</t>
        </is>
      </c>
      <c r="F223" t="inlineStr">
        <is>
          <t>SCA</t>
        </is>
      </c>
      <c r="G223" t="n">
        <v>11.8</v>
      </c>
      <c r="H223" t="n">
        <v>0</v>
      </c>
      <c r="I223" t="n">
        <v>1</v>
      </c>
      <c r="J223" t="n">
        <v>0</v>
      </c>
      <c r="K223" t="n">
        <v>1</v>
      </c>
      <c r="L223" t="n">
        <v>0</v>
      </c>
      <c r="M223" t="n">
        <v>0</v>
      </c>
      <c r="N223" t="n">
        <v>0</v>
      </c>
      <c r="O223" t="n">
        <v>1</v>
      </c>
      <c r="P223" t="n">
        <v>1</v>
      </c>
      <c r="Q223" t="n">
        <v>2</v>
      </c>
      <c r="R223" s="2" t="inlineStr">
        <is>
          <t>Smalfotad taggsvamp
Dropptaggsvamp</t>
        </is>
      </c>
      <c r="S223">
        <f>HYPERLINK("https://klasma.github.io/Logging_2305/artfynd/A 29333-2023 artfynd.xlsx", "A 29333-2023")</f>
        <v/>
      </c>
      <c r="T223">
        <f>HYPERLINK("https://klasma.github.io/Logging_2305/kartor/A 29333-2023 karta.png", "A 29333-2023")</f>
        <v/>
      </c>
      <c r="V223">
        <f>HYPERLINK("https://klasma.github.io/Logging_2305/klagomål/A 29333-2023 FSC-klagomål.docx", "A 29333-2023")</f>
        <v/>
      </c>
      <c r="W223">
        <f>HYPERLINK("https://klasma.github.io/Logging_2305/klagomålsmail/A 29333-2023 FSC-klagomål mail.docx", "A 29333-2023")</f>
        <v/>
      </c>
      <c r="X223">
        <f>HYPERLINK("https://klasma.github.io/Logging_2305/tillsyn/A 29333-2023 tillsynsbegäran.docx", "A 29333-2023")</f>
        <v/>
      </c>
      <c r="Y223">
        <f>HYPERLINK("https://klasma.github.io/Logging_2305/tillsynsmail/A 29333-2023 tillsynsbegäran mail.docx", "A 29333-2023")</f>
        <v/>
      </c>
    </row>
    <row r="224" ht="15" customHeight="1">
      <c r="A224" t="inlineStr">
        <is>
          <t>A 40401-2023</t>
        </is>
      </c>
      <c r="B224" s="1" t="n">
        <v>45169</v>
      </c>
      <c r="C224" s="1" t="n">
        <v>45754</v>
      </c>
      <c r="D224" t="inlineStr">
        <is>
          <t>JÄMTLANDS LÄN</t>
        </is>
      </c>
      <c r="E224" t="inlineStr">
        <is>
          <t>BRÄCKE</t>
        </is>
      </c>
      <c r="F224" t="inlineStr">
        <is>
          <t>SCA</t>
        </is>
      </c>
      <c r="G224" t="n">
        <v>2</v>
      </c>
      <c r="H224" t="n">
        <v>0</v>
      </c>
      <c r="I224" t="n">
        <v>1</v>
      </c>
      <c r="J224" t="n">
        <v>1</v>
      </c>
      <c r="K224" t="n">
        <v>0</v>
      </c>
      <c r="L224" t="n">
        <v>0</v>
      </c>
      <c r="M224" t="n">
        <v>0</v>
      </c>
      <c r="N224" t="n">
        <v>0</v>
      </c>
      <c r="O224" t="n">
        <v>1</v>
      </c>
      <c r="P224" t="n">
        <v>0</v>
      </c>
      <c r="Q224" t="n">
        <v>2</v>
      </c>
      <c r="R224" s="2" t="inlineStr">
        <is>
          <t>Ullticka
Dropptaggsvamp</t>
        </is>
      </c>
      <c r="S224">
        <f>HYPERLINK("https://klasma.github.io/Logging_2305/artfynd/A 40401-2023 artfynd.xlsx", "A 40401-2023")</f>
        <v/>
      </c>
      <c r="T224">
        <f>HYPERLINK("https://klasma.github.io/Logging_2305/kartor/A 40401-2023 karta.png", "A 40401-2023")</f>
        <v/>
      </c>
      <c r="V224">
        <f>HYPERLINK("https://klasma.github.io/Logging_2305/klagomål/A 40401-2023 FSC-klagomål.docx", "A 40401-2023")</f>
        <v/>
      </c>
      <c r="W224">
        <f>HYPERLINK("https://klasma.github.io/Logging_2305/klagomålsmail/A 40401-2023 FSC-klagomål mail.docx", "A 40401-2023")</f>
        <v/>
      </c>
      <c r="X224">
        <f>HYPERLINK("https://klasma.github.io/Logging_2305/tillsyn/A 40401-2023 tillsynsbegäran.docx", "A 40401-2023")</f>
        <v/>
      </c>
      <c r="Y224">
        <f>HYPERLINK("https://klasma.github.io/Logging_2305/tillsynsmail/A 40401-2023 tillsynsbegäran mail.docx", "A 40401-2023")</f>
        <v/>
      </c>
    </row>
    <row r="225" ht="15" customHeight="1">
      <c r="A225" t="inlineStr">
        <is>
          <t>A 43127-2023</t>
        </is>
      </c>
      <c r="B225" s="1" t="n">
        <v>45182</v>
      </c>
      <c r="C225" s="1" t="n">
        <v>45754</v>
      </c>
      <c r="D225" t="inlineStr">
        <is>
          <t>JÄMTLANDS LÄN</t>
        </is>
      </c>
      <c r="E225" t="inlineStr">
        <is>
          <t>BRÄCKE</t>
        </is>
      </c>
      <c r="F225" t="inlineStr">
        <is>
          <t>Naturvårdsverket</t>
        </is>
      </c>
      <c r="G225" t="n">
        <v>1.7</v>
      </c>
      <c r="H225" t="n">
        <v>0</v>
      </c>
      <c r="I225" t="n">
        <v>0</v>
      </c>
      <c r="J225" t="n">
        <v>2</v>
      </c>
      <c r="K225" t="n">
        <v>0</v>
      </c>
      <c r="L225" t="n">
        <v>0</v>
      </c>
      <c r="M225" t="n">
        <v>0</v>
      </c>
      <c r="N225" t="n">
        <v>0</v>
      </c>
      <c r="O225" t="n">
        <v>2</v>
      </c>
      <c r="P225" t="n">
        <v>0</v>
      </c>
      <c r="Q225" t="n">
        <v>2</v>
      </c>
      <c r="R225" s="2" t="inlineStr">
        <is>
          <t>Granticka
Vedskivlav</t>
        </is>
      </c>
      <c r="S225">
        <f>HYPERLINK("https://klasma.github.io/Logging_2305/artfynd/A 43127-2023 artfynd.xlsx", "A 43127-2023")</f>
        <v/>
      </c>
      <c r="T225">
        <f>HYPERLINK("https://klasma.github.io/Logging_2305/kartor/A 43127-2023 karta.png", "A 43127-2023")</f>
        <v/>
      </c>
      <c r="V225">
        <f>HYPERLINK("https://klasma.github.io/Logging_2305/klagomål/A 43127-2023 FSC-klagomål.docx", "A 43127-2023")</f>
        <v/>
      </c>
      <c r="W225">
        <f>HYPERLINK("https://klasma.github.io/Logging_2305/klagomålsmail/A 43127-2023 FSC-klagomål mail.docx", "A 43127-2023")</f>
        <v/>
      </c>
      <c r="X225">
        <f>HYPERLINK("https://klasma.github.io/Logging_2305/tillsyn/A 43127-2023 tillsynsbegäran.docx", "A 43127-2023")</f>
        <v/>
      </c>
      <c r="Y225">
        <f>HYPERLINK("https://klasma.github.io/Logging_2305/tillsynsmail/A 43127-2023 tillsynsbegäran mail.docx", "A 43127-2023")</f>
        <v/>
      </c>
    </row>
    <row r="226" ht="15" customHeight="1">
      <c r="A226" t="inlineStr">
        <is>
          <t>A 45012-2023</t>
        </is>
      </c>
      <c r="B226" s="1" t="n">
        <v>45190</v>
      </c>
      <c r="C226" s="1" t="n">
        <v>45754</v>
      </c>
      <c r="D226" t="inlineStr">
        <is>
          <t>JÄMTLANDS LÄN</t>
        </is>
      </c>
      <c r="E226" t="inlineStr">
        <is>
          <t>BRÄCKE</t>
        </is>
      </c>
      <c r="G226" t="n">
        <v>2.6</v>
      </c>
      <c r="H226" t="n">
        <v>0</v>
      </c>
      <c r="I226" t="n">
        <v>1</v>
      </c>
      <c r="J226" t="n">
        <v>1</v>
      </c>
      <c r="K226" t="n">
        <v>0</v>
      </c>
      <c r="L226" t="n">
        <v>0</v>
      </c>
      <c r="M226" t="n">
        <v>0</v>
      </c>
      <c r="N226" t="n">
        <v>0</v>
      </c>
      <c r="O226" t="n">
        <v>1</v>
      </c>
      <c r="P226" t="n">
        <v>0</v>
      </c>
      <c r="Q226" t="n">
        <v>2</v>
      </c>
      <c r="R226" s="2" t="inlineStr">
        <is>
          <t>Dvärgbägarlav
Skinnlav</t>
        </is>
      </c>
      <c r="S226">
        <f>HYPERLINK("https://klasma.github.io/Logging_2305/artfynd/A 45012-2023 artfynd.xlsx", "A 45012-2023")</f>
        <v/>
      </c>
      <c r="T226">
        <f>HYPERLINK("https://klasma.github.io/Logging_2305/kartor/A 45012-2023 karta.png", "A 45012-2023")</f>
        <v/>
      </c>
      <c r="V226">
        <f>HYPERLINK("https://klasma.github.io/Logging_2305/klagomål/A 45012-2023 FSC-klagomål.docx", "A 45012-2023")</f>
        <v/>
      </c>
      <c r="W226">
        <f>HYPERLINK("https://klasma.github.io/Logging_2305/klagomålsmail/A 45012-2023 FSC-klagomål mail.docx", "A 45012-2023")</f>
        <v/>
      </c>
      <c r="X226">
        <f>HYPERLINK("https://klasma.github.io/Logging_2305/tillsyn/A 45012-2023 tillsynsbegäran.docx", "A 45012-2023")</f>
        <v/>
      </c>
      <c r="Y226">
        <f>HYPERLINK("https://klasma.github.io/Logging_2305/tillsynsmail/A 45012-2023 tillsynsbegäran mail.docx", "A 45012-2023")</f>
        <v/>
      </c>
    </row>
    <row r="227" ht="15" customHeight="1">
      <c r="A227" t="inlineStr">
        <is>
          <t>A 44993-2023</t>
        </is>
      </c>
      <c r="B227" s="1" t="n">
        <v>45190</v>
      </c>
      <c r="C227" s="1" t="n">
        <v>45754</v>
      </c>
      <c r="D227" t="inlineStr">
        <is>
          <t>JÄMTLANDS LÄN</t>
        </is>
      </c>
      <c r="E227" t="inlineStr">
        <is>
          <t>BRÄCKE</t>
        </is>
      </c>
      <c r="F227" t="inlineStr">
        <is>
          <t>Naturvårdsverket</t>
        </is>
      </c>
      <c r="G227" t="n">
        <v>7.1</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44993-2023 artfynd.xlsx", "A 44993-2023")</f>
        <v/>
      </c>
      <c r="T227">
        <f>HYPERLINK("https://klasma.github.io/Logging_2305/kartor/A 44993-2023 karta.png", "A 44993-2023")</f>
        <v/>
      </c>
      <c r="V227">
        <f>HYPERLINK("https://klasma.github.io/Logging_2305/klagomål/A 44993-2023 FSC-klagomål.docx", "A 44993-2023")</f>
        <v/>
      </c>
      <c r="W227">
        <f>HYPERLINK("https://klasma.github.io/Logging_2305/klagomålsmail/A 44993-2023 FSC-klagomål mail.docx", "A 44993-2023")</f>
        <v/>
      </c>
      <c r="X227">
        <f>HYPERLINK("https://klasma.github.io/Logging_2305/tillsyn/A 44993-2023 tillsynsbegäran.docx", "A 44993-2023")</f>
        <v/>
      </c>
      <c r="Y227">
        <f>HYPERLINK("https://klasma.github.io/Logging_2305/tillsynsmail/A 44993-2023 tillsynsbegäran mail.docx", "A 44993-2023")</f>
        <v/>
      </c>
    </row>
    <row r="228" ht="15" customHeight="1">
      <c r="A228" t="inlineStr">
        <is>
          <t>A 47295-2023</t>
        </is>
      </c>
      <c r="B228" s="1" t="n">
        <v>45196</v>
      </c>
      <c r="C228" s="1" t="n">
        <v>45754</v>
      </c>
      <c r="D228" t="inlineStr">
        <is>
          <t>JÄMTLANDS LÄN</t>
        </is>
      </c>
      <c r="E228" t="inlineStr">
        <is>
          <t>BRÄCKE</t>
        </is>
      </c>
      <c r="F228" t="inlineStr">
        <is>
          <t>SCA</t>
        </is>
      </c>
      <c r="G228" t="n">
        <v>11.4</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47295-2023 artfynd.xlsx", "A 47295-2023")</f>
        <v/>
      </c>
      <c r="T228">
        <f>HYPERLINK("https://klasma.github.io/Logging_2305/kartor/A 47295-2023 karta.png", "A 47295-2023")</f>
        <v/>
      </c>
      <c r="U228">
        <f>HYPERLINK("https://klasma.github.io/Logging_2305/knärot/A 47295-2023 karta knärot.png", "A 47295-2023")</f>
        <v/>
      </c>
      <c r="V228">
        <f>HYPERLINK("https://klasma.github.io/Logging_2305/klagomål/A 47295-2023 FSC-klagomål.docx", "A 47295-2023")</f>
        <v/>
      </c>
      <c r="W228">
        <f>HYPERLINK("https://klasma.github.io/Logging_2305/klagomålsmail/A 47295-2023 FSC-klagomål mail.docx", "A 47295-2023")</f>
        <v/>
      </c>
      <c r="X228">
        <f>HYPERLINK("https://klasma.github.io/Logging_2305/tillsyn/A 47295-2023 tillsynsbegäran.docx", "A 47295-2023")</f>
        <v/>
      </c>
      <c r="Y228">
        <f>HYPERLINK("https://klasma.github.io/Logging_2305/tillsynsmail/A 47295-2023 tillsynsbegäran mail.docx", "A 47295-2023")</f>
        <v/>
      </c>
    </row>
    <row r="229" ht="15" customHeight="1">
      <c r="A229" t="inlineStr">
        <is>
          <t>A 47498-2023</t>
        </is>
      </c>
      <c r="B229" s="1" t="n">
        <v>45202</v>
      </c>
      <c r="C229" s="1" t="n">
        <v>45754</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48780-2023</t>
        </is>
      </c>
      <c r="B230" s="1" t="n">
        <v>45208</v>
      </c>
      <c r="C230" s="1" t="n">
        <v>45754</v>
      </c>
      <c r="D230" t="inlineStr">
        <is>
          <t>JÄMTLANDS LÄN</t>
        </is>
      </c>
      <c r="E230" t="inlineStr">
        <is>
          <t>BRÄCKE</t>
        </is>
      </c>
      <c r="F230" t="inlineStr">
        <is>
          <t>Naturvårdsverket</t>
        </is>
      </c>
      <c r="G230" t="n">
        <v>11.2</v>
      </c>
      <c r="H230" t="n">
        <v>0</v>
      </c>
      <c r="I230" t="n">
        <v>1</v>
      </c>
      <c r="J230" t="n">
        <v>1</v>
      </c>
      <c r="K230" t="n">
        <v>0</v>
      </c>
      <c r="L230" t="n">
        <v>0</v>
      </c>
      <c r="M230" t="n">
        <v>0</v>
      </c>
      <c r="N230" t="n">
        <v>0</v>
      </c>
      <c r="O230" t="n">
        <v>1</v>
      </c>
      <c r="P230" t="n">
        <v>0</v>
      </c>
      <c r="Q230" t="n">
        <v>2</v>
      </c>
      <c r="R230" s="2" t="inlineStr">
        <is>
          <t>Lunglav
Dropptaggsvamp</t>
        </is>
      </c>
      <c r="S230">
        <f>HYPERLINK("https://klasma.github.io/Logging_2305/artfynd/A 48780-2023 artfynd.xlsx", "A 48780-2023")</f>
        <v/>
      </c>
      <c r="T230">
        <f>HYPERLINK("https://klasma.github.io/Logging_2305/kartor/A 48780-2023 karta.png", "A 48780-2023")</f>
        <v/>
      </c>
      <c r="V230">
        <f>HYPERLINK("https://klasma.github.io/Logging_2305/klagomål/A 48780-2023 FSC-klagomål.docx", "A 48780-2023")</f>
        <v/>
      </c>
      <c r="W230">
        <f>HYPERLINK("https://klasma.github.io/Logging_2305/klagomålsmail/A 48780-2023 FSC-klagomål mail.docx", "A 48780-2023")</f>
        <v/>
      </c>
      <c r="X230">
        <f>HYPERLINK("https://klasma.github.io/Logging_2305/tillsyn/A 48780-2023 tillsynsbegäran.docx", "A 48780-2023")</f>
        <v/>
      </c>
      <c r="Y230">
        <f>HYPERLINK("https://klasma.github.io/Logging_2305/tillsynsmail/A 48780-2023 tillsynsbegäran mail.docx", "A 48780-2023")</f>
        <v/>
      </c>
    </row>
    <row r="231" ht="15" customHeight="1">
      <c r="A231" t="inlineStr">
        <is>
          <t>A 49328-2023</t>
        </is>
      </c>
      <c r="B231" s="1" t="n">
        <v>45210</v>
      </c>
      <c r="C231" s="1" t="n">
        <v>45754</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49328-2023 artfynd.xlsx", "A 49328-2023")</f>
        <v/>
      </c>
      <c r="T231">
        <f>HYPERLINK("https://klasma.github.io/Logging_2305/kartor/A 49328-2023 karta.png", "A 49328-2023")</f>
        <v/>
      </c>
      <c r="V231">
        <f>HYPERLINK("https://klasma.github.io/Logging_2305/klagomål/A 49328-2023 FSC-klagomål.docx", "A 49328-2023")</f>
        <v/>
      </c>
      <c r="W231">
        <f>HYPERLINK("https://klasma.github.io/Logging_2305/klagomålsmail/A 49328-2023 FSC-klagomål mail.docx", "A 49328-2023")</f>
        <v/>
      </c>
      <c r="X231">
        <f>HYPERLINK("https://klasma.github.io/Logging_2305/tillsyn/A 49328-2023 tillsynsbegäran.docx", "A 49328-2023")</f>
        <v/>
      </c>
      <c r="Y231">
        <f>HYPERLINK("https://klasma.github.io/Logging_2305/tillsynsmail/A 49328-2023 tillsynsbegäran mail.docx", "A 49328-2023")</f>
        <v/>
      </c>
    </row>
    <row r="232" ht="15" customHeight="1">
      <c r="A232" t="inlineStr">
        <is>
          <t>A 50497-2023</t>
        </is>
      </c>
      <c r="B232" s="1" t="n">
        <v>45217</v>
      </c>
      <c r="C232" s="1" t="n">
        <v>45754</v>
      </c>
      <c r="D232" t="inlineStr">
        <is>
          <t>JÄMTLANDS LÄN</t>
        </is>
      </c>
      <c r="E232" t="inlineStr">
        <is>
          <t>BRÄCKE</t>
        </is>
      </c>
      <c r="F232" t="inlineStr">
        <is>
          <t>SCA</t>
        </is>
      </c>
      <c r="G232" t="n">
        <v>2.5</v>
      </c>
      <c r="H232" t="n">
        <v>1</v>
      </c>
      <c r="I232" t="n">
        <v>1</v>
      </c>
      <c r="J232" t="n">
        <v>0</v>
      </c>
      <c r="K232" t="n">
        <v>1</v>
      </c>
      <c r="L232" t="n">
        <v>0</v>
      </c>
      <c r="M232" t="n">
        <v>0</v>
      </c>
      <c r="N232" t="n">
        <v>0</v>
      </c>
      <c r="O232" t="n">
        <v>1</v>
      </c>
      <c r="P232" t="n">
        <v>1</v>
      </c>
      <c r="Q232" t="n">
        <v>2</v>
      </c>
      <c r="R232" s="2" t="inlineStr">
        <is>
          <t>Knärot
Skuggblåslav</t>
        </is>
      </c>
      <c r="S232">
        <f>HYPERLINK("https://klasma.github.io/Logging_2305/artfynd/A 50497-2023 artfynd.xlsx", "A 50497-2023")</f>
        <v/>
      </c>
      <c r="T232">
        <f>HYPERLINK("https://klasma.github.io/Logging_2305/kartor/A 50497-2023 karta.png", "A 50497-2023")</f>
        <v/>
      </c>
      <c r="U232">
        <f>HYPERLINK("https://klasma.github.io/Logging_2305/knärot/A 50497-2023 karta knärot.png", "A 50497-2023")</f>
        <v/>
      </c>
      <c r="V232">
        <f>HYPERLINK("https://klasma.github.io/Logging_2305/klagomål/A 50497-2023 FSC-klagomål.docx", "A 50497-2023")</f>
        <v/>
      </c>
      <c r="W232">
        <f>HYPERLINK("https://klasma.github.io/Logging_2305/klagomålsmail/A 50497-2023 FSC-klagomål mail.docx", "A 50497-2023")</f>
        <v/>
      </c>
      <c r="X232">
        <f>HYPERLINK("https://klasma.github.io/Logging_2305/tillsyn/A 50497-2023 tillsynsbegäran.docx", "A 50497-2023")</f>
        <v/>
      </c>
      <c r="Y232">
        <f>HYPERLINK("https://klasma.github.io/Logging_2305/tillsynsmail/A 50497-2023 tillsynsbegäran mail.docx", "A 50497-2023")</f>
        <v/>
      </c>
    </row>
    <row r="233" ht="15" customHeight="1">
      <c r="A233" t="inlineStr">
        <is>
          <t>A 51822-2023</t>
        </is>
      </c>
      <c r="B233" s="1" t="n">
        <v>45222</v>
      </c>
      <c r="C233" s="1" t="n">
        <v>45754</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Harticka
Ullticka</t>
        </is>
      </c>
      <c r="S233">
        <f>HYPERLINK("https://klasma.github.io/Logging_2305/artfynd/A 51822-2023 artfynd.xlsx", "A 51822-2023")</f>
        <v/>
      </c>
      <c r="T233">
        <f>HYPERLINK("https://klasma.github.io/Logging_2305/kartor/A 51822-2023 karta.png", "A 51822-2023")</f>
        <v/>
      </c>
      <c r="V233">
        <f>HYPERLINK("https://klasma.github.io/Logging_2305/klagomål/A 51822-2023 FSC-klagomål.docx", "A 51822-2023")</f>
        <v/>
      </c>
      <c r="W233">
        <f>HYPERLINK("https://klasma.github.io/Logging_2305/klagomålsmail/A 51822-2023 FSC-klagomål mail.docx", "A 51822-2023")</f>
        <v/>
      </c>
      <c r="X233">
        <f>HYPERLINK("https://klasma.github.io/Logging_2305/tillsyn/A 51822-2023 tillsynsbegäran.docx", "A 51822-2023")</f>
        <v/>
      </c>
      <c r="Y233">
        <f>HYPERLINK("https://klasma.github.io/Logging_2305/tillsynsmail/A 51822-2023 tillsynsbegäran mail.docx", "A 51822-2023")</f>
        <v/>
      </c>
    </row>
    <row r="234" ht="15" customHeight="1">
      <c r="A234" t="inlineStr">
        <is>
          <t>A 54051-2023</t>
        </is>
      </c>
      <c r="B234" s="1" t="n">
        <v>45232</v>
      </c>
      <c r="C234" s="1" t="n">
        <v>45754</v>
      </c>
      <c r="D234" t="inlineStr">
        <is>
          <t>JÄMTLANDS LÄN</t>
        </is>
      </c>
      <c r="E234" t="inlineStr">
        <is>
          <t>BRÄCKE</t>
        </is>
      </c>
      <c r="F234" t="inlineStr">
        <is>
          <t>SCA</t>
        </is>
      </c>
      <c r="G234" t="n">
        <v>2.4</v>
      </c>
      <c r="H234" t="n">
        <v>0</v>
      </c>
      <c r="I234" t="n">
        <v>0</v>
      </c>
      <c r="J234" t="n">
        <v>2</v>
      </c>
      <c r="K234" t="n">
        <v>0</v>
      </c>
      <c r="L234" t="n">
        <v>0</v>
      </c>
      <c r="M234" t="n">
        <v>0</v>
      </c>
      <c r="N234" t="n">
        <v>0</v>
      </c>
      <c r="O234" t="n">
        <v>2</v>
      </c>
      <c r="P234" t="n">
        <v>0</v>
      </c>
      <c r="Q234" t="n">
        <v>2</v>
      </c>
      <c r="R234" s="2" t="inlineStr">
        <is>
          <t>Blå taggsvamp
Skrovlig taggsvamp</t>
        </is>
      </c>
      <c r="S234">
        <f>HYPERLINK("https://klasma.github.io/Logging_2305/artfynd/A 54051-2023 artfynd.xlsx", "A 54051-2023")</f>
        <v/>
      </c>
      <c r="T234">
        <f>HYPERLINK("https://klasma.github.io/Logging_2305/kartor/A 54051-2023 karta.png", "A 54051-2023")</f>
        <v/>
      </c>
      <c r="V234">
        <f>HYPERLINK("https://klasma.github.io/Logging_2305/klagomål/A 54051-2023 FSC-klagomål.docx", "A 54051-2023")</f>
        <v/>
      </c>
      <c r="W234">
        <f>HYPERLINK("https://klasma.github.io/Logging_2305/klagomålsmail/A 54051-2023 FSC-klagomål mail.docx", "A 54051-2023")</f>
        <v/>
      </c>
      <c r="X234">
        <f>HYPERLINK("https://klasma.github.io/Logging_2305/tillsyn/A 54051-2023 tillsynsbegäran.docx", "A 54051-2023")</f>
        <v/>
      </c>
      <c r="Y234">
        <f>HYPERLINK("https://klasma.github.io/Logging_2305/tillsynsmail/A 54051-2023 tillsynsbegäran mail.docx", "A 54051-2023")</f>
        <v/>
      </c>
    </row>
    <row r="235" ht="15" customHeight="1">
      <c r="A235" t="inlineStr">
        <is>
          <t>A 55343-2023</t>
        </is>
      </c>
      <c r="B235" s="1" t="n">
        <v>45237</v>
      </c>
      <c r="C235" s="1" t="n">
        <v>45754</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57075-2023</t>
        </is>
      </c>
      <c r="B236" s="1" t="n">
        <v>45245</v>
      </c>
      <c r="C236" s="1" t="n">
        <v>45754</v>
      </c>
      <c r="D236" t="inlineStr">
        <is>
          <t>JÄMTLANDS LÄN</t>
        </is>
      </c>
      <c r="E236" t="inlineStr">
        <is>
          <t>BRÄCKE</t>
        </is>
      </c>
      <c r="F236" t="inlineStr">
        <is>
          <t>SCA</t>
        </is>
      </c>
      <c r="G236" t="n">
        <v>7.5</v>
      </c>
      <c r="H236" t="n">
        <v>1</v>
      </c>
      <c r="I236" t="n">
        <v>1</v>
      </c>
      <c r="J236" t="n">
        <v>0</v>
      </c>
      <c r="K236" t="n">
        <v>0</v>
      </c>
      <c r="L236" t="n">
        <v>0</v>
      </c>
      <c r="M236" t="n">
        <v>0</v>
      </c>
      <c r="N236" t="n">
        <v>0</v>
      </c>
      <c r="O236" t="n">
        <v>0</v>
      </c>
      <c r="P236" t="n">
        <v>0</v>
      </c>
      <c r="Q236" t="n">
        <v>2</v>
      </c>
      <c r="R236" s="2" t="inlineStr">
        <is>
          <t>Stor aspticka
Gråspett</t>
        </is>
      </c>
      <c r="S236">
        <f>HYPERLINK("https://klasma.github.io/Logging_2305/artfynd/A 57075-2023 artfynd.xlsx", "A 57075-2023")</f>
        <v/>
      </c>
      <c r="T236">
        <f>HYPERLINK("https://klasma.github.io/Logging_2305/kartor/A 57075-2023 karta.png", "A 57075-2023")</f>
        <v/>
      </c>
      <c r="V236">
        <f>HYPERLINK("https://klasma.github.io/Logging_2305/klagomål/A 57075-2023 FSC-klagomål.docx", "A 57075-2023")</f>
        <v/>
      </c>
      <c r="W236">
        <f>HYPERLINK("https://klasma.github.io/Logging_2305/klagomålsmail/A 57075-2023 FSC-klagomål mail.docx", "A 57075-2023")</f>
        <v/>
      </c>
      <c r="X236">
        <f>HYPERLINK("https://klasma.github.io/Logging_2305/tillsyn/A 57075-2023 tillsynsbegäran.docx", "A 57075-2023")</f>
        <v/>
      </c>
      <c r="Y236">
        <f>HYPERLINK("https://klasma.github.io/Logging_2305/tillsynsmail/A 57075-2023 tillsynsbegäran mail.docx", "A 57075-2023")</f>
        <v/>
      </c>
      <c r="Z236">
        <f>HYPERLINK("https://klasma.github.io/Logging_2305/fåglar/A 57075-2023 prioriterade fågelarter.docx", "A 57075-2023")</f>
        <v/>
      </c>
    </row>
    <row r="237" ht="15" customHeight="1">
      <c r="A237" t="inlineStr">
        <is>
          <t>A 59667-2023</t>
        </is>
      </c>
      <c r="B237" s="1" t="n">
        <v>45255</v>
      </c>
      <c r="C237" s="1" t="n">
        <v>45754</v>
      </c>
      <c r="D237" t="inlineStr">
        <is>
          <t>JÄMTLANDS LÄN</t>
        </is>
      </c>
      <c r="E237" t="inlineStr">
        <is>
          <t>BRÄCKE</t>
        </is>
      </c>
      <c r="F237" t="inlineStr">
        <is>
          <t>SCA</t>
        </is>
      </c>
      <c r="G237" t="n">
        <v>6.4</v>
      </c>
      <c r="H237" t="n">
        <v>0</v>
      </c>
      <c r="I237" t="n">
        <v>1</v>
      </c>
      <c r="J237" t="n">
        <v>1</v>
      </c>
      <c r="K237" t="n">
        <v>0</v>
      </c>
      <c r="L237" t="n">
        <v>0</v>
      </c>
      <c r="M237" t="n">
        <v>0</v>
      </c>
      <c r="N237" t="n">
        <v>0</v>
      </c>
      <c r="O237" t="n">
        <v>1</v>
      </c>
      <c r="P237" t="n">
        <v>0</v>
      </c>
      <c r="Q237" t="n">
        <v>2</v>
      </c>
      <c r="R237" s="2" t="inlineStr">
        <is>
          <t>Vitgrynig nållav
Kransrams</t>
        </is>
      </c>
      <c r="S237">
        <f>HYPERLINK("https://klasma.github.io/Logging_2305/artfynd/A 59667-2023 artfynd.xlsx", "A 59667-2023")</f>
        <v/>
      </c>
      <c r="T237">
        <f>HYPERLINK("https://klasma.github.io/Logging_2305/kartor/A 59667-2023 karta.png", "A 59667-2023")</f>
        <v/>
      </c>
      <c r="V237">
        <f>HYPERLINK("https://klasma.github.io/Logging_2305/klagomål/A 59667-2023 FSC-klagomål.docx", "A 59667-2023")</f>
        <v/>
      </c>
      <c r="W237">
        <f>HYPERLINK("https://klasma.github.io/Logging_2305/klagomålsmail/A 59667-2023 FSC-klagomål mail.docx", "A 59667-2023")</f>
        <v/>
      </c>
      <c r="X237">
        <f>HYPERLINK("https://klasma.github.io/Logging_2305/tillsyn/A 59667-2023 tillsynsbegäran.docx", "A 59667-2023")</f>
        <v/>
      </c>
      <c r="Y237">
        <f>HYPERLINK("https://klasma.github.io/Logging_2305/tillsynsmail/A 59667-2023 tillsynsbegäran mail.docx", "A 59667-2023")</f>
        <v/>
      </c>
    </row>
    <row r="238" ht="15" customHeight="1">
      <c r="A238" t="inlineStr">
        <is>
          <t>A 6903-2024</t>
        </is>
      </c>
      <c r="B238" s="1" t="n">
        <v>45342</v>
      </c>
      <c r="C238" s="1" t="n">
        <v>45754</v>
      </c>
      <c r="D238" t="inlineStr">
        <is>
          <t>JÄMTLANDS LÄN</t>
        </is>
      </c>
      <c r="E238" t="inlineStr">
        <is>
          <t>BRÄCKE</t>
        </is>
      </c>
      <c r="F238" t="inlineStr">
        <is>
          <t>SCA</t>
        </is>
      </c>
      <c r="G238" t="n">
        <v>5.9</v>
      </c>
      <c r="H238" t="n">
        <v>1</v>
      </c>
      <c r="I238" t="n">
        <v>0</v>
      </c>
      <c r="J238" t="n">
        <v>1</v>
      </c>
      <c r="K238" t="n">
        <v>1</v>
      </c>
      <c r="L238" t="n">
        <v>0</v>
      </c>
      <c r="M238" t="n">
        <v>0</v>
      </c>
      <c r="N238" t="n">
        <v>0</v>
      </c>
      <c r="O238" t="n">
        <v>2</v>
      </c>
      <c r="P238" t="n">
        <v>1</v>
      </c>
      <c r="Q238" t="n">
        <v>2</v>
      </c>
      <c r="R238" s="2" t="inlineStr">
        <is>
          <t>Knärot
Lunglav</t>
        </is>
      </c>
      <c r="S238">
        <f>HYPERLINK("https://klasma.github.io/Logging_2305/artfynd/A 6903-2024 artfynd.xlsx", "A 6903-2024")</f>
        <v/>
      </c>
      <c r="T238">
        <f>HYPERLINK("https://klasma.github.io/Logging_2305/kartor/A 6903-2024 karta.png", "A 6903-2024")</f>
        <v/>
      </c>
      <c r="U238">
        <f>HYPERLINK("https://klasma.github.io/Logging_2305/knärot/A 6903-2024 karta knärot.png", "A 6903-2024")</f>
        <v/>
      </c>
      <c r="V238">
        <f>HYPERLINK("https://klasma.github.io/Logging_2305/klagomål/A 6903-2024 FSC-klagomål.docx", "A 6903-2024")</f>
        <v/>
      </c>
      <c r="W238">
        <f>HYPERLINK("https://klasma.github.io/Logging_2305/klagomålsmail/A 6903-2024 FSC-klagomål mail.docx", "A 6903-2024")</f>
        <v/>
      </c>
      <c r="X238">
        <f>HYPERLINK("https://klasma.github.io/Logging_2305/tillsyn/A 6903-2024 tillsynsbegäran.docx", "A 6903-2024")</f>
        <v/>
      </c>
      <c r="Y238">
        <f>HYPERLINK("https://klasma.github.io/Logging_2305/tillsynsmail/A 6903-2024 tillsynsbegäran mail.docx", "A 6903-2024")</f>
        <v/>
      </c>
    </row>
    <row r="239" ht="15" customHeight="1">
      <c r="A239" t="inlineStr">
        <is>
          <t>A 8248-2024</t>
        </is>
      </c>
      <c r="B239" s="1" t="n">
        <v>45351</v>
      </c>
      <c r="C239" s="1" t="n">
        <v>45754</v>
      </c>
      <c r="D239" t="inlineStr">
        <is>
          <t>JÄMTLANDS LÄN</t>
        </is>
      </c>
      <c r="E239" t="inlineStr">
        <is>
          <t>BRÄCKE</t>
        </is>
      </c>
      <c r="F239" t="inlineStr">
        <is>
          <t>SCA</t>
        </is>
      </c>
      <c r="G239" t="n">
        <v>1.8</v>
      </c>
      <c r="H239" t="n">
        <v>0</v>
      </c>
      <c r="I239" t="n">
        <v>0</v>
      </c>
      <c r="J239" t="n">
        <v>2</v>
      </c>
      <c r="K239" t="n">
        <v>0</v>
      </c>
      <c r="L239" t="n">
        <v>0</v>
      </c>
      <c r="M239" t="n">
        <v>0</v>
      </c>
      <c r="N239" t="n">
        <v>0</v>
      </c>
      <c r="O239" t="n">
        <v>2</v>
      </c>
      <c r="P239" t="n">
        <v>0</v>
      </c>
      <c r="Q239" t="n">
        <v>2</v>
      </c>
      <c r="R239" s="2" t="inlineStr">
        <is>
          <t>Rosenticka
Ullticka</t>
        </is>
      </c>
      <c r="S239">
        <f>HYPERLINK("https://klasma.github.io/Logging_2305/artfynd/A 8248-2024 artfynd.xlsx", "A 8248-2024")</f>
        <v/>
      </c>
      <c r="T239">
        <f>HYPERLINK("https://klasma.github.io/Logging_2305/kartor/A 8248-2024 karta.png", "A 8248-2024")</f>
        <v/>
      </c>
      <c r="V239">
        <f>HYPERLINK("https://klasma.github.io/Logging_2305/klagomål/A 8248-2024 FSC-klagomål.docx", "A 8248-2024")</f>
        <v/>
      </c>
      <c r="W239">
        <f>HYPERLINK("https://klasma.github.io/Logging_2305/klagomålsmail/A 8248-2024 FSC-klagomål mail.docx", "A 8248-2024")</f>
        <v/>
      </c>
      <c r="X239">
        <f>HYPERLINK("https://klasma.github.io/Logging_2305/tillsyn/A 8248-2024 tillsynsbegäran.docx", "A 8248-2024")</f>
        <v/>
      </c>
      <c r="Y239">
        <f>HYPERLINK("https://klasma.github.io/Logging_2305/tillsynsmail/A 8248-2024 tillsynsbegäran mail.docx", "A 8248-2024")</f>
        <v/>
      </c>
    </row>
    <row r="240" ht="15" customHeight="1">
      <c r="A240" t="inlineStr">
        <is>
          <t>A 12588-2024</t>
        </is>
      </c>
      <c r="B240" s="1" t="n">
        <v>45379</v>
      </c>
      <c r="C240" s="1" t="n">
        <v>45754</v>
      </c>
      <c r="D240" t="inlineStr">
        <is>
          <t>JÄMTLANDS LÄN</t>
        </is>
      </c>
      <c r="E240" t="inlineStr">
        <is>
          <t>BRÄCKE</t>
        </is>
      </c>
      <c r="F240" t="inlineStr">
        <is>
          <t>SCA</t>
        </is>
      </c>
      <c r="G240" t="n">
        <v>5.1</v>
      </c>
      <c r="H240" t="n">
        <v>0</v>
      </c>
      <c r="I240" t="n">
        <v>0</v>
      </c>
      <c r="J240" t="n">
        <v>2</v>
      </c>
      <c r="K240" t="n">
        <v>0</v>
      </c>
      <c r="L240" t="n">
        <v>0</v>
      </c>
      <c r="M240" t="n">
        <v>0</v>
      </c>
      <c r="N240" t="n">
        <v>0</v>
      </c>
      <c r="O240" t="n">
        <v>2</v>
      </c>
      <c r="P240" t="n">
        <v>0</v>
      </c>
      <c r="Q240" t="n">
        <v>2</v>
      </c>
      <c r="R240" s="2" t="inlineStr">
        <is>
          <t>Blå taggsvamp
Ullticka</t>
        </is>
      </c>
      <c r="S240">
        <f>HYPERLINK("https://klasma.github.io/Logging_2305/artfynd/A 12588-2024 artfynd.xlsx", "A 12588-2024")</f>
        <v/>
      </c>
      <c r="T240">
        <f>HYPERLINK("https://klasma.github.io/Logging_2305/kartor/A 12588-2024 karta.png", "A 12588-2024")</f>
        <v/>
      </c>
      <c r="V240">
        <f>HYPERLINK("https://klasma.github.io/Logging_2305/klagomål/A 12588-2024 FSC-klagomål.docx", "A 12588-2024")</f>
        <v/>
      </c>
      <c r="W240">
        <f>HYPERLINK("https://klasma.github.io/Logging_2305/klagomålsmail/A 12588-2024 FSC-klagomål mail.docx", "A 12588-2024")</f>
        <v/>
      </c>
      <c r="X240">
        <f>HYPERLINK("https://klasma.github.io/Logging_2305/tillsyn/A 12588-2024 tillsynsbegäran.docx", "A 12588-2024")</f>
        <v/>
      </c>
      <c r="Y240">
        <f>HYPERLINK("https://klasma.github.io/Logging_2305/tillsynsmail/A 12588-2024 tillsynsbegäran mail.docx", "A 12588-2024")</f>
        <v/>
      </c>
    </row>
    <row r="241" ht="15" customHeight="1">
      <c r="A241" t="inlineStr">
        <is>
          <t>A 12861-2024</t>
        </is>
      </c>
      <c r="B241" s="1" t="n">
        <v>45385</v>
      </c>
      <c r="C241" s="1" t="n">
        <v>45754</v>
      </c>
      <c r="D241" t="inlineStr">
        <is>
          <t>JÄMTLANDS LÄN</t>
        </is>
      </c>
      <c r="E241" t="inlineStr">
        <is>
          <t>BRÄCKE</t>
        </is>
      </c>
      <c r="F241" t="inlineStr">
        <is>
          <t>SCA</t>
        </is>
      </c>
      <c r="G241" t="n">
        <v>5.3</v>
      </c>
      <c r="H241" t="n">
        <v>0</v>
      </c>
      <c r="I241" t="n">
        <v>1</v>
      </c>
      <c r="J241" t="n">
        <v>1</v>
      </c>
      <c r="K241" t="n">
        <v>0</v>
      </c>
      <c r="L241" t="n">
        <v>0</v>
      </c>
      <c r="M241" t="n">
        <v>0</v>
      </c>
      <c r="N241" t="n">
        <v>0</v>
      </c>
      <c r="O241" t="n">
        <v>1</v>
      </c>
      <c r="P241" t="n">
        <v>0</v>
      </c>
      <c r="Q241" t="n">
        <v>2</v>
      </c>
      <c r="R241" s="2" t="inlineStr">
        <is>
          <t>Kolflarnlav
Stuplav</t>
        </is>
      </c>
      <c r="S241">
        <f>HYPERLINK("https://klasma.github.io/Logging_2305/artfynd/A 12861-2024 artfynd.xlsx", "A 12861-2024")</f>
        <v/>
      </c>
      <c r="T241">
        <f>HYPERLINK("https://klasma.github.io/Logging_2305/kartor/A 12861-2024 karta.png", "A 12861-2024")</f>
        <v/>
      </c>
      <c r="V241">
        <f>HYPERLINK("https://klasma.github.io/Logging_2305/klagomål/A 12861-2024 FSC-klagomål.docx", "A 12861-2024")</f>
        <v/>
      </c>
      <c r="W241">
        <f>HYPERLINK("https://klasma.github.io/Logging_2305/klagomålsmail/A 12861-2024 FSC-klagomål mail.docx", "A 12861-2024")</f>
        <v/>
      </c>
      <c r="X241">
        <f>HYPERLINK("https://klasma.github.io/Logging_2305/tillsyn/A 12861-2024 tillsynsbegäran.docx", "A 12861-2024")</f>
        <v/>
      </c>
      <c r="Y241">
        <f>HYPERLINK("https://klasma.github.io/Logging_2305/tillsynsmail/A 12861-2024 tillsynsbegäran mail.docx", "A 12861-2024")</f>
        <v/>
      </c>
    </row>
    <row r="242" ht="15" customHeight="1">
      <c r="A242" t="inlineStr">
        <is>
          <t>A 12860-2024</t>
        </is>
      </c>
      <c r="B242" s="1" t="n">
        <v>45385</v>
      </c>
      <c r="C242" s="1" t="n">
        <v>45754</v>
      </c>
      <c r="D242" t="inlineStr">
        <is>
          <t>JÄMTLANDS LÄN</t>
        </is>
      </c>
      <c r="E242" t="inlineStr">
        <is>
          <t>BRÄCKE</t>
        </is>
      </c>
      <c r="F242" t="inlineStr">
        <is>
          <t>SCA</t>
        </is>
      </c>
      <c r="G242" t="n">
        <v>3.5</v>
      </c>
      <c r="H242" t="n">
        <v>0</v>
      </c>
      <c r="I242" t="n">
        <v>1</v>
      </c>
      <c r="J242" t="n">
        <v>0</v>
      </c>
      <c r="K242" t="n">
        <v>1</v>
      </c>
      <c r="L242" t="n">
        <v>0</v>
      </c>
      <c r="M242" t="n">
        <v>0</v>
      </c>
      <c r="N242" t="n">
        <v>0</v>
      </c>
      <c r="O242" t="n">
        <v>1</v>
      </c>
      <c r="P242" t="n">
        <v>1</v>
      </c>
      <c r="Q242" t="n">
        <v>2</v>
      </c>
      <c r="R242" s="2" t="inlineStr">
        <is>
          <t>Gräddporing
Skinnlav</t>
        </is>
      </c>
      <c r="S242">
        <f>HYPERLINK("https://klasma.github.io/Logging_2305/artfynd/A 12860-2024 artfynd.xlsx", "A 12860-2024")</f>
        <v/>
      </c>
      <c r="T242">
        <f>HYPERLINK("https://klasma.github.io/Logging_2305/kartor/A 12860-2024 karta.png", "A 12860-2024")</f>
        <v/>
      </c>
      <c r="V242">
        <f>HYPERLINK("https://klasma.github.io/Logging_2305/klagomål/A 12860-2024 FSC-klagomål.docx", "A 12860-2024")</f>
        <v/>
      </c>
      <c r="W242">
        <f>HYPERLINK("https://klasma.github.io/Logging_2305/klagomålsmail/A 12860-2024 FSC-klagomål mail.docx", "A 12860-2024")</f>
        <v/>
      </c>
      <c r="X242">
        <f>HYPERLINK("https://klasma.github.io/Logging_2305/tillsyn/A 12860-2024 tillsynsbegäran.docx", "A 12860-2024")</f>
        <v/>
      </c>
      <c r="Y242">
        <f>HYPERLINK("https://klasma.github.io/Logging_2305/tillsynsmail/A 12860-2024 tillsynsbegäran mail.docx", "A 12860-2024")</f>
        <v/>
      </c>
    </row>
    <row r="243" ht="15" customHeight="1">
      <c r="A243" t="inlineStr">
        <is>
          <t>A 13345-2024</t>
        </is>
      </c>
      <c r="B243" s="1" t="n">
        <v>45386</v>
      </c>
      <c r="C243" s="1" t="n">
        <v>45754</v>
      </c>
      <c r="D243" t="inlineStr">
        <is>
          <t>JÄMTLANDS LÄN</t>
        </is>
      </c>
      <c r="E243" t="inlineStr">
        <is>
          <t>BRÄCKE</t>
        </is>
      </c>
      <c r="F243" t="inlineStr">
        <is>
          <t>SCA</t>
        </is>
      </c>
      <c r="G243" t="n">
        <v>5.3</v>
      </c>
      <c r="H243" t="n">
        <v>0</v>
      </c>
      <c r="I243" t="n">
        <v>1</v>
      </c>
      <c r="J243" t="n">
        <v>1</v>
      </c>
      <c r="K243" t="n">
        <v>0</v>
      </c>
      <c r="L243" t="n">
        <v>0</v>
      </c>
      <c r="M243" t="n">
        <v>0</v>
      </c>
      <c r="N243" t="n">
        <v>0</v>
      </c>
      <c r="O243" t="n">
        <v>1</v>
      </c>
      <c r="P243" t="n">
        <v>0</v>
      </c>
      <c r="Q243" t="n">
        <v>2</v>
      </c>
      <c r="R243" s="2" t="inlineStr">
        <is>
          <t>Lunglav
Dropptaggsvamp</t>
        </is>
      </c>
      <c r="S243">
        <f>HYPERLINK("https://klasma.github.io/Logging_2305/artfynd/A 13345-2024 artfynd.xlsx", "A 13345-2024")</f>
        <v/>
      </c>
      <c r="T243">
        <f>HYPERLINK("https://klasma.github.io/Logging_2305/kartor/A 13345-2024 karta.png", "A 13345-2024")</f>
        <v/>
      </c>
      <c r="V243">
        <f>HYPERLINK("https://klasma.github.io/Logging_2305/klagomål/A 13345-2024 FSC-klagomål.docx", "A 13345-2024")</f>
        <v/>
      </c>
      <c r="W243">
        <f>HYPERLINK("https://klasma.github.io/Logging_2305/klagomålsmail/A 13345-2024 FSC-klagomål mail.docx", "A 13345-2024")</f>
        <v/>
      </c>
      <c r="X243">
        <f>HYPERLINK("https://klasma.github.io/Logging_2305/tillsyn/A 13345-2024 tillsynsbegäran.docx", "A 13345-2024")</f>
        <v/>
      </c>
      <c r="Y243">
        <f>HYPERLINK("https://klasma.github.io/Logging_2305/tillsynsmail/A 13345-2024 tillsynsbegäran mail.docx", "A 13345-2024")</f>
        <v/>
      </c>
    </row>
    <row r="244" ht="15" customHeight="1">
      <c r="A244" t="inlineStr">
        <is>
          <t>A 15146-2024</t>
        </is>
      </c>
      <c r="B244" s="1" t="n">
        <v>45400</v>
      </c>
      <c r="C244" s="1" t="n">
        <v>45754</v>
      </c>
      <c r="D244" t="inlineStr">
        <is>
          <t>JÄMTLANDS LÄN</t>
        </is>
      </c>
      <c r="E244" t="inlineStr">
        <is>
          <t>BRÄCKE</t>
        </is>
      </c>
      <c r="F244" t="inlineStr">
        <is>
          <t>Naturvårdsverket</t>
        </is>
      </c>
      <c r="G244" t="n">
        <v>2.2</v>
      </c>
      <c r="H244" t="n">
        <v>0</v>
      </c>
      <c r="I244" t="n">
        <v>0</v>
      </c>
      <c r="J244" t="n">
        <v>2</v>
      </c>
      <c r="K244" t="n">
        <v>0</v>
      </c>
      <c r="L244" t="n">
        <v>0</v>
      </c>
      <c r="M244" t="n">
        <v>0</v>
      </c>
      <c r="N244" t="n">
        <v>0</v>
      </c>
      <c r="O244" t="n">
        <v>2</v>
      </c>
      <c r="P244" t="n">
        <v>0</v>
      </c>
      <c r="Q244" t="n">
        <v>2</v>
      </c>
      <c r="R244" s="2" t="inlineStr">
        <is>
          <t>Garnlav
Ullticka</t>
        </is>
      </c>
      <c r="S244">
        <f>HYPERLINK("https://klasma.github.io/Logging_2305/artfynd/A 15146-2024 artfynd.xlsx", "A 15146-2024")</f>
        <v/>
      </c>
      <c r="T244">
        <f>HYPERLINK("https://klasma.github.io/Logging_2305/kartor/A 15146-2024 karta.png", "A 15146-2024")</f>
        <v/>
      </c>
      <c r="V244">
        <f>HYPERLINK("https://klasma.github.io/Logging_2305/klagomål/A 15146-2024 FSC-klagomål.docx", "A 15146-2024")</f>
        <v/>
      </c>
      <c r="W244">
        <f>HYPERLINK("https://klasma.github.io/Logging_2305/klagomålsmail/A 15146-2024 FSC-klagomål mail.docx", "A 15146-2024")</f>
        <v/>
      </c>
      <c r="X244">
        <f>HYPERLINK("https://klasma.github.io/Logging_2305/tillsyn/A 15146-2024 tillsynsbegäran.docx", "A 15146-2024")</f>
        <v/>
      </c>
      <c r="Y244">
        <f>HYPERLINK("https://klasma.github.io/Logging_2305/tillsynsmail/A 15146-2024 tillsynsbegäran mail.docx", "A 15146-2024")</f>
        <v/>
      </c>
    </row>
    <row r="245" ht="15" customHeight="1">
      <c r="A245" t="inlineStr">
        <is>
          <t>A 15153-2024</t>
        </is>
      </c>
      <c r="B245" s="1" t="n">
        <v>45400</v>
      </c>
      <c r="C245" s="1" t="n">
        <v>45754</v>
      </c>
      <c r="D245" t="inlineStr">
        <is>
          <t>JÄMTLANDS LÄN</t>
        </is>
      </c>
      <c r="E245" t="inlineStr">
        <is>
          <t>BRÄCKE</t>
        </is>
      </c>
      <c r="F245" t="inlineStr">
        <is>
          <t>SCA</t>
        </is>
      </c>
      <c r="G245" t="n">
        <v>3.2</v>
      </c>
      <c r="H245" t="n">
        <v>0</v>
      </c>
      <c r="I245" t="n">
        <v>0</v>
      </c>
      <c r="J245" t="n">
        <v>2</v>
      </c>
      <c r="K245" t="n">
        <v>0</v>
      </c>
      <c r="L245" t="n">
        <v>0</v>
      </c>
      <c r="M245" t="n">
        <v>0</v>
      </c>
      <c r="N245" t="n">
        <v>0</v>
      </c>
      <c r="O245" t="n">
        <v>2</v>
      </c>
      <c r="P245" t="n">
        <v>0</v>
      </c>
      <c r="Q245" t="n">
        <v>2</v>
      </c>
      <c r="R245" s="2" t="inlineStr">
        <is>
          <t>Granticka
Lunglav</t>
        </is>
      </c>
      <c r="S245">
        <f>HYPERLINK("https://klasma.github.io/Logging_2305/artfynd/A 15153-2024 artfynd.xlsx", "A 15153-2024")</f>
        <v/>
      </c>
      <c r="T245">
        <f>HYPERLINK("https://klasma.github.io/Logging_2305/kartor/A 15153-2024 karta.png", "A 15153-2024")</f>
        <v/>
      </c>
      <c r="V245">
        <f>HYPERLINK("https://klasma.github.io/Logging_2305/klagomål/A 15153-2024 FSC-klagomål.docx", "A 15153-2024")</f>
        <v/>
      </c>
      <c r="W245">
        <f>HYPERLINK("https://klasma.github.io/Logging_2305/klagomålsmail/A 15153-2024 FSC-klagomål mail.docx", "A 15153-2024")</f>
        <v/>
      </c>
      <c r="X245">
        <f>HYPERLINK("https://klasma.github.io/Logging_2305/tillsyn/A 15153-2024 tillsynsbegäran.docx", "A 15153-2024")</f>
        <v/>
      </c>
      <c r="Y245">
        <f>HYPERLINK("https://klasma.github.io/Logging_2305/tillsynsmail/A 15153-2024 tillsynsbegäran mail.docx", "A 15153-2024")</f>
        <v/>
      </c>
    </row>
    <row r="246" ht="15" customHeight="1">
      <c r="A246" t="inlineStr">
        <is>
          <t>A 16245-2024</t>
        </is>
      </c>
      <c r="B246" s="1" t="n">
        <v>45407</v>
      </c>
      <c r="C246" s="1" t="n">
        <v>45754</v>
      </c>
      <c r="D246" t="inlineStr">
        <is>
          <t>JÄMTLANDS LÄN</t>
        </is>
      </c>
      <c r="E246" t="inlineStr">
        <is>
          <t>BRÄCKE</t>
        </is>
      </c>
      <c r="F246" t="inlineStr">
        <is>
          <t>SCA</t>
        </is>
      </c>
      <c r="G246" t="n">
        <v>5</v>
      </c>
      <c r="H246" t="n">
        <v>0</v>
      </c>
      <c r="I246" t="n">
        <v>0</v>
      </c>
      <c r="J246" t="n">
        <v>2</v>
      </c>
      <c r="K246" t="n">
        <v>0</v>
      </c>
      <c r="L246" t="n">
        <v>0</v>
      </c>
      <c r="M246" t="n">
        <v>0</v>
      </c>
      <c r="N246" t="n">
        <v>0</v>
      </c>
      <c r="O246" t="n">
        <v>2</v>
      </c>
      <c r="P246" t="n">
        <v>0</v>
      </c>
      <c r="Q246" t="n">
        <v>2</v>
      </c>
      <c r="R246" s="2" t="inlineStr">
        <is>
          <t>Garnlav
Lunglav</t>
        </is>
      </c>
      <c r="S246">
        <f>HYPERLINK("https://klasma.github.io/Logging_2305/artfynd/A 16245-2024 artfynd.xlsx", "A 16245-2024")</f>
        <v/>
      </c>
      <c r="T246">
        <f>HYPERLINK("https://klasma.github.io/Logging_2305/kartor/A 16245-2024 karta.png", "A 16245-2024")</f>
        <v/>
      </c>
      <c r="V246">
        <f>HYPERLINK("https://klasma.github.io/Logging_2305/klagomål/A 16245-2024 FSC-klagomål.docx", "A 16245-2024")</f>
        <v/>
      </c>
      <c r="W246">
        <f>HYPERLINK("https://klasma.github.io/Logging_2305/klagomålsmail/A 16245-2024 FSC-klagomål mail.docx", "A 16245-2024")</f>
        <v/>
      </c>
      <c r="X246">
        <f>HYPERLINK("https://klasma.github.io/Logging_2305/tillsyn/A 16245-2024 tillsynsbegäran.docx", "A 16245-2024")</f>
        <v/>
      </c>
      <c r="Y246">
        <f>HYPERLINK("https://klasma.github.io/Logging_2305/tillsynsmail/A 16245-2024 tillsynsbegäran mail.docx", "A 16245-2024")</f>
        <v/>
      </c>
    </row>
    <row r="247" ht="15" customHeight="1">
      <c r="A247" t="inlineStr">
        <is>
          <t>A 16465-2024</t>
        </is>
      </c>
      <c r="B247" s="1" t="n">
        <v>45408</v>
      </c>
      <c r="C247" s="1" t="n">
        <v>45754</v>
      </c>
      <c r="D247" t="inlineStr">
        <is>
          <t>JÄMTLANDS LÄN</t>
        </is>
      </c>
      <c r="E247" t="inlineStr">
        <is>
          <t>BRÄCKE</t>
        </is>
      </c>
      <c r="F247" t="inlineStr">
        <is>
          <t>SCA</t>
        </is>
      </c>
      <c r="G247" t="n">
        <v>6.1</v>
      </c>
      <c r="H247" t="n">
        <v>1</v>
      </c>
      <c r="I247" t="n">
        <v>0</v>
      </c>
      <c r="J247" t="n">
        <v>2</v>
      </c>
      <c r="K247" t="n">
        <v>0</v>
      </c>
      <c r="L247" t="n">
        <v>0</v>
      </c>
      <c r="M247" t="n">
        <v>0</v>
      </c>
      <c r="N247" t="n">
        <v>0</v>
      </c>
      <c r="O247" t="n">
        <v>2</v>
      </c>
      <c r="P247" t="n">
        <v>0</v>
      </c>
      <c r="Q247" t="n">
        <v>2</v>
      </c>
      <c r="R247" s="2" t="inlineStr">
        <is>
          <t>Lunglav
Tretåig hackspett</t>
        </is>
      </c>
      <c r="S247">
        <f>HYPERLINK("https://klasma.github.io/Logging_2305/artfynd/A 16465-2024 artfynd.xlsx", "A 16465-2024")</f>
        <v/>
      </c>
      <c r="T247">
        <f>HYPERLINK("https://klasma.github.io/Logging_2305/kartor/A 16465-2024 karta.png", "A 16465-2024")</f>
        <v/>
      </c>
      <c r="V247">
        <f>HYPERLINK("https://klasma.github.io/Logging_2305/klagomål/A 16465-2024 FSC-klagomål.docx", "A 16465-2024")</f>
        <v/>
      </c>
      <c r="W247">
        <f>HYPERLINK("https://klasma.github.io/Logging_2305/klagomålsmail/A 16465-2024 FSC-klagomål mail.docx", "A 16465-2024")</f>
        <v/>
      </c>
      <c r="X247">
        <f>HYPERLINK("https://klasma.github.io/Logging_2305/tillsyn/A 16465-2024 tillsynsbegäran.docx", "A 16465-2024")</f>
        <v/>
      </c>
      <c r="Y247">
        <f>HYPERLINK("https://klasma.github.io/Logging_2305/tillsynsmail/A 16465-2024 tillsynsbegäran mail.docx", "A 16465-2024")</f>
        <v/>
      </c>
      <c r="Z247">
        <f>HYPERLINK("https://klasma.github.io/Logging_2305/fåglar/A 16465-2024 prioriterade fågelarter.docx", "A 16465-2024")</f>
        <v/>
      </c>
    </row>
    <row r="248" ht="15" customHeight="1">
      <c r="A248" t="inlineStr">
        <is>
          <t>A 16716-2024</t>
        </is>
      </c>
      <c r="B248" s="1" t="n">
        <v>45409</v>
      </c>
      <c r="C248" s="1" t="n">
        <v>45754</v>
      </c>
      <c r="D248" t="inlineStr">
        <is>
          <t>JÄMTLANDS LÄN</t>
        </is>
      </c>
      <c r="E248" t="inlineStr">
        <is>
          <t>BRÄCKE</t>
        </is>
      </c>
      <c r="G248" t="n">
        <v>5.2</v>
      </c>
      <c r="H248" t="n">
        <v>1</v>
      </c>
      <c r="I248" t="n">
        <v>0</v>
      </c>
      <c r="J248" t="n">
        <v>1</v>
      </c>
      <c r="K248" t="n">
        <v>0</v>
      </c>
      <c r="L248" t="n">
        <v>0</v>
      </c>
      <c r="M248" t="n">
        <v>0</v>
      </c>
      <c r="N248" t="n">
        <v>0</v>
      </c>
      <c r="O248" t="n">
        <v>1</v>
      </c>
      <c r="P248" t="n">
        <v>0</v>
      </c>
      <c r="Q248" t="n">
        <v>2</v>
      </c>
      <c r="R248" s="2" t="inlineStr">
        <is>
          <t>Kandelabersvamp
Blåsippa</t>
        </is>
      </c>
      <c r="S248">
        <f>HYPERLINK("https://klasma.github.io/Logging_2305/artfynd/A 16716-2024 artfynd.xlsx", "A 16716-2024")</f>
        <v/>
      </c>
      <c r="T248">
        <f>HYPERLINK("https://klasma.github.io/Logging_2305/kartor/A 16716-2024 karta.png", "A 16716-2024")</f>
        <v/>
      </c>
      <c r="V248">
        <f>HYPERLINK("https://klasma.github.io/Logging_2305/klagomål/A 16716-2024 FSC-klagomål.docx", "A 16716-2024")</f>
        <v/>
      </c>
      <c r="W248">
        <f>HYPERLINK("https://klasma.github.io/Logging_2305/klagomålsmail/A 16716-2024 FSC-klagomål mail.docx", "A 16716-2024")</f>
        <v/>
      </c>
      <c r="X248">
        <f>HYPERLINK("https://klasma.github.io/Logging_2305/tillsyn/A 16716-2024 tillsynsbegäran.docx", "A 16716-2024")</f>
        <v/>
      </c>
      <c r="Y248">
        <f>HYPERLINK("https://klasma.github.io/Logging_2305/tillsynsmail/A 16716-2024 tillsynsbegäran mail.docx", "A 16716-2024")</f>
        <v/>
      </c>
    </row>
    <row r="249" ht="15" customHeight="1">
      <c r="A249" t="inlineStr">
        <is>
          <t>A 17781-2024</t>
        </is>
      </c>
      <c r="B249" s="1" t="n">
        <v>45418</v>
      </c>
      <c r="C249" s="1" t="n">
        <v>45754</v>
      </c>
      <c r="D249" t="inlineStr">
        <is>
          <t>JÄMTLANDS LÄN</t>
        </is>
      </c>
      <c r="E249" t="inlineStr">
        <is>
          <t>BRÄCKE</t>
        </is>
      </c>
      <c r="G249" t="n">
        <v>3</v>
      </c>
      <c r="H249" t="n">
        <v>1</v>
      </c>
      <c r="I249" t="n">
        <v>1</v>
      </c>
      <c r="J249" t="n">
        <v>0</v>
      </c>
      <c r="K249" t="n">
        <v>0</v>
      </c>
      <c r="L249" t="n">
        <v>0</v>
      </c>
      <c r="M249" t="n">
        <v>0</v>
      </c>
      <c r="N249" t="n">
        <v>0</v>
      </c>
      <c r="O249" t="n">
        <v>0</v>
      </c>
      <c r="P249" t="n">
        <v>0</v>
      </c>
      <c r="Q249" t="n">
        <v>2</v>
      </c>
      <c r="R249" s="2" t="inlineStr">
        <is>
          <t>Hässleklocka
Brudsporre</t>
        </is>
      </c>
      <c r="S249">
        <f>HYPERLINK("https://klasma.github.io/Logging_2305/artfynd/A 17781-2024 artfynd.xlsx", "A 17781-2024")</f>
        <v/>
      </c>
      <c r="T249">
        <f>HYPERLINK("https://klasma.github.io/Logging_2305/kartor/A 17781-2024 karta.png", "A 17781-2024")</f>
        <v/>
      </c>
      <c r="V249">
        <f>HYPERLINK("https://klasma.github.io/Logging_2305/klagomål/A 17781-2024 FSC-klagomål.docx", "A 17781-2024")</f>
        <v/>
      </c>
      <c r="W249">
        <f>HYPERLINK("https://klasma.github.io/Logging_2305/klagomålsmail/A 17781-2024 FSC-klagomål mail.docx", "A 17781-2024")</f>
        <v/>
      </c>
      <c r="X249">
        <f>HYPERLINK("https://klasma.github.io/Logging_2305/tillsyn/A 17781-2024 tillsynsbegäran.docx", "A 17781-2024")</f>
        <v/>
      </c>
      <c r="Y249">
        <f>HYPERLINK("https://klasma.github.io/Logging_2305/tillsynsmail/A 17781-2024 tillsynsbegäran mail.docx", "A 17781-2024")</f>
        <v/>
      </c>
    </row>
    <row r="250" ht="15" customHeight="1">
      <c r="A250" t="inlineStr">
        <is>
          <t>A 22382-2024</t>
        </is>
      </c>
      <c r="B250" s="1" t="n">
        <v>45446</v>
      </c>
      <c r="C250" s="1" t="n">
        <v>45754</v>
      </c>
      <c r="D250" t="inlineStr">
        <is>
          <t>JÄMTLANDS LÄN</t>
        </is>
      </c>
      <c r="E250" t="inlineStr">
        <is>
          <t>BRÄCKE</t>
        </is>
      </c>
      <c r="G250" t="n">
        <v>5.2</v>
      </c>
      <c r="H250" t="n">
        <v>1</v>
      </c>
      <c r="I250" t="n">
        <v>0</v>
      </c>
      <c r="J250" t="n">
        <v>1</v>
      </c>
      <c r="K250" t="n">
        <v>1</v>
      </c>
      <c r="L250" t="n">
        <v>0</v>
      </c>
      <c r="M250" t="n">
        <v>0</v>
      </c>
      <c r="N250" t="n">
        <v>0</v>
      </c>
      <c r="O250" t="n">
        <v>2</v>
      </c>
      <c r="P250" t="n">
        <v>1</v>
      </c>
      <c r="Q250" t="n">
        <v>2</v>
      </c>
      <c r="R250" s="2" t="inlineStr">
        <is>
          <t>Knärot
Garnlav</t>
        </is>
      </c>
      <c r="S250">
        <f>HYPERLINK("https://klasma.github.io/Logging_2305/artfynd/A 22382-2024 artfynd.xlsx", "A 22382-2024")</f>
        <v/>
      </c>
      <c r="T250">
        <f>HYPERLINK("https://klasma.github.io/Logging_2305/kartor/A 22382-2024 karta.png", "A 22382-2024")</f>
        <v/>
      </c>
      <c r="U250">
        <f>HYPERLINK("https://klasma.github.io/Logging_2305/knärot/A 22382-2024 karta knärot.png", "A 22382-2024")</f>
        <v/>
      </c>
      <c r="V250">
        <f>HYPERLINK("https://klasma.github.io/Logging_2305/klagomål/A 22382-2024 FSC-klagomål.docx", "A 22382-2024")</f>
        <v/>
      </c>
      <c r="W250">
        <f>HYPERLINK("https://klasma.github.io/Logging_2305/klagomålsmail/A 22382-2024 FSC-klagomål mail.docx", "A 22382-2024")</f>
        <v/>
      </c>
      <c r="X250">
        <f>HYPERLINK("https://klasma.github.io/Logging_2305/tillsyn/A 22382-2024 tillsynsbegäran.docx", "A 22382-2024")</f>
        <v/>
      </c>
      <c r="Y250">
        <f>HYPERLINK("https://klasma.github.io/Logging_2305/tillsynsmail/A 22382-2024 tillsynsbegäran mail.docx", "A 22382-2024")</f>
        <v/>
      </c>
    </row>
    <row r="251" ht="15" customHeight="1">
      <c r="A251" t="inlineStr">
        <is>
          <t>A 23732-2024</t>
        </is>
      </c>
      <c r="B251" s="1" t="n">
        <v>45455</v>
      </c>
      <c r="C251" s="1" t="n">
        <v>45754</v>
      </c>
      <c r="D251" t="inlineStr">
        <is>
          <t>JÄMTLANDS LÄN</t>
        </is>
      </c>
      <c r="E251" t="inlineStr">
        <is>
          <t>BRÄCKE</t>
        </is>
      </c>
      <c r="F251" t="inlineStr">
        <is>
          <t>SCA</t>
        </is>
      </c>
      <c r="G251" t="n">
        <v>15.5</v>
      </c>
      <c r="H251" t="n">
        <v>1</v>
      </c>
      <c r="I251" t="n">
        <v>0</v>
      </c>
      <c r="J251" t="n">
        <v>1</v>
      </c>
      <c r="K251" t="n">
        <v>1</v>
      </c>
      <c r="L251" t="n">
        <v>0</v>
      </c>
      <c r="M251" t="n">
        <v>0</v>
      </c>
      <c r="N251" t="n">
        <v>0</v>
      </c>
      <c r="O251" t="n">
        <v>2</v>
      </c>
      <c r="P251" t="n">
        <v>1</v>
      </c>
      <c r="Q251" t="n">
        <v>2</v>
      </c>
      <c r="R251" s="2" t="inlineStr">
        <is>
          <t>Doftticka
Lunglav</t>
        </is>
      </c>
      <c r="S251">
        <f>HYPERLINK("https://klasma.github.io/Logging_2305/artfynd/A 23732-2024 artfynd.xlsx", "A 23732-2024")</f>
        <v/>
      </c>
      <c r="T251">
        <f>HYPERLINK("https://klasma.github.io/Logging_2305/kartor/A 23732-2024 karta.png", "A 23732-2024")</f>
        <v/>
      </c>
      <c r="V251">
        <f>HYPERLINK("https://klasma.github.io/Logging_2305/klagomål/A 23732-2024 FSC-klagomål.docx", "A 23732-2024")</f>
        <v/>
      </c>
      <c r="W251">
        <f>HYPERLINK("https://klasma.github.io/Logging_2305/klagomålsmail/A 23732-2024 FSC-klagomål mail.docx", "A 23732-2024")</f>
        <v/>
      </c>
      <c r="X251">
        <f>HYPERLINK("https://klasma.github.io/Logging_2305/tillsyn/A 23732-2024 tillsynsbegäran.docx", "A 23732-2024")</f>
        <v/>
      </c>
      <c r="Y251">
        <f>HYPERLINK("https://klasma.github.io/Logging_2305/tillsynsmail/A 23732-2024 tillsynsbegäran mail.docx", "A 23732-2024")</f>
        <v/>
      </c>
    </row>
    <row r="252" ht="15" customHeight="1">
      <c r="A252" t="inlineStr">
        <is>
          <t>A 29672-2024</t>
        </is>
      </c>
      <c r="B252" s="1" t="n">
        <v>45485</v>
      </c>
      <c r="C252" s="1" t="n">
        <v>45754</v>
      </c>
      <c r="D252" t="inlineStr">
        <is>
          <t>JÄMTLANDS LÄN</t>
        </is>
      </c>
      <c r="E252" t="inlineStr">
        <is>
          <t>BRÄCKE</t>
        </is>
      </c>
      <c r="F252" t="inlineStr">
        <is>
          <t>SCA</t>
        </is>
      </c>
      <c r="G252" t="n">
        <v>1.2</v>
      </c>
      <c r="H252" t="n">
        <v>0</v>
      </c>
      <c r="I252" t="n">
        <v>0</v>
      </c>
      <c r="J252" t="n">
        <v>2</v>
      </c>
      <c r="K252" t="n">
        <v>0</v>
      </c>
      <c r="L252" t="n">
        <v>0</v>
      </c>
      <c r="M252" t="n">
        <v>0</v>
      </c>
      <c r="N252" t="n">
        <v>0</v>
      </c>
      <c r="O252" t="n">
        <v>2</v>
      </c>
      <c r="P252" t="n">
        <v>0</v>
      </c>
      <c r="Q252" t="n">
        <v>2</v>
      </c>
      <c r="R252" s="2" t="inlineStr">
        <is>
          <t>Vedflikmossa
Vedtrappmossa</t>
        </is>
      </c>
      <c r="S252">
        <f>HYPERLINK("https://klasma.github.io/Logging_2305/artfynd/A 29672-2024 artfynd.xlsx", "A 29672-2024")</f>
        <v/>
      </c>
      <c r="T252">
        <f>HYPERLINK("https://klasma.github.io/Logging_2305/kartor/A 29672-2024 karta.png", "A 29672-2024")</f>
        <v/>
      </c>
      <c r="V252">
        <f>HYPERLINK("https://klasma.github.io/Logging_2305/klagomål/A 29672-2024 FSC-klagomål.docx", "A 29672-2024")</f>
        <v/>
      </c>
      <c r="W252">
        <f>HYPERLINK("https://klasma.github.io/Logging_2305/klagomålsmail/A 29672-2024 FSC-klagomål mail.docx", "A 29672-2024")</f>
        <v/>
      </c>
      <c r="X252">
        <f>HYPERLINK("https://klasma.github.io/Logging_2305/tillsyn/A 29672-2024 tillsynsbegäran.docx", "A 29672-2024")</f>
        <v/>
      </c>
      <c r="Y252">
        <f>HYPERLINK("https://klasma.github.io/Logging_2305/tillsynsmail/A 29672-2024 tillsynsbegäran mail.docx", "A 29672-2024")</f>
        <v/>
      </c>
    </row>
    <row r="253" ht="15" customHeight="1">
      <c r="A253" t="inlineStr">
        <is>
          <t>A 30486-2024</t>
        </is>
      </c>
      <c r="B253" s="1" t="n">
        <v>45492</v>
      </c>
      <c r="C253" s="1" t="n">
        <v>45754</v>
      </c>
      <c r="D253" t="inlineStr">
        <is>
          <t>JÄMTLANDS LÄN</t>
        </is>
      </c>
      <c r="E253" t="inlineStr">
        <is>
          <t>BRÄCKE</t>
        </is>
      </c>
      <c r="F253" t="inlineStr">
        <is>
          <t>SCA</t>
        </is>
      </c>
      <c r="G253" t="n">
        <v>3.8</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HYPERLINK("https://klasma.github.io/Logging_2305/artfynd/A 30486-2024 artfynd.xlsx", "A 30486-2024")</f>
        <v/>
      </c>
      <c r="T253">
        <f>HYPERLINK("https://klasma.github.io/Logging_2305/kartor/A 30486-2024 karta.png", "A 30486-2024")</f>
        <v/>
      </c>
      <c r="V253">
        <f>HYPERLINK("https://klasma.github.io/Logging_2305/klagomål/A 30486-2024 FSC-klagomål.docx", "A 30486-2024")</f>
        <v/>
      </c>
      <c r="W253">
        <f>HYPERLINK("https://klasma.github.io/Logging_2305/klagomålsmail/A 30486-2024 FSC-klagomål mail.docx", "A 30486-2024")</f>
        <v/>
      </c>
      <c r="X253">
        <f>HYPERLINK("https://klasma.github.io/Logging_2305/tillsyn/A 30486-2024 tillsynsbegäran.docx", "A 30486-2024")</f>
        <v/>
      </c>
      <c r="Y253">
        <f>HYPERLINK("https://klasma.github.io/Logging_2305/tillsynsmail/A 30486-2024 tillsynsbegäran mail.docx", "A 30486-2024")</f>
        <v/>
      </c>
    </row>
    <row r="254" ht="15" customHeight="1">
      <c r="A254" t="inlineStr">
        <is>
          <t>A 30988-2024</t>
        </is>
      </c>
      <c r="B254" s="1" t="n">
        <v>45499</v>
      </c>
      <c r="C254" s="1" t="n">
        <v>45754</v>
      </c>
      <c r="D254" t="inlineStr">
        <is>
          <t>JÄMTLANDS LÄN</t>
        </is>
      </c>
      <c r="E254" t="inlineStr">
        <is>
          <t>BRÄCKE</t>
        </is>
      </c>
      <c r="F254" t="inlineStr">
        <is>
          <t>Sveaskog</t>
        </is>
      </c>
      <c r="G254" t="n">
        <v>4.8</v>
      </c>
      <c r="H254" t="n">
        <v>1</v>
      </c>
      <c r="I254" t="n">
        <v>1</v>
      </c>
      <c r="J254" t="n">
        <v>1</v>
      </c>
      <c r="K254" t="n">
        <v>0</v>
      </c>
      <c r="L254" t="n">
        <v>0</v>
      </c>
      <c r="M254" t="n">
        <v>0</v>
      </c>
      <c r="N254" t="n">
        <v>0</v>
      </c>
      <c r="O254" t="n">
        <v>1</v>
      </c>
      <c r="P254" t="n">
        <v>0</v>
      </c>
      <c r="Q254" t="n">
        <v>2</v>
      </c>
      <c r="R254" s="2" t="inlineStr">
        <is>
          <t>Lunglav
Tvåblad</t>
        </is>
      </c>
      <c r="S254">
        <f>HYPERLINK("https://klasma.github.io/Logging_2305/artfynd/A 30988-2024 artfynd.xlsx", "A 30988-2024")</f>
        <v/>
      </c>
      <c r="T254">
        <f>HYPERLINK("https://klasma.github.io/Logging_2305/kartor/A 30988-2024 karta.png", "A 30988-2024")</f>
        <v/>
      </c>
      <c r="V254">
        <f>HYPERLINK("https://klasma.github.io/Logging_2305/klagomål/A 30988-2024 FSC-klagomål.docx", "A 30988-2024")</f>
        <v/>
      </c>
      <c r="W254">
        <f>HYPERLINK("https://klasma.github.io/Logging_2305/klagomålsmail/A 30988-2024 FSC-klagomål mail.docx", "A 30988-2024")</f>
        <v/>
      </c>
      <c r="X254">
        <f>HYPERLINK("https://klasma.github.io/Logging_2305/tillsyn/A 30988-2024 tillsynsbegäran.docx", "A 30988-2024")</f>
        <v/>
      </c>
      <c r="Y254">
        <f>HYPERLINK("https://klasma.github.io/Logging_2305/tillsynsmail/A 30988-2024 tillsynsbegäran mail.docx", "A 30988-2024")</f>
        <v/>
      </c>
    </row>
    <row r="255" ht="15" customHeight="1">
      <c r="A255" t="inlineStr">
        <is>
          <t>A 30990-2024</t>
        </is>
      </c>
      <c r="B255" s="1" t="n">
        <v>45499</v>
      </c>
      <c r="C255" s="1" t="n">
        <v>45754</v>
      </c>
      <c r="D255" t="inlineStr">
        <is>
          <t>JÄMTLANDS LÄN</t>
        </is>
      </c>
      <c r="E255" t="inlineStr">
        <is>
          <t>BRÄCKE</t>
        </is>
      </c>
      <c r="F255" t="inlineStr">
        <is>
          <t>Sveaskog</t>
        </is>
      </c>
      <c r="G255" t="n">
        <v>4.9</v>
      </c>
      <c r="H255" t="n">
        <v>1</v>
      </c>
      <c r="I255" t="n">
        <v>0</v>
      </c>
      <c r="J255" t="n">
        <v>1</v>
      </c>
      <c r="K255" t="n">
        <v>1</v>
      </c>
      <c r="L255" t="n">
        <v>0</v>
      </c>
      <c r="M255" t="n">
        <v>0</v>
      </c>
      <c r="N255" t="n">
        <v>0</v>
      </c>
      <c r="O255" t="n">
        <v>2</v>
      </c>
      <c r="P255" t="n">
        <v>1</v>
      </c>
      <c r="Q255" t="n">
        <v>2</v>
      </c>
      <c r="R255" s="2" t="inlineStr">
        <is>
          <t>Knärot
Lunglav</t>
        </is>
      </c>
      <c r="S255">
        <f>HYPERLINK("https://klasma.github.io/Logging_2305/artfynd/A 30990-2024 artfynd.xlsx", "A 30990-2024")</f>
        <v/>
      </c>
      <c r="T255">
        <f>HYPERLINK("https://klasma.github.io/Logging_2305/kartor/A 30990-2024 karta.png", "A 30990-2024")</f>
        <v/>
      </c>
      <c r="U255">
        <f>HYPERLINK("https://klasma.github.io/Logging_2305/knärot/A 30990-2024 karta knärot.png", "A 30990-2024")</f>
        <v/>
      </c>
      <c r="V255">
        <f>HYPERLINK("https://klasma.github.io/Logging_2305/klagomål/A 30990-2024 FSC-klagomål.docx", "A 30990-2024")</f>
        <v/>
      </c>
      <c r="W255">
        <f>HYPERLINK("https://klasma.github.io/Logging_2305/klagomålsmail/A 30990-2024 FSC-klagomål mail.docx", "A 30990-2024")</f>
        <v/>
      </c>
      <c r="X255">
        <f>HYPERLINK("https://klasma.github.io/Logging_2305/tillsyn/A 30990-2024 tillsynsbegäran.docx", "A 30990-2024")</f>
        <v/>
      </c>
      <c r="Y255">
        <f>HYPERLINK("https://klasma.github.io/Logging_2305/tillsynsmail/A 30990-2024 tillsynsbegäran mail.docx", "A 30990-2024")</f>
        <v/>
      </c>
    </row>
    <row r="256" ht="15" customHeight="1">
      <c r="A256" t="inlineStr">
        <is>
          <t>A 31471-2024</t>
        </is>
      </c>
      <c r="B256" s="1" t="n">
        <v>45505</v>
      </c>
      <c r="C256" s="1" t="n">
        <v>45754</v>
      </c>
      <c r="D256" t="inlineStr">
        <is>
          <t>JÄMTLANDS LÄN</t>
        </is>
      </c>
      <c r="E256" t="inlineStr">
        <is>
          <t>BRÄCKE</t>
        </is>
      </c>
      <c r="F256" t="inlineStr">
        <is>
          <t>SCA</t>
        </is>
      </c>
      <c r="G256" t="n">
        <v>6.9</v>
      </c>
      <c r="H256" t="n">
        <v>0</v>
      </c>
      <c r="I256" t="n">
        <v>0</v>
      </c>
      <c r="J256" t="n">
        <v>2</v>
      </c>
      <c r="K256" t="n">
        <v>0</v>
      </c>
      <c r="L256" t="n">
        <v>0</v>
      </c>
      <c r="M256" t="n">
        <v>0</v>
      </c>
      <c r="N256" t="n">
        <v>0</v>
      </c>
      <c r="O256" t="n">
        <v>2</v>
      </c>
      <c r="P256" t="n">
        <v>0</v>
      </c>
      <c r="Q256" t="n">
        <v>2</v>
      </c>
      <c r="R256" s="2" t="inlineStr">
        <is>
          <t>Lunglav
Ullticka</t>
        </is>
      </c>
      <c r="S256">
        <f>HYPERLINK("https://klasma.github.io/Logging_2305/artfynd/A 31471-2024 artfynd.xlsx", "A 31471-2024")</f>
        <v/>
      </c>
      <c r="T256">
        <f>HYPERLINK("https://klasma.github.io/Logging_2305/kartor/A 31471-2024 karta.png", "A 31471-2024")</f>
        <v/>
      </c>
      <c r="V256">
        <f>HYPERLINK("https://klasma.github.io/Logging_2305/klagomål/A 31471-2024 FSC-klagomål.docx", "A 31471-2024")</f>
        <v/>
      </c>
      <c r="W256">
        <f>HYPERLINK("https://klasma.github.io/Logging_2305/klagomålsmail/A 31471-2024 FSC-klagomål mail.docx", "A 31471-2024")</f>
        <v/>
      </c>
      <c r="X256">
        <f>HYPERLINK("https://klasma.github.io/Logging_2305/tillsyn/A 31471-2024 tillsynsbegäran.docx", "A 31471-2024")</f>
        <v/>
      </c>
      <c r="Y256">
        <f>HYPERLINK("https://klasma.github.io/Logging_2305/tillsynsmail/A 31471-2024 tillsynsbegäran mail.docx", "A 31471-2024")</f>
        <v/>
      </c>
    </row>
    <row r="257" ht="15" customHeight="1">
      <c r="A257" t="inlineStr">
        <is>
          <t>A 32670-2024</t>
        </is>
      </c>
      <c r="B257" s="1" t="n">
        <v>45514</v>
      </c>
      <c r="C257" s="1" t="n">
        <v>45754</v>
      </c>
      <c r="D257" t="inlineStr">
        <is>
          <t>JÄMTLANDS LÄN</t>
        </is>
      </c>
      <c r="E257" t="inlineStr">
        <is>
          <t>BRÄCKE</t>
        </is>
      </c>
      <c r="G257" t="n">
        <v>11.3</v>
      </c>
      <c r="H257" t="n">
        <v>1</v>
      </c>
      <c r="I257" t="n">
        <v>0</v>
      </c>
      <c r="J257" t="n">
        <v>1</v>
      </c>
      <c r="K257" t="n">
        <v>1</v>
      </c>
      <c r="L257" t="n">
        <v>0</v>
      </c>
      <c r="M257" t="n">
        <v>0</v>
      </c>
      <c r="N257" t="n">
        <v>0</v>
      </c>
      <c r="O257" t="n">
        <v>2</v>
      </c>
      <c r="P257" t="n">
        <v>1</v>
      </c>
      <c r="Q257" t="n">
        <v>2</v>
      </c>
      <c r="R257" s="2" t="inlineStr">
        <is>
          <t>Knärot
Brunklöver</t>
        </is>
      </c>
      <c r="S257">
        <f>HYPERLINK("https://klasma.github.io/Logging_2305/artfynd/A 32670-2024 artfynd.xlsx", "A 32670-2024")</f>
        <v/>
      </c>
      <c r="T257">
        <f>HYPERLINK("https://klasma.github.io/Logging_2305/kartor/A 32670-2024 karta.png", "A 32670-2024")</f>
        <v/>
      </c>
      <c r="U257">
        <f>HYPERLINK("https://klasma.github.io/Logging_2305/knärot/A 32670-2024 karta knärot.png", "A 32670-2024")</f>
        <v/>
      </c>
      <c r="V257">
        <f>HYPERLINK("https://klasma.github.io/Logging_2305/klagomål/A 32670-2024 FSC-klagomål.docx", "A 32670-2024")</f>
        <v/>
      </c>
      <c r="W257">
        <f>HYPERLINK("https://klasma.github.io/Logging_2305/klagomålsmail/A 32670-2024 FSC-klagomål mail.docx", "A 32670-2024")</f>
        <v/>
      </c>
      <c r="X257">
        <f>HYPERLINK("https://klasma.github.io/Logging_2305/tillsyn/A 32670-2024 tillsynsbegäran.docx", "A 32670-2024")</f>
        <v/>
      </c>
      <c r="Y257">
        <f>HYPERLINK("https://klasma.github.io/Logging_2305/tillsynsmail/A 32670-2024 tillsynsbegäran mail.docx", "A 32670-2024")</f>
        <v/>
      </c>
    </row>
    <row r="258" ht="15" customHeight="1">
      <c r="A258" t="inlineStr">
        <is>
          <t>A 40818-2024</t>
        </is>
      </c>
      <c r="B258" s="1" t="n">
        <v>45558</v>
      </c>
      <c r="C258" s="1" t="n">
        <v>45754</v>
      </c>
      <c r="D258" t="inlineStr">
        <is>
          <t>JÄMTLANDS LÄN</t>
        </is>
      </c>
      <c r="E258" t="inlineStr">
        <is>
          <t>BRÄCKE</t>
        </is>
      </c>
      <c r="G258" t="n">
        <v>2.7</v>
      </c>
      <c r="H258" t="n">
        <v>0</v>
      </c>
      <c r="I258" t="n">
        <v>0</v>
      </c>
      <c r="J258" t="n">
        <v>2</v>
      </c>
      <c r="K258" t="n">
        <v>0</v>
      </c>
      <c r="L258" t="n">
        <v>0</v>
      </c>
      <c r="M258" t="n">
        <v>0</v>
      </c>
      <c r="N258" t="n">
        <v>0</v>
      </c>
      <c r="O258" t="n">
        <v>2</v>
      </c>
      <c r="P258" t="n">
        <v>0</v>
      </c>
      <c r="Q258" t="n">
        <v>2</v>
      </c>
      <c r="R258" s="2" t="inlineStr">
        <is>
          <t>Skrovlig taggsvamp
Svart taggsvamp</t>
        </is>
      </c>
      <c r="S258">
        <f>HYPERLINK("https://klasma.github.io/Logging_2305/artfynd/A 40818-2024 artfynd.xlsx", "A 40818-2024")</f>
        <v/>
      </c>
      <c r="T258">
        <f>HYPERLINK("https://klasma.github.io/Logging_2305/kartor/A 40818-2024 karta.png", "A 40818-2024")</f>
        <v/>
      </c>
      <c r="V258">
        <f>HYPERLINK("https://klasma.github.io/Logging_2305/klagomål/A 40818-2024 FSC-klagomål.docx", "A 40818-2024")</f>
        <v/>
      </c>
      <c r="W258">
        <f>HYPERLINK("https://klasma.github.io/Logging_2305/klagomålsmail/A 40818-2024 FSC-klagomål mail.docx", "A 40818-2024")</f>
        <v/>
      </c>
      <c r="X258">
        <f>HYPERLINK("https://klasma.github.io/Logging_2305/tillsyn/A 40818-2024 tillsynsbegäran.docx", "A 40818-2024")</f>
        <v/>
      </c>
      <c r="Y258">
        <f>HYPERLINK("https://klasma.github.io/Logging_2305/tillsynsmail/A 40818-2024 tillsynsbegäran mail.docx", "A 40818-2024")</f>
        <v/>
      </c>
    </row>
    <row r="259" ht="15" customHeight="1">
      <c r="A259" t="inlineStr">
        <is>
          <t>A 46787-2024</t>
        </is>
      </c>
      <c r="B259" s="1" t="n">
        <v>45583</v>
      </c>
      <c r="C259" s="1" t="n">
        <v>45754</v>
      </c>
      <c r="D259" t="inlineStr">
        <is>
          <t>JÄMTLANDS LÄN</t>
        </is>
      </c>
      <c r="E259" t="inlineStr">
        <is>
          <t>BRÄCKE</t>
        </is>
      </c>
      <c r="F259" t="inlineStr">
        <is>
          <t>SCA</t>
        </is>
      </c>
      <c r="G259" t="n">
        <v>20.4</v>
      </c>
      <c r="H259" t="n">
        <v>0</v>
      </c>
      <c r="I259" t="n">
        <v>0</v>
      </c>
      <c r="J259" t="n">
        <v>2</v>
      </c>
      <c r="K259" t="n">
        <v>0</v>
      </c>
      <c r="L259" t="n">
        <v>0</v>
      </c>
      <c r="M259" t="n">
        <v>0</v>
      </c>
      <c r="N259" t="n">
        <v>0</v>
      </c>
      <c r="O259" t="n">
        <v>2</v>
      </c>
      <c r="P259" t="n">
        <v>0</v>
      </c>
      <c r="Q259" t="n">
        <v>2</v>
      </c>
      <c r="R259" s="2" t="inlineStr">
        <is>
          <t>Lunglav
Ullticka</t>
        </is>
      </c>
      <c r="S259">
        <f>HYPERLINK("https://klasma.github.io/Logging_2305/artfynd/A 46787-2024 artfynd.xlsx", "A 46787-2024")</f>
        <v/>
      </c>
      <c r="T259">
        <f>HYPERLINK("https://klasma.github.io/Logging_2305/kartor/A 46787-2024 karta.png", "A 46787-2024")</f>
        <v/>
      </c>
      <c r="V259">
        <f>HYPERLINK("https://klasma.github.io/Logging_2305/klagomål/A 46787-2024 FSC-klagomål.docx", "A 46787-2024")</f>
        <v/>
      </c>
      <c r="W259">
        <f>HYPERLINK("https://klasma.github.io/Logging_2305/klagomålsmail/A 46787-2024 FSC-klagomål mail.docx", "A 46787-2024")</f>
        <v/>
      </c>
      <c r="X259">
        <f>HYPERLINK("https://klasma.github.io/Logging_2305/tillsyn/A 46787-2024 tillsynsbegäran.docx", "A 46787-2024")</f>
        <v/>
      </c>
      <c r="Y259">
        <f>HYPERLINK("https://klasma.github.io/Logging_2305/tillsynsmail/A 46787-2024 tillsynsbegäran mail.docx", "A 46787-2024")</f>
        <v/>
      </c>
    </row>
    <row r="260" ht="15" customHeight="1">
      <c r="A260" t="inlineStr">
        <is>
          <t>A 48772-2024</t>
        </is>
      </c>
      <c r="B260" s="1" t="n">
        <v>45593</v>
      </c>
      <c r="C260" s="1" t="n">
        <v>45754</v>
      </c>
      <c r="D260" t="inlineStr">
        <is>
          <t>JÄMTLANDS LÄN</t>
        </is>
      </c>
      <c r="E260" t="inlineStr">
        <is>
          <t>BRÄCKE</t>
        </is>
      </c>
      <c r="F260" t="inlineStr">
        <is>
          <t>SCA</t>
        </is>
      </c>
      <c r="G260" t="n">
        <v>2.7</v>
      </c>
      <c r="H260" t="n">
        <v>0</v>
      </c>
      <c r="I260" t="n">
        <v>0</v>
      </c>
      <c r="J260" t="n">
        <v>2</v>
      </c>
      <c r="K260" t="n">
        <v>0</v>
      </c>
      <c r="L260" t="n">
        <v>0</v>
      </c>
      <c r="M260" t="n">
        <v>0</v>
      </c>
      <c r="N260" t="n">
        <v>0</v>
      </c>
      <c r="O260" t="n">
        <v>2</v>
      </c>
      <c r="P260" t="n">
        <v>0</v>
      </c>
      <c r="Q260" t="n">
        <v>2</v>
      </c>
      <c r="R260" s="2" t="inlineStr">
        <is>
          <t>Lunglav
Skrovellav</t>
        </is>
      </c>
      <c r="S260">
        <f>HYPERLINK("https://klasma.github.io/Logging_2305/artfynd/A 48772-2024 artfynd.xlsx", "A 48772-2024")</f>
        <v/>
      </c>
      <c r="T260">
        <f>HYPERLINK("https://klasma.github.io/Logging_2305/kartor/A 48772-2024 karta.png", "A 48772-2024")</f>
        <v/>
      </c>
      <c r="V260">
        <f>HYPERLINK("https://klasma.github.io/Logging_2305/klagomål/A 48772-2024 FSC-klagomål.docx", "A 48772-2024")</f>
        <v/>
      </c>
      <c r="W260">
        <f>HYPERLINK("https://klasma.github.io/Logging_2305/klagomålsmail/A 48772-2024 FSC-klagomål mail.docx", "A 48772-2024")</f>
        <v/>
      </c>
      <c r="X260">
        <f>HYPERLINK("https://klasma.github.io/Logging_2305/tillsyn/A 48772-2024 tillsynsbegäran.docx", "A 48772-2024")</f>
        <v/>
      </c>
      <c r="Y260">
        <f>HYPERLINK("https://klasma.github.io/Logging_2305/tillsynsmail/A 48772-2024 tillsynsbegäran mail.docx", "A 48772-2024")</f>
        <v/>
      </c>
    </row>
    <row r="261" ht="15" customHeight="1">
      <c r="A261" t="inlineStr">
        <is>
          <t>A 54892-2024</t>
        </is>
      </c>
      <c r="B261" s="1" t="n">
        <v>45618</v>
      </c>
      <c r="C261" s="1" t="n">
        <v>45754</v>
      </c>
      <c r="D261" t="inlineStr">
        <is>
          <t>JÄMTLANDS LÄN</t>
        </is>
      </c>
      <c r="E261" t="inlineStr">
        <is>
          <t>BRÄCKE</t>
        </is>
      </c>
      <c r="G261" t="n">
        <v>2.4</v>
      </c>
      <c r="H261" t="n">
        <v>0</v>
      </c>
      <c r="I261" t="n">
        <v>0</v>
      </c>
      <c r="J261" t="n">
        <v>2</v>
      </c>
      <c r="K261" t="n">
        <v>0</v>
      </c>
      <c r="L261" t="n">
        <v>0</v>
      </c>
      <c r="M261" t="n">
        <v>0</v>
      </c>
      <c r="N261" t="n">
        <v>0</v>
      </c>
      <c r="O261" t="n">
        <v>2</v>
      </c>
      <c r="P261" t="n">
        <v>0</v>
      </c>
      <c r="Q261" t="n">
        <v>2</v>
      </c>
      <c r="R261" s="2" t="inlineStr">
        <is>
          <t>Garnlav
Granticka</t>
        </is>
      </c>
      <c r="S261">
        <f>HYPERLINK("https://klasma.github.io/Logging_2305/artfynd/A 54892-2024 artfynd.xlsx", "A 54892-2024")</f>
        <v/>
      </c>
      <c r="T261">
        <f>HYPERLINK("https://klasma.github.io/Logging_2305/kartor/A 54892-2024 karta.png", "A 54892-2024")</f>
        <v/>
      </c>
      <c r="V261">
        <f>HYPERLINK("https://klasma.github.io/Logging_2305/klagomål/A 54892-2024 FSC-klagomål.docx", "A 54892-2024")</f>
        <v/>
      </c>
      <c r="W261">
        <f>HYPERLINK("https://klasma.github.io/Logging_2305/klagomålsmail/A 54892-2024 FSC-klagomål mail.docx", "A 54892-2024")</f>
        <v/>
      </c>
      <c r="X261">
        <f>HYPERLINK("https://klasma.github.io/Logging_2305/tillsyn/A 54892-2024 tillsynsbegäran.docx", "A 54892-2024")</f>
        <v/>
      </c>
      <c r="Y261">
        <f>HYPERLINK("https://klasma.github.io/Logging_2305/tillsynsmail/A 54892-2024 tillsynsbegäran mail.docx", "A 54892-2024")</f>
        <v/>
      </c>
    </row>
    <row r="262" ht="15" customHeight="1">
      <c r="A262" t="inlineStr">
        <is>
          <t>A 55062-2024</t>
        </is>
      </c>
      <c r="B262" s="1" t="n">
        <v>45621</v>
      </c>
      <c r="C262" s="1" t="n">
        <v>45754</v>
      </c>
      <c r="D262" t="inlineStr">
        <is>
          <t>JÄMTLANDS LÄN</t>
        </is>
      </c>
      <c r="E262" t="inlineStr">
        <is>
          <t>BRÄCKE</t>
        </is>
      </c>
      <c r="F262" t="inlineStr">
        <is>
          <t>SCA</t>
        </is>
      </c>
      <c r="G262" t="n">
        <v>11.7</v>
      </c>
      <c r="H262" t="n">
        <v>0</v>
      </c>
      <c r="I262" t="n">
        <v>0</v>
      </c>
      <c r="J262" t="n">
        <v>2</v>
      </c>
      <c r="K262" t="n">
        <v>0</v>
      </c>
      <c r="L262" t="n">
        <v>0</v>
      </c>
      <c r="M262" t="n">
        <v>0</v>
      </c>
      <c r="N262" t="n">
        <v>0</v>
      </c>
      <c r="O262" t="n">
        <v>2</v>
      </c>
      <c r="P262" t="n">
        <v>0</v>
      </c>
      <c r="Q262" t="n">
        <v>2</v>
      </c>
      <c r="R262" s="2" t="inlineStr">
        <is>
          <t>Gränsticka
Vaddporing</t>
        </is>
      </c>
      <c r="S262">
        <f>HYPERLINK("https://klasma.github.io/Logging_2305/artfynd/A 55062-2024 artfynd.xlsx", "A 55062-2024")</f>
        <v/>
      </c>
      <c r="T262">
        <f>HYPERLINK("https://klasma.github.io/Logging_2305/kartor/A 55062-2024 karta.png", "A 55062-2024")</f>
        <v/>
      </c>
      <c r="V262">
        <f>HYPERLINK("https://klasma.github.io/Logging_2305/klagomål/A 55062-2024 FSC-klagomål.docx", "A 55062-2024")</f>
        <v/>
      </c>
      <c r="W262">
        <f>HYPERLINK("https://klasma.github.io/Logging_2305/klagomålsmail/A 55062-2024 FSC-klagomål mail.docx", "A 55062-2024")</f>
        <v/>
      </c>
      <c r="X262">
        <f>HYPERLINK("https://klasma.github.io/Logging_2305/tillsyn/A 55062-2024 tillsynsbegäran.docx", "A 55062-2024")</f>
        <v/>
      </c>
      <c r="Y262">
        <f>HYPERLINK("https://klasma.github.io/Logging_2305/tillsynsmail/A 55062-2024 tillsynsbegäran mail.docx", "A 55062-2024")</f>
        <v/>
      </c>
    </row>
    <row r="263" ht="15" customHeight="1">
      <c r="A263" t="inlineStr">
        <is>
          <t>A 2467-2025</t>
        </is>
      </c>
      <c r="B263" s="1" t="n">
        <v>45674</v>
      </c>
      <c r="C263" s="1" t="n">
        <v>45754</v>
      </c>
      <c r="D263" t="inlineStr">
        <is>
          <t>JÄMTLANDS LÄN</t>
        </is>
      </c>
      <c r="E263" t="inlineStr">
        <is>
          <t>BRÄCKE</t>
        </is>
      </c>
      <c r="F263" t="inlineStr">
        <is>
          <t>SCA</t>
        </is>
      </c>
      <c r="G263" t="n">
        <v>5.6</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HYPERLINK("https://klasma.github.io/Logging_2305/artfynd/A 2467-2025 artfynd.xlsx", "A 2467-2025")</f>
        <v/>
      </c>
      <c r="T263">
        <f>HYPERLINK("https://klasma.github.io/Logging_2305/kartor/A 2467-2025 karta.png", "A 2467-2025")</f>
        <v/>
      </c>
      <c r="V263">
        <f>HYPERLINK("https://klasma.github.io/Logging_2305/klagomål/A 2467-2025 FSC-klagomål.docx", "A 2467-2025")</f>
        <v/>
      </c>
      <c r="W263">
        <f>HYPERLINK("https://klasma.github.io/Logging_2305/klagomålsmail/A 2467-2025 FSC-klagomål mail.docx", "A 2467-2025")</f>
        <v/>
      </c>
      <c r="X263">
        <f>HYPERLINK("https://klasma.github.io/Logging_2305/tillsyn/A 2467-2025 tillsynsbegäran.docx", "A 2467-2025")</f>
        <v/>
      </c>
      <c r="Y263">
        <f>HYPERLINK("https://klasma.github.io/Logging_2305/tillsynsmail/A 2467-2025 tillsynsbegäran mail.docx", "A 2467-2025")</f>
        <v/>
      </c>
      <c r="Z263">
        <f>HYPERLINK("https://klasma.github.io/Logging_2305/fåglar/A 2467-2025 prioriterade fågelarter.docx", "A 2467-2025")</f>
        <v/>
      </c>
    </row>
    <row r="264" ht="15" customHeight="1">
      <c r="A264" t="inlineStr">
        <is>
          <t>A 2464-2025</t>
        </is>
      </c>
      <c r="B264" s="1" t="n">
        <v>45674</v>
      </c>
      <c r="C264" s="1" t="n">
        <v>45754</v>
      </c>
      <c r="D264" t="inlineStr">
        <is>
          <t>JÄMTLANDS LÄN</t>
        </is>
      </c>
      <c r="E264" t="inlineStr">
        <is>
          <t>BRÄCKE</t>
        </is>
      </c>
      <c r="F264" t="inlineStr">
        <is>
          <t>SCA</t>
        </is>
      </c>
      <c r="G264" t="n">
        <v>4.4</v>
      </c>
      <c r="H264" t="n">
        <v>1</v>
      </c>
      <c r="I264" t="n">
        <v>0</v>
      </c>
      <c r="J264" t="n">
        <v>2</v>
      </c>
      <c r="K264" t="n">
        <v>0</v>
      </c>
      <c r="L264" t="n">
        <v>0</v>
      </c>
      <c r="M264" t="n">
        <v>0</v>
      </c>
      <c r="N264" t="n">
        <v>0</v>
      </c>
      <c r="O264" t="n">
        <v>2</v>
      </c>
      <c r="P264" t="n">
        <v>0</v>
      </c>
      <c r="Q264" t="n">
        <v>2</v>
      </c>
      <c r="R264" s="2" t="inlineStr">
        <is>
          <t>Lunglav
Tretåig hackspett</t>
        </is>
      </c>
      <c r="S264">
        <f>HYPERLINK("https://klasma.github.io/Logging_2305/artfynd/A 2464-2025 artfynd.xlsx", "A 2464-2025")</f>
        <v/>
      </c>
      <c r="T264">
        <f>HYPERLINK("https://klasma.github.io/Logging_2305/kartor/A 2464-2025 karta.png", "A 2464-2025")</f>
        <v/>
      </c>
      <c r="V264">
        <f>HYPERLINK("https://klasma.github.io/Logging_2305/klagomål/A 2464-2025 FSC-klagomål.docx", "A 2464-2025")</f>
        <v/>
      </c>
      <c r="W264">
        <f>HYPERLINK("https://klasma.github.io/Logging_2305/klagomålsmail/A 2464-2025 FSC-klagomål mail.docx", "A 2464-2025")</f>
        <v/>
      </c>
      <c r="X264">
        <f>HYPERLINK("https://klasma.github.io/Logging_2305/tillsyn/A 2464-2025 tillsynsbegäran.docx", "A 2464-2025")</f>
        <v/>
      </c>
      <c r="Y264">
        <f>HYPERLINK("https://klasma.github.io/Logging_2305/tillsynsmail/A 2464-2025 tillsynsbegäran mail.docx", "A 2464-2025")</f>
        <v/>
      </c>
      <c r="Z264">
        <f>HYPERLINK("https://klasma.github.io/Logging_2305/fåglar/A 2464-2025 prioriterade fågelarter.docx", "A 2464-2025")</f>
        <v/>
      </c>
    </row>
    <row r="265" ht="15" customHeight="1">
      <c r="A265" t="inlineStr">
        <is>
          <t>A 3384-2025</t>
        </is>
      </c>
      <c r="B265" s="1" t="n">
        <v>45680</v>
      </c>
      <c r="C265" s="1" t="n">
        <v>45754</v>
      </c>
      <c r="D265" t="inlineStr">
        <is>
          <t>JÄMTLANDS LÄN</t>
        </is>
      </c>
      <c r="E265" t="inlineStr">
        <is>
          <t>BRÄCKE</t>
        </is>
      </c>
      <c r="F265" t="inlineStr">
        <is>
          <t>SCA</t>
        </is>
      </c>
      <c r="G265" t="n">
        <v>12.8</v>
      </c>
      <c r="H265" t="n">
        <v>2</v>
      </c>
      <c r="I265" t="n">
        <v>1</v>
      </c>
      <c r="J265" t="n">
        <v>0</v>
      </c>
      <c r="K265" t="n">
        <v>1</v>
      </c>
      <c r="L265" t="n">
        <v>0</v>
      </c>
      <c r="M265" t="n">
        <v>0</v>
      </c>
      <c r="N265" t="n">
        <v>0</v>
      </c>
      <c r="O265" t="n">
        <v>1</v>
      </c>
      <c r="P265" t="n">
        <v>1</v>
      </c>
      <c r="Q265" t="n">
        <v>2</v>
      </c>
      <c r="R265" s="2" t="inlineStr">
        <is>
          <t>Knärot
Plattlummer</t>
        </is>
      </c>
      <c r="S265">
        <f>HYPERLINK("https://klasma.github.io/Logging_2305/artfynd/A 3384-2025 artfynd.xlsx", "A 3384-2025")</f>
        <v/>
      </c>
      <c r="T265">
        <f>HYPERLINK("https://klasma.github.io/Logging_2305/kartor/A 3384-2025 karta.png", "A 3384-2025")</f>
        <v/>
      </c>
      <c r="U265">
        <f>HYPERLINK("https://klasma.github.io/Logging_2305/knärot/A 3384-2025 karta knärot.png", "A 3384-2025")</f>
        <v/>
      </c>
      <c r="V265">
        <f>HYPERLINK("https://klasma.github.io/Logging_2305/klagomål/A 3384-2025 FSC-klagomål.docx", "A 3384-2025")</f>
        <v/>
      </c>
      <c r="W265">
        <f>HYPERLINK("https://klasma.github.io/Logging_2305/klagomålsmail/A 3384-2025 FSC-klagomål mail.docx", "A 3384-2025")</f>
        <v/>
      </c>
      <c r="X265">
        <f>HYPERLINK("https://klasma.github.io/Logging_2305/tillsyn/A 3384-2025 tillsynsbegäran.docx", "A 3384-2025")</f>
        <v/>
      </c>
      <c r="Y265">
        <f>HYPERLINK("https://klasma.github.io/Logging_2305/tillsynsmail/A 3384-2025 tillsynsbegäran mail.docx", "A 3384-2025")</f>
        <v/>
      </c>
    </row>
    <row r="266" ht="15" customHeight="1">
      <c r="A266" t="inlineStr">
        <is>
          <t>A 4134-2025</t>
        </is>
      </c>
      <c r="B266" s="1" t="n">
        <v>45685</v>
      </c>
      <c r="C266" s="1" t="n">
        <v>45754</v>
      </c>
      <c r="D266" t="inlineStr">
        <is>
          <t>JÄMTLANDS LÄN</t>
        </is>
      </c>
      <c r="E266" t="inlineStr">
        <is>
          <t>BRÄCKE</t>
        </is>
      </c>
      <c r="F266" t="inlineStr">
        <is>
          <t>SCA</t>
        </is>
      </c>
      <c r="G266" t="n">
        <v>5.6</v>
      </c>
      <c r="H266" t="n">
        <v>0</v>
      </c>
      <c r="I266" t="n">
        <v>1</v>
      </c>
      <c r="J266" t="n">
        <v>1</v>
      </c>
      <c r="K266" t="n">
        <v>0</v>
      </c>
      <c r="L266" t="n">
        <v>0</v>
      </c>
      <c r="M266" t="n">
        <v>0</v>
      </c>
      <c r="N266" t="n">
        <v>0</v>
      </c>
      <c r="O266" t="n">
        <v>1</v>
      </c>
      <c r="P266" t="n">
        <v>0</v>
      </c>
      <c r="Q266" t="n">
        <v>2</v>
      </c>
      <c r="R266" s="2" t="inlineStr">
        <is>
          <t>Vedflamlav
Stor aspticka</t>
        </is>
      </c>
      <c r="S266">
        <f>HYPERLINK("https://klasma.github.io/Logging_2305/artfynd/A 4134-2025 artfynd.xlsx", "A 4134-2025")</f>
        <v/>
      </c>
      <c r="T266">
        <f>HYPERLINK("https://klasma.github.io/Logging_2305/kartor/A 4134-2025 karta.png", "A 4134-2025")</f>
        <v/>
      </c>
      <c r="V266">
        <f>HYPERLINK("https://klasma.github.io/Logging_2305/klagomål/A 4134-2025 FSC-klagomål.docx", "A 4134-2025")</f>
        <v/>
      </c>
      <c r="W266">
        <f>HYPERLINK("https://klasma.github.io/Logging_2305/klagomålsmail/A 4134-2025 FSC-klagomål mail.docx", "A 4134-2025")</f>
        <v/>
      </c>
      <c r="X266">
        <f>HYPERLINK("https://klasma.github.io/Logging_2305/tillsyn/A 4134-2025 tillsynsbegäran.docx", "A 4134-2025")</f>
        <v/>
      </c>
      <c r="Y266">
        <f>HYPERLINK("https://klasma.github.io/Logging_2305/tillsynsmail/A 4134-2025 tillsynsbegäran mail.docx", "A 4134-2025")</f>
        <v/>
      </c>
    </row>
    <row r="267" ht="15" customHeight="1">
      <c r="A267" t="inlineStr">
        <is>
          <t>A 5858-2025</t>
        </is>
      </c>
      <c r="B267" s="1" t="n">
        <v>45695</v>
      </c>
      <c r="C267" s="1" t="n">
        <v>45754</v>
      </c>
      <c r="D267" t="inlineStr">
        <is>
          <t>JÄMTLANDS LÄN</t>
        </is>
      </c>
      <c r="E267" t="inlineStr">
        <is>
          <t>BRÄCKE</t>
        </is>
      </c>
      <c r="G267" t="n">
        <v>2.7</v>
      </c>
      <c r="H267" t="n">
        <v>1</v>
      </c>
      <c r="I267" t="n">
        <v>0</v>
      </c>
      <c r="J267" t="n">
        <v>0</v>
      </c>
      <c r="K267" t="n">
        <v>0</v>
      </c>
      <c r="L267" t="n">
        <v>2</v>
      </c>
      <c r="M267" t="n">
        <v>0</v>
      </c>
      <c r="N267" t="n">
        <v>0</v>
      </c>
      <c r="O267" t="n">
        <v>2</v>
      </c>
      <c r="P267" t="n">
        <v>2</v>
      </c>
      <c r="Q267" t="n">
        <v>2</v>
      </c>
      <c r="R267" s="2" t="inlineStr">
        <is>
          <t>Bredgentiana
Fältgentiana</t>
        </is>
      </c>
      <c r="S267">
        <f>HYPERLINK("https://klasma.github.io/Logging_2305/artfynd/A 5858-2025 artfynd.xlsx", "A 5858-2025")</f>
        <v/>
      </c>
      <c r="T267">
        <f>HYPERLINK("https://klasma.github.io/Logging_2305/kartor/A 5858-2025 karta.png", "A 5858-2025")</f>
        <v/>
      </c>
      <c r="V267">
        <f>HYPERLINK("https://klasma.github.io/Logging_2305/klagomål/A 5858-2025 FSC-klagomål.docx", "A 5858-2025")</f>
        <v/>
      </c>
      <c r="W267">
        <f>HYPERLINK("https://klasma.github.io/Logging_2305/klagomålsmail/A 5858-2025 FSC-klagomål mail.docx", "A 5858-2025")</f>
        <v/>
      </c>
      <c r="X267">
        <f>HYPERLINK("https://klasma.github.io/Logging_2305/tillsyn/A 5858-2025 tillsynsbegäran.docx", "A 5858-2025")</f>
        <v/>
      </c>
      <c r="Y267">
        <f>HYPERLINK("https://klasma.github.io/Logging_2305/tillsynsmail/A 5858-2025 tillsynsbegäran mail.docx", "A 5858-2025")</f>
        <v/>
      </c>
    </row>
    <row r="268" ht="15" customHeight="1">
      <c r="A268" t="inlineStr">
        <is>
          <t>A 10105-2025</t>
        </is>
      </c>
      <c r="B268" s="1" t="n">
        <v>45719</v>
      </c>
      <c r="C268" s="1" t="n">
        <v>45754</v>
      </c>
      <c r="D268" t="inlineStr">
        <is>
          <t>JÄMTLANDS LÄN</t>
        </is>
      </c>
      <c r="E268" t="inlineStr">
        <is>
          <t>BRÄCKE</t>
        </is>
      </c>
      <c r="G268" t="n">
        <v>0.6</v>
      </c>
      <c r="H268" t="n">
        <v>0</v>
      </c>
      <c r="I268" t="n">
        <v>0</v>
      </c>
      <c r="J268" t="n">
        <v>2</v>
      </c>
      <c r="K268" t="n">
        <v>0</v>
      </c>
      <c r="L268" t="n">
        <v>0</v>
      </c>
      <c r="M268" t="n">
        <v>0</v>
      </c>
      <c r="N268" t="n">
        <v>0</v>
      </c>
      <c r="O268" t="n">
        <v>2</v>
      </c>
      <c r="P268" t="n">
        <v>0</v>
      </c>
      <c r="Q268" t="n">
        <v>2</v>
      </c>
      <c r="R268" s="2" t="inlineStr">
        <is>
          <t>Garnlav
Lunglav</t>
        </is>
      </c>
      <c r="S268">
        <f>HYPERLINK("https://klasma.github.io/Logging_232305/artfynd/A 10105-2025 artfynd.xlsx", "A 10105-2025")</f>
        <v/>
      </c>
      <c r="T268">
        <f>HYPERLINK("https://klasma.github.io/Logging_232305/kartor/A 10105-2025 karta.png", "A 10105-2025")</f>
        <v/>
      </c>
      <c r="V268">
        <f>HYPERLINK("https://klasma.github.io/Logging_232305/klagomål/A 10105-2025 FSC-klagomål.docx", "A 10105-2025")</f>
        <v/>
      </c>
      <c r="W268">
        <f>HYPERLINK("https://klasma.github.io/Logging_232305/klagomålsmail/A 10105-2025 FSC-klagomål mail.docx", "A 10105-2025")</f>
        <v/>
      </c>
      <c r="X268">
        <f>HYPERLINK("https://klasma.github.io/Logging_232305/tillsyn/A 10105-2025 tillsynsbegäran.docx", "A 10105-2025")</f>
        <v/>
      </c>
      <c r="Y268">
        <f>HYPERLINK("https://klasma.github.io/Logging_232305/tillsynsmail/A 10105-2025 tillsynsbegäran mail.docx", "A 10105-2025")</f>
        <v/>
      </c>
    </row>
    <row r="269" ht="15" customHeight="1">
      <c r="A269" t="inlineStr">
        <is>
          <t>A 10856-2025</t>
        </is>
      </c>
      <c r="B269" s="1" t="n">
        <v>45722</v>
      </c>
      <c r="C269" s="1" t="n">
        <v>45754</v>
      </c>
      <c r="D269" t="inlineStr">
        <is>
          <t>JÄMTLANDS LÄN</t>
        </is>
      </c>
      <c r="E269" t="inlineStr">
        <is>
          <t>BRÄCKE</t>
        </is>
      </c>
      <c r="F269" t="inlineStr">
        <is>
          <t>SCA</t>
        </is>
      </c>
      <c r="G269" t="n">
        <v>8.300000000000001</v>
      </c>
      <c r="H269" t="n">
        <v>2</v>
      </c>
      <c r="I269" t="n">
        <v>0</v>
      </c>
      <c r="J269" t="n">
        <v>1</v>
      </c>
      <c r="K269" t="n">
        <v>0</v>
      </c>
      <c r="L269" t="n">
        <v>0</v>
      </c>
      <c r="M269" t="n">
        <v>0</v>
      </c>
      <c r="N269" t="n">
        <v>0</v>
      </c>
      <c r="O269" t="n">
        <v>1</v>
      </c>
      <c r="P269" t="n">
        <v>0</v>
      </c>
      <c r="Q269" t="n">
        <v>2</v>
      </c>
      <c r="R269" s="2" t="inlineStr">
        <is>
          <t>Rödvingetrast
Kungsfågel</t>
        </is>
      </c>
      <c r="S269">
        <f>HYPERLINK("https://klasma.github.io/Logging_232305/artfynd/A 10856-2025 artfynd.xlsx", "A 10856-2025")</f>
        <v/>
      </c>
      <c r="T269">
        <f>HYPERLINK("https://klasma.github.io/Logging_232305/kartor/A 10856-2025 karta.png", "A 10856-2025")</f>
        <v/>
      </c>
      <c r="V269">
        <f>HYPERLINK("https://klasma.github.io/Logging_232305/klagomål/A 10856-2025 FSC-klagomål.docx", "A 10856-2025")</f>
        <v/>
      </c>
      <c r="W269">
        <f>HYPERLINK("https://klasma.github.io/Logging_232305/klagomålsmail/A 10856-2025 FSC-klagomål mail.docx", "A 10856-2025")</f>
        <v/>
      </c>
      <c r="X269">
        <f>HYPERLINK("https://klasma.github.io/Logging_232305/tillsyn/A 10856-2025 tillsynsbegäran.docx", "A 10856-2025")</f>
        <v/>
      </c>
      <c r="Y269">
        <f>HYPERLINK("https://klasma.github.io/Logging_232305/tillsynsmail/A 10856-2025 tillsynsbegäran mail.docx", "A 10856-2025")</f>
        <v/>
      </c>
      <c r="Z269">
        <f>HYPERLINK("https://klasma.github.io/Logging_232305/fåglar/A 10856-2025 prioriterade fågelarter.docx", "A 10856-2025")</f>
        <v/>
      </c>
    </row>
    <row r="270" ht="15" customHeight="1">
      <c r="A270" t="inlineStr">
        <is>
          <t>A 11787-2025</t>
        </is>
      </c>
      <c r="B270" s="1" t="n">
        <v>45727</v>
      </c>
      <c r="C270" s="1" t="n">
        <v>45754</v>
      </c>
      <c r="D270" t="inlineStr">
        <is>
          <t>JÄMTLANDS LÄN</t>
        </is>
      </c>
      <c r="E270" t="inlineStr">
        <is>
          <t>BRÄCKE</t>
        </is>
      </c>
      <c r="F270" t="inlineStr">
        <is>
          <t>SCA</t>
        </is>
      </c>
      <c r="G270" t="n">
        <v>1.9</v>
      </c>
      <c r="H270" t="n">
        <v>0</v>
      </c>
      <c r="I270" t="n">
        <v>0</v>
      </c>
      <c r="J270" t="n">
        <v>2</v>
      </c>
      <c r="K270" t="n">
        <v>0</v>
      </c>
      <c r="L270" t="n">
        <v>0</v>
      </c>
      <c r="M270" t="n">
        <v>0</v>
      </c>
      <c r="N270" t="n">
        <v>0</v>
      </c>
      <c r="O270" t="n">
        <v>2</v>
      </c>
      <c r="P270" t="n">
        <v>0</v>
      </c>
      <c r="Q270" t="n">
        <v>2</v>
      </c>
      <c r="R270" s="2" t="inlineStr">
        <is>
          <t>Stiftgelélav
Ullticka</t>
        </is>
      </c>
      <c r="S270">
        <f>HYPERLINK("https://klasma.github.io/Logging_232305/artfynd/A 11787-2025 artfynd.xlsx", "A 11787-2025")</f>
        <v/>
      </c>
      <c r="T270">
        <f>HYPERLINK("https://klasma.github.io/Logging_232305/kartor/A 11787-2025 karta.png", "A 11787-2025")</f>
        <v/>
      </c>
      <c r="V270">
        <f>HYPERLINK("https://klasma.github.io/Logging_232305/klagomål/A 11787-2025 FSC-klagomål.docx", "A 11787-2025")</f>
        <v/>
      </c>
      <c r="W270">
        <f>HYPERLINK("https://klasma.github.io/Logging_232305/klagomålsmail/A 11787-2025 FSC-klagomål mail.docx", "A 11787-2025")</f>
        <v/>
      </c>
      <c r="X270">
        <f>HYPERLINK("https://klasma.github.io/Logging_232305/tillsyn/A 11787-2025 tillsynsbegäran.docx", "A 11787-2025")</f>
        <v/>
      </c>
      <c r="Y270">
        <f>HYPERLINK("https://klasma.github.io/Logging_232305/tillsynsmail/A 11787-2025 tillsynsbegäran mail.docx", "A 11787-2025")</f>
        <v/>
      </c>
    </row>
    <row r="271" ht="15" customHeight="1">
      <c r="A271" t="inlineStr">
        <is>
          <t>A 14190-2025</t>
        </is>
      </c>
      <c r="B271" s="1" t="n">
        <v>45740</v>
      </c>
      <c r="C271" s="1" t="n">
        <v>45754</v>
      </c>
      <c r="D271" t="inlineStr">
        <is>
          <t>JÄMTLANDS LÄN</t>
        </is>
      </c>
      <c r="E271" t="inlineStr">
        <is>
          <t>BRÄCKE</t>
        </is>
      </c>
      <c r="F271" t="inlineStr">
        <is>
          <t>SCA</t>
        </is>
      </c>
      <c r="G271" t="n">
        <v>11.4</v>
      </c>
      <c r="H271" t="n">
        <v>0</v>
      </c>
      <c r="I271" t="n">
        <v>0</v>
      </c>
      <c r="J271" t="n">
        <v>2</v>
      </c>
      <c r="K271" t="n">
        <v>0</v>
      </c>
      <c r="L271" t="n">
        <v>0</v>
      </c>
      <c r="M271" t="n">
        <v>0</v>
      </c>
      <c r="N271" t="n">
        <v>0</v>
      </c>
      <c r="O271" t="n">
        <v>2</v>
      </c>
      <c r="P271" t="n">
        <v>0</v>
      </c>
      <c r="Q271" t="n">
        <v>2</v>
      </c>
      <c r="R271" s="2" t="inlineStr">
        <is>
          <t>Rosenticka
Ullticka</t>
        </is>
      </c>
      <c r="S271">
        <f>HYPERLINK("https://klasma.github.io/Logging_232305/artfynd/A 14190-2025 artfynd.xlsx", "A 14190-2025")</f>
        <v/>
      </c>
      <c r="T271">
        <f>HYPERLINK("https://klasma.github.io/Logging_232305/kartor/A 14190-2025 karta.png", "A 14190-2025")</f>
        <v/>
      </c>
      <c r="V271">
        <f>HYPERLINK("https://klasma.github.io/Logging_232305/klagomål/A 14190-2025 FSC-klagomål.docx", "A 14190-2025")</f>
        <v/>
      </c>
      <c r="W271">
        <f>HYPERLINK("https://klasma.github.io/Logging_232305/klagomålsmail/A 14190-2025 FSC-klagomål mail.docx", "A 14190-2025")</f>
        <v/>
      </c>
      <c r="X271">
        <f>HYPERLINK("https://klasma.github.io/Logging_232305/tillsyn/A 14190-2025 tillsynsbegäran.docx", "A 14190-2025")</f>
        <v/>
      </c>
      <c r="Y271">
        <f>HYPERLINK("https://klasma.github.io/Logging_232305/tillsynsmail/A 14190-2025 tillsynsbegäran mail.docx", "A 14190-2025")</f>
        <v/>
      </c>
    </row>
    <row r="272" ht="15" customHeight="1">
      <c r="A272" t="inlineStr">
        <is>
          <t>A 28216-2019</t>
        </is>
      </c>
      <c r="B272" s="1" t="n">
        <v>43621</v>
      </c>
      <c r="C272" s="1" t="n">
        <v>45754</v>
      </c>
      <c r="D272" t="inlineStr">
        <is>
          <t>JÄMTLANDS LÄN</t>
        </is>
      </c>
      <c r="E272" t="inlineStr">
        <is>
          <t>BRÄCKE</t>
        </is>
      </c>
      <c r="F272" t="inlineStr">
        <is>
          <t>SCA</t>
        </is>
      </c>
      <c r="G272" t="n">
        <v>4.6</v>
      </c>
      <c r="H272" t="n">
        <v>0</v>
      </c>
      <c r="I272" t="n">
        <v>0</v>
      </c>
      <c r="J272" t="n">
        <v>1</v>
      </c>
      <c r="K272" t="n">
        <v>0</v>
      </c>
      <c r="L272" t="n">
        <v>0</v>
      </c>
      <c r="M272" t="n">
        <v>0</v>
      </c>
      <c r="N272" t="n">
        <v>0</v>
      </c>
      <c r="O272" t="n">
        <v>1</v>
      </c>
      <c r="P272" t="n">
        <v>0</v>
      </c>
      <c r="Q272" t="n">
        <v>1</v>
      </c>
      <c r="R272" s="2" t="inlineStr">
        <is>
          <t>Lunglav</t>
        </is>
      </c>
      <c r="S272">
        <f>HYPERLINK("https://klasma.github.io/Logging_2305/artfynd/A 28216-2019 artfynd.xlsx", "A 28216-2019")</f>
        <v/>
      </c>
      <c r="T272">
        <f>HYPERLINK("https://klasma.github.io/Logging_2305/kartor/A 28216-2019 karta.png", "A 28216-2019")</f>
        <v/>
      </c>
      <c r="V272">
        <f>HYPERLINK("https://klasma.github.io/Logging_2305/klagomål/A 28216-2019 FSC-klagomål.docx", "A 28216-2019")</f>
        <v/>
      </c>
      <c r="W272">
        <f>HYPERLINK("https://klasma.github.io/Logging_2305/klagomålsmail/A 28216-2019 FSC-klagomål mail.docx", "A 28216-2019")</f>
        <v/>
      </c>
      <c r="X272">
        <f>HYPERLINK("https://klasma.github.io/Logging_2305/tillsyn/A 28216-2019 tillsynsbegäran.docx", "A 28216-2019")</f>
        <v/>
      </c>
      <c r="Y272">
        <f>HYPERLINK("https://klasma.github.io/Logging_2305/tillsynsmail/A 28216-2019 tillsynsbegäran mail.docx", "A 28216-2019")</f>
        <v/>
      </c>
    </row>
    <row r="273" ht="15" customHeight="1">
      <c r="A273" t="inlineStr">
        <is>
          <t>A 48962-2019</t>
        </is>
      </c>
      <c r="B273" s="1" t="n">
        <v>43728</v>
      </c>
      <c r="C273" s="1" t="n">
        <v>45754</v>
      </c>
      <c r="D273" t="inlineStr">
        <is>
          <t>JÄMTLANDS LÄN</t>
        </is>
      </c>
      <c r="E273" t="inlineStr">
        <is>
          <t>BRÄCKE</t>
        </is>
      </c>
      <c r="F273" t="inlineStr">
        <is>
          <t>SCA</t>
        </is>
      </c>
      <c r="G273" t="n">
        <v>21.9</v>
      </c>
      <c r="H273" t="n">
        <v>1</v>
      </c>
      <c r="I273" t="n">
        <v>0</v>
      </c>
      <c r="J273" t="n">
        <v>0</v>
      </c>
      <c r="K273" t="n">
        <v>1</v>
      </c>
      <c r="L273" t="n">
        <v>0</v>
      </c>
      <c r="M273" t="n">
        <v>0</v>
      </c>
      <c r="N273" t="n">
        <v>0</v>
      </c>
      <c r="O273" t="n">
        <v>1</v>
      </c>
      <c r="P273" t="n">
        <v>1</v>
      </c>
      <c r="Q273" t="n">
        <v>1</v>
      </c>
      <c r="R273" s="2" t="inlineStr">
        <is>
          <t>Doftticka</t>
        </is>
      </c>
      <c r="S273">
        <f>HYPERLINK("https://klasma.github.io/Logging_2305/artfynd/A 48962-2019 artfynd.xlsx", "A 48962-2019")</f>
        <v/>
      </c>
      <c r="T273">
        <f>HYPERLINK("https://klasma.github.io/Logging_2305/kartor/A 48962-2019 karta.png", "A 48962-2019")</f>
        <v/>
      </c>
      <c r="U273">
        <f>HYPERLINK("https://klasma.github.io/Logging_2305/knärot/A 48962-2019 karta knärot.png", "A 48962-2019")</f>
        <v/>
      </c>
      <c r="V273">
        <f>HYPERLINK("https://klasma.github.io/Logging_2305/klagomål/A 48962-2019 FSC-klagomål.docx", "A 48962-2019")</f>
        <v/>
      </c>
      <c r="W273">
        <f>HYPERLINK("https://klasma.github.io/Logging_2305/klagomålsmail/A 48962-2019 FSC-klagomål mail.docx", "A 48962-2019")</f>
        <v/>
      </c>
      <c r="X273">
        <f>HYPERLINK("https://klasma.github.io/Logging_2305/tillsyn/A 48962-2019 tillsynsbegäran.docx", "A 48962-2019")</f>
        <v/>
      </c>
      <c r="Y273">
        <f>HYPERLINK("https://klasma.github.io/Logging_2305/tillsynsmail/A 48962-2019 tillsynsbegäran mail.docx", "A 48962-2019")</f>
        <v/>
      </c>
    </row>
    <row r="274" ht="15" customHeight="1">
      <c r="A274" t="inlineStr">
        <is>
          <t>A 49010-2019</t>
        </is>
      </c>
      <c r="B274" s="1" t="n">
        <v>43730</v>
      </c>
      <c r="C274" s="1" t="n">
        <v>45754</v>
      </c>
      <c r="D274" t="inlineStr">
        <is>
          <t>JÄMTLANDS LÄN</t>
        </is>
      </c>
      <c r="E274" t="inlineStr">
        <is>
          <t>BRÄCKE</t>
        </is>
      </c>
      <c r="F274" t="inlineStr">
        <is>
          <t>SCA</t>
        </is>
      </c>
      <c r="G274" t="n">
        <v>1.3</v>
      </c>
      <c r="H274" t="n">
        <v>1</v>
      </c>
      <c r="I274" t="n">
        <v>0</v>
      </c>
      <c r="J274" t="n">
        <v>0</v>
      </c>
      <c r="K274" t="n">
        <v>0</v>
      </c>
      <c r="L274" t="n">
        <v>0</v>
      </c>
      <c r="M274" t="n">
        <v>0</v>
      </c>
      <c r="N274" t="n">
        <v>0</v>
      </c>
      <c r="O274" t="n">
        <v>0</v>
      </c>
      <c r="P274" t="n">
        <v>0</v>
      </c>
      <c r="Q274" t="n">
        <v>1</v>
      </c>
      <c r="R274" s="2" t="inlineStr">
        <is>
          <t>Fläcknycklar</t>
        </is>
      </c>
      <c r="S274">
        <f>HYPERLINK("https://klasma.github.io/Logging_2305/artfynd/A 49010-2019 artfynd.xlsx", "A 49010-2019")</f>
        <v/>
      </c>
      <c r="T274">
        <f>HYPERLINK("https://klasma.github.io/Logging_2305/kartor/A 49010-2019 karta.png", "A 49010-2019")</f>
        <v/>
      </c>
      <c r="V274">
        <f>HYPERLINK("https://klasma.github.io/Logging_2305/klagomål/A 49010-2019 FSC-klagomål.docx", "A 49010-2019")</f>
        <v/>
      </c>
      <c r="W274">
        <f>HYPERLINK("https://klasma.github.io/Logging_2305/klagomålsmail/A 49010-2019 FSC-klagomål mail.docx", "A 49010-2019")</f>
        <v/>
      </c>
      <c r="X274">
        <f>HYPERLINK("https://klasma.github.io/Logging_2305/tillsyn/A 49010-2019 tillsynsbegäran.docx", "A 49010-2019")</f>
        <v/>
      </c>
      <c r="Y274">
        <f>HYPERLINK("https://klasma.github.io/Logging_2305/tillsynsmail/A 49010-2019 tillsynsbegäran mail.docx", "A 49010-2019")</f>
        <v/>
      </c>
    </row>
    <row r="275" ht="15" customHeight="1">
      <c r="A275" t="inlineStr">
        <is>
          <t>A 49367-2019</t>
        </is>
      </c>
      <c r="B275" s="1" t="n">
        <v>43731</v>
      </c>
      <c r="C275" s="1" t="n">
        <v>45754</v>
      </c>
      <c r="D275" t="inlineStr">
        <is>
          <t>JÄMTLANDS LÄN</t>
        </is>
      </c>
      <c r="E275" t="inlineStr">
        <is>
          <t>BRÄCKE</t>
        </is>
      </c>
      <c r="F275" t="inlineStr">
        <is>
          <t>SCA</t>
        </is>
      </c>
      <c r="G275" t="n">
        <v>0.6</v>
      </c>
      <c r="H275" t="n">
        <v>0</v>
      </c>
      <c r="I275" t="n">
        <v>1</v>
      </c>
      <c r="J275" t="n">
        <v>0</v>
      </c>
      <c r="K275" t="n">
        <v>0</v>
      </c>
      <c r="L275" t="n">
        <v>0</v>
      </c>
      <c r="M275" t="n">
        <v>0</v>
      </c>
      <c r="N275" t="n">
        <v>0</v>
      </c>
      <c r="O275" t="n">
        <v>0</v>
      </c>
      <c r="P275" t="n">
        <v>0</v>
      </c>
      <c r="Q275" t="n">
        <v>1</v>
      </c>
      <c r="R275" s="2" t="inlineStr">
        <is>
          <t>Svart trolldruva</t>
        </is>
      </c>
      <c r="S275">
        <f>HYPERLINK("https://klasma.github.io/Logging_2305/artfynd/A 49367-2019 artfynd.xlsx", "A 49367-2019")</f>
        <v/>
      </c>
      <c r="T275">
        <f>HYPERLINK("https://klasma.github.io/Logging_2305/kartor/A 49367-2019 karta.png", "A 49367-2019")</f>
        <v/>
      </c>
      <c r="V275">
        <f>HYPERLINK("https://klasma.github.io/Logging_2305/klagomål/A 49367-2019 FSC-klagomål.docx", "A 49367-2019")</f>
        <v/>
      </c>
      <c r="W275">
        <f>HYPERLINK("https://klasma.github.io/Logging_2305/klagomålsmail/A 49367-2019 FSC-klagomål mail.docx", "A 49367-2019")</f>
        <v/>
      </c>
      <c r="X275">
        <f>HYPERLINK("https://klasma.github.io/Logging_2305/tillsyn/A 49367-2019 tillsynsbegäran.docx", "A 49367-2019")</f>
        <v/>
      </c>
      <c r="Y275">
        <f>HYPERLINK("https://klasma.github.io/Logging_2305/tillsynsmail/A 49367-2019 tillsynsbegäran mail.docx", "A 49367-2019")</f>
        <v/>
      </c>
    </row>
    <row r="276" ht="15" customHeight="1">
      <c r="A276" t="inlineStr">
        <is>
          <t>A 50599-2019</t>
        </is>
      </c>
      <c r="B276" s="1" t="n">
        <v>43735</v>
      </c>
      <c r="C276" s="1" t="n">
        <v>45754</v>
      </c>
      <c r="D276" t="inlineStr">
        <is>
          <t>JÄMTLANDS LÄN</t>
        </is>
      </c>
      <c r="E276" t="inlineStr">
        <is>
          <t>BRÄCKE</t>
        </is>
      </c>
      <c r="F276" t="inlineStr">
        <is>
          <t>SCA</t>
        </is>
      </c>
      <c r="G276" t="n">
        <v>4.5</v>
      </c>
      <c r="H276" t="n">
        <v>0</v>
      </c>
      <c r="I276" t="n">
        <v>0</v>
      </c>
      <c r="J276" t="n">
        <v>1</v>
      </c>
      <c r="K276" t="n">
        <v>0</v>
      </c>
      <c r="L276" t="n">
        <v>0</v>
      </c>
      <c r="M276" t="n">
        <v>0</v>
      </c>
      <c r="N276" t="n">
        <v>0</v>
      </c>
      <c r="O276" t="n">
        <v>1</v>
      </c>
      <c r="P276" t="n">
        <v>0</v>
      </c>
      <c r="Q276" t="n">
        <v>1</v>
      </c>
      <c r="R276" s="2" t="inlineStr">
        <is>
          <t>Garnlav</t>
        </is>
      </c>
      <c r="S276">
        <f>HYPERLINK("https://klasma.github.io/Logging_2305/artfynd/A 50599-2019 artfynd.xlsx", "A 50599-2019")</f>
        <v/>
      </c>
      <c r="T276">
        <f>HYPERLINK("https://klasma.github.io/Logging_2305/kartor/A 50599-2019 karta.png", "A 50599-2019")</f>
        <v/>
      </c>
      <c r="V276">
        <f>HYPERLINK("https://klasma.github.io/Logging_2305/klagomål/A 50599-2019 FSC-klagomål.docx", "A 50599-2019")</f>
        <v/>
      </c>
      <c r="W276">
        <f>HYPERLINK("https://klasma.github.io/Logging_2305/klagomålsmail/A 50599-2019 FSC-klagomål mail.docx", "A 50599-2019")</f>
        <v/>
      </c>
      <c r="X276">
        <f>HYPERLINK("https://klasma.github.io/Logging_2305/tillsyn/A 50599-2019 tillsynsbegäran.docx", "A 50599-2019")</f>
        <v/>
      </c>
      <c r="Y276">
        <f>HYPERLINK("https://klasma.github.io/Logging_2305/tillsynsmail/A 50599-2019 tillsynsbegäran mail.docx", "A 50599-2019")</f>
        <v/>
      </c>
    </row>
    <row r="277" ht="15" customHeight="1">
      <c r="A277" t="inlineStr">
        <is>
          <t>A 35488-2020</t>
        </is>
      </c>
      <c r="B277" s="1" t="n">
        <v>44042</v>
      </c>
      <c r="C277" s="1" t="n">
        <v>45754</v>
      </c>
      <c r="D277" t="inlineStr">
        <is>
          <t>JÄMTLANDS LÄN</t>
        </is>
      </c>
      <c r="E277" t="inlineStr">
        <is>
          <t>BRÄCKE</t>
        </is>
      </c>
      <c r="F277" t="inlineStr">
        <is>
          <t>SCA</t>
        </is>
      </c>
      <c r="G277" t="n">
        <v>1.9</v>
      </c>
      <c r="H277" t="n">
        <v>0</v>
      </c>
      <c r="I277" t="n">
        <v>0</v>
      </c>
      <c r="J277" t="n">
        <v>1</v>
      </c>
      <c r="K277" t="n">
        <v>0</v>
      </c>
      <c r="L277" t="n">
        <v>0</v>
      </c>
      <c r="M277" t="n">
        <v>0</v>
      </c>
      <c r="N277" t="n">
        <v>0</v>
      </c>
      <c r="O277" t="n">
        <v>1</v>
      </c>
      <c r="P277" t="n">
        <v>0</v>
      </c>
      <c r="Q277" t="n">
        <v>1</v>
      </c>
      <c r="R277" s="2" t="inlineStr">
        <is>
          <t>Lunglav</t>
        </is>
      </c>
      <c r="S277">
        <f>HYPERLINK("https://klasma.github.io/Logging_2305/artfynd/A 35488-2020 artfynd.xlsx", "A 35488-2020")</f>
        <v/>
      </c>
      <c r="T277">
        <f>HYPERLINK("https://klasma.github.io/Logging_2305/kartor/A 35488-2020 karta.png", "A 35488-2020")</f>
        <v/>
      </c>
      <c r="V277">
        <f>HYPERLINK("https://klasma.github.io/Logging_2305/klagomål/A 35488-2020 FSC-klagomål.docx", "A 35488-2020")</f>
        <v/>
      </c>
      <c r="W277">
        <f>HYPERLINK("https://klasma.github.io/Logging_2305/klagomålsmail/A 35488-2020 FSC-klagomål mail.docx", "A 35488-2020")</f>
        <v/>
      </c>
      <c r="X277">
        <f>HYPERLINK("https://klasma.github.io/Logging_2305/tillsyn/A 35488-2020 tillsynsbegäran.docx", "A 35488-2020")</f>
        <v/>
      </c>
      <c r="Y277">
        <f>HYPERLINK("https://klasma.github.io/Logging_2305/tillsynsmail/A 35488-2020 tillsynsbegäran mail.docx", "A 35488-2020")</f>
        <v/>
      </c>
    </row>
    <row r="278" ht="15" customHeight="1">
      <c r="A278" t="inlineStr">
        <is>
          <t>A 41897-2020</t>
        </is>
      </c>
      <c r="B278" s="1" t="n">
        <v>44074</v>
      </c>
      <c r="C278" s="1" t="n">
        <v>45754</v>
      </c>
      <c r="D278" t="inlineStr">
        <is>
          <t>JÄMTLANDS LÄN</t>
        </is>
      </c>
      <c r="E278" t="inlineStr">
        <is>
          <t>BRÄCKE</t>
        </is>
      </c>
      <c r="F278" t="inlineStr">
        <is>
          <t>SCA</t>
        </is>
      </c>
      <c r="G278" t="n">
        <v>3.9</v>
      </c>
      <c r="H278" t="n">
        <v>0</v>
      </c>
      <c r="I278" t="n">
        <v>0</v>
      </c>
      <c r="J278" t="n">
        <v>1</v>
      </c>
      <c r="K278" t="n">
        <v>0</v>
      </c>
      <c r="L278" t="n">
        <v>0</v>
      </c>
      <c r="M278" t="n">
        <v>0</v>
      </c>
      <c r="N278" t="n">
        <v>0</v>
      </c>
      <c r="O278" t="n">
        <v>1</v>
      </c>
      <c r="P278" t="n">
        <v>0</v>
      </c>
      <c r="Q278" t="n">
        <v>1</v>
      </c>
      <c r="R278" s="2" t="inlineStr">
        <is>
          <t>Stiftgelélav</t>
        </is>
      </c>
      <c r="S278">
        <f>HYPERLINK("https://klasma.github.io/Logging_2305/artfynd/A 41897-2020 artfynd.xlsx", "A 41897-2020")</f>
        <v/>
      </c>
      <c r="T278">
        <f>HYPERLINK("https://klasma.github.io/Logging_2305/kartor/A 41897-2020 karta.png", "A 41897-2020")</f>
        <v/>
      </c>
      <c r="V278">
        <f>HYPERLINK("https://klasma.github.io/Logging_2305/klagomål/A 41897-2020 FSC-klagomål.docx", "A 41897-2020")</f>
        <v/>
      </c>
      <c r="W278">
        <f>HYPERLINK("https://klasma.github.io/Logging_2305/klagomålsmail/A 41897-2020 FSC-klagomål mail.docx", "A 41897-2020")</f>
        <v/>
      </c>
      <c r="X278">
        <f>HYPERLINK("https://klasma.github.io/Logging_2305/tillsyn/A 41897-2020 tillsynsbegäran.docx", "A 41897-2020")</f>
        <v/>
      </c>
      <c r="Y278">
        <f>HYPERLINK("https://klasma.github.io/Logging_2305/tillsynsmail/A 41897-2020 tillsynsbegäran mail.docx", "A 41897-2020")</f>
        <v/>
      </c>
    </row>
    <row r="279" ht="15" customHeight="1">
      <c r="A279" t="inlineStr">
        <is>
          <t>A 47864-2020</t>
        </is>
      </c>
      <c r="B279" s="1" t="n">
        <v>44098</v>
      </c>
      <c r="C279" s="1" t="n">
        <v>45754</v>
      </c>
      <c r="D279" t="inlineStr">
        <is>
          <t>JÄMTLANDS LÄN</t>
        </is>
      </c>
      <c r="E279" t="inlineStr">
        <is>
          <t>BRÄCKE</t>
        </is>
      </c>
      <c r="F279" t="inlineStr">
        <is>
          <t>SCA</t>
        </is>
      </c>
      <c r="G279" t="n">
        <v>1.9</v>
      </c>
      <c r="H279" t="n">
        <v>1</v>
      </c>
      <c r="I279" t="n">
        <v>0</v>
      </c>
      <c r="J279" t="n">
        <v>0</v>
      </c>
      <c r="K279" t="n">
        <v>1</v>
      </c>
      <c r="L279" t="n">
        <v>0</v>
      </c>
      <c r="M279" t="n">
        <v>0</v>
      </c>
      <c r="N279" t="n">
        <v>0</v>
      </c>
      <c r="O279" t="n">
        <v>1</v>
      </c>
      <c r="P279" t="n">
        <v>1</v>
      </c>
      <c r="Q279" t="n">
        <v>1</v>
      </c>
      <c r="R279" s="2" t="inlineStr">
        <is>
          <t>Knärot</t>
        </is>
      </c>
      <c r="S279">
        <f>HYPERLINK("https://klasma.github.io/Logging_2305/artfynd/A 47864-2020 artfynd.xlsx", "A 47864-2020")</f>
        <v/>
      </c>
      <c r="T279">
        <f>HYPERLINK("https://klasma.github.io/Logging_2305/kartor/A 47864-2020 karta.png", "A 47864-2020")</f>
        <v/>
      </c>
      <c r="U279">
        <f>HYPERLINK("https://klasma.github.io/Logging_2305/knärot/A 47864-2020 karta knärot.png", "A 47864-2020")</f>
        <v/>
      </c>
      <c r="V279">
        <f>HYPERLINK("https://klasma.github.io/Logging_2305/klagomål/A 47864-2020 FSC-klagomål.docx", "A 47864-2020")</f>
        <v/>
      </c>
      <c r="W279">
        <f>HYPERLINK("https://klasma.github.io/Logging_2305/klagomålsmail/A 47864-2020 FSC-klagomål mail.docx", "A 47864-2020")</f>
        <v/>
      </c>
      <c r="X279">
        <f>HYPERLINK("https://klasma.github.io/Logging_2305/tillsyn/A 47864-2020 tillsynsbegäran.docx", "A 47864-2020")</f>
        <v/>
      </c>
      <c r="Y279">
        <f>HYPERLINK("https://klasma.github.io/Logging_2305/tillsynsmail/A 47864-2020 tillsynsbegäran mail.docx", "A 47864-2020")</f>
        <v/>
      </c>
    </row>
    <row r="280" ht="15" customHeight="1">
      <c r="A280" t="inlineStr">
        <is>
          <t>A 60051-2020</t>
        </is>
      </c>
      <c r="B280" s="1" t="n">
        <v>44151</v>
      </c>
      <c r="C280" s="1" t="n">
        <v>45754</v>
      </c>
      <c r="D280" t="inlineStr">
        <is>
          <t>JÄMTLANDS LÄN</t>
        </is>
      </c>
      <c r="E280" t="inlineStr">
        <is>
          <t>BRÄCKE</t>
        </is>
      </c>
      <c r="F280" t="inlineStr">
        <is>
          <t>SCA</t>
        </is>
      </c>
      <c r="G280" t="n">
        <v>9.300000000000001</v>
      </c>
      <c r="H280" t="n">
        <v>0</v>
      </c>
      <c r="I280" t="n">
        <v>0</v>
      </c>
      <c r="J280" t="n">
        <v>1</v>
      </c>
      <c r="K280" t="n">
        <v>0</v>
      </c>
      <c r="L280" t="n">
        <v>0</v>
      </c>
      <c r="M280" t="n">
        <v>0</v>
      </c>
      <c r="N280" t="n">
        <v>0</v>
      </c>
      <c r="O280" t="n">
        <v>1</v>
      </c>
      <c r="P280" t="n">
        <v>0</v>
      </c>
      <c r="Q280" t="n">
        <v>1</v>
      </c>
      <c r="R280" s="2" t="inlineStr">
        <is>
          <t>Lunglav</t>
        </is>
      </c>
      <c r="S280">
        <f>HYPERLINK("https://klasma.github.io/Logging_2305/artfynd/A 60051-2020 artfynd.xlsx", "A 60051-2020")</f>
        <v/>
      </c>
      <c r="T280">
        <f>HYPERLINK("https://klasma.github.io/Logging_2305/kartor/A 60051-2020 karta.png", "A 60051-2020")</f>
        <v/>
      </c>
      <c r="V280">
        <f>HYPERLINK("https://klasma.github.io/Logging_2305/klagomål/A 60051-2020 FSC-klagomål.docx", "A 60051-2020")</f>
        <v/>
      </c>
      <c r="W280">
        <f>HYPERLINK("https://klasma.github.io/Logging_2305/klagomålsmail/A 60051-2020 FSC-klagomål mail.docx", "A 60051-2020")</f>
        <v/>
      </c>
      <c r="X280">
        <f>HYPERLINK("https://klasma.github.io/Logging_2305/tillsyn/A 60051-2020 tillsynsbegäran.docx", "A 60051-2020")</f>
        <v/>
      </c>
      <c r="Y280">
        <f>HYPERLINK("https://klasma.github.io/Logging_2305/tillsynsmail/A 60051-2020 tillsynsbegäran mail.docx", "A 60051-2020")</f>
        <v/>
      </c>
    </row>
    <row r="281" ht="15" customHeight="1">
      <c r="A281" t="inlineStr">
        <is>
          <t>A 19431-2021</t>
        </is>
      </c>
      <c r="B281" s="1" t="n">
        <v>44309</v>
      </c>
      <c r="C281" s="1" t="n">
        <v>45754</v>
      </c>
      <c r="D281" t="inlineStr">
        <is>
          <t>JÄMTLANDS LÄN</t>
        </is>
      </c>
      <c r="E281" t="inlineStr">
        <is>
          <t>BRÄCKE</t>
        </is>
      </c>
      <c r="G281" t="n">
        <v>4.8</v>
      </c>
      <c r="H281" t="n">
        <v>1</v>
      </c>
      <c r="I281" t="n">
        <v>0</v>
      </c>
      <c r="J281" t="n">
        <v>1</v>
      </c>
      <c r="K281" t="n">
        <v>0</v>
      </c>
      <c r="L281" t="n">
        <v>0</v>
      </c>
      <c r="M281" t="n">
        <v>0</v>
      </c>
      <c r="N281" t="n">
        <v>0</v>
      </c>
      <c r="O281" t="n">
        <v>1</v>
      </c>
      <c r="P281" t="n">
        <v>0</v>
      </c>
      <c r="Q281" t="n">
        <v>1</v>
      </c>
      <c r="R281" s="2" t="inlineStr">
        <is>
          <t>Utter</t>
        </is>
      </c>
      <c r="S281">
        <f>HYPERLINK("https://klasma.github.io/Logging_2305/artfynd/A 19431-2021 artfynd.xlsx", "A 19431-2021")</f>
        <v/>
      </c>
      <c r="T281">
        <f>HYPERLINK("https://klasma.github.io/Logging_2305/kartor/A 19431-2021 karta.png", "A 19431-2021")</f>
        <v/>
      </c>
      <c r="V281">
        <f>HYPERLINK("https://klasma.github.io/Logging_2305/klagomål/A 19431-2021 FSC-klagomål.docx", "A 19431-2021")</f>
        <v/>
      </c>
      <c r="W281">
        <f>HYPERLINK("https://klasma.github.io/Logging_2305/klagomålsmail/A 19431-2021 FSC-klagomål mail.docx", "A 19431-2021")</f>
        <v/>
      </c>
      <c r="X281">
        <f>HYPERLINK("https://klasma.github.io/Logging_2305/tillsyn/A 19431-2021 tillsynsbegäran.docx", "A 19431-2021")</f>
        <v/>
      </c>
      <c r="Y281">
        <f>HYPERLINK("https://klasma.github.io/Logging_2305/tillsynsmail/A 19431-2021 tillsynsbegäran mail.docx", "A 19431-2021")</f>
        <v/>
      </c>
    </row>
    <row r="282" ht="15" customHeight="1">
      <c r="A282" t="inlineStr">
        <is>
          <t>A 26135-2021</t>
        </is>
      </c>
      <c r="B282" s="1" t="n">
        <v>44346</v>
      </c>
      <c r="C282" s="1" t="n">
        <v>45754</v>
      </c>
      <c r="D282" t="inlineStr">
        <is>
          <t>JÄMTLANDS LÄN</t>
        </is>
      </c>
      <c r="E282" t="inlineStr">
        <is>
          <t>BRÄCKE</t>
        </is>
      </c>
      <c r="G282" t="n">
        <v>15.1</v>
      </c>
      <c r="H282" t="n">
        <v>0</v>
      </c>
      <c r="I282" t="n">
        <v>1</v>
      </c>
      <c r="J282" t="n">
        <v>0</v>
      </c>
      <c r="K282" t="n">
        <v>0</v>
      </c>
      <c r="L282" t="n">
        <v>0</v>
      </c>
      <c r="M282" t="n">
        <v>0</v>
      </c>
      <c r="N282" t="n">
        <v>0</v>
      </c>
      <c r="O282" t="n">
        <v>0</v>
      </c>
      <c r="P282" t="n">
        <v>0</v>
      </c>
      <c r="Q282" t="n">
        <v>1</v>
      </c>
      <c r="R282" s="2" t="inlineStr">
        <is>
          <t>Grönpyrola</t>
        </is>
      </c>
      <c r="S282">
        <f>HYPERLINK("https://klasma.github.io/Logging_2305/artfynd/A 26135-2021 artfynd.xlsx", "A 26135-2021")</f>
        <v/>
      </c>
      <c r="T282">
        <f>HYPERLINK("https://klasma.github.io/Logging_2305/kartor/A 26135-2021 karta.png", "A 26135-2021")</f>
        <v/>
      </c>
      <c r="V282">
        <f>HYPERLINK("https://klasma.github.io/Logging_2305/klagomål/A 26135-2021 FSC-klagomål.docx", "A 26135-2021")</f>
        <v/>
      </c>
      <c r="W282">
        <f>HYPERLINK("https://klasma.github.io/Logging_2305/klagomålsmail/A 26135-2021 FSC-klagomål mail.docx", "A 26135-2021")</f>
        <v/>
      </c>
      <c r="X282">
        <f>HYPERLINK("https://klasma.github.io/Logging_2305/tillsyn/A 26135-2021 tillsynsbegäran.docx", "A 26135-2021")</f>
        <v/>
      </c>
      <c r="Y282">
        <f>HYPERLINK("https://klasma.github.io/Logging_2305/tillsynsmail/A 26135-2021 tillsynsbegäran mail.docx", "A 26135-2021")</f>
        <v/>
      </c>
    </row>
    <row r="283" ht="15" customHeight="1">
      <c r="A283" t="inlineStr">
        <is>
          <t>A 31336-2021</t>
        </is>
      </c>
      <c r="B283" s="1" t="n">
        <v>44368</v>
      </c>
      <c r="C283" s="1" t="n">
        <v>45754</v>
      </c>
      <c r="D283" t="inlineStr">
        <is>
          <t>JÄMTLANDS LÄN</t>
        </is>
      </c>
      <c r="E283" t="inlineStr">
        <is>
          <t>BRÄCKE</t>
        </is>
      </c>
      <c r="F283" t="inlineStr">
        <is>
          <t>SCA</t>
        </is>
      </c>
      <c r="G283" t="n">
        <v>2.2</v>
      </c>
      <c r="H283" t="n">
        <v>0</v>
      </c>
      <c r="I283" t="n">
        <v>0</v>
      </c>
      <c r="J283" t="n">
        <v>0</v>
      </c>
      <c r="K283" t="n">
        <v>1</v>
      </c>
      <c r="L283" t="n">
        <v>0</v>
      </c>
      <c r="M283" t="n">
        <v>0</v>
      </c>
      <c r="N283" t="n">
        <v>0</v>
      </c>
      <c r="O283" t="n">
        <v>1</v>
      </c>
      <c r="P283" t="n">
        <v>1</v>
      </c>
      <c r="Q283" t="n">
        <v>1</v>
      </c>
      <c r="R283" s="2" t="inlineStr">
        <is>
          <t>Rynkskinn</t>
        </is>
      </c>
      <c r="S283">
        <f>HYPERLINK("https://klasma.github.io/Logging_2305/artfynd/A 31336-2021 artfynd.xlsx", "A 31336-2021")</f>
        <v/>
      </c>
      <c r="T283">
        <f>HYPERLINK("https://klasma.github.io/Logging_2305/kartor/A 31336-2021 karta.png", "A 31336-2021")</f>
        <v/>
      </c>
      <c r="V283">
        <f>HYPERLINK("https://klasma.github.io/Logging_2305/klagomål/A 31336-2021 FSC-klagomål.docx", "A 31336-2021")</f>
        <v/>
      </c>
      <c r="W283">
        <f>HYPERLINK("https://klasma.github.io/Logging_2305/klagomålsmail/A 31336-2021 FSC-klagomål mail.docx", "A 31336-2021")</f>
        <v/>
      </c>
      <c r="X283">
        <f>HYPERLINK("https://klasma.github.io/Logging_2305/tillsyn/A 31336-2021 tillsynsbegäran.docx", "A 31336-2021")</f>
        <v/>
      </c>
      <c r="Y283">
        <f>HYPERLINK("https://klasma.github.io/Logging_2305/tillsynsmail/A 31336-2021 tillsynsbegäran mail.docx", "A 31336-2021")</f>
        <v/>
      </c>
    </row>
    <row r="284" ht="15" customHeight="1">
      <c r="A284" t="inlineStr">
        <is>
          <t>A 42243-2021</t>
        </is>
      </c>
      <c r="B284" s="1" t="n">
        <v>44426</v>
      </c>
      <c r="C284" s="1" t="n">
        <v>45754</v>
      </c>
      <c r="D284" t="inlineStr">
        <is>
          <t>JÄMTLANDS LÄN</t>
        </is>
      </c>
      <c r="E284" t="inlineStr">
        <is>
          <t>BRÄCKE</t>
        </is>
      </c>
      <c r="F284" t="inlineStr">
        <is>
          <t>SCA</t>
        </is>
      </c>
      <c r="G284" t="n">
        <v>6.2</v>
      </c>
      <c r="H284" t="n">
        <v>0</v>
      </c>
      <c r="I284" t="n">
        <v>0</v>
      </c>
      <c r="J284" t="n">
        <v>1</v>
      </c>
      <c r="K284" t="n">
        <v>0</v>
      </c>
      <c r="L284" t="n">
        <v>0</v>
      </c>
      <c r="M284" t="n">
        <v>0</v>
      </c>
      <c r="N284" t="n">
        <v>0</v>
      </c>
      <c r="O284" t="n">
        <v>1</v>
      </c>
      <c r="P284" t="n">
        <v>0</v>
      </c>
      <c r="Q284" t="n">
        <v>1</v>
      </c>
      <c r="R284" s="2" t="inlineStr">
        <is>
          <t>Skogshare</t>
        </is>
      </c>
      <c r="S284">
        <f>HYPERLINK("https://klasma.github.io/Logging_2305/artfynd/A 42243-2021 artfynd.xlsx", "A 42243-2021")</f>
        <v/>
      </c>
      <c r="T284">
        <f>HYPERLINK("https://klasma.github.io/Logging_2305/kartor/A 42243-2021 karta.png", "A 42243-2021")</f>
        <v/>
      </c>
      <c r="V284">
        <f>HYPERLINK("https://klasma.github.io/Logging_2305/klagomål/A 42243-2021 FSC-klagomål.docx", "A 42243-2021")</f>
        <v/>
      </c>
      <c r="W284">
        <f>HYPERLINK("https://klasma.github.io/Logging_2305/klagomålsmail/A 42243-2021 FSC-klagomål mail.docx", "A 42243-2021")</f>
        <v/>
      </c>
      <c r="X284">
        <f>HYPERLINK("https://klasma.github.io/Logging_2305/tillsyn/A 42243-2021 tillsynsbegäran.docx", "A 42243-2021")</f>
        <v/>
      </c>
      <c r="Y284">
        <f>HYPERLINK("https://klasma.github.io/Logging_2305/tillsynsmail/A 42243-2021 tillsynsbegäran mail.docx", "A 42243-2021")</f>
        <v/>
      </c>
    </row>
    <row r="285" ht="15" customHeight="1">
      <c r="A285" t="inlineStr">
        <is>
          <t>A 69154-2021</t>
        </is>
      </c>
      <c r="B285" s="1" t="n">
        <v>44530</v>
      </c>
      <c r="C285" s="1" t="n">
        <v>45754</v>
      </c>
      <c r="D285" t="inlineStr">
        <is>
          <t>JÄMTLANDS LÄN</t>
        </is>
      </c>
      <c r="E285" t="inlineStr">
        <is>
          <t>BRÄCKE</t>
        </is>
      </c>
      <c r="F285" t="inlineStr">
        <is>
          <t>SCA</t>
        </is>
      </c>
      <c r="G285" t="n">
        <v>3.4</v>
      </c>
      <c r="H285" t="n">
        <v>0</v>
      </c>
      <c r="I285" t="n">
        <v>0</v>
      </c>
      <c r="J285" t="n">
        <v>1</v>
      </c>
      <c r="K285" t="n">
        <v>0</v>
      </c>
      <c r="L285" t="n">
        <v>0</v>
      </c>
      <c r="M285" t="n">
        <v>0</v>
      </c>
      <c r="N285" t="n">
        <v>0</v>
      </c>
      <c r="O285" t="n">
        <v>1</v>
      </c>
      <c r="P285" t="n">
        <v>0</v>
      </c>
      <c r="Q285" t="n">
        <v>1</v>
      </c>
      <c r="R285" s="2" t="inlineStr">
        <is>
          <t>Lunglav</t>
        </is>
      </c>
      <c r="S285">
        <f>HYPERLINK("https://klasma.github.io/Logging_2305/artfynd/A 69154-2021 artfynd.xlsx", "A 69154-2021")</f>
        <v/>
      </c>
      <c r="T285">
        <f>HYPERLINK("https://klasma.github.io/Logging_2305/kartor/A 69154-2021 karta.png", "A 69154-2021")</f>
        <v/>
      </c>
      <c r="V285">
        <f>HYPERLINK("https://klasma.github.io/Logging_2305/klagomål/A 69154-2021 FSC-klagomål.docx", "A 69154-2021")</f>
        <v/>
      </c>
      <c r="W285">
        <f>HYPERLINK("https://klasma.github.io/Logging_2305/klagomålsmail/A 69154-2021 FSC-klagomål mail.docx", "A 69154-2021")</f>
        <v/>
      </c>
      <c r="X285">
        <f>HYPERLINK("https://klasma.github.io/Logging_2305/tillsyn/A 69154-2021 tillsynsbegäran.docx", "A 69154-2021")</f>
        <v/>
      </c>
      <c r="Y285">
        <f>HYPERLINK("https://klasma.github.io/Logging_2305/tillsynsmail/A 69154-2021 tillsynsbegäran mail.docx", "A 69154-2021")</f>
        <v/>
      </c>
    </row>
    <row r="286" ht="15" customHeight="1">
      <c r="A286" t="inlineStr">
        <is>
          <t>A 235-2022</t>
        </is>
      </c>
      <c r="B286" s="1" t="n">
        <v>44564</v>
      </c>
      <c r="C286" s="1" t="n">
        <v>45754</v>
      </c>
      <c r="D286" t="inlineStr">
        <is>
          <t>JÄMTLANDS LÄN</t>
        </is>
      </c>
      <c r="E286" t="inlineStr">
        <is>
          <t>BRÄCKE</t>
        </is>
      </c>
      <c r="F286" t="inlineStr">
        <is>
          <t>SCA</t>
        </is>
      </c>
      <c r="G286" t="n">
        <v>5.8</v>
      </c>
      <c r="H286" t="n">
        <v>0</v>
      </c>
      <c r="I286" t="n">
        <v>0</v>
      </c>
      <c r="J286" t="n">
        <v>1</v>
      </c>
      <c r="K286" t="n">
        <v>0</v>
      </c>
      <c r="L286" t="n">
        <v>0</v>
      </c>
      <c r="M286" t="n">
        <v>0</v>
      </c>
      <c r="N286" t="n">
        <v>0</v>
      </c>
      <c r="O286" t="n">
        <v>1</v>
      </c>
      <c r="P286" t="n">
        <v>0</v>
      </c>
      <c r="Q286" t="n">
        <v>1</v>
      </c>
      <c r="R286" s="2" t="inlineStr">
        <is>
          <t>Harticka</t>
        </is>
      </c>
      <c r="S286">
        <f>HYPERLINK("https://klasma.github.io/Logging_2305/artfynd/A 235-2022 artfynd.xlsx", "A 235-2022")</f>
        <v/>
      </c>
      <c r="T286">
        <f>HYPERLINK("https://klasma.github.io/Logging_2305/kartor/A 235-2022 karta.png", "A 235-2022")</f>
        <v/>
      </c>
      <c r="V286">
        <f>HYPERLINK("https://klasma.github.io/Logging_2305/klagomål/A 235-2022 FSC-klagomål.docx", "A 235-2022")</f>
        <v/>
      </c>
      <c r="W286">
        <f>HYPERLINK("https://klasma.github.io/Logging_2305/klagomålsmail/A 235-2022 FSC-klagomål mail.docx", "A 235-2022")</f>
        <v/>
      </c>
      <c r="X286">
        <f>HYPERLINK("https://klasma.github.io/Logging_2305/tillsyn/A 235-2022 tillsynsbegäran.docx", "A 235-2022")</f>
        <v/>
      </c>
      <c r="Y286">
        <f>HYPERLINK("https://klasma.github.io/Logging_2305/tillsynsmail/A 235-2022 tillsynsbegäran mail.docx", "A 235-2022")</f>
        <v/>
      </c>
    </row>
    <row r="287" ht="15" customHeight="1">
      <c r="A287" t="inlineStr">
        <is>
          <t>A 14628-2022</t>
        </is>
      </c>
      <c r="B287" s="1" t="n">
        <v>44655</v>
      </c>
      <c r="C287" s="1" t="n">
        <v>45754</v>
      </c>
      <c r="D287" t="inlineStr">
        <is>
          <t>JÄMTLANDS LÄN</t>
        </is>
      </c>
      <c r="E287" t="inlineStr">
        <is>
          <t>BRÄCKE</t>
        </is>
      </c>
      <c r="G287" t="n">
        <v>4.7</v>
      </c>
      <c r="H287" t="n">
        <v>0</v>
      </c>
      <c r="I287" t="n">
        <v>1</v>
      </c>
      <c r="J287" t="n">
        <v>0</v>
      </c>
      <c r="K287" t="n">
        <v>0</v>
      </c>
      <c r="L287" t="n">
        <v>0</v>
      </c>
      <c r="M287" t="n">
        <v>0</v>
      </c>
      <c r="N287" t="n">
        <v>0</v>
      </c>
      <c r="O287" t="n">
        <v>0</v>
      </c>
      <c r="P287" t="n">
        <v>0</v>
      </c>
      <c r="Q287" t="n">
        <v>1</v>
      </c>
      <c r="R287" s="2" t="inlineStr">
        <is>
          <t>Dropptaggsvamp</t>
        </is>
      </c>
      <c r="S287">
        <f>HYPERLINK("https://klasma.github.io/Logging_2305/artfynd/A 14628-2022 artfynd.xlsx", "A 14628-2022")</f>
        <v/>
      </c>
      <c r="T287">
        <f>HYPERLINK("https://klasma.github.io/Logging_2305/kartor/A 14628-2022 karta.png", "A 14628-2022")</f>
        <v/>
      </c>
      <c r="V287">
        <f>HYPERLINK("https://klasma.github.io/Logging_2305/klagomål/A 14628-2022 FSC-klagomål.docx", "A 14628-2022")</f>
        <v/>
      </c>
      <c r="W287">
        <f>HYPERLINK("https://klasma.github.io/Logging_2305/klagomålsmail/A 14628-2022 FSC-klagomål mail.docx", "A 14628-2022")</f>
        <v/>
      </c>
      <c r="X287">
        <f>HYPERLINK("https://klasma.github.io/Logging_2305/tillsyn/A 14628-2022 tillsynsbegäran.docx", "A 14628-2022")</f>
        <v/>
      </c>
      <c r="Y287">
        <f>HYPERLINK("https://klasma.github.io/Logging_2305/tillsynsmail/A 14628-2022 tillsynsbegäran mail.docx", "A 14628-2022")</f>
        <v/>
      </c>
    </row>
    <row r="288" ht="15" customHeight="1">
      <c r="A288" t="inlineStr">
        <is>
          <t>A 15076-2022</t>
        </is>
      </c>
      <c r="B288" s="1" t="n">
        <v>44657</v>
      </c>
      <c r="C288" s="1" t="n">
        <v>45754</v>
      </c>
      <c r="D288" t="inlineStr">
        <is>
          <t>JÄMTLANDS LÄN</t>
        </is>
      </c>
      <c r="E288" t="inlineStr">
        <is>
          <t>BRÄCKE</t>
        </is>
      </c>
      <c r="G288" t="n">
        <v>24.7</v>
      </c>
      <c r="H288" t="n">
        <v>0</v>
      </c>
      <c r="I288" t="n">
        <v>0</v>
      </c>
      <c r="J288" t="n">
        <v>1</v>
      </c>
      <c r="K288" t="n">
        <v>0</v>
      </c>
      <c r="L288" t="n">
        <v>0</v>
      </c>
      <c r="M288" t="n">
        <v>0</v>
      </c>
      <c r="N288" t="n">
        <v>0</v>
      </c>
      <c r="O288" t="n">
        <v>1</v>
      </c>
      <c r="P288" t="n">
        <v>0</v>
      </c>
      <c r="Q288" t="n">
        <v>1</v>
      </c>
      <c r="R288" s="2" t="inlineStr">
        <is>
          <t>Skrovellav</t>
        </is>
      </c>
      <c r="S288">
        <f>HYPERLINK("https://klasma.github.io/Logging_2305/artfynd/A 15076-2022 artfynd.xlsx", "A 15076-2022")</f>
        <v/>
      </c>
      <c r="T288">
        <f>HYPERLINK("https://klasma.github.io/Logging_2305/kartor/A 15076-2022 karta.png", "A 15076-2022")</f>
        <v/>
      </c>
      <c r="V288">
        <f>HYPERLINK("https://klasma.github.io/Logging_2305/klagomål/A 15076-2022 FSC-klagomål.docx", "A 15076-2022")</f>
        <v/>
      </c>
      <c r="W288">
        <f>HYPERLINK("https://klasma.github.io/Logging_2305/klagomålsmail/A 15076-2022 FSC-klagomål mail.docx", "A 15076-2022")</f>
        <v/>
      </c>
      <c r="X288">
        <f>HYPERLINK("https://klasma.github.io/Logging_2305/tillsyn/A 15076-2022 tillsynsbegäran.docx", "A 15076-2022")</f>
        <v/>
      </c>
      <c r="Y288">
        <f>HYPERLINK("https://klasma.github.io/Logging_2305/tillsynsmail/A 15076-2022 tillsynsbegäran mail.docx", "A 15076-2022")</f>
        <v/>
      </c>
    </row>
    <row r="289" ht="15" customHeight="1">
      <c r="A289" t="inlineStr">
        <is>
          <t>A 15366-2022</t>
        </is>
      </c>
      <c r="B289" s="1" t="n">
        <v>44659</v>
      </c>
      <c r="C289" s="1" t="n">
        <v>45754</v>
      </c>
      <c r="D289" t="inlineStr">
        <is>
          <t>JÄMTLANDS LÄN</t>
        </is>
      </c>
      <c r="E289" t="inlineStr">
        <is>
          <t>BRÄCKE</t>
        </is>
      </c>
      <c r="G289" t="n">
        <v>3.3</v>
      </c>
      <c r="H289" t="n">
        <v>1</v>
      </c>
      <c r="I289" t="n">
        <v>0</v>
      </c>
      <c r="J289" t="n">
        <v>0</v>
      </c>
      <c r="K289" t="n">
        <v>0</v>
      </c>
      <c r="L289" t="n">
        <v>0</v>
      </c>
      <c r="M289" t="n">
        <v>0</v>
      </c>
      <c r="N289" t="n">
        <v>0</v>
      </c>
      <c r="O289" t="n">
        <v>0</v>
      </c>
      <c r="P289" t="n">
        <v>0</v>
      </c>
      <c r="Q289" t="n">
        <v>1</v>
      </c>
      <c r="R289" s="2" t="inlineStr">
        <is>
          <t>Brudsporre</t>
        </is>
      </c>
      <c r="S289">
        <f>HYPERLINK("https://klasma.github.io/Logging_2305/artfynd/A 15366-2022 artfynd.xlsx", "A 15366-2022")</f>
        <v/>
      </c>
      <c r="T289">
        <f>HYPERLINK("https://klasma.github.io/Logging_2305/kartor/A 15366-2022 karta.png", "A 15366-2022")</f>
        <v/>
      </c>
      <c r="V289">
        <f>HYPERLINK("https://klasma.github.io/Logging_2305/klagomål/A 15366-2022 FSC-klagomål.docx", "A 15366-2022")</f>
        <v/>
      </c>
      <c r="W289">
        <f>HYPERLINK("https://klasma.github.io/Logging_2305/klagomålsmail/A 15366-2022 FSC-klagomål mail.docx", "A 15366-2022")</f>
        <v/>
      </c>
      <c r="X289">
        <f>HYPERLINK("https://klasma.github.io/Logging_2305/tillsyn/A 15366-2022 tillsynsbegäran.docx", "A 15366-2022")</f>
        <v/>
      </c>
      <c r="Y289">
        <f>HYPERLINK("https://klasma.github.io/Logging_2305/tillsynsmail/A 15366-2022 tillsynsbegäran mail.docx", "A 15366-2022")</f>
        <v/>
      </c>
    </row>
    <row r="290" ht="15" customHeight="1">
      <c r="A290" t="inlineStr">
        <is>
          <t>A 23434-2022</t>
        </is>
      </c>
      <c r="B290" s="1" t="n">
        <v>44720</v>
      </c>
      <c r="C290" s="1" t="n">
        <v>45754</v>
      </c>
      <c r="D290" t="inlineStr">
        <is>
          <t>JÄMTLANDS LÄN</t>
        </is>
      </c>
      <c r="E290" t="inlineStr">
        <is>
          <t>BRÄCKE</t>
        </is>
      </c>
      <c r="G290" t="n">
        <v>14.1</v>
      </c>
      <c r="H290" t="n">
        <v>1</v>
      </c>
      <c r="I290" t="n">
        <v>0</v>
      </c>
      <c r="J290" t="n">
        <v>0</v>
      </c>
      <c r="K290" t="n">
        <v>1</v>
      </c>
      <c r="L290" t="n">
        <v>0</v>
      </c>
      <c r="M290" t="n">
        <v>0</v>
      </c>
      <c r="N290" t="n">
        <v>0</v>
      </c>
      <c r="O290" t="n">
        <v>1</v>
      </c>
      <c r="P290" t="n">
        <v>1</v>
      </c>
      <c r="Q290" t="n">
        <v>1</v>
      </c>
      <c r="R290" s="2" t="inlineStr">
        <is>
          <t>Knärot</t>
        </is>
      </c>
      <c r="S290">
        <f>HYPERLINK("https://klasma.github.io/Logging_2305/artfynd/A 23434-2022 artfynd.xlsx", "A 23434-2022")</f>
        <v/>
      </c>
      <c r="T290">
        <f>HYPERLINK("https://klasma.github.io/Logging_2305/kartor/A 23434-2022 karta.png", "A 23434-2022")</f>
        <v/>
      </c>
      <c r="U290">
        <f>HYPERLINK("https://klasma.github.io/Logging_2305/knärot/A 23434-2022 karta knärot.png", "A 23434-2022")</f>
        <v/>
      </c>
      <c r="V290">
        <f>HYPERLINK("https://klasma.github.io/Logging_2305/klagomål/A 23434-2022 FSC-klagomål.docx", "A 23434-2022")</f>
        <v/>
      </c>
      <c r="W290">
        <f>HYPERLINK("https://klasma.github.io/Logging_2305/klagomålsmail/A 23434-2022 FSC-klagomål mail.docx", "A 23434-2022")</f>
        <v/>
      </c>
      <c r="X290">
        <f>HYPERLINK("https://klasma.github.io/Logging_2305/tillsyn/A 23434-2022 tillsynsbegäran.docx", "A 23434-2022")</f>
        <v/>
      </c>
      <c r="Y290">
        <f>HYPERLINK("https://klasma.github.io/Logging_2305/tillsynsmail/A 23434-2022 tillsynsbegäran mail.docx", "A 23434-2022")</f>
        <v/>
      </c>
    </row>
    <row r="291" ht="15" customHeight="1">
      <c r="A291" t="inlineStr">
        <is>
          <t>A 24552-2022</t>
        </is>
      </c>
      <c r="B291" s="1" t="n">
        <v>44726</v>
      </c>
      <c r="C291" s="1" t="n">
        <v>45754</v>
      </c>
      <c r="D291" t="inlineStr">
        <is>
          <t>JÄMTLANDS LÄN</t>
        </is>
      </c>
      <c r="E291" t="inlineStr">
        <is>
          <t>BRÄCKE</t>
        </is>
      </c>
      <c r="G291" t="n">
        <v>2.6</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HYPERLINK("https://klasma.github.io/Logging_2305/artfynd/A 24552-2022 artfynd.xlsx", "A 24552-2022")</f>
        <v/>
      </c>
      <c r="T291">
        <f>HYPERLINK("https://klasma.github.io/Logging_2305/kartor/A 24552-2022 karta.png", "A 24552-2022")</f>
        <v/>
      </c>
      <c r="V291">
        <f>HYPERLINK("https://klasma.github.io/Logging_2305/klagomål/A 24552-2022 FSC-klagomål.docx", "A 24552-2022")</f>
        <v/>
      </c>
      <c r="W291">
        <f>HYPERLINK("https://klasma.github.io/Logging_2305/klagomålsmail/A 24552-2022 FSC-klagomål mail.docx", "A 24552-2022")</f>
        <v/>
      </c>
      <c r="X291">
        <f>HYPERLINK("https://klasma.github.io/Logging_2305/tillsyn/A 24552-2022 tillsynsbegäran.docx", "A 24552-2022")</f>
        <v/>
      </c>
      <c r="Y291">
        <f>HYPERLINK("https://klasma.github.io/Logging_2305/tillsynsmail/A 24552-2022 tillsynsbegäran mail.docx", "A 24552-2022")</f>
        <v/>
      </c>
    </row>
    <row r="292" ht="15" customHeight="1">
      <c r="A292" t="inlineStr">
        <is>
          <t>A 25177-2022</t>
        </is>
      </c>
      <c r="B292" s="1" t="n">
        <v>44729</v>
      </c>
      <c r="C292" s="1" t="n">
        <v>45754</v>
      </c>
      <c r="D292" t="inlineStr">
        <is>
          <t>JÄMTLANDS LÄN</t>
        </is>
      </c>
      <c r="E292" t="inlineStr">
        <is>
          <t>BRÄCKE</t>
        </is>
      </c>
      <c r="F292" t="inlineStr">
        <is>
          <t>Övriga Aktiebolag</t>
        </is>
      </c>
      <c r="G292" t="n">
        <v>22.1</v>
      </c>
      <c r="H292" t="n">
        <v>1</v>
      </c>
      <c r="I292" t="n">
        <v>0</v>
      </c>
      <c r="J292" t="n">
        <v>0</v>
      </c>
      <c r="K292" t="n">
        <v>0</v>
      </c>
      <c r="L292" t="n">
        <v>0</v>
      </c>
      <c r="M292" t="n">
        <v>0</v>
      </c>
      <c r="N292" t="n">
        <v>0</v>
      </c>
      <c r="O292" t="n">
        <v>0</v>
      </c>
      <c r="P292" t="n">
        <v>0</v>
      </c>
      <c r="Q292" t="n">
        <v>1</v>
      </c>
      <c r="R292" s="2" t="inlineStr">
        <is>
          <t>Sparvuggla</t>
        </is>
      </c>
      <c r="S292">
        <f>HYPERLINK("https://klasma.github.io/Logging_2305/artfynd/A 25177-2022 artfynd.xlsx", "A 25177-2022")</f>
        <v/>
      </c>
      <c r="T292">
        <f>HYPERLINK("https://klasma.github.io/Logging_2305/kartor/A 25177-2022 karta.png", "A 25177-2022")</f>
        <v/>
      </c>
      <c r="V292">
        <f>HYPERLINK("https://klasma.github.io/Logging_2305/klagomål/A 25177-2022 FSC-klagomål.docx", "A 25177-2022")</f>
        <v/>
      </c>
      <c r="W292">
        <f>HYPERLINK("https://klasma.github.io/Logging_2305/klagomålsmail/A 25177-2022 FSC-klagomål mail.docx", "A 25177-2022")</f>
        <v/>
      </c>
      <c r="X292">
        <f>HYPERLINK("https://klasma.github.io/Logging_2305/tillsyn/A 25177-2022 tillsynsbegäran.docx", "A 25177-2022")</f>
        <v/>
      </c>
      <c r="Y292">
        <f>HYPERLINK("https://klasma.github.io/Logging_2305/tillsynsmail/A 25177-2022 tillsynsbegäran mail.docx", "A 25177-2022")</f>
        <v/>
      </c>
      <c r="Z292">
        <f>HYPERLINK("https://klasma.github.io/Logging_2305/fåglar/A 25177-2022 prioriterade fågelarter.docx", "A 25177-2022")</f>
        <v/>
      </c>
    </row>
    <row r="293" ht="15" customHeight="1">
      <c r="A293" t="inlineStr">
        <is>
          <t>A 27587-2022</t>
        </is>
      </c>
      <c r="B293" s="1" t="n">
        <v>44742</v>
      </c>
      <c r="C293" s="1" t="n">
        <v>45754</v>
      </c>
      <c r="D293" t="inlineStr">
        <is>
          <t>JÄMTLANDS LÄN</t>
        </is>
      </c>
      <c r="E293" t="inlineStr">
        <is>
          <t>BRÄCKE</t>
        </is>
      </c>
      <c r="F293" t="inlineStr">
        <is>
          <t>SCA</t>
        </is>
      </c>
      <c r="G293" t="n">
        <v>4.1</v>
      </c>
      <c r="H293" t="n">
        <v>0</v>
      </c>
      <c r="I293" t="n">
        <v>0</v>
      </c>
      <c r="J293" t="n">
        <v>1</v>
      </c>
      <c r="K293" t="n">
        <v>0</v>
      </c>
      <c r="L293" t="n">
        <v>0</v>
      </c>
      <c r="M293" t="n">
        <v>0</v>
      </c>
      <c r="N293" t="n">
        <v>0</v>
      </c>
      <c r="O293" t="n">
        <v>1</v>
      </c>
      <c r="P293" t="n">
        <v>0</v>
      </c>
      <c r="Q293" t="n">
        <v>1</v>
      </c>
      <c r="R293" s="2" t="inlineStr">
        <is>
          <t>Lunglav</t>
        </is>
      </c>
      <c r="S293">
        <f>HYPERLINK("https://klasma.github.io/Logging_2305/artfynd/A 27587-2022 artfynd.xlsx", "A 27587-2022")</f>
        <v/>
      </c>
      <c r="T293">
        <f>HYPERLINK("https://klasma.github.io/Logging_2305/kartor/A 27587-2022 karta.png", "A 27587-2022")</f>
        <v/>
      </c>
      <c r="V293">
        <f>HYPERLINK("https://klasma.github.io/Logging_2305/klagomål/A 27587-2022 FSC-klagomål.docx", "A 27587-2022")</f>
        <v/>
      </c>
      <c r="W293">
        <f>HYPERLINK("https://klasma.github.io/Logging_2305/klagomålsmail/A 27587-2022 FSC-klagomål mail.docx", "A 27587-2022")</f>
        <v/>
      </c>
      <c r="X293">
        <f>HYPERLINK("https://klasma.github.io/Logging_2305/tillsyn/A 27587-2022 tillsynsbegäran.docx", "A 27587-2022")</f>
        <v/>
      </c>
      <c r="Y293">
        <f>HYPERLINK("https://klasma.github.io/Logging_2305/tillsynsmail/A 27587-2022 tillsynsbegäran mail.docx", "A 27587-2022")</f>
        <v/>
      </c>
    </row>
    <row r="294" ht="15" customHeight="1">
      <c r="A294" t="inlineStr">
        <is>
          <t>A 35023-2022</t>
        </is>
      </c>
      <c r="B294" s="1" t="n">
        <v>44796</v>
      </c>
      <c r="C294" s="1" t="n">
        <v>45754</v>
      </c>
      <c r="D294" t="inlineStr">
        <is>
          <t>JÄMTLANDS LÄN</t>
        </is>
      </c>
      <c r="E294" t="inlineStr">
        <is>
          <t>BRÄCKE</t>
        </is>
      </c>
      <c r="F294" t="inlineStr">
        <is>
          <t>SCA</t>
        </is>
      </c>
      <c r="G294" t="n">
        <v>4.8</v>
      </c>
      <c r="H294" t="n">
        <v>0</v>
      </c>
      <c r="I294" t="n">
        <v>0</v>
      </c>
      <c r="J294" t="n">
        <v>1</v>
      </c>
      <c r="K294" t="n">
        <v>0</v>
      </c>
      <c r="L294" t="n">
        <v>0</v>
      </c>
      <c r="M294" t="n">
        <v>0</v>
      </c>
      <c r="N294" t="n">
        <v>0</v>
      </c>
      <c r="O294" t="n">
        <v>1</v>
      </c>
      <c r="P294" t="n">
        <v>0</v>
      </c>
      <c r="Q294" t="n">
        <v>1</v>
      </c>
      <c r="R294" s="2" t="inlineStr">
        <is>
          <t>Dvärgbägarlav</t>
        </is>
      </c>
      <c r="S294">
        <f>HYPERLINK("https://klasma.github.io/Logging_2305/artfynd/A 35023-2022 artfynd.xlsx", "A 35023-2022")</f>
        <v/>
      </c>
      <c r="T294">
        <f>HYPERLINK("https://klasma.github.io/Logging_2305/kartor/A 35023-2022 karta.png", "A 35023-2022")</f>
        <v/>
      </c>
      <c r="V294">
        <f>HYPERLINK("https://klasma.github.io/Logging_2305/klagomål/A 35023-2022 FSC-klagomål.docx", "A 35023-2022")</f>
        <v/>
      </c>
      <c r="W294">
        <f>HYPERLINK("https://klasma.github.io/Logging_2305/klagomålsmail/A 35023-2022 FSC-klagomål mail.docx", "A 35023-2022")</f>
        <v/>
      </c>
      <c r="X294">
        <f>HYPERLINK("https://klasma.github.io/Logging_2305/tillsyn/A 35023-2022 tillsynsbegäran.docx", "A 35023-2022")</f>
        <v/>
      </c>
      <c r="Y294">
        <f>HYPERLINK("https://klasma.github.io/Logging_2305/tillsynsmail/A 35023-2022 tillsynsbegäran mail.docx", "A 35023-2022")</f>
        <v/>
      </c>
    </row>
    <row r="295" ht="15" customHeight="1">
      <c r="A295" t="inlineStr">
        <is>
          <t>A 49863-2022</t>
        </is>
      </c>
      <c r="B295" s="1" t="n">
        <v>44862</v>
      </c>
      <c r="C295" s="1" t="n">
        <v>45754</v>
      </c>
      <c r="D295" t="inlineStr">
        <is>
          <t>JÄMTLANDS LÄN</t>
        </is>
      </c>
      <c r="E295" t="inlineStr">
        <is>
          <t>BRÄCKE</t>
        </is>
      </c>
      <c r="F295" t="inlineStr">
        <is>
          <t>SCA</t>
        </is>
      </c>
      <c r="G295" t="n">
        <v>3.9</v>
      </c>
      <c r="H295" t="n">
        <v>1</v>
      </c>
      <c r="I295" t="n">
        <v>1</v>
      </c>
      <c r="J295" t="n">
        <v>0</v>
      </c>
      <c r="K295" t="n">
        <v>0</v>
      </c>
      <c r="L295" t="n">
        <v>0</v>
      </c>
      <c r="M295" t="n">
        <v>0</v>
      </c>
      <c r="N295" t="n">
        <v>0</v>
      </c>
      <c r="O295" t="n">
        <v>0</v>
      </c>
      <c r="P295" t="n">
        <v>0</v>
      </c>
      <c r="Q295" t="n">
        <v>1</v>
      </c>
      <c r="R295" s="2" t="inlineStr">
        <is>
          <t>Spindelblomster</t>
        </is>
      </c>
      <c r="S295">
        <f>HYPERLINK("https://klasma.github.io/Logging_2305/artfynd/A 49863-2022 artfynd.xlsx", "A 49863-2022")</f>
        <v/>
      </c>
      <c r="T295">
        <f>HYPERLINK("https://klasma.github.io/Logging_2305/kartor/A 49863-2022 karta.png", "A 49863-2022")</f>
        <v/>
      </c>
      <c r="V295">
        <f>HYPERLINK("https://klasma.github.io/Logging_2305/klagomål/A 49863-2022 FSC-klagomål.docx", "A 49863-2022")</f>
        <v/>
      </c>
      <c r="W295">
        <f>HYPERLINK("https://klasma.github.io/Logging_2305/klagomålsmail/A 49863-2022 FSC-klagomål mail.docx", "A 49863-2022")</f>
        <v/>
      </c>
      <c r="X295">
        <f>HYPERLINK("https://klasma.github.io/Logging_2305/tillsyn/A 49863-2022 tillsynsbegäran.docx", "A 49863-2022")</f>
        <v/>
      </c>
      <c r="Y295">
        <f>HYPERLINK("https://klasma.github.io/Logging_2305/tillsynsmail/A 49863-2022 tillsynsbegäran mail.docx", "A 49863-2022")</f>
        <v/>
      </c>
    </row>
    <row r="296" ht="15" customHeight="1">
      <c r="A296" t="inlineStr">
        <is>
          <t>A 52030-2022</t>
        </is>
      </c>
      <c r="B296" s="1" t="n">
        <v>44872</v>
      </c>
      <c r="C296" s="1" t="n">
        <v>45754</v>
      </c>
      <c r="D296" t="inlineStr">
        <is>
          <t>JÄMTLANDS LÄN</t>
        </is>
      </c>
      <c r="E296" t="inlineStr">
        <is>
          <t>BRÄCKE</t>
        </is>
      </c>
      <c r="F296" t="inlineStr">
        <is>
          <t>SCA</t>
        </is>
      </c>
      <c r="G296" t="n">
        <v>2.2</v>
      </c>
      <c r="H296" t="n">
        <v>1</v>
      </c>
      <c r="I296" t="n">
        <v>0</v>
      </c>
      <c r="J296" t="n">
        <v>1</v>
      </c>
      <c r="K296" t="n">
        <v>0</v>
      </c>
      <c r="L296" t="n">
        <v>0</v>
      </c>
      <c r="M296" t="n">
        <v>0</v>
      </c>
      <c r="N296" t="n">
        <v>0</v>
      </c>
      <c r="O296" t="n">
        <v>1</v>
      </c>
      <c r="P296" t="n">
        <v>0</v>
      </c>
      <c r="Q296" t="n">
        <v>1</v>
      </c>
      <c r="R296" s="2" t="inlineStr">
        <is>
          <t>Talltita</t>
        </is>
      </c>
      <c r="S296">
        <f>HYPERLINK("https://klasma.github.io/Logging_2305/artfynd/A 52030-2022 artfynd.xlsx", "A 52030-2022")</f>
        <v/>
      </c>
      <c r="T296">
        <f>HYPERLINK("https://klasma.github.io/Logging_2305/kartor/A 52030-2022 karta.png", "A 52030-2022")</f>
        <v/>
      </c>
      <c r="V296">
        <f>HYPERLINK("https://klasma.github.io/Logging_2305/klagomål/A 52030-2022 FSC-klagomål.docx", "A 52030-2022")</f>
        <v/>
      </c>
      <c r="W296">
        <f>HYPERLINK("https://klasma.github.io/Logging_2305/klagomålsmail/A 52030-2022 FSC-klagomål mail.docx", "A 52030-2022")</f>
        <v/>
      </c>
      <c r="X296">
        <f>HYPERLINK("https://klasma.github.io/Logging_2305/tillsyn/A 52030-2022 tillsynsbegäran.docx", "A 52030-2022")</f>
        <v/>
      </c>
      <c r="Y296">
        <f>HYPERLINK("https://klasma.github.io/Logging_2305/tillsynsmail/A 52030-2022 tillsynsbegäran mail.docx", "A 52030-2022")</f>
        <v/>
      </c>
      <c r="Z296">
        <f>HYPERLINK("https://klasma.github.io/Logging_2305/fåglar/A 52030-2022 prioriterade fågelarter.docx", "A 52030-2022")</f>
        <v/>
      </c>
    </row>
    <row r="297" ht="15" customHeight="1">
      <c r="A297" t="inlineStr">
        <is>
          <t>A 52018-2022</t>
        </is>
      </c>
      <c r="B297" s="1" t="n">
        <v>44872</v>
      </c>
      <c r="C297" s="1" t="n">
        <v>45754</v>
      </c>
      <c r="D297" t="inlineStr">
        <is>
          <t>JÄMTLANDS LÄN</t>
        </is>
      </c>
      <c r="E297" t="inlineStr">
        <is>
          <t>BRÄCKE</t>
        </is>
      </c>
      <c r="F297" t="inlineStr">
        <is>
          <t>SCA</t>
        </is>
      </c>
      <c r="G297" t="n">
        <v>1.3</v>
      </c>
      <c r="H297" t="n">
        <v>0</v>
      </c>
      <c r="I297" t="n">
        <v>0</v>
      </c>
      <c r="J297" t="n">
        <v>1</v>
      </c>
      <c r="K297" t="n">
        <v>0</v>
      </c>
      <c r="L297" t="n">
        <v>0</v>
      </c>
      <c r="M297" t="n">
        <v>0</v>
      </c>
      <c r="N297" t="n">
        <v>0</v>
      </c>
      <c r="O297" t="n">
        <v>1</v>
      </c>
      <c r="P297" t="n">
        <v>0</v>
      </c>
      <c r="Q297" t="n">
        <v>1</v>
      </c>
      <c r="R297" s="2" t="inlineStr">
        <is>
          <t>Lunglav</t>
        </is>
      </c>
      <c r="S297">
        <f>HYPERLINK("https://klasma.github.io/Logging_2305/artfynd/A 52018-2022 artfynd.xlsx", "A 52018-2022")</f>
        <v/>
      </c>
      <c r="T297">
        <f>HYPERLINK("https://klasma.github.io/Logging_2305/kartor/A 52018-2022 karta.png", "A 52018-2022")</f>
        <v/>
      </c>
      <c r="V297">
        <f>HYPERLINK("https://klasma.github.io/Logging_2305/klagomål/A 52018-2022 FSC-klagomål.docx", "A 52018-2022")</f>
        <v/>
      </c>
      <c r="W297">
        <f>HYPERLINK("https://klasma.github.io/Logging_2305/klagomålsmail/A 52018-2022 FSC-klagomål mail.docx", "A 52018-2022")</f>
        <v/>
      </c>
      <c r="X297">
        <f>HYPERLINK("https://klasma.github.io/Logging_2305/tillsyn/A 52018-2022 tillsynsbegäran.docx", "A 52018-2022")</f>
        <v/>
      </c>
      <c r="Y297">
        <f>HYPERLINK("https://klasma.github.io/Logging_2305/tillsynsmail/A 52018-2022 tillsynsbegäran mail.docx", "A 52018-2022")</f>
        <v/>
      </c>
    </row>
    <row r="298" ht="15" customHeight="1">
      <c r="A298" t="inlineStr">
        <is>
          <t>A 53280-2022</t>
        </is>
      </c>
      <c r="B298" s="1" t="n">
        <v>44876</v>
      </c>
      <c r="C298" s="1" t="n">
        <v>45754</v>
      </c>
      <c r="D298" t="inlineStr">
        <is>
          <t>JÄMTLANDS LÄN</t>
        </is>
      </c>
      <c r="E298" t="inlineStr">
        <is>
          <t>BRÄCKE</t>
        </is>
      </c>
      <c r="F298" t="inlineStr">
        <is>
          <t>SCA</t>
        </is>
      </c>
      <c r="G298" t="n">
        <v>2</v>
      </c>
      <c r="H298" t="n">
        <v>0</v>
      </c>
      <c r="I298" t="n">
        <v>1</v>
      </c>
      <c r="J298" t="n">
        <v>0</v>
      </c>
      <c r="K298" t="n">
        <v>0</v>
      </c>
      <c r="L298" t="n">
        <v>0</v>
      </c>
      <c r="M298" t="n">
        <v>0</v>
      </c>
      <c r="N298" t="n">
        <v>0</v>
      </c>
      <c r="O298" t="n">
        <v>0</v>
      </c>
      <c r="P298" t="n">
        <v>0</v>
      </c>
      <c r="Q298" t="n">
        <v>1</v>
      </c>
      <c r="R298" s="2" t="inlineStr">
        <is>
          <t>Stuplav</t>
        </is>
      </c>
      <c r="S298">
        <f>HYPERLINK("https://klasma.github.io/Logging_2305/artfynd/A 53280-2022 artfynd.xlsx", "A 53280-2022")</f>
        <v/>
      </c>
      <c r="T298">
        <f>HYPERLINK("https://klasma.github.io/Logging_2305/kartor/A 53280-2022 karta.png", "A 53280-2022")</f>
        <v/>
      </c>
      <c r="V298">
        <f>HYPERLINK("https://klasma.github.io/Logging_2305/klagomål/A 53280-2022 FSC-klagomål.docx", "A 53280-2022")</f>
        <v/>
      </c>
      <c r="W298">
        <f>HYPERLINK("https://klasma.github.io/Logging_2305/klagomålsmail/A 53280-2022 FSC-klagomål mail.docx", "A 53280-2022")</f>
        <v/>
      </c>
      <c r="X298">
        <f>HYPERLINK("https://klasma.github.io/Logging_2305/tillsyn/A 53280-2022 tillsynsbegäran.docx", "A 53280-2022")</f>
        <v/>
      </c>
      <c r="Y298">
        <f>HYPERLINK("https://klasma.github.io/Logging_2305/tillsynsmail/A 53280-2022 tillsynsbegäran mail.docx", "A 53280-2022")</f>
        <v/>
      </c>
    </row>
    <row r="299" ht="15" customHeight="1">
      <c r="A299" t="inlineStr">
        <is>
          <t>A 62079-2022</t>
        </is>
      </c>
      <c r="B299" s="1" t="n">
        <v>44918</v>
      </c>
      <c r="C299" s="1" t="n">
        <v>45754</v>
      </c>
      <c r="D299" t="inlineStr">
        <is>
          <t>JÄMTLANDS LÄN</t>
        </is>
      </c>
      <c r="E299" t="inlineStr">
        <is>
          <t>BRÄCKE</t>
        </is>
      </c>
      <c r="F299" t="inlineStr">
        <is>
          <t>SCA</t>
        </is>
      </c>
      <c r="G299" t="n">
        <v>3</v>
      </c>
      <c r="H299" t="n">
        <v>0</v>
      </c>
      <c r="I299" t="n">
        <v>0</v>
      </c>
      <c r="J299" t="n">
        <v>1</v>
      </c>
      <c r="K299" t="n">
        <v>0</v>
      </c>
      <c r="L299" t="n">
        <v>0</v>
      </c>
      <c r="M299" t="n">
        <v>0</v>
      </c>
      <c r="N299" t="n">
        <v>0</v>
      </c>
      <c r="O299" t="n">
        <v>1</v>
      </c>
      <c r="P299" t="n">
        <v>0</v>
      </c>
      <c r="Q299" t="n">
        <v>1</v>
      </c>
      <c r="R299" s="2" t="inlineStr">
        <is>
          <t>Garnlav</t>
        </is>
      </c>
      <c r="S299">
        <f>HYPERLINK("https://klasma.github.io/Logging_2305/artfynd/A 62079-2022 artfynd.xlsx", "A 62079-2022")</f>
        <v/>
      </c>
      <c r="T299">
        <f>HYPERLINK("https://klasma.github.io/Logging_2305/kartor/A 62079-2022 karta.png", "A 62079-2022")</f>
        <v/>
      </c>
      <c r="V299">
        <f>HYPERLINK("https://klasma.github.io/Logging_2305/klagomål/A 62079-2022 FSC-klagomål.docx", "A 62079-2022")</f>
        <v/>
      </c>
      <c r="W299">
        <f>HYPERLINK("https://klasma.github.io/Logging_2305/klagomålsmail/A 62079-2022 FSC-klagomål mail.docx", "A 62079-2022")</f>
        <v/>
      </c>
      <c r="X299">
        <f>HYPERLINK("https://klasma.github.io/Logging_2305/tillsyn/A 62079-2022 tillsynsbegäran.docx", "A 62079-2022")</f>
        <v/>
      </c>
      <c r="Y299">
        <f>HYPERLINK("https://klasma.github.io/Logging_2305/tillsynsmail/A 62079-2022 tillsynsbegäran mail.docx", "A 62079-2022")</f>
        <v/>
      </c>
    </row>
    <row r="300" ht="15" customHeight="1">
      <c r="A300" t="inlineStr">
        <is>
          <t>A 724-2023</t>
        </is>
      </c>
      <c r="B300" s="1" t="n">
        <v>44930</v>
      </c>
      <c r="C300" s="1" t="n">
        <v>45754</v>
      </c>
      <c r="D300" t="inlineStr">
        <is>
          <t>JÄMTLANDS LÄN</t>
        </is>
      </c>
      <c r="E300" t="inlineStr">
        <is>
          <t>BRÄCKE</t>
        </is>
      </c>
      <c r="F300" t="inlineStr">
        <is>
          <t>SCA</t>
        </is>
      </c>
      <c r="G300" t="n">
        <v>4.6</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724-2023 artfynd.xlsx", "A 724-2023")</f>
        <v/>
      </c>
      <c r="T300">
        <f>HYPERLINK("https://klasma.github.io/Logging_2305/kartor/A 724-2023 karta.png", "A 724-2023")</f>
        <v/>
      </c>
      <c r="V300">
        <f>HYPERLINK("https://klasma.github.io/Logging_2305/klagomål/A 724-2023 FSC-klagomål.docx", "A 724-2023")</f>
        <v/>
      </c>
      <c r="W300">
        <f>HYPERLINK("https://klasma.github.io/Logging_2305/klagomålsmail/A 724-2023 FSC-klagomål mail.docx", "A 724-2023")</f>
        <v/>
      </c>
      <c r="X300">
        <f>HYPERLINK("https://klasma.github.io/Logging_2305/tillsyn/A 724-2023 tillsynsbegäran.docx", "A 724-2023")</f>
        <v/>
      </c>
      <c r="Y300">
        <f>HYPERLINK("https://klasma.github.io/Logging_2305/tillsynsmail/A 724-2023 tillsynsbegäran mail.docx", "A 724-2023")</f>
        <v/>
      </c>
      <c r="Z300">
        <f>HYPERLINK("https://klasma.github.io/Logging_2305/fåglar/A 724-2023 prioriterade fågelarter.docx", "A 724-2023")</f>
        <v/>
      </c>
    </row>
    <row r="301" ht="15" customHeight="1">
      <c r="A301" t="inlineStr">
        <is>
          <t>A 725-2023</t>
        </is>
      </c>
      <c r="B301" s="1" t="n">
        <v>44930</v>
      </c>
      <c r="C301" s="1" t="n">
        <v>45754</v>
      </c>
      <c r="D301" t="inlineStr">
        <is>
          <t>JÄMTLANDS LÄN</t>
        </is>
      </c>
      <c r="E301" t="inlineStr">
        <is>
          <t>BRÄCKE</t>
        </is>
      </c>
      <c r="F301" t="inlineStr">
        <is>
          <t>SCA</t>
        </is>
      </c>
      <c r="G301" t="n">
        <v>0.9</v>
      </c>
      <c r="H301" t="n">
        <v>0</v>
      </c>
      <c r="I301" t="n">
        <v>0</v>
      </c>
      <c r="J301" t="n">
        <v>1</v>
      </c>
      <c r="K301" t="n">
        <v>0</v>
      </c>
      <c r="L301" t="n">
        <v>0</v>
      </c>
      <c r="M301" t="n">
        <v>0</v>
      </c>
      <c r="N301" t="n">
        <v>0</v>
      </c>
      <c r="O301" t="n">
        <v>1</v>
      </c>
      <c r="P301" t="n">
        <v>0</v>
      </c>
      <c r="Q301" t="n">
        <v>1</v>
      </c>
      <c r="R301" s="2" t="inlineStr">
        <is>
          <t>Kolflarnlav</t>
        </is>
      </c>
      <c r="S301">
        <f>HYPERLINK("https://klasma.github.io/Logging_2305/artfynd/A 725-2023 artfynd.xlsx", "A 725-2023")</f>
        <v/>
      </c>
      <c r="T301">
        <f>HYPERLINK("https://klasma.github.io/Logging_2305/kartor/A 725-2023 karta.png", "A 725-2023")</f>
        <v/>
      </c>
      <c r="V301">
        <f>HYPERLINK("https://klasma.github.io/Logging_2305/klagomål/A 725-2023 FSC-klagomål.docx", "A 725-2023")</f>
        <v/>
      </c>
      <c r="W301">
        <f>HYPERLINK("https://klasma.github.io/Logging_2305/klagomålsmail/A 725-2023 FSC-klagomål mail.docx", "A 725-2023")</f>
        <v/>
      </c>
      <c r="X301">
        <f>HYPERLINK("https://klasma.github.io/Logging_2305/tillsyn/A 725-2023 tillsynsbegäran.docx", "A 725-2023")</f>
        <v/>
      </c>
      <c r="Y301">
        <f>HYPERLINK("https://klasma.github.io/Logging_2305/tillsynsmail/A 725-2023 tillsynsbegäran mail.docx", "A 725-2023")</f>
        <v/>
      </c>
    </row>
    <row r="302" ht="15" customHeight="1">
      <c r="A302" t="inlineStr">
        <is>
          <t>A 12062-2023</t>
        </is>
      </c>
      <c r="B302" s="1" t="n">
        <v>44996</v>
      </c>
      <c r="C302" s="1" t="n">
        <v>45754</v>
      </c>
      <c r="D302" t="inlineStr">
        <is>
          <t>JÄMTLANDS LÄN</t>
        </is>
      </c>
      <c r="E302" t="inlineStr">
        <is>
          <t>BRÄCKE</t>
        </is>
      </c>
      <c r="G302" t="n">
        <v>5.4</v>
      </c>
      <c r="H302" t="n">
        <v>0</v>
      </c>
      <c r="I302" t="n">
        <v>0</v>
      </c>
      <c r="J302" t="n">
        <v>1</v>
      </c>
      <c r="K302" t="n">
        <v>0</v>
      </c>
      <c r="L302" t="n">
        <v>0</v>
      </c>
      <c r="M302" t="n">
        <v>0</v>
      </c>
      <c r="N302" t="n">
        <v>0</v>
      </c>
      <c r="O302" t="n">
        <v>1</v>
      </c>
      <c r="P302" t="n">
        <v>0</v>
      </c>
      <c r="Q302" t="n">
        <v>1</v>
      </c>
      <c r="R302" s="2" t="inlineStr">
        <is>
          <t>Lunglav</t>
        </is>
      </c>
      <c r="S302">
        <f>HYPERLINK("https://klasma.github.io/Logging_2305/artfynd/A 12062-2023 artfynd.xlsx", "A 12062-2023")</f>
        <v/>
      </c>
      <c r="T302">
        <f>HYPERLINK("https://klasma.github.io/Logging_2305/kartor/A 12062-2023 karta.png", "A 12062-2023")</f>
        <v/>
      </c>
      <c r="V302">
        <f>HYPERLINK("https://klasma.github.io/Logging_2305/klagomål/A 12062-2023 FSC-klagomål.docx", "A 12062-2023")</f>
        <v/>
      </c>
      <c r="W302">
        <f>HYPERLINK("https://klasma.github.io/Logging_2305/klagomålsmail/A 12062-2023 FSC-klagomål mail.docx", "A 12062-2023")</f>
        <v/>
      </c>
      <c r="X302">
        <f>HYPERLINK("https://klasma.github.io/Logging_2305/tillsyn/A 12062-2023 tillsynsbegäran.docx", "A 12062-2023")</f>
        <v/>
      </c>
      <c r="Y302">
        <f>HYPERLINK("https://klasma.github.io/Logging_2305/tillsynsmail/A 12062-2023 tillsynsbegäran mail.docx", "A 12062-2023")</f>
        <v/>
      </c>
    </row>
    <row r="303" ht="15" customHeight="1">
      <c r="A303" t="inlineStr">
        <is>
          <t>A 12517-2023</t>
        </is>
      </c>
      <c r="B303" s="1" t="n">
        <v>45000</v>
      </c>
      <c r="C303" s="1" t="n">
        <v>45754</v>
      </c>
      <c r="D303" t="inlineStr">
        <is>
          <t>JÄMTLANDS LÄN</t>
        </is>
      </c>
      <c r="E303" t="inlineStr">
        <is>
          <t>BRÄCKE</t>
        </is>
      </c>
      <c r="G303" t="n">
        <v>11</v>
      </c>
      <c r="H303" t="n">
        <v>0</v>
      </c>
      <c r="I303" t="n">
        <v>0</v>
      </c>
      <c r="J303" t="n">
        <v>1</v>
      </c>
      <c r="K303" t="n">
        <v>0</v>
      </c>
      <c r="L303" t="n">
        <v>0</v>
      </c>
      <c r="M303" t="n">
        <v>0</v>
      </c>
      <c r="N303" t="n">
        <v>0</v>
      </c>
      <c r="O303" t="n">
        <v>1</v>
      </c>
      <c r="P303" t="n">
        <v>0</v>
      </c>
      <c r="Q303" t="n">
        <v>1</v>
      </c>
      <c r="R303" s="2" t="inlineStr">
        <is>
          <t>Lunglav</t>
        </is>
      </c>
      <c r="S303">
        <f>HYPERLINK("https://klasma.github.io/Logging_2305/artfynd/A 12517-2023 artfynd.xlsx", "A 12517-2023")</f>
        <v/>
      </c>
      <c r="T303">
        <f>HYPERLINK("https://klasma.github.io/Logging_2305/kartor/A 12517-2023 karta.png", "A 12517-2023")</f>
        <v/>
      </c>
      <c r="V303">
        <f>HYPERLINK("https://klasma.github.io/Logging_2305/klagomål/A 12517-2023 FSC-klagomål.docx", "A 12517-2023")</f>
        <v/>
      </c>
      <c r="W303">
        <f>HYPERLINK("https://klasma.github.io/Logging_2305/klagomålsmail/A 12517-2023 FSC-klagomål mail.docx", "A 12517-2023")</f>
        <v/>
      </c>
      <c r="X303">
        <f>HYPERLINK("https://klasma.github.io/Logging_2305/tillsyn/A 12517-2023 tillsynsbegäran.docx", "A 12517-2023")</f>
        <v/>
      </c>
      <c r="Y303">
        <f>HYPERLINK("https://klasma.github.io/Logging_2305/tillsynsmail/A 12517-2023 tillsynsbegäran mail.docx", "A 12517-2023")</f>
        <v/>
      </c>
    </row>
    <row r="304" ht="15" customHeight="1">
      <c r="A304" t="inlineStr">
        <is>
          <t>A 16366-2023</t>
        </is>
      </c>
      <c r="B304" s="1" t="n">
        <v>45028</v>
      </c>
      <c r="C304" s="1" t="n">
        <v>45754</v>
      </c>
      <c r="D304" t="inlineStr">
        <is>
          <t>JÄMTLANDS LÄN</t>
        </is>
      </c>
      <c r="E304" t="inlineStr">
        <is>
          <t>BRÄCKE</t>
        </is>
      </c>
      <c r="G304" t="n">
        <v>9.1</v>
      </c>
      <c r="H304" t="n">
        <v>0</v>
      </c>
      <c r="I304" t="n">
        <v>0</v>
      </c>
      <c r="J304" t="n">
        <v>1</v>
      </c>
      <c r="K304" t="n">
        <v>0</v>
      </c>
      <c r="L304" t="n">
        <v>0</v>
      </c>
      <c r="M304" t="n">
        <v>0</v>
      </c>
      <c r="N304" t="n">
        <v>0</v>
      </c>
      <c r="O304" t="n">
        <v>1</v>
      </c>
      <c r="P304" t="n">
        <v>0</v>
      </c>
      <c r="Q304" t="n">
        <v>1</v>
      </c>
      <c r="R304" s="2" t="inlineStr">
        <is>
          <t>Lunglav</t>
        </is>
      </c>
      <c r="S304">
        <f>HYPERLINK("https://klasma.github.io/Logging_2305/artfynd/A 16366-2023 artfynd.xlsx", "A 16366-2023")</f>
        <v/>
      </c>
      <c r="T304">
        <f>HYPERLINK("https://klasma.github.io/Logging_2305/kartor/A 16366-2023 karta.png", "A 16366-2023")</f>
        <v/>
      </c>
      <c r="V304">
        <f>HYPERLINK("https://klasma.github.io/Logging_2305/klagomål/A 16366-2023 FSC-klagomål.docx", "A 16366-2023")</f>
        <v/>
      </c>
      <c r="W304">
        <f>HYPERLINK("https://klasma.github.io/Logging_2305/klagomålsmail/A 16366-2023 FSC-klagomål mail.docx", "A 16366-2023")</f>
        <v/>
      </c>
      <c r="X304">
        <f>HYPERLINK("https://klasma.github.io/Logging_2305/tillsyn/A 16366-2023 tillsynsbegäran.docx", "A 16366-2023")</f>
        <v/>
      </c>
      <c r="Y304">
        <f>HYPERLINK("https://klasma.github.io/Logging_2305/tillsynsmail/A 16366-2023 tillsynsbegäran mail.docx", "A 16366-2023")</f>
        <v/>
      </c>
    </row>
    <row r="305" ht="15" customHeight="1">
      <c r="A305" t="inlineStr">
        <is>
          <t>A 16755-2023</t>
        </is>
      </c>
      <c r="B305" s="1" t="n">
        <v>45031</v>
      </c>
      <c r="C305" s="1" t="n">
        <v>45754</v>
      </c>
      <c r="D305" t="inlineStr">
        <is>
          <t>JÄMTLANDS LÄN</t>
        </is>
      </c>
      <c r="E305" t="inlineStr">
        <is>
          <t>BRÄCKE</t>
        </is>
      </c>
      <c r="F305" t="inlineStr">
        <is>
          <t>SCA</t>
        </is>
      </c>
      <c r="G305" t="n">
        <v>15.7</v>
      </c>
      <c r="H305" t="n">
        <v>0</v>
      </c>
      <c r="I305" t="n">
        <v>1</v>
      </c>
      <c r="J305" t="n">
        <v>0</v>
      </c>
      <c r="K305" t="n">
        <v>0</v>
      </c>
      <c r="L305" t="n">
        <v>0</v>
      </c>
      <c r="M305" t="n">
        <v>0</v>
      </c>
      <c r="N305" t="n">
        <v>0</v>
      </c>
      <c r="O305" t="n">
        <v>0</v>
      </c>
      <c r="P305" t="n">
        <v>0</v>
      </c>
      <c r="Q305" t="n">
        <v>1</v>
      </c>
      <c r="R305" s="2" t="inlineStr">
        <is>
          <t>Tibast</t>
        </is>
      </c>
      <c r="S305">
        <f>HYPERLINK("https://klasma.github.io/Logging_2305/artfynd/A 16755-2023 artfynd.xlsx", "A 16755-2023")</f>
        <v/>
      </c>
      <c r="T305">
        <f>HYPERLINK("https://klasma.github.io/Logging_2305/kartor/A 16755-2023 karta.png", "A 16755-2023")</f>
        <v/>
      </c>
      <c r="V305">
        <f>HYPERLINK("https://klasma.github.io/Logging_2305/klagomål/A 16755-2023 FSC-klagomål.docx", "A 16755-2023")</f>
        <v/>
      </c>
      <c r="W305">
        <f>HYPERLINK("https://klasma.github.io/Logging_2305/klagomålsmail/A 16755-2023 FSC-klagomål mail.docx", "A 16755-2023")</f>
        <v/>
      </c>
      <c r="X305">
        <f>HYPERLINK("https://klasma.github.io/Logging_2305/tillsyn/A 16755-2023 tillsynsbegäran.docx", "A 16755-2023")</f>
        <v/>
      </c>
      <c r="Y305">
        <f>HYPERLINK("https://klasma.github.io/Logging_2305/tillsynsmail/A 16755-2023 tillsynsbegäran mail.docx", "A 16755-2023")</f>
        <v/>
      </c>
    </row>
    <row r="306" ht="15" customHeight="1">
      <c r="A306" t="inlineStr">
        <is>
          <t>A 19435-2023</t>
        </is>
      </c>
      <c r="B306" s="1" t="n">
        <v>45049</v>
      </c>
      <c r="C306" s="1" t="n">
        <v>45754</v>
      </c>
      <c r="D306" t="inlineStr">
        <is>
          <t>JÄMTLANDS LÄN</t>
        </is>
      </c>
      <c r="E306" t="inlineStr">
        <is>
          <t>BRÄCKE</t>
        </is>
      </c>
      <c r="G306" t="n">
        <v>2.7</v>
      </c>
      <c r="H306" t="n">
        <v>0</v>
      </c>
      <c r="I306" t="n">
        <v>0</v>
      </c>
      <c r="J306" t="n">
        <v>1</v>
      </c>
      <c r="K306" t="n">
        <v>0</v>
      </c>
      <c r="L306" t="n">
        <v>0</v>
      </c>
      <c r="M306" t="n">
        <v>0</v>
      </c>
      <c r="N306" t="n">
        <v>0</v>
      </c>
      <c r="O306" t="n">
        <v>1</v>
      </c>
      <c r="P306" t="n">
        <v>0</v>
      </c>
      <c r="Q306" t="n">
        <v>1</v>
      </c>
      <c r="R306" s="2" t="inlineStr">
        <is>
          <t>Lunglav</t>
        </is>
      </c>
      <c r="S306">
        <f>HYPERLINK("https://klasma.github.io/Logging_2305/artfynd/A 19435-2023 artfynd.xlsx", "A 19435-2023")</f>
        <v/>
      </c>
      <c r="T306">
        <f>HYPERLINK("https://klasma.github.io/Logging_2305/kartor/A 19435-2023 karta.png", "A 19435-2023")</f>
        <v/>
      </c>
      <c r="V306">
        <f>HYPERLINK("https://klasma.github.io/Logging_2305/klagomål/A 19435-2023 FSC-klagomål.docx", "A 19435-2023")</f>
        <v/>
      </c>
      <c r="W306">
        <f>HYPERLINK("https://klasma.github.io/Logging_2305/klagomålsmail/A 19435-2023 FSC-klagomål mail.docx", "A 19435-2023")</f>
        <v/>
      </c>
      <c r="X306">
        <f>HYPERLINK("https://klasma.github.io/Logging_2305/tillsyn/A 19435-2023 tillsynsbegäran.docx", "A 19435-2023")</f>
        <v/>
      </c>
      <c r="Y306">
        <f>HYPERLINK("https://klasma.github.io/Logging_2305/tillsynsmail/A 19435-2023 tillsynsbegäran mail.docx", "A 19435-2023")</f>
        <v/>
      </c>
    </row>
    <row r="307" ht="15" customHeight="1">
      <c r="A307" t="inlineStr">
        <is>
          <t>A 19817-2023</t>
        </is>
      </c>
      <c r="B307" s="1" t="n">
        <v>45051</v>
      </c>
      <c r="C307" s="1" t="n">
        <v>45754</v>
      </c>
      <c r="D307" t="inlineStr">
        <is>
          <t>JÄMTLANDS LÄN</t>
        </is>
      </c>
      <c r="E307" t="inlineStr">
        <is>
          <t>BRÄCKE</t>
        </is>
      </c>
      <c r="F307" t="inlineStr">
        <is>
          <t>SCA</t>
        </is>
      </c>
      <c r="G307" t="n">
        <v>2.8</v>
      </c>
      <c r="H307" t="n">
        <v>0</v>
      </c>
      <c r="I307" t="n">
        <v>0</v>
      </c>
      <c r="J307" t="n">
        <v>1</v>
      </c>
      <c r="K307" t="n">
        <v>0</v>
      </c>
      <c r="L307" t="n">
        <v>0</v>
      </c>
      <c r="M307" t="n">
        <v>0</v>
      </c>
      <c r="N307" t="n">
        <v>0</v>
      </c>
      <c r="O307" t="n">
        <v>1</v>
      </c>
      <c r="P307" t="n">
        <v>0</v>
      </c>
      <c r="Q307" t="n">
        <v>1</v>
      </c>
      <c r="R307" s="2" t="inlineStr">
        <is>
          <t>Lunglav</t>
        </is>
      </c>
      <c r="S307">
        <f>HYPERLINK("https://klasma.github.io/Logging_2305/artfynd/A 19817-2023 artfynd.xlsx", "A 19817-2023")</f>
        <v/>
      </c>
      <c r="T307">
        <f>HYPERLINK("https://klasma.github.io/Logging_2305/kartor/A 19817-2023 karta.png", "A 19817-2023")</f>
        <v/>
      </c>
      <c r="V307">
        <f>HYPERLINK("https://klasma.github.io/Logging_2305/klagomål/A 19817-2023 FSC-klagomål.docx", "A 19817-2023")</f>
        <v/>
      </c>
      <c r="W307">
        <f>HYPERLINK("https://klasma.github.io/Logging_2305/klagomålsmail/A 19817-2023 FSC-klagomål mail.docx", "A 19817-2023")</f>
        <v/>
      </c>
      <c r="X307">
        <f>HYPERLINK("https://klasma.github.io/Logging_2305/tillsyn/A 19817-2023 tillsynsbegäran.docx", "A 19817-2023")</f>
        <v/>
      </c>
      <c r="Y307">
        <f>HYPERLINK("https://klasma.github.io/Logging_2305/tillsynsmail/A 19817-2023 tillsynsbegäran mail.docx", "A 19817-2023")</f>
        <v/>
      </c>
    </row>
    <row r="308" ht="15" customHeight="1">
      <c r="A308" t="inlineStr">
        <is>
          <t>A 20604-2023</t>
        </is>
      </c>
      <c r="B308" s="1" t="n">
        <v>45057</v>
      </c>
      <c r="C308" s="1" t="n">
        <v>45754</v>
      </c>
      <c r="D308" t="inlineStr">
        <is>
          <t>JÄMTLANDS LÄN</t>
        </is>
      </c>
      <c r="E308" t="inlineStr">
        <is>
          <t>BRÄCKE</t>
        </is>
      </c>
      <c r="F308" t="inlineStr">
        <is>
          <t>SCA</t>
        </is>
      </c>
      <c r="G308" t="n">
        <v>2.9</v>
      </c>
      <c r="H308" t="n">
        <v>0</v>
      </c>
      <c r="I308" t="n">
        <v>1</v>
      </c>
      <c r="J308" t="n">
        <v>0</v>
      </c>
      <c r="K308" t="n">
        <v>0</v>
      </c>
      <c r="L308" t="n">
        <v>0</v>
      </c>
      <c r="M308" t="n">
        <v>0</v>
      </c>
      <c r="N308" t="n">
        <v>0</v>
      </c>
      <c r="O308" t="n">
        <v>0</v>
      </c>
      <c r="P308" t="n">
        <v>0</v>
      </c>
      <c r="Q308" t="n">
        <v>1</v>
      </c>
      <c r="R308" s="2" t="inlineStr">
        <is>
          <t>Tallfingersvamp</t>
        </is>
      </c>
      <c r="S308">
        <f>HYPERLINK("https://klasma.github.io/Logging_2305/artfynd/A 20604-2023 artfynd.xlsx", "A 20604-2023")</f>
        <v/>
      </c>
      <c r="T308">
        <f>HYPERLINK("https://klasma.github.io/Logging_2305/kartor/A 20604-2023 karta.png", "A 20604-2023")</f>
        <v/>
      </c>
      <c r="V308">
        <f>HYPERLINK("https://klasma.github.io/Logging_2305/klagomål/A 20604-2023 FSC-klagomål.docx", "A 20604-2023")</f>
        <v/>
      </c>
      <c r="W308">
        <f>HYPERLINK("https://klasma.github.io/Logging_2305/klagomålsmail/A 20604-2023 FSC-klagomål mail.docx", "A 20604-2023")</f>
        <v/>
      </c>
      <c r="X308">
        <f>HYPERLINK("https://klasma.github.io/Logging_2305/tillsyn/A 20604-2023 tillsynsbegäran.docx", "A 20604-2023")</f>
        <v/>
      </c>
      <c r="Y308">
        <f>HYPERLINK("https://klasma.github.io/Logging_2305/tillsynsmail/A 20604-2023 tillsynsbegäran mail.docx", "A 20604-2023")</f>
        <v/>
      </c>
    </row>
    <row r="309" ht="15" customHeight="1">
      <c r="A309" t="inlineStr">
        <is>
          <t>A 20871-2023</t>
        </is>
      </c>
      <c r="B309" s="1" t="n">
        <v>45058</v>
      </c>
      <c r="C309" s="1" t="n">
        <v>45754</v>
      </c>
      <c r="D309" t="inlineStr">
        <is>
          <t>JÄMTLANDS LÄN</t>
        </is>
      </c>
      <c r="E309" t="inlineStr">
        <is>
          <t>BRÄCKE</t>
        </is>
      </c>
      <c r="F309" t="inlineStr">
        <is>
          <t>SCA</t>
        </is>
      </c>
      <c r="G309" t="n">
        <v>6.7</v>
      </c>
      <c r="H309" t="n">
        <v>0</v>
      </c>
      <c r="I309" t="n">
        <v>0</v>
      </c>
      <c r="J309" t="n">
        <v>1</v>
      </c>
      <c r="K309" t="n">
        <v>0</v>
      </c>
      <c r="L309" t="n">
        <v>0</v>
      </c>
      <c r="M309" t="n">
        <v>0</v>
      </c>
      <c r="N309" t="n">
        <v>0</v>
      </c>
      <c r="O309" t="n">
        <v>1</v>
      </c>
      <c r="P309" t="n">
        <v>0</v>
      </c>
      <c r="Q309" t="n">
        <v>1</v>
      </c>
      <c r="R309" s="2" t="inlineStr">
        <is>
          <t>Månlåsbräken</t>
        </is>
      </c>
      <c r="S309">
        <f>HYPERLINK("https://klasma.github.io/Logging_2305/artfynd/A 20871-2023 artfynd.xlsx", "A 20871-2023")</f>
        <v/>
      </c>
      <c r="T309">
        <f>HYPERLINK("https://klasma.github.io/Logging_2305/kartor/A 20871-2023 karta.png", "A 20871-2023")</f>
        <v/>
      </c>
      <c r="V309">
        <f>HYPERLINK("https://klasma.github.io/Logging_2305/klagomål/A 20871-2023 FSC-klagomål.docx", "A 20871-2023")</f>
        <v/>
      </c>
      <c r="W309">
        <f>HYPERLINK("https://klasma.github.io/Logging_2305/klagomålsmail/A 20871-2023 FSC-klagomål mail.docx", "A 20871-2023")</f>
        <v/>
      </c>
      <c r="X309">
        <f>HYPERLINK("https://klasma.github.io/Logging_2305/tillsyn/A 20871-2023 tillsynsbegäran.docx", "A 20871-2023")</f>
        <v/>
      </c>
      <c r="Y309">
        <f>HYPERLINK("https://klasma.github.io/Logging_2305/tillsynsmail/A 20871-2023 tillsynsbegäran mail.docx", "A 20871-2023")</f>
        <v/>
      </c>
    </row>
    <row r="310" ht="15" customHeight="1">
      <c r="A310" t="inlineStr">
        <is>
          <t>A 21112-2023</t>
        </is>
      </c>
      <c r="B310" s="1" t="n">
        <v>45062</v>
      </c>
      <c r="C310" s="1" t="n">
        <v>45754</v>
      </c>
      <c r="D310" t="inlineStr">
        <is>
          <t>JÄMTLANDS LÄN</t>
        </is>
      </c>
      <c r="E310" t="inlineStr">
        <is>
          <t>BRÄCKE</t>
        </is>
      </c>
      <c r="F310" t="inlineStr">
        <is>
          <t>SCA</t>
        </is>
      </c>
      <c r="G310" t="n">
        <v>5.1</v>
      </c>
      <c r="H310" t="n">
        <v>1</v>
      </c>
      <c r="I310" t="n">
        <v>0</v>
      </c>
      <c r="J310" t="n">
        <v>1</v>
      </c>
      <c r="K310" t="n">
        <v>0</v>
      </c>
      <c r="L310" t="n">
        <v>0</v>
      </c>
      <c r="M310" t="n">
        <v>0</v>
      </c>
      <c r="N310" t="n">
        <v>0</v>
      </c>
      <c r="O310" t="n">
        <v>1</v>
      </c>
      <c r="P310" t="n">
        <v>0</v>
      </c>
      <c r="Q310" t="n">
        <v>1</v>
      </c>
      <c r="R310" s="2" t="inlineStr">
        <is>
          <t>Järpe</t>
        </is>
      </c>
      <c r="S310">
        <f>HYPERLINK("https://klasma.github.io/Logging_2305/artfynd/A 21112-2023 artfynd.xlsx", "A 21112-2023")</f>
        <v/>
      </c>
      <c r="T310">
        <f>HYPERLINK("https://klasma.github.io/Logging_2305/kartor/A 21112-2023 karta.png", "A 21112-2023")</f>
        <v/>
      </c>
      <c r="V310">
        <f>HYPERLINK("https://klasma.github.io/Logging_2305/klagomål/A 21112-2023 FSC-klagomål.docx", "A 21112-2023")</f>
        <v/>
      </c>
      <c r="W310">
        <f>HYPERLINK("https://klasma.github.io/Logging_2305/klagomålsmail/A 21112-2023 FSC-klagomål mail.docx", "A 21112-2023")</f>
        <v/>
      </c>
      <c r="X310">
        <f>HYPERLINK("https://klasma.github.io/Logging_2305/tillsyn/A 21112-2023 tillsynsbegäran.docx", "A 21112-2023")</f>
        <v/>
      </c>
      <c r="Y310">
        <f>HYPERLINK("https://klasma.github.io/Logging_2305/tillsynsmail/A 21112-2023 tillsynsbegäran mail.docx", "A 21112-2023")</f>
        <v/>
      </c>
      <c r="Z310">
        <f>HYPERLINK("https://klasma.github.io/Logging_2305/fåglar/A 21112-2023 prioriterade fågelarter.docx", "A 21112-2023")</f>
        <v/>
      </c>
    </row>
    <row r="311" ht="15" customHeight="1">
      <c r="A311" t="inlineStr">
        <is>
          <t>A 21684-2023</t>
        </is>
      </c>
      <c r="B311" s="1" t="n">
        <v>45064</v>
      </c>
      <c r="C311" s="1" t="n">
        <v>45754</v>
      </c>
      <c r="D311" t="inlineStr">
        <is>
          <t>JÄMTLANDS LÄN</t>
        </is>
      </c>
      <c r="E311" t="inlineStr">
        <is>
          <t>BRÄCKE</t>
        </is>
      </c>
      <c r="F311" t="inlineStr">
        <is>
          <t>SCA</t>
        </is>
      </c>
      <c r="G311" t="n">
        <v>16.5</v>
      </c>
      <c r="H311" t="n">
        <v>1</v>
      </c>
      <c r="I311" t="n">
        <v>0</v>
      </c>
      <c r="J311" t="n">
        <v>1</v>
      </c>
      <c r="K311" t="n">
        <v>0</v>
      </c>
      <c r="L311" t="n">
        <v>0</v>
      </c>
      <c r="M311" t="n">
        <v>0</v>
      </c>
      <c r="N311" t="n">
        <v>0</v>
      </c>
      <c r="O311" t="n">
        <v>1</v>
      </c>
      <c r="P311" t="n">
        <v>0</v>
      </c>
      <c r="Q311" t="n">
        <v>1</v>
      </c>
      <c r="R311" s="2" t="inlineStr">
        <is>
          <t>Järpe</t>
        </is>
      </c>
      <c r="S311">
        <f>HYPERLINK("https://klasma.github.io/Logging_2305/artfynd/A 21684-2023 artfynd.xlsx", "A 21684-2023")</f>
        <v/>
      </c>
      <c r="T311">
        <f>HYPERLINK("https://klasma.github.io/Logging_2305/kartor/A 21684-2023 karta.png", "A 21684-2023")</f>
        <v/>
      </c>
      <c r="V311">
        <f>HYPERLINK("https://klasma.github.io/Logging_2305/klagomål/A 21684-2023 FSC-klagomål.docx", "A 21684-2023")</f>
        <v/>
      </c>
      <c r="W311">
        <f>HYPERLINK("https://klasma.github.io/Logging_2305/klagomålsmail/A 21684-2023 FSC-klagomål mail.docx", "A 21684-2023")</f>
        <v/>
      </c>
      <c r="X311">
        <f>HYPERLINK("https://klasma.github.io/Logging_2305/tillsyn/A 21684-2023 tillsynsbegäran.docx", "A 21684-2023")</f>
        <v/>
      </c>
      <c r="Y311">
        <f>HYPERLINK("https://klasma.github.io/Logging_2305/tillsynsmail/A 21684-2023 tillsynsbegäran mail.docx", "A 21684-2023")</f>
        <v/>
      </c>
      <c r="Z311">
        <f>HYPERLINK("https://klasma.github.io/Logging_2305/fåglar/A 21684-2023 prioriterade fågelarter.docx", "A 21684-2023")</f>
        <v/>
      </c>
    </row>
    <row r="312" ht="15" customHeight="1">
      <c r="A312" t="inlineStr">
        <is>
          <t>A 22233-2023</t>
        </is>
      </c>
      <c r="B312" s="1" t="n">
        <v>45069</v>
      </c>
      <c r="C312" s="1" t="n">
        <v>45754</v>
      </c>
      <c r="D312" t="inlineStr">
        <is>
          <t>JÄMTLANDS LÄN</t>
        </is>
      </c>
      <c r="E312" t="inlineStr">
        <is>
          <t>BRÄCKE</t>
        </is>
      </c>
      <c r="F312" t="inlineStr">
        <is>
          <t>SCA</t>
        </is>
      </c>
      <c r="G312" t="n">
        <v>28.4</v>
      </c>
      <c r="H312" t="n">
        <v>0</v>
      </c>
      <c r="I312" t="n">
        <v>0</v>
      </c>
      <c r="J312" t="n">
        <v>1</v>
      </c>
      <c r="K312" t="n">
        <v>0</v>
      </c>
      <c r="L312" t="n">
        <v>0</v>
      </c>
      <c r="M312" t="n">
        <v>0</v>
      </c>
      <c r="N312" t="n">
        <v>0</v>
      </c>
      <c r="O312" t="n">
        <v>1</v>
      </c>
      <c r="P312" t="n">
        <v>0</v>
      </c>
      <c r="Q312" t="n">
        <v>1</v>
      </c>
      <c r="R312" s="2" t="inlineStr">
        <is>
          <t>Lunglav</t>
        </is>
      </c>
      <c r="S312">
        <f>HYPERLINK("https://klasma.github.io/Logging_2305/artfynd/A 22233-2023 artfynd.xlsx", "A 22233-2023")</f>
        <v/>
      </c>
      <c r="T312">
        <f>HYPERLINK("https://klasma.github.io/Logging_2305/kartor/A 22233-2023 karta.png", "A 22233-2023")</f>
        <v/>
      </c>
      <c r="V312">
        <f>HYPERLINK("https://klasma.github.io/Logging_2305/klagomål/A 22233-2023 FSC-klagomål.docx", "A 22233-2023")</f>
        <v/>
      </c>
      <c r="W312">
        <f>HYPERLINK("https://klasma.github.io/Logging_2305/klagomålsmail/A 22233-2023 FSC-klagomål mail.docx", "A 22233-2023")</f>
        <v/>
      </c>
      <c r="X312">
        <f>HYPERLINK("https://klasma.github.io/Logging_2305/tillsyn/A 22233-2023 tillsynsbegäran.docx", "A 22233-2023")</f>
        <v/>
      </c>
      <c r="Y312">
        <f>HYPERLINK("https://klasma.github.io/Logging_2305/tillsynsmail/A 22233-2023 tillsynsbegäran mail.docx", "A 22233-2023")</f>
        <v/>
      </c>
    </row>
    <row r="313" ht="15" customHeight="1">
      <c r="A313" t="inlineStr">
        <is>
          <t>A 22990-2023</t>
        </is>
      </c>
      <c r="B313" s="1" t="n">
        <v>45072</v>
      </c>
      <c r="C313" s="1" t="n">
        <v>45754</v>
      </c>
      <c r="D313" t="inlineStr">
        <is>
          <t>JÄMTLANDS LÄN</t>
        </is>
      </c>
      <c r="E313" t="inlineStr">
        <is>
          <t>BRÄCKE</t>
        </is>
      </c>
      <c r="F313" t="inlineStr">
        <is>
          <t>SCA</t>
        </is>
      </c>
      <c r="G313" t="n">
        <v>5.2</v>
      </c>
      <c r="H313" t="n">
        <v>0</v>
      </c>
      <c r="I313" t="n">
        <v>0</v>
      </c>
      <c r="J313" t="n">
        <v>1</v>
      </c>
      <c r="K313" t="n">
        <v>0</v>
      </c>
      <c r="L313" t="n">
        <v>0</v>
      </c>
      <c r="M313" t="n">
        <v>0</v>
      </c>
      <c r="N313" t="n">
        <v>0</v>
      </c>
      <c r="O313" t="n">
        <v>1</v>
      </c>
      <c r="P313" t="n">
        <v>0</v>
      </c>
      <c r="Q313" t="n">
        <v>1</v>
      </c>
      <c r="R313" s="2" t="inlineStr">
        <is>
          <t>Rosenticka</t>
        </is>
      </c>
      <c r="S313">
        <f>HYPERLINK("https://klasma.github.io/Logging_2305/artfynd/A 22990-2023 artfynd.xlsx", "A 22990-2023")</f>
        <v/>
      </c>
      <c r="T313">
        <f>HYPERLINK("https://klasma.github.io/Logging_2305/kartor/A 22990-2023 karta.png", "A 22990-2023")</f>
        <v/>
      </c>
      <c r="V313">
        <f>HYPERLINK("https://klasma.github.io/Logging_2305/klagomål/A 22990-2023 FSC-klagomål.docx", "A 22990-2023")</f>
        <v/>
      </c>
      <c r="W313">
        <f>HYPERLINK("https://klasma.github.io/Logging_2305/klagomålsmail/A 22990-2023 FSC-klagomål mail.docx", "A 22990-2023")</f>
        <v/>
      </c>
      <c r="X313">
        <f>HYPERLINK("https://klasma.github.io/Logging_2305/tillsyn/A 22990-2023 tillsynsbegäran.docx", "A 22990-2023")</f>
        <v/>
      </c>
      <c r="Y313">
        <f>HYPERLINK("https://klasma.github.io/Logging_2305/tillsynsmail/A 22990-2023 tillsynsbegäran mail.docx", "A 22990-2023")</f>
        <v/>
      </c>
    </row>
    <row r="314" ht="15" customHeight="1">
      <c r="A314" t="inlineStr">
        <is>
          <t>A 24825-2023</t>
        </is>
      </c>
      <c r="B314" s="1" t="n">
        <v>45084</v>
      </c>
      <c r="C314" s="1" t="n">
        <v>45754</v>
      </c>
      <c r="D314" t="inlineStr">
        <is>
          <t>JÄMTLANDS LÄN</t>
        </is>
      </c>
      <c r="E314" t="inlineStr">
        <is>
          <t>BRÄCKE</t>
        </is>
      </c>
      <c r="F314" t="inlineStr">
        <is>
          <t>SCA</t>
        </is>
      </c>
      <c r="G314" t="n">
        <v>7</v>
      </c>
      <c r="H314" t="n">
        <v>0</v>
      </c>
      <c r="I314" t="n">
        <v>0</v>
      </c>
      <c r="J314" t="n">
        <v>1</v>
      </c>
      <c r="K314" t="n">
        <v>0</v>
      </c>
      <c r="L314" t="n">
        <v>0</v>
      </c>
      <c r="M314" t="n">
        <v>0</v>
      </c>
      <c r="N314" t="n">
        <v>0</v>
      </c>
      <c r="O314" t="n">
        <v>1</v>
      </c>
      <c r="P314" t="n">
        <v>0</v>
      </c>
      <c r="Q314" t="n">
        <v>1</v>
      </c>
      <c r="R314" s="2" t="inlineStr">
        <is>
          <t>Tallticka</t>
        </is>
      </c>
      <c r="S314">
        <f>HYPERLINK("https://klasma.github.io/Logging_2305/artfynd/A 24825-2023 artfynd.xlsx", "A 24825-2023")</f>
        <v/>
      </c>
      <c r="T314">
        <f>HYPERLINK("https://klasma.github.io/Logging_2305/kartor/A 24825-2023 karta.png", "A 24825-2023")</f>
        <v/>
      </c>
      <c r="V314">
        <f>HYPERLINK("https://klasma.github.io/Logging_2305/klagomål/A 24825-2023 FSC-klagomål.docx", "A 24825-2023")</f>
        <v/>
      </c>
      <c r="W314">
        <f>HYPERLINK("https://klasma.github.io/Logging_2305/klagomålsmail/A 24825-2023 FSC-klagomål mail.docx", "A 24825-2023")</f>
        <v/>
      </c>
      <c r="X314">
        <f>HYPERLINK("https://klasma.github.io/Logging_2305/tillsyn/A 24825-2023 tillsynsbegäran.docx", "A 24825-2023")</f>
        <v/>
      </c>
      <c r="Y314">
        <f>HYPERLINK("https://klasma.github.io/Logging_2305/tillsynsmail/A 24825-2023 tillsynsbegäran mail.docx", "A 24825-2023")</f>
        <v/>
      </c>
    </row>
    <row r="315" ht="15" customHeight="1">
      <c r="A315" t="inlineStr">
        <is>
          <t>A 24826-2023</t>
        </is>
      </c>
      <c r="B315" s="1" t="n">
        <v>45084</v>
      </c>
      <c r="C315" s="1" t="n">
        <v>45754</v>
      </c>
      <c r="D315" t="inlineStr">
        <is>
          <t>JÄMTLANDS LÄN</t>
        </is>
      </c>
      <c r="E315" t="inlineStr">
        <is>
          <t>BRÄCKE</t>
        </is>
      </c>
      <c r="F315" t="inlineStr">
        <is>
          <t>SCA</t>
        </is>
      </c>
      <c r="G315" t="n">
        <v>6.5</v>
      </c>
      <c r="H315" t="n">
        <v>0</v>
      </c>
      <c r="I315" t="n">
        <v>0</v>
      </c>
      <c r="J315" t="n">
        <v>1</v>
      </c>
      <c r="K315" t="n">
        <v>0</v>
      </c>
      <c r="L315" t="n">
        <v>0</v>
      </c>
      <c r="M315" t="n">
        <v>0</v>
      </c>
      <c r="N315" t="n">
        <v>0</v>
      </c>
      <c r="O315" t="n">
        <v>1</v>
      </c>
      <c r="P315" t="n">
        <v>0</v>
      </c>
      <c r="Q315" t="n">
        <v>1</v>
      </c>
      <c r="R315" s="2" t="inlineStr">
        <is>
          <t>Rosenticka</t>
        </is>
      </c>
      <c r="S315">
        <f>HYPERLINK("https://klasma.github.io/Logging_2305/artfynd/A 24826-2023 artfynd.xlsx", "A 24826-2023")</f>
        <v/>
      </c>
      <c r="T315">
        <f>HYPERLINK("https://klasma.github.io/Logging_2305/kartor/A 24826-2023 karta.png", "A 24826-2023")</f>
        <v/>
      </c>
      <c r="V315">
        <f>HYPERLINK("https://klasma.github.io/Logging_2305/klagomål/A 24826-2023 FSC-klagomål.docx", "A 24826-2023")</f>
        <v/>
      </c>
      <c r="W315">
        <f>HYPERLINK("https://klasma.github.io/Logging_2305/klagomålsmail/A 24826-2023 FSC-klagomål mail.docx", "A 24826-2023")</f>
        <v/>
      </c>
      <c r="X315">
        <f>HYPERLINK("https://klasma.github.io/Logging_2305/tillsyn/A 24826-2023 tillsynsbegäran.docx", "A 24826-2023")</f>
        <v/>
      </c>
      <c r="Y315">
        <f>HYPERLINK("https://klasma.github.io/Logging_2305/tillsynsmail/A 24826-2023 tillsynsbegäran mail.docx", "A 24826-2023")</f>
        <v/>
      </c>
    </row>
    <row r="316" ht="15" customHeight="1">
      <c r="A316" t="inlineStr">
        <is>
          <t>A 26344-2023</t>
        </is>
      </c>
      <c r="B316" s="1" t="n">
        <v>45091</v>
      </c>
      <c r="C316" s="1" t="n">
        <v>45754</v>
      </c>
      <c r="D316" t="inlineStr">
        <is>
          <t>JÄMTLANDS LÄN</t>
        </is>
      </c>
      <c r="E316" t="inlineStr">
        <is>
          <t>BRÄCKE</t>
        </is>
      </c>
      <c r="F316" t="inlineStr">
        <is>
          <t>SCA</t>
        </is>
      </c>
      <c r="G316" t="n">
        <v>15.8</v>
      </c>
      <c r="H316" t="n">
        <v>1</v>
      </c>
      <c r="I316" t="n">
        <v>0</v>
      </c>
      <c r="J316" t="n">
        <v>0</v>
      </c>
      <c r="K316" t="n">
        <v>1</v>
      </c>
      <c r="L316" t="n">
        <v>0</v>
      </c>
      <c r="M316" t="n">
        <v>0</v>
      </c>
      <c r="N316" t="n">
        <v>0</v>
      </c>
      <c r="O316" t="n">
        <v>1</v>
      </c>
      <c r="P316" t="n">
        <v>1</v>
      </c>
      <c r="Q316" t="n">
        <v>1</v>
      </c>
      <c r="R316" s="2" t="inlineStr">
        <is>
          <t>Knärot</t>
        </is>
      </c>
      <c r="S316">
        <f>HYPERLINK("https://klasma.github.io/Logging_2305/artfynd/A 26344-2023 artfynd.xlsx", "A 26344-2023")</f>
        <v/>
      </c>
      <c r="T316">
        <f>HYPERLINK("https://klasma.github.io/Logging_2305/kartor/A 26344-2023 karta.png", "A 26344-2023")</f>
        <v/>
      </c>
      <c r="U316">
        <f>HYPERLINK("https://klasma.github.io/Logging_2305/knärot/A 26344-2023 karta knärot.png", "A 26344-2023")</f>
        <v/>
      </c>
      <c r="V316">
        <f>HYPERLINK("https://klasma.github.io/Logging_2305/klagomål/A 26344-2023 FSC-klagomål.docx", "A 26344-2023")</f>
        <v/>
      </c>
      <c r="W316">
        <f>HYPERLINK("https://klasma.github.io/Logging_2305/klagomålsmail/A 26344-2023 FSC-klagomål mail.docx", "A 26344-2023")</f>
        <v/>
      </c>
      <c r="X316">
        <f>HYPERLINK("https://klasma.github.io/Logging_2305/tillsyn/A 26344-2023 tillsynsbegäran.docx", "A 26344-2023")</f>
        <v/>
      </c>
      <c r="Y316">
        <f>HYPERLINK("https://klasma.github.io/Logging_2305/tillsynsmail/A 26344-2023 tillsynsbegäran mail.docx", "A 26344-2023")</f>
        <v/>
      </c>
    </row>
    <row r="317" ht="15" customHeight="1">
      <c r="A317" t="inlineStr">
        <is>
          <t>A 26647-2023</t>
        </is>
      </c>
      <c r="B317" s="1" t="n">
        <v>45092</v>
      </c>
      <c r="C317" s="1" t="n">
        <v>45754</v>
      </c>
      <c r="D317" t="inlineStr">
        <is>
          <t>JÄMTLANDS LÄN</t>
        </is>
      </c>
      <c r="E317" t="inlineStr">
        <is>
          <t>BRÄCKE</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HYPERLINK("https://klasma.github.io/Logging_2305/artfynd/A 26647-2023 artfynd.xlsx", "A 26647-2023")</f>
        <v/>
      </c>
      <c r="T317">
        <f>HYPERLINK("https://klasma.github.io/Logging_2305/kartor/A 26647-2023 karta.png", "A 26647-2023")</f>
        <v/>
      </c>
      <c r="V317">
        <f>HYPERLINK("https://klasma.github.io/Logging_2305/klagomål/A 26647-2023 FSC-klagomål.docx", "A 26647-2023")</f>
        <v/>
      </c>
      <c r="W317">
        <f>HYPERLINK("https://klasma.github.io/Logging_2305/klagomålsmail/A 26647-2023 FSC-klagomål mail.docx", "A 26647-2023")</f>
        <v/>
      </c>
      <c r="X317">
        <f>HYPERLINK("https://klasma.github.io/Logging_2305/tillsyn/A 26647-2023 tillsynsbegäran.docx", "A 26647-2023")</f>
        <v/>
      </c>
      <c r="Y317">
        <f>HYPERLINK("https://klasma.github.io/Logging_2305/tillsynsmail/A 26647-2023 tillsynsbegäran mail.docx", "A 26647-2023")</f>
        <v/>
      </c>
    </row>
    <row r="318" ht="15" customHeight="1">
      <c r="A318" t="inlineStr">
        <is>
          <t>A 29324-2023</t>
        </is>
      </c>
      <c r="B318" s="1" t="n">
        <v>45106</v>
      </c>
      <c r="C318" s="1" t="n">
        <v>45754</v>
      </c>
      <c r="D318" t="inlineStr">
        <is>
          <t>JÄMTLANDS LÄN</t>
        </is>
      </c>
      <c r="E318" t="inlineStr">
        <is>
          <t>BRÄCKE</t>
        </is>
      </c>
      <c r="F318" t="inlineStr">
        <is>
          <t>SCA</t>
        </is>
      </c>
      <c r="G318" t="n">
        <v>2</v>
      </c>
      <c r="H318" t="n">
        <v>1</v>
      </c>
      <c r="I318" t="n">
        <v>0</v>
      </c>
      <c r="J318" t="n">
        <v>0</v>
      </c>
      <c r="K318" t="n">
        <v>0</v>
      </c>
      <c r="L318" t="n">
        <v>0</v>
      </c>
      <c r="M318" t="n">
        <v>0</v>
      </c>
      <c r="N318" t="n">
        <v>0</v>
      </c>
      <c r="O318" t="n">
        <v>0</v>
      </c>
      <c r="P318" t="n">
        <v>0</v>
      </c>
      <c r="Q318" t="n">
        <v>1</v>
      </c>
      <c r="R318" s="2" t="inlineStr">
        <is>
          <t>Nattviol</t>
        </is>
      </c>
      <c r="S318">
        <f>HYPERLINK("https://klasma.github.io/Logging_2305/artfynd/A 29324-2023 artfynd.xlsx", "A 29324-2023")</f>
        <v/>
      </c>
      <c r="T318">
        <f>HYPERLINK("https://klasma.github.io/Logging_2305/kartor/A 29324-2023 karta.png", "A 29324-2023")</f>
        <v/>
      </c>
      <c r="V318">
        <f>HYPERLINK("https://klasma.github.io/Logging_2305/klagomål/A 29324-2023 FSC-klagomål.docx", "A 29324-2023")</f>
        <v/>
      </c>
      <c r="W318">
        <f>HYPERLINK("https://klasma.github.io/Logging_2305/klagomålsmail/A 29324-2023 FSC-klagomål mail.docx", "A 29324-2023")</f>
        <v/>
      </c>
      <c r="X318">
        <f>HYPERLINK("https://klasma.github.io/Logging_2305/tillsyn/A 29324-2023 tillsynsbegäran.docx", "A 29324-2023")</f>
        <v/>
      </c>
      <c r="Y318">
        <f>HYPERLINK("https://klasma.github.io/Logging_2305/tillsynsmail/A 29324-2023 tillsynsbegäran mail.docx", "A 29324-2023")</f>
        <v/>
      </c>
    </row>
    <row r="319" ht="15" customHeight="1">
      <c r="A319" t="inlineStr">
        <is>
          <t>A 30834-2023</t>
        </is>
      </c>
      <c r="B319" s="1" t="n">
        <v>45112</v>
      </c>
      <c r="C319" s="1" t="n">
        <v>45754</v>
      </c>
      <c r="D319" t="inlineStr">
        <is>
          <t>JÄMTLANDS LÄN</t>
        </is>
      </c>
      <c r="E319" t="inlineStr">
        <is>
          <t>BRÄCKE</t>
        </is>
      </c>
      <c r="F319" t="inlineStr">
        <is>
          <t>SCA</t>
        </is>
      </c>
      <c r="G319" t="n">
        <v>7.8</v>
      </c>
      <c r="H319" t="n">
        <v>1</v>
      </c>
      <c r="I319" t="n">
        <v>0</v>
      </c>
      <c r="J319" t="n">
        <v>0</v>
      </c>
      <c r="K319" t="n">
        <v>0</v>
      </c>
      <c r="L319" t="n">
        <v>0</v>
      </c>
      <c r="M319" t="n">
        <v>0</v>
      </c>
      <c r="N319" t="n">
        <v>0</v>
      </c>
      <c r="O319" t="n">
        <v>0</v>
      </c>
      <c r="P319" t="n">
        <v>0</v>
      </c>
      <c r="Q319" t="n">
        <v>1</v>
      </c>
      <c r="R319" s="2" t="inlineStr">
        <is>
          <t>Fläcknycklar</t>
        </is>
      </c>
      <c r="S319">
        <f>HYPERLINK("https://klasma.github.io/Logging_2305/artfynd/A 30834-2023 artfynd.xlsx", "A 30834-2023")</f>
        <v/>
      </c>
      <c r="T319">
        <f>HYPERLINK("https://klasma.github.io/Logging_2305/kartor/A 30834-2023 karta.png", "A 30834-2023")</f>
        <v/>
      </c>
      <c r="V319">
        <f>HYPERLINK("https://klasma.github.io/Logging_2305/klagomål/A 30834-2023 FSC-klagomål.docx", "A 30834-2023")</f>
        <v/>
      </c>
      <c r="W319">
        <f>HYPERLINK("https://klasma.github.io/Logging_2305/klagomålsmail/A 30834-2023 FSC-klagomål mail.docx", "A 30834-2023")</f>
        <v/>
      </c>
      <c r="X319">
        <f>HYPERLINK("https://klasma.github.io/Logging_2305/tillsyn/A 30834-2023 tillsynsbegäran.docx", "A 30834-2023")</f>
        <v/>
      </c>
      <c r="Y319">
        <f>HYPERLINK("https://klasma.github.io/Logging_2305/tillsynsmail/A 30834-2023 tillsynsbegäran mail.docx", "A 30834-2023")</f>
        <v/>
      </c>
    </row>
    <row r="320" ht="15" customHeight="1">
      <c r="A320" t="inlineStr">
        <is>
          <t>A 33874-2023</t>
        </is>
      </c>
      <c r="B320" s="1" t="n">
        <v>45133</v>
      </c>
      <c r="C320" s="1" t="n">
        <v>45754</v>
      </c>
      <c r="D320" t="inlineStr">
        <is>
          <t>JÄMTLANDS LÄN</t>
        </is>
      </c>
      <c r="E320" t="inlineStr">
        <is>
          <t>BRÄCKE</t>
        </is>
      </c>
      <c r="F320" t="inlineStr">
        <is>
          <t>SCA</t>
        </is>
      </c>
      <c r="G320" t="n">
        <v>5.8</v>
      </c>
      <c r="H320" t="n">
        <v>0</v>
      </c>
      <c r="I320" t="n">
        <v>0</v>
      </c>
      <c r="J320" t="n">
        <v>1</v>
      </c>
      <c r="K320" t="n">
        <v>0</v>
      </c>
      <c r="L320" t="n">
        <v>0</v>
      </c>
      <c r="M320" t="n">
        <v>0</v>
      </c>
      <c r="N320" t="n">
        <v>0</v>
      </c>
      <c r="O320" t="n">
        <v>1</v>
      </c>
      <c r="P320" t="n">
        <v>0</v>
      </c>
      <c r="Q320" t="n">
        <v>1</v>
      </c>
      <c r="R320" s="2" t="inlineStr">
        <is>
          <t>Ullticka</t>
        </is>
      </c>
      <c r="S320">
        <f>HYPERLINK("https://klasma.github.io/Logging_2305/artfynd/A 33874-2023 artfynd.xlsx", "A 33874-2023")</f>
        <v/>
      </c>
      <c r="T320">
        <f>HYPERLINK("https://klasma.github.io/Logging_2305/kartor/A 33874-2023 karta.png", "A 33874-2023")</f>
        <v/>
      </c>
      <c r="V320">
        <f>HYPERLINK("https://klasma.github.io/Logging_2305/klagomål/A 33874-2023 FSC-klagomål.docx", "A 33874-2023")</f>
        <v/>
      </c>
      <c r="W320">
        <f>HYPERLINK("https://klasma.github.io/Logging_2305/klagomålsmail/A 33874-2023 FSC-klagomål mail.docx", "A 33874-2023")</f>
        <v/>
      </c>
      <c r="X320">
        <f>HYPERLINK("https://klasma.github.io/Logging_2305/tillsyn/A 33874-2023 tillsynsbegäran.docx", "A 33874-2023")</f>
        <v/>
      </c>
      <c r="Y320">
        <f>HYPERLINK("https://klasma.github.io/Logging_2305/tillsynsmail/A 33874-2023 tillsynsbegäran mail.docx", "A 33874-2023")</f>
        <v/>
      </c>
    </row>
    <row r="321" ht="15" customHeight="1">
      <c r="A321" t="inlineStr">
        <is>
          <t>A 38099-2023</t>
        </is>
      </c>
      <c r="B321" s="1" t="n">
        <v>45161</v>
      </c>
      <c r="C321" s="1" t="n">
        <v>45754</v>
      </c>
      <c r="D321" t="inlineStr">
        <is>
          <t>JÄMTLANDS LÄN</t>
        </is>
      </c>
      <c r="E321" t="inlineStr">
        <is>
          <t>BRÄCKE</t>
        </is>
      </c>
      <c r="F321" t="inlineStr">
        <is>
          <t>SCA</t>
        </is>
      </c>
      <c r="G321" t="n">
        <v>1.5</v>
      </c>
      <c r="H321" t="n">
        <v>1</v>
      </c>
      <c r="I321" t="n">
        <v>0</v>
      </c>
      <c r="J321" t="n">
        <v>1</v>
      </c>
      <c r="K321" t="n">
        <v>0</v>
      </c>
      <c r="L321" t="n">
        <v>0</v>
      </c>
      <c r="M321" t="n">
        <v>0</v>
      </c>
      <c r="N321" t="n">
        <v>0</v>
      </c>
      <c r="O321" t="n">
        <v>1</v>
      </c>
      <c r="P321" t="n">
        <v>0</v>
      </c>
      <c r="Q321" t="n">
        <v>1</v>
      </c>
      <c r="R321" s="2" t="inlineStr">
        <is>
          <t>Talltita</t>
        </is>
      </c>
      <c r="S321">
        <f>HYPERLINK("https://klasma.github.io/Logging_2305/artfynd/A 38099-2023 artfynd.xlsx", "A 38099-2023")</f>
        <v/>
      </c>
      <c r="T321">
        <f>HYPERLINK("https://klasma.github.io/Logging_2305/kartor/A 38099-2023 karta.png", "A 38099-2023")</f>
        <v/>
      </c>
      <c r="V321">
        <f>HYPERLINK("https://klasma.github.io/Logging_2305/klagomål/A 38099-2023 FSC-klagomål.docx", "A 38099-2023")</f>
        <v/>
      </c>
      <c r="W321">
        <f>HYPERLINK("https://klasma.github.io/Logging_2305/klagomålsmail/A 38099-2023 FSC-klagomål mail.docx", "A 38099-2023")</f>
        <v/>
      </c>
      <c r="X321">
        <f>HYPERLINK("https://klasma.github.io/Logging_2305/tillsyn/A 38099-2023 tillsynsbegäran.docx", "A 38099-2023")</f>
        <v/>
      </c>
      <c r="Y321">
        <f>HYPERLINK("https://klasma.github.io/Logging_2305/tillsynsmail/A 38099-2023 tillsynsbegäran mail.docx", "A 38099-2023")</f>
        <v/>
      </c>
      <c r="Z321">
        <f>HYPERLINK("https://klasma.github.io/Logging_2305/fåglar/A 38099-2023 prioriterade fågelarter.docx", "A 38099-2023")</f>
        <v/>
      </c>
    </row>
    <row r="322" ht="15" customHeight="1">
      <c r="A322" t="inlineStr">
        <is>
          <t>A 40100-2023</t>
        </is>
      </c>
      <c r="B322" s="1" t="n">
        <v>45168</v>
      </c>
      <c r="C322" s="1" t="n">
        <v>45754</v>
      </c>
      <c r="D322" t="inlineStr">
        <is>
          <t>JÄMTLANDS LÄN</t>
        </is>
      </c>
      <c r="E322" t="inlineStr">
        <is>
          <t>BRÄCKE</t>
        </is>
      </c>
      <c r="F322" t="inlineStr">
        <is>
          <t>SCA</t>
        </is>
      </c>
      <c r="G322" t="n">
        <v>2.2</v>
      </c>
      <c r="H322" t="n">
        <v>1</v>
      </c>
      <c r="I322" t="n">
        <v>0</v>
      </c>
      <c r="J322" t="n">
        <v>0</v>
      </c>
      <c r="K322" t="n">
        <v>1</v>
      </c>
      <c r="L322" t="n">
        <v>0</v>
      </c>
      <c r="M322" t="n">
        <v>0</v>
      </c>
      <c r="N322" t="n">
        <v>0</v>
      </c>
      <c r="O322" t="n">
        <v>1</v>
      </c>
      <c r="P322" t="n">
        <v>1</v>
      </c>
      <c r="Q322" t="n">
        <v>1</v>
      </c>
      <c r="R322" s="2" t="inlineStr">
        <is>
          <t>Knärot</t>
        </is>
      </c>
      <c r="S322">
        <f>HYPERLINK("https://klasma.github.io/Logging_2305/artfynd/A 40100-2023 artfynd.xlsx", "A 40100-2023")</f>
        <v/>
      </c>
      <c r="T322">
        <f>HYPERLINK("https://klasma.github.io/Logging_2305/kartor/A 40100-2023 karta.png", "A 40100-2023")</f>
        <v/>
      </c>
      <c r="U322">
        <f>HYPERLINK("https://klasma.github.io/Logging_2305/knärot/A 40100-2023 karta knärot.png", "A 40100-2023")</f>
        <v/>
      </c>
      <c r="V322">
        <f>HYPERLINK("https://klasma.github.io/Logging_2305/klagomål/A 40100-2023 FSC-klagomål.docx", "A 40100-2023")</f>
        <v/>
      </c>
      <c r="W322">
        <f>HYPERLINK("https://klasma.github.io/Logging_2305/klagomålsmail/A 40100-2023 FSC-klagomål mail.docx", "A 40100-2023")</f>
        <v/>
      </c>
      <c r="X322">
        <f>HYPERLINK("https://klasma.github.io/Logging_2305/tillsyn/A 40100-2023 tillsynsbegäran.docx", "A 40100-2023")</f>
        <v/>
      </c>
      <c r="Y322">
        <f>HYPERLINK("https://klasma.github.io/Logging_2305/tillsynsmail/A 40100-2023 tillsynsbegäran mail.docx", "A 40100-2023")</f>
        <v/>
      </c>
    </row>
    <row r="323" ht="15" customHeight="1">
      <c r="A323" t="inlineStr">
        <is>
          <t>A 40097-2023</t>
        </is>
      </c>
      <c r="B323" s="1" t="n">
        <v>45168</v>
      </c>
      <c r="C323" s="1" t="n">
        <v>45754</v>
      </c>
      <c r="D323" t="inlineStr">
        <is>
          <t>JÄMTLANDS LÄN</t>
        </is>
      </c>
      <c r="E323" t="inlineStr">
        <is>
          <t>BRÄCKE</t>
        </is>
      </c>
      <c r="F323" t="inlineStr">
        <is>
          <t>SCA</t>
        </is>
      </c>
      <c r="G323" t="n">
        <v>3.8</v>
      </c>
      <c r="H323" t="n">
        <v>1</v>
      </c>
      <c r="I323" t="n">
        <v>0</v>
      </c>
      <c r="J323" t="n">
        <v>0</v>
      </c>
      <c r="K323" t="n">
        <v>1</v>
      </c>
      <c r="L323" t="n">
        <v>0</v>
      </c>
      <c r="M323" t="n">
        <v>0</v>
      </c>
      <c r="N323" t="n">
        <v>0</v>
      </c>
      <c r="O323" t="n">
        <v>1</v>
      </c>
      <c r="P323" t="n">
        <v>1</v>
      </c>
      <c r="Q323" t="n">
        <v>1</v>
      </c>
      <c r="R323" s="2" t="inlineStr">
        <is>
          <t>Knärot</t>
        </is>
      </c>
      <c r="S323">
        <f>HYPERLINK("https://klasma.github.io/Logging_2305/artfynd/A 40097-2023 artfynd.xlsx", "A 40097-2023")</f>
        <v/>
      </c>
      <c r="T323">
        <f>HYPERLINK("https://klasma.github.io/Logging_2305/kartor/A 40097-2023 karta.png", "A 40097-2023")</f>
        <v/>
      </c>
      <c r="U323">
        <f>HYPERLINK("https://klasma.github.io/Logging_2305/knärot/A 40097-2023 karta knärot.png", "A 40097-2023")</f>
        <v/>
      </c>
      <c r="V323">
        <f>HYPERLINK("https://klasma.github.io/Logging_2305/klagomål/A 40097-2023 FSC-klagomål.docx", "A 40097-2023")</f>
        <v/>
      </c>
      <c r="W323">
        <f>HYPERLINK("https://klasma.github.io/Logging_2305/klagomålsmail/A 40097-2023 FSC-klagomål mail.docx", "A 40097-2023")</f>
        <v/>
      </c>
      <c r="X323">
        <f>HYPERLINK("https://klasma.github.io/Logging_2305/tillsyn/A 40097-2023 tillsynsbegäran.docx", "A 40097-2023")</f>
        <v/>
      </c>
      <c r="Y323">
        <f>HYPERLINK("https://klasma.github.io/Logging_2305/tillsynsmail/A 40097-2023 tillsynsbegäran mail.docx", "A 40097-2023")</f>
        <v/>
      </c>
    </row>
    <row r="324" ht="15" customHeight="1">
      <c r="A324" t="inlineStr">
        <is>
          <t>A 44323-2023</t>
        </is>
      </c>
      <c r="B324" s="1" t="n">
        <v>45188</v>
      </c>
      <c r="C324" s="1" t="n">
        <v>45754</v>
      </c>
      <c r="D324" t="inlineStr">
        <is>
          <t>JÄMTLANDS LÄN</t>
        </is>
      </c>
      <c r="E324" t="inlineStr">
        <is>
          <t>BRÄCKE</t>
        </is>
      </c>
      <c r="F324" t="inlineStr">
        <is>
          <t>Sveaskog</t>
        </is>
      </c>
      <c r="G324" t="n">
        <v>3.7</v>
      </c>
      <c r="H324" t="n">
        <v>0</v>
      </c>
      <c r="I324" t="n">
        <v>0</v>
      </c>
      <c r="J324" t="n">
        <v>1</v>
      </c>
      <c r="K324" t="n">
        <v>0</v>
      </c>
      <c r="L324" t="n">
        <v>0</v>
      </c>
      <c r="M324" t="n">
        <v>0</v>
      </c>
      <c r="N324" t="n">
        <v>0</v>
      </c>
      <c r="O324" t="n">
        <v>1</v>
      </c>
      <c r="P324" t="n">
        <v>0</v>
      </c>
      <c r="Q324" t="n">
        <v>1</v>
      </c>
      <c r="R324" s="2" t="inlineStr">
        <is>
          <t>Lunglav</t>
        </is>
      </c>
      <c r="S324">
        <f>HYPERLINK("https://klasma.github.io/Logging_2305/artfynd/A 44323-2023 artfynd.xlsx", "A 44323-2023")</f>
        <v/>
      </c>
      <c r="T324">
        <f>HYPERLINK("https://klasma.github.io/Logging_2305/kartor/A 44323-2023 karta.png", "A 44323-2023")</f>
        <v/>
      </c>
      <c r="V324">
        <f>HYPERLINK("https://klasma.github.io/Logging_2305/klagomål/A 44323-2023 FSC-klagomål.docx", "A 44323-2023")</f>
        <v/>
      </c>
      <c r="W324">
        <f>HYPERLINK("https://klasma.github.io/Logging_2305/klagomålsmail/A 44323-2023 FSC-klagomål mail.docx", "A 44323-2023")</f>
        <v/>
      </c>
      <c r="X324">
        <f>HYPERLINK("https://klasma.github.io/Logging_2305/tillsyn/A 44323-2023 tillsynsbegäran.docx", "A 44323-2023")</f>
        <v/>
      </c>
      <c r="Y324">
        <f>HYPERLINK("https://klasma.github.io/Logging_2305/tillsynsmail/A 44323-2023 tillsynsbegäran mail.docx", "A 44323-2023")</f>
        <v/>
      </c>
    </row>
    <row r="325" ht="15" customHeight="1">
      <c r="A325" t="inlineStr">
        <is>
          <t>A 45011-2023</t>
        </is>
      </c>
      <c r="B325" s="1" t="n">
        <v>45190</v>
      </c>
      <c r="C325" s="1" t="n">
        <v>45754</v>
      </c>
      <c r="D325" t="inlineStr">
        <is>
          <t>JÄMTLANDS LÄN</t>
        </is>
      </c>
      <c r="E325" t="inlineStr">
        <is>
          <t>BRÄCKE</t>
        </is>
      </c>
      <c r="F325" t="inlineStr">
        <is>
          <t>SCA</t>
        </is>
      </c>
      <c r="G325" t="n">
        <v>1.4</v>
      </c>
      <c r="H325" t="n">
        <v>0</v>
      </c>
      <c r="I325" t="n">
        <v>0</v>
      </c>
      <c r="J325" t="n">
        <v>1</v>
      </c>
      <c r="K325" t="n">
        <v>0</v>
      </c>
      <c r="L325" t="n">
        <v>0</v>
      </c>
      <c r="M325" t="n">
        <v>0</v>
      </c>
      <c r="N325" t="n">
        <v>0</v>
      </c>
      <c r="O325" t="n">
        <v>1</v>
      </c>
      <c r="P325" t="n">
        <v>0</v>
      </c>
      <c r="Q325" t="n">
        <v>1</v>
      </c>
      <c r="R325" s="2" t="inlineStr">
        <is>
          <t>Veckticka</t>
        </is>
      </c>
      <c r="S325">
        <f>HYPERLINK("https://klasma.github.io/Logging_2305/artfynd/A 45011-2023 artfynd.xlsx", "A 45011-2023")</f>
        <v/>
      </c>
      <c r="T325">
        <f>HYPERLINK("https://klasma.github.io/Logging_2305/kartor/A 45011-2023 karta.png", "A 45011-2023")</f>
        <v/>
      </c>
      <c r="V325">
        <f>HYPERLINK("https://klasma.github.io/Logging_2305/klagomål/A 45011-2023 FSC-klagomål.docx", "A 45011-2023")</f>
        <v/>
      </c>
      <c r="W325">
        <f>HYPERLINK("https://klasma.github.io/Logging_2305/klagomålsmail/A 45011-2023 FSC-klagomål mail.docx", "A 45011-2023")</f>
        <v/>
      </c>
      <c r="X325">
        <f>HYPERLINK("https://klasma.github.io/Logging_2305/tillsyn/A 45011-2023 tillsynsbegäran.docx", "A 45011-2023")</f>
        <v/>
      </c>
      <c r="Y325">
        <f>HYPERLINK("https://klasma.github.io/Logging_2305/tillsynsmail/A 45011-2023 tillsynsbegäran mail.docx", "A 45011-2023")</f>
        <v/>
      </c>
    </row>
    <row r="326" ht="15" customHeight="1">
      <c r="A326" t="inlineStr">
        <is>
          <t>A 47183-2023</t>
        </is>
      </c>
      <c r="B326" s="1" t="n">
        <v>45201</v>
      </c>
      <c r="C326" s="1" t="n">
        <v>45754</v>
      </c>
      <c r="D326" t="inlineStr">
        <is>
          <t>JÄMTLANDS LÄN</t>
        </is>
      </c>
      <c r="E326" t="inlineStr">
        <is>
          <t>BRÄCKE</t>
        </is>
      </c>
      <c r="F326" t="inlineStr">
        <is>
          <t>SCA</t>
        </is>
      </c>
      <c r="G326" t="n">
        <v>1.2</v>
      </c>
      <c r="H326" t="n">
        <v>0</v>
      </c>
      <c r="I326" t="n">
        <v>0</v>
      </c>
      <c r="J326" t="n">
        <v>1</v>
      </c>
      <c r="K326" t="n">
        <v>0</v>
      </c>
      <c r="L326" t="n">
        <v>0</v>
      </c>
      <c r="M326" t="n">
        <v>0</v>
      </c>
      <c r="N326" t="n">
        <v>0</v>
      </c>
      <c r="O326" t="n">
        <v>1</v>
      </c>
      <c r="P326" t="n">
        <v>0</v>
      </c>
      <c r="Q326" t="n">
        <v>1</v>
      </c>
      <c r="R326" s="2" t="inlineStr">
        <is>
          <t>Lunglav</t>
        </is>
      </c>
      <c r="S326">
        <f>HYPERLINK("https://klasma.github.io/Logging_2305/artfynd/A 47183-2023 artfynd.xlsx", "A 47183-2023")</f>
        <v/>
      </c>
      <c r="T326">
        <f>HYPERLINK("https://klasma.github.io/Logging_2305/kartor/A 47183-2023 karta.png", "A 47183-2023")</f>
        <v/>
      </c>
      <c r="U326">
        <f>HYPERLINK("https://klasma.github.io/Logging_2305/knärot/A 47183-2023 karta knärot.png", "A 47183-2023")</f>
        <v/>
      </c>
      <c r="V326">
        <f>HYPERLINK("https://klasma.github.io/Logging_2305/klagomål/A 47183-2023 FSC-klagomål.docx", "A 47183-2023")</f>
        <v/>
      </c>
      <c r="W326">
        <f>HYPERLINK("https://klasma.github.io/Logging_2305/klagomålsmail/A 47183-2023 FSC-klagomål mail.docx", "A 47183-2023")</f>
        <v/>
      </c>
      <c r="X326">
        <f>HYPERLINK("https://klasma.github.io/Logging_2305/tillsyn/A 47183-2023 tillsynsbegäran.docx", "A 47183-2023")</f>
        <v/>
      </c>
      <c r="Y326">
        <f>HYPERLINK("https://klasma.github.io/Logging_2305/tillsynsmail/A 47183-2023 tillsynsbegäran mail.docx", "A 47183-2023")</f>
        <v/>
      </c>
    </row>
    <row r="327" ht="15" customHeight="1">
      <c r="A327" t="inlineStr">
        <is>
          <t>A 49040-2023</t>
        </is>
      </c>
      <c r="B327" s="1" t="n">
        <v>45209</v>
      </c>
      <c r="C327" s="1" t="n">
        <v>45754</v>
      </c>
      <c r="D327" t="inlineStr">
        <is>
          <t>JÄMTLANDS LÄN</t>
        </is>
      </c>
      <c r="E327" t="inlineStr">
        <is>
          <t>BRÄCKE</t>
        </is>
      </c>
      <c r="F327" t="inlineStr">
        <is>
          <t>SCA</t>
        </is>
      </c>
      <c r="G327" t="n">
        <v>4.2</v>
      </c>
      <c r="H327" t="n">
        <v>0</v>
      </c>
      <c r="I327" t="n">
        <v>0</v>
      </c>
      <c r="J327" t="n">
        <v>1</v>
      </c>
      <c r="K327" t="n">
        <v>0</v>
      </c>
      <c r="L327" t="n">
        <v>0</v>
      </c>
      <c r="M327" t="n">
        <v>0</v>
      </c>
      <c r="N327" t="n">
        <v>0</v>
      </c>
      <c r="O327" t="n">
        <v>1</v>
      </c>
      <c r="P327" t="n">
        <v>0</v>
      </c>
      <c r="Q327" t="n">
        <v>1</v>
      </c>
      <c r="R327" s="2" t="inlineStr">
        <is>
          <t>Lunglav</t>
        </is>
      </c>
      <c r="S327">
        <f>HYPERLINK("https://klasma.github.io/Logging_2305/artfynd/A 49040-2023 artfynd.xlsx", "A 49040-2023")</f>
        <v/>
      </c>
      <c r="T327">
        <f>HYPERLINK("https://klasma.github.io/Logging_2305/kartor/A 49040-2023 karta.png", "A 49040-2023")</f>
        <v/>
      </c>
      <c r="V327">
        <f>HYPERLINK("https://klasma.github.io/Logging_2305/klagomål/A 49040-2023 FSC-klagomål.docx", "A 49040-2023")</f>
        <v/>
      </c>
      <c r="W327">
        <f>HYPERLINK("https://klasma.github.io/Logging_2305/klagomålsmail/A 49040-2023 FSC-klagomål mail.docx", "A 49040-2023")</f>
        <v/>
      </c>
      <c r="X327">
        <f>HYPERLINK("https://klasma.github.io/Logging_2305/tillsyn/A 49040-2023 tillsynsbegäran.docx", "A 49040-2023")</f>
        <v/>
      </c>
      <c r="Y327">
        <f>HYPERLINK("https://klasma.github.io/Logging_2305/tillsynsmail/A 49040-2023 tillsynsbegäran mail.docx", "A 49040-2023")</f>
        <v/>
      </c>
    </row>
    <row r="328" ht="15" customHeight="1">
      <c r="A328" t="inlineStr">
        <is>
          <t>A 49325-2023</t>
        </is>
      </c>
      <c r="B328" s="1" t="n">
        <v>45210</v>
      </c>
      <c r="C328" s="1" t="n">
        <v>45754</v>
      </c>
      <c r="D328" t="inlineStr">
        <is>
          <t>JÄMTLANDS LÄN</t>
        </is>
      </c>
      <c r="E328" t="inlineStr">
        <is>
          <t>BRÄCKE</t>
        </is>
      </c>
      <c r="F328" t="inlineStr">
        <is>
          <t>SCA</t>
        </is>
      </c>
      <c r="G328" t="n">
        <v>7</v>
      </c>
      <c r="H328" t="n">
        <v>1</v>
      </c>
      <c r="I328" t="n">
        <v>0</v>
      </c>
      <c r="J328" t="n">
        <v>0</v>
      </c>
      <c r="K328" t="n">
        <v>1</v>
      </c>
      <c r="L328" t="n">
        <v>0</v>
      </c>
      <c r="M328" t="n">
        <v>0</v>
      </c>
      <c r="N328" t="n">
        <v>0</v>
      </c>
      <c r="O328" t="n">
        <v>1</v>
      </c>
      <c r="P328" t="n">
        <v>1</v>
      </c>
      <c r="Q328" t="n">
        <v>1</v>
      </c>
      <c r="R328" s="2" t="inlineStr">
        <is>
          <t>Doftticka</t>
        </is>
      </c>
      <c r="S328">
        <f>HYPERLINK("https://klasma.github.io/Logging_2305/artfynd/A 49325-2023 artfynd.xlsx", "A 49325-2023")</f>
        <v/>
      </c>
      <c r="T328">
        <f>HYPERLINK("https://klasma.github.io/Logging_2305/kartor/A 49325-2023 karta.png", "A 49325-2023")</f>
        <v/>
      </c>
      <c r="V328">
        <f>HYPERLINK("https://klasma.github.io/Logging_2305/klagomål/A 49325-2023 FSC-klagomål.docx", "A 49325-2023")</f>
        <v/>
      </c>
      <c r="W328">
        <f>HYPERLINK("https://klasma.github.io/Logging_2305/klagomålsmail/A 49325-2023 FSC-klagomål mail.docx", "A 49325-2023")</f>
        <v/>
      </c>
      <c r="X328">
        <f>HYPERLINK("https://klasma.github.io/Logging_2305/tillsyn/A 49325-2023 tillsynsbegäran.docx", "A 49325-2023")</f>
        <v/>
      </c>
      <c r="Y328">
        <f>HYPERLINK("https://klasma.github.io/Logging_2305/tillsynsmail/A 49325-2023 tillsynsbegäran mail.docx", "A 49325-2023")</f>
        <v/>
      </c>
    </row>
    <row r="329" ht="15" customHeight="1">
      <c r="A329" t="inlineStr">
        <is>
          <t>A 50513-2023</t>
        </is>
      </c>
      <c r="B329" s="1" t="n">
        <v>45216</v>
      </c>
      <c r="C329" s="1" t="n">
        <v>45754</v>
      </c>
      <c r="D329" t="inlineStr">
        <is>
          <t>JÄMTLANDS LÄN</t>
        </is>
      </c>
      <c r="E329" t="inlineStr">
        <is>
          <t>BRÄCKE</t>
        </is>
      </c>
      <c r="F329" t="inlineStr">
        <is>
          <t>SCA</t>
        </is>
      </c>
      <c r="G329" t="n">
        <v>1.7</v>
      </c>
      <c r="H329" t="n">
        <v>1</v>
      </c>
      <c r="I329" t="n">
        <v>0</v>
      </c>
      <c r="J329" t="n">
        <v>0</v>
      </c>
      <c r="K329" t="n">
        <v>0</v>
      </c>
      <c r="L329" t="n">
        <v>0</v>
      </c>
      <c r="M329" t="n">
        <v>0</v>
      </c>
      <c r="N329" t="n">
        <v>0</v>
      </c>
      <c r="O329" t="n">
        <v>0</v>
      </c>
      <c r="P329" t="n">
        <v>0</v>
      </c>
      <c r="Q329" t="n">
        <v>1</v>
      </c>
      <c r="R329" s="2" t="inlineStr">
        <is>
          <t>Grönsiska</t>
        </is>
      </c>
      <c r="S329">
        <f>HYPERLINK("https://klasma.github.io/Logging_2305/artfynd/A 50513-2023 artfynd.xlsx", "A 50513-2023")</f>
        <v/>
      </c>
      <c r="T329">
        <f>HYPERLINK("https://klasma.github.io/Logging_2305/kartor/A 50513-2023 karta.png", "A 50513-2023")</f>
        <v/>
      </c>
      <c r="V329">
        <f>HYPERLINK("https://klasma.github.io/Logging_2305/klagomål/A 50513-2023 FSC-klagomål.docx", "A 50513-2023")</f>
        <v/>
      </c>
      <c r="W329">
        <f>HYPERLINK("https://klasma.github.io/Logging_2305/klagomålsmail/A 50513-2023 FSC-klagomål mail.docx", "A 50513-2023")</f>
        <v/>
      </c>
      <c r="X329">
        <f>HYPERLINK("https://klasma.github.io/Logging_2305/tillsyn/A 50513-2023 tillsynsbegäran.docx", "A 50513-2023")</f>
        <v/>
      </c>
      <c r="Y329">
        <f>HYPERLINK("https://klasma.github.io/Logging_2305/tillsynsmail/A 50513-2023 tillsynsbegäran mail.docx", "A 50513-2023")</f>
        <v/>
      </c>
      <c r="Z329">
        <f>HYPERLINK("https://klasma.github.io/Logging_2305/fåglar/A 50513-2023 prioriterade fågelarter.docx", "A 50513-2023")</f>
        <v/>
      </c>
    </row>
    <row r="330" ht="15" customHeight="1">
      <c r="A330" t="inlineStr">
        <is>
          <t>A 50837-2023</t>
        </is>
      </c>
      <c r="B330" s="1" t="n">
        <v>45217</v>
      </c>
      <c r="C330" s="1" t="n">
        <v>45754</v>
      </c>
      <c r="D330" t="inlineStr">
        <is>
          <t>JÄMTLANDS LÄN</t>
        </is>
      </c>
      <c r="E330" t="inlineStr">
        <is>
          <t>BRÄCKE</t>
        </is>
      </c>
      <c r="F330" t="inlineStr">
        <is>
          <t>SCA</t>
        </is>
      </c>
      <c r="G330" t="n">
        <v>1.4</v>
      </c>
      <c r="H330" t="n">
        <v>1</v>
      </c>
      <c r="I330" t="n">
        <v>0</v>
      </c>
      <c r="J330" t="n">
        <v>1</v>
      </c>
      <c r="K330" t="n">
        <v>0</v>
      </c>
      <c r="L330" t="n">
        <v>0</v>
      </c>
      <c r="M330" t="n">
        <v>0</v>
      </c>
      <c r="N330" t="n">
        <v>0</v>
      </c>
      <c r="O330" t="n">
        <v>1</v>
      </c>
      <c r="P330" t="n">
        <v>0</v>
      </c>
      <c r="Q330" t="n">
        <v>1</v>
      </c>
      <c r="R330" s="2" t="inlineStr">
        <is>
          <t>Talltita</t>
        </is>
      </c>
      <c r="S330">
        <f>HYPERLINK("https://klasma.github.io/Logging_2305/artfynd/A 50837-2023 artfynd.xlsx", "A 50837-2023")</f>
        <v/>
      </c>
      <c r="T330">
        <f>HYPERLINK("https://klasma.github.io/Logging_2305/kartor/A 50837-2023 karta.png", "A 50837-2023")</f>
        <v/>
      </c>
      <c r="V330">
        <f>HYPERLINK("https://klasma.github.io/Logging_2305/klagomål/A 50837-2023 FSC-klagomål.docx", "A 50837-2023")</f>
        <v/>
      </c>
      <c r="W330">
        <f>HYPERLINK("https://klasma.github.io/Logging_2305/klagomålsmail/A 50837-2023 FSC-klagomål mail.docx", "A 50837-2023")</f>
        <v/>
      </c>
      <c r="X330">
        <f>HYPERLINK("https://klasma.github.io/Logging_2305/tillsyn/A 50837-2023 tillsynsbegäran.docx", "A 50837-2023")</f>
        <v/>
      </c>
      <c r="Y330">
        <f>HYPERLINK("https://klasma.github.io/Logging_2305/tillsynsmail/A 50837-2023 tillsynsbegäran mail.docx", "A 50837-2023")</f>
        <v/>
      </c>
      <c r="Z330">
        <f>HYPERLINK("https://klasma.github.io/Logging_2305/fåglar/A 50837-2023 prioriterade fågelarter.docx", "A 50837-2023")</f>
        <v/>
      </c>
    </row>
    <row r="331" ht="15" customHeight="1">
      <c r="A331" t="inlineStr">
        <is>
          <t>A 53056-2023</t>
        </is>
      </c>
      <c r="B331" s="1" t="n">
        <v>45226</v>
      </c>
      <c r="C331" s="1" t="n">
        <v>45754</v>
      </c>
      <c r="D331" t="inlineStr">
        <is>
          <t>JÄMTLANDS LÄN</t>
        </is>
      </c>
      <c r="E331" t="inlineStr">
        <is>
          <t>BRÄCKE</t>
        </is>
      </c>
      <c r="F331" t="inlineStr">
        <is>
          <t>SCA</t>
        </is>
      </c>
      <c r="G331" t="n">
        <v>6.5</v>
      </c>
      <c r="H331" t="n">
        <v>1</v>
      </c>
      <c r="I331" t="n">
        <v>0</v>
      </c>
      <c r="J331" t="n">
        <v>0</v>
      </c>
      <c r="K331" t="n">
        <v>1</v>
      </c>
      <c r="L331" t="n">
        <v>0</v>
      </c>
      <c r="M331" t="n">
        <v>0</v>
      </c>
      <c r="N331" t="n">
        <v>0</v>
      </c>
      <c r="O331" t="n">
        <v>1</v>
      </c>
      <c r="P331" t="n">
        <v>1</v>
      </c>
      <c r="Q331" t="n">
        <v>1</v>
      </c>
      <c r="R331" s="2" t="inlineStr">
        <is>
          <t>Doftticka</t>
        </is>
      </c>
      <c r="S331">
        <f>HYPERLINK("https://klasma.github.io/Logging_2305/artfynd/A 53056-2023 artfynd.xlsx", "A 53056-2023")</f>
        <v/>
      </c>
      <c r="T331">
        <f>HYPERLINK("https://klasma.github.io/Logging_2305/kartor/A 53056-2023 karta.png", "A 53056-2023")</f>
        <v/>
      </c>
      <c r="V331">
        <f>HYPERLINK("https://klasma.github.io/Logging_2305/klagomål/A 53056-2023 FSC-klagomål.docx", "A 53056-2023")</f>
        <v/>
      </c>
      <c r="W331">
        <f>HYPERLINK("https://klasma.github.io/Logging_2305/klagomålsmail/A 53056-2023 FSC-klagomål mail.docx", "A 53056-2023")</f>
        <v/>
      </c>
      <c r="X331">
        <f>HYPERLINK("https://klasma.github.io/Logging_2305/tillsyn/A 53056-2023 tillsynsbegäran.docx", "A 53056-2023")</f>
        <v/>
      </c>
      <c r="Y331">
        <f>HYPERLINK("https://klasma.github.io/Logging_2305/tillsynsmail/A 53056-2023 tillsynsbegäran mail.docx", "A 53056-2023")</f>
        <v/>
      </c>
    </row>
    <row r="332" ht="15" customHeight="1">
      <c r="A332" t="inlineStr">
        <is>
          <t>A 55931-2023</t>
        </is>
      </c>
      <c r="B332" s="1" t="n">
        <v>45239</v>
      </c>
      <c r="C332" s="1" t="n">
        <v>45754</v>
      </c>
      <c r="D332" t="inlineStr">
        <is>
          <t>JÄMTLANDS LÄN</t>
        </is>
      </c>
      <c r="E332" t="inlineStr">
        <is>
          <t>BRÄCKE</t>
        </is>
      </c>
      <c r="F332" t="inlineStr">
        <is>
          <t>Kyrkan</t>
        </is>
      </c>
      <c r="G332" t="n">
        <v>1.2</v>
      </c>
      <c r="H332" t="n">
        <v>0</v>
      </c>
      <c r="I332" t="n">
        <v>0</v>
      </c>
      <c r="J332" t="n">
        <v>1</v>
      </c>
      <c r="K332" t="n">
        <v>0</v>
      </c>
      <c r="L332" t="n">
        <v>0</v>
      </c>
      <c r="M332" t="n">
        <v>0</v>
      </c>
      <c r="N332" t="n">
        <v>0</v>
      </c>
      <c r="O332" t="n">
        <v>1</v>
      </c>
      <c r="P332" t="n">
        <v>0</v>
      </c>
      <c r="Q332" t="n">
        <v>1</v>
      </c>
      <c r="R332" s="2" t="inlineStr">
        <is>
          <t>Harticka</t>
        </is>
      </c>
      <c r="S332">
        <f>HYPERLINK("https://klasma.github.io/Logging_2305/artfynd/A 55931-2023 artfynd.xlsx", "A 55931-2023")</f>
        <v/>
      </c>
      <c r="T332">
        <f>HYPERLINK("https://klasma.github.io/Logging_2305/kartor/A 55931-2023 karta.png", "A 55931-2023")</f>
        <v/>
      </c>
      <c r="V332">
        <f>HYPERLINK("https://klasma.github.io/Logging_2305/klagomål/A 55931-2023 FSC-klagomål.docx", "A 55931-2023")</f>
        <v/>
      </c>
      <c r="W332">
        <f>HYPERLINK("https://klasma.github.io/Logging_2305/klagomålsmail/A 55931-2023 FSC-klagomål mail.docx", "A 55931-2023")</f>
        <v/>
      </c>
      <c r="X332">
        <f>HYPERLINK("https://klasma.github.io/Logging_2305/tillsyn/A 55931-2023 tillsynsbegäran.docx", "A 55931-2023")</f>
        <v/>
      </c>
      <c r="Y332">
        <f>HYPERLINK("https://klasma.github.io/Logging_2305/tillsynsmail/A 55931-2023 tillsynsbegäran mail.docx", "A 55931-2023")</f>
        <v/>
      </c>
    </row>
    <row r="333" ht="15" customHeight="1">
      <c r="A333" t="inlineStr">
        <is>
          <t>A 57409-2023</t>
        </is>
      </c>
      <c r="B333" s="1" t="n">
        <v>45245</v>
      </c>
      <c r="C333" s="1" t="n">
        <v>45754</v>
      </c>
      <c r="D333" t="inlineStr">
        <is>
          <t>JÄMTLANDS LÄN</t>
        </is>
      </c>
      <c r="E333" t="inlineStr">
        <is>
          <t>BRÄCKE</t>
        </is>
      </c>
      <c r="F333" t="inlineStr">
        <is>
          <t>SCA</t>
        </is>
      </c>
      <c r="G333" t="n">
        <v>2.8</v>
      </c>
      <c r="H333" t="n">
        <v>1</v>
      </c>
      <c r="I333" t="n">
        <v>1</v>
      </c>
      <c r="J333" t="n">
        <v>0</v>
      </c>
      <c r="K333" t="n">
        <v>0</v>
      </c>
      <c r="L333" t="n">
        <v>0</v>
      </c>
      <c r="M333" t="n">
        <v>0</v>
      </c>
      <c r="N333" t="n">
        <v>0</v>
      </c>
      <c r="O333" t="n">
        <v>0</v>
      </c>
      <c r="P333" t="n">
        <v>0</v>
      </c>
      <c r="Q333" t="n">
        <v>1</v>
      </c>
      <c r="R333" s="2" t="inlineStr">
        <is>
          <t>Spindelblomster</t>
        </is>
      </c>
      <c r="S333">
        <f>HYPERLINK("https://klasma.github.io/Logging_2305/artfynd/A 57409-2023 artfynd.xlsx", "A 57409-2023")</f>
        <v/>
      </c>
      <c r="T333">
        <f>HYPERLINK("https://klasma.github.io/Logging_2305/kartor/A 57409-2023 karta.png", "A 57409-2023")</f>
        <v/>
      </c>
      <c r="V333">
        <f>HYPERLINK("https://klasma.github.io/Logging_2305/klagomål/A 57409-2023 FSC-klagomål.docx", "A 57409-2023")</f>
        <v/>
      </c>
      <c r="W333">
        <f>HYPERLINK("https://klasma.github.io/Logging_2305/klagomålsmail/A 57409-2023 FSC-klagomål mail.docx", "A 57409-2023")</f>
        <v/>
      </c>
      <c r="X333">
        <f>HYPERLINK("https://klasma.github.io/Logging_2305/tillsyn/A 57409-2023 tillsynsbegäran.docx", "A 57409-2023")</f>
        <v/>
      </c>
      <c r="Y333">
        <f>HYPERLINK("https://klasma.github.io/Logging_2305/tillsynsmail/A 57409-2023 tillsynsbegäran mail.docx", "A 57409-2023")</f>
        <v/>
      </c>
    </row>
    <row r="334" ht="15" customHeight="1">
      <c r="A334" t="inlineStr">
        <is>
          <t>A 57797-2023</t>
        </is>
      </c>
      <c r="B334" s="1" t="n">
        <v>45247</v>
      </c>
      <c r="C334" s="1" t="n">
        <v>45754</v>
      </c>
      <c r="D334" t="inlineStr">
        <is>
          <t>JÄMTLANDS LÄN</t>
        </is>
      </c>
      <c r="E334" t="inlineStr">
        <is>
          <t>BRÄCKE</t>
        </is>
      </c>
      <c r="F334" t="inlineStr">
        <is>
          <t>SCA</t>
        </is>
      </c>
      <c r="G334" t="n">
        <v>2.7</v>
      </c>
      <c r="H334" t="n">
        <v>0</v>
      </c>
      <c r="I334" t="n">
        <v>1</v>
      </c>
      <c r="J334" t="n">
        <v>0</v>
      </c>
      <c r="K334" t="n">
        <v>0</v>
      </c>
      <c r="L334" t="n">
        <v>0</v>
      </c>
      <c r="M334" t="n">
        <v>0</v>
      </c>
      <c r="N334" t="n">
        <v>0</v>
      </c>
      <c r="O334" t="n">
        <v>0</v>
      </c>
      <c r="P334" t="n">
        <v>0</v>
      </c>
      <c r="Q334" t="n">
        <v>1</v>
      </c>
      <c r="R334" s="2" t="inlineStr">
        <is>
          <t>Korallblylav</t>
        </is>
      </c>
      <c r="S334">
        <f>HYPERLINK("https://klasma.github.io/Logging_2305/artfynd/A 57797-2023 artfynd.xlsx", "A 57797-2023")</f>
        <v/>
      </c>
      <c r="T334">
        <f>HYPERLINK("https://klasma.github.io/Logging_2305/kartor/A 57797-2023 karta.png", "A 57797-2023")</f>
        <v/>
      </c>
      <c r="V334">
        <f>HYPERLINK("https://klasma.github.io/Logging_2305/klagomål/A 57797-2023 FSC-klagomål.docx", "A 57797-2023")</f>
        <v/>
      </c>
      <c r="W334">
        <f>HYPERLINK("https://klasma.github.io/Logging_2305/klagomålsmail/A 57797-2023 FSC-klagomål mail.docx", "A 57797-2023")</f>
        <v/>
      </c>
      <c r="X334">
        <f>HYPERLINK("https://klasma.github.io/Logging_2305/tillsyn/A 57797-2023 tillsynsbegäran.docx", "A 57797-2023")</f>
        <v/>
      </c>
      <c r="Y334">
        <f>HYPERLINK("https://klasma.github.io/Logging_2305/tillsynsmail/A 57797-2023 tillsynsbegäran mail.docx", "A 57797-2023")</f>
        <v/>
      </c>
    </row>
    <row r="335" ht="15" customHeight="1">
      <c r="A335" t="inlineStr">
        <is>
          <t>A 58777-2023</t>
        </is>
      </c>
      <c r="B335" s="1" t="n">
        <v>45252</v>
      </c>
      <c r="C335" s="1" t="n">
        <v>45754</v>
      </c>
      <c r="D335" t="inlineStr">
        <is>
          <t>JÄMTLANDS LÄN</t>
        </is>
      </c>
      <c r="E335" t="inlineStr">
        <is>
          <t>BRÄCKE</t>
        </is>
      </c>
      <c r="F335" t="inlineStr">
        <is>
          <t>SCA</t>
        </is>
      </c>
      <c r="G335" t="n">
        <v>1.1</v>
      </c>
      <c r="H335" t="n">
        <v>0</v>
      </c>
      <c r="I335" t="n">
        <v>0</v>
      </c>
      <c r="J335" t="n">
        <v>1</v>
      </c>
      <c r="K335" t="n">
        <v>0</v>
      </c>
      <c r="L335" t="n">
        <v>0</v>
      </c>
      <c r="M335" t="n">
        <v>0</v>
      </c>
      <c r="N335" t="n">
        <v>0</v>
      </c>
      <c r="O335" t="n">
        <v>1</v>
      </c>
      <c r="P335" t="n">
        <v>0</v>
      </c>
      <c r="Q335" t="n">
        <v>1</v>
      </c>
      <c r="R335" s="2" t="inlineStr">
        <is>
          <t>Igelkott</t>
        </is>
      </c>
      <c r="S335">
        <f>HYPERLINK("https://klasma.github.io/Logging_2305/artfynd/A 58777-2023 artfynd.xlsx", "A 58777-2023")</f>
        <v/>
      </c>
      <c r="T335">
        <f>HYPERLINK("https://klasma.github.io/Logging_2305/kartor/A 58777-2023 karta.png", "A 58777-2023")</f>
        <v/>
      </c>
      <c r="V335">
        <f>HYPERLINK("https://klasma.github.io/Logging_2305/klagomål/A 58777-2023 FSC-klagomål.docx", "A 58777-2023")</f>
        <v/>
      </c>
      <c r="W335">
        <f>HYPERLINK("https://klasma.github.io/Logging_2305/klagomålsmail/A 58777-2023 FSC-klagomål mail.docx", "A 58777-2023")</f>
        <v/>
      </c>
      <c r="X335">
        <f>HYPERLINK("https://klasma.github.io/Logging_2305/tillsyn/A 58777-2023 tillsynsbegäran.docx", "A 58777-2023")</f>
        <v/>
      </c>
      <c r="Y335">
        <f>HYPERLINK("https://klasma.github.io/Logging_2305/tillsynsmail/A 58777-2023 tillsynsbegäran mail.docx", "A 58777-2023")</f>
        <v/>
      </c>
    </row>
    <row r="336" ht="15" customHeight="1">
      <c r="A336" t="inlineStr">
        <is>
          <t>A 2063-2024</t>
        </is>
      </c>
      <c r="B336" s="1" t="n">
        <v>45308</v>
      </c>
      <c r="C336" s="1" t="n">
        <v>45754</v>
      </c>
      <c r="D336" t="inlineStr">
        <is>
          <t>JÄMTLANDS LÄN</t>
        </is>
      </c>
      <c r="E336" t="inlineStr">
        <is>
          <t>BRÄCKE</t>
        </is>
      </c>
      <c r="F336" t="inlineStr">
        <is>
          <t>SCA</t>
        </is>
      </c>
      <c r="G336" t="n">
        <v>5.7</v>
      </c>
      <c r="H336" t="n">
        <v>0</v>
      </c>
      <c r="I336" t="n">
        <v>0</v>
      </c>
      <c r="J336" t="n">
        <v>0</v>
      </c>
      <c r="K336" t="n">
        <v>1</v>
      </c>
      <c r="L336" t="n">
        <v>0</v>
      </c>
      <c r="M336" t="n">
        <v>0</v>
      </c>
      <c r="N336" t="n">
        <v>0</v>
      </c>
      <c r="O336" t="n">
        <v>1</v>
      </c>
      <c r="P336" t="n">
        <v>1</v>
      </c>
      <c r="Q336" t="n">
        <v>1</v>
      </c>
      <c r="R336" s="2" t="inlineStr">
        <is>
          <t>Gräddporing</t>
        </is>
      </c>
      <c r="S336">
        <f>HYPERLINK("https://klasma.github.io/Logging_2305/artfynd/A 2063-2024 artfynd.xlsx", "A 2063-2024")</f>
        <v/>
      </c>
      <c r="T336">
        <f>HYPERLINK("https://klasma.github.io/Logging_2305/kartor/A 2063-2024 karta.png", "A 2063-2024")</f>
        <v/>
      </c>
      <c r="V336">
        <f>HYPERLINK("https://klasma.github.io/Logging_2305/klagomål/A 2063-2024 FSC-klagomål.docx", "A 2063-2024")</f>
        <v/>
      </c>
      <c r="W336">
        <f>HYPERLINK("https://klasma.github.io/Logging_2305/klagomålsmail/A 2063-2024 FSC-klagomål mail.docx", "A 2063-2024")</f>
        <v/>
      </c>
      <c r="X336">
        <f>HYPERLINK("https://klasma.github.io/Logging_2305/tillsyn/A 2063-2024 tillsynsbegäran.docx", "A 2063-2024")</f>
        <v/>
      </c>
      <c r="Y336">
        <f>HYPERLINK("https://klasma.github.io/Logging_2305/tillsynsmail/A 2063-2024 tillsynsbegäran mail.docx", "A 2063-2024")</f>
        <v/>
      </c>
    </row>
    <row r="337" ht="15" customHeight="1">
      <c r="A337" t="inlineStr">
        <is>
          <t>A 5439-2024</t>
        </is>
      </c>
      <c r="B337" s="1" t="n">
        <v>45331</v>
      </c>
      <c r="C337" s="1" t="n">
        <v>45754</v>
      </c>
      <c r="D337" t="inlineStr">
        <is>
          <t>JÄMTLANDS LÄN</t>
        </is>
      </c>
      <c r="E337" t="inlineStr">
        <is>
          <t>BRÄCKE</t>
        </is>
      </c>
      <c r="F337" t="inlineStr">
        <is>
          <t>SCA</t>
        </is>
      </c>
      <c r="G337" t="n">
        <v>3.9</v>
      </c>
      <c r="H337" t="n">
        <v>0</v>
      </c>
      <c r="I337" t="n">
        <v>0</v>
      </c>
      <c r="J337" t="n">
        <v>1</v>
      </c>
      <c r="K337" t="n">
        <v>0</v>
      </c>
      <c r="L337" t="n">
        <v>0</v>
      </c>
      <c r="M337" t="n">
        <v>0</v>
      </c>
      <c r="N337" t="n">
        <v>0</v>
      </c>
      <c r="O337" t="n">
        <v>1</v>
      </c>
      <c r="P337" t="n">
        <v>0</v>
      </c>
      <c r="Q337" t="n">
        <v>1</v>
      </c>
      <c r="R337" s="2" t="inlineStr">
        <is>
          <t>Lunglav</t>
        </is>
      </c>
      <c r="S337">
        <f>HYPERLINK("https://klasma.github.io/Logging_2305/artfynd/A 5439-2024 artfynd.xlsx", "A 5439-2024")</f>
        <v/>
      </c>
      <c r="T337">
        <f>HYPERLINK("https://klasma.github.io/Logging_2305/kartor/A 5439-2024 karta.png", "A 5439-2024")</f>
        <v/>
      </c>
      <c r="V337">
        <f>HYPERLINK("https://klasma.github.io/Logging_2305/klagomål/A 5439-2024 FSC-klagomål.docx", "A 5439-2024")</f>
        <v/>
      </c>
      <c r="W337">
        <f>HYPERLINK("https://klasma.github.io/Logging_2305/klagomålsmail/A 5439-2024 FSC-klagomål mail.docx", "A 5439-2024")</f>
        <v/>
      </c>
      <c r="X337">
        <f>HYPERLINK("https://klasma.github.io/Logging_2305/tillsyn/A 5439-2024 tillsynsbegäran.docx", "A 5439-2024")</f>
        <v/>
      </c>
      <c r="Y337">
        <f>HYPERLINK("https://klasma.github.io/Logging_2305/tillsynsmail/A 5439-2024 tillsynsbegäran mail.docx", "A 5439-2024")</f>
        <v/>
      </c>
    </row>
    <row r="338" ht="15" customHeight="1">
      <c r="A338" t="inlineStr">
        <is>
          <t>A 6906-2024</t>
        </is>
      </c>
      <c r="B338" s="1" t="n">
        <v>45342</v>
      </c>
      <c r="C338" s="1" t="n">
        <v>45754</v>
      </c>
      <c r="D338" t="inlineStr">
        <is>
          <t>JÄMTLANDS LÄN</t>
        </is>
      </c>
      <c r="E338" t="inlineStr">
        <is>
          <t>BRÄCKE</t>
        </is>
      </c>
      <c r="F338" t="inlineStr">
        <is>
          <t>SCA</t>
        </is>
      </c>
      <c r="G338" t="n">
        <v>4.1</v>
      </c>
      <c r="H338" t="n">
        <v>0</v>
      </c>
      <c r="I338" t="n">
        <v>0</v>
      </c>
      <c r="J338" t="n">
        <v>1</v>
      </c>
      <c r="K338" t="n">
        <v>0</v>
      </c>
      <c r="L338" t="n">
        <v>0</v>
      </c>
      <c r="M338" t="n">
        <v>0</v>
      </c>
      <c r="N338" t="n">
        <v>0</v>
      </c>
      <c r="O338" t="n">
        <v>1</v>
      </c>
      <c r="P338" t="n">
        <v>0</v>
      </c>
      <c r="Q338" t="n">
        <v>1</v>
      </c>
      <c r="R338" s="2" t="inlineStr">
        <is>
          <t>Lunglav</t>
        </is>
      </c>
      <c r="S338">
        <f>HYPERLINK("https://klasma.github.io/Logging_2305/artfynd/A 6906-2024 artfynd.xlsx", "A 6906-2024")</f>
        <v/>
      </c>
      <c r="T338">
        <f>HYPERLINK("https://klasma.github.io/Logging_2305/kartor/A 6906-2024 karta.png", "A 6906-2024")</f>
        <v/>
      </c>
      <c r="V338">
        <f>HYPERLINK("https://klasma.github.io/Logging_2305/klagomål/A 6906-2024 FSC-klagomål.docx", "A 6906-2024")</f>
        <v/>
      </c>
      <c r="W338">
        <f>HYPERLINK("https://klasma.github.io/Logging_2305/klagomålsmail/A 6906-2024 FSC-klagomål mail.docx", "A 6906-2024")</f>
        <v/>
      </c>
      <c r="X338">
        <f>HYPERLINK("https://klasma.github.io/Logging_2305/tillsyn/A 6906-2024 tillsynsbegäran.docx", "A 6906-2024")</f>
        <v/>
      </c>
      <c r="Y338">
        <f>HYPERLINK("https://klasma.github.io/Logging_2305/tillsynsmail/A 6906-2024 tillsynsbegäran mail.docx", "A 6906-2024")</f>
        <v/>
      </c>
    </row>
    <row r="339" ht="15" customHeight="1">
      <c r="A339" t="inlineStr">
        <is>
          <t>A 10039-2024</t>
        </is>
      </c>
      <c r="B339" s="1" t="n">
        <v>45364</v>
      </c>
      <c r="C339" s="1" t="n">
        <v>45754</v>
      </c>
      <c r="D339" t="inlineStr">
        <is>
          <t>JÄMTLANDS LÄN</t>
        </is>
      </c>
      <c r="E339" t="inlineStr">
        <is>
          <t>BRÄCKE</t>
        </is>
      </c>
      <c r="F339" t="inlineStr">
        <is>
          <t>SCA</t>
        </is>
      </c>
      <c r="G339" t="n">
        <v>3.7</v>
      </c>
      <c r="H339" t="n">
        <v>0</v>
      </c>
      <c r="I339" t="n">
        <v>1</v>
      </c>
      <c r="J339" t="n">
        <v>0</v>
      </c>
      <c r="K339" t="n">
        <v>0</v>
      </c>
      <c r="L339" t="n">
        <v>0</v>
      </c>
      <c r="M339" t="n">
        <v>0</v>
      </c>
      <c r="N339" t="n">
        <v>0</v>
      </c>
      <c r="O339" t="n">
        <v>0</v>
      </c>
      <c r="P339" t="n">
        <v>0</v>
      </c>
      <c r="Q339" t="n">
        <v>1</v>
      </c>
      <c r="R339" s="2" t="inlineStr">
        <is>
          <t>Dropptaggsvamp</t>
        </is>
      </c>
      <c r="S339">
        <f>HYPERLINK("https://klasma.github.io/Logging_2305/artfynd/A 10039-2024 artfynd.xlsx", "A 10039-2024")</f>
        <v/>
      </c>
      <c r="T339">
        <f>HYPERLINK("https://klasma.github.io/Logging_2305/kartor/A 10039-2024 karta.png", "A 10039-2024")</f>
        <v/>
      </c>
      <c r="V339">
        <f>HYPERLINK("https://klasma.github.io/Logging_2305/klagomål/A 10039-2024 FSC-klagomål.docx", "A 10039-2024")</f>
        <v/>
      </c>
      <c r="W339">
        <f>HYPERLINK("https://klasma.github.io/Logging_2305/klagomålsmail/A 10039-2024 FSC-klagomål mail.docx", "A 10039-2024")</f>
        <v/>
      </c>
      <c r="X339">
        <f>HYPERLINK("https://klasma.github.io/Logging_2305/tillsyn/A 10039-2024 tillsynsbegäran.docx", "A 10039-2024")</f>
        <v/>
      </c>
      <c r="Y339">
        <f>HYPERLINK("https://klasma.github.io/Logging_2305/tillsynsmail/A 10039-2024 tillsynsbegäran mail.docx", "A 10039-2024")</f>
        <v/>
      </c>
    </row>
    <row r="340" ht="15" customHeight="1">
      <c r="A340" t="inlineStr">
        <is>
          <t>A 10862-2024</t>
        </is>
      </c>
      <c r="B340" s="1" t="n">
        <v>45370</v>
      </c>
      <c r="C340" s="1" t="n">
        <v>45754</v>
      </c>
      <c r="D340" t="inlineStr">
        <is>
          <t>JÄMTLANDS LÄN</t>
        </is>
      </c>
      <c r="E340" t="inlineStr">
        <is>
          <t>BRÄCKE</t>
        </is>
      </c>
      <c r="F340" t="inlineStr">
        <is>
          <t>SCA</t>
        </is>
      </c>
      <c r="G340" t="n">
        <v>9.800000000000001</v>
      </c>
      <c r="H340" t="n">
        <v>1</v>
      </c>
      <c r="I340" t="n">
        <v>0</v>
      </c>
      <c r="J340" t="n">
        <v>0</v>
      </c>
      <c r="K340" t="n">
        <v>0</v>
      </c>
      <c r="L340" t="n">
        <v>0</v>
      </c>
      <c r="M340" t="n">
        <v>0</v>
      </c>
      <c r="N340" t="n">
        <v>0</v>
      </c>
      <c r="O340" t="n">
        <v>0</v>
      </c>
      <c r="P340" t="n">
        <v>0</v>
      </c>
      <c r="Q340" t="n">
        <v>1</v>
      </c>
      <c r="R340" s="2" t="inlineStr">
        <is>
          <t>Revlummer</t>
        </is>
      </c>
      <c r="S340">
        <f>HYPERLINK("https://klasma.github.io/Logging_2305/artfynd/A 10862-2024 artfynd.xlsx", "A 10862-2024")</f>
        <v/>
      </c>
      <c r="T340">
        <f>HYPERLINK("https://klasma.github.io/Logging_2305/kartor/A 10862-2024 karta.png", "A 10862-2024")</f>
        <v/>
      </c>
      <c r="V340">
        <f>HYPERLINK("https://klasma.github.io/Logging_2305/klagomål/A 10862-2024 FSC-klagomål.docx", "A 10862-2024")</f>
        <v/>
      </c>
      <c r="W340">
        <f>HYPERLINK("https://klasma.github.io/Logging_2305/klagomålsmail/A 10862-2024 FSC-klagomål mail.docx", "A 10862-2024")</f>
        <v/>
      </c>
      <c r="X340">
        <f>HYPERLINK("https://klasma.github.io/Logging_2305/tillsyn/A 10862-2024 tillsynsbegäran.docx", "A 10862-2024")</f>
        <v/>
      </c>
      <c r="Y340">
        <f>HYPERLINK("https://klasma.github.io/Logging_2305/tillsynsmail/A 10862-2024 tillsynsbegäran mail.docx", "A 10862-2024")</f>
        <v/>
      </c>
    </row>
    <row r="341" ht="15" customHeight="1">
      <c r="A341" t="inlineStr">
        <is>
          <t>A 11614-2024</t>
        </is>
      </c>
      <c r="B341" s="1" t="n">
        <v>45373</v>
      </c>
      <c r="C341" s="1" t="n">
        <v>45754</v>
      </c>
      <c r="D341" t="inlineStr">
        <is>
          <t>JÄMTLANDS LÄN</t>
        </is>
      </c>
      <c r="E341" t="inlineStr">
        <is>
          <t>BRÄCKE</t>
        </is>
      </c>
      <c r="G341" t="n">
        <v>4.3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11614-2024 artfynd.xlsx", "A 11614-2024")</f>
        <v/>
      </c>
      <c r="T341">
        <f>HYPERLINK("https://klasma.github.io/Logging_2305/kartor/A 11614-2024 karta.png", "A 11614-2024")</f>
        <v/>
      </c>
      <c r="V341">
        <f>HYPERLINK("https://klasma.github.io/Logging_2305/klagomål/A 11614-2024 FSC-klagomål.docx", "A 11614-2024")</f>
        <v/>
      </c>
      <c r="W341">
        <f>HYPERLINK("https://klasma.github.io/Logging_2305/klagomålsmail/A 11614-2024 FSC-klagomål mail.docx", "A 11614-2024")</f>
        <v/>
      </c>
      <c r="X341">
        <f>HYPERLINK("https://klasma.github.io/Logging_2305/tillsyn/A 11614-2024 tillsynsbegäran.docx", "A 11614-2024")</f>
        <v/>
      </c>
      <c r="Y341">
        <f>HYPERLINK("https://klasma.github.io/Logging_2305/tillsynsmail/A 11614-2024 tillsynsbegäran mail.docx", "A 11614-2024")</f>
        <v/>
      </c>
    </row>
    <row r="342" ht="15" customHeight="1">
      <c r="A342" t="inlineStr">
        <is>
          <t>A 12185-2024</t>
        </is>
      </c>
      <c r="B342" s="1" t="n">
        <v>45377</v>
      </c>
      <c r="C342" s="1" t="n">
        <v>45754</v>
      </c>
      <c r="D342" t="inlineStr">
        <is>
          <t>JÄMTLANDS LÄN</t>
        </is>
      </c>
      <c r="E342" t="inlineStr">
        <is>
          <t>BRÄCKE</t>
        </is>
      </c>
      <c r="F342" t="inlineStr">
        <is>
          <t>SCA</t>
        </is>
      </c>
      <c r="G342" t="n">
        <v>2.5</v>
      </c>
      <c r="H342" t="n">
        <v>0</v>
      </c>
      <c r="I342" t="n">
        <v>0</v>
      </c>
      <c r="J342" t="n">
        <v>1</v>
      </c>
      <c r="K342" t="n">
        <v>0</v>
      </c>
      <c r="L342" t="n">
        <v>0</v>
      </c>
      <c r="M342" t="n">
        <v>0</v>
      </c>
      <c r="N342" t="n">
        <v>0</v>
      </c>
      <c r="O342" t="n">
        <v>1</v>
      </c>
      <c r="P342" t="n">
        <v>0</v>
      </c>
      <c r="Q342" t="n">
        <v>1</v>
      </c>
      <c r="R342" s="2" t="inlineStr">
        <is>
          <t>Lunglav</t>
        </is>
      </c>
      <c r="S342">
        <f>HYPERLINK("https://klasma.github.io/Logging_2305/artfynd/A 12185-2024 artfynd.xlsx", "A 12185-2024")</f>
        <v/>
      </c>
      <c r="T342">
        <f>HYPERLINK("https://klasma.github.io/Logging_2305/kartor/A 12185-2024 karta.png", "A 12185-2024")</f>
        <v/>
      </c>
      <c r="V342">
        <f>HYPERLINK("https://klasma.github.io/Logging_2305/klagomål/A 12185-2024 FSC-klagomål.docx", "A 12185-2024")</f>
        <v/>
      </c>
      <c r="W342">
        <f>HYPERLINK("https://klasma.github.io/Logging_2305/klagomålsmail/A 12185-2024 FSC-klagomål mail.docx", "A 12185-2024")</f>
        <v/>
      </c>
      <c r="X342">
        <f>HYPERLINK("https://klasma.github.io/Logging_2305/tillsyn/A 12185-2024 tillsynsbegäran.docx", "A 12185-2024")</f>
        <v/>
      </c>
      <c r="Y342">
        <f>HYPERLINK("https://klasma.github.io/Logging_2305/tillsynsmail/A 12185-2024 tillsynsbegäran mail.docx", "A 12185-2024")</f>
        <v/>
      </c>
    </row>
    <row r="343" ht="15" customHeight="1">
      <c r="A343" t="inlineStr">
        <is>
          <t>A 14374-2024</t>
        </is>
      </c>
      <c r="B343" s="1" t="n">
        <v>45393</v>
      </c>
      <c r="C343" s="1" t="n">
        <v>45754</v>
      </c>
      <c r="D343" t="inlineStr">
        <is>
          <t>JÄMTLANDS LÄN</t>
        </is>
      </c>
      <c r="E343" t="inlineStr">
        <is>
          <t>BRÄCKE</t>
        </is>
      </c>
      <c r="F343" t="inlineStr">
        <is>
          <t>SCA</t>
        </is>
      </c>
      <c r="G343" t="n">
        <v>0.8</v>
      </c>
      <c r="H343" t="n">
        <v>1</v>
      </c>
      <c r="I343" t="n">
        <v>0</v>
      </c>
      <c r="J343" t="n">
        <v>1</v>
      </c>
      <c r="K343" t="n">
        <v>0</v>
      </c>
      <c r="L343" t="n">
        <v>0</v>
      </c>
      <c r="M343" t="n">
        <v>0</v>
      </c>
      <c r="N343" t="n">
        <v>0</v>
      </c>
      <c r="O343" t="n">
        <v>1</v>
      </c>
      <c r="P343" t="n">
        <v>0</v>
      </c>
      <c r="Q343" t="n">
        <v>1</v>
      </c>
      <c r="R343" s="2" t="inlineStr">
        <is>
          <t>Kungsörn</t>
        </is>
      </c>
      <c r="S343">
        <f>HYPERLINK("https://klasma.github.io/Logging_2305/artfynd/A 14374-2024 artfynd.xlsx", "A 14374-2024")</f>
        <v/>
      </c>
      <c r="T343">
        <f>HYPERLINK("https://klasma.github.io/Logging_2305/kartor/A 14374-2024 karta.png", "A 14374-2024")</f>
        <v/>
      </c>
      <c r="V343">
        <f>HYPERLINK("https://klasma.github.io/Logging_2305/klagomål/A 14374-2024 FSC-klagomål.docx", "A 14374-2024")</f>
        <v/>
      </c>
      <c r="W343">
        <f>HYPERLINK("https://klasma.github.io/Logging_2305/klagomålsmail/A 14374-2024 FSC-klagomål mail.docx", "A 14374-2024")</f>
        <v/>
      </c>
      <c r="X343">
        <f>HYPERLINK("https://klasma.github.io/Logging_2305/tillsyn/A 14374-2024 tillsynsbegäran.docx", "A 14374-2024")</f>
        <v/>
      </c>
      <c r="Y343">
        <f>HYPERLINK("https://klasma.github.io/Logging_2305/tillsynsmail/A 14374-2024 tillsynsbegäran mail.docx", "A 14374-2024")</f>
        <v/>
      </c>
      <c r="Z343">
        <f>HYPERLINK("https://klasma.github.io/Logging_2305/fåglar/A 14374-2024 prioriterade fågelarter.docx", "A 14374-2024")</f>
        <v/>
      </c>
    </row>
    <row r="344" ht="15" customHeight="1">
      <c r="A344" t="inlineStr">
        <is>
          <t>A 14980-2024</t>
        </is>
      </c>
      <c r="B344" s="1" t="n">
        <v>45399</v>
      </c>
      <c r="C344" s="1" t="n">
        <v>45754</v>
      </c>
      <c r="D344" t="inlineStr">
        <is>
          <t>JÄMTLANDS LÄN</t>
        </is>
      </c>
      <c r="E344" t="inlineStr">
        <is>
          <t>BRÄCKE</t>
        </is>
      </c>
      <c r="F344" t="inlineStr">
        <is>
          <t>SCA</t>
        </is>
      </c>
      <c r="G344" t="n">
        <v>2</v>
      </c>
      <c r="H344" t="n">
        <v>1</v>
      </c>
      <c r="I344" t="n">
        <v>0</v>
      </c>
      <c r="J344" t="n">
        <v>0</v>
      </c>
      <c r="K344" t="n">
        <v>1</v>
      </c>
      <c r="L344" t="n">
        <v>0</v>
      </c>
      <c r="M344" t="n">
        <v>0</v>
      </c>
      <c r="N344" t="n">
        <v>0</v>
      </c>
      <c r="O344" t="n">
        <v>1</v>
      </c>
      <c r="P344" t="n">
        <v>1</v>
      </c>
      <c r="Q344" t="n">
        <v>1</v>
      </c>
      <c r="R344" s="2" t="inlineStr">
        <is>
          <t>Doftticka</t>
        </is>
      </c>
      <c r="S344">
        <f>HYPERLINK("https://klasma.github.io/Logging_2305/artfynd/A 14980-2024 artfynd.xlsx", "A 14980-2024")</f>
        <v/>
      </c>
      <c r="T344">
        <f>HYPERLINK("https://klasma.github.io/Logging_2305/kartor/A 14980-2024 karta.png", "A 14980-2024")</f>
        <v/>
      </c>
      <c r="V344">
        <f>HYPERLINK("https://klasma.github.io/Logging_2305/klagomål/A 14980-2024 FSC-klagomål.docx", "A 14980-2024")</f>
        <v/>
      </c>
      <c r="W344">
        <f>HYPERLINK("https://klasma.github.io/Logging_2305/klagomålsmail/A 14980-2024 FSC-klagomål mail.docx", "A 14980-2024")</f>
        <v/>
      </c>
      <c r="X344">
        <f>HYPERLINK("https://klasma.github.io/Logging_2305/tillsyn/A 14980-2024 tillsynsbegäran.docx", "A 14980-2024")</f>
        <v/>
      </c>
      <c r="Y344">
        <f>HYPERLINK("https://klasma.github.io/Logging_2305/tillsynsmail/A 14980-2024 tillsynsbegäran mail.docx", "A 14980-2024")</f>
        <v/>
      </c>
    </row>
    <row r="345" ht="15" customHeight="1">
      <c r="A345" t="inlineStr">
        <is>
          <t>A 16714-2024</t>
        </is>
      </c>
      <c r="B345" s="1" t="n">
        <v>45409</v>
      </c>
      <c r="C345" s="1" t="n">
        <v>45754</v>
      </c>
      <c r="D345" t="inlineStr">
        <is>
          <t>JÄMTLANDS LÄN</t>
        </is>
      </c>
      <c r="E345" t="inlineStr">
        <is>
          <t>BRÄCKE</t>
        </is>
      </c>
      <c r="F345" t="inlineStr">
        <is>
          <t>SCA</t>
        </is>
      </c>
      <c r="G345" t="n">
        <v>19.9</v>
      </c>
      <c r="H345" t="n">
        <v>0</v>
      </c>
      <c r="I345" t="n">
        <v>0</v>
      </c>
      <c r="J345" t="n">
        <v>1</v>
      </c>
      <c r="K345" t="n">
        <v>0</v>
      </c>
      <c r="L345" t="n">
        <v>0</v>
      </c>
      <c r="M345" t="n">
        <v>0</v>
      </c>
      <c r="N345" t="n">
        <v>0</v>
      </c>
      <c r="O345" t="n">
        <v>1</v>
      </c>
      <c r="P345" t="n">
        <v>0</v>
      </c>
      <c r="Q345" t="n">
        <v>1</v>
      </c>
      <c r="R345" s="2" t="inlineStr">
        <is>
          <t>Kolflarnlav</t>
        </is>
      </c>
      <c r="S345">
        <f>HYPERLINK("https://klasma.github.io/Logging_2305/artfynd/A 16714-2024 artfynd.xlsx", "A 16714-2024")</f>
        <v/>
      </c>
      <c r="T345">
        <f>HYPERLINK("https://klasma.github.io/Logging_2305/kartor/A 16714-2024 karta.png", "A 16714-2024")</f>
        <v/>
      </c>
      <c r="V345">
        <f>HYPERLINK("https://klasma.github.io/Logging_2305/klagomål/A 16714-2024 FSC-klagomål.docx", "A 16714-2024")</f>
        <v/>
      </c>
      <c r="W345">
        <f>HYPERLINK("https://klasma.github.io/Logging_2305/klagomålsmail/A 16714-2024 FSC-klagomål mail.docx", "A 16714-2024")</f>
        <v/>
      </c>
      <c r="X345">
        <f>HYPERLINK("https://klasma.github.io/Logging_2305/tillsyn/A 16714-2024 tillsynsbegäran.docx", "A 16714-2024")</f>
        <v/>
      </c>
      <c r="Y345">
        <f>HYPERLINK("https://klasma.github.io/Logging_2305/tillsynsmail/A 16714-2024 tillsynsbegäran mail.docx", "A 16714-2024")</f>
        <v/>
      </c>
    </row>
    <row r="346" ht="15" customHeight="1">
      <c r="A346" t="inlineStr">
        <is>
          <t>A 16715-2024</t>
        </is>
      </c>
      <c r="B346" s="1" t="n">
        <v>45409</v>
      </c>
      <c r="C346" s="1" t="n">
        <v>45754</v>
      </c>
      <c r="D346" t="inlineStr">
        <is>
          <t>JÄMTLANDS LÄN</t>
        </is>
      </c>
      <c r="E346" t="inlineStr">
        <is>
          <t>BRÄCKE</t>
        </is>
      </c>
      <c r="G346" t="n">
        <v>8</v>
      </c>
      <c r="H346" t="n">
        <v>0</v>
      </c>
      <c r="I346" t="n">
        <v>0</v>
      </c>
      <c r="J346" t="n">
        <v>1</v>
      </c>
      <c r="K346" t="n">
        <v>0</v>
      </c>
      <c r="L346" t="n">
        <v>0</v>
      </c>
      <c r="M346" t="n">
        <v>0</v>
      </c>
      <c r="N346" t="n">
        <v>0</v>
      </c>
      <c r="O346" t="n">
        <v>1</v>
      </c>
      <c r="P346" t="n">
        <v>0</v>
      </c>
      <c r="Q346" t="n">
        <v>1</v>
      </c>
      <c r="R346" s="2" t="inlineStr">
        <is>
          <t>Dvärgbägarlav</t>
        </is>
      </c>
      <c r="S346">
        <f>HYPERLINK("https://klasma.github.io/Logging_2305/artfynd/A 16715-2024 artfynd.xlsx", "A 16715-2024")</f>
        <v/>
      </c>
      <c r="T346">
        <f>HYPERLINK("https://klasma.github.io/Logging_2305/kartor/A 16715-2024 karta.png", "A 16715-2024")</f>
        <v/>
      </c>
      <c r="V346">
        <f>HYPERLINK("https://klasma.github.io/Logging_2305/klagomål/A 16715-2024 FSC-klagomål.docx", "A 16715-2024")</f>
        <v/>
      </c>
      <c r="W346">
        <f>HYPERLINK("https://klasma.github.io/Logging_2305/klagomålsmail/A 16715-2024 FSC-klagomål mail.docx", "A 16715-2024")</f>
        <v/>
      </c>
      <c r="X346">
        <f>HYPERLINK("https://klasma.github.io/Logging_2305/tillsyn/A 16715-2024 tillsynsbegäran.docx", "A 16715-2024")</f>
        <v/>
      </c>
      <c r="Y346">
        <f>HYPERLINK("https://klasma.github.io/Logging_2305/tillsynsmail/A 16715-2024 tillsynsbegäran mail.docx", "A 16715-2024")</f>
        <v/>
      </c>
    </row>
    <row r="347" ht="15" customHeight="1">
      <c r="A347" t="inlineStr">
        <is>
          <t>A 17588-2024</t>
        </is>
      </c>
      <c r="B347" s="1" t="n">
        <v>45416</v>
      </c>
      <c r="C347" s="1" t="n">
        <v>45754</v>
      </c>
      <c r="D347" t="inlineStr">
        <is>
          <t>JÄMTLANDS LÄN</t>
        </is>
      </c>
      <c r="E347" t="inlineStr">
        <is>
          <t>BRÄCKE</t>
        </is>
      </c>
      <c r="F347" t="inlineStr">
        <is>
          <t>SCA</t>
        </is>
      </c>
      <c r="G347" t="n">
        <v>1.8</v>
      </c>
      <c r="H347" t="n">
        <v>0</v>
      </c>
      <c r="I347" t="n">
        <v>0</v>
      </c>
      <c r="J347" t="n">
        <v>1</v>
      </c>
      <c r="K347" t="n">
        <v>0</v>
      </c>
      <c r="L347" t="n">
        <v>0</v>
      </c>
      <c r="M347" t="n">
        <v>0</v>
      </c>
      <c r="N347" t="n">
        <v>0</v>
      </c>
      <c r="O347" t="n">
        <v>1</v>
      </c>
      <c r="P347" t="n">
        <v>0</v>
      </c>
      <c r="Q347" t="n">
        <v>1</v>
      </c>
      <c r="R347" s="2" t="inlineStr">
        <is>
          <t>Rosenticka</t>
        </is>
      </c>
      <c r="S347">
        <f>HYPERLINK("https://klasma.github.io/Logging_2305/artfynd/A 17588-2024 artfynd.xlsx", "A 17588-2024")</f>
        <v/>
      </c>
      <c r="T347">
        <f>HYPERLINK("https://klasma.github.io/Logging_2305/kartor/A 17588-2024 karta.png", "A 17588-2024")</f>
        <v/>
      </c>
      <c r="V347">
        <f>HYPERLINK("https://klasma.github.io/Logging_2305/klagomål/A 17588-2024 FSC-klagomål.docx", "A 17588-2024")</f>
        <v/>
      </c>
      <c r="W347">
        <f>HYPERLINK("https://klasma.github.io/Logging_2305/klagomålsmail/A 17588-2024 FSC-klagomål mail.docx", "A 17588-2024")</f>
        <v/>
      </c>
      <c r="X347">
        <f>HYPERLINK("https://klasma.github.io/Logging_2305/tillsyn/A 17588-2024 tillsynsbegäran.docx", "A 17588-2024")</f>
        <v/>
      </c>
      <c r="Y347">
        <f>HYPERLINK("https://klasma.github.io/Logging_2305/tillsynsmail/A 17588-2024 tillsynsbegäran mail.docx", "A 17588-2024")</f>
        <v/>
      </c>
    </row>
    <row r="348" ht="15" customHeight="1">
      <c r="A348" t="inlineStr">
        <is>
          <t>A 20768-2024</t>
        </is>
      </c>
      <c r="B348" s="1" t="n">
        <v>45437</v>
      </c>
      <c r="C348" s="1" t="n">
        <v>45754</v>
      </c>
      <c r="D348" t="inlineStr">
        <is>
          <t>JÄMTLANDS LÄN</t>
        </is>
      </c>
      <c r="E348" t="inlineStr">
        <is>
          <t>BRÄCKE</t>
        </is>
      </c>
      <c r="F348" t="inlineStr">
        <is>
          <t>SCA</t>
        </is>
      </c>
      <c r="G348" t="n">
        <v>12.6</v>
      </c>
      <c r="H348" t="n">
        <v>1</v>
      </c>
      <c r="I348" t="n">
        <v>0</v>
      </c>
      <c r="J348" t="n">
        <v>0</v>
      </c>
      <c r="K348" t="n">
        <v>1</v>
      </c>
      <c r="L348" t="n">
        <v>0</v>
      </c>
      <c r="M348" t="n">
        <v>0</v>
      </c>
      <c r="N348" t="n">
        <v>0</v>
      </c>
      <c r="O348" t="n">
        <v>1</v>
      </c>
      <c r="P348" t="n">
        <v>1</v>
      </c>
      <c r="Q348" t="n">
        <v>1</v>
      </c>
      <c r="R348" s="2" t="inlineStr">
        <is>
          <t>Doftticka</t>
        </is>
      </c>
      <c r="S348">
        <f>HYPERLINK("https://klasma.github.io/Logging_2305/artfynd/A 20768-2024 artfynd.xlsx", "A 20768-2024")</f>
        <v/>
      </c>
      <c r="T348">
        <f>HYPERLINK("https://klasma.github.io/Logging_2305/kartor/A 20768-2024 karta.png", "A 20768-2024")</f>
        <v/>
      </c>
      <c r="V348">
        <f>HYPERLINK("https://klasma.github.io/Logging_2305/klagomål/A 20768-2024 FSC-klagomål.docx", "A 20768-2024")</f>
        <v/>
      </c>
      <c r="W348">
        <f>HYPERLINK("https://klasma.github.io/Logging_2305/klagomålsmail/A 20768-2024 FSC-klagomål mail.docx", "A 20768-2024")</f>
        <v/>
      </c>
      <c r="X348">
        <f>HYPERLINK("https://klasma.github.io/Logging_2305/tillsyn/A 20768-2024 tillsynsbegäran.docx", "A 20768-2024")</f>
        <v/>
      </c>
      <c r="Y348">
        <f>HYPERLINK("https://klasma.github.io/Logging_2305/tillsynsmail/A 20768-2024 tillsynsbegäran mail.docx", "A 20768-2024")</f>
        <v/>
      </c>
    </row>
    <row r="349" ht="15" customHeight="1">
      <c r="A349" t="inlineStr">
        <is>
          <t>A 21366-2024</t>
        </is>
      </c>
      <c r="B349" s="1" t="n">
        <v>45441</v>
      </c>
      <c r="C349" s="1" t="n">
        <v>45754</v>
      </c>
      <c r="D349" t="inlineStr">
        <is>
          <t>JÄMTLANDS LÄN</t>
        </is>
      </c>
      <c r="E349" t="inlineStr">
        <is>
          <t>BRÄCKE</t>
        </is>
      </c>
      <c r="F349" t="inlineStr">
        <is>
          <t>SCA</t>
        </is>
      </c>
      <c r="G349" t="n">
        <v>4.8</v>
      </c>
      <c r="H349" t="n">
        <v>0</v>
      </c>
      <c r="I349" t="n">
        <v>1</v>
      </c>
      <c r="J349" t="n">
        <v>0</v>
      </c>
      <c r="K349" t="n">
        <v>0</v>
      </c>
      <c r="L349" t="n">
        <v>0</v>
      </c>
      <c r="M349" t="n">
        <v>0</v>
      </c>
      <c r="N349" t="n">
        <v>0</v>
      </c>
      <c r="O349" t="n">
        <v>0</v>
      </c>
      <c r="P349" t="n">
        <v>0</v>
      </c>
      <c r="Q349" t="n">
        <v>1</v>
      </c>
      <c r="R349" s="2" t="inlineStr">
        <is>
          <t>Skinnlav</t>
        </is>
      </c>
      <c r="S349">
        <f>HYPERLINK("https://klasma.github.io/Logging_2305/artfynd/A 21366-2024 artfynd.xlsx", "A 21366-2024")</f>
        <v/>
      </c>
      <c r="T349">
        <f>HYPERLINK("https://klasma.github.io/Logging_2305/kartor/A 21366-2024 karta.png", "A 21366-2024")</f>
        <v/>
      </c>
      <c r="V349">
        <f>HYPERLINK("https://klasma.github.io/Logging_2305/klagomål/A 21366-2024 FSC-klagomål.docx", "A 21366-2024")</f>
        <v/>
      </c>
      <c r="W349">
        <f>HYPERLINK("https://klasma.github.io/Logging_2305/klagomålsmail/A 21366-2024 FSC-klagomål mail.docx", "A 21366-2024")</f>
        <v/>
      </c>
      <c r="X349">
        <f>HYPERLINK("https://klasma.github.io/Logging_2305/tillsyn/A 21366-2024 tillsynsbegäran.docx", "A 21366-2024")</f>
        <v/>
      </c>
      <c r="Y349">
        <f>HYPERLINK("https://klasma.github.io/Logging_2305/tillsynsmail/A 21366-2024 tillsynsbegäran mail.docx", "A 21366-2024")</f>
        <v/>
      </c>
    </row>
    <row r="350" ht="15" customHeight="1">
      <c r="A350" t="inlineStr">
        <is>
          <t>A 21376-2024</t>
        </is>
      </c>
      <c r="B350" s="1" t="n">
        <v>45441</v>
      </c>
      <c r="C350" s="1" t="n">
        <v>45754</v>
      </c>
      <c r="D350" t="inlineStr">
        <is>
          <t>JÄMTLANDS LÄN</t>
        </is>
      </c>
      <c r="E350" t="inlineStr">
        <is>
          <t>BRÄCKE</t>
        </is>
      </c>
      <c r="F350" t="inlineStr">
        <is>
          <t>SCA</t>
        </is>
      </c>
      <c r="G350" t="n">
        <v>17</v>
      </c>
      <c r="H350" t="n">
        <v>0</v>
      </c>
      <c r="I350" t="n">
        <v>1</v>
      </c>
      <c r="J350" t="n">
        <v>0</v>
      </c>
      <c r="K350" t="n">
        <v>0</v>
      </c>
      <c r="L350" t="n">
        <v>0</v>
      </c>
      <c r="M350" t="n">
        <v>0</v>
      </c>
      <c r="N350" t="n">
        <v>0</v>
      </c>
      <c r="O350" t="n">
        <v>0</v>
      </c>
      <c r="P350" t="n">
        <v>0</v>
      </c>
      <c r="Q350" t="n">
        <v>1</v>
      </c>
      <c r="R350" s="2" t="inlineStr">
        <is>
          <t>Dropptaggsvamp</t>
        </is>
      </c>
      <c r="S350">
        <f>HYPERLINK("https://klasma.github.io/Logging_2305/artfynd/A 21376-2024 artfynd.xlsx", "A 21376-2024")</f>
        <v/>
      </c>
      <c r="T350">
        <f>HYPERLINK("https://klasma.github.io/Logging_2305/kartor/A 21376-2024 karta.png", "A 21376-2024")</f>
        <v/>
      </c>
      <c r="V350">
        <f>HYPERLINK("https://klasma.github.io/Logging_2305/klagomål/A 21376-2024 FSC-klagomål.docx", "A 21376-2024")</f>
        <v/>
      </c>
      <c r="W350">
        <f>HYPERLINK("https://klasma.github.io/Logging_2305/klagomålsmail/A 21376-2024 FSC-klagomål mail.docx", "A 21376-2024")</f>
        <v/>
      </c>
      <c r="X350">
        <f>HYPERLINK("https://klasma.github.io/Logging_2305/tillsyn/A 21376-2024 tillsynsbegäran.docx", "A 21376-2024")</f>
        <v/>
      </c>
      <c r="Y350">
        <f>HYPERLINK("https://klasma.github.io/Logging_2305/tillsynsmail/A 21376-2024 tillsynsbegäran mail.docx", "A 21376-2024")</f>
        <v/>
      </c>
    </row>
    <row r="351" ht="15" customHeight="1">
      <c r="A351" t="inlineStr">
        <is>
          <t>A 22101-2024</t>
        </is>
      </c>
      <c r="B351" s="1" t="n">
        <v>45444</v>
      </c>
      <c r="C351" s="1" t="n">
        <v>45754</v>
      </c>
      <c r="D351" t="inlineStr">
        <is>
          <t>JÄMTLANDS LÄN</t>
        </is>
      </c>
      <c r="E351" t="inlineStr">
        <is>
          <t>BRÄCKE</t>
        </is>
      </c>
      <c r="F351" t="inlineStr">
        <is>
          <t>SCA</t>
        </is>
      </c>
      <c r="G351" t="n">
        <v>3.5</v>
      </c>
      <c r="H351" t="n">
        <v>0</v>
      </c>
      <c r="I351" t="n">
        <v>0</v>
      </c>
      <c r="J351" t="n">
        <v>1</v>
      </c>
      <c r="K351" t="n">
        <v>0</v>
      </c>
      <c r="L351" t="n">
        <v>0</v>
      </c>
      <c r="M351" t="n">
        <v>0</v>
      </c>
      <c r="N351" t="n">
        <v>0</v>
      </c>
      <c r="O351" t="n">
        <v>1</v>
      </c>
      <c r="P351" t="n">
        <v>0</v>
      </c>
      <c r="Q351" t="n">
        <v>1</v>
      </c>
      <c r="R351" s="2" t="inlineStr">
        <is>
          <t>Garnlav</t>
        </is>
      </c>
      <c r="S351">
        <f>HYPERLINK("https://klasma.github.io/Logging_2305/artfynd/A 22101-2024 artfynd.xlsx", "A 22101-2024")</f>
        <v/>
      </c>
      <c r="T351">
        <f>HYPERLINK("https://klasma.github.io/Logging_2305/kartor/A 22101-2024 karta.png", "A 22101-2024")</f>
        <v/>
      </c>
      <c r="V351">
        <f>HYPERLINK("https://klasma.github.io/Logging_2305/klagomål/A 22101-2024 FSC-klagomål.docx", "A 22101-2024")</f>
        <v/>
      </c>
      <c r="W351">
        <f>HYPERLINK("https://klasma.github.io/Logging_2305/klagomålsmail/A 22101-2024 FSC-klagomål mail.docx", "A 22101-2024")</f>
        <v/>
      </c>
      <c r="X351">
        <f>HYPERLINK("https://klasma.github.io/Logging_2305/tillsyn/A 22101-2024 tillsynsbegäran.docx", "A 22101-2024")</f>
        <v/>
      </c>
      <c r="Y351">
        <f>HYPERLINK("https://klasma.github.io/Logging_2305/tillsynsmail/A 22101-2024 tillsynsbegäran mail.docx", "A 22101-2024")</f>
        <v/>
      </c>
    </row>
    <row r="352" ht="15" customHeight="1">
      <c r="A352" t="inlineStr">
        <is>
          <t>A 27843-2024</t>
        </is>
      </c>
      <c r="B352" s="1" t="n">
        <v>45475</v>
      </c>
      <c r="C352" s="1" t="n">
        <v>45754</v>
      </c>
      <c r="D352" t="inlineStr">
        <is>
          <t>JÄMTLANDS LÄN</t>
        </is>
      </c>
      <c r="E352" t="inlineStr">
        <is>
          <t>BRÄCKE</t>
        </is>
      </c>
      <c r="F352" t="inlineStr">
        <is>
          <t>Sveaskog</t>
        </is>
      </c>
      <c r="G352" t="n">
        <v>2.1</v>
      </c>
      <c r="H352" t="n">
        <v>0</v>
      </c>
      <c r="I352" t="n">
        <v>0</v>
      </c>
      <c r="J352" t="n">
        <v>1</v>
      </c>
      <c r="K352" t="n">
        <v>0</v>
      </c>
      <c r="L352" t="n">
        <v>0</v>
      </c>
      <c r="M352" t="n">
        <v>0</v>
      </c>
      <c r="N352" t="n">
        <v>0</v>
      </c>
      <c r="O352" t="n">
        <v>1</v>
      </c>
      <c r="P352" t="n">
        <v>0</v>
      </c>
      <c r="Q352" t="n">
        <v>1</v>
      </c>
      <c r="R352" s="2" t="inlineStr">
        <is>
          <t>Lunglav</t>
        </is>
      </c>
      <c r="S352">
        <f>HYPERLINK("https://klasma.github.io/Logging_2305/artfynd/A 27843-2024 artfynd.xlsx", "A 27843-2024")</f>
        <v/>
      </c>
      <c r="T352">
        <f>HYPERLINK("https://klasma.github.io/Logging_2305/kartor/A 27843-2024 karta.png", "A 27843-2024")</f>
        <v/>
      </c>
      <c r="V352">
        <f>HYPERLINK("https://klasma.github.io/Logging_2305/klagomål/A 27843-2024 FSC-klagomål.docx", "A 27843-2024")</f>
        <v/>
      </c>
      <c r="W352">
        <f>HYPERLINK("https://klasma.github.io/Logging_2305/klagomålsmail/A 27843-2024 FSC-klagomål mail.docx", "A 27843-2024")</f>
        <v/>
      </c>
      <c r="X352">
        <f>HYPERLINK("https://klasma.github.io/Logging_2305/tillsyn/A 27843-2024 tillsynsbegäran.docx", "A 27843-2024")</f>
        <v/>
      </c>
      <c r="Y352">
        <f>HYPERLINK("https://klasma.github.io/Logging_2305/tillsynsmail/A 27843-2024 tillsynsbegäran mail.docx", "A 27843-2024")</f>
        <v/>
      </c>
    </row>
    <row r="353" ht="15" customHeight="1">
      <c r="A353" t="inlineStr">
        <is>
          <t>A 29215-2024</t>
        </is>
      </c>
      <c r="B353" s="1" t="n">
        <v>45482</v>
      </c>
      <c r="C353" s="1" t="n">
        <v>45754</v>
      </c>
      <c r="D353" t="inlineStr">
        <is>
          <t>JÄMTLANDS LÄN</t>
        </is>
      </c>
      <c r="E353" t="inlineStr">
        <is>
          <t>BRÄCKE</t>
        </is>
      </c>
      <c r="F353" t="inlineStr">
        <is>
          <t>Övriga Aktiebolag</t>
        </is>
      </c>
      <c r="G353" t="n">
        <v>7.3</v>
      </c>
      <c r="H353" t="n">
        <v>1</v>
      </c>
      <c r="I353" t="n">
        <v>0</v>
      </c>
      <c r="J353" t="n">
        <v>0</v>
      </c>
      <c r="K353" t="n">
        <v>0</v>
      </c>
      <c r="L353" t="n">
        <v>0</v>
      </c>
      <c r="M353" t="n">
        <v>0</v>
      </c>
      <c r="N353" t="n">
        <v>0</v>
      </c>
      <c r="O353" t="n">
        <v>0</v>
      </c>
      <c r="P353" t="n">
        <v>0</v>
      </c>
      <c r="Q353" t="n">
        <v>1</v>
      </c>
      <c r="R353" s="2" t="inlineStr">
        <is>
          <t>Sparvuggla</t>
        </is>
      </c>
      <c r="S353">
        <f>HYPERLINK("https://klasma.github.io/Logging_2305/artfynd/A 29215-2024 artfynd.xlsx", "A 29215-2024")</f>
        <v/>
      </c>
      <c r="T353">
        <f>HYPERLINK("https://klasma.github.io/Logging_2305/kartor/A 29215-2024 karta.png", "A 29215-2024")</f>
        <v/>
      </c>
      <c r="V353">
        <f>HYPERLINK("https://klasma.github.io/Logging_2305/klagomål/A 29215-2024 FSC-klagomål.docx", "A 29215-2024")</f>
        <v/>
      </c>
      <c r="W353">
        <f>HYPERLINK("https://klasma.github.io/Logging_2305/klagomålsmail/A 29215-2024 FSC-klagomål mail.docx", "A 29215-2024")</f>
        <v/>
      </c>
      <c r="X353">
        <f>HYPERLINK("https://klasma.github.io/Logging_2305/tillsyn/A 29215-2024 tillsynsbegäran.docx", "A 29215-2024")</f>
        <v/>
      </c>
      <c r="Y353">
        <f>HYPERLINK("https://klasma.github.io/Logging_2305/tillsynsmail/A 29215-2024 tillsynsbegäran mail.docx", "A 29215-2024")</f>
        <v/>
      </c>
      <c r="Z353">
        <f>HYPERLINK("https://klasma.github.io/Logging_2305/fåglar/A 29215-2024 prioriterade fågelarter.docx", "A 29215-2024")</f>
        <v/>
      </c>
    </row>
    <row r="354" ht="15" customHeight="1">
      <c r="A354" t="inlineStr">
        <is>
          <t>A 29546-2024</t>
        </is>
      </c>
      <c r="B354" s="1" t="n">
        <v>45484</v>
      </c>
      <c r="C354" s="1" t="n">
        <v>45754</v>
      </c>
      <c r="D354" t="inlineStr">
        <is>
          <t>JÄMTLANDS LÄN</t>
        </is>
      </c>
      <c r="E354" t="inlineStr">
        <is>
          <t>BRÄCKE</t>
        </is>
      </c>
      <c r="F354" t="inlineStr">
        <is>
          <t>Övriga Aktiebolag</t>
        </is>
      </c>
      <c r="G354" t="n">
        <v>3.1</v>
      </c>
      <c r="H354" t="n">
        <v>1</v>
      </c>
      <c r="I354" t="n">
        <v>0</v>
      </c>
      <c r="J354" t="n">
        <v>1</v>
      </c>
      <c r="K354" t="n">
        <v>0</v>
      </c>
      <c r="L354" t="n">
        <v>0</v>
      </c>
      <c r="M354" t="n">
        <v>0</v>
      </c>
      <c r="N354" t="n">
        <v>0</v>
      </c>
      <c r="O354" t="n">
        <v>1</v>
      </c>
      <c r="P354" t="n">
        <v>0</v>
      </c>
      <c r="Q354" t="n">
        <v>1</v>
      </c>
      <c r="R354" s="2" t="inlineStr">
        <is>
          <t>Spillkråka</t>
        </is>
      </c>
      <c r="S354">
        <f>HYPERLINK("https://klasma.github.io/Logging_2305/artfynd/A 29546-2024 artfynd.xlsx", "A 29546-2024")</f>
        <v/>
      </c>
      <c r="T354">
        <f>HYPERLINK("https://klasma.github.io/Logging_2305/kartor/A 29546-2024 karta.png", "A 29546-2024")</f>
        <v/>
      </c>
      <c r="V354">
        <f>HYPERLINK("https://klasma.github.io/Logging_2305/klagomål/A 29546-2024 FSC-klagomål.docx", "A 29546-2024")</f>
        <v/>
      </c>
      <c r="W354">
        <f>HYPERLINK("https://klasma.github.io/Logging_2305/klagomålsmail/A 29546-2024 FSC-klagomål mail.docx", "A 29546-2024")</f>
        <v/>
      </c>
      <c r="X354">
        <f>HYPERLINK("https://klasma.github.io/Logging_2305/tillsyn/A 29546-2024 tillsynsbegäran.docx", "A 29546-2024")</f>
        <v/>
      </c>
      <c r="Y354">
        <f>HYPERLINK("https://klasma.github.io/Logging_2305/tillsynsmail/A 29546-2024 tillsynsbegäran mail.docx", "A 29546-2024")</f>
        <v/>
      </c>
      <c r="Z354">
        <f>HYPERLINK("https://klasma.github.io/Logging_2305/fåglar/A 29546-2024 prioriterade fågelarter.docx", "A 29546-2024")</f>
        <v/>
      </c>
    </row>
    <row r="355" ht="15" customHeight="1">
      <c r="A355" t="inlineStr">
        <is>
          <t>A 30336-2024</t>
        </is>
      </c>
      <c r="B355" s="1" t="n">
        <v>45491</v>
      </c>
      <c r="C355" s="1" t="n">
        <v>45754</v>
      </c>
      <c r="D355" t="inlineStr">
        <is>
          <t>JÄMTLANDS LÄN</t>
        </is>
      </c>
      <c r="E355" t="inlineStr">
        <is>
          <t>BRÄCKE</t>
        </is>
      </c>
      <c r="F355" t="inlineStr">
        <is>
          <t>SCA</t>
        </is>
      </c>
      <c r="G355" t="n">
        <v>2.8</v>
      </c>
      <c r="H355" t="n">
        <v>0</v>
      </c>
      <c r="I355" t="n">
        <v>1</v>
      </c>
      <c r="J355" t="n">
        <v>0</v>
      </c>
      <c r="K355" t="n">
        <v>0</v>
      </c>
      <c r="L355" t="n">
        <v>0</v>
      </c>
      <c r="M355" t="n">
        <v>0</v>
      </c>
      <c r="N355" t="n">
        <v>0</v>
      </c>
      <c r="O355" t="n">
        <v>0</v>
      </c>
      <c r="P355" t="n">
        <v>0</v>
      </c>
      <c r="Q355" t="n">
        <v>1</v>
      </c>
      <c r="R355" s="2" t="inlineStr">
        <is>
          <t>Skinnlav</t>
        </is>
      </c>
      <c r="S355">
        <f>HYPERLINK("https://klasma.github.io/Logging_2305/artfynd/A 30336-2024 artfynd.xlsx", "A 30336-2024")</f>
        <v/>
      </c>
      <c r="T355">
        <f>HYPERLINK("https://klasma.github.io/Logging_2305/kartor/A 30336-2024 karta.png", "A 30336-2024")</f>
        <v/>
      </c>
      <c r="V355">
        <f>HYPERLINK("https://klasma.github.io/Logging_2305/klagomål/A 30336-2024 FSC-klagomål.docx", "A 30336-2024")</f>
        <v/>
      </c>
      <c r="W355">
        <f>HYPERLINK("https://klasma.github.io/Logging_2305/klagomålsmail/A 30336-2024 FSC-klagomål mail.docx", "A 30336-2024")</f>
        <v/>
      </c>
      <c r="X355">
        <f>HYPERLINK("https://klasma.github.io/Logging_2305/tillsyn/A 30336-2024 tillsynsbegäran.docx", "A 30336-2024")</f>
        <v/>
      </c>
      <c r="Y355">
        <f>HYPERLINK("https://klasma.github.io/Logging_2305/tillsynsmail/A 30336-2024 tillsynsbegäran mail.docx", "A 30336-2024")</f>
        <v/>
      </c>
    </row>
    <row r="356" ht="15" customHeight="1">
      <c r="A356" t="inlineStr">
        <is>
          <t>A 31479-2024</t>
        </is>
      </c>
      <c r="B356" s="1" t="n">
        <v>45506</v>
      </c>
      <c r="C356" s="1" t="n">
        <v>45754</v>
      </c>
      <c r="D356" t="inlineStr">
        <is>
          <t>JÄMTLANDS LÄN</t>
        </is>
      </c>
      <c r="E356" t="inlineStr">
        <is>
          <t>BRÄCKE</t>
        </is>
      </c>
      <c r="F356" t="inlineStr">
        <is>
          <t>SCA</t>
        </is>
      </c>
      <c r="G356" t="n">
        <v>3</v>
      </c>
      <c r="H356" t="n">
        <v>0</v>
      </c>
      <c r="I356" t="n">
        <v>0</v>
      </c>
      <c r="J356" t="n">
        <v>1</v>
      </c>
      <c r="K356" t="n">
        <v>0</v>
      </c>
      <c r="L356" t="n">
        <v>0</v>
      </c>
      <c r="M356" t="n">
        <v>0</v>
      </c>
      <c r="N356" t="n">
        <v>0</v>
      </c>
      <c r="O356" t="n">
        <v>1</v>
      </c>
      <c r="P356" t="n">
        <v>0</v>
      </c>
      <c r="Q356" t="n">
        <v>1</v>
      </c>
      <c r="R356" s="2" t="inlineStr">
        <is>
          <t>Violettgrå tagellav</t>
        </is>
      </c>
      <c r="S356">
        <f>HYPERLINK("https://klasma.github.io/Logging_2305/artfynd/A 31479-2024 artfynd.xlsx", "A 31479-2024")</f>
        <v/>
      </c>
      <c r="T356">
        <f>HYPERLINK("https://klasma.github.io/Logging_2305/kartor/A 31479-2024 karta.png", "A 31479-2024")</f>
        <v/>
      </c>
      <c r="V356">
        <f>HYPERLINK("https://klasma.github.io/Logging_2305/klagomål/A 31479-2024 FSC-klagomål.docx", "A 31479-2024")</f>
        <v/>
      </c>
      <c r="W356">
        <f>HYPERLINK("https://klasma.github.io/Logging_2305/klagomålsmail/A 31479-2024 FSC-klagomål mail.docx", "A 31479-2024")</f>
        <v/>
      </c>
      <c r="X356">
        <f>HYPERLINK("https://klasma.github.io/Logging_2305/tillsyn/A 31479-2024 tillsynsbegäran.docx", "A 31479-2024")</f>
        <v/>
      </c>
      <c r="Y356">
        <f>HYPERLINK("https://klasma.github.io/Logging_2305/tillsynsmail/A 31479-2024 tillsynsbegäran mail.docx", "A 31479-2024")</f>
        <v/>
      </c>
    </row>
    <row r="357" ht="15" customHeight="1">
      <c r="A357" t="inlineStr">
        <is>
          <t>A 33479-2024</t>
        </is>
      </c>
      <c r="B357" s="1" t="n">
        <v>45519</v>
      </c>
      <c r="C357" s="1" t="n">
        <v>45754</v>
      </c>
      <c r="D357" t="inlineStr">
        <is>
          <t>JÄMTLANDS LÄN</t>
        </is>
      </c>
      <c r="E357" t="inlineStr">
        <is>
          <t>BRÄCKE</t>
        </is>
      </c>
      <c r="F357" t="inlineStr">
        <is>
          <t>SCA</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HYPERLINK("https://klasma.github.io/Logging_2305/artfynd/A 33479-2024 artfynd.xlsx", "A 33479-2024")</f>
        <v/>
      </c>
      <c r="T357">
        <f>HYPERLINK("https://klasma.github.io/Logging_2305/kartor/A 33479-2024 karta.png", "A 33479-2024")</f>
        <v/>
      </c>
      <c r="V357">
        <f>HYPERLINK("https://klasma.github.io/Logging_2305/klagomål/A 33479-2024 FSC-klagomål.docx", "A 33479-2024")</f>
        <v/>
      </c>
      <c r="W357">
        <f>HYPERLINK("https://klasma.github.io/Logging_2305/klagomålsmail/A 33479-2024 FSC-klagomål mail.docx", "A 33479-2024")</f>
        <v/>
      </c>
      <c r="X357">
        <f>HYPERLINK("https://klasma.github.io/Logging_2305/tillsyn/A 33479-2024 tillsynsbegäran.docx", "A 33479-2024")</f>
        <v/>
      </c>
      <c r="Y357">
        <f>HYPERLINK("https://klasma.github.io/Logging_2305/tillsynsmail/A 33479-2024 tillsynsbegäran mail.docx", "A 33479-2024")</f>
        <v/>
      </c>
    </row>
    <row r="358" ht="15" customHeight="1">
      <c r="A358" t="inlineStr">
        <is>
          <t>A 34823-2024</t>
        </is>
      </c>
      <c r="B358" s="1" t="n">
        <v>45526</v>
      </c>
      <c r="C358" s="1" t="n">
        <v>45754</v>
      </c>
      <c r="D358" t="inlineStr">
        <is>
          <t>JÄMTLANDS LÄN</t>
        </is>
      </c>
      <c r="E358" t="inlineStr">
        <is>
          <t>BRÄCKE</t>
        </is>
      </c>
      <c r="F358" t="inlineStr">
        <is>
          <t>SCA</t>
        </is>
      </c>
      <c r="G358" t="n">
        <v>1.2</v>
      </c>
      <c r="H358" t="n">
        <v>0</v>
      </c>
      <c r="I358" t="n">
        <v>0</v>
      </c>
      <c r="J358" t="n">
        <v>1</v>
      </c>
      <c r="K358" t="n">
        <v>0</v>
      </c>
      <c r="L358" t="n">
        <v>0</v>
      </c>
      <c r="M358" t="n">
        <v>0</v>
      </c>
      <c r="N358" t="n">
        <v>0</v>
      </c>
      <c r="O358" t="n">
        <v>1</v>
      </c>
      <c r="P358" t="n">
        <v>0</v>
      </c>
      <c r="Q358" t="n">
        <v>1</v>
      </c>
      <c r="R358" s="2" t="inlineStr">
        <is>
          <t>Lunglav</t>
        </is>
      </c>
      <c r="S358">
        <f>HYPERLINK("https://klasma.github.io/Logging_2305/artfynd/A 34823-2024 artfynd.xlsx", "A 34823-2024")</f>
        <v/>
      </c>
      <c r="T358">
        <f>HYPERLINK("https://klasma.github.io/Logging_2305/kartor/A 34823-2024 karta.png", "A 34823-2024")</f>
        <v/>
      </c>
      <c r="V358">
        <f>HYPERLINK("https://klasma.github.io/Logging_2305/klagomål/A 34823-2024 FSC-klagomål.docx", "A 34823-2024")</f>
        <v/>
      </c>
      <c r="W358">
        <f>HYPERLINK("https://klasma.github.io/Logging_2305/klagomålsmail/A 34823-2024 FSC-klagomål mail.docx", "A 34823-2024")</f>
        <v/>
      </c>
      <c r="X358">
        <f>HYPERLINK("https://klasma.github.io/Logging_2305/tillsyn/A 34823-2024 tillsynsbegäran.docx", "A 34823-2024")</f>
        <v/>
      </c>
      <c r="Y358">
        <f>HYPERLINK("https://klasma.github.io/Logging_2305/tillsynsmail/A 34823-2024 tillsynsbegäran mail.docx", "A 34823-2024")</f>
        <v/>
      </c>
    </row>
    <row r="359" ht="15" customHeight="1">
      <c r="A359" t="inlineStr">
        <is>
          <t>A 36312-2024</t>
        </is>
      </c>
      <c r="B359" s="1" t="n">
        <v>45534</v>
      </c>
      <c r="C359" s="1" t="n">
        <v>45754</v>
      </c>
      <c r="D359" t="inlineStr">
        <is>
          <t>JÄMTLANDS LÄN</t>
        </is>
      </c>
      <c r="E359" t="inlineStr">
        <is>
          <t>BRÄCKE</t>
        </is>
      </c>
      <c r="F359" t="inlineStr">
        <is>
          <t>SCA</t>
        </is>
      </c>
      <c r="G359" t="n">
        <v>9.9</v>
      </c>
      <c r="H359" t="n">
        <v>0</v>
      </c>
      <c r="I359" t="n">
        <v>0</v>
      </c>
      <c r="J359" t="n">
        <v>1</v>
      </c>
      <c r="K359" t="n">
        <v>0</v>
      </c>
      <c r="L359" t="n">
        <v>0</v>
      </c>
      <c r="M359" t="n">
        <v>0</v>
      </c>
      <c r="N359" t="n">
        <v>0</v>
      </c>
      <c r="O359" t="n">
        <v>1</v>
      </c>
      <c r="P359" t="n">
        <v>0</v>
      </c>
      <c r="Q359" t="n">
        <v>1</v>
      </c>
      <c r="R359" s="2" t="inlineStr">
        <is>
          <t>Lunglav</t>
        </is>
      </c>
      <c r="S359">
        <f>HYPERLINK("https://klasma.github.io/Logging_2305/artfynd/A 36312-2024 artfynd.xlsx", "A 36312-2024")</f>
        <v/>
      </c>
      <c r="T359">
        <f>HYPERLINK("https://klasma.github.io/Logging_2305/kartor/A 36312-2024 karta.png", "A 36312-2024")</f>
        <v/>
      </c>
      <c r="V359">
        <f>HYPERLINK("https://klasma.github.io/Logging_2305/klagomål/A 36312-2024 FSC-klagomål.docx", "A 36312-2024")</f>
        <v/>
      </c>
      <c r="W359">
        <f>HYPERLINK("https://klasma.github.io/Logging_2305/klagomålsmail/A 36312-2024 FSC-klagomål mail.docx", "A 36312-2024")</f>
        <v/>
      </c>
      <c r="X359">
        <f>HYPERLINK("https://klasma.github.io/Logging_2305/tillsyn/A 36312-2024 tillsynsbegäran.docx", "A 36312-2024")</f>
        <v/>
      </c>
      <c r="Y359">
        <f>HYPERLINK("https://klasma.github.io/Logging_2305/tillsynsmail/A 36312-2024 tillsynsbegäran mail.docx", "A 36312-2024")</f>
        <v/>
      </c>
    </row>
    <row r="360" ht="15" customHeight="1">
      <c r="A360" t="inlineStr">
        <is>
          <t>A 40401-2024</t>
        </is>
      </c>
      <c r="B360" s="1" t="n">
        <v>45555</v>
      </c>
      <c r="C360" s="1" t="n">
        <v>45754</v>
      </c>
      <c r="D360" t="inlineStr">
        <is>
          <t>JÄMTLANDS LÄN</t>
        </is>
      </c>
      <c r="E360" t="inlineStr">
        <is>
          <t>BRÄCKE</t>
        </is>
      </c>
      <c r="F360" t="inlineStr">
        <is>
          <t>SCA</t>
        </is>
      </c>
      <c r="G360" t="n">
        <v>1.8</v>
      </c>
      <c r="H360" t="n">
        <v>0</v>
      </c>
      <c r="I360" t="n">
        <v>0</v>
      </c>
      <c r="J360" t="n">
        <v>1</v>
      </c>
      <c r="K360" t="n">
        <v>0</v>
      </c>
      <c r="L360" t="n">
        <v>0</v>
      </c>
      <c r="M360" t="n">
        <v>0</v>
      </c>
      <c r="N360" t="n">
        <v>0</v>
      </c>
      <c r="O360" t="n">
        <v>1</v>
      </c>
      <c r="P360" t="n">
        <v>0</v>
      </c>
      <c r="Q360" t="n">
        <v>1</v>
      </c>
      <c r="R360" s="2" t="inlineStr">
        <is>
          <t>Rosenticka</t>
        </is>
      </c>
      <c r="S360">
        <f>HYPERLINK("https://klasma.github.io/Logging_2305/artfynd/A 40401-2024 artfynd.xlsx", "A 40401-2024")</f>
        <v/>
      </c>
      <c r="T360">
        <f>HYPERLINK("https://klasma.github.io/Logging_2305/kartor/A 40401-2024 karta.png", "A 40401-2024")</f>
        <v/>
      </c>
      <c r="V360">
        <f>HYPERLINK("https://klasma.github.io/Logging_2305/klagomål/A 40401-2024 FSC-klagomål.docx", "A 40401-2024")</f>
        <v/>
      </c>
      <c r="W360">
        <f>HYPERLINK("https://klasma.github.io/Logging_2305/klagomålsmail/A 40401-2024 FSC-klagomål mail.docx", "A 40401-2024")</f>
        <v/>
      </c>
      <c r="X360">
        <f>HYPERLINK("https://klasma.github.io/Logging_2305/tillsyn/A 40401-2024 tillsynsbegäran.docx", "A 40401-2024")</f>
        <v/>
      </c>
      <c r="Y360">
        <f>HYPERLINK("https://klasma.github.io/Logging_2305/tillsynsmail/A 40401-2024 tillsynsbegäran mail.docx", "A 40401-2024")</f>
        <v/>
      </c>
    </row>
    <row r="361" ht="15" customHeight="1">
      <c r="A361" t="inlineStr">
        <is>
          <t>A 40869-2024</t>
        </is>
      </c>
      <c r="B361" s="1" t="n">
        <v>45558</v>
      </c>
      <c r="C361" s="1" t="n">
        <v>45754</v>
      </c>
      <c r="D361" t="inlineStr">
        <is>
          <t>JÄMTLANDS LÄN</t>
        </is>
      </c>
      <c r="E361" t="inlineStr">
        <is>
          <t>BRÄCKE</t>
        </is>
      </c>
      <c r="F361" t="inlineStr">
        <is>
          <t>Naturvårdsverket</t>
        </is>
      </c>
      <c r="G361" t="n">
        <v>1.8</v>
      </c>
      <c r="H361" t="n">
        <v>0</v>
      </c>
      <c r="I361" t="n">
        <v>0</v>
      </c>
      <c r="J361" t="n">
        <v>1</v>
      </c>
      <c r="K361" t="n">
        <v>0</v>
      </c>
      <c r="L361" t="n">
        <v>0</v>
      </c>
      <c r="M361" t="n">
        <v>0</v>
      </c>
      <c r="N361" t="n">
        <v>0</v>
      </c>
      <c r="O361" t="n">
        <v>1</v>
      </c>
      <c r="P361" t="n">
        <v>0</v>
      </c>
      <c r="Q361" t="n">
        <v>1</v>
      </c>
      <c r="R361" s="2" t="inlineStr">
        <is>
          <t>Lunglav</t>
        </is>
      </c>
      <c r="S361">
        <f>HYPERLINK("https://klasma.github.io/Logging_2305/artfynd/A 40869-2024 artfynd.xlsx", "A 40869-2024")</f>
        <v/>
      </c>
      <c r="T361">
        <f>HYPERLINK("https://klasma.github.io/Logging_2305/kartor/A 40869-2024 karta.png", "A 40869-2024")</f>
        <v/>
      </c>
      <c r="V361">
        <f>HYPERLINK("https://klasma.github.io/Logging_2305/klagomål/A 40869-2024 FSC-klagomål.docx", "A 40869-2024")</f>
        <v/>
      </c>
      <c r="W361">
        <f>HYPERLINK("https://klasma.github.io/Logging_2305/klagomålsmail/A 40869-2024 FSC-klagomål mail.docx", "A 40869-2024")</f>
        <v/>
      </c>
      <c r="X361">
        <f>HYPERLINK("https://klasma.github.io/Logging_2305/tillsyn/A 40869-2024 tillsynsbegäran.docx", "A 40869-2024")</f>
        <v/>
      </c>
      <c r="Y361">
        <f>HYPERLINK("https://klasma.github.io/Logging_2305/tillsynsmail/A 40869-2024 tillsynsbegäran mail.docx", "A 40869-2024")</f>
        <v/>
      </c>
    </row>
    <row r="362" ht="15" customHeight="1">
      <c r="A362" t="inlineStr">
        <is>
          <t>A 41486-2024</t>
        </is>
      </c>
      <c r="B362" s="1" t="n">
        <v>45560</v>
      </c>
      <c r="C362" s="1" t="n">
        <v>45754</v>
      </c>
      <c r="D362" t="inlineStr">
        <is>
          <t>JÄMTLANDS LÄN</t>
        </is>
      </c>
      <c r="E362" t="inlineStr">
        <is>
          <t>BRÄCKE</t>
        </is>
      </c>
      <c r="F362" t="inlineStr">
        <is>
          <t>SCA</t>
        </is>
      </c>
      <c r="G362" t="n">
        <v>5.3</v>
      </c>
      <c r="H362" t="n">
        <v>0</v>
      </c>
      <c r="I362" t="n">
        <v>0</v>
      </c>
      <c r="J362" t="n">
        <v>1</v>
      </c>
      <c r="K362" t="n">
        <v>0</v>
      </c>
      <c r="L362" t="n">
        <v>0</v>
      </c>
      <c r="M362" t="n">
        <v>0</v>
      </c>
      <c r="N362" t="n">
        <v>0</v>
      </c>
      <c r="O362" t="n">
        <v>1</v>
      </c>
      <c r="P362" t="n">
        <v>0</v>
      </c>
      <c r="Q362" t="n">
        <v>1</v>
      </c>
      <c r="R362" s="2" t="inlineStr">
        <is>
          <t>Lunglav</t>
        </is>
      </c>
      <c r="S362">
        <f>HYPERLINK("https://klasma.github.io/Logging_2305/artfynd/A 41486-2024 artfynd.xlsx", "A 41486-2024")</f>
        <v/>
      </c>
      <c r="T362">
        <f>HYPERLINK("https://klasma.github.io/Logging_2305/kartor/A 41486-2024 karta.png", "A 41486-2024")</f>
        <v/>
      </c>
      <c r="V362">
        <f>HYPERLINK("https://klasma.github.io/Logging_2305/klagomål/A 41486-2024 FSC-klagomål.docx", "A 41486-2024")</f>
        <v/>
      </c>
      <c r="W362">
        <f>HYPERLINK("https://klasma.github.io/Logging_2305/klagomålsmail/A 41486-2024 FSC-klagomål mail.docx", "A 41486-2024")</f>
        <v/>
      </c>
      <c r="X362">
        <f>HYPERLINK("https://klasma.github.io/Logging_2305/tillsyn/A 41486-2024 tillsynsbegäran.docx", "A 41486-2024")</f>
        <v/>
      </c>
      <c r="Y362">
        <f>HYPERLINK("https://klasma.github.io/Logging_2305/tillsynsmail/A 41486-2024 tillsynsbegäran mail.docx", "A 41486-2024")</f>
        <v/>
      </c>
    </row>
    <row r="363" ht="15" customHeight="1">
      <c r="A363" t="inlineStr">
        <is>
          <t>A 41906-2024</t>
        </is>
      </c>
      <c r="B363" s="1" t="n">
        <v>45561</v>
      </c>
      <c r="C363" s="1" t="n">
        <v>45754</v>
      </c>
      <c r="D363" t="inlineStr">
        <is>
          <t>JÄMTLANDS LÄN</t>
        </is>
      </c>
      <c r="E363" t="inlineStr">
        <is>
          <t>BRÄCKE</t>
        </is>
      </c>
      <c r="F363" t="inlineStr">
        <is>
          <t>SCA</t>
        </is>
      </c>
      <c r="G363" t="n">
        <v>7.9</v>
      </c>
      <c r="H363" t="n">
        <v>0</v>
      </c>
      <c r="I363" t="n">
        <v>0</v>
      </c>
      <c r="J363" t="n">
        <v>1</v>
      </c>
      <c r="K363" t="n">
        <v>0</v>
      </c>
      <c r="L363" t="n">
        <v>0</v>
      </c>
      <c r="M363" t="n">
        <v>0</v>
      </c>
      <c r="N363" t="n">
        <v>0</v>
      </c>
      <c r="O363" t="n">
        <v>1</v>
      </c>
      <c r="P363" t="n">
        <v>0</v>
      </c>
      <c r="Q363" t="n">
        <v>1</v>
      </c>
      <c r="R363" s="2" t="inlineStr">
        <is>
          <t>Blågrå svartspik</t>
        </is>
      </c>
      <c r="S363">
        <f>HYPERLINK("https://klasma.github.io/Logging_2305/artfynd/A 41906-2024 artfynd.xlsx", "A 41906-2024")</f>
        <v/>
      </c>
      <c r="T363">
        <f>HYPERLINK("https://klasma.github.io/Logging_2305/kartor/A 41906-2024 karta.png", "A 41906-2024")</f>
        <v/>
      </c>
      <c r="V363">
        <f>HYPERLINK("https://klasma.github.io/Logging_2305/klagomål/A 41906-2024 FSC-klagomål.docx", "A 41906-2024")</f>
        <v/>
      </c>
      <c r="W363">
        <f>HYPERLINK("https://klasma.github.io/Logging_2305/klagomålsmail/A 41906-2024 FSC-klagomål mail.docx", "A 41906-2024")</f>
        <v/>
      </c>
      <c r="X363">
        <f>HYPERLINK("https://klasma.github.io/Logging_2305/tillsyn/A 41906-2024 tillsynsbegäran.docx", "A 41906-2024")</f>
        <v/>
      </c>
      <c r="Y363">
        <f>HYPERLINK("https://klasma.github.io/Logging_2305/tillsynsmail/A 41906-2024 tillsynsbegäran mail.docx", "A 41906-2024")</f>
        <v/>
      </c>
    </row>
    <row r="364" ht="15" customHeight="1">
      <c r="A364" t="inlineStr">
        <is>
          <t>A 42015-2024</t>
        </is>
      </c>
      <c r="B364" s="1" t="n">
        <v>45561</v>
      </c>
      <c r="C364" s="1" t="n">
        <v>45754</v>
      </c>
      <c r="D364" t="inlineStr">
        <is>
          <t>JÄMTLANDS LÄN</t>
        </is>
      </c>
      <c r="E364" t="inlineStr">
        <is>
          <t>BRÄCKE</t>
        </is>
      </c>
      <c r="F364" t="inlineStr">
        <is>
          <t>SCA</t>
        </is>
      </c>
      <c r="G364" t="n">
        <v>1.4</v>
      </c>
      <c r="H364" t="n">
        <v>0</v>
      </c>
      <c r="I364" t="n">
        <v>0</v>
      </c>
      <c r="J364" t="n">
        <v>1</v>
      </c>
      <c r="K364" t="n">
        <v>0</v>
      </c>
      <c r="L364" t="n">
        <v>0</v>
      </c>
      <c r="M364" t="n">
        <v>0</v>
      </c>
      <c r="N364" t="n">
        <v>0</v>
      </c>
      <c r="O364" t="n">
        <v>1</v>
      </c>
      <c r="P364" t="n">
        <v>0</v>
      </c>
      <c r="Q364" t="n">
        <v>1</v>
      </c>
      <c r="R364" s="2" t="inlineStr">
        <is>
          <t>Dvärgbägarlav</t>
        </is>
      </c>
      <c r="S364">
        <f>HYPERLINK("https://klasma.github.io/Logging_2305/artfynd/A 42015-2024 artfynd.xlsx", "A 42015-2024")</f>
        <v/>
      </c>
      <c r="T364">
        <f>HYPERLINK("https://klasma.github.io/Logging_2305/kartor/A 42015-2024 karta.png", "A 42015-2024")</f>
        <v/>
      </c>
      <c r="V364">
        <f>HYPERLINK("https://klasma.github.io/Logging_2305/klagomål/A 42015-2024 FSC-klagomål.docx", "A 42015-2024")</f>
        <v/>
      </c>
      <c r="W364">
        <f>HYPERLINK("https://klasma.github.io/Logging_2305/klagomålsmail/A 42015-2024 FSC-klagomål mail.docx", "A 42015-2024")</f>
        <v/>
      </c>
      <c r="X364">
        <f>HYPERLINK("https://klasma.github.io/Logging_2305/tillsyn/A 42015-2024 tillsynsbegäran.docx", "A 42015-2024")</f>
        <v/>
      </c>
      <c r="Y364">
        <f>HYPERLINK("https://klasma.github.io/Logging_2305/tillsynsmail/A 42015-2024 tillsynsbegäran mail.docx", "A 42015-2024")</f>
        <v/>
      </c>
    </row>
    <row r="365" ht="15" customHeight="1">
      <c r="A365" t="inlineStr">
        <is>
          <t>A 45800-2024</t>
        </is>
      </c>
      <c r="B365" s="1" t="n">
        <v>45579</v>
      </c>
      <c r="C365" s="1" t="n">
        <v>45754</v>
      </c>
      <c r="D365" t="inlineStr">
        <is>
          <t>JÄMTLANDS LÄN</t>
        </is>
      </c>
      <c r="E365" t="inlineStr">
        <is>
          <t>BRÄCKE</t>
        </is>
      </c>
      <c r="F365" t="inlineStr">
        <is>
          <t>SCA</t>
        </is>
      </c>
      <c r="G365" t="n">
        <v>5.3</v>
      </c>
      <c r="H365" t="n">
        <v>0</v>
      </c>
      <c r="I365" t="n">
        <v>0</v>
      </c>
      <c r="J365" t="n">
        <v>1</v>
      </c>
      <c r="K365" t="n">
        <v>0</v>
      </c>
      <c r="L365" t="n">
        <v>0</v>
      </c>
      <c r="M365" t="n">
        <v>0</v>
      </c>
      <c r="N365" t="n">
        <v>0</v>
      </c>
      <c r="O365" t="n">
        <v>1</v>
      </c>
      <c r="P365" t="n">
        <v>0</v>
      </c>
      <c r="Q365" t="n">
        <v>1</v>
      </c>
      <c r="R365" s="2" t="inlineStr">
        <is>
          <t>Garnlav</t>
        </is>
      </c>
      <c r="S365">
        <f>HYPERLINK("https://klasma.github.io/Logging_2305/artfynd/A 45800-2024 artfynd.xlsx", "A 45800-2024")</f>
        <v/>
      </c>
      <c r="T365">
        <f>HYPERLINK("https://klasma.github.io/Logging_2305/kartor/A 45800-2024 karta.png", "A 45800-2024")</f>
        <v/>
      </c>
      <c r="V365">
        <f>HYPERLINK("https://klasma.github.io/Logging_2305/klagomål/A 45800-2024 FSC-klagomål.docx", "A 45800-2024")</f>
        <v/>
      </c>
      <c r="W365">
        <f>HYPERLINK("https://klasma.github.io/Logging_2305/klagomålsmail/A 45800-2024 FSC-klagomål mail.docx", "A 45800-2024")</f>
        <v/>
      </c>
      <c r="X365">
        <f>HYPERLINK("https://klasma.github.io/Logging_2305/tillsyn/A 45800-2024 tillsynsbegäran.docx", "A 45800-2024")</f>
        <v/>
      </c>
      <c r="Y365">
        <f>HYPERLINK("https://klasma.github.io/Logging_2305/tillsynsmail/A 45800-2024 tillsynsbegäran mail.docx", "A 45800-2024")</f>
        <v/>
      </c>
    </row>
    <row r="366" ht="15" customHeight="1">
      <c r="A366" t="inlineStr">
        <is>
          <t>A 47787-2024</t>
        </is>
      </c>
      <c r="B366" s="1" t="n">
        <v>45588</v>
      </c>
      <c r="C366" s="1" t="n">
        <v>45754</v>
      </c>
      <c r="D366" t="inlineStr">
        <is>
          <t>JÄMTLANDS LÄN</t>
        </is>
      </c>
      <c r="E366" t="inlineStr">
        <is>
          <t>BRÄCKE</t>
        </is>
      </c>
      <c r="F366" t="inlineStr">
        <is>
          <t>SCA</t>
        </is>
      </c>
      <c r="G366" t="n">
        <v>25.2</v>
      </c>
      <c r="H366" t="n">
        <v>0</v>
      </c>
      <c r="I366" t="n">
        <v>0</v>
      </c>
      <c r="J366" t="n">
        <v>1</v>
      </c>
      <c r="K366" t="n">
        <v>0</v>
      </c>
      <c r="L366" t="n">
        <v>0</v>
      </c>
      <c r="M366" t="n">
        <v>0</v>
      </c>
      <c r="N366" t="n">
        <v>0</v>
      </c>
      <c r="O366" t="n">
        <v>1</v>
      </c>
      <c r="P366" t="n">
        <v>0</v>
      </c>
      <c r="Q366" t="n">
        <v>1</v>
      </c>
      <c r="R366" s="2" t="inlineStr">
        <is>
          <t>Lunglav</t>
        </is>
      </c>
      <c r="S366">
        <f>HYPERLINK("https://klasma.github.io/Logging_2305/artfynd/A 47787-2024 artfynd.xlsx", "A 47787-2024")</f>
        <v/>
      </c>
      <c r="T366">
        <f>HYPERLINK("https://klasma.github.io/Logging_2305/kartor/A 47787-2024 karta.png", "A 47787-2024")</f>
        <v/>
      </c>
      <c r="U366">
        <f>HYPERLINK("https://klasma.github.io/Logging_2305/knärot/A 47787-2024 karta knärot.png", "A 47787-2024")</f>
        <v/>
      </c>
      <c r="V366">
        <f>HYPERLINK("https://klasma.github.io/Logging_2305/klagomål/A 47787-2024 FSC-klagomål.docx", "A 47787-2024")</f>
        <v/>
      </c>
      <c r="W366">
        <f>HYPERLINK("https://klasma.github.io/Logging_2305/klagomålsmail/A 47787-2024 FSC-klagomål mail.docx", "A 47787-2024")</f>
        <v/>
      </c>
      <c r="X366">
        <f>HYPERLINK("https://klasma.github.io/Logging_2305/tillsyn/A 47787-2024 tillsynsbegäran.docx", "A 47787-2024")</f>
        <v/>
      </c>
      <c r="Y366">
        <f>HYPERLINK("https://klasma.github.io/Logging_2305/tillsynsmail/A 47787-2024 tillsynsbegäran mail.docx", "A 47787-2024")</f>
        <v/>
      </c>
    </row>
    <row r="367" ht="15" customHeight="1">
      <c r="A367" t="inlineStr">
        <is>
          <t>A 51910-2024</t>
        </is>
      </c>
      <c r="B367" s="1" t="n">
        <v>45607</v>
      </c>
      <c r="C367" s="1" t="n">
        <v>45754</v>
      </c>
      <c r="D367" t="inlineStr">
        <is>
          <t>JÄMTLANDS LÄN</t>
        </is>
      </c>
      <c r="E367" t="inlineStr">
        <is>
          <t>BRÄCKE</t>
        </is>
      </c>
      <c r="G367" t="n">
        <v>2.7</v>
      </c>
      <c r="H367" t="n">
        <v>0</v>
      </c>
      <c r="I367" t="n">
        <v>0</v>
      </c>
      <c r="J367" t="n">
        <v>1</v>
      </c>
      <c r="K367" t="n">
        <v>0</v>
      </c>
      <c r="L367" t="n">
        <v>0</v>
      </c>
      <c r="M367" t="n">
        <v>0</v>
      </c>
      <c r="N367" t="n">
        <v>0</v>
      </c>
      <c r="O367" t="n">
        <v>1</v>
      </c>
      <c r="P367" t="n">
        <v>0</v>
      </c>
      <c r="Q367" t="n">
        <v>1</v>
      </c>
      <c r="R367" s="2" t="inlineStr">
        <is>
          <t>Slåtterfibbla</t>
        </is>
      </c>
      <c r="S367">
        <f>HYPERLINK("https://klasma.github.io/Logging_2305/artfynd/A 51910-2024 artfynd.xlsx", "A 51910-2024")</f>
        <v/>
      </c>
      <c r="T367">
        <f>HYPERLINK("https://klasma.github.io/Logging_2305/kartor/A 51910-2024 karta.png", "A 51910-2024")</f>
        <v/>
      </c>
      <c r="V367">
        <f>HYPERLINK("https://klasma.github.io/Logging_2305/klagomål/A 51910-2024 FSC-klagomål.docx", "A 51910-2024")</f>
        <v/>
      </c>
      <c r="W367">
        <f>HYPERLINK("https://klasma.github.io/Logging_2305/klagomålsmail/A 51910-2024 FSC-klagomål mail.docx", "A 51910-2024")</f>
        <v/>
      </c>
      <c r="X367">
        <f>HYPERLINK("https://klasma.github.io/Logging_2305/tillsyn/A 51910-2024 tillsynsbegäran.docx", "A 51910-2024")</f>
        <v/>
      </c>
      <c r="Y367">
        <f>HYPERLINK("https://klasma.github.io/Logging_2305/tillsynsmail/A 51910-2024 tillsynsbegäran mail.docx", "A 51910-2024")</f>
        <v/>
      </c>
    </row>
    <row r="368" ht="15" customHeight="1">
      <c r="A368" t="inlineStr">
        <is>
          <t>A 51834-2024</t>
        </is>
      </c>
      <c r="B368" s="1" t="n">
        <v>45607</v>
      </c>
      <c r="C368" s="1" t="n">
        <v>45754</v>
      </c>
      <c r="D368" t="inlineStr">
        <is>
          <t>JÄMTLANDS LÄN</t>
        </is>
      </c>
      <c r="E368" t="inlineStr">
        <is>
          <t>BRÄCKE</t>
        </is>
      </c>
      <c r="G368" t="n">
        <v>4.9</v>
      </c>
      <c r="H368" t="n">
        <v>1</v>
      </c>
      <c r="I368" t="n">
        <v>0</v>
      </c>
      <c r="J368" t="n">
        <v>0</v>
      </c>
      <c r="K368" t="n">
        <v>1</v>
      </c>
      <c r="L368" t="n">
        <v>0</v>
      </c>
      <c r="M368" t="n">
        <v>0</v>
      </c>
      <c r="N368" t="n">
        <v>0</v>
      </c>
      <c r="O368" t="n">
        <v>1</v>
      </c>
      <c r="P368" t="n">
        <v>1</v>
      </c>
      <c r="Q368" t="n">
        <v>1</v>
      </c>
      <c r="R368" s="2" t="inlineStr">
        <is>
          <t>Knärot</t>
        </is>
      </c>
      <c r="S368">
        <f>HYPERLINK("https://klasma.github.io/Logging_2305/artfynd/A 51834-2024 artfynd.xlsx", "A 51834-2024")</f>
        <v/>
      </c>
      <c r="T368">
        <f>HYPERLINK("https://klasma.github.io/Logging_2305/kartor/A 51834-2024 karta.png", "A 51834-2024")</f>
        <v/>
      </c>
      <c r="U368">
        <f>HYPERLINK("https://klasma.github.io/Logging_2305/knärot/A 51834-2024 karta knärot.png", "A 51834-2024")</f>
        <v/>
      </c>
      <c r="V368">
        <f>HYPERLINK("https://klasma.github.io/Logging_2305/klagomål/A 51834-2024 FSC-klagomål.docx", "A 51834-2024")</f>
        <v/>
      </c>
      <c r="W368">
        <f>HYPERLINK("https://klasma.github.io/Logging_2305/klagomålsmail/A 51834-2024 FSC-klagomål mail.docx", "A 51834-2024")</f>
        <v/>
      </c>
      <c r="X368">
        <f>HYPERLINK("https://klasma.github.io/Logging_2305/tillsyn/A 51834-2024 tillsynsbegäran.docx", "A 51834-2024")</f>
        <v/>
      </c>
      <c r="Y368">
        <f>HYPERLINK("https://klasma.github.io/Logging_2305/tillsynsmail/A 51834-2024 tillsynsbegäran mail.docx", "A 51834-2024")</f>
        <v/>
      </c>
    </row>
    <row r="369" ht="15" customHeight="1">
      <c r="A369" t="inlineStr">
        <is>
          <t>A 53832-2024</t>
        </is>
      </c>
      <c r="B369" s="1" t="n">
        <v>45615</v>
      </c>
      <c r="C369" s="1" t="n">
        <v>45754</v>
      </c>
      <c r="D369" t="inlineStr">
        <is>
          <t>JÄMTLANDS LÄN</t>
        </is>
      </c>
      <c r="E369" t="inlineStr">
        <is>
          <t>BRÄCKE</t>
        </is>
      </c>
      <c r="F369" t="inlineStr">
        <is>
          <t>SCA</t>
        </is>
      </c>
      <c r="G369" t="n">
        <v>4</v>
      </c>
      <c r="H369" t="n">
        <v>0</v>
      </c>
      <c r="I369" t="n">
        <v>1</v>
      </c>
      <c r="J369" t="n">
        <v>0</v>
      </c>
      <c r="K369" t="n">
        <v>0</v>
      </c>
      <c r="L369" t="n">
        <v>0</v>
      </c>
      <c r="M369" t="n">
        <v>0</v>
      </c>
      <c r="N369" t="n">
        <v>0</v>
      </c>
      <c r="O369" t="n">
        <v>0</v>
      </c>
      <c r="P369" t="n">
        <v>0</v>
      </c>
      <c r="Q369" t="n">
        <v>1</v>
      </c>
      <c r="R369" s="2" t="inlineStr">
        <is>
          <t>Dropptaggsvamp</t>
        </is>
      </c>
      <c r="S369">
        <f>HYPERLINK("https://klasma.github.io/Logging_2305/artfynd/A 53832-2024 artfynd.xlsx", "A 53832-2024")</f>
        <v/>
      </c>
      <c r="T369">
        <f>HYPERLINK("https://klasma.github.io/Logging_2305/kartor/A 53832-2024 karta.png", "A 53832-2024")</f>
        <v/>
      </c>
      <c r="V369">
        <f>HYPERLINK("https://klasma.github.io/Logging_2305/klagomål/A 53832-2024 FSC-klagomål.docx", "A 53832-2024")</f>
        <v/>
      </c>
      <c r="W369">
        <f>HYPERLINK("https://klasma.github.io/Logging_2305/klagomålsmail/A 53832-2024 FSC-klagomål mail.docx", "A 53832-2024")</f>
        <v/>
      </c>
      <c r="X369">
        <f>HYPERLINK("https://klasma.github.io/Logging_2305/tillsyn/A 53832-2024 tillsynsbegäran.docx", "A 53832-2024")</f>
        <v/>
      </c>
      <c r="Y369">
        <f>HYPERLINK("https://klasma.github.io/Logging_2305/tillsynsmail/A 53832-2024 tillsynsbegäran mail.docx", "A 53832-2024")</f>
        <v/>
      </c>
    </row>
    <row r="370" ht="15" customHeight="1">
      <c r="A370" t="inlineStr">
        <is>
          <t>A 55802-2024</t>
        </is>
      </c>
      <c r="B370" s="1" t="n">
        <v>45623</v>
      </c>
      <c r="C370" s="1" t="n">
        <v>45754</v>
      </c>
      <c r="D370" t="inlineStr">
        <is>
          <t>JÄMTLANDS LÄN</t>
        </is>
      </c>
      <c r="E370" t="inlineStr">
        <is>
          <t>BRÄCKE</t>
        </is>
      </c>
      <c r="F370" t="inlineStr">
        <is>
          <t>SCA</t>
        </is>
      </c>
      <c r="G370" t="n">
        <v>2.1</v>
      </c>
      <c r="H370" t="n">
        <v>0</v>
      </c>
      <c r="I370" t="n">
        <v>0</v>
      </c>
      <c r="J370" t="n">
        <v>1</v>
      </c>
      <c r="K370" t="n">
        <v>0</v>
      </c>
      <c r="L370" t="n">
        <v>0</v>
      </c>
      <c r="M370" t="n">
        <v>0</v>
      </c>
      <c r="N370" t="n">
        <v>0</v>
      </c>
      <c r="O370" t="n">
        <v>1</v>
      </c>
      <c r="P370" t="n">
        <v>0</v>
      </c>
      <c r="Q370" t="n">
        <v>1</v>
      </c>
      <c r="R370" s="2" t="inlineStr">
        <is>
          <t>Granticka</t>
        </is>
      </c>
      <c r="S370">
        <f>HYPERLINK("https://klasma.github.io/Logging_2305/artfynd/A 55802-2024 artfynd.xlsx", "A 55802-2024")</f>
        <v/>
      </c>
      <c r="T370">
        <f>HYPERLINK("https://klasma.github.io/Logging_2305/kartor/A 55802-2024 karta.png", "A 55802-2024")</f>
        <v/>
      </c>
      <c r="V370">
        <f>HYPERLINK("https://klasma.github.io/Logging_2305/klagomål/A 55802-2024 FSC-klagomål.docx", "A 55802-2024")</f>
        <v/>
      </c>
      <c r="W370">
        <f>HYPERLINK("https://klasma.github.io/Logging_2305/klagomålsmail/A 55802-2024 FSC-klagomål mail.docx", "A 55802-2024")</f>
        <v/>
      </c>
      <c r="X370">
        <f>HYPERLINK("https://klasma.github.io/Logging_2305/tillsyn/A 55802-2024 tillsynsbegäran.docx", "A 55802-2024")</f>
        <v/>
      </c>
      <c r="Y370">
        <f>HYPERLINK("https://klasma.github.io/Logging_2305/tillsynsmail/A 55802-2024 tillsynsbegäran mail.docx", "A 55802-2024")</f>
        <v/>
      </c>
    </row>
    <row r="371" ht="15" customHeight="1">
      <c r="A371" t="inlineStr">
        <is>
          <t>A 56156-2024</t>
        </is>
      </c>
      <c r="B371" s="1" t="n">
        <v>45624</v>
      </c>
      <c r="C371" s="1" t="n">
        <v>45754</v>
      </c>
      <c r="D371" t="inlineStr">
        <is>
          <t>JÄMTLANDS LÄN</t>
        </is>
      </c>
      <c r="E371" t="inlineStr">
        <is>
          <t>BRÄCKE</t>
        </is>
      </c>
      <c r="F371" t="inlineStr">
        <is>
          <t>SCA</t>
        </is>
      </c>
      <c r="G371" t="n">
        <v>4.4</v>
      </c>
      <c r="H371" t="n">
        <v>0</v>
      </c>
      <c r="I371" t="n">
        <v>0</v>
      </c>
      <c r="J371" t="n">
        <v>1</v>
      </c>
      <c r="K371" t="n">
        <v>0</v>
      </c>
      <c r="L371" t="n">
        <v>0</v>
      </c>
      <c r="M371" t="n">
        <v>0</v>
      </c>
      <c r="N371" t="n">
        <v>0</v>
      </c>
      <c r="O371" t="n">
        <v>1</v>
      </c>
      <c r="P371" t="n">
        <v>0</v>
      </c>
      <c r="Q371" t="n">
        <v>1</v>
      </c>
      <c r="R371" s="2" t="inlineStr">
        <is>
          <t>Flattoppad klubbsvamp</t>
        </is>
      </c>
      <c r="S371">
        <f>HYPERLINK("https://klasma.github.io/Logging_2305/artfynd/A 56156-2024 artfynd.xlsx", "A 56156-2024")</f>
        <v/>
      </c>
      <c r="T371">
        <f>HYPERLINK("https://klasma.github.io/Logging_2305/kartor/A 56156-2024 karta.png", "A 56156-2024")</f>
        <v/>
      </c>
      <c r="V371">
        <f>HYPERLINK("https://klasma.github.io/Logging_2305/klagomål/A 56156-2024 FSC-klagomål.docx", "A 56156-2024")</f>
        <v/>
      </c>
      <c r="W371">
        <f>HYPERLINK("https://klasma.github.io/Logging_2305/klagomålsmail/A 56156-2024 FSC-klagomål mail.docx", "A 56156-2024")</f>
        <v/>
      </c>
      <c r="X371">
        <f>HYPERLINK("https://klasma.github.io/Logging_2305/tillsyn/A 56156-2024 tillsynsbegäran.docx", "A 56156-2024")</f>
        <v/>
      </c>
      <c r="Y371">
        <f>HYPERLINK("https://klasma.github.io/Logging_2305/tillsynsmail/A 56156-2024 tillsynsbegäran mail.docx", "A 56156-2024")</f>
        <v/>
      </c>
    </row>
    <row r="372" ht="15" customHeight="1">
      <c r="A372" t="inlineStr">
        <is>
          <t>A 57095-2024</t>
        </is>
      </c>
      <c r="B372" s="1" t="n">
        <v>45629</v>
      </c>
      <c r="C372" s="1" t="n">
        <v>45754</v>
      </c>
      <c r="D372" t="inlineStr">
        <is>
          <t>JÄMTLANDS LÄN</t>
        </is>
      </c>
      <c r="E372" t="inlineStr">
        <is>
          <t>BRÄCKE</t>
        </is>
      </c>
      <c r="F372" t="inlineStr">
        <is>
          <t>SCA</t>
        </is>
      </c>
      <c r="G372" t="n">
        <v>6.3</v>
      </c>
      <c r="H372" t="n">
        <v>0</v>
      </c>
      <c r="I372" t="n">
        <v>1</v>
      </c>
      <c r="J372" t="n">
        <v>0</v>
      </c>
      <c r="K372" t="n">
        <v>0</v>
      </c>
      <c r="L372" t="n">
        <v>0</v>
      </c>
      <c r="M372" t="n">
        <v>0</v>
      </c>
      <c r="N372" t="n">
        <v>0</v>
      </c>
      <c r="O372" t="n">
        <v>0</v>
      </c>
      <c r="P372" t="n">
        <v>0</v>
      </c>
      <c r="Q372" t="n">
        <v>1</v>
      </c>
      <c r="R372" s="2" t="inlineStr">
        <is>
          <t>Dropptaggsvamp</t>
        </is>
      </c>
      <c r="S372">
        <f>HYPERLINK("https://klasma.github.io/Logging_2305/artfynd/A 57095-2024 artfynd.xlsx", "A 57095-2024")</f>
        <v/>
      </c>
      <c r="T372">
        <f>HYPERLINK("https://klasma.github.io/Logging_2305/kartor/A 57095-2024 karta.png", "A 57095-2024")</f>
        <v/>
      </c>
      <c r="V372">
        <f>HYPERLINK("https://klasma.github.io/Logging_2305/klagomål/A 57095-2024 FSC-klagomål.docx", "A 57095-2024")</f>
        <v/>
      </c>
      <c r="W372">
        <f>HYPERLINK("https://klasma.github.io/Logging_2305/klagomålsmail/A 57095-2024 FSC-klagomål mail.docx", "A 57095-2024")</f>
        <v/>
      </c>
      <c r="X372">
        <f>HYPERLINK("https://klasma.github.io/Logging_2305/tillsyn/A 57095-2024 tillsynsbegäran.docx", "A 57095-2024")</f>
        <v/>
      </c>
      <c r="Y372">
        <f>HYPERLINK("https://klasma.github.io/Logging_2305/tillsynsmail/A 57095-2024 tillsynsbegäran mail.docx", "A 57095-2024")</f>
        <v/>
      </c>
    </row>
    <row r="373" ht="15" customHeight="1">
      <c r="A373" t="inlineStr">
        <is>
          <t>A 57553-2024</t>
        </is>
      </c>
      <c r="B373" s="1" t="n">
        <v>45630</v>
      </c>
      <c r="C373" s="1" t="n">
        <v>45754</v>
      </c>
      <c r="D373" t="inlineStr">
        <is>
          <t>JÄMTLANDS LÄN</t>
        </is>
      </c>
      <c r="E373" t="inlineStr">
        <is>
          <t>BRÄCKE</t>
        </is>
      </c>
      <c r="F373" t="inlineStr">
        <is>
          <t>SCA</t>
        </is>
      </c>
      <c r="G373" t="n">
        <v>8</v>
      </c>
      <c r="H373" t="n">
        <v>0</v>
      </c>
      <c r="I373" t="n">
        <v>0</v>
      </c>
      <c r="J373" t="n">
        <v>1</v>
      </c>
      <c r="K373" t="n">
        <v>0</v>
      </c>
      <c r="L373" t="n">
        <v>0</v>
      </c>
      <c r="M373" t="n">
        <v>0</v>
      </c>
      <c r="N373" t="n">
        <v>0</v>
      </c>
      <c r="O373" t="n">
        <v>1</v>
      </c>
      <c r="P373" t="n">
        <v>0</v>
      </c>
      <c r="Q373" t="n">
        <v>1</v>
      </c>
      <c r="R373" s="2" t="inlineStr">
        <is>
          <t>Lunglav</t>
        </is>
      </c>
      <c r="S373">
        <f>HYPERLINK("https://klasma.github.io/Logging_2305/artfynd/A 57553-2024 artfynd.xlsx", "A 57553-2024")</f>
        <v/>
      </c>
      <c r="T373">
        <f>HYPERLINK("https://klasma.github.io/Logging_2305/kartor/A 57553-2024 karta.png", "A 57553-2024")</f>
        <v/>
      </c>
      <c r="V373">
        <f>HYPERLINK("https://klasma.github.io/Logging_2305/klagomål/A 57553-2024 FSC-klagomål.docx", "A 57553-2024")</f>
        <v/>
      </c>
      <c r="W373">
        <f>HYPERLINK("https://klasma.github.io/Logging_2305/klagomålsmail/A 57553-2024 FSC-klagomål mail.docx", "A 57553-2024")</f>
        <v/>
      </c>
      <c r="X373">
        <f>HYPERLINK("https://klasma.github.io/Logging_2305/tillsyn/A 57553-2024 tillsynsbegäran.docx", "A 57553-2024")</f>
        <v/>
      </c>
      <c r="Y373">
        <f>HYPERLINK("https://klasma.github.io/Logging_2305/tillsynsmail/A 57553-2024 tillsynsbegäran mail.docx", "A 57553-2024")</f>
        <v/>
      </c>
    </row>
    <row r="374" ht="15" customHeight="1">
      <c r="A374" t="inlineStr">
        <is>
          <t>A 59431-2024</t>
        </is>
      </c>
      <c r="B374" s="1" t="n">
        <v>45638</v>
      </c>
      <c r="C374" s="1" t="n">
        <v>45754</v>
      </c>
      <c r="D374" t="inlineStr">
        <is>
          <t>JÄMTLANDS LÄN</t>
        </is>
      </c>
      <c r="E374" t="inlineStr">
        <is>
          <t>BRÄCKE</t>
        </is>
      </c>
      <c r="F374" t="inlineStr">
        <is>
          <t>SCA</t>
        </is>
      </c>
      <c r="G374" t="n">
        <v>3.9</v>
      </c>
      <c r="H374" t="n">
        <v>0</v>
      </c>
      <c r="I374" t="n">
        <v>1</v>
      </c>
      <c r="J374" t="n">
        <v>0</v>
      </c>
      <c r="K374" t="n">
        <v>0</v>
      </c>
      <c r="L374" t="n">
        <v>0</v>
      </c>
      <c r="M374" t="n">
        <v>0</v>
      </c>
      <c r="N374" t="n">
        <v>0</v>
      </c>
      <c r="O374" t="n">
        <v>0</v>
      </c>
      <c r="P374" t="n">
        <v>0</v>
      </c>
      <c r="Q374" t="n">
        <v>1</v>
      </c>
      <c r="R374" s="2" t="inlineStr">
        <is>
          <t>Vedticka</t>
        </is>
      </c>
      <c r="S374">
        <f>HYPERLINK("https://klasma.github.io/Logging_2305/artfynd/A 59431-2024 artfynd.xlsx", "A 59431-2024")</f>
        <v/>
      </c>
      <c r="T374">
        <f>HYPERLINK("https://klasma.github.io/Logging_2305/kartor/A 59431-2024 karta.png", "A 59431-2024")</f>
        <v/>
      </c>
      <c r="V374">
        <f>HYPERLINK("https://klasma.github.io/Logging_2305/klagomål/A 59431-2024 FSC-klagomål.docx", "A 59431-2024")</f>
        <v/>
      </c>
      <c r="W374">
        <f>HYPERLINK("https://klasma.github.io/Logging_2305/klagomålsmail/A 59431-2024 FSC-klagomål mail.docx", "A 59431-2024")</f>
        <v/>
      </c>
      <c r="X374">
        <f>HYPERLINK("https://klasma.github.io/Logging_2305/tillsyn/A 59431-2024 tillsynsbegäran.docx", "A 59431-2024")</f>
        <v/>
      </c>
      <c r="Y374">
        <f>HYPERLINK("https://klasma.github.io/Logging_2305/tillsynsmail/A 59431-2024 tillsynsbegäran mail.docx", "A 59431-2024")</f>
        <v/>
      </c>
    </row>
    <row r="375" ht="15" customHeight="1">
      <c r="A375" t="inlineStr">
        <is>
          <t>A 60693-2024</t>
        </is>
      </c>
      <c r="B375" s="1" t="n">
        <v>45644</v>
      </c>
      <c r="C375" s="1" t="n">
        <v>45754</v>
      </c>
      <c r="D375" t="inlineStr">
        <is>
          <t>JÄMTLANDS LÄN</t>
        </is>
      </c>
      <c r="E375" t="inlineStr">
        <is>
          <t>BRÄCKE</t>
        </is>
      </c>
      <c r="G375" t="n">
        <v>13.5</v>
      </c>
      <c r="H375" t="n">
        <v>1</v>
      </c>
      <c r="I375" t="n">
        <v>0</v>
      </c>
      <c r="J375" t="n">
        <v>0</v>
      </c>
      <c r="K375" t="n">
        <v>1</v>
      </c>
      <c r="L375" t="n">
        <v>0</v>
      </c>
      <c r="M375" t="n">
        <v>0</v>
      </c>
      <c r="N375" t="n">
        <v>0</v>
      </c>
      <c r="O375" t="n">
        <v>1</v>
      </c>
      <c r="P375" t="n">
        <v>1</v>
      </c>
      <c r="Q375" t="n">
        <v>1</v>
      </c>
      <c r="R375" s="2" t="inlineStr">
        <is>
          <t>Knärot</t>
        </is>
      </c>
      <c r="S375">
        <f>HYPERLINK("https://klasma.github.io/Logging_2305/artfynd/A 60693-2024 artfynd.xlsx", "A 60693-2024")</f>
        <v/>
      </c>
      <c r="T375">
        <f>HYPERLINK("https://klasma.github.io/Logging_2305/kartor/A 60693-2024 karta.png", "A 60693-2024")</f>
        <v/>
      </c>
      <c r="U375">
        <f>HYPERLINK("https://klasma.github.io/Logging_2305/knärot/A 60693-2024 karta knärot.png", "A 60693-2024")</f>
        <v/>
      </c>
      <c r="V375">
        <f>HYPERLINK("https://klasma.github.io/Logging_2305/klagomål/A 60693-2024 FSC-klagomål.docx", "A 60693-2024")</f>
        <v/>
      </c>
      <c r="W375">
        <f>HYPERLINK("https://klasma.github.io/Logging_2305/klagomålsmail/A 60693-2024 FSC-klagomål mail.docx", "A 60693-2024")</f>
        <v/>
      </c>
      <c r="X375">
        <f>HYPERLINK("https://klasma.github.io/Logging_2305/tillsyn/A 60693-2024 tillsynsbegäran.docx", "A 60693-2024")</f>
        <v/>
      </c>
      <c r="Y375">
        <f>HYPERLINK("https://klasma.github.io/Logging_2305/tillsynsmail/A 60693-2024 tillsynsbegäran mail.docx", "A 60693-2024")</f>
        <v/>
      </c>
    </row>
    <row r="376" ht="15" customHeight="1">
      <c r="A376" t="inlineStr">
        <is>
          <t>A 698-2025</t>
        </is>
      </c>
      <c r="B376" s="1" t="n">
        <v>45665</v>
      </c>
      <c r="C376" s="1" t="n">
        <v>45754</v>
      </c>
      <c r="D376" t="inlineStr">
        <is>
          <t>JÄMTLANDS LÄN</t>
        </is>
      </c>
      <c r="E376" t="inlineStr">
        <is>
          <t>BRÄCKE</t>
        </is>
      </c>
      <c r="F376" t="inlineStr">
        <is>
          <t>SCA</t>
        </is>
      </c>
      <c r="G376" t="n">
        <v>4.6</v>
      </c>
      <c r="H376" t="n">
        <v>0</v>
      </c>
      <c r="I376" t="n">
        <v>0</v>
      </c>
      <c r="J376" t="n">
        <v>1</v>
      </c>
      <c r="K376" t="n">
        <v>0</v>
      </c>
      <c r="L376" t="n">
        <v>0</v>
      </c>
      <c r="M376" t="n">
        <v>0</v>
      </c>
      <c r="N376" t="n">
        <v>0</v>
      </c>
      <c r="O376" t="n">
        <v>1</v>
      </c>
      <c r="P376" t="n">
        <v>0</v>
      </c>
      <c r="Q376" t="n">
        <v>1</v>
      </c>
      <c r="R376" s="2" t="inlineStr">
        <is>
          <t>Lunglav</t>
        </is>
      </c>
      <c r="S376">
        <f>HYPERLINK("https://klasma.github.io/Logging_2305/artfynd/A 698-2025 artfynd.xlsx", "A 698-2025")</f>
        <v/>
      </c>
      <c r="T376">
        <f>HYPERLINK("https://klasma.github.io/Logging_2305/kartor/A 698-2025 karta.png", "A 698-2025")</f>
        <v/>
      </c>
      <c r="V376">
        <f>HYPERLINK("https://klasma.github.io/Logging_2305/klagomål/A 698-2025 FSC-klagomål.docx", "A 698-2025")</f>
        <v/>
      </c>
      <c r="W376">
        <f>HYPERLINK("https://klasma.github.io/Logging_2305/klagomålsmail/A 698-2025 FSC-klagomål mail.docx", "A 698-2025")</f>
        <v/>
      </c>
      <c r="X376">
        <f>HYPERLINK("https://klasma.github.io/Logging_2305/tillsyn/A 698-2025 tillsynsbegäran.docx", "A 698-2025")</f>
        <v/>
      </c>
      <c r="Y376">
        <f>HYPERLINK("https://klasma.github.io/Logging_2305/tillsynsmail/A 698-2025 tillsynsbegäran mail.docx", "A 698-2025")</f>
        <v/>
      </c>
    </row>
    <row r="377" ht="15" customHeight="1">
      <c r="A377" t="inlineStr">
        <is>
          <t>A 789-2025</t>
        </is>
      </c>
      <c r="B377" s="1" t="n">
        <v>45665</v>
      </c>
      <c r="C377" s="1" t="n">
        <v>45754</v>
      </c>
      <c r="D377" t="inlineStr">
        <is>
          <t>JÄMTLANDS LÄN</t>
        </is>
      </c>
      <c r="E377" t="inlineStr">
        <is>
          <t>BRÄCKE</t>
        </is>
      </c>
      <c r="F377" t="inlineStr">
        <is>
          <t>SCA</t>
        </is>
      </c>
      <c r="G377" t="n">
        <v>2.6</v>
      </c>
      <c r="H377" t="n">
        <v>0</v>
      </c>
      <c r="I377" t="n">
        <v>0</v>
      </c>
      <c r="J377" t="n">
        <v>1</v>
      </c>
      <c r="K377" t="n">
        <v>0</v>
      </c>
      <c r="L377" t="n">
        <v>0</v>
      </c>
      <c r="M377" t="n">
        <v>0</v>
      </c>
      <c r="N377" t="n">
        <v>0</v>
      </c>
      <c r="O377" t="n">
        <v>1</v>
      </c>
      <c r="P377" t="n">
        <v>0</v>
      </c>
      <c r="Q377" t="n">
        <v>1</v>
      </c>
      <c r="R377" s="2" t="inlineStr">
        <is>
          <t>Lunglav</t>
        </is>
      </c>
      <c r="S377">
        <f>HYPERLINK("https://klasma.github.io/Logging_2305/artfynd/A 789-2025 artfynd.xlsx", "A 789-2025")</f>
        <v/>
      </c>
      <c r="T377">
        <f>HYPERLINK("https://klasma.github.io/Logging_2305/kartor/A 789-2025 karta.png", "A 789-2025")</f>
        <v/>
      </c>
      <c r="V377">
        <f>HYPERLINK("https://klasma.github.io/Logging_2305/klagomål/A 789-2025 FSC-klagomål.docx", "A 789-2025")</f>
        <v/>
      </c>
      <c r="W377">
        <f>HYPERLINK("https://klasma.github.io/Logging_2305/klagomålsmail/A 789-2025 FSC-klagomål mail.docx", "A 789-2025")</f>
        <v/>
      </c>
      <c r="X377">
        <f>HYPERLINK("https://klasma.github.io/Logging_2305/tillsyn/A 789-2025 tillsynsbegäran.docx", "A 789-2025")</f>
        <v/>
      </c>
      <c r="Y377">
        <f>HYPERLINK("https://klasma.github.io/Logging_2305/tillsynsmail/A 789-2025 tillsynsbegäran mail.docx", "A 789-2025")</f>
        <v/>
      </c>
    </row>
    <row r="378" ht="15" customHeight="1">
      <c r="A378" t="inlineStr">
        <is>
          <t>A 2466-2025</t>
        </is>
      </c>
      <c r="B378" s="1" t="n">
        <v>45674</v>
      </c>
      <c r="C378" s="1" t="n">
        <v>45754</v>
      </c>
      <c r="D378" t="inlineStr">
        <is>
          <t>JÄMTLANDS LÄN</t>
        </is>
      </c>
      <c r="E378" t="inlineStr">
        <is>
          <t>BRÄCKE</t>
        </is>
      </c>
      <c r="F378" t="inlineStr">
        <is>
          <t>SCA</t>
        </is>
      </c>
      <c r="G378" t="n">
        <v>2.4</v>
      </c>
      <c r="H378" t="n">
        <v>0</v>
      </c>
      <c r="I378" t="n">
        <v>0</v>
      </c>
      <c r="J378" t="n">
        <v>1</v>
      </c>
      <c r="K378" t="n">
        <v>0</v>
      </c>
      <c r="L378" t="n">
        <v>0</v>
      </c>
      <c r="M378" t="n">
        <v>0</v>
      </c>
      <c r="N378" t="n">
        <v>0</v>
      </c>
      <c r="O378" t="n">
        <v>1</v>
      </c>
      <c r="P378" t="n">
        <v>0</v>
      </c>
      <c r="Q378" t="n">
        <v>1</v>
      </c>
      <c r="R378" s="2" t="inlineStr">
        <is>
          <t>Lunglav</t>
        </is>
      </c>
      <c r="S378">
        <f>HYPERLINK("https://klasma.github.io/Logging_2305/artfynd/A 2466-2025 artfynd.xlsx", "A 2466-2025")</f>
        <v/>
      </c>
      <c r="T378">
        <f>HYPERLINK("https://klasma.github.io/Logging_2305/kartor/A 2466-2025 karta.png", "A 2466-2025")</f>
        <v/>
      </c>
      <c r="V378">
        <f>HYPERLINK("https://klasma.github.io/Logging_2305/klagomål/A 2466-2025 FSC-klagomål.docx", "A 2466-2025")</f>
        <v/>
      </c>
      <c r="W378">
        <f>HYPERLINK("https://klasma.github.io/Logging_2305/klagomålsmail/A 2466-2025 FSC-klagomål mail.docx", "A 2466-2025")</f>
        <v/>
      </c>
      <c r="X378">
        <f>HYPERLINK("https://klasma.github.io/Logging_2305/tillsyn/A 2466-2025 tillsynsbegäran.docx", "A 2466-2025")</f>
        <v/>
      </c>
      <c r="Y378">
        <f>HYPERLINK("https://klasma.github.io/Logging_2305/tillsynsmail/A 2466-2025 tillsynsbegäran mail.docx", "A 2466-2025")</f>
        <v/>
      </c>
    </row>
    <row r="379" ht="15" customHeight="1">
      <c r="A379" t="inlineStr">
        <is>
          <t>A 2463-2025</t>
        </is>
      </c>
      <c r="B379" s="1" t="n">
        <v>45674</v>
      </c>
      <c r="C379" s="1" t="n">
        <v>45754</v>
      </c>
      <c r="D379" t="inlineStr">
        <is>
          <t>JÄMTLANDS LÄN</t>
        </is>
      </c>
      <c r="E379" t="inlineStr">
        <is>
          <t>BRÄCKE</t>
        </is>
      </c>
      <c r="F379" t="inlineStr">
        <is>
          <t>SCA</t>
        </is>
      </c>
      <c r="G379" t="n">
        <v>3.9</v>
      </c>
      <c r="H379" t="n">
        <v>0</v>
      </c>
      <c r="I379" t="n">
        <v>1</v>
      </c>
      <c r="J379" t="n">
        <v>0</v>
      </c>
      <c r="K379" t="n">
        <v>0</v>
      </c>
      <c r="L379" t="n">
        <v>0</v>
      </c>
      <c r="M379" t="n">
        <v>0</v>
      </c>
      <c r="N379" t="n">
        <v>0</v>
      </c>
      <c r="O379" t="n">
        <v>0</v>
      </c>
      <c r="P379" t="n">
        <v>0</v>
      </c>
      <c r="Q379" t="n">
        <v>1</v>
      </c>
      <c r="R379" s="2" t="inlineStr">
        <is>
          <t>Vedticka</t>
        </is>
      </c>
      <c r="S379">
        <f>HYPERLINK("https://klasma.github.io/Logging_2305/artfynd/A 2463-2025 artfynd.xlsx", "A 2463-2025")</f>
        <v/>
      </c>
      <c r="T379">
        <f>HYPERLINK("https://klasma.github.io/Logging_2305/kartor/A 2463-2025 karta.png", "A 2463-2025")</f>
        <v/>
      </c>
      <c r="V379">
        <f>HYPERLINK("https://klasma.github.io/Logging_2305/klagomål/A 2463-2025 FSC-klagomål.docx", "A 2463-2025")</f>
        <v/>
      </c>
      <c r="W379">
        <f>HYPERLINK("https://klasma.github.io/Logging_2305/klagomålsmail/A 2463-2025 FSC-klagomål mail.docx", "A 2463-2025")</f>
        <v/>
      </c>
      <c r="X379">
        <f>HYPERLINK("https://klasma.github.io/Logging_2305/tillsyn/A 2463-2025 tillsynsbegäran.docx", "A 2463-2025")</f>
        <v/>
      </c>
      <c r="Y379">
        <f>HYPERLINK("https://klasma.github.io/Logging_2305/tillsynsmail/A 2463-2025 tillsynsbegäran mail.docx", "A 2463-2025")</f>
        <v/>
      </c>
    </row>
    <row r="380" ht="15" customHeight="1">
      <c r="A380" t="inlineStr">
        <is>
          <t>A 2882-2025</t>
        </is>
      </c>
      <c r="B380" s="1" t="n">
        <v>45677</v>
      </c>
      <c r="C380" s="1" t="n">
        <v>45754</v>
      </c>
      <c r="D380" t="inlineStr">
        <is>
          <t>JÄMTLANDS LÄN</t>
        </is>
      </c>
      <c r="E380" t="inlineStr">
        <is>
          <t>BRÄCKE</t>
        </is>
      </c>
      <c r="F380" t="inlineStr">
        <is>
          <t>SCA</t>
        </is>
      </c>
      <c r="G380" t="n">
        <v>2.7</v>
      </c>
      <c r="H380" t="n">
        <v>0</v>
      </c>
      <c r="I380" t="n">
        <v>0</v>
      </c>
      <c r="J380" t="n">
        <v>1</v>
      </c>
      <c r="K380" t="n">
        <v>0</v>
      </c>
      <c r="L380" t="n">
        <v>0</v>
      </c>
      <c r="M380" t="n">
        <v>0</v>
      </c>
      <c r="N380" t="n">
        <v>0</v>
      </c>
      <c r="O380" t="n">
        <v>1</v>
      </c>
      <c r="P380" t="n">
        <v>0</v>
      </c>
      <c r="Q380" t="n">
        <v>1</v>
      </c>
      <c r="R380" s="2" t="inlineStr">
        <is>
          <t>Dvärgbägarlav</t>
        </is>
      </c>
      <c r="S380">
        <f>HYPERLINK("https://klasma.github.io/Logging_2305/artfynd/A 2882-2025 artfynd.xlsx", "A 2882-2025")</f>
        <v/>
      </c>
      <c r="T380">
        <f>HYPERLINK("https://klasma.github.io/Logging_2305/kartor/A 2882-2025 karta.png", "A 2882-2025")</f>
        <v/>
      </c>
      <c r="V380">
        <f>HYPERLINK("https://klasma.github.io/Logging_2305/klagomål/A 2882-2025 FSC-klagomål.docx", "A 2882-2025")</f>
        <v/>
      </c>
      <c r="W380">
        <f>HYPERLINK("https://klasma.github.io/Logging_2305/klagomålsmail/A 2882-2025 FSC-klagomål mail.docx", "A 2882-2025")</f>
        <v/>
      </c>
      <c r="X380">
        <f>HYPERLINK("https://klasma.github.io/Logging_2305/tillsyn/A 2882-2025 tillsynsbegäran.docx", "A 2882-2025")</f>
        <v/>
      </c>
      <c r="Y380">
        <f>HYPERLINK("https://klasma.github.io/Logging_2305/tillsynsmail/A 2882-2025 tillsynsbegäran mail.docx", "A 2882-2025")</f>
        <v/>
      </c>
    </row>
    <row r="381" ht="15" customHeight="1">
      <c r="A381" t="inlineStr">
        <is>
          <t>A 3234-2025</t>
        </is>
      </c>
      <c r="B381" s="1" t="n">
        <v>45679</v>
      </c>
      <c r="C381" s="1" t="n">
        <v>45754</v>
      </c>
      <c r="D381" t="inlineStr">
        <is>
          <t>JÄMTLANDS LÄN</t>
        </is>
      </c>
      <c r="E381" t="inlineStr">
        <is>
          <t>BRÄCKE</t>
        </is>
      </c>
      <c r="F381" t="inlineStr">
        <is>
          <t>SCA</t>
        </is>
      </c>
      <c r="G381" t="n">
        <v>1.7</v>
      </c>
      <c r="H381" t="n">
        <v>1</v>
      </c>
      <c r="I381" t="n">
        <v>0</v>
      </c>
      <c r="J381" t="n">
        <v>1</v>
      </c>
      <c r="K381" t="n">
        <v>0</v>
      </c>
      <c r="L381" t="n">
        <v>0</v>
      </c>
      <c r="M381" t="n">
        <v>0</v>
      </c>
      <c r="N381" t="n">
        <v>0</v>
      </c>
      <c r="O381" t="n">
        <v>1</v>
      </c>
      <c r="P381" t="n">
        <v>0</v>
      </c>
      <c r="Q381" t="n">
        <v>1</v>
      </c>
      <c r="R381" s="2" t="inlineStr">
        <is>
          <t>Utter</t>
        </is>
      </c>
      <c r="S381">
        <f>HYPERLINK("https://klasma.github.io/Logging_2305/artfynd/A 3234-2025 artfynd.xlsx", "A 3234-2025")</f>
        <v/>
      </c>
      <c r="T381">
        <f>HYPERLINK("https://klasma.github.io/Logging_2305/kartor/A 3234-2025 karta.png", "A 3234-2025")</f>
        <v/>
      </c>
      <c r="V381">
        <f>HYPERLINK("https://klasma.github.io/Logging_2305/klagomål/A 3234-2025 FSC-klagomål.docx", "A 3234-2025")</f>
        <v/>
      </c>
      <c r="W381">
        <f>HYPERLINK("https://klasma.github.io/Logging_2305/klagomålsmail/A 3234-2025 FSC-klagomål mail.docx", "A 3234-2025")</f>
        <v/>
      </c>
      <c r="X381">
        <f>HYPERLINK("https://klasma.github.io/Logging_2305/tillsyn/A 3234-2025 tillsynsbegäran.docx", "A 3234-2025")</f>
        <v/>
      </c>
      <c r="Y381">
        <f>HYPERLINK("https://klasma.github.io/Logging_2305/tillsynsmail/A 3234-2025 tillsynsbegäran mail.docx", "A 3234-2025")</f>
        <v/>
      </c>
    </row>
    <row r="382" ht="15" customHeight="1">
      <c r="A382" t="inlineStr">
        <is>
          <t>A 3604-2025</t>
        </is>
      </c>
      <c r="B382" s="1" t="n">
        <v>45681</v>
      </c>
      <c r="C382" s="1" t="n">
        <v>45754</v>
      </c>
      <c r="D382" t="inlineStr">
        <is>
          <t>JÄMTLANDS LÄN</t>
        </is>
      </c>
      <c r="E382" t="inlineStr">
        <is>
          <t>BRÄCKE</t>
        </is>
      </c>
      <c r="F382" t="inlineStr">
        <is>
          <t>SCA</t>
        </is>
      </c>
      <c r="G382" t="n">
        <v>4.6</v>
      </c>
      <c r="H382" t="n">
        <v>1</v>
      </c>
      <c r="I382" t="n">
        <v>0</v>
      </c>
      <c r="J382" t="n">
        <v>1</v>
      </c>
      <c r="K382" t="n">
        <v>0</v>
      </c>
      <c r="L382" t="n">
        <v>0</v>
      </c>
      <c r="M382" t="n">
        <v>0</v>
      </c>
      <c r="N382" t="n">
        <v>0</v>
      </c>
      <c r="O382" t="n">
        <v>1</v>
      </c>
      <c r="P382" t="n">
        <v>0</v>
      </c>
      <c r="Q382" t="n">
        <v>1</v>
      </c>
      <c r="R382" s="2" t="inlineStr">
        <is>
          <t>Tretåig hackspett</t>
        </is>
      </c>
      <c r="S382">
        <f>HYPERLINK("https://klasma.github.io/Logging_2305/artfynd/A 3604-2025 artfynd.xlsx", "A 3604-2025")</f>
        <v/>
      </c>
      <c r="T382">
        <f>HYPERLINK("https://klasma.github.io/Logging_2305/kartor/A 3604-2025 karta.png", "A 3604-2025")</f>
        <v/>
      </c>
      <c r="V382">
        <f>HYPERLINK("https://klasma.github.io/Logging_2305/klagomål/A 3604-2025 FSC-klagomål.docx", "A 3604-2025")</f>
        <v/>
      </c>
      <c r="W382">
        <f>HYPERLINK("https://klasma.github.io/Logging_2305/klagomålsmail/A 3604-2025 FSC-klagomål mail.docx", "A 3604-2025")</f>
        <v/>
      </c>
      <c r="X382">
        <f>HYPERLINK("https://klasma.github.io/Logging_2305/tillsyn/A 3604-2025 tillsynsbegäran.docx", "A 3604-2025")</f>
        <v/>
      </c>
      <c r="Y382">
        <f>HYPERLINK("https://klasma.github.io/Logging_2305/tillsynsmail/A 3604-2025 tillsynsbegäran mail.docx", "A 3604-2025")</f>
        <v/>
      </c>
      <c r="Z382">
        <f>HYPERLINK("https://klasma.github.io/Logging_2305/fåglar/A 3604-2025 prioriterade fågelarter.docx", "A 3604-2025")</f>
        <v/>
      </c>
    </row>
    <row r="383" ht="15" customHeight="1">
      <c r="A383" t="inlineStr">
        <is>
          <t>A 4875-2025</t>
        </is>
      </c>
      <c r="B383" s="1" t="n">
        <v>45688</v>
      </c>
      <c r="C383" s="1" t="n">
        <v>45754</v>
      </c>
      <c r="D383" t="inlineStr">
        <is>
          <t>JÄMTLANDS LÄN</t>
        </is>
      </c>
      <c r="E383" t="inlineStr">
        <is>
          <t>BRÄCKE</t>
        </is>
      </c>
      <c r="F383" t="inlineStr">
        <is>
          <t>SCA</t>
        </is>
      </c>
      <c r="G383" t="n">
        <v>13.7</v>
      </c>
      <c r="H383" t="n">
        <v>1</v>
      </c>
      <c r="I383" t="n">
        <v>0</v>
      </c>
      <c r="J383" t="n">
        <v>0</v>
      </c>
      <c r="K383" t="n">
        <v>0</v>
      </c>
      <c r="L383" t="n">
        <v>0</v>
      </c>
      <c r="M383" t="n">
        <v>0</v>
      </c>
      <c r="N383" t="n">
        <v>0</v>
      </c>
      <c r="O383" t="n">
        <v>0</v>
      </c>
      <c r="P383" t="n">
        <v>0</v>
      </c>
      <c r="Q383" t="n">
        <v>1</v>
      </c>
      <c r="R383" s="2" t="inlineStr">
        <is>
          <t>Lavskrika</t>
        </is>
      </c>
      <c r="S383">
        <f>HYPERLINK("https://klasma.github.io/Logging_2305/artfynd/A 4875-2025 artfynd.xlsx", "A 4875-2025")</f>
        <v/>
      </c>
      <c r="T383">
        <f>HYPERLINK("https://klasma.github.io/Logging_2305/kartor/A 4875-2025 karta.png", "A 4875-2025")</f>
        <v/>
      </c>
      <c r="V383">
        <f>HYPERLINK("https://klasma.github.io/Logging_2305/klagomål/A 4875-2025 FSC-klagomål.docx", "A 4875-2025")</f>
        <v/>
      </c>
      <c r="W383">
        <f>HYPERLINK("https://klasma.github.io/Logging_2305/klagomålsmail/A 4875-2025 FSC-klagomål mail.docx", "A 4875-2025")</f>
        <v/>
      </c>
      <c r="X383">
        <f>HYPERLINK("https://klasma.github.io/Logging_2305/tillsyn/A 4875-2025 tillsynsbegäran.docx", "A 4875-2025")</f>
        <v/>
      </c>
      <c r="Y383">
        <f>HYPERLINK("https://klasma.github.io/Logging_2305/tillsynsmail/A 4875-2025 tillsynsbegäran mail.docx", "A 4875-2025")</f>
        <v/>
      </c>
      <c r="Z383">
        <f>HYPERLINK("https://klasma.github.io/Logging_2305/fåglar/A 4875-2025 prioriterade fågelarter.docx", "A 4875-2025")</f>
        <v/>
      </c>
    </row>
    <row r="384" ht="15" customHeight="1">
      <c r="A384" t="inlineStr">
        <is>
          <t>A 4851-2025</t>
        </is>
      </c>
      <c r="B384" s="1" t="n">
        <v>45688</v>
      </c>
      <c r="C384" s="1" t="n">
        <v>45754</v>
      </c>
      <c r="D384" t="inlineStr">
        <is>
          <t>JÄMTLANDS LÄN</t>
        </is>
      </c>
      <c r="E384" t="inlineStr">
        <is>
          <t>BRÄCKE</t>
        </is>
      </c>
      <c r="F384" t="inlineStr">
        <is>
          <t>SCA</t>
        </is>
      </c>
      <c r="G384" t="n">
        <v>9.9</v>
      </c>
      <c r="H384" t="n">
        <v>0</v>
      </c>
      <c r="I384" t="n">
        <v>0</v>
      </c>
      <c r="J384" t="n">
        <v>1</v>
      </c>
      <c r="K384" t="n">
        <v>0</v>
      </c>
      <c r="L384" t="n">
        <v>0</v>
      </c>
      <c r="M384" t="n">
        <v>0</v>
      </c>
      <c r="N384" t="n">
        <v>0</v>
      </c>
      <c r="O384" t="n">
        <v>1</v>
      </c>
      <c r="P384" t="n">
        <v>0</v>
      </c>
      <c r="Q384" t="n">
        <v>1</v>
      </c>
      <c r="R384" s="2" t="inlineStr">
        <is>
          <t>Lunglav</t>
        </is>
      </c>
      <c r="S384">
        <f>HYPERLINK("https://klasma.github.io/Logging_2305/artfynd/A 4851-2025 artfynd.xlsx", "A 4851-2025")</f>
        <v/>
      </c>
      <c r="T384">
        <f>HYPERLINK("https://klasma.github.io/Logging_2305/kartor/A 4851-2025 karta.png", "A 4851-2025")</f>
        <v/>
      </c>
      <c r="V384">
        <f>HYPERLINK("https://klasma.github.io/Logging_2305/klagomål/A 4851-2025 FSC-klagomål.docx", "A 4851-2025")</f>
        <v/>
      </c>
      <c r="W384">
        <f>HYPERLINK("https://klasma.github.io/Logging_2305/klagomålsmail/A 4851-2025 FSC-klagomål mail.docx", "A 4851-2025")</f>
        <v/>
      </c>
      <c r="X384">
        <f>HYPERLINK("https://klasma.github.io/Logging_2305/tillsyn/A 4851-2025 tillsynsbegäran.docx", "A 4851-2025")</f>
        <v/>
      </c>
      <c r="Y384">
        <f>HYPERLINK("https://klasma.github.io/Logging_2305/tillsynsmail/A 4851-2025 tillsynsbegäran mail.docx", "A 4851-2025")</f>
        <v/>
      </c>
    </row>
    <row r="385" ht="15" customHeight="1">
      <c r="A385" t="inlineStr">
        <is>
          <t>A 9204-2025</t>
        </is>
      </c>
      <c r="B385" s="1" t="n">
        <v>45714</v>
      </c>
      <c r="C385" s="1" t="n">
        <v>45754</v>
      </c>
      <c r="D385" t="inlineStr">
        <is>
          <t>JÄMTLANDS LÄN</t>
        </is>
      </c>
      <c r="E385" t="inlineStr">
        <is>
          <t>BRÄCKE</t>
        </is>
      </c>
      <c r="F385" t="inlineStr">
        <is>
          <t>SCA</t>
        </is>
      </c>
      <c r="G385" t="n">
        <v>3.6</v>
      </c>
      <c r="H385" t="n">
        <v>1</v>
      </c>
      <c r="I385" t="n">
        <v>0</v>
      </c>
      <c r="J385" t="n">
        <v>1</v>
      </c>
      <c r="K385" t="n">
        <v>0</v>
      </c>
      <c r="L385" t="n">
        <v>0</v>
      </c>
      <c r="M385" t="n">
        <v>0</v>
      </c>
      <c r="N385" t="n">
        <v>0</v>
      </c>
      <c r="O385" t="n">
        <v>1</v>
      </c>
      <c r="P385" t="n">
        <v>0</v>
      </c>
      <c r="Q385" t="n">
        <v>1</v>
      </c>
      <c r="R385" s="2" t="inlineStr">
        <is>
          <t>Talltita</t>
        </is>
      </c>
      <c r="S385">
        <f>HYPERLINK("https://klasma.github.io/Logging_2305/artfynd/A 9204-2025 artfynd.xlsx", "A 9204-2025")</f>
        <v/>
      </c>
      <c r="T385">
        <f>HYPERLINK("https://klasma.github.io/Logging_2305/kartor/A 9204-2025 karta.png", "A 9204-2025")</f>
        <v/>
      </c>
      <c r="V385">
        <f>HYPERLINK("https://klasma.github.io/Logging_2305/klagomål/A 9204-2025 FSC-klagomål.docx", "A 9204-2025")</f>
        <v/>
      </c>
      <c r="W385">
        <f>HYPERLINK("https://klasma.github.io/Logging_2305/klagomålsmail/A 9204-2025 FSC-klagomål mail.docx", "A 9204-2025")</f>
        <v/>
      </c>
      <c r="X385">
        <f>HYPERLINK("https://klasma.github.io/Logging_2305/tillsyn/A 9204-2025 tillsynsbegäran.docx", "A 9204-2025")</f>
        <v/>
      </c>
      <c r="Y385">
        <f>HYPERLINK("https://klasma.github.io/Logging_2305/tillsynsmail/A 9204-2025 tillsynsbegäran mail.docx", "A 9204-2025")</f>
        <v/>
      </c>
      <c r="Z385">
        <f>HYPERLINK("https://klasma.github.io/Logging_2305/fåglar/A 9204-2025 prioriterade fågelarter.docx", "A 9204-2025")</f>
        <v/>
      </c>
    </row>
    <row r="386" ht="15" customHeight="1">
      <c r="A386" t="inlineStr">
        <is>
          <t>A 10736-2025</t>
        </is>
      </c>
      <c r="B386" s="1" t="n">
        <v>45722</v>
      </c>
      <c r="C386" s="1" t="n">
        <v>45754</v>
      </c>
      <c r="D386" t="inlineStr">
        <is>
          <t>JÄMTLANDS LÄN</t>
        </is>
      </c>
      <c r="E386" t="inlineStr">
        <is>
          <t>BRÄCKE</t>
        </is>
      </c>
      <c r="F386" t="inlineStr">
        <is>
          <t>SCA</t>
        </is>
      </c>
      <c r="G386" t="n">
        <v>5</v>
      </c>
      <c r="H386" t="n">
        <v>1</v>
      </c>
      <c r="I386" t="n">
        <v>0</v>
      </c>
      <c r="J386" t="n">
        <v>0</v>
      </c>
      <c r="K386" t="n">
        <v>0</v>
      </c>
      <c r="L386" t="n">
        <v>0</v>
      </c>
      <c r="M386" t="n">
        <v>0</v>
      </c>
      <c r="N386" t="n">
        <v>0</v>
      </c>
      <c r="O386" t="n">
        <v>0</v>
      </c>
      <c r="P386" t="n">
        <v>0</v>
      </c>
      <c r="Q386" t="n">
        <v>1</v>
      </c>
      <c r="R386" s="2" t="inlineStr">
        <is>
          <t>Järnsparv</t>
        </is>
      </c>
      <c r="S386">
        <f>HYPERLINK("https://klasma.github.io/Logging_232305/artfynd/A 10736-2025 artfynd.xlsx", "A 10736-2025")</f>
        <v/>
      </c>
      <c r="T386">
        <f>HYPERLINK("https://klasma.github.io/Logging_232305/kartor/A 10736-2025 karta.png", "A 10736-2025")</f>
        <v/>
      </c>
      <c r="V386">
        <f>HYPERLINK("https://klasma.github.io/Logging_232305/klagomål/A 10736-2025 FSC-klagomål.docx", "A 10736-2025")</f>
        <v/>
      </c>
      <c r="W386">
        <f>HYPERLINK("https://klasma.github.io/Logging_232305/klagomålsmail/A 10736-2025 FSC-klagomål mail.docx", "A 10736-2025")</f>
        <v/>
      </c>
      <c r="X386">
        <f>HYPERLINK("https://klasma.github.io/Logging_232305/tillsyn/A 10736-2025 tillsynsbegäran.docx", "A 10736-2025")</f>
        <v/>
      </c>
      <c r="Y386">
        <f>HYPERLINK("https://klasma.github.io/Logging_232305/tillsynsmail/A 10736-2025 tillsynsbegäran mail.docx", "A 10736-2025")</f>
        <v/>
      </c>
      <c r="Z386">
        <f>HYPERLINK("https://klasma.github.io/Logging_232305/fåglar/A 10736-2025 prioriterade fågelarter.docx", "A 10736-2025")</f>
        <v/>
      </c>
    </row>
    <row r="387" ht="15" customHeight="1">
      <c r="A387" t="inlineStr">
        <is>
          <t>A 11549-2025</t>
        </is>
      </c>
      <c r="B387" s="1" t="n">
        <v>45727</v>
      </c>
      <c r="C387" s="1" t="n">
        <v>45754</v>
      </c>
      <c r="D387" t="inlineStr">
        <is>
          <t>JÄMTLANDS LÄN</t>
        </is>
      </c>
      <c r="E387" t="inlineStr">
        <is>
          <t>BRÄCKE</t>
        </is>
      </c>
      <c r="F387" t="inlineStr">
        <is>
          <t>SCA</t>
        </is>
      </c>
      <c r="G387" t="n">
        <v>6.4</v>
      </c>
      <c r="H387" t="n">
        <v>0</v>
      </c>
      <c r="I387" t="n">
        <v>0</v>
      </c>
      <c r="J387" t="n">
        <v>1</v>
      </c>
      <c r="K387" t="n">
        <v>0</v>
      </c>
      <c r="L387" t="n">
        <v>0</v>
      </c>
      <c r="M387" t="n">
        <v>0</v>
      </c>
      <c r="N387" t="n">
        <v>0</v>
      </c>
      <c r="O387" t="n">
        <v>1</v>
      </c>
      <c r="P387" t="n">
        <v>0</v>
      </c>
      <c r="Q387" t="n">
        <v>1</v>
      </c>
      <c r="R387" s="2" t="inlineStr">
        <is>
          <t>Vedtrappmossa</t>
        </is>
      </c>
      <c r="S387">
        <f>HYPERLINK("https://klasma.github.io/Logging_232305/artfynd/A 11549-2025 artfynd.xlsx", "A 11549-2025")</f>
        <v/>
      </c>
      <c r="T387">
        <f>HYPERLINK("https://klasma.github.io/Logging_232305/kartor/A 11549-2025 karta.png", "A 11549-2025")</f>
        <v/>
      </c>
      <c r="V387">
        <f>HYPERLINK("https://klasma.github.io/Logging_232305/klagomål/A 11549-2025 FSC-klagomål.docx", "A 11549-2025")</f>
        <v/>
      </c>
      <c r="W387">
        <f>HYPERLINK("https://klasma.github.io/Logging_232305/klagomålsmail/A 11549-2025 FSC-klagomål mail.docx", "A 11549-2025")</f>
        <v/>
      </c>
      <c r="X387">
        <f>HYPERLINK("https://klasma.github.io/Logging_232305/tillsyn/A 11549-2025 tillsynsbegäran.docx", "A 11549-2025")</f>
        <v/>
      </c>
      <c r="Y387">
        <f>HYPERLINK("https://klasma.github.io/Logging_232305/tillsynsmail/A 11549-2025 tillsynsbegäran mail.docx", "A 11549-2025")</f>
        <v/>
      </c>
    </row>
    <row r="388" ht="15" customHeight="1">
      <c r="A388" t="inlineStr">
        <is>
          <t>A 12296-2025</t>
        </is>
      </c>
      <c r="B388" s="1" t="n">
        <v>45729</v>
      </c>
      <c r="C388" s="1" t="n">
        <v>45754</v>
      </c>
      <c r="D388" t="inlineStr">
        <is>
          <t>JÄMTLANDS LÄN</t>
        </is>
      </c>
      <c r="E388" t="inlineStr">
        <is>
          <t>BRÄCKE</t>
        </is>
      </c>
      <c r="F388" t="inlineStr">
        <is>
          <t>SCA</t>
        </is>
      </c>
      <c r="G388" t="n">
        <v>2.2</v>
      </c>
      <c r="H388" t="n">
        <v>0</v>
      </c>
      <c r="I388" t="n">
        <v>0</v>
      </c>
      <c r="J388" t="n">
        <v>1</v>
      </c>
      <c r="K388" t="n">
        <v>0</v>
      </c>
      <c r="L388" t="n">
        <v>0</v>
      </c>
      <c r="M388" t="n">
        <v>0</v>
      </c>
      <c r="N388" t="n">
        <v>0</v>
      </c>
      <c r="O388" t="n">
        <v>1</v>
      </c>
      <c r="P388" t="n">
        <v>0</v>
      </c>
      <c r="Q388" t="n">
        <v>1</v>
      </c>
      <c r="R388" s="2" t="inlineStr">
        <is>
          <t>Lunglav</t>
        </is>
      </c>
      <c r="S388">
        <f>HYPERLINK("https://klasma.github.io/Logging_232305/artfynd/A 12296-2025 artfynd.xlsx", "A 12296-2025")</f>
        <v/>
      </c>
      <c r="T388">
        <f>HYPERLINK("https://klasma.github.io/Logging_232305/kartor/A 12296-2025 karta.png", "A 12296-2025")</f>
        <v/>
      </c>
      <c r="V388">
        <f>HYPERLINK("https://klasma.github.io/Logging_232305/klagomål/A 12296-2025 FSC-klagomål.docx", "A 12296-2025")</f>
        <v/>
      </c>
      <c r="W388">
        <f>HYPERLINK("https://klasma.github.io/Logging_232305/klagomålsmail/A 12296-2025 FSC-klagomål mail.docx", "A 12296-2025")</f>
        <v/>
      </c>
      <c r="X388">
        <f>HYPERLINK("https://klasma.github.io/Logging_232305/tillsyn/A 12296-2025 tillsynsbegäran.docx", "A 12296-2025")</f>
        <v/>
      </c>
      <c r="Y388">
        <f>HYPERLINK("https://klasma.github.io/Logging_232305/tillsynsmail/A 12296-2025 tillsynsbegäran mail.docx", "A 12296-2025")</f>
        <v/>
      </c>
    </row>
    <row r="389" ht="15" customHeight="1">
      <c r="A389" t="inlineStr">
        <is>
          <t>A 14251-2025</t>
        </is>
      </c>
      <c r="B389" s="1" t="n">
        <v>45740</v>
      </c>
      <c r="C389" s="1" t="n">
        <v>45754</v>
      </c>
      <c r="D389" t="inlineStr">
        <is>
          <t>JÄMTLANDS LÄN</t>
        </is>
      </c>
      <c r="E389" t="inlineStr">
        <is>
          <t>BRÄCKE</t>
        </is>
      </c>
      <c r="F389" t="inlineStr">
        <is>
          <t>SCA</t>
        </is>
      </c>
      <c r="G389" t="n">
        <v>28.5</v>
      </c>
      <c r="H389" t="n">
        <v>1</v>
      </c>
      <c r="I389" t="n">
        <v>0</v>
      </c>
      <c r="J389" t="n">
        <v>1</v>
      </c>
      <c r="K389" t="n">
        <v>0</v>
      </c>
      <c r="L389" t="n">
        <v>0</v>
      </c>
      <c r="M389" t="n">
        <v>0</v>
      </c>
      <c r="N389" t="n">
        <v>0</v>
      </c>
      <c r="O389" t="n">
        <v>1</v>
      </c>
      <c r="P389" t="n">
        <v>0</v>
      </c>
      <c r="Q389" t="n">
        <v>1</v>
      </c>
      <c r="R389" s="2" t="inlineStr">
        <is>
          <t>Järpe</t>
        </is>
      </c>
      <c r="S389">
        <f>HYPERLINK("https://klasma.github.io/Logging_232305/artfynd/A 14251-2025 artfynd.xlsx", "A 14251-2025")</f>
        <v/>
      </c>
      <c r="T389">
        <f>HYPERLINK("https://klasma.github.io/Logging_232305/kartor/A 14251-2025 karta.png", "A 14251-2025")</f>
        <v/>
      </c>
      <c r="V389">
        <f>HYPERLINK("https://klasma.github.io/Logging_232305/klagomål/A 14251-2025 FSC-klagomål.docx", "A 14251-2025")</f>
        <v/>
      </c>
      <c r="W389">
        <f>HYPERLINK("https://klasma.github.io/Logging_232305/klagomålsmail/A 14251-2025 FSC-klagomål mail.docx", "A 14251-2025")</f>
        <v/>
      </c>
      <c r="X389">
        <f>HYPERLINK("https://klasma.github.io/Logging_232305/tillsyn/A 14251-2025 tillsynsbegäran.docx", "A 14251-2025")</f>
        <v/>
      </c>
      <c r="Y389">
        <f>HYPERLINK("https://klasma.github.io/Logging_232305/tillsynsmail/A 14251-2025 tillsynsbegäran mail.docx", "A 14251-2025")</f>
        <v/>
      </c>
      <c r="Z389">
        <f>HYPERLINK("https://klasma.github.io/Logging_232305/fåglar/A 14251-2025 prioriterade fågelarter.docx", "A 14251-2025")</f>
        <v/>
      </c>
    </row>
    <row r="390" ht="15" customHeight="1">
      <c r="A390" t="inlineStr">
        <is>
          <t>A 15189-2025</t>
        </is>
      </c>
      <c r="B390" s="1" t="n">
        <v>45744</v>
      </c>
      <c r="C390" s="1" t="n">
        <v>45754</v>
      </c>
      <c r="D390" t="inlineStr">
        <is>
          <t>JÄMTLANDS LÄN</t>
        </is>
      </c>
      <c r="E390" t="inlineStr">
        <is>
          <t>BRÄCKE</t>
        </is>
      </c>
      <c r="F390" t="inlineStr">
        <is>
          <t>SCA</t>
        </is>
      </c>
      <c r="G390" t="n">
        <v>4.6</v>
      </c>
      <c r="H390" t="n">
        <v>1</v>
      </c>
      <c r="I390" t="n">
        <v>0</v>
      </c>
      <c r="J390" t="n">
        <v>1</v>
      </c>
      <c r="K390" t="n">
        <v>0</v>
      </c>
      <c r="L390" t="n">
        <v>0</v>
      </c>
      <c r="M390" t="n">
        <v>0</v>
      </c>
      <c r="N390" t="n">
        <v>0</v>
      </c>
      <c r="O390" t="n">
        <v>1</v>
      </c>
      <c r="P390" t="n">
        <v>0</v>
      </c>
      <c r="Q390" t="n">
        <v>1</v>
      </c>
      <c r="R390" s="2" t="inlineStr">
        <is>
          <t>Tretåig hackspett</t>
        </is>
      </c>
      <c r="S390">
        <f>HYPERLINK("https://klasma.github.io/Logging_232305/artfynd/A 15189-2025 artfynd.xlsx", "A 15189-2025")</f>
        <v/>
      </c>
      <c r="T390">
        <f>HYPERLINK("https://klasma.github.io/Logging_232305/kartor/A 15189-2025 karta.png", "A 15189-2025")</f>
        <v/>
      </c>
      <c r="V390">
        <f>HYPERLINK("https://klasma.github.io/Logging_232305/klagomål/A 15189-2025 FSC-klagomål.docx", "A 15189-2025")</f>
        <v/>
      </c>
      <c r="W390">
        <f>HYPERLINK("https://klasma.github.io/Logging_232305/klagomålsmail/A 15189-2025 FSC-klagomål mail.docx", "A 15189-2025")</f>
        <v/>
      </c>
      <c r="X390">
        <f>HYPERLINK("https://klasma.github.io/Logging_232305/tillsyn/A 15189-2025 tillsynsbegäran.docx", "A 15189-2025")</f>
        <v/>
      </c>
      <c r="Y390">
        <f>HYPERLINK("https://klasma.github.io/Logging_232305/tillsynsmail/A 15189-2025 tillsynsbegäran mail.docx", "A 15189-2025")</f>
        <v/>
      </c>
      <c r="Z390">
        <f>HYPERLINK("https://klasma.github.io/Logging_232305/fåglar/A 15189-2025 prioriterade fågelarter.docx", "A 15189-2025")</f>
        <v/>
      </c>
    </row>
    <row r="391" ht="15" customHeight="1">
      <c r="A391" t="inlineStr">
        <is>
          <t>A 15462-2025</t>
        </is>
      </c>
      <c r="B391" s="1" t="n">
        <v>45747</v>
      </c>
      <c r="C391" s="1" t="n">
        <v>45754</v>
      </c>
      <c r="D391" t="inlineStr">
        <is>
          <t>JÄMTLANDS LÄN</t>
        </is>
      </c>
      <c r="E391" t="inlineStr">
        <is>
          <t>BRÄCKE</t>
        </is>
      </c>
      <c r="F391" t="inlineStr">
        <is>
          <t>SCA</t>
        </is>
      </c>
      <c r="G391" t="n">
        <v>1.6</v>
      </c>
      <c r="H391" t="n">
        <v>0</v>
      </c>
      <c r="I391" t="n">
        <v>0</v>
      </c>
      <c r="J391" t="n">
        <v>0</v>
      </c>
      <c r="K391" t="n">
        <v>1</v>
      </c>
      <c r="L391" t="n">
        <v>0</v>
      </c>
      <c r="M391" t="n">
        <v>0</v>
      </c>
      <c r="N391" t="n">
        <v>0</v>
      </c>
      <c r="O391" t="n">
        <v>1</v>
      </c>
      <c r="P391" t="n">
        <v>1</v>
      </c>
      <c r="Q391" t="n">
        <v>1</v>
      </c>
      <c r="R391" s="2" t="inlineStr">
        <is>
          <t>Smalskaftslav</t>
        </is>
      </c>
      <c r="S391">
        <f>HYPERLINK("https://klasma.github.io/Logging_232305/artfynd/A 15462-2025 artfynd.xlsx", "A 15462-2025")</f>
        <v/>
      </c>
      <c r="T391">
        <f>HYPERLINK("https://klasma.github.io/Logging_232305/kartor/A 15462-2025 karta.png", "A 15462-2025")</f>
        <v/>
      </c>
      <c r="V391">
        <f>HYPERLINK("https://klasma.github.io/Logging_232305/klagomål/A 15462-2025 FSC-klagomål.docx", "A 15462-2025")</f>
        <v/>
      </c>
      <c r="W391">
        <f>HYPERLINK("https://klasma.github.io/Logging_232305/klagomålsmail/A 15462-2025 FSC-klagomål mail.docx", "A 15462-2025")</f>
        <v/>
      </c>
      <c r="X391">
        <f>HYPERLINK("https://klasma.github.io/Logging_232305/tillsyn/A 15462-2025 tillsynsbegäran.docx", "A 15462-2025")</f>
        <v/>
      </c>
      <c r="Y391">
        <f>HYPERLINK("https://klasma.github.io/Logging_232305/tillsynsmail/A 15462-2025 tillsynsbegäran mail.docx", "A 15462-2025")</f>
        <v/>
      </c>
    </row>
    <row r="392" ht="15" customHeight="1">
      <c r="A392" t="inlineStr">
        <is>
          <t>A 17852-2019</t>
        </is>
      </c>
      <c r="B392" s="1" t="n">
        <v>43556</v>
      </c>
      <c r="C392" s="1" t="n">
        <v>45754</v>
      </c>
      <c r="D392" t="inlineStr">
        <is>
          <t>JÄMTLANDS LÄN</t>
        </is>
      </c>
      <c r="E392" t="inlineStr">
        <is>
          <t>BRÄCKE</t>
        </is>
      </c>
      <c r="G392" t="n">
        <v>2.8</v>
      </c>
      <c r="H392" t="n">
        <v>0</v>
      </c>
      <c r="I392" t="n">
        <v>0</v>
      </c>
      <c r="J392" t="n">
        <v>0</v>
      </c>
      <c r="K392" t="n">
        <v>0</v>
      </c>
      <c r="L392" t="n">
        <v>0</v>
      </c>
      <c r="M392" t="n">
        <v>0</v>
      </c>
      <c r="N392" t="n">
        <v>0</v>
      </c>
      <c r="O392" t="n">
        <v>0</v>
      </c>
      <c r="P392" t="n">
        <v>0</v>
      </c>
      <c r="Q392" t="n">
        <v>0</v>
      </c>
      <c r="R392" s="2" t="inlineStr"/>
    </row>
    <row r="393" ht="15" customHeight="1">
      <c r="A393" t="inlineStr">
        <is>
          <t>A 19559-2019</t>
        </is>
      </c>
      <c r="B393" s="1" t="n">
        <v>43565</v>
      </c>
      <c r="C393" s="1" t="n">
        <v>45754</v>
      </c>
      <c r="D393" t="inlineStr">
        <is>
          <t>JÄMTLANDS LÄN</t>
        </is>
      </c>
      <c r="E393" t="inlineStr">
        <is>
          <t>BRÄCKE</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19925-2019</t>
        </is>
      </c>
      <c r="B394" s="1" t="n">
        <v>43567</v>
      </c>
      <c r="C394" s="1" t="n">
        <v>45754</v>
      </c>
      <c r="D394" t="inlineStr">
        <is>
          <t>JÄMTLANDS LÄN</t>
        </is>
      </c>
      <c r="E394" t="inlineStr">
        <is>
          <t>BRÄCKE</t>
        </is>
      </c>
      <c r="F394" t="inlineStr">
        <is>
          <t>SCA</t>
        </is>
      </c>
      <c r="G394" t="n">
        <v>20</v>
      </c>
      <c r="H394" t="n">
        <v>0</v>
      </c>
      <c r="I394" t="n">
        <v>0</v>
      </c>
      <c r="J394" t="n">
        <v>0</v>
      </c>
      <c r="K394" t="n">
        <v>0</v>
      </c>
      <c r="L394" t="n">
        <v>0</v>
      </c>
      <c r="M394" t="n">
        <v>0</v>
      </c>
      <c r="N394" t="n">
        <v>0</v>
      </c>
      <c r="O394" t="n">
        <v>0</v>
      </c>
      <c r="P394" t="n">
        <v>0</v>
      </c>
      <c r="Q394" t="n">
        <v>0</v>
      </c>
      <c r="R394" s="2" t="inlineStr"/>
    </row>
    <row r="395" ht="15" customHeight="1">
      <c r="A395" t="inlineStr">
        <is>
          <t>A 19927-2019</t>
        </is>
      </c>
      <c r="B395" s="1" t="n">
        <v>43567</v>
      </c>
      <c r="C395" s="1" t="n">
        <v>45754</v>
      </c>
      <c r="D395" t="inlineStr">
        <is>
          <t>JÄMTLANDS LÄN</t>
        </is>
      </c>
      <c r="E395" t="inlineStr">
        <is>
          <t>BRÄCKE</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19926-2019</t>
        </is>
      </c>
      <c r="B396" s="1" t="n">
        <v>43567</v>
      </c>
      <c r="C396" s="1" t="n">
        <v>45754</v>
      </c>
      <c r="D396" t="inlineStr">
        <is>
          <t>JÄMTLANDS LÄN</t>
        </is>
      </c>
      <c r="E396" t="inlineStr">
        <is>
          <t>BRÄCKE</t>
        </is>
      </c>
      <c r="F396" t="inlineStr">
        <is>
          <t>SCA</t>
        </is>
      </c>
      <c r="G396" t="n">
        <v>18.6</v>
      </c>
      <c r="H396" t="n">
        <v>0</v>
      </c>
      <c r="I396" t="n">
        <v>0</v>
      </c>
      <c r="J396" t="n">
        <v>0</v>
      </c>
      <c r="K396" t="n">
        <v>0</v>
      </c>
      <c r="L396" t="n">
        <v>0</v>
      </c>
      <c r="M396" t="n">
        <v>0</v>
      </c>
      <c r="N396" t="n">
        <v>0</v>
      </c>
      <c r="O396" t="n">
        <v>0</v>
      </c>
      <c r="P396" t="n">
        <v>0</v>
      </c>
      <c r="Q396" t="n">
        <v>0</v>
      </c>
      <c r="R396" s="2" t="inlineStr"/>
    </row>
    <row r="397" ht="15" customHeight="1">
      <c r="A397" t="inlineStr">
        <is>
          <t>A 20186-2019</t>
        </is>
      </c>
      <c r="B397" s="1" t="n">
        <v>43570</v>
      </c>
      <c r="C397" s="1" t="n">
        <v>45754</v>
      </c>
      <c r="D397" t="inlineStr">
        <is>
          <t>JÄMTLANDS LÄN</t>
        </is>
      </c>
      <c r="E397" t="inlineStr">
        <is>
          <t>BRÄCKE</t>
        </is>
      </c>
      <c r="G397" t="n">
        <v>2.1</v>
      </c>
      <c r="H397" t="n">
        <v>0</v>
      </c>
      <c r="I397" t="n">
        <v>0</v>
      </c>
      <c r="J397" t="n">
        <v>0</v>
      </c>
      <c r="K397" t="n">
        <v>0</v>
      </c>
      <c r="L397" t="n">
        <v>0</v>
      </c>
      <c r="M397" t="n">
        <v>0</v>
      </c>
      <c r="N397" t="n">
        <v>0</v>
      </c>
      <c r="O397" t="n">
        <v>0</v>
      </c>
      <c r="P397" t="n">
        <v>0</v>
      </c>
      <c r="Q397" t="n">
        <v>0</v>
      </c>
      <c r="R397" s="2" t="inlineStr"/>
    </row>
    <row r="398" ht="15" customHeight="1">
      <c r="A398" t="inlineStr">
        <is>
          <t>A 20390-2019</t>
        </is>
      </c>
      <c r="B398" s="1" t="n">
        <v>43571</v>
      </c>
      <c r="C398" s="1" t="n">
        <v>45754</v>
      </c>
      <c r="D398" t="inlineStr">
        <is>
          <t>JÄMTLANDS LÄN</t>
        </is>
      </c>
      <c r="E398" t="inlineStr">
        <is>
          <t>BRÄCKE</t>
        </is>
      </c>
      <c r="G398" t="n">
        <v>3</v>
      </c>
      <c r="H398" t="n">
        <v>0</v>
      </c>
      <c r="I398" t="n">
        <v>0</v>
      </c>
      <c r="J398" t="n">
        <v>0</v>
      </c>
      <c r="K398" t="n">
        <v>0</v>
      </c>
      <c r="L398" t="n">
        <v>0</v>
      </c>
      <c r="M398" t="n">
        <v>0</v>
      </c>
      <c r="N398" t="n">
        <v>0</v>
      </c>
      <c r="O398" t="n">
        <v>0</v>
      </c>
      <c r="P398" t="n">
        <v>0</v>
      </c>
      <c r="Q398" t="n">
        <v>0</v>
      </c>
      <c r="R398" s="2" t="inlineStr"/>
    </row>
    <row r="399" ht="15" customHeight="1">
      <c r="A399" t="inlineStr">
        <is>
          <t>A 20448-2019</t>
        </is>
      </c>
      <c r="B399" s="1" t="n">
        <v>43571</v>
      </c>
      <c r="C399" s="1" t="n">
        <v>45754</v>
      </c>
      <c r="D399" t="inlineStr">
        <is>
          <t>JÄMTLANDS LÄN</t>
        </is>
      </c>
      <c r="E399" t="inlineStr">
        <is>
          <t>BRÄCKE</t>
        </is>
      </c>
      <c r="F399" t="inlineStr">
        <is>
          <t>SCA</t>
        </is>
      </c>
      <c r="G399" t="n">
        <v>70</v>
      </c>
      <c r="H399" t="n">
        <v>0</v>
      </c>
      <c r="I399" t="n">
        <v>0</v>
      </c>
      <c r="J399" t="n">
        <v>0</v>
      </c>
      <c r="K399" t="n">
        <v>0</v>
      </c>
      <c r="L399" t="n">
        <v>0</v>
      </c>
      <c r="M399" t="n">
        <v>0</v>
      </c>
      <c r="N399" t="n">
        <v>0</v>
      </c>
      <c r="O399" t="n">
        <v>0</v>
      </c>
      <c r="P399" t="n">
        <v>0</v>
      </c>
      <c r="Q399" t="n">
        <v>0</v>
      </c>
      <c r="R399" s="2" t="inlineStr"/>
    </row>
    <row r="400" ht="15" customHeight="1">
      <c r="A400" t="inlineStr">
        <is>
          <t>A 20539-2019</t>
        </is>
      </c>
      <c r="B400" s="1" t="n">
        <v>43572</v>
      </c>
      <c r="C400" s="1" t="n">
        <v>45754</v>
      </c>
      <c r="D400" t="inlineStr">
        <is>
          <t>JÄMTLANDS LÄN</t>
        </is>
      </c>
      <c r="E400" t="inlineStr">
        <is>
          <t>BRÄCKE</t>
        </is>
      </c>
      <c r="F400" t="inlineStr">
        <is>
          <t>Övriga Aktiebolag</t>
        </is>
      </c>
      <c r="G400" t="n">
        <v>0.9</v>
      </c>
      <c r="H400" t="n">
        <v>0</v>
      </c>
      <c r="I400" t="n">
        <v>0</v>
      </c>
      <c r="J400" t="n">
        <v>0</v>
      </c>
      <c r="K400" t="n">
        <v>0</v>
      </c>
      <c r="L400" t="n">
        <v>0</v>
      </c>
      <c r="M400" t="n">
        <v>0</v>
      </c>
      <c r="N400" t="n">
        <v>0</v>
      </c>
      <c r="O400" t="n">
        <v>0</v>
      </c>
      <c r="P400" t="n">
        <v>0</v>
      </c>
      <c r="Q400" t="n">
        <v>0</v>
      </c>
      <c r="R400" s="2" t="inlineStr"/>
    </row>
    <row r="401" ht="15" customHeight="1">
      <c r="A401" t="inlineStr">
        <is>
          <t>A 20535-2019</t>
        </is>
      </c>
      <c r="B401" s="1" t="n">
        <v>43572</v>
      </c>
      <c r="C401" s="1" t="n">
        <v>45754</v>
      </c>
      <c r="D401" t="inlineStr">
        <is>
          <t>JÄMTLANDS LÄN</t>
        </is>
      </c>
      <c r="E401" t="inlineStr">
        <is>
          <t>BRÄCKE</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20827-2019</t>
        </is>
      </c>
      <c r="B402" s="1" t="n">
        <v>43573</v>
      </c>
      <c r="C402" s="1" t="n">
        <v>45754</v>
      </c>
      <c r="D402" t="inlineStr">
        <is>
          <t>JÄMTLANDS LÄN</t>
        </is>
      </c>
      <c r="E402" t="inlineStr">
        <is>
          <t>BRÄCKE</t>
        </is>
      </c>
      <c r="F402" t="inlineStr">
        <is>
          <t>SCA</t>
        </is>
      </c>
      <c r="G402" t="n">
        <v>40.9</v>
      </c>
      <c r="H402" t="n">
        <v>0</v>
      </c>
      <c r="I402" t="n">
        <v>0</v>
      </c>
      <c r="J402" t="n">
        <v>0</v>
      </c>
      <c r="K402" t="n">
        <v>0</v>
      </c>
      <c r="L402" t="n">
        <v>0</v>
      </c>
      <c r="M402" t="n">
        <v>0</v>
      </c>
      <c r="N402" t="n">
        <v>0</v>
      </c>
      <c r="O402" t="n">
        <v>0</v>
      </c>
      <c r="P402" t="n">
        <v>0</v>
      </c>
      <c r="Q402" t="n">
        <v>0</v>
      </c>
      <c r="R402" s="2" t="inlineStr"/>
    </row>
    <row r="403" ht="15" customHeight="1">
      <c r="A403" t="inlineStr">
        <is>
          <t>A 20926-2019</t>
        </is>
      </c>
      <c r="B403" s="1" t="n">
        <v>43578</v>
      </c>
      <c r="C403" s="1" t="n">
        <v>45754</v>
      </c>
      <c r="D403" t="inlineStr">
        <is>
          <t>JÄMTLANDS LÄN</t>
        </is>
      </c>
      <c r="E403" t="inlineStr">
        <is>
          <t>BRÄCKE</t>
        </is>
      </c>
      <c r="G403" t="n">
        <v>11</v>
      </c>
      <c r="H403" t="n">
        <v>0</v>
      </c>
      <c r="I403" t="n">
        <v>0</v>
      </c>
      <c r="J403" t="n">
        <v>0</v>
      </c>
      <c r="K403" t="n">
        <v>0</v>
      </c>
      <c r="L403" t="n">
        <v>0</v>
      </c>
      <c r="M403" t="n">
        <v>0</v>
      </c>
      <c r="N403" t="n">
        <v>0</v>
      </c>
      <c r="O403" t="n">
        <v>0</v>
      </c>
      <c r="P403" t="n">
        <v>0</v>
      </c>
      <c r="Q403" t="n">
        <v>0</v>
      </c>
      <c r="R403" s="2" t="inlineStr"/>
    </row>
    <row r="404" ht="15" customHeight="1">
      <c r="A404" t="inlineStr">
        <is>
          <t>A 21116-2019</t>
        </is>
      </c>
      <c r="B404" s="1" t="n">
        <v>43578</v>
      </c>
      <c r="C404" s="1" t="n">
        <v>45754</v>
      </c>
      <c r="D404" t="inlineStr">
        <is>
          <t>JÄMTLANDS LÄN</t>
        </is>
      </c>
      <c r="E404" t="inlineStr">
        <is>
          <t>BRÄCKE</t>
        </is>
      </c>
      <c r="F404" t="inlineStr">
        <is>
          <t>SCA</t>
        </is>
      </c>
      <c r="G404" t="n">
        <v>70</v>
      </c>
      <c r="H404" t="n">
        <v>0</v>
      </c>
      <c r="I404" t="n">
        <v>0</v>
      </c>
      <c r="J404" t="n">
        <v>0</v>
      </c>
      <c r="K404" t="n">
        <v>0</v>
      </c>
      <c r="L404" t="n">
        <v>0</v>
      </c>
      <c r="M404" t="n">
        <v>0</v>
      </c>
      <c r="N404" t="n">
        <v>0</v>
      </c>
      <c r="O404" t="n">
        <v>0</v>
      </c>
      <c r="P404" t="n">
        <v>0</v>
      </c>
      <c r="Q404" t="n">
        <v>0</v>
      </c>
      <c r="R404" s="2" t="inlineStr"/>
    </row>
    <row r="405" ht="15" customHeight="1">
      <c r="A405" t="inlineStr">
        <is>
          <t>A 21454-2019</t>
        </is>
      </c>
      <c r="B405" s="1" t="n">
        <v>43580</v>
      </c>
      <c r="C405" s="1" t="n">
        <v>45754</v>
      </c>
      <c r="D405" t="inlineStr">
        <is>
          <t>JÄMTLANDS LÄN</t>
        </is>
      </c>
      <c r="E405" t="inlineStr">
        <is>
          <t>BRÄCKE</t>
        </is>
      </c>
      <c r="G405" t="n">
        <v>1.5</v>
      </c>
      <c r="H405" t="n">
        <v>0</v>
      </c>
      <c r="I405" t="n">
        <v>0</v>
      </c>
      <c r="J405" t="n">
        <v>0</v>
      </c>
      <c r="K405" t="n">
        <v>0</v>
      </c>
      <c r="L405" t="n">
        <v>0</v>
      </c>
      <c r="M405" t="n">
        <v>0</v>
      </c>
      <c r="N405" t="n">
        <v>0</v>
      </c>
      <c r="O405" t="n">
        <v>0</v>
      </c>
      <c r="P405" t="n">
        <v>0</v>
      </c>
      <c r="Q405" t="n">
        <v>0</v>
      </c>
      <c r="R405" s="2" t="inlineStr"/>
    </row>
    <row r="406" ht="15" customHeight="1">
      <c r="A406" t="inlineStr">
        <is>
          <t>A 21438-2019</t>
        </is>
      </c>
      <c r="B406" s="1" t="n">
        <v>43580</v>
      </c>
      <c r="C406" s="1" t="n">
        <v>45754</v>
      </c>
      <c r="D406" t="inlineStr">
        <is>
          <t>JÄMTLANDS LÄN</t>
        </is>
      </c>
      <c r="E406" t="inlineStr">
        <is>
          <t>BRÄCKE</t>
        </is>
      </c>
      <c r="G406" t="n">
        <v>0.9</v>
      </c>
      <c r="H406" t="n">
        <v>0</v>
      </c>
      <c r="I406" t="n">
        <v>0</v>
      </c>
      <c r="J406" t="n">
        <v>0</v>
      </c>
      <c r="K406" t="n">
        <v>0</v>
      </c>
      <c r="L406" t="n">
        <v>0</v>
      </c>
      <c r="M406" t="n">
        <v>0</v>
      </c>
      <c r="N406" t="n">
        <v>0</v>
      </c>
      <c r="O406" t="n">
        <v>0</v>
      </c>
      <c r="P406" t="n">
        <v>0</v>
      </c>
      <c r="Q406" t="n">
        <v>0</v>
      </c>
      <c r="R406" s="2" t="inlineStr"/>
    </row>
    <row r="407" ht="15" customHeight="1">
      <c r="A407" t="inlineStr">
        <is>
          <t>A 21428-2019</t>
        </is>
      </c>
      <c r="B407" s="1" t="n">
        <v>43580</v>
      </c>
      <c r="C407" s="1" t="n">
        <v>45754</v>
      </c>
      <c r="D407" t="inlineStr">
        <is>
          <t>JÄMTLANDS LÄN</t>
        </is>
      </c>
      <c r="E407" t="inlineStr">
        <is>
          <t>BRÄCKE</t>
        </is>
      </c>
      <c r="G407" t="n">
        <v>4.5</v>
      </c>
      <c r="H407" t="n">
        <v>0</v>
      </c>
      <c r="I407" t="n">
        <v>0</v>
      </c>
      <c r="J407" t="n">
        <v>0</v>
      </c>
      <c r="K407" t="n">
        <v>0</v>
      </c>
      <c r="L407" t="n">
        <v>0</v>
      </c>
      <c r="M407" t="n">
        <v>0</v>
      </c>
      <c r="N407" t="n">
        <v>0</v>
      </c>
      <c r="O407" t="n">
        <v>0</v>
      </c>
      <c r="P407" t="n">
        <v>0</v>
      </c>
      <c r="Q407" t="n">
        <v>0</v>
      </c>
      <c r="R407" s="2" t="inlineStr"/>
    </row>
    <row r="408" ht="15" customHeight="1">
      <c r="A408" t="inlineStr">
        <is>
          <t>A 21792-2019</t>
        </is>
      </c>
      <c r="B408" s="1" t="n">
        <v>43581</v>
      </c>
      <c r="C408" s="1" t="n">
        <v>45754</v>
      </c>
      <c r="D408" t="inlineStr">
        <is>
          <t>JÄMTLANDS LÄN</t>
        </is>
      </c>
      <c r="E408" t="inlineStr">
        <is>
          <t>BRÄCKE</t>
        </is>
      </c>
      <c r="G408" t="n">
        <v>1</v>
      </c>
      <c r="H408" t="n">
        <v>0</v>
      </c>
      <c r="I408" t="n">
        <v>0</v>
      </c>
      <c r="J408" t="n">
        <v>0</v>
      </c>
      <c r="K408" t="n">
        <v>0</v>
      </c>
      <c r="L408" t="n">
        <v>0</v>
      </c>
      <c r="M408" t="n">
        <v>0</v>
      </c>
      <c r="N408" t="n">
        <v>0</v>
      </c>
      <c r="O408" t="n">
        <v>0</v>
      </c>
      <c r="P408" t="n">
        <v>0</v>
      </c>
      <c r="Q408" t="n">
        <v>0</v>
      </c>
      <c r="R408" s="2" t="inlineStr"/>
    </row>
    <row r="409" ht="15" customHeight="1">
      <c r="A409" t="inlineStr">
        <is>
          <t>A 21798-2019</t>
        </is>
      </c>
      <c r="B409" s="1" t="n">
        <v>43581</v>
      </c>
      <c r="C409" s="1" t="n">
        <v>45754</v>
      </c>
      <c r="D409" t="inlineStr">
        <is>
          <t>JÄMTLANDS LÄN</t>
        </is>
      </c>
      <c r="E409" t="inlineStr">
        <is>
          <t>BRÄCKE</t>
        </is>
      </c>
      <c r="F409" t="inlineStr">
        <is>
          <t>SCA</t>
        </is>
      </c>
      <c r="G409" t="n">
        <v>7.3</v>
      </c>
      <c r="H409" t="n">
        <v>0</v>
      </c>
      <c r="I409" t="n">
        <v>0</v>
      </c>
      <c r="J409" t="n">
        <v>0</v>
      </c>
      <c r="K409" t="n">
        <v>0</v>
      </c>
      <c r="L409" t="n">
        <v>0</v>
      </c>
      <c r="M409" t="n">
        <v>0</v>
      </c>
      <c r="N409" t="n">
        <v>0</v>
      </c>
      <c r="O409" t="n">
        <v>0</v>
      </c>
      <c r="P409" t="n">
        <v>0</v>
      </c>
      <c r="Q409" t="n">
        <v>0</v>
      </c>
      <c r="R409" s="2" t="inlineStr"/>
      <c r="U409">
        <f>HYPERLINK("https://klasma.github.io/Logging_2305/knärot/A 21798-2019 karta knärot.png", "A 21798-2019")</f>
        <v/>
      </c>
      <c r="V409">
        <f>HYPERLINK("https://klasma.github.io/Logging_2305/klagomål/A 21798-2019 FSC-klagomål.docx", "A 21798-2019")</f>
        <v/>
      </c>
      <c r="W409">
        <f>HYPERLINK("https://klasma.github.io/Logging_2305/klagomålsmail/A 21798-2019 FSC-klagomål mail.docx", "A 21798-2019")</f>
        <v/>
      </c>
      <c r="X409">
        <f>HYPERLINK("https://klasma.github.io/Logging_2305/tillsyn/A 21798-2019 tillsynsbegäran.docx", "A 21798-2019")</f>
        <v/>
      </c>
      <c r="Y409">
        <f>HYPERLINK("https://klasma.github.io/Logging_2305/tillsynsmail/A 21798-2019 tillsynsbegäran mail.docx", "A 21798-2019")</f>
        <v/>
      </c>
    </row>
    <row r="410" ht="15" customHeight="1">
      <c r="A410" t="inlineStr">
        <is>
          <t>A 22299-2019</t>
        </is>
      </c>
      <c r="B410" s="1" t="n">
        <v>43585</v>
      </c>
      <c r="C410" s="1" t="n">
        <v>45754</v>
      </c>
      <c r="D410" t="inlineStr">
        <is>
          <t>JÄMTLANDS LÄN</t>
        </is>
      </c>
      <c r="E410" t="inlineStr">
        <is>
          <t>BRÄCKE</t>
        </is>
      </c>
      <c r="F410" t="inlineStr">
        <is>
          <t>SCA</t>
        </is>
      </c>
      <c r="G410" t="n">
        <v>5.2</v>
      </c>
      <c r="H410" t="n">
        <v>0</v>
      </c>
      <c r="I410" t="n">
        <v>0</v>
      </c>
      <c r="J410" t="n">
        <v>0</v>
      </c>
      <c r="K410" t="n">
        <v>0</v>
      </c>
      <c r="L410" t="n">
        <v>0</v>
      </c>
      <c r="M410" t="n">
        <v>0</v>
      </c>
      <c r="N410" t="n">
        <v>0</v>
      </c>
      <c r="O410" t="n">
        <v>0</v>
      </c>
      <c r="P410" t="n">
        <v>0</v>
      </c>
      <c r="Q410" t="n">
        <v>0</v>
      </c>
      <c r="R410" s="2" t="inlineStr"/>
    </row>
    <row r="411" ht="15" customHeight="1">
      <c r="A411" t="inlineStr">
        <is>
          <t>A 22778-2019</t>
        </is>
      </c>
      <c r="B411" s="1" t="n">
        <v>43589</v>
      </c>
      <c r="C411" s="1" t="n">
        <v>45754</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23480-2019</t>
        </is>
      </c>
      <c r="B412" s="1" t="n">
        <v>43593</v>
      </c>
      <c r="C412" s="1" t="n">
        <v>45754</v>
      </c>
      <c r="D412" t="inlineStr">
        <is>
          <t>JÄMTLANDS LÄN</t>
        </is>
      </c>
      <c r="E412" t="inlineStr">
        <is>
          <t>BRÄCKE</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23743-2019</t>
        </is>
      </c>
      <c r="B413" s="1" t="n">
        <v>43594</v>
      </c>
      <c r="C413" s="1" t="n">
        <v>45754</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23736-2019</t>
        </is>
      </c>
      <c r="B414" s="1" t="n">
        <v>43594</v>
      </c>
      <c r="C414" s="1" t="n">
        <v>45754</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24122-2019</t>
        </is>
      </c>
      <c r="B415" s="1" t="n">
        <v>43598</v>
      </c>
      <c r="C415" s="1" t="n">
        <v>45754</v>
      </c>
      <c r="D415" t="inlineStr">
        <is>
          <t>JÄMTLANDS LÄN</t>
        </is>
      </c>
      <c r="E415" t="inlineStr">
        <is>
          <t>BRÄCKE</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25018-2019</t>
        </is>
      </c>
      <c r="B416" s="1" t="n">
        <v>43602</v>
      </c>
      <c r="C416" s="1" t="n">
        <v>45754</v>
      </c>
      <c r="D416" t="inlineStr">
        <is>
          <t>JÄMTLANDS LÄN</t>
        </is>
      </c>
      <c r="E416" t="inlineStr">
        <is>
          <t>BRÄCKE</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26001-2019</t>
        </is>
      </c>
      <c r="B417" s="1" t="n">
        <v>43608</v>
      </c>
      <c r="C417" s="1" t="n">
        <v>45754</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26237-2019</t>
        </is>
      </c>
      <c r="B418" s="1" t="n">
        <v>43609</v>
      </c>
      <c r="C418" s="1" t="n">
        <v>45754</v>
      </c>
      <c r="D418" t="inlineStr">
        <is>
          <t>JÄMTLANDS LÄN</t>
        </is>
      </c>
      <c r="E418" t="inlineStr">
        <is>
          <t>BRÄCKE</t>
        </is>
      </c>
      <c r="G418" t="n">
        <v>22.7</v>
      </c>
      <c r="H418" t="n">
        <v>0</v>
      </c>
      <c r="I418" t="n">
        <v>0</v>
      </c>
      <c r="J418" t="n">
        <v>0</v>
      </c>
      <c r="K418" t="n">
        <v>0</v>
      </c>
      <c r="L418" t="n">
        <v>0</v>
      </c>
      <c r="M418" t="n">
        <v>0</v>
      </c>
      <c r="N418" t="n">
        <v>0</v>
      </c>
      <c r="O418" t="n">
        <v>0</v>
      </c>
      <c r="P418" t="n">
        <v>0</v>
      </c>
      <c r="Q418" t="n">
        <v>0</v>
      </c>
      <c r="R418" s="2" t="inlineStr"/>
    </row>
    <row r="419" ht="15" customHeight="1">
      <c r="A419" t="inlineStr">
        <is>
          <t>A 26638-2019</t>
        </is>
      </c>
      <c r="B419" s="1" t="n">
        <v>43612</v>
      </c>
      <c r="C419" s="1" t="n">
        <v>45754</v>
      </c>
      <c r="D419" t="inlineStr">
        <is>
          <t>JÄMTLANDS LÄN</t>
        </is>
      </c>
      <c r="E419" t="inlineStr">
        <is>
          <t>BRÄCKE</t>
        </is>
      </c>
      <c r="G419" t="n">
        <v>2.8</v>
      </c>
      <c r="H419" t="n">
        <v>0</v>
      </c>
      <c r="I419" t="n">
        <v>0</v>
      </c>
      <c r="J419" t="n">
        <v>0</v>
      </c>
      <c r="K419" t="n">
        <v>0</v>
      </c>
      <c r="L419" t="n">
        <v>0</v>
      </c>
      <c r="M419" t="n">
        <v>0</v>
      </c>
      <c r="N419" t="n">
        <v>0</v>
      </c>
      <c r="O419" t="n">
        <v>0</v>
      </c>
      <c r="P419" t="n">
        <v>0</v>
      </c>
      <c r="Q419" t="n">
        <v>0</v>
      </c>
      <c r="R419" s="2" t="inlineStr"/>
    </row>
    <row r="420" ht="15" customHeight="1">
      <c r="A420" t="inlineStr">
        <is>
          <t>A 27229-2019</t>
        </is>
      </c>
      <c r="B420" s="1" t="n">
        <v>43614</v>
      </c>
      <c r="C420" s="1" t="n">
        <v>45754</v>
      </c>
      <c r="D420" t="inlineStr">
        <is>
          <t>JÄMTLANDS LÄN</t>
        </is>
      </c>
      <c r="E420" t="inlineStr">
        <is>
          <t>BRÄCKE</t>
        </is>
      </c>
      <c r="F420" t="inlineStr">
        <is>
          <t>SCA</t>
        </is>
      </c>
      <c r="G420" t="n">
        <v>7.1</v>
      </c>
      <c r="H420" t="n">
        <v>0</v>
      </c>
      <c r="I420" t="n">
        <v>0</v>
      </c>
      <c r="J420" t="n">
        <v>0</v>
      </c>
      <c r="K420" t="n">
        <v>0</v>
      </c>
      <c r="L420" t="n">
        <v>0</v>
      </c>
      <c r="M420" t="n">
        <v>0</v>
      </c>
      <c r="N420" t="n">
        <v>0</v>
      </c>
      <c r="O420" t="n">
        <v>0</v>
      </c>
      <c r="P420" t="n">
        <v>0</v>
      </c>
      <c r="Q420" t="n">
        <v>0</v>
      </c>
      <c r="R420" s="2" t="inlineStr"/>
    </row>
    <row r="421" ht="15" customHeight="1">
      <c r="A421" t="inlineStr">
        <is>
          <t>A 28950-2019</t>
        </is>
      </c>
      <c r="B421" s="1" t="n">
        <v>43628</v>
      </c>
      <c r="C421" s="1" t="n">
        <v>45754</v>
      </c>
      <c r="D421" t="inlineStr">
        <is>
          <t>JÄMTLANDS LÄN</t>
        </is>
      </c>
      <c r="E421" t="inlineStr">
        <is>
          <t>BRÄCKE</t>
        </is>
      </c>
      <c r="G421" t="n">
        <v>2.3</v>
      </c>
      <c r="H421" t="n">
        <v>0</v>
      </c>
      <c r="I421" t="n">
        <v>0</v>
      </c>
      <c r="J421" t="n">
        <v>0</v>
      </c>
      <c r="K421" t="n">
        <v>0</v>
      </c>
      <c r="L421" t="n">
        <v>0</v>
      </c>
      <c r="M421" t="n">
        <v>0</v>
      </c>
      <c r="N421" t="n">
        <v>0</v>
      </c>
      <c r="O421" t="n">
        <v>0</v>
      </c>
      <c r="P421" t="n">
        <v>0</v>
      </c>
      <c r="Q421" t="n">
        <v>0</v>
      </c>
      <c r="R421" s="2" t="inlineStr"/>
    </row>
    <row r="422" ht="15" customHeight="1">
      <c r="A422" t="inlineStr">
        <is>
          <t>A 29476-2019</t>
        </is>
      </c>
      <c r="B422" s="1" t="n">
        <v>43629</v>
      </c>
      <c r="C422" s="1" t="n">
        <v>45754</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30076-2019</t>
        </is>
      </c>
      <c r="B423" s="1" t="n">
        <v>43633</v>
      </c>
      <c r="C423" s="1" t="n">
        <v>45754</v>
      </c>
      <c r="D423" t="inlineStr">
        <is>
          <t>JÄMTLANDS LÄN</t>
        </is>
      </c>
      <c r="E423" t="inlineStr">
        <is>
          <t>BRÄCKE</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30072-2019</t>
        </is>
      </c>
      <c r="B424" s="1" t="n">
        <v>43633</v>
      </c>
      <c r="C424" s="1" t="n">
        <v>45754</v>
      </c>
      <c r="D424" t="inlineStr">
        <is>
          <t>JÄMTLANDS LÄN</t>
        </is>
      </c>
      <c r="E424" t="inlineStr">
        <is>
          <t>BRÄCKE</t>
        </is>
      </c>
      <c r="F424" t="inlineStr">
        <is>
          <t>Naturvårdsverket</t>
        </is>
      </c>
      <c r="G424" t="n">
        <v>39</v>
      </c>
      <c r="H424" t="n">
        <v>0</v>
      </c>
      <c r="I424" t="n">
        <v>0</v>
      </c>
      <c r="J424" t="n">
        <v>0</v>
      </c>
      <c r="K424" t="n">
        <v>0</v>
      </c>
      <c r="L424" t="n">
        <v>0</v>
      </c>
      <c r="M424" t="n">
        <v>0</v>
      </c>
      <c r="N424" t="n">
        <v>0</v>
      </c>
      <c r="O424" t="n">
        <v>0</v>
      </c>
      <c r="P424" t="n">
        <v>0</v>
      </c>
      <c r="Q424" t="n">
        <v>0</v>
      </c>
      <c r="R424" s="2" t="inlineStr"/>
    </row>
    <row r="425" ht="15" customHeight="1">
      <c r="A425" t="inlineStr">
        <is>
          <t>A 30071-2019</t>
        </is>
      </c>
      <c r="B425" s="1" t="n">
        <v>43633</v>
      </c>
      <c r="C425" s="1" t="n">
        <v>45754</v>
      </c>
      <c r="D425" t="inlineStr">
        <is>
          <t>JÄMTLANDS LÄN</t>
        </is>
      </c>
      <c r="E425" t="inlineStr">
        <is>
          <t>BRÄCKE</t>
        </is>
      </c>
      <c r="F425" t="inlineStr">
        <is>
          <t>SCA</t>
        </is>
      </c>
      <c r="G425" t="n">
        <v>4.9</v>
      </c>
      <c r="H425" t="n">
        <v>0</v>
      </c>
      <c r="I425" t="n">
        <v>0</v>
      </c>
      <c r="J425" t="n">
        <v>0</v>
      </c>
      <c r="K425" t="n">
        <v>0</v>
      </c>
      <c r="L425" t="n">
        <v>0</v>
      </c>
      <c r="M425" t="n">
        <v>0</v>
      </c>
      <c r="N425" t="n">
        <v>0</v>
      </c>
      <c r="O425" t="n">
        <v>0</v>
      </c>
      <c r="P425" t="n">
        <v>0</v>
      </c>
      <c r="Q425" t="n">
        <v>0</v>
      </c>
      <c r="R425" s="2" t="inlineStr"/>
    </row>
    <row r="426" ht="15" customHeight="1">
      <c r="A426" t="inlineStr">
        <is>
          <t>A 30625-2019</t>
        </is>
      </c>
      <c r="B426" s="1" t="n">
        <v>43635</v>
      </c>
      <c r="C426" s="1" t="n">
        <v>45754</v>
      </c>
      <c r="D426" t="inlineStr">
        <is>
          <t>JÄMTLANDS LÄN</t>
        </is>
      </c>
      <c r="E426" t="inlineStr">
        <is>
          <t>BRÄCKE</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30627-2019</t>
        </is>
      </c>
      <c r="B427" s="1" t="n">
        <v>43635</v>
      </c>
      <c r="C427" s="1" t="n">
        <v>45754</v>
      </c>
      <c r="D427" t="inlineStr">
        <is>
          <t>JÄMTLANDS LÄN</t>
        </is>
      </c>
      <c r="E427" t="inlineStr">
        <is>
          <t>BRÄCKE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30678-2019</t>
        </is>
      </c>
      <c r="B428" s="1" t="n">
        <v>43636</v>
      </c>
      <c r="C428" s="1" t="n">
        <v>45754</v>
      </c>
      <c r="D428" t="inlineStr">
        <is>
          <t>JÄMTLANDS LÄN</t>
        </is>
      </c>
      <c r="E428" t="inlineStr">
        <is>
          <t>BRÄCKE</t>
        </is>
      </c>
      <c r="G428" t="n">
        <v>2</v>
      </c>
      <c r="H428" t="n">
        <v>0</v>
      </c>
      <c r="I428" t="n">
        <v>0</v>
      </c>
      <c r="J428" t="n">
        <v>0</v>
      </c>
      <c r="K428" t="n">
        <v>0</v>
      </c>
      <c r="L428" t="n">
        <v>0</v>
      </c>
      <c r="M428" t="n">
        <v>0</v>
      </c>
      <c r="N428" t="n">
        <v>0</v>
      </c>
      <c r="O428" t="n">
        <v>0</v>
      </c>
      <c r="P428" t="n">
        <v>0</v>
      </c>
      <c r="Q428" t="n">
        <v>0</v>
      </c>
      <c r="R428" s="2" t="inlineStr"/>
    </row>
    <row r="429" ht="15" customHeight="1">
      <c r="A429" t="inlineStr">
        <is>
          <t>A 30935-2019</t>
        </is>
      </c>
      <c r="B429" s="1" t="n">
        <v>43636</v>
      </c>
      <c r="C429" s="1" t="n">
        <v>45754</v>
      </c>
      <c r="D429" t="inlineStr">
        <is>
          <t>JÄMTLANDS LÄN</t>
        </is>
      </c>
      <c r="E429" t="inlineStr">
        <is>
          <t>BRÄCKE</t>
        </is>
      </c>
      <c r="F429" t="inlineStr">
        <is>
          <t>SCA</t>
        </is>
      </c>
      <c r="G429" t="n">
        <v>4.8</v>
      </c>
      <c r="H429" t="n">
        <v>0</v>
      </c>
      <c r="I429" t="n">
        <v>0</v>
      </c>
      <c r="J429" t="n">
        <v>0</v>
      </c>
      <c r="K429" t="n">
        <v>0</v>
      </c>
      <c r="L429" t="n">
        <v>0</v>
      </c>
      <c r="M429" t="n">
        <v>0</v>
      </c>
      <c r="N429" t="n">
        <v>0</v>
      </c>
      <c r="O429" t="n">
        <v>0</v>
      </c>
      <c r="P429" t="n">
        <v>0</v>
      </c>
      <c r="Q429" t="n">
        <v>0</v>
      </c>
      <c r="R429" s="2" t="inlineStr"/>
    </row>
    <row r="430" ht="15" customHeight="1">
      <c r="A430" t="inlineStr">
        <is>
          <t>A 31292-2019</t>
        </is>
      </c>
      <c r="B430" s="1" t="n">
        <v>43640</v>
      </c>
      <c r="C430" s="1" t="n">
        <v>45754</v>
      </c>
      <c r="D430" t="inlineStr">
        <is>
          <t>JÄMTLANDS LÄN</t>
        </is>
      </c>
      <c r="E430" t="inlineStr">
        <is>
          <t>BRÄCKE</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31291-2019</t>
        </is>
      </c>
      <c r="B431" s="1" t="n">
        <v>43640</v>
      </c>
      <c r="C431" s="1" t="n">
        <v>45754</v>
      </c>
      <c r="D431" t="inlineStr">
        <is>
          <t>JÄMTLANDS LÄN</t>
        </is>
      </c>
      <c r="E431" t="inlineStr">
        <is>
          <t>BRÄCKE</t>
        </is>
      </c>
      <c r="F431" t="inlineStr">
        <is>
          <t>SCA</t>
        </is>
      </c>
      <c r="G431" t="n">
        <v>18.7</v>
      </c>
      <c r="H431" t="n">
        <v>0</v>
      </c>
      <c r="I431" t="n">
        <v>0</v>
      </c>
      <c r="J431" t="n">
        <v>0</v>
      </c>
      <c r="K431" t="n">
        <v>0</v>
      </c>
      <c r="L431" t="n">
        <v>0</v>
      </c>
      <c r="M431" t="n">
        <v>0</v>
      </c>
      <c r="N431" t="n">
        <v>0</v>
      </c>
      <c r="O431" t="n">
        <v>0</v>
      </c>
      <c r="P431" t="n">
        <v>0</v>
      </c>
      <c r="Q431" t="n">
        <v>0</v>
      </c>
      <c r="R431" s="2" t="inlineStr"/>
    </row>
    <row r="432" ht="15" customHeight="1">
      <c r="A432" t="inlineStr">
        <is>
          <t>A 32572-2019</t>
        </is>
      </c>
      <c r="B432" s="1" t="n">
        <v>43647</v>
      </c>
      <c r="C432" s="1" t="n">
        <v>45754</v>
      </c>
      <c r="D432" t="inlineStr">
        <is>
          <t>JÄMTLANDS LÄN</t>
        </is>
      </c>
      <c r="E432" t="inlineStr">
        <is>
          <t>BRÄCKE</t>
        </is>
      </c>
      <c r="F432" t="inlineStr">
        <is>
          <t>Övriga Aktiebolag</t>
        </is>
      </c>
      <c r="G432" t="n">
        <v>6.8</v>
      </c>
      <c r="H432" t="n">
        <v>0</v>
      </c>
      <c r="I432" t="n">
        <v>0</v>
      </c>
      <c r="J432" t="n">
        <v>0</v>
      </c>
      <c r="K432" t="n">
        <v>0</v>
      </c>
      <c r="L432" t="n">
        <v>0</v>
      </c>
      <c r="M432" t="n">
        <v>0</v>
      </c>
      <c r="N432" t="n">
        <v>0</v>
      </c>
      <c r="O432" t="n">
        <v>0</v>
      </c>
      <c r="P432" t="n">
        <v>0</v>
      </c>
      <c r="Q432" t="n">
        <v>0</v>
      </c>
      <c r="R432" s="2" t="inlineStr"/>
    </row>
    <row r="433" ht="15" customHeight="1">
      <c r="A433" t="inlineStr">
        <is>
          <t>A 34658-2019</t>
        </is>
      </c>
      <c r="B433" s="1" t="n">
        <v>43648</v>
      </c>
      <c r="C433" s="1" t="n">
        <v>45754</v>
      </c>
      <c r="D433" t="inlineStr">
        <is>
          <t>JÄMTLANDS LÄN</t>
        </is>
      </c>
      <c r="E433" t="inlineStr">
        <is>
          <t>BRÄCKE</t>
        </is>
      </c>
      <c r="G433" t="n">
        <v>1.2</v>
      </c>
      <c r="H433" t="n">
        <v>0</v>
      </c>
      <c r="I433" t="n">
        <v>0</v>
      </c>
      <c r="J433" t="n">
        <v>0</v>
      </c>
      <c r="K433" t="n">
        <v>0</v>
      </c>
      <c r="L433" t="n">
        <v>0</v>
      </c>
      <c r="M433" t="n">
        <v>0</v>
      </c>
      <c r="N433" t="n">
        <v>0</v>
      </c>
      <c r="O433" t="n">
        <v>0</v>
      </c>
      <c r="P433" t="n">
        <v>0</v>
      </c>
      <c r="Q433" t="n">
        <v>0</v>
      </c>
      <c r="R433" s="2" t="inlineStr"/>
    </row>
    <row r="434" ht="15" customHeight="1">
      <c r="A434" t="inlineStr">
        <is>
          <t>A 33222-2019</t>
        </is>
      </c>
      <c r="B434" s="1" t="n">
        <v>43649</v>
      </c>
      <c r="C434" s="1" t="n">
        <v>45754</v>
      </c>
      <c r="D434" t="inlineStr">
        <is>
          <t>JÄMTLANDS LÄN</t>
        </is>
      </c>
      <c r="E434" t="inlineStr">
        <is>
          <t>BRÄCKE</t>
        </is>
      </c>
      <c r="F434" t="inlineStr">
        <is>
          <t>SCA</t>
        </is>
      </c>
      <c r="G434" t="n">
        <v>7.2</v>
      </c>
      <c r="H434" t="n">
        <v>0</v>
      </c>
      <c r="I434" t="n">
        <v>0</v>
      </c>
      <c r="J434" t="n">
        <v>0</v>
      </c>
      <c r="K434" t="n">
        <v>0</v>
      </c>
      <c r="L434" t="n">
        <v>0</v>
      </c>
      <c r="M434" t="n">
        <v>0</v>
      </c>
      <c r="N434" t="n">
        <v>0</v>
      </c>
      <c r="O434" t="n">
        <v>0</v>
      </c>
      <c r="P434" t="n">
        <v>0</v>
      </c>
      <c r="Q434" t="n">
        <v>0</v>
      </c>
      <c r="R434" s="2" t="inlineStr"/>
    </row>
    <row r="435" ht="15" customHeight="1">
      <c r="A435" t="inlineStr">
        <is>
          <t>A 33379-2019</t>
        </is>
      </c>
      <c r="B435" s="1" t="n">
        <v>43650</v>
      </c>
      <c r="C435" s="1" t="n">
        <v>45754</v>
      </c>
      <c r="D435" t="inlineStr">
        <is>
          <t>JÄMTLANDS LÄN</t>
        </is>
      </c>
      <c r="E435" t="inlineStr">
        <is>
          <t>BRÄCKE</t>
        </is>
      </c>
      <c r="F435" t="inlineStr">
        <is>
          <t>Övriga Aktiebolag</t>
        </is>
      </c>
      <c r="G435" t="n">
        <v>32.7</v>
      </c>
      <c r="H435" t="n">
        <v>0</v>
      </c>
      <c r="I435" t="n">
        <v>0</v>
      </c>
      <c r="J435" t="n">
        <v>0</v>
      </c>
      <c r="K435" t="n">
        <v>0</v>
      </c>
      <c r="L435" t="n">
        <v>0</v>
      </c>
      <c r="M435" t="n">
        <v>0</v>
      </c>
      <c r="N435" t="n">
        <v>0</v>
      </c>
      <c r="O435" t="n">
        <v>0</v>
      </c>
      <c r="P435" t="n">
        <v>0</v>
      </c>
      <c r="Q435" t="n">
        <v>0</v>
      </c>
      <c r="R435" s="2" t="inlineStr"/>
    </row>
    <row r="436" ht="15" customHeight="1">
      <c r="A436" t="inlineStr">
        <is>
          <t>A 33830-2019</t>
        </is>
      </c>
      <c r="B436" s="1" t="n">
        <v>43651</v>
      </c>
      <c r="C436" s="1" t="n">
        <v>45754</v>
      </c>
      <c r="D436" t="inlineStr">
        <is>
          <t>JÄMTLANDS LÄN</t>
        </is>
      </c>
      <c r="E436" t="inlineStr">
        <is>
          <t>BRÄCKE</t>
        </is>
      </c>
      <c r="F436" t="inlineStr">
        <is>
          <t>SCA</t>
        </is>
      </c>
      <c r="G436" t="n">
        <v>6.7</v>
      </c>
      <c r="H436" t="n">
        <v>0</v>
      </c>
      <c r="I436" t="n">
        <v>0</v>
      </c>
      <c r="J436" t="n">
        <v>0</v>
      </c>
      <c r="K436" t="n">
        <v>0</v>
      </c>
      <c r="L436" t="n">
        <v>0</v>
      </c>
      <c r="M436" t="n">
        <v>0</v>
      </c>
      <c r="N436" t="n">
        <v>0</v>
      </c>
      <c r="O436" t="n">
        <v>0</v>
      </c>
      <c r="P436" t="n">
        <v>0</v>
      </c>
      <c r="Q436" t="n">
        <v>0</v>
      </c>
      <c r="R436" s="2" t="inlineStr"/>
    </row>
    <row r="437" ht="15" customHeight="1">
      <c r="A437" t="inlineStr">
        <is>
          <t>A 34103-2019</t>
        </is>
      </c>
      <c r="B437" s="1" t="n">
        <v>43654</v>
      </c>
      <c r="C437" s="1" t="n">
        <v>45754</v>
      </c>
      <c r="D437" t="inlineStr">
        <is>
          <t>JÄMTLANDS LÄN</t>
        </is>
      </c>
      <c r="E437" t="inlineStr">
        <is>
          <t>BRÄCKE</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34987-2019</t>
        </is>
      </c>
      <c r="B438" s="1" t="n">
        <v>43659</v>
      </c>
      <c r="C438" s="1" t="n">
        <v>45754</v>
      </c>
      <c r="D438" t="inlineStr">
        <is>
          <t>JÄMTLANDS LÄN</t>
        </is>
      </c>
      <c r="E438" t="inlineStr">
        <is>
          <t>BRÄCKE</t>
        </is>
      </c>
      <c r="G438" t="n">
        <v>0.5</v>
      </c>
      <c r="H438" t="n">
        <v>0</v>
      </c>
      <c r="I438" t="n">
        <v>0</v>
      </c>
      <c r="J438" t="n">
        <v>0</v>
      </c>
      <c r="K438" t="n">
        <v>0</v>
      </c>
      <c r="L438" t="n">
        <v>0</v>
      </c>
      <c r="M438" t="n">
        <v>0</v>
      </c>
      <c r="N438" t="n">
        <v>0</v>
      </c>
      <c r="O438" t="n">
        <v>0</v>
      </c>
      <c r="P438" t="n">
        <v>0</v>
      </c>
      <c r="Q438" t="n">
        <v>0</v>
      </c>
      <c r="R438" s="2" t="inlineStr"/>
    </row>
    <row r="439" ht="15" customHeight="1">
      <c r="A439" t="inlineStr">
        <is>
          <t>A 36451-2019</t>
        </is>
      </c>
      <c r="B439" s="1" t="n">
        <v>43664</v>
      </c>
      <c r="C439" s="1" t="n">
        <v>45754</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35713-2019</t>
        </is>
      </c>
      <c r="B440" s="1" t="n">
        <v>43664</v>
      </c>
      <c r="C440" s="1" t="n">
        <v>45754</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36182-2019</t>
        </is>
      </c>
      <c r="B441" s="1" t="n">
        <v>43668</v>
      </c>
      <c r="C441" s="1" t="n">
        <v>45754</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36953-2019</t>
        </is>
      </c>
      <c r="B442" s="1" t="n">
        <v>43675</v>
      </c>
      <c r="C442" s="1" t="n">
        <v>45754</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37133-2019</t>
        </is>
      </c>
      <c r="B443" s="1" t="n">
        <v>43676</v>
      </c>
      <c r="C443" s="1" t="n">
        <v>45754</v>
      </c>
      <c r="D443" t="inlineStr">
        <is>
          <t>JÄMTLANDS LÄN</t>
        </is>
      </c>
      <c r="E443" t="inlineStr">
        <is>
          <t>BRÄCKE</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37129-2019</t>
        </is>
      </c>
      <c r="B444" s="1" t="n">
        <v>43676</v>
      </c>
      <c r="C444" s="1" t="n">
        <v>45754</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37295-2019</t>
        </is>
      </c>
      <c r="B445" s="1" t="n">
        <v>43677</v>
      </c>
      <c r="C445" s="1" t="n">
        <v>45754</v>
      </c>
      <c r="D445" t="inlineStr">
        <is>
          <t>JÄMTLANDS LÄN</t>
        </is>
      </c>
      <c r="E445" t="inlineStr">
        <is>
          <t>BRÄCKE</t>
        </is>
      </c>
      <c r="G445" t="n">
        <v>1</v>
      </c>
      <c r="H445" t="n">
        <v>0</v>
      </c>
      <c r="I445" t="n">
        <v>0</v>
      </c>
      <c r="J445" t="n">
        <v>0</v>
      </c>
      <c r="K445" t="n">
        <v>0</v>
      </c>
      <c r="L445" t="n">
        <v>0</v>
      </c>
      <c r="M445" t="n">
        <v>0</v>
      </c>
      <c r="N445" t="n">
        <v>0</v>
      </c>
      <c r="O445" t="n">
        <v>0</v>
      </c>
      <c r="P445" t="n">
        <v>0</v>
      </c>
      <c r="Q445" t="n">
        <v>0</v>
      </c>
      <c r="R445" s="2" t="inlineStr"/>
    </row>
    <row r="446" ht="15" customHeight="1">
      <c r="A446" t="inlineStr">
        <is>
          <t>A 38320-2019</t>
        </is>
      </c>
      <c r="B446" s="1" t="n">
        <v>43685</v>
      </c>
      <c r="C446" s="1" t="n">
        <v>45754</v>
      </c>
      <c r="D446" t="inlineStr">
        <is>
          <t>JÄMTLANDS LÄN</t>
        </is>
      </c>
      <c r="E446" t="inlineStr">
        <is>
          <t>BRÄCKE</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38777-2019</t>
        </is>
      </c>
      <c r="B447" s="1" t="n">
        <v>43686</v>
      </c>
      <c r="C447" s="1" t="n">
        <v>45754</v>
      </c>
      <c r="D447" t="inlineStr">
        <is>
          <t>JÄMTLANDS LÄN</t>
        </is>
      </c>
      <c r="E447" t="inlineStr">
        <is>
          <t>BRÄCKE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39111-2019</t>
        </is>
      </c>
      <c r="B448" s="1" t="n">
        <v>43689</v>
      </c>
      <c r="C448" s="1" t="n">
        <v>45754</v>
      </c>
      <c r="D448" t="inlineStr">
        <is>
          <t>JÄMTLANDS LÄN</t>
        </is>
      </c>
      <c r="E448" t="inlineStr">
        <is>
          <t>BRÄCKE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39113-2019</t>
        </is>
      </c>
      <c r="B449" s="1" t="n">
        <v>43690</v>
      </c>
      <c r="C449" s="1" t="n">
        <v>45754</v>
      </c>
      <c r="D449" t="inlineStr">
        <is>
          <t>JÄMTLANDS LÄN</t>
        </is>
      </c>
      <c r="E449" t="inlineStr">
        <is>
          <t>BRÄCKE</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39645-2019</t>
        </is>
      </c>
      <c r="B450" s="1" t="n">
        <v>43691</v>
      </c>
      <c r="C450" s="1" t="n">
        <v>45754</v>
      </c>
      <c r="D450" t="inlineStr">
        <is>
          <t>JÄMTLANDS LÄN</t>
        </is>
      </c>
      <c r="E450" t="inlineStr">
        <is>
          <t>BRÄCKE</t>
        </is>
      </c>
      <c r="G450" t="n">
        <v>2.7</v>
      </c>
      <c r="H450" t="n">
        <v>0</v>
      </c>
      <c r="I450" t="n">
        <v>0</v>
      </c>
      <c r="J450" t="n">
        <v>0</v>
      </c>
      <c r="K450" t="n">
        <v>0</v>
      </c>
      <c r="L450" t="n">
        <v>0</v>
      </c>
      <c r="M450" t="n">
        <v>0</v>
      </c>
      <c r="N450" t="n">
        <v>0</v>
      </c>
      <c r="O450" t="n">
        <v>0</v>
      </c>
      <c r="P450" t="n">
        <v>0</v>
      </c>
      <c r="Q450" t="n">
        <v>0</v>
      </c>
      <c r="R450" s="2" t="inlineStr"/>
    </row>
    <row r="451" ht="15" customHeight="1">
      <c r="A451" t="inlineStr">
        <is>
          <t>A 40668-2019</t>
        </is>
      </c>
      <c r="B451" s="1" t="n">
        <v>43696</v>
      </c>
      <c r="C451" s="1" t="n">
        <v>45754</v>
      </c>
      <c r="D451" t="inlineStr">
        <is>
          <t>JÄMTLANDS LÄN</t>
        </is>
      </c>
      <c r="E451" t="inlineStr">
        <is>
          <t>BRÄCKE</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40667-2019</t>
        </is>
      </c>
      <c r="B452" s="1" t="n">
        <v>43697</v>
      </c>
      <c r="C452" s="1" t="n">
        <v>45754</v>
      </c>
      <c r="D452" t="inlineStr">
        <is>
          <t>JÄMTLANDS LÄN</t>
        </is>
      </c>
      <c r="E452" t="inlineStr">
        <is>
          <t>BRÄCKE</t>
        </is>
      </c>
      <c r="F452" t="inlineStr">
        <is>
          <t>SCA</t>
        </is>
      </c>
      <c r="G452" t="n">
        <v>4.2</v>
      </c>
      <c r="H452" t="n">
        <v>0</v>
      </c>
      <c r="I452" t="n">
        <v>0</v>
      </c>
      <c r="J452" t="n">
        <v>0</v>
      </c>
      <c r="K452" t="n">
        <v>0</v>
      </c>
      <c r="L452" t="n">
        <v>0</v>
      </c>
      <c r="M452" t="n">
        <v>0</v>
      </c>
      <c r="N452" t="n">
        <v>0</v>
      </c>
      <c r="O452" t="n">
        <v>0</v>
      </c>
      <c r="P452" t="n">
        <v>0</v>
      </c>
      <c r="Q452" t="n">
        <v>0</v>
      </c>
      <c r="R452" s="2" t="inlineStr"/>
    </row>
    <row r="453" ht="15" customHeight="1">
      <c r="A453" t="inlineStr">
        <is>
          <t>A 41033-2019</t>
        </is>
      </c>
      <c r="B453" s="1" t="n">
        <v>43697</v>
      </c>
      <c r="C453" s="1" t="n">
        <v>45754</v>
      </c>
      <c r="D453" t="inlineStr">
        <is>
          <t>JÄMTLANDS LÄN</t>
        </is>
      </c>
      <c r="E453" t="inlineStr">
        <is>
          <t>BRÄCKE</t>
        </is>
      </c>
      <c r="F453" t="inlineStr">
        <is>
          <t>SCA</t>
        </is>
      </c>
      <c r="G453" t="n">
        <v>27.1</v>
      </c>
      <c r="H453" t="n">
        <v>0</v>
      </c>
      <c r="I453" t="n">
        <v>0</v>
      </c>
      <c r="J453" t="n">
        <v>0</v>
      </c>
      <c r="K453" t="n">
        <v>0</v>
      </c>
      <c r="L453" t="n">
        <v>0</v>
      </c>
      <c r="M453" t="n">
        <v>0</v>
      </c>
      <c r="N453" t="n">
        <v>0</v>
      </c>
      <c r="O453" t="n">
        <v>0</v>
      </c>
      <c r="P453" t="n">
        <v>0</v>
      </c>
      <c r="Q453" t="n">
        <v>0</v>
      </c>
      <c r="R453" s="2" t="inlineStr"/>
    </row>
    <row r="454" ht="15" customHeight="1">
      <c r="A454" t="inlineStr">
        <is>
          <t>A 41028-2019</t>
        </is>
      </c>
      <c r="B454" s="1" t="n">
        <v>43697</v>
      </c>
      <c r="C454" s="1" t="n">
        <v>45754</v>
      </c>
      <c r="D454" t="inlineStr">
        <is>
          <t>JÄMTLANDS LÄN</t>
        </is>
      </c>
      <c r="E454" t="inlineStr">
        <is>
          <t>BRÄCKE</t>
        </is>
      </c>
      <c r="F454" t="inlineStr">
        <is>
          <t>SCA</t>
        </is>
      </c>
      <c r="G454" t="n">
        <v>16.5</v>
      </c>
      <c r="H454" t="n">
        <v>0</v>
      </c>
      <c r="I454" t="n">
        <v>0</v>
      </c>
      <c r="J454" t="n">
        <v>0</v>
      </c>
      <c r="K454" t="n">
        <v>0</v>
      </c>
      <c r="L454" t="n">
        <v>0</v>
      </c>
      <c r="M454" t="n">
        <v>0</v>
      </c>
      <c r="N454" t="n">
        <v>0</v>
      </c>
      <c r="O454" t="n">
        <v>0</v>
      </c>
      <c r="P454" t="n">
        <v>0</v>
      </c>
      <c r="Q454" t="n">
        <v>0</v>
      </c>
      <c r="R454" s="2" t="inlineStr"/>
    </row>
    <row r="455" ht="15" customHeight="1">
      <c r="A455" t="inlineStr">
        <is>
          <t>A 41029-2019</t>
        </is>
      </c>
      <c r="B455" s="1" t="n">
        <v>43697</v>
      </c>
      <c r="C455" s="1" t="n">
        <v>45754</v>
      </c>
      <c r="D455" t="inlineStr">
        <is>
          <t>JÄMTLANDS LÄN</t>
        </is>
      </c>
      <c r="E455" t="inlineStr">
        <is>
          <t>BRÄCKE</t>
        </is>
      </c>
      <c r="F455" t="inlineStr">
        <is>
          <t>SCA</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41332-2019</t>
        </is>
      </c>
      <c r="B456" s="1" t="n">
        <v>43698</v>
      </c>
      <c r="C456" s="1" t="n">
        <v>45754</v>
      </c>
      <c r="D456" t="inlineStr">
        <is>
          <t>JÄMTLANDS LÄN</t>
        </is>
      </c>
      <c r="E456" t="inlineStr">
        <is>
          <t>BRÄCKE</t>
        </is>
      </c>
      <c r="G456" t="n">
        <v>1.3</v>
      </c>
      <c r="H456" t="n">
        <v>0</v>
      </c>
      <c r="I456" t="n">
        <v>0</v>
      </c>
      <c r="J456" t="n">
        <v>0</v>
      </c>
      <c r="K456" t="n">
        <v>0</v>
      </c>
      <c r="L456" t="n">
        <v>0</v>
      </c>
      <c r="M456" t="n">
        <v>0</v>
      </c>
      <c r="N456" t="n">
        <v>0</v>
      </c>
      <c r="O456" t="n">
        <v>0</v>
      </c>
      <c r="P456" t="n">
        <v>0</v>
      </c>
      <c r="Q456" t="n">
        <v>0</v>
      </c>
      <c r="R456" s="2" t="inlineStr"/>
    </row>
    <row r="457" ht="15" customHeight="1">
      <c r="A457" t="inlineStr">
        <is>
          <t>A 41781-2019</t>
        </is>
      </c>
      <c r="B457" s="1" t="n">
        <v>43699</v>
      </c>
      <c r="C457" s="1" t="n">
        <v>45754</v>
      </c>
      <c r="D457" t="inlineStr">
        <is>
          <t>JÄMTLANDS LÄN</t>
        </is>
      </c>
      <c r="E457" t="inlineStr">
        <is>
          <t>BRÄCKE</t>
        </is>
      </c>
      <c r="F457" t="inlineStr">
        <is>
          <t>SCA</t>
        </is>
      </c>
      <c r="G457" t="n">
        <v>8.1</v>
      </c>
      <c r="H457" t="n">
        <v>0</v>
      </c>
      <c r="I457" t="n">
        <v>0</v>
      </c>
      <c r="J457" t="n">
        <v>0</v>
      </c>
      <c r="K457" t="n">
        <v>0</v>
      </c>
      <c r="L457" t="n">
        <v>0</v>
      </c>
      <c r="M457" t="n">
        <v>0</v>
      </c>
      <c r="N457" t="n">
        <v>0</v>
      </c>
      <c r="O457" t="n">
        <v>0</v>
      </c>
      <c r="P457" t="n">
        <v>0</v>
      </c>
      <c r="Q457" t="n">
        <v>0</v>
      </c>
      <c r="R457" s="2" t="inlineStr"/>
    </row>
    <row r="458" ht="15" customHeight="1">
      <c r="A458" t="inlineStr">
        <is>
          <t>A 41896-2019</t>
        </is>
      </c>
      <c r="B458" s="1" t="n">
        <v>43700</v>
      </c>
      <c r="C458" s="1" t="n">
        <v>45754</v>
      </c>
      <c r="D458" t="inlineStr">
        <is>
          <t>JÄMTLANDS LÄN</t>
        </is>
      </c>
      <c r="E458" t="inlineStr">
        <is>
          <t>BRÄCKE</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43208-2019</t>
        </is>
      </c>
      <c r="B459" s="1" t="n">
        <v>43705</v>
      </c>
      <c r="C459" s="1" t="n">
        <v>45754</v>
      </c>
      <c r="D459" t="inlineStr">
        <is>
          <t>JÄMTLANDS LÄN</t>
        </is>
      </c>
      <c r="E459" t="inlineStr">
        <is>
          <t>BRÄCKE</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43206-2019</t>
        </is>
      </c>
      <c r="B460" s="1" t="n">
        <v>43705</v>
      </c>
      <c r="C460" s="1" t="n">
        <v>45754</v>
      </c>
      <c r="D460" t="inlineStr">
        <is>
          <t>JÄMTLANDS LÄN</t>
        </is>
      </c>
      <c r="E460" t="inlineStr">
        <is>
          <t>BRÄCKE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42875-2019</t>
        </is>
      </c>
      <c r="B461" s="1" t="n">
        <v>43705</v>
      </c>
      <c r="C461" s="1" t="n">
        <v>45754</v>
      </c>
      <c r="D461" t="inlineStr">
        <is>
          <t>JÄMTLANDS LÄN</t>
        </is>
      </c>
      <c r="E461" t="inlineStr">
        <is>
          <t>BRÄCKE</t>
        </is>
      </c>
      <c r="G461" t="n">
        <v>1.5</v>
      </c>
      <c r="H461" t="n">
        <v>0</v>
      </c>
      <c r="I461" t="n">
        <v>0</v>
      </c>
      <c r="J461" t="n">
        <v>0</v>
      </c>
      <c r="K461" t="n">
        <v>0</v>
      </c>
      <c r="L461" t="n">
        <v>0</v>
      </c>
      <c r="M461" t="n">
        <v>0</v>
      </c>
      <c r="N461" t="n">
        <v>0</v>
      </c>
      <c r="O461" t="n">
        <v>0</v>
      </c>
      <c r="P461" t="n">
        <v>0</v>
      </c>
      <c r="Q461" t="n">
        <v>0</v>
      </c>
      <c r="R461" s="2" t="inlineStr"/>
    </row>
    <row r="462" ht="15" customHeight="1">
      <c r="A462" t="inlineStr">
        <is>
          <t>A 45054-2019</t>
        </is>
      </c>
      <c r="B462" s="1" t="n">
        <v>43713</v>
      </c>
      <c r="C462" s="1" t="n">
        <v>45754</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45539-2019</t>
        </is>
      </c>
      <c r="B463" s="1" t="n">
        <v>43714</v>
      </c>
      <c r="C463" s="1" t="n">
        <v>45754</v>
      </c>
      <c r="D463" t="inlineStr">
        <is>
          <t>JÄMTLANDS LÄN</t>
        </is>
      </c>
      <c r="E463" t="inlineStr">
        <is>
          <t>BRÄCKE</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46844-2019</t>
        </is>
      </c>
      <c r="B464" s="1" t="n">
        <v>43720</v>
      </c>
      <c r="C464" s="1" t="n">
        <v>45754</v>
      </c>
      <c r="D464" t="inlineStr">
        <is>
          <t>JÄMTLANDS LÄN</t>
        </is>
      </c>
      <c r="E464" t="inlineStr">
        <is>
          <t>BRÄCKE</t>
        </is>
      </c>
      <c r="G464" t="n">
        <v>4.3</v>
      </c>
      <c r="H464" t="n">
        <v>0</v>
      </c>
      <c r="I464" t="n">
        <v>0</v>
      </c>
      <c r="J464" t="n">
        <v>0</v>
      </c>
      <c r="K464" t="n">
        <v>0</v>
      </c>
      <c r="L464" t="n">
        <v>0</v>
      </c>
      <c r="M464" t="n">
        <v>0</v>
      </c>
      <c r="N464" t="n">
        <v>0</v>
      </c>
      <c r="O464" t="n">
        <v>0</v>
      </c>
      <c r="P464" t="n">
        <v>0</v>
      </c>
      <c r="Q464" t="n">
        <v>0</v>
      </c>
      <c r="R464" s="2" t="inlineStr"/>
    </row>
    <row r="465" ht="15" customHeight="1">
      <c r="A465" t="inlineStr">
        <is>
          <t>A 47074-2019</t>
        </is>
      </c>
      <c r="B465" s="1" t="n">
        <v>43720</v>
      </c>
      <c r="C465" s="1" t="n">
        <v>45754</v>
      </c>
      <c r="D465" t="inlineStr">
        <is>
          <t>JÄMTLANDS LÄN</t>
        </is>
      </c>
      <c r="E465" t="inlineStr">
        <is>
          <t>BRÄCKE</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49690-2019</t>
        </is>
      </c>
      <c r="B466" s="1" t="n">
        <v>43732</v>
      </c>
      <c r="C466" s="1" t="n">
        <v>45754</v>
      </c>
      <c r="D466" t="inlineStr">
        <is>
          <t>JÄMTLANDS LÄN</t>
        </is>
      </c>
      <c r="E466" t="inlineStr">
        <is>
          <t>BRÄCKE</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50292-2019</t>
        </is>
      </c>
      <c r="B467" s="1" t="n">
        <v>43735</v>
      </c>
      <c r="C467" s="1" t="n">
        <v>45754</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50584-2019</t>
        </is>
      </c>
      <c r="B468" s="1" t="n">
        <v>43735</v>
      </c>
      <c r="C468" s="1" t="n">
        <v>45754</v>
      </c>
      <c r="D468" t="inlineStr">
        <is>
          <t>JÄMTLANDS LÄN</t>
        </is>
      </c>
      <c r="E468" t="inlineStr">
        <is>
          <t>BRÄCKE</t>
        </is>
      </c>
      <c r="F468" t="inlineStr">
        <is>
          <t>SCA</t>
        </is>
      </c>
      <c r="G468" t="n">
        <v>19.1</v>
      </c>
      <c r="H468" t="n">
        <v>0</v>
      </c>
      <c r="I468" t="n">
        <v>0</v>
      </c>
      <c r="J468" t="n">
        <v>0</v>
      </c>
      <c r="K468" t="n">
        <v>0</v>
      </c>
      <c r="L468" t="n">
        <v>0</v>
      </c>
      <c r="M468" t="n">
        <v>0</v>
      </c>
      <c r="N468" t="n">
        <v>0</v>
      </c>
      <c r="O468" t="n">
        <v>0</v>
      </c>
      <c r="P468" t="n">
        <v>0</v>
      </c>
      <c r="Q468" t="n">
        <v>0</v>
      </c>
      <c r="R468" s="2" t="inlineStr"/>
    </row>
    <row r="469" ht="15" customHeight="1">
      <c r="A469" t="inlineStr">
        <is>
          <t>A 50580-2019</t>
        </is>
      </c>
      <c r="B469" s="1" t="n">
        <v>43735</v>
      </c>
      <c r="C469" s="1" t="n">
        <v>45754</v>
      </c>
      <c r="D469" t="inlineStr">
        <is>
          <t>JÄMTLANDS LÄN</t>
        </is>
      </c>
      <c r="E469" t="inlineStr">
        <is>
          <t>BRÄCKE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51257-2019</t>
        </is>
      </c>
      <c r="B470" s="1" t="n">
        <v>43739</v>
      </c>
      <c r="C470" s="1" t="n">
        <v>45754</v>
      </c>
      <c r="D470" t="inlineStr">
        <is>
          <t>JÄMTLANDS LÄN</t>
        </is>
      </c>
      <c r="E470" t="inlineStr">
        <is>
          <t>BRÄCKE</t>
        </is>
      </c>
      <c r="F470" t="inlineStr">
        <is>
          <t>Övriga Aktiebolag</t>
        </is>
      </c>
      <c r="G470" t="n">
        <v>6</v>
      </c>
      <c r="H470" t="n">
        <v>0</v>
      </c>
      <c r="I470" t="n">
        <v>0</v>
      </c>
      <c r="J470" t="n">
        <v>0</v>
      </c>
      <c r="K470" t="n">
        <v>0</v>
      </c>
      <c r="L470" t="n">
        <v>0</v>
      </c>
      <c r="M470" t="n">
        <v>0</v>
      </c>
      <c r="N470" t="n">
        <v>0</v>
      </c>
      <c r="O470" t="n">
        <v>0</v>
      </c>
      <c r="P470" t="n">
        <v>0</v>
      </c>
      <c r="Q470" t="n">
        <v>0</v>
      </c>
      <c r="R470" s="2" t="inlineStr"/>
    </row>
    <row r="471" ht="15" customHeight="1">
      <c r="A471" t="inlineStr">
        <is>
          <t>A 51329-2019</t>
        </is>
      </c>
      <c r="B471" s="1" t="n">
        <v>43739</v>
      </c>
      <c r="C471" s="1" t="n">
        <v>45754</v>
      </c>
      <c r="D471" t="inlineStr">
        <is>
          <t>JÄMTLANDS LÄN</t>
        </is>
      </c>
      <c r="E471" t="inlineStr">
        <is>
          <t>BRÄCKE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51328-2019</t>
        </is>
      </c>
      <c r="B472" s="1" t="n">
        <v>43739</v>
      </c>
      <c r="C472" s="1" t="n">
        <v>45754</v>
      </c>
      <c r="D472" t="inlineStr">
        <is>
          <t>JÄMTLANDS LÄN</t>
        </is>
      </c>
      <c r="E472" t="inlineStr">
        <is>
          <t>BRÄCKE</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52882-2019</t>
        </is>
      </c>
      <c r="B473" s="1" t="n">
        <v>43746</v>
      </c>
      <c r="C473" s="1" t="n">
        <v>45754</v>
      </c>
      <c r="D473" t="inlineStr">
        <is>
          <t>JÄMTLANDS LÄN</t>
        </is>
      </c>
      <c r="E473" t="inlineStr">
        <is>
          <t>BRÄCKE</t>
        </is>
      </c>
      <c r="F473" t="inlineStr">
        <is>
          <t>Övriga Aktiebolag</t>
        </is>
      </c>
      <c r="G473" t="n">
        <v>2.2</v>
      </c>
      <c r="H473" t="n">
        <v>0</v>
      </c>
      <c r="I473" t="n">
        <v>0</v>
      </c>
      <c r="J473" t="n">
        <v>0</v>
      </c>
      <c r="K473" t="n">
        <v>0</v>
      </c>
      <c r="L473" t="n">
        <v>0</v>
      </c>
      <c r="M473" t="n">
        <v>0</v>
      </c>
      <c r="N473" t="n">
        <v>0</v>
      </c>
      <c r="O473" t="n">
        <v>0</v>
      </c>
      <c r="P473" t="n">
        <v>0</v>
      </c>
      <c r="Q473" t="n">
        <v>0</v>
      </c>
      <c r="R473" s="2" t="inlineStr"/>
    </row>
    <row r="474" ht="15" customHeight="1">
      <c r="A474" t="inlineStr">
        <is>
          <t>A 53485-2019</t>
        </is>
      </c>
      <c r="B474" s="1" t="n">
        <v>43748</v>
      </c>
      <c r="C474" s="1" t="n">
        <v>45754</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56063-2019</t>
        </is>
      </c>
      <c r="B475" s="1" t="n">
        <v>43759</v>
      </c>
      <c r="C475" s="1" t="n">
        <v>45754</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56511-2019</t>
        </is>
      </c>
      <c r="B476" s="1" t="n">
        <v>43762</v>
      </c>
      <c r="C476" s="1" t="n">
        <v>45754</v>
      </c>
      <c r="D476" t="inlineStr">
        <is>
          <t>JÄMTLANDS LÄN</t>
        </is>
      </c>
      <c r="E476" t="inlineStr">
        <is>
          <t>BRÄCKE</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57395-2019</t>
        </is>
      </c>
      <c r="B477" s="1" t="n">
        <v>43767</v>
      </c>
      <c r="C477" s="1" t="n">
        <v>45754</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57749-2019</t>
        </is>
      </c>
      <c r="B478" s="1" t="n">
        <v>43768</v>
      </c>
      <c r="C478" s="1" t="n">
        <v>45754</v>
      </c>
      <c r="D478" t="inlineStr">
        <is>
          <t>JÄMTLANDS LÄN</t>
        </is>
      </c>
      <c r="E478" t="inlineStr">
        <is>
          <t>BRÄCKE</t>
        </is>
      </c>
      <c r="G478" t="n">
        <v>3.3</v>
      </c>
      <c r="H478" t="n">
        <v>0</v>
      </c>
      <c r="I478" t="n">
        <v>0</v>
      </c>
      <c r="J478" t="n">
        <v>0</v>
      </c>
      <c r="K478" t="n">
        <v>0</v>
      </c>
      <c r="L478" t="n">
        <v>0</v>
      </c>
      <c r="M478" t="n">
        <v>0</v>
      </c>
      <c r="N478" t="n">
        <v>0</v>
      </c>
      <c r="O478" t="n">
        <v>0</v>
      </c>
      <c r="P478" t="n">
        <v>0</v>
      </c>
      <c r="Q478" t="n">
        <v>0</v>
      </c>
      <c r="R478" s="2" t="inlineStr"/>
    </row>
    <row r="479" ht="15" customHeight="1">
      <c r="A479" t="inlineStr">
        <is>
          <t>A 58354-2019</t>
        </is>
      </c>
      <c r="B479" s="1" t="n">
        <v>43770</v>
      </c>
      <c r="C479" s="1" t="n">
        <v>45754</v>
      </c>
      <c r="D479" t="inlineStr">
        <is>
          <t>JÄMTLANDS LÄN</t>
        </is>
      </c>
      <c r="E479" t="inlineStr">
        <is>
          <t>BRÄCKE</t>
        </is>
      </c>
      <c r="F479" t="inlineStr">
        <is>
          <t>SCA</t>
        </is>
      </c>
      <c r="G479" t="n">
        <v>7.2</v>
      </c>
      <c r="H479" t="n">
        <v>0</v>
      </c>
      <c r="I479" t="n">
        <v>0</v>
      </c>
      <c r="J479" t="n">
        <v>0</v>
      </c>
      <c r="K479" t="n">
        <v>0</v>
      </c>
      <c r="L479" t="n">
        <v>0</v>
      </c>
      <c r="M479" t="n">
        <v>0</v>
      </c>
      <c r="N479" t="n">
        <v>0</v>
      </c>
      <c r="O479" t="n">
        <v>0</v>
      </c>
      <c r="P479" t="n">
        <v>0</v>
      </c>
      <c r="Q479" t="n">
        <v>0</v>
      </c>
      <c r="R479" s="2" t="inlineStr"/>
    </row>
    <row r="480" ht="15" customHeight="1">
      <c r="A480" t="inlineStr">
        <is>
          <t>A 58635-2019</t>
        </is>
      </c>
      <c r="B480" s="1" t="n">
        <v>43773</v>
      </c>
      <c r="C480" s="1" t="n">
        <v>45754</v>
      </c>
      <c r="D480" t="inlineStr">
        <is>
          <t>JÄMTLANDS LÄN</t>
        </is>
      </c>
      <c r="E480" t="inlineStr">
        <is>
          <t>BRÄCKE</t>
        </is>
      </c>
      <c r="G480" t="n">
        <v>3.5</v>
      </c>
      <c r="H480" t="n">
        <v>0</v>
      </c>
      <c r="I480" t="n">
        <v>0</v>
      </c>
      <c r="J480" t="n">
        <v>0</v>
      </c>
      <c r="K480" t="n">
        <v>0</v>
      </c>
      <c r="L480" t="n">
        <v>0</v>
      </c>
      <c r="M480" t="n">
        <v>0</v>
      </c>
      <c r="N480" t="n">
        <v>0</v>
      </c>
      <c r="O480" t="n">
        <v>0</v>
      </c>
      <c r="P480" t="n">
        <v>0</v>
      </c>
      <c r="Q480" t="n">
        <v>0</v>
      </c>
      <c r="R480" s="2" t="inlineStr"/>
    </row>
    <row r="481" ht="15" customHeight="1">
      <c r="A481" t="inlineStr">
        <is>
          <t>A 60186-2019</t>
        </is>
      </c>
      <c r="B481" s="1" t="n">
        <v>43776</v>
      </c>
      <c r="C481" s="1" t="n">
        <v>45754</v>
      </c>
      <c r="D481" t="inlineStr">
        <is>
          <t>JÄMTLANDS LÄN</t>
        </is>
      </c>
      <c r="E481" t="inlineStr">
        <is>
          <t>BRÄCKE</t>
        </is>
      </c>
      <c r="G481" t="n">
        <v>0.6</v>
      </c>
      <c r="H481" t="n">
        <v>0</v>
      </c>
      <c r="I481" t="n">
        <v>0</v>
      </c>
      <c r="J481" t="n">
        <v>0</v>
      </c>
      <c r="K481" t="n">
        <v>0</v>
      </c>
      <c r="L481" t="n">
        <v>0</v>
      </c>
      <c r="M481" t="n">
        <v>0</v>
      </c>
      <c r="N481" t="n">
        <v>0</v>
      </c>
      <c r="O481" t="n">
        <v>0</v>
      </c>
      <c r="P481" t="n">
        <v>0</v>
      </c>
      <c r="Q481" t="n">
        <v>0</v>
      </c>
      <c r="R481" s="2" t="inlineStr"/>
    </row>
    <row r="482" ht="15" customHeight="1">
      <c r="A482" t="inlineStr">
        <is>
          <t>A 60018-2019</t>
        </is>
      </c>
      <c r="B482" s="1" t="n">
        <v>43777</v>
      </c>
      <c r="C482" s="1" t="n">
        <v>45754</v>
      </c>
      <c r="D482" t="inlineStr">
        <is>
          <t>JÄMTLANDS LÄN</t>
        </is>
      </c>
      <c r="E482" t="inlineStr">
        <is>
          <t>BRÄCKE</t>
        </is>
      </c>
      <c r="F482" t="inlineStr">
        <is>
          <t>Övriga Aktiebolag</t>
        </is>
      </c>
      <c r="G482" t="n">
        <v>15.2</v>
      </c>
      <c r="H482" t="n">
        <v>0</v>
      </c>
      <c r="I482" t="n">
        <v>0</v>
      </c>
      <c r="J482" t="n">
        <v>0</v>
      </c>
      <c r="K482" t="n">
        <v>0</v>
      </c>
      <c r="L482" t="n">
        <v>0</v>
      </c>
      <c r="M482" t="n">
        <v>0</v>
      </c>
      <c r="N482" t="n">
        <v>0</v>
      </c>
      <c r="O482" t="n">
        <v>0</v>
      </c>
      <c r="P482" t="n">
        <v>0</v>
      </c>
      <c r="Q482" t="n">
        <v>0</v>
      </c>
      <c r="R482" s="2" t="inlineStr"/>
    </row>
    <row r="483" ht="15" customHeight="1">
      <c r="A483" t="inlineStr">
        <is>
          <t>A 60155-2019</t>
        </is>
      </c>
      <c r="B483" s="1" t="n">
        <v>43780</v>
      </c>
      <c r="C483" s="1" t="n">
        <v>45754</v>
      </c>
      <c r="D483" t="inlineStr">
        <is>
          <t>JÄMTLANDS LÄN</t>
        </is>
      </c>
      <c r="E483" t="inlineStr">
        <is>
          <t>BRÄCKE</t>
        </is>
      </c>
      <c r="G483" t="n">
        <v>2.4</v>
      </c>
      <c r="H483" t="n">
        <v>0</v>
      </c>
      <c r="I483" t="n">
        <v>0</v>
      </c>
      <c r="J483" t="n">
        <v>0</v>
      </c>
      <c r="K483" t="n">
        <v>0</v>
      </c>
      <c r="L483" t="n">
        <v>0</v>
      </c>
      <c r="M483" t="n">
        <v>0</v>
      </c>
      <c r="N483" t="n">
        <v>0</v>
      </c>
      <c r="O483" t="n">
        <v>0</v>
      </c>
      <c r="P483" t="n">
        <v>0</v>
      </c>
      <c r="Q483" t="n">
        <v>0</v>
      </c>
      <c r="R483" s="2" t="inlineStr"/>
    </row>
    <row r="484" ht="15" customHeight="1">
      <c r="A484" t="inlineStr">
        <is>
          <t>A 61082-2019</t>
        </is>
      </c>
      <c r="B484" s="1" t="n">
        <v>43782</v>
      </c>
      <c r="C484" s="1" t="n">
        <v>45754</v>
      </c>
      <c r="D484" t="inlineStr">
        <is>
          <t>JÄMTLANDS LÄN</t>
        </is>
      </c>
      <c r="E484" t="inlineStr">
        <is>
          <t>BRÄCKE</t>
        </is>
      </c>
      <c r="G484" t="n">
        <v>20.1</v>
      </c>
      <c r="H484" t="n">
        <v>0</v>
      </c>
      <c r="I484" t="n">
        <v>0</v>
      </c>
      <c r="J484" t="n">
        <v>0</v>
      </c>
      <c r="K484" t="n">
        <v>0</v>
      </c>
      <c r="L484" t="n">
        <v>0</v>
      </c>
      <c r="M484" t="n">
        <v>0</v>
      </c>
      <c r="N484" t="n">
        <v>0</v>
      </c>
      <c r="O484" t="n">
        <v>0</v>
      </c>
      <c r="P484" t="n">
        <v>0</v>
      </c>
      <c r="Q484" t="n">
        <v>0</v>
      </c>
      <c r="R484" s="2" t="inlineStr"/>
    </row>
    <row r="485" ht="15" customHeight="1">
      <c r="A485" t="inlineStr">
        <is>
          <t>A 62335-2019</t>
        </is>
      </c>
      <c r="B485" s="1" t="n">
        <v>43782</v>
      </c>
      <c r="C485" s="1" t="n">
        <v>45754</v>
      </c>
      <c r="D485" t="inlineStr">
        <is>
          <t>JÄMTLANDS LÄN</t>
        </is>
      </c>
      <c r="E485" t="inlineStr">
        <is>
          <t>BRÄCKE</t>
        </is>
      </c>
      <c r="G485" t="n">
        <v>5.7</v>
      </c>
      <c r="H485" t="n">
        <v>0</v>
      </c>
      <c r="I485" t="n">
        <v>0</v>
      </c>
      <c r="J485" t="n">
        <v>0</v>
      </c>
      <c r="K485" t="n">
        <v>0</v>
      </c>
      <c r="L485" t="n">
        <v>0</v>
      </c>
      <c r="M485" t="n">
        <v>0</v>
      </c>
      <c r="N485" t="n">
        <v>0</v>
      </c>
      <c r="O485" t="n">
        <v>0</v>
      </c>
      <c r="P485" t="n">
        <v>0</v>
      </c>
      <c r="Q485" t="n">
        <v>0</v>
      </c>
      <c r="R485" s="2" t="inlineStr"/>
    </row>
    <row r="486" ht="15" customHeight="1">
      <c r="A486" t="inlineStr">
        <is>
          <t>A 64133-2019</t>
        </is>
      </c>
      <c r="B486" s="1" t="n">
        <v>43796</v>
      </c>
      <c r="C486" s="1" t="n">
        <v>45754</v>
      </c>
      <c r="D486" t="inlineStr">
        <is>
          <t>JÄMTLANDS LÄN</t>
        </is>
      </c>
      <c r="E486" t="inlineStr">
        <is>
          <t>BRÄCKE</t>
        </is>
      </c>
      <c r="G486" t="n">
        <v>0.6</v>
      </c>
      <c r="H486" t="n">
        <v>0</v>
      </c>
      <c r="I486" t="n">
        <v>0</v>
      </c>
      <c r="J486" t="n">
        <v>0</v>
      </c>
      <c r="K486" t="n">
        <v>0</v>
      </c>
      <c r="L486" t="n">
        <v>0</v>
      </c>
      <c r="M486" t="n">
        <v>0</v>
      </c>
      <c r="N486" t="n">
        <v>0</v>
      </c>
      <c r="O486" t="n">
        <v>0</v>
      </c>
      <c r="P486" t="n">
        <v>0</v>
      </c>
      <c r="Q486" t="n">
        <v>0</v>
      </c>
      <c r="R486" s="2" t="inlineStr"/>
    </row>
    <row r="487" ht="15" customHeight="1">
      <c r="A487" t="inlineStr">
        <is>
          <t>A 64475-2019</t>
        </is>
      </c>
      <c r="B487" s="1" t="n">
        <v>43797</v>
      </c>
      <c r="C487" s="1" t="n">
        <v>45754</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65038-2019</t>
        </is>
      </c>
      <c r="B488" s="1" t="n">
        <v>43801</v>
      </c>
      <c r="C488" s="1" t="n">
        <v>45754</v>
      </c>
      <c r="D488" t="inlineStr">
        <is>
          <t>JÄMTLANDS LÄN</t>
        </is>
      </c>
      <c r="E488" t="inlineStr">
        <is>
          <t>BRÄCKE</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66377-2019</t>
        </is>
      </c>
      <c r="B489" s="1" t="n">
        <v>43808</v>
      </c>
      <c r="C489" s="1" t="n">
        <v>45754</v>
      </c>
      <c r="D489" t="inlineStr">
        <is>
          <t>JÄMTLANDS LÄN</t>
        </is>
      </c>
      <c r="E489" t="inlineStr">
        <is>
          <t>BRÄCKE</t>
        </is>
      </c>
      <c r="G489" t="n">
        <v>0.7</v>
      </c>
      <c r="H489" t="n">
        <v>0</v>
      </c>
      <c r="I489" t="n">
        <v>0</v>
      </c>
      <c r="J489" t="n">
        <v>0</v>
      </c>
      <c r="K489" t="n">
        <v>0</v>
      </c>
      <c r="L489" t="n">
        <v>0</v>
      </c>
      <c r="M489" t="n">
        <v>0</v>
      </c>
      <c r="N489" t="n">
        <v>0</v>
      </c>
      <c r="O489" t="n">
        <v>0</v>
      </c>
      <c r="P489" t="n">
        <v>0</v>
      </c>
      <c r="Q489" t="n">
        <v>0</v>
      </c>
      <c r="R489" s="2" t="inlineStr"/>
    </row>
    <row r="490" ht="15" customHeight="1">
      <c r="A490" t="inlineStr">
        <is>
          <t>A 66376-2019</t>
        </is>
      </c>
      <c r="B490" s="1" t="n">
        <v>43808</v>
      </c>
      <c r="C490" s="1" t="n">
        <v>45754</v>
      </c>
      <c r="D490" t="inlineStr">
        <is>
          <t>JÄMTLANDS LÄN</t>
        </is>
      </c>
      <c r="E490" t="inlineStr">
        <is>
          <t>BRÄCKE</t>
        </is>
      </c>
      <c r="G490" t="n">
        <v>1</v>
      </c>
      <c r="H490" t="n">
        <v>0</v>
      </c>
      <c r="I490" t="n">
        <v>0</v>
      </c>
      <c r="J490" t="n">
        <v>0</v>
      </c>
      <c r="K490" t="n">
        <v>0</v>
      </c>
      <c r="L490" t="n">
        <v>0</v>
      </c>
      <c r="M490" t="n">
        <v>0</v>
      </c>
      <c r="N490" t="n">
        <v>0</v>
      </c>
      <c r="O490" t="n">
        <v>0</v>
      </c>
      <c r="P490" t="n">
        <v>0</v>
      </c>
      <c r="Q490" t="n">
        <v>0</v>
      </c>
      <c r="R490" s="2" t="inlineStr"/>
    </row>
    <row r="491" ht="15" customHeight="1">
      <c r="A491" t="inlineStr">
        <is>
          <t>A 68001-2019</t>
        </is>
      </c>
      <c r="B491" s="1" t="n">
        <v>43810</v>
      </c>
      <c r="C491" s="1" t="n">
        <v>45754</v>
      </c>
      <c r="D491" t="inlineStr">
        <is>
          <t>JÄMTLANDS LÄN</t>
        </is>
      </c>
      <c r="E491" t="inlineStr">
        <is>
          <t>BRÄCKE</t>
        </is>
      </c>
      <c r="G491" t="n">
        <v>3.6</v>
      </c>
      <c r="H491" t="n">
        <v>0</v>
      </c>
      <c r="I491" t="n">
        <v>0</v>
      </c>
      <c r="J491" t="n">
        <v>0</v>
      </c>
      <c r="K491" t="n">
        <v>0</v>
      </c>
      <c r="L491" t="n">
        <v>0</v>
      </c>
      <c r="M491" t="n">
        <v>0</v>
      </c>
      <c r="N491" t="n">
        <v>0</v>
      </c>
      <c r="O491" t="n">
        <v>0</v>
      </c>
      <c r="P491" t="n">
        <v>0</v>
      </c>
      <c r="Q491" t="n">
        <v>0</v>
      </c>
      <c r="R491" s="2" t="inlineStr"/>
    </row>
    <row r="492" ht="15" customHeight="1">
      <c r="A492" t="inlineStr">
        <is>
          <t>A 67214-2019</t>
        </is>
      </c>
      <c r="B492" s="1" t="n">
        <v>43811</v>
      </c>
      <c r="C492" s="1" t="n">
        <v>45754</v>
      </c>
      <c r="D492" t="inlineStr">
        <is>
          <t>JÄMTLANDS LÄN</t>
        </is>
      </c>
      <c r="E492" t="inlineStr">
        <is>
          <t>BRÄCKE</t>
        </is>
      </c>
      <c r="G492" t="n">
        <v>0.2</v>
      </c>
      <c r="H492" t="n">
        <v>0</v>
      </c>
      <c r="I492" t="n">
        <v>0</v>
      </c>
      <c r="J492" t="n">
        <v>0</v>
      </c>
      <c r="K492" t="n">
        <v>0</v>
      </c>
      <c r="L492" t="n">
        <v>0</v>
      </c>
      <c r="M492" t="n">
        <v>0</v>
      </c>
      <c r="N492" t="n">
        <v>0</v>
      </c>
      <c r="O492" t="n">
        <v>0</v>
      </c>
      <c r="P492" t="n">
        <v>0</v>
      </c>
      <c r="Q492" t="n">
        <v>0</v>
      </c>
      <c r="R492" s="2" t="inlineStr"/>
    </row>
    <row r="493" ht="15" customHeight="1">
      <c r="A493" t="inlineStr">
        <is>
          <t>A 67818-2019</t>
        </is>
      </c>
      <c r="B493" s="1" t="n">
        <v>43815</v>
      </c>
      <c r="C493" s="1" t="n">
        <v>45754</v>
      </c>
      <c r="D493" t="inlineStr">
        <is>
          <t>JÄMTLANDS LÄN</t>
        </is>
      </c>
      <c r="E493" t="inlineStr">
        <is>
          <t>BRÄCKE</t>
        </is>
      </c>
      <c r="G493" t="n">
        <v>1.3</v>
      </c>
      <c r="H493" t="n">
        <v>0</v>
      </c>
      <c r="I493" t="n">
        <v>0</v>
      </c>
      <c r="J493" t="n">
        <v>0</v>
      </c>
      <c r="K493" t="n">
        <v>0</v>
      </c>
      <c r="L493" t="n">
        <v>0</v>
      </c>
      <c r="M493" t="n">
        <v>0</v>
      </c>
      <c r="N493" t="n">
        <v>0</v>
      </c>
      <c r="O493" t="n">
        <v>0</v>
      </c>
      <c r="P493" t="n">
        <v>0</v>
      </c>
      <c r="Q493" t="n">
        <v>0</v>
      </c>
      <c r="R493" s="2" t="inlineStr"/>
    </row>
    <row r="494" ht="15" customHeight="1">
      <c r="A494" t="inlineStr">
        <is>
          <t>A 69041-2019</t>
        </is>
      </c>
      <c r="B494" s="1" t="n">
        <v>43826</v>
      </c>
      <c r="C494" s="1" t="n">
        <v>45754</v>
      </c>
      <c r="D494" t="inlineStr">
        <is>
          <t>JÄMTLANDS LÄN</t>
        </is>
      </c>
      <c r="E494" t="inlineStr">
        <is>
          <t>BRÄCKE</t>
        </is>
      </c>
      <c r="G494" t="n">
        <v>1.4</v>
      </c>
      <c r="H494" t="n">
        <v>0</v>
      </c>
      <c r="I494" t="n">
        <v>0</v>
      </c>
      <c r="J494" t="n">
        <v>0</v>
      </c>
      <c r="K494" t="n">
        <v>0</v>
      </c>
      <c r="L494" t="n">
        <v>0</v>
      </c>
      <c r="M494" t="n">
        <v>0</v>
      </c>
      <c r="N494" t="n">
        <v>0</v>
      </c>
      <c r="O494" t="n">
        <v>0</v>
      </c>
      <c r="P494" t="n">
        <v>0</v>
      </c>
      <c r="Q494" t="n">
        <v>0</v>
      </c>
      <c r="R494" s="2" t="inlineStr"/>
    </row>
    <row r="495" ht="15" customHeight="1">
      <c r="A495" t="inlineStr">
        <is>
          <t>A 208-2020</t>
        </is>
      </c>
      <c r="B495" s="1" t="n">
        <v>43833</v>
      </c>
      <c r="C495" s="1" t="n">
        <v>45754</v>
      </c>
      <c r="D495" t="inlineStr">
        <is>
          <t>JÄMTLANDS LÄN</t>
        </is>
      </c>
      <c r="E495" t="inlineStr">
        <is>
          <t>BRÄCKE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325-2020</t>
        </is>
      </c>
      <c r="B496" s="1" t="n">
        <v>43837</v>
      </c>
      <c r="C496" s="1" t="n">
        <v>45754</v>
      </c>
      <c r="D496" t="inlineStr">
        <is>
          <t>JÄMTLANDS LÄN</t>
        </is>
      </c>
      <c r="E496" t="inlineStr">
        <is>
          <t>BRÄCKE</t>
        </is>
      </c>
      <c r="G496" t="n">
        <v>0.3</v>
      </c>
      <c r="H496" t="n">
        <v>0</v>
      </c>
      <c r="I496" t="n">
        <v>0</v>
      </c>
      <c r="J496" t="n">
        <v>0</v>
      </c>
      <c r="K496" t="n">
        <v>0</v>
      </c>
      <c r="L496" t="n">
        <v>0</v>
      </c>
      <c r="M496" t="n">
        <v>0</v>
      </c>
      <c r="N496" t="n">
        <v>0</v>
      </c>
      <c r="O496" t="n">
        <v>0</v>
      </c>
      <c r="P496" t="n">
        <v>0</v>
      </c>
      <c r="Q496" t="n">
        <v>0</v>
      </c>
      <c r="R496" s="2" t="inlineStr"/>
    </row>
    <row r="497" ht="15" customHeight="1">
      <c r="A497" t="inlineStr">
        <is>
          <t>A 1267-2020</t>
        </is>
      </c>
      <c r="B497" s="1" t="n">
        <v>43840</v>
      </c>
      <c r="C497" s="1" t="n">
        <v>45754</v>
      </c>
      <c r="D497" t="inlineStr">
        <is>
          <t>JÄMTLANDS LÄN</t>
        </is>
      </c>
      <c r="E497" t="inlineStr">
        <is>
          <t>BRÄCKE</t>
        </is>
      </c>
      <c r="G497" t="n">
        <v>2.8</v>
      </c>
      <c r="H497" t="n">
        <v>0</v>
      </c>
      <c r="I497" t="n">
        <v>0</v>
      </c>
      <c r="J497" t="n">
        <v>0</v>
      </c>
      <c r="K497" t="n">
        <v>0</v>
      </c>
      <c r="L497" t="n">
        <v>0</v>
      </c>
      <c r="M497" t="n">
        <v>0</v>
      </c>
      <c r="N497" t="n">
        <v>0</v>
      </c>
      <c r="O497" t="n">
        <v>0</v>
      </c>
      <c r="P497" t="n">
        <v>0</v>
      </c>
      <c r="Q497" t="n">
        <v>0</v>
      </c>
      <c r="R497" s="2" t="inlineStr"/>
    </row>
    <row r="498" ht="15" customHeight="1">
      <c r="A498" t="inlineStr">
        <is>
          <t>A 3488-2020</t>
        </is>
      </c>
      <c r="B498" s="1" t="n">
        <v>43852</v>
      </c>
      <c r="C498" s="1" t="n">
        <v>45754</v>
      </c>
      <c r="D498" t="inlineStr">
        <is>
          <t>JÄMTLANDS LÄN</t>
        </is>
      </c>
      <c r="E498" t="inlineStr">
        <is>
          <t>BRÄCKE</t>
        </is>
      </c>
      <c r="G498" t="n">
        <v>9.1</v>
      </c>
      <c r="H498" t="n">
        <v>0</v>
      </c>
      <c r="I498" t="n">
        <v>0</v>
      </c>
      <c r="J498" t="n">
        <v>0</v>
      </c>
      <c r="K498" t="n">
        <v>0</v>
      </c>
      <c r="L498" t="n">
        <v>0</v>
      </c>
      <c r="M498" t="n">
        <v>0</v>
      </c>
      <c r="N498" t="n">
        <v>0</v>
      </c>
      <c r="O498" t="n">
        <v>0</v>
      </c>
      <c r="P498" t="n">
        <v>0</v>
      </c>
      <c r="Q498" t="n">
        <v>0</v>
      </c>
      <c r="R498" s="2" t="inlineStr"/>
    </row>
    <row r="499" ht="15" customHeight="1">
      <c r="A499" t="inlineStr">
        <is>
          <t>A 3483-2020</t>
        </is>
      </c>
      <c r="B499" s="1" t="n">
        <v>43852</v>
      </c>
      <c r="C499" s="1" t="n">
        <v>45754</v>
      </c>
      <c r="D499" t="inlineStr">
        <is>
          <t>JÄMTLANDS LÄN</t>
        </is>
      </c>
      <c r="E499" t="inlineStr">
        <is>
          <t>BRÄCKE</t>
        </is>
      </c>
      <c r="G499" t="n">
        <v>5.8</v>
      </c>
      <c r="H499" t="n">
        <v>0</v>
      </c>
      <c r="I499" t="n">
        <v>0</v>
      </c>
      <c r="J499" t="n">
        <v>0</v>
      </c>
      <c r="K499" t="n">
        <v>0</v>
      </c>
      <c r="L499" t="n">
        <v>0</v>
      </c>
      <c r="M499" t="n">
        <v>0</v>
      </c>
      <c r="N499" t="n">
        <v>0</v>
      </c>
      <c r="O499" t="n">
        <v>0</v>
      </c>
      <c r="P499" t="n">
        <v>0</v>
      </c>
      <c r="Q499" t="n">
        <v>0</v>
      </c>
      <c r="R499" s="2" t="inlineStr"/>
    </row>
    <row r="500" ht="15" customHeight="1">
      <c r="A500" t="inlineStr">
        <is>
          <t>A 3489-2020</t>
        </is>
      </c>
      <c r="B500" s="1" t="n">
        <v>43852</v>
      </c>
      <c r="C500" s="1" t="n">
        <v>45754</v>
      </c>
      <c r="D500" t="inlineStr">
        <is>
          <t>JÄMTLANDS LÄN</t>
        </is>
      </c>
      <c r="E500" t="inlineStr">
        <is>
          <t>BRÄCKE</t>
        </is>
      </c>
      <c r="G500" t="n">
        <v>3.8</v>
      </c>
      <c r="H500" t="n">
        <v>0</v>
      </c>
      <c r="I500" t="n">
        <v>0</v>
      </c>
      <c r="J500" t="n">
        <v>0</v>
      </c>
      <c r="K500" t="n">
        <v>0</v>
      </c>
      <c r="L500" t="n">
        <v>0</v>
      </c>
      <c r="M500" t="n">
        <v>0</v>
      </c>
      <c r="N500" t="n">
        <v>0</v>
      </c>
      <c r="O500" t="n">
        <v>0</v>
      </c>
      <c r="P500" t="n">
        <v>0</v>
      </c>
      <c r="Q500" t="n">
        <v>0</v>
      </c>
      <c r="R500" s="2" t="inlineStr"/>
    </row>
    <row r="501" ht="15" customHeight="1">
      <c r="A501" t="inlineStr">
        <is>
          <t>A 3772-2020</t>
        </is>
      </c>
      <c r="B501" s="1" t="n">
        <v>43854</v>
      </c>
      <c r="C501" s="1" t="n">
        <v>45754</v>
      </c>
      <c r="D501" t="inlineStr">
        <is>
          <t>JÄMTLANDS LÄN</t>
        </is>
      </c>
      <c r="E501" t="inlineStr">
        <is>
          <t>BRÄCKE</t>
        </is>
      </c>
      <c r="F501" t="inlineStr">
        <is>
          <t>SCA</t>
        </is>
      </c>
      <c r="G501" t="n">
        <v>16.9</v>
      </c>
      <c r="H501" t="n">
        <v>0</v>
      </c>
      <c r="I501" t="n">
        <v>0</v>
      </c>
      <c r="J501" t="n">
        <v>0</v>
      </c>
      <c r="K501" t="n">
        <v>0</v>
      </c>
      <c r="L501" t="n">
        <v>0</v>
      </c>
      <c r="M501" t="n">
        <v>0</v>
      </c>
      <c r="N501" t="n">
        <v>0</v>
      </c>
      <c r="O501" t="n">
        <v>0</v>
      </c>
      <c r="P501" t="n">
        <v>0</v>
      </c>
      <c r="Q501" t="n">
        <v>0</v>
      </c>
      <c r="R501" s="2" t="inlineStr"/>
    </row>
    <row r="502" ht="15" customHeight="1">
      <c r="A502" t="inlineStr">
        <is>
          <t>A 6265-2020</t>
        </is>
      </c>
      <c r="B502" s="1" t="n">
        <v>43866</v>
      </c>
      <c r="C502" s="1" t="n">
        <v>45754</v>
      </c>
      <c r="D502" t="inlineStr">
        <is>
          <t>JÄMTLANDS LÄN</t>
        </is>
      </c>
      <c r="E502" t="inlineStr">
        <is>
          <t>BRÄCKE</t>
        </is>
      </c>
      <c r="G502" t="n">
        <v>2</v>
      </c>
      <c r="H502" t="n">
        <v>0</v>
      </c>
      <c r="I502" t="n">
        <v>0</v>
      </c>
      <c r="J502" t="n">
        <v>0</v>
      </c>
      <c r="K502" t="n">
        <v>0</v>
      </c>
      <c r="L502" t="n">
        <v>0</v>
      </c>
      <c r="M502" t="n">
        <v>0</v>
      </c>
      <c r="N502" t="n">
        <v>0</v>
      </c>
      <c r="O502" t="n">
        <v>0</v>
      </c>
      <c r="P502" t="n">
        <v>0</v>
      </c>
      <c r="Q502" t="n">
        <v>0</v>
      </c>
      <c r="R502" s="2" t="inlineStr"/>
    </row>
    <row r="503" ht="15" customHeight="1">
      <c r="A503" t="inlineStr">
        <is>
          <t>A 7045-2020</t>
        </is>
      </c>
      <c r="B503" s="1" t="n">
        <v>43868</v>
      </c>
      <c r="C503" s="1" t="n">
        <v>45754</v>
      </c>
      <c r="D503" t="inlineStr">
        <is>
          <t>JÄMTLANDS LÄN</t>
        </is>
      </c>
      <c r="E503" t="inlineStr">
        <is>
          <t>BRÄCKE</t>
        </is>
      </c>
      <c r="F503" t="inlineStr">
        <is>
          <t>SCA</t>
        </is>
      </c>
      <c r="G503" t="n">
        <v>0.3</v>
      </c>
      <c r="H503" t="n">
        <v>0</v>
      </c>
      <c r="I503" t="n">
        <v>0</v>
      </c>
      <c r="J503" t="n">
        <v>0</v>
      </c>
      <c r="K503" t="n">
        <v>0</v>
      </c>
      <c r="L503" t="n">
        <v>0</v>
      </c>
      <c r="M503" t="n">
        <v>0</v>
      </c>
      <c r="N503" t="n">
        <v>0</v>
      </c>
      <c r="O503" t="n">
        <v>0</v>
      </c>
      <c r="P503" t="n">
        <v>0</v>
      </c>
      <c r="Q503" t="n">
        <v>0</v>
      </c>
      <c r="R503" s="2" t="inlineStr"/>
    </row>
    <row r="504" ht="15" customHeight="1">
      <c r="A504" t="inlineStr">
        <is>
          <t>A 7782-2020</t>
        </is>
      </c>
      <c r="B504" s="1" t="n">
        <v>43872</v>
      </c>
      <c r="C504" s="1" t="n">
        <v>45754</v>
      </c>
      <c r="D504" t="inlineStr">
        <is>
          <t>JÄMTLANDS LÄN</t>
        </is>
      </c>
      <c r="E504" t="inlineStr">
        <is>
          <t>BRÄCKE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7783-2020</t>
        </is>
      </c>
      <c r="B505" s="1" t="n">
        <v>43872</v>
      </c>
      <c r="C505" s="1" t="n">
        <v>45754</v>
      </c>
      <c r="D505" t="inlineStr">
        <is>
          <t>JÄMTLANDS LÄN</t>
        </is>
      </c>
      <c r="E505" t="inlineStr">
        <is>
          <t>BRÄCKE</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7792-2020</t>
        </is>
      </c>
      <c r="B506" s="1" t="n">
        <v>43872</v>
      </c>
      <c r="C506" s="1" t="n">
        <v>45754</v>
      </c>
      <c r="D506" t="inlineStr">
        <is>
          <t>JÄMTLANDS LÄN</t>
        </is>
      </c>
      <c r="E506" t="inlineStr">
        <is>
          <t>BRÄCKE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9825-2020</t>
        </is>
      </c>
      <c r="B507" s="1" t="n">
        <v>43881</v>
      </c>
      <c r="C507" s="1" t="n">
        <v>45754</v>
      </c>
      <c r="D507" t="inlineStr">
        <is>
          <t>JÄMTLANDS LÄN</t>
        </is>
      </c>
      <c r="E507" t="inlineStr">
        <is>
          <t>BRÄCKE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13890-2020</t>
        </is>
      </c>
      <c r="B508" s="1" t="n">
        <v>43906</v>
      </c>
      <c r="C508" s="1" t="n">
        <v>45754</v>
      </c>
      <c r="D508" t="inlineStr">
        <is>
          <t>JÄMTLANDS LÄN</t>
        </is>
      </c>
      <c r="E508" t="inlineStr">
        <is>
          <t>BRÄCKE</t>
        </is>
      </c>
      <c r="G508" t="n">
        <v>2.6</v>
      </c>
      <c r="H508" t="n">
        <v>0</v>
      </c>
      <c r="I508" t="n">
        <v>0</v>
      </c>
      <c r="J508" t="n">
        <v>0</v>
      </c>
      <c r="K508" t="n">
        <v>0</v>
      </c>
      <c r="L508" t="n">
        <v>0</v>
      </c>
      <c r="M508" t="n">
        <v>0</v>
      </c>
      <c r="N508" t="n">
        <v>0</v>
      </c>
      <c r="O508" t="n">
        <v>0</v>
      </c>
      <c r="P508" t="n">
        <v>0</v>
      </c>
      <c r="Q508" t="n">
        <v>0</v>
      </c>
      <c r="R508" s="2" t="inlineStr"/>
    </row>
    <row r="509" ht="15" customHeight="1">
      <c r="A509" t="inlineStr">
        <is>
          <t>A 15404-2020</t>
        </is>
      </c>
      <c r="B509" s="1" t="n">
        <v>43913</v>
      </c>
      <c r="C509" s="1" t="n">
        <v>45754</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15405-2020</t>
        </is>
      </c>
      <c r="B510" s="1" t="n">
        <v>43913</v>
      </c>
      <c r="C510" s="1" t="n">
        <v>45754</v>
      </c>
      <c r="D510" t="inlineStr">
        <is>
          <t>JÄMTLANDS LÄN</t>
        </is>
      </c>
      <c r="E510" t="inlineStr">
        <is>
          <t>BRÄCKE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15898-2020</t>
        </is>
      </c>
      <c r="B511" s="1" t="n">
        <v>43915</v>
      </c>
      <c r="C511" s="1" t="n">
        <v>45754</v>
      </c>
      <c r="D511" t="inlineStr">
        <is>
          <t>JÄMTLANDS LÄN</t>
        </is>
      </c>
      <c r="E511" t="inlineStr">
        <is>
          <t>BRÄCKE</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16158-2020</t>
        </is>
      </c>
      <c r="B512" s="1" t="n">
        <v>43916</v>
      </c>
      <c r="C512" s="1" t="n">
        <v>45754</v>
      </c>
      <c r="D512" t="inlineStr">
        <is>
          <t>JÄMTLANDS LÄN</t>
        </is>
      </c>
      <c r="E512" t="inlineStr">
        <is>
          <t>BRÄCKE</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16769-2020</t>
        </is>
      </c>
      <c r="B513" s="1" t="n">
        <v>43920</v>
      </c>
      <c r="C513" s="1" t="n">
        <v>45754</v>
      </c>
      <c r="D513" t="inlineStr">
        <is>
          <t>JÄMTLANDS LÄN</t>
        </is>
      </c>
      <c r="E513" t="inlineStr">
        <is>
          <t>BRÄCKE</t>
        </is>
      </c>
      <c r="G513" t="n">
        <v>1.5</v>
      </c>
      <c r="H513" t="n">
        <v>0</v>
      </c>
      <c r="I513" t="n">
        <v>0</v>
      </c>
      <c r="J513" t="n">
        <v>0</v>
      </c>
      <c r="K513" t="n">
        <v>0</v>
      </c>
      <c r="L513" t="n">
        <v>0</v>
      </c>
      <c r="M513" t="n">
        <v>0</v>
      </c>
      <c r="N513" t="n">
        <v>0</v>
      </c>
      <c r="O513" t="n">
        <v>0</v>
      </c>
      <c r="P513" t="n">
        <v>0</v>
      </c>
      <c r="Q513" t="n">
        <v>0</v>
      </c>
      <c r="R513" s="2" t="inlineStr"/>
    </row>
    <row r="514" ht="15" customHeight="1">
      <c r="A514" t="inlineStr">
        <is>
          <t>A 17081-2020</t>
        </is>
      </c>
      <c r="B514" s="1" t="n">
        <v>43921</v>
      </c>
      <c r="C514" s="1" t="n">
        <v>45754</v>
      </c>
      <c r="D514" t="inlineStr">
        <is>
          <t>JÄMTLANDS LÄN</t>
        </is>
      </c>
      <c r="E514" t="inlineStr">
        <is>
          <t>BRÄCKE</t>
        </is>
      </c>
      <c r="G514" t="n">
        <v>13.6</v>
      </c>
      <c r="H514" t="n">
        <v>0</v>
      </c>
      <c r="I514" t="n">
        <v>0</v>
      </c>
      <c r="J514" t="n">
        <v>0</v>
      </c>
      <c r="K514" t="n">
        <v>0</v>
      </c>
      <c r="L514" t="n">
        <v>0</v>
      </c>
      <c r="M514" t="n">
        <v>0</v>
      </c>
      <c r="N514" t="n">
        <v>0</v>
      </c>
      <c r="O514" t="n">
        <v>0</v>
      </c>
      <c r="P514" t="n">
        <v>0</v>
      </c>
      <c r="Q514" t="n">
        <v>0</v>
      </c>
      <c r="R514" s="2" t="inlineStr"/>
    </row>
    <row r="515" ht="15" customHeight="1">
      <c r="A515" t="inlineStr">
        <is>
          <t>A 17082-2020</t>
        </is>
      </c>
      <c r="B515" s="1" t="n">
        <v>43921</v>
      </c>
      <c r="C515" s="1" t="n">
        <v>45754</v>
      </c>
      <c r="D515" t="inlineStr">
        <is>
          <t>JÄMTLANDS LÄN</t>
        </is>
      </c>
      <c r="E515" t="inlineStr">
        <is>
          <t>BRÄCKE</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17078-2020</t>
        </is>
      </c>
      <c r="B516" s="1" t="n">
        <v>43921</v>
      </c>
      <c r="C516" s="1" t="n">
        <v>45754</v>
      </c>
      <c r="D516" t="inlineStr">
        <is>
          <t>JÄMTLANDS LÄN</t>
        </is>
      </c>
      <c r="E516" t="inlineStr">
        <is>
          <t>BRÄCKE</t>
        </is>
      </c>
      <c r="G516" t="n">
        <v>1</v>
      </c>
      <c r="H516" t="n">
        <v>0</v>
      </c>
      <c r="I516" t="n">
        <v>0</v>
      </c>
      <c r="J516" t="n">
        <v>0</v>
      </c>
      <c r="K516" t="n">
        <v>0</v>
      </c>
      <c r="L516" t="n">
        <v>0</v>
      </c>
      <c r="M516" t="n">
        <v>0</v>
      </c>
      <c r="N516" t="n">
        <v>0</v>
      </c>
      <c r="O516" t="n">
        <v>0</v>
      </c>
      <c r="P516" t="n">
        <v>0</v>
      </c>
      <c r="Q516" t="n">
        <v>0</v>
      </c>
      <c r="R516" s="2" t="inlineStr"/>
    </row>
    <row r="517" ht="15" customHeight="1">
      <c r="A517" t="inlineStr">
        <is>
          <t>A 17677-2020</t>
        </is>
      </c>
      <c r="B517" s="1" t="n">
        <v>43923</v>
      </c>
      <c r="C517" s="1" t="n">
        <v>45754</v>
      </c>
      <c r="D517" t="inlineStr">
        <is>
          <t>JÄMTLANDS LÄN</t>
        </is>
      </c>
      <c r="E517" t="inlineStr">
        <is>
          <t>BRÄCKE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17887-2020</t>
        </is>
      </c>
      <c r="B518" s="1" t="n">
        <v>43924</v>
      </c>
      <c r="C518" s="1" t="n">
        <v>45754</v>
      </c>
      <c r="D518" t="inlineStr">
        <is>
          <t>JÄMTLANDS LÄN</t>
        </is>
      </c>
      <c r="E518" t="inlineStr">
        <is>
          <t>BRÄCKE</t>
        </is>
      </c>
      <c r="F518" t="inlineStr">
        <is>
          <t>SCA</t>
        </is>
      </c>
      <c r="G518" t="n">
        <v>18.4</v>
      </c>
      <c r="H518" t="n">
        <v>0</v>
      </c>
      <c r="I518" t="n">
        <v>0</v>
      </c>
      <c r="J518" t="n">
        <v>0</v>
      </c>
      <c r="K518" t="n">
        <v>0</v>
      </c>
      <c r="L518" t="n">
        <v>0</v>
      </c>
      <c r="M518" t="n">
        <v>0</v>
      </c>
      <c r="N518" t="n">
        <v>0</v>
      </c>
      <c r="O518" t="n">
        <v>0</v>
      </c>
      <c r="P518" t="n">
        <v>0</v>
      </c>
      <c r="Q518" t="n">
        <v>0</v>
      </c>
      <c r="R518" s="2" t="inlineStr"/>
    </row>
    <row r="519" ht="15" customHeight="1">
      <c r="A519" t="inlineStr">
        <is>
          <t>A 18654-2020</t>
        </is>
      </c>
      <c r="B519" s="1" t="n">
        <v>43927</v>
      </c>
      <c r="C519" s="1" t="n">
        <v>45754</v>
      </c>
      <c r="D519" t="inlineStr">
        <is>
          <t>JÄMTLANDS LÄN</t>
        </is>
      </c>
      <c r="E519" t="inlineStr">
        <is>
          <t>BRÄCKE</t>
        </is>
      </c>
      <c r="G519" t="n">
        <v>0.4</v>
      </c>
      <c r="H519" t="n">
        <v>0</v>
      </c>
      <c r="I519" t="n">
        <v>0</v>
      </c>
      <c r="J519" t="n">
        <v>0</v>
      </c>
      <c r="K519" t="n">
        <v>0</v>
      </c>
      <c r="L519" t="n">
        <v>0</v>
      </c>
      <c r="M519" t="n">
        <v>0</v>
      </c>
      <c r="N519" t="n">
        <v>0</v>
      </c>
      <c r="O519" t="n">
        <v>0</v>
      </c>
      <c r="P519" t="n">
        <v>0</v>
      </c>
      <c r="Q519" t="n">
        <v>0</v>
      </c>
      <c r="R519" s="2" t="inlineStr"/>
    </row>
    <row r="520" ht="15" customHeight="1">
      <c r="A520" t="inlineStr">
        <is>
          <t>A 19314-2020</t>
        </is>
      </c>
      <c r="B520" s="1" t="n">
        <v>43937</v>
      </c>
      <c r="C520" s="1" t="n">
        <v>45754</v>
      </c>
      <c r="D520" t="inlineStr">
        <is>
          <t>JÄMTLANDS LÄN</t>
        </is>
      </c>
      <c r="E520" t="inlineStr">
        <is>
          <t>BRÄCKE</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20034-2020</t>
        </is>
      </c>
      <c r="B521" s="1" t="n">
        <v>43943</v>
      </c>
      <c r="C521" s="1" t="n">
        <v>45754</v>
      </c>
      <c r="D521" t="inlineStr">
        <is>
          <t>JÄMTLANDS LÄN</t>
        </is>
      </c>
      <c r="E521" t="inlineStr">
        <is>
          <t>BRÄCKE</t>
        </is>
      </c>
      <c r="G521" t="n">
        <v>3.2</v>
      </c>
      <c r="H521" t="n">
        <v>0</v>
      </c>
      <c r="I521" t="n">
        <v>0</v>
      </c>
      <c r="J521" t="n">
        <v>0</v>
      </c>
      <c r="K521" t="n">
        <v>0</v>
      </c>
      <c r="L521" t="n">
        <v>0</v>
      </c>
      <c r="M521" t="n">
        <v>0</v>
      </c>
      <c r="N521" t="n">
        <v>0</v>
      </c>
      <c r="O521" t="n">
        <v>0</v>
      </c>
      <c r="P521" t="n">
        <v>0</v>
      </c>
      <c r="Q521" t="n">
        <v>0</v>
      </c>
      <c r="R521" s="2" t="inlineStr"/>
    </row>
    <row r="522" ht="15" customHeight="1">
      <c r="A522" t="inlineStr">
        <is>
          <t>A 20426-2020</t>
        </is>
      </c>
      <c r="B522" s="1" t="n">
        <v>43945</v>
      </c>
      <c r="C522" s="1" t="n">
        <v>45754</v>
      </c>
      <c r="D522" t="inlineStr">
        <is>
          <t>JÄMTLANDS LÄN</t>
        </is>
      </c>
      <c r="E522" t="inlineStr">
        <is>
          <t>BRÄCKE</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20617-2020</t>
        </is>
      </c>
      <c r="B523" s="1" t="n">
        <v>43948</v>
      </c>
      <c r="C523" s="1" t="n">
        <v>45754</v>
      </c>
      <c r="D523" t="inlineStr">
        <is>
          <t>JÄMTLANDS LÄN</t>
        </is>
      </c>
      <c r="E523" t="inlineStr">
        <is>
          <t>BRÄCKE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21426-2020</t>
        </is>
      </c>
      <c r="B524" s="1" t="n">
        <v>43955</v>
      </c>
      <c r="C524" s="1" t="n">
        <v>45754</v>
      </c>
      <c r="D524" t="inlineStr">
        <is>
          <t>JÄMTLANDS LÄN</t>
        </is>
      </c>
      <c r="E524" t="inlineStr">
        <is>
          <t>BRÄCKE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21425-2020</t>
        </is>
      </c>
      <c r="B525" s="1" t="n">
        <v>43955</v>
      </c>
      <c r="C525" s="1" t="n">
        <v>45754</v>
      </c>
      <c r="D525" t="inlineStr">
        <is>
          <t>JÄMTLANDS LÄN</t>
        </is>
      </c>
      <c r="E525" t="inlineStr">
        <is>
          <t>BRÄCKE</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22081-2020</t>
        </is>
      </c>
      <c r="B526" s="1" t="n">
        <v>43959</v>
      </c>
      <c r="C526" s="1" t="n">
        <v>45754</v>
      </c>
      <c r="D526" t="inlineStr">
        <is>
          <t>JÄMTLANDS LÄN</t>
        </is>
      </c>
      <c r="E526" t="inlineStr">
        <is>
          <t>BRÄCKE</t>
        </is>
      </c>
      <c r="F526" t="inlineStr">
        <is>
          <t>Kyrkan</t>
        </is>
      </c>
      <c r="G526" t="n">
        <v>2.4</v>
      </c>
      <c r="H526" t="n">
        <v>0</v>
      </c>
      <c r="I526" t="n">
        <v>0</v>
      </c>
      <c r="J526" t="n">
        <v>0</v>
      </c>
      <c r="K526" t="n">
        <v>0</v>
      </c>
      <c r="L526" t="n">
        <v>0</v>
      </c>
      <c r="M526" t="n">
        <v>0</v>
      </c>
      <c r="N526" t="n">
        <v>0</v>
      </c>
      <c r="O526" t="n">
        <v>0</v>
      </c>
      <c r="P526" t="n">
        <v>0</v>
      </c>
      <c r="Q526" t="n">
        <v>0</v>
      </c>
      <c r="R526" s="2" t="inlineStr"/>
    </row>
    <row r="527" ht="15" customHeight="1">
      <c r="A527" t="inlineStr">
        <is>
          <t>A 24038-2020</t>
        </is>
      </c>
      <c r="B527" s="1" t="n">
        <v>43972</v>
      </c>
      <c r="C527" s="1" t="n">
        <v>45754</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24244-2020</t>
        </is>
      </c>
      <c r="B528" s="1" t="n">
        <v>43976</v>
      </c>
      <c r="C528" s="1" t="n">
        <v>45754</v>
      </c>
      <c r="D528" t="inlineStr">
        <is>
          <t>JÄMTLANDS LÄN</t>
        </is>
      </c>
      <c r="E528" t="inlineStr">
        <is>
          <t>BRÄCKE</t>
        </is>
      </c>
      <c r="G528" t="n">
        <v>1.4</v>
      </c>
      <c r="H528" t="n">
        <v>0</v>
      </c>
      <c r="I528" t="n">
        <v>0</v>
      </c>
      <c r="J528" t="n">
        <v>0</v>
      </c>
      <c r="K528" t="n">
        <v>0</v>
      </c>
      <c r="L528" t="n">
        <v>0</v>
      </c>
      <c r="M528" t="n">
        <v>0</v>
      </c>
      <c r="N528" t="n">
        <v>0</v>
      </c>
      <c r="O528" t="n">
        <v>0</v>
      </c>
      <c r="P528" t="n">
        <v>0</v>
      </c>
      <c r="Q528" t="n">
        <v>0</v>
      </c>
      <c r="R528" s="2" t="inlineStr"/>
    </row>
    <row r="529" ht="15" customHeight="1">
      <c r="A529" t="inlineStr">
        <is>
          <t>A 24429-2020</t>
        </is>
      </c>
      <c r="B529" s="1" t="n">
        <v>43976</v>
      </c>
      <c r="C529" s="1" t="n">
        <v>45754</v>
      </c>
      <c r="D529" t="inlineStr">
        <is>
          <t>JÄMTLANDS LÄN</t>
        </is>
      </c>
      <c r="E529" t="inlineStr">
        <is>
          <t>BRÄCKE</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24863-2020</t>
        </is>
      </c>
      <c r="B530" s="1" t="n">
        <v>43978</v>
      </c>
      <c r="C530" s="1" t="n">
        <v>45754</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25382-2020</t>
        </is>
      </c>
      <c r="B531" s="1" t="n">
        <v>43980</v>
      </c>
      <c r="C531" s="1" t="n">
        <v>45754</v>
      </c>
      <c r="D531" t="inlineStr">
        <is>
          <t>JÄMTLANDS LÄN</t>
        </is>
      </c>
      <c r="E531" t="inlineStr">
        <is>
          <t>BRÄCKE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25906-2020</t>
        </is>
      </c>
      <c r="B532" s="1" t="n">
        <v>43984</v>
      </c>
      <c r="C532" s="1" t="n">
        <v>45754</v>
      </c>
      <c r="D532" t="inlineStr">
        <is>
          <t>JÄMTLANDS LÄN</t>
        </is>
      </c>
      <c r="E532" t="inlineStr">
        <is>
          <t>BRÄCKE</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25772-2020</t>
        </is>
      </c>
      <c r="B533" s="1" t="n">
        <v>43984</v>
      </c>
      <c r="C533" s="1" t="n">
        <v>45754</v>
      </c>
      <c r="D533" t="inlineStr">
        <is>
          <t>JÄMTLANDS LÄN</t>
        </is>
      </c>
      <c r="E533" t="inlineStr">
        <is>
          <t>BRÄCKE</t>
        </is>
      </c>
      <c r="G533" t="n">
        <v>3.1</v>
      </c>
      <c r="H533" t="n">
        <v>0</v>
      </c>
      <c r="I533" t="n">
        <v>0</v>
      </c>
      <c r="J533" t="n">
        <v>0</v>
      </c>
      <c r="K533" t="n">
        <v>0</v>
      </c>
      <c r="L533" t="n">
        <v>0</v>
      </c>
      <c r="M533" t="n">
        <v>0</v>
      </c>
      <c r="N533" t="n">
        <v>0</v>
      </c>
      <c r="O533" t="n">
        <v>0</v>
      </c>
      <c r="P533" t="n">
        <v>0</v>
      </c>
      <c r="Q533" t="n">
        <v>0</v>
      </c>
      <c r="R533" s="2" t="inlineStr"/>
    </row>
    <row r="534" ht="15" customHeight="1">
      <c r="A534" t="inlineStr">
        <is>
          <t>A 26168-2020</t>
        </is>
      </c>
      <c r="B534" s="1" t="n">
        <v>43985</v>
      </c>
      <c r="C534" s="1" t="n">
        <v>45754</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26169-2020</t>
        </is>
      </c>
      <c r="B535" s="1" t="n">
        <v>43985</v>
      </c>
      <c r="C535" s="1" t="n">
        <v>45754</v>
      </c>
      <c r="D535" t="inlineStr">
        <is>
          <t>JÄMTLANDS LÄN</t>
        </is>
      </c>
      <c r="E535" t="inlineStr">
        <is>
          <t>BRÄCKE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27191-2020</t>
        </is>
      </c>
      <c r="B536" s="1" t="n">
        <v>43991</v>
      </c>
      <c r="C536" s="1" t="n">
        <v>45754</v>
      </c>
      <c r="D536" t="inlineStr">
        <is>
          <t>JÄMTLANDS LÄN</t>
        </is>
      </c>
      <c r="E536" t="inlineStr">
        <is>
          <t>BRÄCKE</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27190-2020</t>
        </is>
      </c>
      <c r="B537" s="1" t="n">
        <v>43991</v>
      </c>
      <c r="C537" s="1" t="n">
        <v>45754</v>
      </c>
      <c r="D537" t="inlineStr">
        <is>
          <t>JÄMTLANDS LÄN</t>
        </is>
      </c>
      <c r="E537" t="inlineStr">
        <is>
          <t>BRÄCKE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28213-2020</t>
        </is>
      </c>
      <c r="B538" s="1" t="n">
        <v>43997</v>
      </c>
      <c r="C538" s="1" t="n">
        <v>45754</v>
      </c>
      <c r="D538" t="inlineStr">
        <is>
          <t>JÄMTLANDS LÄN</t>
        </is>
      </c>
      <c r="E538" t="inlineStr">
        <is>
          <t>BRÄCKE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28701-2020</t>
        </is>
      </c>
      <c r="B539" s="1" t="n">
        <v>43997</v>
      </c>
      <c r="C539" s="1" t="n">
        <v>45754</v>
      </c>
      <c r="D539" t="inlineStr">
        <is>
          <t>JÄMTLANDS LÄN</t>
        </is>
      </c>
      <c r="E539" t="inlineStr">
        <is>
          <t>BRÄCKE</t>
        </is>
      </c>
      <c r="G539" t="n">
        <v>1.3</v>
      </c>
      <c r="H539" t="n">
        <v>0</v>
      </c>
      <c r="I539" t="n">
        <v>0</v>
      </c>
      <c r="J539" t="n">
        <v>0</v>
      </c>
      <c r="K539" t="n">
        <v>0</v>
      </c>
      <c r="L539" t="n">
        <v>0</v>
      </c>
      <c r="M539" t="n">
        <v>0</v>
      </c>
      <c r="N539" t="n">
        <v>0</v>
      </c>
      <c r="O539" t="n">
        <v>0</v>
      </c>
      <c r="P539" t="n">
        <v>0</v>
      </c>
      <c r="Q539" t="n">
        <v>0</v>
      </c>
      <c r="R539" s="2" t="inlineStr"/>
    </row>
    <row r="540" ht="15" customHeight="1">
      <c r="A540" t="inlineStr">
        <is>
          <t>A 28174-2020</t>
        </is>
      </c>
      <c r="B540" s="1" t="n">
        <v>43997</v>
      </c>
      <c r="C540" s="1" t="n">
        <v>45754</v>
      </c>
      <c r="D540" t="inlineStr">
        <is>
          <t>JÄMTLANDS LÄN</t>
        </is>
      </c>
      <c r="E540" t="inlineStr">
        <is>
          <t>BRÄCKE</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29259-2020</t>
        </is>
      </c>
      <c r="B541" s="1" t="n">
        <v>44004</v>
      </c>
      <c r="C541" s="1" t="n">
        <v>45754</v>
      </c>
      <c r="D541" t="inlineStr">
        <is>
          <t>JÄMTLANDS LÄN</t>
        </is>
      </c>
      <c r="E541" t="inlineStr">
        <is>
          <t>BRÄCKE</t>
        </is>
      </c>
      <c r="F541" t="inlineStr">
        <is>
          <t>Övriga Aktiebolag</t>
        </is>
      </c>
      <c r="G541" t="n">
        <v>40.6</v>
      </c>
      <c r="H541" t="n">
        <v>0</v>
      </c>
      <c r="I541" t="n">
        <v>0</v>
      </c>
      <c r="J541" t="n">
        <v>0</v>
      </c>
      <c r="K541" t="n">
        <v>0</v>
      </c>
      <c r="L541" t="n">
        <v>0</v>
      </c>
      <c r="M541" t="n">
        <v>0</v>
      </c>
      <c r="N541" t="n">
        <v>0</v>
      </c>
      <c r="O541" t="n">
        <v>0</v>
      </c>
      <c r="P541" t="n">
        <v>0</v>
      </c>
      <c r="Q541" t="n">
        <v>0</v>
      </c>
      <c r="R541" s="2" t="inlineStr"/>
    </row>
    <row r="542" ht="15" customHeight="1">
      <c r="A542" t="inlineStr">
        <is>
          <t>A 29489-2020</t>
        </is>
      </c>
      <c r="B542" s="1" t="n">
        <v>44004</v>
      </c>
      <c r="C542" s="1" t="n">
        <v>45754</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29863-2020</t>
        </is>
      </c>
      <c r="B543" s="1" t="n">
        <v>44005</v>
      </c>
      <c r="C543" s="1" t="n">
        <v>45754</v>
      </c>
      <c r="D543" t="inlineStr">
        <is>
          <t>JÄMTLANDS LÄN</t>
        </is>
      </c>
      <c r="E543" t="inlineStr">
        <is>
          <t>BRÄCKE</t>
        </is>
      </c>
      <c r="G543" t="n">
        <v>2.2</v>
      </c>
      <c r="H543" t="n">
        <v>0</v>
      </c>
      <c r="I543" t="n">
        <v>0</v>
      </c>
      <c r="J543" t="n">
        <v>0</v>
      </c>
      <c r="K543" t="n">
        <v>0</v>
      </c>
      <c r="L543" t="n">
        <v>0</v>
      </c>
      <c r="M543" t="n">
        <v>0</v>
      </c>
      <c r="N543" t="n">
        <v>0</v>
      </c>
      <c r="O543" t="n">
        <v>0</v>
      </c>
      <c r="P543" t="n">
        <v>0</v>
      </c>
      <c r="Q543" t="n">
        <v>0</v>
      </c>
      <c r="R543" s="2" t="inlineStr"/>
    </row>
    <row r="544" ht="15" customHeight="1">
      <c r="A544" t="inlineStr">
        <is>
          <t>A 30471-2020</t>
        </is>
      </c>
      <c r="B544" s="1" t="n">
        <v>44007</v>
      </c>
      <c r="C544" s="1" t="n">
        <v>45754</v>
      </c>
      <c r="D544" t="inlineStr">
        <is>
          <t>JÄMTLANDS LÄN</t>
        </is>
      </c>
      <c r="E544" t="inlineStr">
        <is>
          <t>BRÄCKE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30474-2020</t>
        </is>
      </c>
      <c r="B545" s="1" t="n">
        <v>44007</v>
      </c>
      <c r="C545" s="1" t="n">
        <v>45754</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30475-2020</t>
        </is>
      </c>
      <c r="B546" s="1" t="n">
        <v>44007</v>
      </c>
      <c r="C546" s="1" t="n">
        <v>45754</v>
      </c>
      <c r="D546" t="inlineStr">
        <is>
          <t>JÄMTLANDS LÄN</t>
        </is>
      </c>
      <c r="E546" t="inlineStr">
        <is>
          <t>BRÄCKE</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30472-2020</t>
        </is>
      </c>
      <c r="B547" s="1" t="n">
        <v>44007</v>
      </c>
      <c r="C547" s="1" t="n">
        <v>45754</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31021-2020</t>
        </is>
      </c>
      <c r="B548" s="1" t="n">
        <v>44011</v>
      </c>
      <c r="C548" s="1" t="n">
        <v>45754</v>
      </c>
      <c r="D548" t="inlineStr">
        <is>
          <t>JÄMTLANDS LÄN</t>
        </is>
      </c>
      <c r="E548" t="inlineStr">
        <is>
          <t>BRÄCKE</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31448-2020</t>
        </is>
      </c>
      <c r="B549" s="1" t="n">
        <v>44012</v>
      </c>
      <c r="C549" s="1" t="n">
        <v>45754</v>
      </c>
      <c r="D549" t="inlineStr">
        <is>
          <t>JÄMTLANDS LÄN</t>
        </is>
      </c>
      <c r="E549" t="inlineStr">
        <is>
          <t>BRÄCKE</t>
        </is>
      </c>
      <c r="G549" t="n">
        <v>4.5</v>
      </c>
      <c r="H549" t="n">
        <v>0</v>
      </c>
      <c r="I549" t="n">
        <v>0</v>
      </c>
      <c r="J549" t="n">
        <v>0</v>
      </c>
      <c r="K549" t="n">
        <v>0</v>
      </c>
      <c r="L549" t="n">
        <v>0</v>
      </c>
      <c r="M549" t="n">
        <v>0</v>
      </c>
      <c r="N549" t="n">
        <v>0</v>
      </c>
      <c r="O549" t="n">
        <v>0</v>
      </c>
      <c r="P549" t="n">
        <v>0</v>
      </c>
      <c r="Q549" t="n">
        <v>0</v>
      </c>
      <c r="R549" s="2" t="inlineStr"/>
    </row>
    <row r="550" ht="15" customHeight="1">
      <c r="A550" t="inlineStr">
        <is>
          <t>A 31602-2020</t>
        </is>
      </c>
      <c r="B550" s="1" t="n">
        <v>44013</v>
      </c>
      <c r="C550" s="1" t="n">
        <v>45754</v>
      </c>
      <c r="D550" t="inlineStr">
        <is>
          <t>JÄMTLANDS LÄN</t>
        </is>
      </c>
      <c r="E550" t="inlineStr">
        <is>
          <t>BRÄCKE</t>
        </is>
      </c>
      <c r="G550" t="n">
        <v>0.9</v>
      </c>
      <c r="H550" t="n">
        <v>0</v>
      </c>
      <c r="I550" t="n">
        <v>0</v>
      </c>
      <c r="J550" t="n">
        <v>0</v>
      </c>
      <c r="K550" t="n">
        <v>0</v>
      </c>
      <c r="L550" t="n">
        <v>0</v>
      </c>
      <c r="M550" t="n">
        <v>0</v>
      </c>
      <c r="N550" t="n">
        <v>0</v>
      </c>
      <c r="O550" t="n">
        <v>0</v>
      </c>
      <c r="P550" t="n">
        <v>0</v>
      </c>
      <c r="Q550" t="n">
        <v>0</v>
      </c>
      <c r="R550" s="2" t="inlineStr"/>
    </row>
    <row r="551" ht="15" customHeight="1">
      <c r="A551" t="inlineStr">
        <is>
          <t>A 32272-2020</t>
        </is>
      </c>
      <c r="B551" s="1" t="n">
        <v>44015</v>
      </c>
      <c r="C551" s="1" t="n">
        <v>45754</v>
      </c>
      <c r="D551" t="inlineStr">
        <is>
          <t>JÄMTLANDS LÄN</t>
        </is>
      </c>
      <c r="E551" t="inlineStr">
        <is>
          <t>BRÄCKE</t>
        </is>
      </c>
      <c r="G551" t="n">
        <v>2.5</v>
      </c>
      <c r="H551" t="n">
        <v>0</v>
      </c>
      <c r="I551" t="n">
        <v>0</v>
      </c>
      <c r="J551" t="n">
        <v>0</v>
      </c>
      <c r="K551" t="n">
        <v>0</v>
      </c>
      <c r="L551" t="n">
        <v>0</v>
      </c>
      <c r="M551" t="n">
        <v>0</v>
      </c>
      <c r="N551" t="n">
        <v>0</v>
      </c>
      <c r="O551" t="n">
        <v>0</v>
      </c>
      <c r="P551" t="n">
        <v>0</v>
      </c>
      <c r="Q551" t="n">
        <v>0</v>
      </c>
      <c r="R551" s="2" t="inlineStr"/>
    </row>
    <row r="552" ht="15" customHeight="1">
      <c r="A552" t="inlineStr">
        <is>
          <t>A 32710-2020</t>
        </is>
      </c>
      <c r="B552" s="1" t="n">
        <v>44018</v>
      </c>
      <c r="C552" s="1" t="n">
        <v>45754</v>
      </c>
      <c r="D552" t="inlineStr">
        <is>
          <t>JÄMTLANDS LÄN</t>
        </is>
      </c>
      <c r="E552" t="inlineStr">
        <is>
          <t>BRÄCKE</t>
        </is>
      </c>
      <c r="G552" t="n">
        <v>1.9</v>
      </c>
      <c r="H552" t="n">
        <v>0</v>
      </c>
      <c r="I552" t="n">
        <v>0</v>
      </c>
      <c r="J552" t="n">
        <v>0</v>
      </c>
      <c r="K552" t="n">
        <v>0</v>
      </c>
      <c r="L552" t="n">
        <v>0</v>
      </c>
      <c r="M552" t="n">
        <v>0</v>
      </c>
      <c r="N552" t="n">
        <v>0</v>
      </c>
      <c r="O552" t="n">
        <v>0</v>
      </c>
      <c r="P552" t="n">
        <v>0</v>
      </c>
      <c r="Q552" t="n">
        <v>0</v>
      </c>
      <c r="R552" s="2" t="inlineStr"/>
    </row>
    <row r="553" ht="15" customHeight="1">
      <c r="A553" t="inlineStr">
        <is>
          <t>A 33198-2020</t>
        </is>
      </c>
      <c r="B553" s="1" t="n">
        <v>44021</v>
      </c>
      <c r="C553" s="1" t="n">
        <v>45754</v>
      </c>
      <c r="D553" t="inlineStr">
        <is>
          <t>JÄMTLANDS LÄN</t>
        </is>
      </c>
      <c r="E553" t="inlineStr">
        <is>
          <t>BRÄCKE</t>
        </is>
      </c>
      <c r="G553" t="n">
        <v>3.2</v>
      </c>
      <c r="H553" t="n">
        <v>0</v>
      </c>
      <c r="I553" t="n">
        <v>0</v>
      </c>
      <c r="J553" t="n">
        <v>0</v>
      </c>
      <c r="K553" t="n">
        <v>0</v>
      </c>
      <c r="L553" t="n">
        <v>0</v>
      </c>
      <c r="M553" t="n">
        <v>0</v>
      </c>
      <c r="N553" t="n">
        <v>0</v>
      </c>
      <c r="O553" t="n">
        <v>0</v>
      </c>
      <c r="P553" t="n">
        <v>0</v>
      </c>
      <c r="Q553" t="n">
        <v>0</v>
      </c>
      <c r="R553" s="2" t="inlineStr"/>
    </row>
    <row r="554" ht="15" customHeight="1">
      <c r="A554" t="inlineStr">
        <is>
          <t>A 34660-2020</t>
        </is>
      </c>
      <c r="B554" s="1" t="n">
        <v>44034</v>
      </c>
      <c r="C554" s="1" t="n">
        <v>45754</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34659-2020</t>
        </is>
      </c>
      <c r="B555" s="1" t="n">
        <v>44034</v>
      </c>
      <c r="C555" s="1" t="n">
        <v>45754</v>
      </c>
      <c r="D555" t="inlineStr">
        <is>
          <t>JÄMTLANDS LÄN</t>
        </is>
      </c>
      <c r="E555" t="inlineStr">
        <is>
          <t>BRÄCKE</t>
        </is>
      </c>
      <c r="G555" t="n">
        <v>4.7</v>
      </c>
      <c r="H555" t="n">
        <v>0</v>
      </c>
      <c r="I555" t="n">
        <v>0</v>
      </c>
      <c r="J555" t="n">
        <v>0</v>
      </c>
      <c r="K555" t="n">
        <v>0</v>
      </c>
      <c r="L555" t="n">
        <v>0</v>
      </c>
      <c r="M555" t="n">
        <v>0</v>
      </c>
      <c r="N555" t="n">
        <v>0</v>
      </c>
      <c r="O555" t="n">
        <v>0</v>
      </c>
      <c r="P555" t="n">
        <v>0</v>
      </c>
      <c r="Q555" t="n">
        <v>0</v>
      </c>
      <c r="R555" s="2" t="inlineStr"/>
    </row>
    <row r="556" ht="15" customHeight="1">
      <c r="A556" t="inlineStr">
        <is>
          <t>A 34870-2020</t>
        </is>
      </c>
      <c r="B556" s="1" t="n">
        <v>44036</v>
      </c>
      <c r="C556" s="1" t="n">
        <v>45754</v>
      </c>
      <c r="D556" t="inlineStr">
        <is>
          <t>JÄMTLANDS LÄN</t>
        </is>
      </c>
      <c r="E556" t="inlineStr">
        <is>
          <t>BRÄCKE</t>
        </is>
      </c>
      <c r="G556" t="n">
        <v>3.2</v>
      </c>
      <c r="H556" t="n">
        <v>0</v>
      </c>
      <c r="I556" t="n">
        <v>0</v>
      </c>
      <c r="J556" t="n">
        <v>0</v>
      </c>
      <c r="K556" t="n">
        <v>0</v>
      </c>
      <c r="L556" t="n">
        <v>0</v>
      </c>
      <c r="M556" t="n">
        <v>0</v>
      </c>
      <c r="N556" t="n">
        <v>0</v>
      </c>
      <c r="O556" t="n">
        <v>0</v>
      </c>
      <c r="P556" t="n">
        <v>0</v>
      </c>
      <c r="Q556" t="n">
        <v>0</v>
      </c>
      <c r="R556" s="2" t="inlineStr"/>
    </row>
    <row r="557" ht="15" customHeight="1">
      <c r="A557" t="inlineStr">
        <is>
          <t>A 35250-2020</t>
        </is>
      </c>
      <c r="B557" s="1" t="n">
        <v>44041</v>
      </c>
      <c r="C557" s="1" t="n">
        <v>45754</v>
      </c>
      <c r="D557" t="inlineStr">
        <is>
          <t>JÄMTLANDS LÄN</t>
        </is>
      </c>
      <c r="E557" t="inlineStr">
        <is>
          <t>BRÄCKE</t>
        </is>
      </c>
      <c r="F557" t="inlineStr">
        <is>
          <t>Övriga Aktiebolag</t>
        </is>
      </c>
      <c r="G557" t="n">
        <v>2.6</v>
      </c>
      <c r="H557" t="n">
        <v>0</v>
      </c>
      <c r="I557" t="n">
        <v>0</v>
      </c>
      <c r="J557" t="n">
        <v>0</v>
      </c>
      <c r="K557" t="n">
        <v>0</v>
      </c>
      <c r="L557" t="n">
        <v>0</v>
      </c>
      <c r="M557" t="n">
        <v>0</v>
      </c>
      <c r="N557" t="n">
        <v>0</v>
      </c>
      <c r="O557" t="n">
        <v>0</v>
      </c>
      <c r="P557" t="n">
        <v>0</v>
      </c>
      <c r="Q557" t="n">
        <v>0</v>
      </c>
      <c r="R557" s="2" t="inlineStr"/>
    </row>
    <row r="558" ht="15" customHeight="1">
      <c r="A558" t="inlineStr">
        <is>
          <t>A 35364-2020</t>
        </is>
      </c>
      <c r="B558" s="1" t="n">
        <v>44041</v>
      </c>
      <c r="C558" s="1" t="n">
        <v>45754</v>
      </c>
      <c r="D558" t="inlineStr">
        <is>
          <t>JÄMTLANDS LÄN</t>
        </is>
      </c>
      <c r="E558" t="inlineStr">
        <is>
          <t>BRÄCKE</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35423-2020</t>
        </is>
      </c>
      <c r="B559" s="1" t="n">
        <v>44042</v>
      </c>
      <c r="C559" s="1" t="n">
        <v>45754</v>
      </c>
      <c r="D559" t="inlineStr">
        <is>
          <t>JÄMTLANDS LÄN</t>
        </is>
      </c>
      <c r="E559" t="inlineStr">
        <is>
          <t>BRÄCKE</t>
        </is>
      </c>
      <c r="G559" t="n">
        <v>13.2</v>
      </c>
      <c r="H559" t="n">
        <v>0</v>
      </c>
      <c r="I559" t="n">
        <v>0</v>
      </c>
      <c r="J559" t="n">
        <v>0</v>
      </c>
      <c r="K559" t="n">
        <v>0</v>
      </c>
      <c r="L559" t="n">
        <v>0</v>
      </c>
      <c r="M559" t="n">
        <v>0</v>
      </c>
      <c r="N559" t="n">
        <v>0</v>
      </c>
      <c r="O559" t="n">
        <v>0</v>
      </c>
      <c r="P559" t="n">
        <v>0</v>
      </c>
      <c r="Q559" t="n">
        <v>0</v>
      </c>
      <c r="R559" s="2" t="inlineStr"/>
    </row>
    <row r="560" ht="15" customHeight="1">
      <c r="A560" t="inlineStr">
        <is>
          <t>A 35799-2020</t>
        </is>
      </c>
      <c r="B560" s="1" t="n">
        <v>44046</v>
      </c>
      <c r="C560" s="1" t="n">
        <v>45754</v>
      </c>
      <c r="D560" t="inlineStr">
        <is>
          <t>JÄMTLANDS LÄN</t>
        </is>
      </c>
      <c r="E560" t="inlineStr">
        <is>
          <t>BRÄCKE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35800-2020</t>
        </is>
      </c>
      <c r="B561" s="1" t="n">
        <v>44046</v>
      </c>
      <c r="C561" s="1" t="n">
        <v>45754</v>
      </c>
      <c r="D561" t="inlineStr">
        <is>
          <t>JÄMTLANDS LÄN</t>
        </is>
      </c>
      <c r="E561" t="inlineStr">
        <is>
          <t>BRÄCKE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35808-2020</t>
        </is>
      </c>
      <c r="B562" s="1" t="n">
        <v>44046</v>
      </c>
      <c r="C562" s="1" t="n">
        <v>45754</v>
      </c>
      <c r="D562" t="inlineStr">
        <is>
          <t>JÄMTLANDS LÄN</t>
        </is>
      </c>
      <c r="E562" t="inlineStr">
        <is>
          <t>BRÄCKE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36671-2020</t>
        </is>
      </c>
      <c r="B563" s="1" t="n">
        <v>44050</v>
      </c>
      <c r="C563" s="1" t="n">
        <v>45754</v>
      </c>
      <c r="D563" t="inlineStr">
        <is>
          <t>JÄMTLANDS LÄN</t>
        </is>
      </c>
      <c r="E563" t="inlineStr">
        <is>
          <t>BRÄCKE</t>
        </is>
      </c>
      <c r="F563" t="inlineStr">
        <is>
          <t>SCA</t>
        </is>
      </c>
      <c r="G563" t="n">
        <v>5.5</v>
      </c>
      <c r="H563" t="n">
        <v>0</v>
      </c>
      <c r="I563" t="n">
        <v>0</v>
      </c>
      <c r="J563" t="n">
        <v>0</v>
      </c>
      <c r="K563" t="n">
        <v>0</v>
      </c>
      <c r="L563" t="n">
        <v>0</v>
      </c>
      <c r="M563" t="n">
        <v>0</v>
      </c>
      <c r="N563" t="n">
        <v>0</v>
      </c>
      <c r="O563" t="n">
        <v>0</v>
      </c>
      <c r="P563" t="n">
        <v>0</v>
      </c>
      <c r="Q563" t="n">
        <v>0</v>
      </c>
      <c r="R563" s="2" t="inlineStr"/>
    </row>
    <row r="564" ht="15" customHeight="1">
      <c r="A564" t="inlineStr">
        <is>
          <t>A 36661-2020</t>
        </is>
      </c>
      <c r="B564" s="1" t="n">
        <v>44050</v>
      </c>
      <c r="C564" s="1" t="n">
        <v>45754</v>
      </c>
      <c r="D564" t="inlineStr">
        <is>
          <t>JÄMTLANDS LÄN</t>
        </is>
      </c>
      <c r="E564" t="inlineStr">
        <is>
          <t>BRÄCKE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36971-2020</t>
        </is>
      </c>
      <c r="B565" s="1" t="n">
        <v>44053</v>
      </c>
      <c r="C565" s="1" t="n">
        <v>45754</v>
      </c>
      <c r="D565" t="inlineStr">
        <is>
          <t>JÄMTLANDS LÄN</t>
        </is>
      </c>
      <c r="E565" t="inlineStr">
        <is>
          <t>BRÄCKE</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37236-2020</t>
        </is>
      </c>
      <c r="B566" s="1" t="n">
        <v>44055</v>
      </c>
      <c r="C566" s="1" t="n">
        <v>45754</v>
      </c>
      <c r="D566" t="inlineStr">
        <is>
          <t>JÄMTLANDS LÄN</t>
        </is>
      </c>
      <c r="E566" t="inlineStr">
        <is>
          <t>BRÄCKE</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37229-2020</t>
        </is>
      </c>
      <c r="B567" s="1" t="n">
        <v>44054</v>
      </c>
      <c r="C567" s="1" t="n">
        <v>45754</v>
      </c>
      <c r="D567" t="inlineStr">
        <is>
          <t>JÄMTLANDS LÄN</t>
        </is>
      </c>
      <c r="E567" t="inlineStr">
        <is>
          <t>BRÄCKE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38084-2020</t>
        </is>
      </c>
      <c r="B568" s="1" t="n">
        <v>44057</v>
      </c>
      <c r="C568" s="1" t="n">
        <v>45754</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38082-2020</t>
        </is>
      </c>
      <c r="B569" s="1" t="n">
        <v>44057</v>
      </c>
      <c r="C569" s="1" t="n">
        <v>45754</v>
      </c>
      <c r="D569" t="inlineStr">
        <is>
          <t>JÄMTLANDS LÄN</t>
        </is>
      </c>
      <c r="E569" t="inlineStr">
        <is>
          <t>BRÄCKE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38101-2020</t>
        </is>
      </c>
      <c r="B570" s="1" t="n">
        <v>44057</v>
      </c>
      <c r="C570" s="1" t="n">
        <v>45754</v>
      </c>
      <c r="D570" t="inlineStr">
        <is>
          <t>JÄMTLANDS LÄN</t>
        </is>
      </c>
      <c r="E570" t="inlineStr">
        <is>
          <t>BRÄCKE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38105-2020</t>
        </is>
      </c>
      <c r="B571" s="1" t="n">
        <v>44057</v>
      </c>
      <c r="C571" s="1" t="n">
        <v>45754</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38459-2020</t>
        </is>
      </c>
      <c r="B572" s="1" t="n">
        <v>44060</v>
      </c>
      <c r="C572" s="1" t="n">
        <v>45754</v>
      </c>
      <c r="D572" t="inlineStr">
        <is>
          <t>JÄMTLANDS LÄN</t>
        </is>
      </c>
      <c r="E572" t="inlineStr">
        <is>
          <t>BRÄCKE</t>
        </is>
      </c>
      <c r="G572" t="n">
        <v>4.9</v>
      </c>
      <c r="H572" t="n">
        <v>0</v>
      </c>
      <c r="I572" t="n">
        <v>0</v>
      </c>
      <c r="J572" t="n">
        <v>0</v>
      </c>
      <c r="K572" t="n">
        <v>0</v>
      </c>
      <c r="L572" t="n">
        <v>0</v>
      </c>
      <c r="M572" t="n">
        <v>0</v>
      </c>
      <c r="N572" t="n">
        <v>0</v>
      </c>
      <c r="O572" t="n">
        <v>0</v>
      </c>
      <c r="P572" t="n">
        <v>0</v>
      </c>
      <c r="Q572" t="n">
        <v>0</v>
      </c>
      <c r="R572" s="2" t="inlineStr"/>
    </row>
    <row r="573" ht="15" customHeight="1">
      <c r="A573" t="inlineStr">
        <is>
          <t>A 38787-2020</t>
        </is>
      </c>
      <c r="B573" s="1" t="n">
        <v>44061</v>
      </c>
      <c r="C573" s="1" t="n">
        <v>45754</v>
      </c>
      <c r="D573" t="inlineStr">
        <is>
          <t>JÄMTLANDS LÄN</t>
        </is>
      </c>
      <c r="E573" t="inlineStr">
        <is>
          <t>BRÄCKE</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39053-2020</t>
        </is>
      </c>
      <c r="B574" s="1" t="n">
        <v>44062</v>
      </c>
      <c r="C574" s="1" t="n">
        <v>45754</v>
      </c>
      <c r="D574" t="inlineStr">
        <is>
          <t>JÄMTLANDS LÄN</t>
        </is>
      </c>
      <c r="E574" t="inlineStr">
        <is>
          <t>BRÄCKE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39043-2020</t>
        </is>
      </c>
      <c r="B575" s="1" t="n">
        <v>44062</v>
      </c>
      <c r="C575" s="1" t="n">
        <v>45754</v>
      </c>
      <c r="D575" t="inlineStr">
        <is>
          <t>JÄMTLANDS LÄN</t>
        </is>
      </c>
      <c r="E575" t="inlineStr">
        <is>
          <t>BRÄCKE</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39052-2020</t>
        </is>
      </c>
      <c r="B576" s="1" t="n">
        <v>44062</v>
      </c>
      <c r="C576" s="1" t="n">
        <v>45754</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39350-2020</t>
        </is>
      </c>
      <c r="B577" s="1" t="n">
        <v>44063</v>
      </c>
      <c r="C577" s="1" t="n">
        <v>45754</v>
      </c>
      <c r="D577" t="inlineStr">
        <is>
          <t>JÄMTLANDS LÄN</t>
        </is>
      </c>
      <c r="E577" t="inlineStr">
        <is>
          <t>BRÄCKE</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39337-2020</t>
        </is>
      </c>
      <c r="B578" s="1" t="n">
        <v>44063</v>
      </c>
      <c r="C578" s="1" t="n">
        <v>45754</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39351-2020</t>
        </is>
      </c>
      <c r="B579" s="1" t="n">
        <v>44063</v>
      </c>
      <c r="C579" s="1" t="n">
        <v>45754</v>
      </c>
      <c r="D579" t="inlineStr">
        <is>
          <t>JÄMTLANDS LÄN</t>
        </is>
      </c>
      <c r="E579" t="inlineStr">
        <is>
          <t>BRÄCKE</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39998-2020</t>
        </is>
      </c>
      <c r="B580" s="1" t="n">
        <v>44067</v>
      </c>
      <c r="C580" s="1" t="n">
        <v>45754</v>
      </c>
      <c r="D580" t="inlineStr">
        <is>
          <t>JÄMTLANDS LÄN</t>
        </is>
      </c>
      <c r="E580" t="inlineStr">
        <is>
          <t>BRÄCKE</t>
        </is>
      </c>
      <c r="G580" t="n">
        <v>3.9</v>
      </c>
      <c r="H580" t="n">
        <v>0</v>
      </c>
      <c r="I580" t="n">
        <v>0</v>
      </c>
      <c r="J580" t="n">
        <v>0</v>
      </c>
      <c r="K580" t="n">
        <v>0</v>
      </c>
      <c r="L580" t="n">
        <v>0</v>
      </c>
      <c r="M580" t="n">
        <v>0</v>
      </c>
      <c r="N580" t="n">
        <v>0</v>
      </c>
      <c r="O580" t="n">
        <v>0</v>
      </c>
      <c r="P580" t="n">
        <v>0</v>
      </c>
      <c r="Q580" t="n">
        <v>0</v>
      </c>
      <c r="R580" s="2" t="inlineStr"/>
    </row>
    <row r="581" ht="15" customHeight="1">
      <c r="A581" t="inlineStr">
        <is>
          <t>A 40057-2020</t>
        </is>
      </c>
      <c r="B581" s="1" t="n">
        <v>44068</v>
      </c>
      <c r="C581" s="1" t="n">
        <v>45754</v>
      </c>
      <c r="D581" t="inlineStr">
        <is>
          <t>JÄMTLANDS LÄN</t>
        </is>
      </c>
      <c r="E581" t="inlineStr">
        <is>
          <t>BRÄCKE</t>
        </is>
      </c>
      <c r="G581" t="n">
        <v>25.5</v>
      </c>
      <c r="H581" t="n">
        <v>0</v>
      </c>
      <c r="I581" t="n">
        <v>0</v>
      </c>
      <c r="J581" t="n">
        <v>0</v>
      </c>
      <c r="K581" t="n">
        <v>0</v>
      </c>
      <c r="L581" t="n">
        <v>0</v>
      </c>
      <c r="M581" t="n">
        <v>0</v>
      </c>
      <c r="N581" t="n">
        <v>0</v>
      </c>
      <c r="O581" t="n">
        <v>0</v>
      </c>
      <c r="P581" t="n">
        <v>0</v>
      </c>
      <c r="Q581" t="n">
        <v>0</v>
      </c>
      <c r="R581" s="2" t="inlineStr"/>
    </row>
    <row r="582" ht="15" customHeight="1">
      <c r="A582" t="inlineStr">
        <is>
          <t>A 40083-2020</t>
        </is>
      </c>
      <c r="B582" s="1" t="n">
        <v>44067</v>
      </c>
      <c r="C582" s="1" t="n">
        <v>45754</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40387-2020</t>
        </is>
      </c>
      <c r="B583" s="1" t="n">
        <v>44068</v>
      </c>
      <c r="C583" s="1" t="n">
        <v>45754</v>
      </c>
      <c r="D583" t="inlineStr">
        <is>
          <t>JÄMTLANDS LÄN</t>
        </is>
      </c>
      <c r="E583" t="inlineStr">
        <is>
          <t>BRÄCKE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41025-2020</t>
        </is>
      </c>
      <c r="B584" s="1" t="n">
        <v>44071</v>
      </c>
      <c r="C584" s="1" t="n">
        <v>45754</v>
      </c>
      <c r="D584" t="inlineStr">
        <is>
          <t>JÄMTLANDS LÄN</t>
        </is>
      </c>
      <c r="E584" t="inlineStr">
        <is>
          <t>BRÄCKE</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41352-2020</t>
        </is>
      </c>
      <c r="B585" s="1" t="n">
        <v>44071</v>
      </c>
      <c r="C585" s="1" t="n">
        <v>45754</v>
      </c>
      <c r="D585" t="inlineStr">
        <is>
          <t>JÄMTLANDS LÄN</t>
        </is>
      </c>
      <c r="E585" t="inlineStr">
        <is>
          <t>BRÄCKE</t>
        </is>
      </c>
      <c r="G585" t="n">
        <v>4.3</v>
      </c>
      <c r="H585" t="n">
        <v>0</v>
      </c>
      <c r="I585" t="n">
        <v>0</v>
      </c>
      <c r="J585" t="n">
        <v>0</v>
      </c>
      <c r="K585" t="n">
        <v>0</v>
      </c>
      <c r="L585" t="n">
        <v>0</v>
      </c>
      <c r="M585" t="n">
        <v>0</v>
      </c>
      <c r="N585" t="n">
        <v>0</v>
      </c>
      <c r="O585" t="n">
        <v>0</v>
      </c>
      <c r="P585" t="n">
        <v>0</v>
      </c>
      <c r="Q585" t="n">
        <v>0</v>
      </c>
      <c r="R585" s="2" t="inlineStr"/>
    </row>
    <row r="586" ht="15" customHeight="1">
      <c r="A586" t="inlineStr">
        <is>
          <t>A 41349-2020</t>
        </is>
      </c>
      <c r="B586" s="1" t="n">
        <v>44071</v>
      </c>
      <c r="C586" s="1" t="n">
        <v>45754</v>
      </c>
      <c r="D586" t="inlineStr">
        <is>
          <t>JÄMTLANDS LÄN</t>
        </is>
      </c>
      <c r="E586" t="inlineStr">
        <is>
          <t>BRÄCKE</t>
        </is>
      </c>
      <c r="G586" t="n">
        <v>0.9</v>
      </c>
      <c r="H586" t="n">
        <v>0</v>
      </c>
      <c r="I586" t="n">
        <v>0</v>
      </c>
      <c r="J586" t="n">
        <v>0</v>
      </c>
      <c r="K586" t="n">
        <v>0</v>
      </c>
      <c r="L586" t="n">
        <v>0</v>
      </c>
      <c r="M586" t="n">
        <v>0</v>
      </c>
      <c r="N586" t="n">
        <v>0</v>
      </c>
      <c r="O586" t="n">
        <v>0</v>
      </c>
      <c r="P586" t="n">
        <v>0</v>
      </c>
      <c r="Q586" t="n">
        <v>0</v>
      </c>
      <c r="R586" s="2" t="inlineStr"/>
    </row>
    <row r="587" ht="15" customHeight="1">
      <c r="A587" t="inlineStr">
        <is>
          <t>A 42204-2020</t>
        </is>
      </c>
      <c r="B587" s="1" t="n">
        <v>44075</v>
      </c>
      <c r="C587" s="1" t="n">
        <v>45754</v>
      </c>
      <c r="D587" t="inlineStr">
        <is>
          <t>JÄMTLANDS LÄN</t>
        </is>
      </c>
      <c r="E587" t="inlineStr">
        <is>
          <t>BRÄCKE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42203-2020</t>
        </is>
      </c>
      <c r="B588" s="1" t="n">
        <v>44075</v>
      </c>
      <c r="C588" s="1" t="n">
        <v>45754</v>
      </c>
      <c r="D588" t="inlineStr">
        <is>
          <t>JÄMTLANDS LÄN</t>
        </is>
      </c>
      <c r="E588" t="inlineStr">
        <is>
          <t>BRÄCKE</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42202-2020</t>
        </is>
      </c>
      <c r="B589" s="1" t="n">
        <v>44075</v>
      </c>
      <c r="C589" s="1" t="n">
        <v>45754</v>
      </c>
      <c r="D589" t="inlineStr">
        <is>
          <t>JÄMTLANDS LÄN</t>
        </is>
      </c>
      <c r="E589" t="inlineStr">
        <is>
          <t>BRÄCKE</t>
        </is>
      </c>
      <c r="F589" t="inlineStr">
        <is>
          <t>SCA</t>
        </is>
      </c>
      <c r="G589" t="n">
        <v>8.5</v>
      </c>
      <c r="H589" t="n">
        <v>0</v>
      </c>
      <c r="I589" t="n">
        <v>0</v>
      </c>
      <c r="J589" t="n">
        <v>0</v>
      </c>
      <c r="K589" t="n">
        <v>0</v>
      </c>
      <c r="L589" t="n">
        <v>0</v>
      </c>
      <c r="M589" t="n">
        <v>0</v>
      </c>
      <c r="N589" t="n">
        <v>0</v>
      </c>
      <c r="O589" t="n">
        <v>0</v>
      </c>
      <c r="P589" t="n">
        <v>0</v>
      </c>
      <c r="Q589" t="n">
        <v>0</v>
      </c>
      <c r="R589" s="2" t="inlineStr"/>
    </row>
    <row r="590" ht="15" customHeight="1">
      <c r="A590" t="inlineStr">
        <is>
          <t>A 42897-2020</t>
        </is>
      </c>
      <c r="B590" s="1" t="n">
        <v>44078</v>
      </c>
      <c r="C590" s="1" t="n">
        <v>45754</v>
      </c>
      <c r="D590" t="inlineStr">
        <is>
          <t>JÄMTLANDS LÄN</t>
        </is>
      </c>
      <c r="E590" t="inlineStr">
        <is>
          <t>BRÄCKE</t>
        </is>
      </c>
      <c r="G590" t="n">
        <v>12.9</v>
      </c>
      <c r="H590" t="n">
        <v>0</v>
      </c>
      <c r="I590" t="n">
        <v>0</v>
      </c>
      <c r="J590" t="n">
        <v>0</v>
      </c>
      <c r="K590" t="n">
        <v>0</v>
      </c>
      <c r="L590" t="n">
        <v>0</v>
      </c>
      <c r="M590" t="n">
        <v>0</v>
      </c>
      <c r="N590" t="n">
        <v>0</v>
      </c>
      <c r="O590" t="n">
        <v>0</v>
      </c>
      <c r="P590" t="n">
        <v>0</v>
      </c>
      <c r="Q590" t="n">
        <v>0</v>
      </c>
      <c r="R590" s="2" t="inlineStr"/>
    </row>
    <row r="591" ht="15" customHeight="1">
      <c r="A591" t="inlineStr">
        <is>
          <t>A 43070-2020</t>
        </is>
      </c>
      <c r="B591" s="1" t="n">
        <v>44078</v>
      </c>
      <c r="C591" s="1" t="n">
        <v>45754</v>
      </c>
      <c r="D591" t="inlineStr">
        <is>
          <t>JÄMTLANDS LÄN</t>
        </is>
      </c>
      <c r="E591" t="inlineStr">
        <is>
          <t>BRÄCKE</t>
        </is>
      </c>
      <c r="F591" t="inlineStr">
        <is>
          <t>SCA</t>
        </is>
      </c>
      <c r="G591" t="n">
        <v>6.5</v>
      </c>
      <c r="H591" t="n">
        <v>0</v>
      </c>
      <c r="I591" t="n">
        <v>0</v>
      </c>
      <c r="J591" t="n">
        <v>0</v>
      </c>
      <c r="K591" t="n">
        <v>0</v>
      </c>
      <c r="L591" t="n">
        <v>0</v>
      </c>
      <c r="M591" t="n">
        <v>0</v>
      </c>
      <c r="N591" t="n">
        <v>0</v>
      </c>
      <c r="O591" t="n">
        <v>0</v>
      </c>
      <c r="P591" t="n">
        <v>0</v>
      </c>
      <c r="Q591" t="n">
        <v>0</v>
      </c>
      <c r="R591" s="2" t="inlineStr"/>
    </row>
    <row r="592" ht="15" customHeight="1">
      <c r="A592" t="inlineStr">
        <is>
          <t>A 43075-2020</t>
        </is>
      </c>
      <c r="B592" s="1" t="n">
        <v>44078</v>
      </c>
      <c r="C592" s="1" t="n">
        <v>45754</v>
      </c>
      <c r="D592" t="inlineStr">
        <is>
          <t>JÄMTLANDS LÄN</t>
        </is>
      </c>
      <c r="E592" t="inlineStr">
        <is>
          <t>BRÄCKE</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43085-2020</t>
        </is>
      </c>
      <c r="B593" s="1" t="n">
        <v>44078</v>
      </c>
      <c r="C593" s="1" t="n">
        <v>45754</v>
      </c>
      <c r="D593" t="inlineStr">
        <is>
          <t>JÄMTLANDS LÄN</t>
        </is>
      </c>
      <c r="E593" t="inlineStr">
        <is>
          <t>BRÄCKE</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44065-2020</t>
        </is>
      </c>
      <c r="B594" s="1" t="n">
        <v>44083</v>
      </c>
      <c r="C594" s="1" t="n">
        <v>45754</v>
      </c>
      <c r="D594" t="inlineStr">
        <is>
          <t>JÄMTLANDS LÄN</t>
        </is>
      </c>
      <c r="E594" t="inlineStr">
        <is>
          <t>BRÄCKE</t>
        </is>
      </c>
      <c r="G594" t="n">
        <v>1.9</v>
      </c>
      <c r="H594" t="n">
        <v>0</v>
      </c>
      <c r="I594" t="n">
        <v>0</v>
      </c>
      <c r="J594" t="n">
        <v>0</v>
      </c>
      <c r="K594" t="n">
        <v>0</v>
      </c>
      <c r="L594" t="n">
        <v>0</v>
      </c>
      <c r="M594" t="n">
        <v>0</v>
      </c>
      <c r="N594" t="n">
        <v>0</v>
      </c>
      <c r="O594" t="n">
        <v>0</v>
      </c>
      <c r="P594" t="n">
        <v>0</v>
      </c>
      <c r="Q594" t="n">
        <v>0</v>
      </c>
      <c r="R594" s="2" t="inlineStr"/>
    </row>
    <row r="595" ht="15" customHeight="1">
      <c r="A595" t="inlineStr">
        <is>
          <t>A 44218-2020</t>
        </is>
      </c>
      <c r="B595" s="1" t="n">
        <v>44084</v>
      </c>
      <c r="C595" s="1" t="n">
        <v>45754</v>
      </c>
      <c r="D595" t="inlineStr">
        <is>
          <t>JÄMTLANDS LÄN</t>
        </is>
      </c>
      <c r="E595" t="inlineStr">
        <is>
          <t>BRÄCKE</t>
        </is>
      </c>
      <c r="G595" t="n">
        <v>2</v>
      </c>
      <c r="H595" t="n">
        <v>0</v>
      </c>
      <c r="I595" t="n">
        <v>0</v>
      </c>
      <c r="J595" t="n">
        <v>0</v>
      </c>
      <c r="K595" t="n">
        <v>0</v>
      </c>
      <c r="L595" t="n">
        <v>0</v>
      </c>
      <c r="M595" t="n">
        <v>0</v>
      </c>
      <c r="N595" t="n">
        <v>0</v>
      </c>
      <c r="O595" t="n">
        <v>0</v>
      </c>
      <c r="P595" t="n">
        <v>0</v>
      </c>
      <c r="Q595" t="n">
        <v>0</v>
      </c>
      <c r="R595" s="2" t="inlineStr"/>
    </row>
    <row r="596" ht="15" customHeight="1">
      <c r="A596" t="inlineStr">
        <is>
          <t>A 44908-2020</t>
        </is>
      </c>
      <c r="B596" s="1" t="n">
        <v>44088</v>
      </c>
      <c r="C596" s="1" t="n">
        <v>45754</v>
      </c>
      <c r="D596" t="inlineStr">
        <is>
          <t>JÄMTLANDS LÄN</t>
        </is>
      </c>
      <c r="E596" t="inlineStr">
        <is>
          <t>BRÄCKE</t>
        </is>
      </c>
      <c r="G596" t="n">
        <v>6.1</v>
      </c>
      <c r="H596" t="n">
        <v>0</v>
      </c>
      <c r="I596" t="n">
        <v>0</v>
      </c>
      <c r="J596" t="n">
        <v>0</v>
      </c>
      <c r="K596" t="n">
        <v>0</v>
      </c>
      <c r="L596" t="n">
        <v>0</v>
      </c>
      <c r="M596" t="n">
        <v>0</v>
      </c>
      <c r="N596" t="n">
        <v>0</v>
      </c>
      <c r="O596" t="n">
        <v>0</v>
      </c>
      <c r="P596" t="n">
        <v>0</v>
      </c>
      <c r="Q596" t="n">
        <v>0</v>
      </c>
      <c r="R596" s="2" t="inlineStr"/>
    </row>
    <row r="597" ht="15" customHeight="1">
      <c r="A597" t="inlineStr">
        <is>
          <t>A 45832-2020</t>
        </is>
      </c>
      <c r="B597" s="1" t="n">
        <v>44090</v>
      </c>
      <c r="C597" s="1" t="n">
        <v>45754</v>
      </c>
      <c r="D597" t="inlineStr">
        <is>
          <t>JÄMTLANDS LÄN</t>
        </is>
      </c>
      <c r="E597" t="inlineStr">
        <is>
          <t>BRÄCKE</t>
        </is>
      </c>
      <c r="F597" t="inlineStr">
        <is>
          <t>SCA</t>
        </is>
      </c>
      <c r="G597" t="n">
        <v>4.9</v>
      </c>
      <c r="H597" t="n">
        <v>0</v>
      </c>
      <c r="I597" t="n">
        <v>0</v>
      </c>
      <c r="J597" t="n">
        <v>0</v>
      </c>
      <c r="K597" t="n">
        <v>0</v>
      </c>
      <c r="L597" t="n">
        <v>0</v>
      </c>
      <c r="M597" t="n">
        <v>0</v>
      </c>
      <c r="N597" t="n">
        <v>0</v>
      </c>
      <c r="O597" t="n">
        <v>0</v>
      </c>
      <c r="P597" t="n">
        <v>0</v>
      </c>
      <c r="Q597" t="n">
        <v>0</v>
      </c>
      <c r="R597" s="2" t="inlineStr"/>
    </row>
    <row r="598" ht="15" customHeight="1">
      <c r="A598" t="inlineStr">
        <is>
          <t>A 47838-2020</t>
        </is>
      </c>
      <c r="B598" s="1" t="n">
        <v>44098</v>
      </c>
      <c r="C598" s="1" t="n">
        <v>45754</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48667-2020</t>
        </is>
      </c>
      <c r="B599" s="1" t="n">
        <v>44098</v>
      </c>
      <c r="C599" s="1" t="n">
        <v>45754</v>
      </c>
      <c r="D599" t="inlineStr">
        <is>
          <t>JÄMTLANDS LÄN</t>
        </is>
      </c>
      <c r="E599" t="inlineStr">
        <is>
          <t>BRÄCKE</t>
        </is>
      </c>
      <c r="F599" t="inlineStr">
        <is>
          <t>SCA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49212-2020</t>
        </is>
      </c>
      <c r="B600" s="1" t="n">
        <v>44099</v>
      </c>
      <c r="C600" s="1" t="n">
        <v>45754</v>
      </c>
      <c r="D600" t="inlineStr">
        <is>
          <t>JÄMTLANDS LÄN</t>
        </is>
      </c>
      <c r="E600" t="inlineStr">
        <is>
          <t>BRÄCKE</t>
        </is>
      </c>
      <c r="G600" t="n">
        <v>2.8</v>
      </c>
      <c r="H600" t="n">
        <v>0</v>
      </c>
      <c r="I600" t="n">
        <v>0</v>
      </c>
      <c r="J600" t="n">
        <v>0</v>
      </c>
      <c r="K600" t="n">
        <v>0</v>
      </c>
      <c r="L600" t="n">
        <v>0</v>
      </c>
      <c r="M600" t="n">
        <v>0</v>
      </c>
      <c r="N600" t="n">
        <v>0</v>
      </c>
      <c r="O600" t="n">
        <v>0</v>
      </c>
      <c r="P600" t="n">
        <v>0</v>
      </c>
      <c r="Q600" t="n">
        <v>0</v>
      </c>
      <c r="R600" s="2" t="inlineStr"/>
    </row>
    <row r="601" ht="15" customHeight="1">
      <c r="A601" t="inlineStr">
        <is>
          <t>A 48479-2020</t>
        </is>
      </c>
      <c r="B601" s="1" t="n">
        <v>44103</v>
      </c>
      <c r="C601" s="1" t="n">
        <v>45754</v>
      </c>
      <c r="D601" t="inlineStr">
        <is>
          <t>JÄMTLANDS LÄN</t>
        </is>
      </c>
      <c r="E601" t="inlineStr">
        <is>
          <t>BRÄCKE</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48799-2020</t>
        </is>
      </c>
      <c r="B602" s="1" t="n">
        <v>44103</v>
      </c>
      <c r="C602" s="1" t="n">
        <v>45754</v>
      </c>
      <c r="D602" t="inlineStr">
        <is>
          <t>JÄMTLANDS LÄN</t>
        </is>
      </c>
      <c r="E602" t="inlineStr">
        <is>
          <t>BRÄCKE</t>
        </is>
      </c>
      <c r="F602" t="inlineStr">
        <is>
          <t>SCA</t>
        </is>
      </c>
      <c r="G602" t="n">
        <v>5.7</v>
      </c>
      <c r="H602" t="n">
        <v>0</v>
      </c>
      <c r="I602" t="n">
        <v>0</v>
      </c>
      <c r="J602" t="n">
        <v>0</v>
      </c>
      <c r="K602" t="n">
        <v>0</v>
      </c>
      <c r="L602" t="n">
        <v>0</v>
      </c>
      <c r="M602" t="n">
        <v>0</v>
      </c>
      <c r="N602" t="n">
        <v>0</v>
      </c>
      <c r="O602" t="n">
        <v>0</v>
      </c>
      <c r="P602" t="n">
        <v>0</v>
      </c>
      <c r="Q602" t="n">
        <v>0</v>
      </c>
      <c r="R602" s="2" t="inlineStr"/>
    </row>
    <row r="603" ht="15" customHeight="1">
      <c r="A603" t="inlineStr">
        <is>
          <t>A 49164-2020</t>
        </is>
      </c>
      <c r="B603" s="1" t="n">
        <v>44104</v>
      </c>
      <c r="C603" s="1" t="n">
        <v>45754</v>
      </c>
      <c r="D603" t="inlineStr">
        <is>
          <t>JÄMTLANDS LÄN</t>
        </is>
      </c>
      <c r="E603" t="inlineStr">
        <is>
          <t>BRÄCKE</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50983-2020</t>
        </is>
      </c>
      <c r="B604" s="1" t="n">
        <v>44111</v>
      </c>
      <c r="C604" s="1" t="n">
        <v>45754</v>
      </c>
      <c r="D604" t="inlineStr">
        <is>
          <t>JÄMTLANDS LÄN</t>
        </is>
      </c>
      <c r="E604" t="inlineStr">
        <is>
          <t>BRÄCKE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50981-2020</t>
        </is>
      </c>
      <c r="B605" s="1" t="n">
        <v>44111</v>
      </c>
      <c r="C605" s="1" t="n">
        <v>45754</v>
      </c>
      <c r="D605" t="inlineStr">
        <is>
          <t>JÄMTLANDS LÄN</t>
        </is>
      </c>
      <c r="E605" t="inlineStr">
        <is>
          <t>BRÄCKE</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53176-2020</t>
        </is>
      </c>
      <c r="B606" s="1" t="n">
        <v>44120</v>
      </c>
      <c r="C606" s="1" t="n">
        <v>45754</v>
      </c>
      <c r="D606" t="inlineStr">
        <is>
          <t>JÄMTLANDS LÄN</t>
        </is>
      </c>
      <c r="E606" t="inlineStr">
        <is>
          <t>BRÄCKE</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53196-2020</t>
        </is>
      </c>
      <c r="B607" s="1" t="n">
        <v>44122</v>
      </c>
      <c r="C607" s="1" t="n">
        <v>45754</v>
      </c>
      <c r="D607" t="inlineStr">
        <is>
          <t>JÄMTLANDS LÄN</t>
        </is>
      </c>
      <c r="E607" t="inlineStr">
        <is>
          <t>BRÄCKE</t>
        </is>
      </c>
      <c r="G607" t="n">
        <v>1</v>
      </c>
      <c r="H607" t="n">
        <v>0</v>
      </c>
      <c r="I607" t="n">
        <v>0</v>
      </c>
      <c r="J607" t="n">
        <v>0</v>
      </c>
      <c r="K607" t="n">
        <v>0</v>
      </c>
      <c r="L607" t="n">
        <v>0</v>
      </c>
      <c r="M607" t="n">
        <v>0</v>
      </c>
      <c r="N607" t="n">
        <v>0</v>
      </c>
      <c r="O607" t="n">
        <v>0</v>
      </c>
      <c r="P607" t="n">
        <v>0</v>
      </c>
      <c r="Q607" t="n">
        <v>0</v>
      </c>
      <c r="R607" s="2" t="inlineStr"/>
    </row>
    <row r="608" ht="15" customHeight="1">
      <c r="A608" t="inlineStr">
        <is>
          <t>A 53826-2020</t>
        </is>
      </c>
      <c r="B608" s="1" t="n">
        <v>44124</v>
      </c>
      <c r="C608" s="1" t="n">
        <v>45754</v>
      </c>
      <c r="D608" t="inlineStr">
        <is>
          <t>JÄMTLANDS LÄN</t>
        </is>
      </c>
      <c r="E608" t="inlineStr">
        <is>
          <t>BRÄCKE</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53839-2020</t>
        </is>
      </c>
      <c r="B609" s="1" t="n">
        <v>44124</v>
      </c>
      <c r="C609" s="1" t="n">
        <v>45754</v>
      </c>
      <c r="D609" t="inlineStr">
        <is>
          <t>JÄMTLANDS LÄN</t>
        </is>
      </c>
      <c r="E609" t="inlineStr">
        <is>
          <t>BRÄCKE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54587-2020</t>
        </is>
      </c>
      <c r="B610" s="1" t="n">
        <v>44126</v>
      </c>
      <c r="C610" s="1" t="n">
        <v>45754</v>
      </c>
      <c r="D610" t="inlineStr">
        <is>
          <t>JÄMTLANDS LÄN</t>
        </is>
      </c>
      <c r="E610" t="inlineStr">
        <is>
          <t>BRÄCKE</t>
        </is>
      </c>
      <c r="F610" t="inlineStr">
        <is>
          <t>SCA</t>
        </is>
      </c>
      <c r="G610" t="n">
        <v>24.9</v>
      </c>
      <c r="H610" t="n">
        <v>0</v>
      </c>
      <c r="I610" t="n">
        <v>0</v>
      </c>
      <c r="J610" t="n">
        <v>0</v>
      </c>
      <c r="K610" t="n">
        <v>0</v>
      </c>
      <c r="L610" t="n">
        <v>0</v>
      </c>
      <c r="M610" t="n">
        <v>0</v>
      </c>
      <c r="N610" t="n">
        <v>0</v>
      </c>
      <c r="O610" t="n">
        <v>0</v>
      </c>
      <c r="P610" t="n">
        <v>0</v>
      </c>
      <c r="Q610" t="n">
        <v>0</v>
      </c>
      <c r="R610" s="2" t="inlineStr"/>
      <c r="U610">
        <f>HYPERLINK("https://klasma.github.io/Logging_2305/knärot/A 54587-2020 karta knärot.png", "A 54587-2020")</f>
        <v/>
      </c>
      <c r="V610">
        <f>HYPERLINK("https://klasma.github.io/Logging_2305/klagomål/A 54587-2020 FSC-klagomål.docx", "A 54587-2020")</f>
        <v/>
      </c>
      <c r="W610">
        <f>HYPERLINK("https://klasma.github.io/Logging_2305/klagomålsmail/A 54587-2020 FSC-klagomål mail.docx", "A 54587-2020")</f>
        <v/>
      </c>
      <c r="X610">
        <f>HYPERLINK("https://klasma.github.io/Logging_2305/tillsyn/A 54587-2020 tillsynsbegäran.docx", "A 54587-2020")</f>
        <v/>
      </c>
      <c r="Y610">
        <f>HYPERLINK("https://klasma.github.io/Logging_2305/tillsynsmail/A 54587-2020 tillsynsbegäran mail.docx", "A 54587-2020")</f>
        <v/>
      </c>
    </row>
    <row r="611" ht="15" customHeight="1">
      <c r="A611" t="inlineStr">
        <is>
          <t>A 55340-2020</t>
        </is>
      </c>
      <c r="B611" s="1" t="n">
        <v>44130</v>
      </c>
      <c r="C611" s="1" t="n">
        <v>45754</v>
      </c>
      <c r="D611" t="inlineStr">
        <is>
          <t>JÄMTLANDS LÄN</t>
        </is>
      </c>
      <c r="E611" t="inlineStr">
        <is>
          <t>BRÄCKE</t>
        </is>
      </c>
      <c r="F611" t="inlineStr">
        <is>
          <t>SCA</t>
        </is>
      </c>
      <c r="G611" t="n">
        <v>13.5</v>
      </c>
      <c r="H611" t="n">
        <v>0</v>
      </c>
      <c r="I611" t="n">
        <v>0</v>
      </c>
      <c r="J611" t="n">
        <v>0</v>
      </c>
      <c r="K611" t="n">
        <v>0</v>
      </c>
      <c r="L611" t="n">
        <v>0</v>
      </c>
      <c r="M611" t="n">
        <v>0</v>
      </c>
      <c r="N611" t="n">
        <v>0</v>
      </c>
      <c r="O611" t="n">
        <v>0</v>
      </c>
      <c r="P611" t="n">
        <v>0</v>
      </c>
      <c r="Q611" t="n">
        <v>0</v>
      </c>
      <c r="R611" s="2" t="inlineStr"/>
    </row>
    <row r="612" ht="15" customHeight="1">
      <c r="A612" t="inlineStr">
        <is>
          <t>A 55655-2020</t>
        </is>
      </c>
      <c r="B612" s="1" t="n">
        <v>44131</v>
      </c>
      <c r="C612" s="1" t="n">
        <v>45754</v>
      </c>
      <c r="D612" t="inlineStr">
        <is>
          <t>JÄMTLANDS LÄN</t>
        </is>
      </c>
      <c r="E612" t="inlineStr">
        <is>
          <t>BRÄCKE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55658-2020</t>
        </is>
      </c>
      <c r="B613" s="1" t="n">
        <v>44131</v>
      </c>
      <c r="C613" s="1" t="n">
        <v>45754</v>
      </c>
      <c r="D613" t="inlineStr">
        <is>
          <t>JÄMTLANDS LÄN</t>
        </is>
      </c>
      <c r="E613" t="inlineStr">
        <is>
          <t>BRÄCKE</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55654-2020</t>
        </is>
      </c>
      <c r="B614" s="1" t="n">
        <v>44131</v>
      </c>
      <c r="C614" s="1" t="n">
        <v>45754</v>
      </c>
      <c r="D614" t="inlineStr">
        <is>
          <t>JÄMTLANDS LÄN</t>
        </is>
      </c>
      <c r="E614" t="inlineStr">
        <is>
          <t>BRÄCKE</t>
        </is>
      </c>
      <c r="F614" t="inlineStr">
        <is>
          <t>SCA</t>
        </is>
      </c>
      <c r="G614" t="n">
        <v>3.4</v>
      </c>
      <c r="H614" t="n">
        <v>0</v>
      </c>
      <c r="I614" t="n">
        <v>0</v>
      </c>
      <c r="J614" t="n">
        <v>0</v>
      </c>
      <c r="K614" t="n">
        <v>0</v>
      </c>
      <c r="L614" t="n">
        <v>0</v>
      </c>
      <c r="M614" t="n">
        <v>0</v>
      </c>
      <c r="N614" t="n">
        <v>0</v>
      </c>
      <c r="O614" t="n">
        <v>0</v>
      </c>
      <c r="P614" t="n">
        <v>0</v>
      </c>
      <c r="Q614" t="n">
        <v>0</v>
      </c>
      <c r="R614" s="2" t="inlineStr"/>
    </row>
    <row r="615" ht="15" customHeight="1">
      <c r="A615" t="inlineStr">
        <is>
          <t>A 55657-2020</t>
        </is>
      </c>
      <c r="B615" s="1" t="n">
        <v>44131</v>
      </c>
      <c r="C615" s="1" t="n">
        <v>45754</v>
      </c>
      <c r="D615" t="inlineStr">
        <is>
          <t>JÄMTLANDS LÄN</t>
        </is>
      </c>
      <c r="E615" t="inlineStr">
        <is>
          <t>BRÄCKE</t>
        </is>
      </c>
      <c r="F615" t="inlineStr">
        <is>
          <t>SCA</t>
        </is>
      </c>
      <c r="G615" t="n">
        <v>6.1</v>
      </c>
      <c r="H615" t="n">
        <v>0</v>
      </c>
      <c r="I615" t="n">
        <v>0</v>
      </c>
      <c r="J615" t="n">
        <v>0</v>
      </c>
      <c r="K615" t="n">
        <v>0</v>
      </c>
      <c r="L615" t="n">
        <v>0</v>
      </c>
      <c r="M615" t="n">
        <v>0</v>
      </c>
      <c r="N615" t="n">
        <v>0</v>
      </c>
      <c r="O615" t="n">
        <v>0</v>
      </c>
      <c r="P615" t="n">
        <v>0</v>
      </c>
      <c r="Q615" t="n">
        <v>0</v>
      </c>
      <c r="R615" s="2" t="inlineStr"/>
    </row>
    <row r="616" ht="15" customHeight="1">
      <c r="A616" t="inlineStr">
        <is>
          <t>A 56416-2020</t>
        </is>
      </c>
      <c r="B616" s="1" t="n">
        <v>44137</v>
      </c>
      <c r="C616" s="1" t="n">
        <v>45754</v>
      </c>
      <c r="D616" t="inlineStr">
        <is>
          <t>JÄMTLANDS LÄN</t>
        </is>
      </c>
      <c r="E616" t="inlineStr">
        <is>
          <t>BRÄCKE</t>
        </is>
      </c>
      <c r="G616" t="n">
        <v>0.5</v>
      </c>
      <c r="H616" t="n">
        <v>0</v>
      </c>
      <c r="I616" t="n">
        <v>0</v>
      </c>
      <c r="J616" t="n">
        <v>0</v>
      </c>
      <c r="K616" t="n">
        <v>0</v>
      </c>
      <c r="L616" t="n">
        <v>0</v>
      </c>
      <c r="M616" t="n">
        <v>0</v>
      </c>
      <c r="N616" t="n">
        <v>0</v>
      </c>
      <c r="O616" t="n">
        <v>0</v>
      </c>
      <c r="P616" t="n">
        <v>0</v>
      </c>
      <c r="Q616" t="n">
        <v>0</v>
      </c>
      <c r="R616" s="2" t="inlineStr"/>
    </row>
    <row r="617" ht="15" customHeight="1">
      <c r="A617" t="inlineStr">
        <is>
          <t>A 56598-2020</t>
        </is>
      </c>
      <c r="B617" s="1" t="n">
        <v>44137</v>
      </c>
      <c r="C617" s="1" t="n">
        <v>45754</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56758-2020</t>
        </is>
      </c>
      <c r="B618" s="1" t="n">
        <v>44137</v>
      </c>
      <c r="C618" s="1" t="n">
        <v>45754</v>
      </c>
      <c r="D618" t="inlineStr">
        <is>
          <t>JÄMTLANDS LÄN</t>
        </is>
      </c>
      <c r="E618" t="inlineStr">
        <is>
          <t>BRÄCKE</t>
        </is>
      </c>
      <c r="F618" t="inlineStr">
        <is>
          <t>SCA</t>
        </is>
      </c>
      <c r="G618" t="n">
        <v>0.5</v>
      </c>
      <c r="H618" t="n">
        <v>0</v>
      </c>
      <c r="I618" t="n">
        <v>0</v>
      </c>
      <c r="J618" t="n">
        <v>0</v>
      </c>
      <c r="K618" t="n">
        <v>0</v>
      </c>
      <c r="L618" t="n">
        <v>0</v>
      </c>
      <c r="M618" t="n">
        <v>0</v>
      </c>
      <c r="N618" t="n">
        <v>0</v>
      </c>
      <c r="O618" t="n">
        <v>0</v>
      </c>
      <c r="P618" t="n">
        <v>0</v>
      </c>
      <c r="Q618" t="n">
        <v>0</v>
      </c>
      <c r="R618" s="2" t="inlineStr"/>
    </row>
    <row r="619" ht="15" customHeight="1">
      <c r="A619" t="inlineStr">
        <is>
          <t>A 56777-2020</t>
        </is>
      </c>
      <c r="B619" s="1" t="n">
        <v>44137</v>
      </c>
      <c r="C619" s="1" t="n">
        <v>45754</v>
      </c>
      <c r="D619" t="inlineStr">
        <is>
          <t>JÄMTLANDS LÄN</t>
        </is>
      </c>
      <c r="E619" t="inlineStr">
        <is>
          <t>BRÄCKE</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56782-2020</t>
        </is>
      </c>
      <c r="B620" s="1" t="n">
        <v>44137</v>
      </c>
      <c r="C620" s="1" t="n">
        <v>45754</v>
      </c>
      <c r="D620" t="inlineStr">
        <is>
          <t>JÄMTLANDS LÄN</t>
        </is>
      </c>
      <c r="E620" t="inlineStr">
        <is>
          <t>BRÄCKE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56773-2020</t>
        </is>
      </c>
      <c r="B621" s="1" t="n">
        <v>44137</v>
      </c>
      <c r="C621" s="1" t="n">
        <v>45754</v>
      </c>
      <c r="D621" t="inlineStr">
        <is>
          <t>JÄMTLANDS LÄN</t>
        </is>
      </c>
      <c r="E621" t="inlineStr">
        <is>
          <t>BRÄCKE</t>
        </is>
      </c>
      <c r="F621" t="inlineStr">
        <is>
          <t>SCA</t>
        </is>
      </c>
      <c r="G621" t="n">
        <v>10.3</v>
      </c>
      <c r="H621" t="n">
        <v>0</v>
      </c>
      <c r="I621" t="n">
        <v>0</v>
      </c>
      <c r="J621" t="n">
        <v>0</v>
      </c>
      <c r="K621" t="n">
        <v>0</v>
      </c>
      <c r="L621" t="n">
        <v>0</v>
      </c>
      <c r="M621" t="n">
        <v>0</v>
      </c>
      <c r="N621" t="n">
        <v>0</v>
      </c>
      <c r="O621" t="n">
        <v>0</v>
      </c>
      <c r="P621" t="n">
        <v>0</v>
      </c>
      <c r="Q621" t="n">
        <v>0</v>
      </c>
      <c r="R621" s="2" t="inlineStr"/>
    </row>
    <row r="622" ht="15" customHeight="1">
      <c r="A622" t="inlineStr">
        <is>
          <t>A 56778-2020</t>
        </is>
      </c>
      <c r="B622" s="1" t="n">
        <v>44137</v>
      </c>
      <c r="C622" s="1" t="n">
        <v>45754</v>
      </c>
      <c r="D622" t="inlineStr">
        <is>
          <t>JÄMTLANDS LÄN</t>
        </is>
      </c>
      <c r="E622" t="inlineStr">
        <is>
          <t>BRÄCKE</t>
        </is>
      </c>
      <c r="F622" t="inlineStr">
        <is>
          <t>SCA</t>
        </is>
      </c>
      <c r="G622" t="n">
        <v>5.5</v>
      </c>
      <c r="H622" t="n">
        <v>0</v>
      </c>
      <c r="I622" t="n">
        <v>0</v>
      </c>
      <c r="J622" t="n">
        <v>0</v>
      </c>
      <c r="K622" t="n">
        <v>0</v>
      </c>
      <c r="L622" t="n">
        <v>0</v>
      </c>
      <c r="M622" t="n">
        <v>0</v>
      </c>
      <c r="N622" t="n">
        <v>0</v>
      </c>
      <c r="O622" t="n">
        <v>0</v>
      </c>
      <c r="P622" t="n">
        <v>0</v>
      </c>
      <c r="Q622" t="n">
        <v>0</v>
      </c>
      <c r="R622" s="2" t="inlineStr"/>
    </row>
    <row r="623" ht="15" customHeight="1">
      <c r="A623" t="inlineStr">
        <is>
          <t>A 56776-2020</t>
        </is>
      </c>
      <c r="B623" s="1" t="n">
        <v>44137</v>
      </c>
      <c r="C623" s="1" t="n">
        <v>45754</v>
      </c>
      <c r="D623" t="inlineStr">
        <is>
          <t>JÄMTLANDS LÄN</t>
        </is>
      </c>
      <c r="E623" t="inlineStr">
        <is>
          <t>BRÄCKE</t>
        </is>
      </c>
      <c r="F623" t="inlineStr">
        <is>
          <t>SCA</t>
        </is>
      </c>
      <c r="G623" t="n">
        <v>6.7</v>
      </c>
      <c r="H623" t="n">
        <v>0</v>
      </c>
      <c r="I623" t="n">
        <v>0</v>
      </c>
      <c r="J623" t="n">
        <v>0</v>
      </c>
      <c r="K623" t="n">
        <v>0</v>
      </c>
      <c r="L623" t="n">
        <v>0</v>
      </c>
      <c r="M623" t="n">
        <v>0</v>
      </c>
      <c r="N623" t="n">
        <v>0</v>
      </c>
      <c r="O623" t="n">
        <v>0</v>
      </c>
      <c r="P623" t="n">
        <v>0</v>
      </c>
      <c r="Q623" t="n">
        <v>0</v>
      </c>
      <c r="R623" s="2" t="inlineStr"/>
    </row>
    <row r="624" ht="15" customHeight="1">
      <c r="A624" t="inlineStr">
        <is>
          <t>A 56781-2020</t>
        </is>
      </c>
      <c r="B624" s="1" t="n">
        <v>44137</v>
      </c>
      <c r="C624" s="1" t="n">
        <v>45754</v>
      </c>
      <c r="D624" t="inlineStr">
        <is>
          <t>JÄMTLANDS LÄN</t>
        </is>
      </c>
      <c r="E624" t="inlineStr">
        <is>
          <t>BRÄCKE</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56774-2020</t>
        </is>
      </c>
      <c r="B625" s="1" t="n">
        <v>44137</v>
      </c>
      <c r="C625" s="1" t="n">
        <v>45754</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56780-2020</t>
        </is>
      </c>
      <c r="B626" s="1" t="n">
        <v>44137</v>
      </c>
      <c r="C626" s="1" t="n">
        <v>45754</v>
      </c>
      <c r="D626" t="inlineStr">
        <is>
          <t>JÄMTLANDS LÄN</t>
        </is>
      </c>
      <c r="E626" t="inlineStr">
        <is>
          <t>BRÄCKE</t>
        </is>
      </c>
      <c r="G626" t="n">
        <v>0.5</v>
      </c>
      <c r="H626" t="n">
        <v>0</v>
      </c>
      <c r="I626" t="n">
        <v>0</v>
      </c>
      <c r="J626" t="n">
        <v>0</v>
      </c>
      <c r="K626" t="n">
        <v>0</v>
      </c>
      <c r="L626" t="n">
        <v>0</v>
      </c>
      <c r="M626" t="n">
        <v>0</v>
      </c>
      <c r="N626" t="n">
        <v>0</v>
      </c>
      <c r="O626" t="n">
        <v>0</v>
      </c>
      <c r="P626" t="n">
        <v>0</v>
      </c>
      <c r="Q626" t="n">
        <v>0</v>
      </c>
      <c r="R626" s="2" t="inlineStr"/>
    </row>
    <row r="627" ht="15" customHeight="1">
      <c r="A627" t="inlineStr">
        <is>
          <t>A 57072-2020</t>
        </is>
      </c>
      <c r="B627" s="1" t="n">
        <v>44138</v>
      </c>
      <c r="C627" s="1" t="n">
        <v>45754</v>
      </c>
      <c r="D627" t="inlineStr">
        <is>
          <t>JÄMTLANDS LÄN</t>
        </is>
      </c>
      <c r="E627" t="inlineStr">
        <is>
          <t>BRÄCKE</t>
        </is>
      </c>
      <c r="F627" t="inlineStr">
        <is>
          <t>SCA</t>
        </is>
      </c>
      <c r="G627" t="n">
        <v>12.8</v>
      </c>
      <c r="H627" t="n">
        <v>0</v>
      </c>
      <c r="I627" t="n">
        <v>0</v>
      </c>
      <c r="J627" t="n">
        <v>0</v>
      </c>
      <c r="K627" t="n">
        <v>0</v>
      </c>
      <c r="L627" t="n">
        <v>0</v>
      </c>
      <c r="M627" t="n">
        <v>0</v>
      </c>
      <c r="N627" t="n">
        <v>0</v>
      </c>
      <c r="O627" t="n">
        <v>0</v>
      </c>
      <c r="P627" t="n">
        <v>0</v>
      </c>
      <c r="Q627" t="n">
        <v>0</v>
      </c>
      <c r="R627" s="2" t="inlineStr"/>
    </row>
    <row r="628" ht="15" customHeight="1">
      <c r="A628" t="inlineStr">
        <is>
          <t>A 56938-2020</t>
        </is>
      </c>
      <c r="B628" s="1" t="n">
        <v>44138</v>
      </c>
      <c r="C628" s="1" t="n">
        <v>45754</v>
      </c>
      <c r="D628" t="inlineStr">
        <is>
          <t>JÄMTLANDS LÄN</t>
        </is>
      </c>
      <c r="E628" t="inlineStr">
        <is>
          <t>BRÄCKE</t>
        </is>
      </c>
      <c r="G628" t="n">
        <v>7.3</v>
      </c>
      <c r="H628" t="n">
        <v>0</v>
      </c>
      <c r="I628" t="n">
        <v>0</v>
      </c>
      <c r="J628" t="n">
        <v>0</v>
      </c>
      <c r="K628" t="n">
        <v>0</v>
      </c>
      <c r="L628" t="n">
        <v>0</v>
      </c>
      <c r="M628" t="n">
        <v>0</v>
      </c>
      <c r="N628" t="n">
        <v>0</v>
      </c>
      <c r="O628" t="n">
        <v>0</v>
      </c>
      <c r="P628" t="n">
        <v>0</v>
      </c>
      <c r="Q628" t="n">
        <v>0</v>
      </c>
      <c r="R628" s="2" t="inlineStr"/>
    </row>
    <row r="629" ht="15" customHeight="1">
      <c r="A629" t="inlineStr">
        <is>
          <t>A 57073-2020</t>
        </is>
      </c>
      <c r="B629" s="1" t="n">
        <v>44138</v>
      </c>
      <c r="C629" s="1" t="n">
        <v>45754</v>
      </c>
      <c r="D629" t="inlineStr">
        <is>
          <t>JÄMTLANDS LÄN</t>
        </is>
      </c>
      <c r="E629" t="inlineStr">
        <is>
          <t>BRÄCKE</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57716-2020</t>
        </is>
      </c>
      <c r="B630" s="1" t="n">
        <v>44140</v>
      </c>
      <c r="C630" s="1" t="n">
        <v>45754</v>
      </c>
      <c r="D630" t="inlineStr">
        <is>
          <t>JÄMTLANDS LÄN</t>
        </is>
      </c>
      <c r="E630" t="inlineStr">
        <is>
          <t>BRÄCKE</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59331-2020</t>
        </is>
      </c>
      <c r="B631" s="1" t="n">
        <v>44147</v>
      </c>
      <c r="C631" s="1" t="n">
        <v>45754</v>
      </c>
      <c r="D631" t="inlineStr">
        <is>
          <t>JÄMTLANDS LÄN</t>
        </is>
      </c>
      <c r="E631" t="inlineStr">
        <is>
          <t>BRÄCKE</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59397-2020</t>
        </is>
      </c>
      <c r="B632" s="1" t="n">
        <v>44148</v>
      </c>
      <c r="C632" s="1" t="n">
        <v>45754</v>
      </c>
      <c r="D632" t="inlineStr">
        <is>
          <t>JÄMTLANDS LÄN</t>
        </is>
      </c>
      <c r="E632" t="inlineStr">
        <is>
          <t>BRÄCKE</t>
        </is>
      </c>
      <c r="G632" t="n">
        <v>2.3</v>
      </c>
      <c r="H632" t="n">
        <v>0</v>
      </c>
      <c r="I632" t="n">
        <v>0</v>
      </c>
      <c r="J632" t="n">
        <v>0</v>
      </c>
      <c r="K632" t="n">
        <v>0</v>
      </c>
      <c r="L632" t="n">
        <v>0</v>
      </c>
      <c r="M632" t="n">
        <v>0</v>
      </c>
      <c r="N632" t="n">
        <v>0</v>
      </c>
      <c r="O632" t="n">
        <v>0</v>
      </c>
      <c r="P632" t="n">
        <v>0</v>
      </c>
      <c r="Q632" t="n">
        <v>0</v>
      </c>
      <c r="R632" s="2" t="inlineStr"/>
    </row>
    <row r="633" ht="15" customHeight="1">
      <c r="A633" t="inlineStr">
        <is>
          <t>A 61141-2020</t>
        </is>
      </c>
      <c r="B633" s="1" t="n">
        <v>44154</v>
      </c>
      <c r="C633" s="1" t="n">
        <v>45754</v>
      </c>
      <c r="D633" t="inlineStr">
        <is>
          <t>JÄMTLANDS LÄN</t>
        </is>
      </c>
      <c r="E633" t="inlineStr">
        <is>
          <t>BRÄCKE</t>
        </is>
      </c>
      <c r="G633" t="n">
        <v>4.3</v>
      </c>
      <c r="H633" t="n">
        <v>0</v>
      </c>
      <c r="I633" t="n">
        <v>0</v>
      </c>
      <c r="J633" t="n">
        <v>0</v>
      </c>
      <c r="K633" t="n">
        <v>0</v>
      </c>
      <c r="L633" t="n">
        <v>0</v>
      </c>
      <c r="M633" t="n">
        <v>0</v>
      </c>
      <c r="N633" t="n">
        <v>0</v>
      </c>
      <c r="O633" t="n">
        <v>0</v>
      </c>
      <c r="P633" t="n">
        <v>0</v>
      </c>
      <c r="Q633" t="n">
        <v>0</v>
      </c>
      <c r="R633" s="2" t="inlineStr"/>
    </row>
    <row r="634" ht="15" customHeight="1">
      <c r="A634" t="inlineStr">
        <is>
          <t>A 61140-2020</t>
        </is>
      </c>
      <c r="B634" s="1" t="n">
        <v>44154</v>
      </c>
      <c r="C634" s="1" t="n">
        <v>45754</v>
      </c>
      <c r="D634" t="inlineStr">
        <is>
          <t>JÄMTLANDS LÄN</t>
        </is>
      </c>
      <c r="E634" t="inlineStr">
        <is>
          <t>BRÄCKE</t>
        </is>
      </c>
      <c r="G634" t="n">
        <v>0.9</v>
      </c>
      <c r="H634" t="n">
        <v>0</v>
      </c>
      <c r="I634" t="n">
        <v>0</v>
      </c>
      <c r="J634" t="n">
        <v>0</v>
      </c>
      <c r="K634" t="n">
        <v>0</v>
      </c>
      <c r="L634" t="n">
        <v>0</v>
      </c>
      <c r="M634" t="n">
        <v>0</v>
      </c>
      <c r="N634" t="n">
        <v>0</v>
      </c>
      <c r="O634" t="n">
        <v>0</v>
      </c>
      <c r="P634" t="n">
        <v>0</v>
      </c>
      <c r="Q634" t="n">
        <v>0</v>
      </c>
      <c r="R634" s="2" t="inlineStr"/>
    </row>
    <row r="635" ht="15" customHeight="1">
      <c r="A635" t="inlineStr">
        <is>
          <t>A 61144-2020</t>
        </is>
      </c>
      <c r="B635" s="1" t="n">
        <v>44154</v>
      </c>
      <c r="C635" s="1" t="n">
        <v>45754</v>
      </c>
      <c r="D635" t="inlineStr">
        <is>
          <t>JÄMTLANDS LÄN</t>
        </is>
      </c>
      <c r="E635" t="inlineStr">
        <is>
          <t>BRÄCKE</t>
        </is>
      </c>
      <c r="G635" t="n">
        <v>12.8</v>
      </c>
      <c r="H635" t="n">
        <v>0</v>
      </c>
      <c r="I635" t="n">
        <v>0</v>
      </c>
      <c r="J635" t="n">
        <v>0</v>
      </c>
      <c r="K635" t="n">
        <v>0</v>
      </c>
      <c r="L635" t="n">
        <v>0</v>
      </c>
      <c r="M635" t="n">
        <v>0</v>
      </c>
      <c r="N635" t="n">
        <v>0</v>
      </c>
      <c r="O635" t="n">
        <v>0</v>
      </c>
      <c r="P635" t="n">
        <v>0</v>
      </c>
      <c r="Q635" t="n">
        <v>0</v>
      </c>
      <c r="R635" s="2" t="inlineStr"/>
    </row>
    <row r="636" ht="15" customHeight="1">
      <c r="A636" t="inlineStr">
        <is>
          <t>A 61143-2020</t>
        </is>
      </c>
      <c r="B636" s="1" t="n">
        <v>44154</v>
      </c>
      <c r="C636" s="1" t="n">
        <v>45754</v>
      </c>
      <c r="D636" t="inlineStr">
        <is>
          <t>JÄMTLANDS LÄN</t>
        </is>
      </c>
      <c r="E636" t="inlineStr">
        <is>
          <t>BRÄCKE</t>
        </is>
      </c>
      <c r="G636" t="n">
        <v>12.6</v>
      </c>
      <c r="H636" t="n">
        <v>0</v>
      </c>
      <c r="I636" t="n">
        <v>0</v>
      </c>
      <c r="J636" t="n">
        <v>0</v>
      </c>
      <c r="K636" t="n">
        <v>0</v>
      </c>
      <c r="L636" t="n">
        <v>0</v>
      </c>
      <c r="M636" t="n">
        <v>0</v>
      </c>
      <c r="N636" t="n">
        <v>0</v>
      </c>
      <c r="O636" t="n">
        <v>0</v>
      </c>
      <c r="P636" t="n">
        <v>0</v>
      </c>
      <c r="Q636" t="n">
        <v>0</v>
      </c>
      <c r="R636" s="2" t="inlineStr"/>
    </row>
    <row r="637" ht="15" customHeight="1">
      <c r="A637" t="inlineStr">
        <is>
          <t>A 61602-2020</t>
        </is>
      </c>
      <c r="B637" s="1" t="n">
        <v>44158</v>
      </c>
      <c r="C637" s="1" t="n">
        <v>45754</v>
      </c>
      <c r="D637" t="inlineStr">
        <is>
          <t>JÄMTLANDS LÄN</t>
        </is>
      </c>
      <c r="E637" t="inlineStr">
        <is>
          <t>BRÄCKE</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61817-2020</t>
        </is>
      </c>
      <c r="B638" s="1" t="n">
        <v>44158</v>
      </c>
      <c r="C638" s="1" t="n">
        <v>45754</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62871-2020</t>
        </is>
      </c>
      <c r="B639" s="1" t="n">
        <v>44161</v>
      </c>
      <c r="C639" s="1" t="n">
        <v>45754</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62970-2020</t>
        </is>
      </c>
      <c r="B640" s="1" t="n">
        <v>44162</v>
      </c>
      <c r="C640" s="1" t="n">
        <v>45754</v>
      </c>
      <c r="D640" t="inlineStr">
        <is>
          <t>JÄMTLANDS LÄN</t>
        </is>
      </c>
      <c r="E640" t="inlineStr">
        <is>
          <t>BRÄCKE</t>
        </is>
      </c>
      <c r="G640" t="n">
        <v>2.4</v>
      </c>
      <c r="H640" t="n">
        <v>0</v>
      </c>
      <c r="I640" t="n">
        <v>0</v>
      </c>
      <c r="J640" t="n">
        <v>0</v>
      </c>
      <c r="K640" t="n">
        <v>0</v>
      </c>
      <c r="L640" t="n">
        <v>0</v>
      </c>
      <c r="M640" t="n">
        <v>0</v>
      </c>
      <c r="N640" t="n">
        <v>0</v>
      </c>
      <c r="O640" t="n">
        <v>0</v>
      </c>
      <c r="P640" t="n">
        <v>0</v>
      </c>
      <c r="Q640" t="n">
        <v>0</v>
      </c>
      <c r="R640" s="2" t="inlineStr"/>
    </row>
    <row r="641" ht="15" customHeight="1">
      <c r="A641" t="inlineStr">
        <is>
          <t>A 64494-2020</t>
        </is>
      </c>
      <c r="B641" s="1" t="n">
        <v>44168</v>
      </c>
      <c r="C641" s="1" t="n">
        <v>45754</v>
      </c>
      <c r="D641" t="inlineStr">
        <is>
          <t>JÄMTLANDS LÄN</t>
        </is>
      </c>
      <c r="E641" t="inlineStr">
        <is>
          <t>BRÄCKE</t>
        </is>
      </c>
      <c r="G641" t="n">
        <v>4.4</v>
      </c>
      <c r="H641" t="n">
        <v>0</v>
      </c>
      <c r="I641" t="n">
        <v>0</v>
      </c>
      <c r="J641" t="n">
        <v>0</v>
      </c>
      <c r="K641" t="n">
        <v>0</v>
      </c>
      <c r="L641" t="n">
        <v>0</v>
      </c>
      <c r="M641" t="n">
        <v>0</v>
      </c>
      <c r="N641" t="n">
        <v>0</v>
      </c>
      <c r="O641" t="n">
        <v>0</v>
      </c>
      <c r="P641" t="n">
        <v>0</v>
      </c>
      <c r="Q641" t="n">
        <v>0</v>
      </c>
      <c r="R641" s="2" t="inlineStr"/>
    </row>
    <row r="642" ht="15" customHeight="1">
      <c r="A642" t="inlineStr">
        <is>
          <t>A 64495-2020</t>
        </is>
      </c>
      <c r="B642" s="1" t="n">
        <v>44168</v>
      </c>
      <c r="C642" s="1" t="n">
        <v>45754</v>
      </c>
      <c r="D642" t="inlineStr">
        <is>
          <t>JÄMTLANDS LÄN</t>
        </is>
      </c>
      <c r="E642" t="inlineStr">
        <is>
          <t>BRÄCKE</t>
        </is>
      </c>
      <c r="G642" t="n">
        <v>2.4</v>
      </c>
      <c r="H642" t="n">
        <v>0</v>
      </c>
      <c r="I642" t="n">
        <v>0</v>
      </c>
      <c r="J642" t="n">
        <v>0</v>
      </c>
      <c r="K642" t="n">
        <v>0</v>
      </c>
      <c r="L642" t="n">
        <v>0</v>
      </c>
      <c r="M642" t="n">
        <v>0</v>
      </c>
      <c r="N642" t="n">
        <v>0</v>
      </c>
      <c r="O642" t="n">
        <v>0</v>
      </c>
      <c r="P642" t="n">
        <v>0</v>
      </c>
      <c r="Q642" t="n">
        <v>0</v>
      </c>
      <c r="R642" s="2" t="inlineStr"/>
    </row>
    <row r="643" ht="15" customHeight="1">
      <c r="A643" t="inlineStr">
        <is>
          <t>A 64805-2020</t>
        </is>
      </c>
      <c r="B643" s="1" t="n">
        <v>44169</v>
      </c>
      <c r="C643" s="1" t="n">
        <v>45754</v>
      </c>
      <c r="D643" t="inlineStr">
        <is>
          <t>JÄMTLANDS LÄN</t>
        </is>
      </c>
      <c r="E643" t="inlineStr">
        <is>
          <t>BRÄCKE</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64809-2020</t>
        </is>
      </c>
      <c r="B644" s="1" t="n">
        <v>44169</v>
      </c>
      <c r="C644" s="1" t="n">
        <v>45754</v>
      </c>
      <c r="D644" t="inlineStr">
        <is>
          <t>JÄMTLANDS LÄN</t>
        </is>
      </c>
      <c r="E644" t="inlineStr">
        <is>
          <t>BRÄCKE</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66443-2020</t>
        </is>
      </c>
      <c r="B645" s="1" t="n">
        <v>44176</v>
      </c>
      <c r="C645" s="1" t="n">
        <v>45754</v>
      </c>
      <c r="D645" t="inlineStr">
        <is>
          <t>JÄMTLANDS LÄN</t>
        </is>
      </c>
      <c r="E645" t="inlineStr">
        <is>
          <t>BRÄCKE</t>
        </is>
      </c>
      <c r="G645" t="n">
        <v>2.8</v>
      </c>
      <c r="H645" t="n">
        <v>0</v>
      </c>
      <c r="I645" t="n">
        <v>0</v>
      </c>
      <c r="J645" t="n">
        <v>0</v>
      </c>
      <c r="K645" t="n">
        <v>0</v>
      </c>
      <c r="L645" t="n">
        <v>0</v>
      </c>
      <c r="M645" t="n">
        <v>0</v>
      </c>
      <c r="N645" t="n">
        <v>0</v>
      </c>
      <c r="O645" t="n">
        <v>0</v>
      </c>
      <c r="P645" t="n">
        <v>0</v>
      </c>
      <c r="Q645" t="n">
        <v>0</v>
      </c>
      <c r="R645" s="2" t="inlineStr"/>
    </row>
    <row r="646" ht="15" customHeight="1">
      <c r="A646" t="inlineStr">
        <is>
          <t>A 66859-2020</t>
        </is>
      </c>
      <c r="B646" s="1" t="n">
        <v>44179</v>
      </c>
      <c r="C646" s="1" t="n">
        <v>45754</v>
      </c>
      <c r="D646" t="inlineStr">
        <is>
          <t>JÄMTLANDS LÄN</t>
        </is>
      </c>
      <c r="E646" t="inlineStr">
        <is>
          <t>BRÄCKE</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67080-2020</t>
        </is>
      </c>
      <c r="B647" s="1" t="n">
        <v>44179</v>
      </c>
      <c r="C647" s="1" t="n">
        <v>45754</v>
      </c>
      <c r="D647" t="inlineStr">
        <is>
          <t>JÄMTLANDS LÄN</t>
        </is>
      </c>
      <c r="E647" t="inlineStr">
        <is>
          <t>BRÄCKE</t>
        </is>
      </c>
      <c r="G647" t="n">
        <v>1.9</v>
      </c>
      <c r="H647" t="n">
        <v>0</v>
      </c>
      <c r="I647" t="n">
        <v>0</v>
      </c>
      <c r="J647" t="n">
        <v>0</v>
      </c>
      <c r="K647" t="n">
        <v>0</v>
      </c>
      <c r="L647" t="n">
        <v>0</v>
      </c>
      <c r="M647" t="n">
        <v>0</v>
      </c>
      <c r="N647" t="n">
        <v>0</v>
      </c>
      <c r="O647" t="n">
        <v>0</v>
      </c>
      <c r="P647" t="n">
        <v>0</v>
      </c>
      <c r="Q647" t="n">
        <v>0</v>
      </c>
      <c r="R647" s="2" t="inlineStr"/>
    </row>
    <row r="648" ht="15" customHeight="1">
      <c r="A648" t="inlineStr">
        <is>
          <t>A 67581-2020</t>
        </is>
      </c>
      <c r="B648" s="1" t="n">
        <v>44181</v>
      </c>
      <c r="C648" s="1" t="n">
        <v>45754</v>
      </c>
      <c r="D648" t="inlineStr">
        <is>
          <t>JÄMTLANDS LÄN</t>
        </is>
      </c>
      <c r="E648" t="inlineStr">
        <is>
          <t>BRÄCKE</t>
        </is>
      </c>
      <c r="G648" t="n">
        <v>1.6</v>
      </c>
      <c r="H648" t="n">
        <v>0</v>
      </c>
      <c r="I648" t="n">
        <v>0</v>
      </c>
      <c r="J648" t="n">
        <v>0</v>
      </c>
      <c r="K648" t="n">
        <v>0</v>
      </c>
      <c r="L648" t="n">
        <v>0</v>
      </c>
      <c r="M648" t="n">
        <v>0</v>
      </c>
      <c r="N648" t="n">
        <v>0</v>
      </c>
      <c r="O648" t="n">
        <v>0</v>
      </c>
      <c r="P648" t="n">
        <v>0</v>
      </c>
      <c r="Q648" t="n">
        <v>0</v>
      </c>
      <c r="R648" s="2" t="inlineStr"/>
    </row>
    <row r="649" ht="15" customHeight="1">
      <c r="A649" t="inlineStr">
        <is>
          <t>A 67612-2020</t>
        </is>
      </c>
      <c r="B649" s="1" t="n">
        <v>44181</v>
      </c>
      <c r="C649" s="1" t="n">
        <v>45754</v>
      </c>
      <c r="D649" t="inlineStr">
        <is>
          <t>JÄMTLANDS LÄN</t>
        </is>
      </c>
      <c r="E649" t="inlineStr">
        <is>
          <t>BRÄCKE</t>
        </is>
      </c>
      <c r="G649" t="n">
        <v>1.8</v>
      </c>
      <c r="H649" t="n">
        <v>0</v>
      </c>
      <c r="I649" t="n">
        <v>0</v>
      </c>
      <c r="J649" t="n">
        <v>0</v>
      </c>
      <c r="K649" t="n">
        <v>0</v>
      </c>
      <c r="L649" t="n">
        <v>0</v>
      </c>
      <c r="M649" t="n">
        <v>0</v>
      </c>
      <c r="N649" t="n">
        <v>0</v>
      </c>
      <c r="O649" t="n">
        <v>0</v>
      </c>
      <c r="P649" t="n">
        <v>0</v>
      </c>
      <c r="Q649" t="n">
        <v>0</v>
      </c>
      <c r="R649" s="2" t="inlineStr"/>
    </row>
    <row r="650" ht="15" customHeight="1">
      <c r="A650" t="inlineStr">
        <is>
          <t>A 67613-2020</t>
        </is>
      </c>
      <c r="B650" s="1" t="n">
        <v>44181</v>
      </c>
      <c r="C650" s="1" t="n">
        <v>45754</v>
      </c>
      <c r="D650" t="inlineStr">
        <is>
          <t>JÄMTLANDS LÄN</t>
        </is>
      </c>
      <c r="E650" t="inlineStr">
        <is>
          <t>BRÄCKE</t>
        </is>
      </c>
      <c r="G650" t="n">
        <v>1.2</v>
      </c>
      <c r="H650" t="n">
        <v>0</v>
      </c>
      <c r="I650" t="n">
        <v>0</v>
      </c>
      <c r="J650" t="n">
        <v>0</v>
      </c>
      <c r="K650" t="n">
        <v>0</v>
      </c>
      <c r="L650" t="n">
        <v>0</v>
      </c>
      <c r="M650" t="n">
        <v>0</v>
      </c>
      <c r="N650" t="n">
        <v>0</v>
      </c>
      <c r="O650" t="n">
        <v>0</v>
      </c>
      <c r="P650" t="n">
        <v>0</v>
      </c>
      <c r="Q650" t="n">
        <v>0</v>
      </c>
      <c r="R650" s="2" t="inlineStr"/>
    </row>
    <row r="651" ht="15" customHeight="1">
      <c r="A651" t="inlineStr">
        <is>
          <t>A 67622-2020</t>
        </is>
      </c>
      <c r="B651" s="1" t="n">
        <v>44181</v>
      </c>
      <c r="C651" s="1" t="n">
        <v>45754</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68362-2020</t>
        </is>
      </c>
      <c r="B652" s="1" t="n">
        <v>44186</v>
      </c>
      <c r="C652" s="1" t="n">
        <v>45754</v>
      </c>
      <c r="D652" t="inlineStr">
        <is>
          <t>JÄMTLANDS LÄN</t>
        </is>
      </c>
      <c r="E652" t="inlineStr">
        <is>
          <t>BRÄCKE</t>
        </is>
      </c>
      <c r="G652" t="n">
        <v>4.5</v>
      </c>
      <c r="H652" t="n">
        <v>0</v>
      </c>
      <c r="I652" t="n">
        <v>0</v>
      </c>
      <c r="J652" t="n">
        <v>0</v>
      </c>
      <c r="K652" t="n">
        <v>0</v>
      </c>
      <c r="L652" t="n">
        <v>0</v>
      </c>
      <c r="M652" t="n">
        <v>0</v>
      </c>
      <c r="N652" t="n">
        <v>0</v>
      </c>
      <c r="O652" t="n">
        <v>0</v>
      </c>
      <c r="P652" t="n">
        <v>0</v>
      </c>
      <c r="Q652" t="n">
        <v>0</v>
      </c>
      <c r="R652" s="2" t="inlineStr"/>
    </row>
    <row r="653" ht="15" customHeight="1">
      <c r="A653" t="inlineStr">
        <is>
          <t>A 68968-2020</t>
        </is>
      </c>
      <c r="B653" s="1" t="n">
        <v>44187</v>
      </c>
      <c r="C653" s="1" t="n">
        <v>45754</v>
      </c>
      <c r="D653" t="inlineStr">
        <is>
          <t>JÄMTLANDS LÄN</t>
        </is>
      </c>
      <c r="E653" t="inlineStr">
        <is>
          <t>BRÄCKE</t>
        </is>
      </c>
      <c r="G653" t="n">
        <v>14.2</v>
      </c>
      <c r="H653" t="n">
        <v>0</v>
      </c>
      <c r="I653" t="n">
        <v>0</v>
      </c>
      <c r="J653" t="n">
        <v>0</v>
      </c>
      <c r="K653" t="n">
        <v>0</v>
      </c>
      <c r="L653" t="n">
        <v>0</v>
      </c>
      <c r="M653" t="n">
        <v>0</v>
      </c>
      <c r="N653" t="n">
        <v>0</v>
      </c>
      <c r="O653" t="n">
        <v>0</v>
      </c>
      <c r="P653" t="n">
        <v>0</v>
      </c>
      <c r="Q653" t="n">
        <v>0</v>
      </c>
      <c r="R653" s="2" t="inlineStr"/>
    </row>
    <row r="654" ht="15" customHeight="1">
      <c r="A654" t="inlineStr">
        <is>
          <t>A 1027-2021</t>
        </is>
      </c>
      <c r="B654" s="1" t="n">
        <v>44207</v>
      </c>
      <c r="C654" s="1" t="n">
        <v>45754</v>
      </c>
      <c r="D654" t="inlineStr">
        <is>
          <t>JÄMTLANDS LÄN</t>
        </is>
      </c>
      <c r="E654" t="inlineStr">
        <is>
          <t>BRÄCKE</t>
        </is>
      </c>
      <c r="G654" t="n">
        <v>2.7</v>
      </c>
      <c r="H654" t="n">
        <v>0</v>
      </c>
      <c r="I654" t="n">
        <v>0</v>
      </c>
      <c r="J654" t="n">
        <v>0</v>
      </c>
      <c r="K654" t="n">
        <v>0</v>
      </c>
      <c r="L654" t="n">
        <v>0</v>
      </c>
      <c r="M654" t="n">
        <v>0</v>
      </c>
      <c r="N654" t="n">
        <v>0</v>
      </c>
      <c r="O654" t="n">
        <v>0</v>
      </c>
      <c r="P654" t="n">
        <v>0</v>
      </c>
      <c r="Q654" t="n">
        <v>0</v>
      </c>
      <c r="R654" s="2" t="inlineStr"/>
    </row>
    <row r="655" ht="15" customHeight="1">
      <c r="A655" t="inlineStr">
        <is>
          <t>A 1772-2021</t>
        </is>
      </c>
      <c r="B655" s="1" t="n">
        <v>44209</v>
      </c>
      <c r="C655" s="1" t="n">
        <v>45754</v>
      </c>
      <c r="D655" t="inlineStr">
        <is>
          <t>JÄMTLANDS LÄN</t>
        </is>
      </c>
      <c r="E655" t="inlineStr">
        <is>
          <t>BRÄCKE</t>
        </is>
      </c>
      <c r="G655" t="n">
        <v>1.1</v>
      </c>
      <c r="H655" t="n">
        <v>0</v>
      </c>
      <c r="I655" t="n">
        <v>0</v>
      </c>
      <c r="J655" t="n">
        <v>0</v>
      </c>
      <c r="K655" t="n">
        <v>0</v>
      </c>
      <c r="L655" t="n">
        <v>0</v>
      </c>
      <c r="M655" t="n">
        <v>0</v>
      </c>
      <c r="N655" t="n">
        <v>0</v>
      </c>
      <c r="O655" t="n">
        <v>0</v>
      </c>
      <c r="P655" t="n">
        <v>0</v>
      </c>
      <c r="Q655" t="n">
        <v>0</v>
      </c>
      <c r="R655" s="2" t="inlineStr"/>
    </row>
    <row r="656" ht="15" customHeight="1">
      <c r="A656" t="inlineStr">
        <is>
          <t>A 2829-2021</t>
        </is>
      </c>
      <c r="B656" s="1" t="n">
        <v>44215</v>
      </c>
      <c r="C656" s="1" t="n">
        <v>45754</v>
      </c>
      <c r="D656" t="inlineStr">
        <is>
          <t>JÄMTLANDS LÄN</t>
        </is>
      </c>
      <c r="E656" t="inlineStr">
        <is>
          <t>BRÄCKE</t>
        </is>
      </c>
      <c r="F656" t="inlineStr">
        <is>
          <t>SCA</t>
        </is>
      </c>
      <c r="G656" t="n">
        <v>10.3</v>
      </c>
      <c r="H656" t="n">
        <v>0</v>
      </c>
      <c r="I656" t="n">
        <v>0</v>
      </c>
      <c r="J656" t="n">
        <v>0</v>
      </c>
      <c r="K656" t="n">
        <v>0</v>
      </c>
      <c r="L656" t="n">
        <v>0</v>
      </c>
      <c r="M656" t="n">
        <v>0</v>
      </c>
      <c r="N656" t="n">
        <v>0</v>
      </c>
      <c r="O656" t="n">
        <v>0</v>
      </c>
      <c r="P656" t="n">
        <v>0</v>
      </c>
      <c r="Q656" t="n">
        <v>0</v>
      </c>
      <c r="R656" s="2" t="inlineStr"/>
    </row>
    <row r="657" ht="15" customHeight="1">
      <c r="A657" t="inlineStr">
        <is>
          <t>A 2831-2021</t>
        </is>
      </c>
      <c r="B657" s="1" t="n">
        <v>44215</v>
      </c>
      <c r="C657" s="1" t="n">
        <v>45754</v>
      </c>
      <c r="D657" t="inlineStr">
        <is>
          <t>JÄMTLANDS LÄN</t>
        </is>
      </c>
      <c r="E657" t="inlineStr">
        <is>
          <t>BRÄCKE</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2830-2021</t>
        </is>
      </c>
      <c r="B658" s="1" t="n">
        <v>44215</v>
      </c>
      <c r="C658" s="1" t="n">
        <v>45754</v>
      </c>
      <c r="D658" t="inlineStr">
        <is>
          <t>JÄMTLANDS LÄN</t>
        </is>
      </c>
      <c r="E658" t="inlineStr">
        <is>
          <t>BRÄCKE</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3025-2021</t>
        </is>
      </c>
      <c r="B659" s="1" t="n">
        <v>44216</v>
      </c>
      <c r="C659" s="1" t="n">
        <v>45754</v>
      </c>
      <c r="D659" t="inlineStr">
        <is>
          <t>JÄMTLANDS LÄN</t>
        </is>
      </c>
      <c r="E659" t="inlineStr">
        <is>
          <t>BRÄCKE</t>
        </is>
      </c>
      <c r="G659" t="n">
        <v>2.8</v>
      </c>
      <c r="H659" t="n">
        <v>0</v>
      </c>
      <c r="I659" t="n">
        <v>0</v>
      </c>
      <c r="J659" t="n">
        <v>0</v>
      </c>
      <c r="K659" t="n">
        <v>0</v>
      </c>
      <c r="L659" t="n">
        <v>0</v>
      </c>
      <c r="M659" t="n">
        <v>0</v>
      </c>
      <c r="N659" t="n">
        <v>0</v>
      </c>
      <c r="O659" t="n">
        <v>0</v>
      </c>
      <c r="P659" t="n">
        <v>0</v>
      </c>
      <c r="Q659" t="n">
        <v>0</v>
      </c>
      <c r="R659" s="2" t="inlineStr"/>
    </row>
    <row r="660" ht="15" customHeight="1">
      <c r="A660" t="inlineStr">
        <is>
          <t>A 5472-2021</t>
        </is>
      </c>
      <c r="B660" s="1" t="n">
        <v>44229</v>
      </c>
      <c r="C660" s="1" t="n">
        <v>45754</v>
      </c>
      <c r="D660" t="inlineStr">
        <is>
          <t>JÄMTLANDS LÄN</t>
        </is>
      </c>
      <c r="E660" t="inlineStr">
        <is>
          <t>BRÄCKE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5796-2021</t>
        </is>
      </c>
      <c r="B661" s="1" t="n">
        <v>44230</v>
      </c>
      <c r="C661" s="1" t="n">
        <v>45754</v>
      </c>
      <c r="D661" t="inlineStr">
        <is>
          <t>JÄMTLANDS LÄN</t>
        </is>
      </c>
      <c r="E661" t="inlineStr">
        <is>
          <t>BRÄCKE</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6016-2021</t>
        </is>
      </c>
      <c r="B662" s="1" t="n">
        <v>44231</v>
      </c>
      <c r="C662" s="1" t="n">
        <v>45754</v>
      </c>
      <c r="D662" t="inlineStr">
        <is>
          <t>JÄMTLANDS LÄN</t>
        </is>
      </c>
      <c r="E662" t="inlineStr">
        <is>
          <t>BRÄCKE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6399-2021</t>
        </is>
      </c>
      <c r="B663" s="1" t="n">
        <v>44232</v>
      </c>
      <c r="C663" s="1" t="n">
        <v>45754</v>
      </c>
      <c r="D663" t="inlineStr">
        <is>
          <t>JÄMTLANDS LÄN</t>
        </is>
      </c>
      <c r="E663" t="inlineStr">
        <is>
          <t>BRÄCKE</t>
        </is>
      </c>
      <c r="G663" t="n">
        <v>3.1</v>
      </c>
      <c r="H663" t="n">
        <v>0</v>
      </c>
      <c r="I663" t="n">
        <v>0</v>
      </c>
      <c r="J663" t="n">
        <v>0</v>
      </c>
      <c r="K663" t="n">
        <v>0</v>
      </c>
      <c r="L663" t="n">
        <v>0</v>
      </c>
      <c r="M663" t="n">
        <v>0</v>
      </c>
      <c r="N663" t="n">
        <v>0</v>
      </c>
      <c r="O663" t="n">
        <v>0</v>
      </c>
      <c r="P663" t="n">
        <v>0</v>
      </c>
      <c r="Q663" t="n">
        <v>0</v>
      </c>
      <c r="R663" s="2" t="inlineStr"/>
    </row>
    <row r="664" ht="15" customHeight="1">
      <c r="A664" t="inlineStr">
        <is>
          <t>A 9994-2021</t>
        </is>
      </c>
      <c r="B664" s="1" t="n">
        <v>44254</v>
      </c>
      <c r="C664" s="1" t="n">
        <v>45754</v>
      </c>
      <c r="D664" t="inlineStr">
        <is>
          <t>JÄMTLANDS LÄN</t>
        </is>
      </c>
      <c r="E664" t="inlineStr">
        <is>
          <t>BRÄCKE</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11140-2021</t>
        </is>
      </c>
      <c r="B665" s="1" t="n">
        <v>44260</v>
      </c>
      <c r="C665" s="1" t="n">
        <v>45754</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13316-2021</t>
        </is>
      </c>
      <c r="B666" s="1" t="n">
        <v>44272</v>
      </c>
      <c r="C666" s="1" t="n">
        <v>45754</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13506-2021</t>
        </is>
      </c>
      <c r="B667" s="1" t="n">
        <v>44273</v>
      </c>
      <c r="C667" s="1" t="n">
        <v>45754</v>
      </c>
      <c r="D667" t="inlineStr">
        <is>
          <t>JÄMTLANDS LÄN</t>
        </is>
      </c>
      <c r="E667" t="inlineStr">
        <is>
          <t>BRÄCKE</t>
        </is>
      </c>
      <c r="G667" t="n">
        <v>1.4</v>
      </c>
      <c r="H667" t="n">
        <v>0</v>
      </c>
      <c r="I667" t="n">
        <v>0</v>
      </c>
      <c r="J667" t="n">
        <v>0</v>
      </c>
      <c r="K667" t="n">
        <v>0</v>
      </c>
      <c r="L667" t="n">
        <v>0</v>
      </c>
      <c r="M667" t="n">
        <v>0</v>
      </c>
      <c r="N667" t="n">
        <v>0</v>
      </c>
      <c r="O667" t="n">
        <v>0</v>
      </c>
      <c r="P667" t="n">
        <v>0</v>
      </c>
      <c r="Q667" t="n">
        <v>0</v>
      </c>
      <c r="R667" s="2" t="inlineStr"/>
    </row>
    <row r="668" ht="15" customHeight="1">
      <c r="A668" t="inlineStr">
        <is>
          <t>A 14079-2021</t>
        </is>
      </c>
      <c r="B668" s="1" t="n">
        <v>44277</v>
      </c>
      <c r="C668" s="1" t="n">
        <v>45754</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14868-2021</t>
        </is>
      </c>
      <c r="B669" s="1" t="n">
        <v>44280</v>
      </c>
      <c r="C669" s="1" t="n">
        <v>45754</v>
      </c>
      <c r="D669" t="inlineStr">
        <is>
          <t>JÄMTLANDS LÄN</t>
        </is>
      </c>
      <c r="E669" t="inlineStr">
        <is>
          <t>BRÄCKE</t>
        </is>
      </c>
      <c r="F669" t="inlineStr">
        <is>
          <t>SCA</t>
        </is>
      </c>
      <c r="G669" t="n">
        <v>10.8</v>
      </c>
      <c r="H669" t="n">
        <v>0</v>
      </c>
      <c r="I669" t="n">
        <v>0</v>
      </c>
      <c r="J669" t="n">
        <v>0</v>
      </c>
      <c r="K669" t="n">
        <v>0</v>
      </c>
      <c r="L669" t="n">
        <v>0</v>
      </c>
      <c r="M669" t="n">
        <v>0</v>
      </c>
      <c r="N669" t="n">
        <v>0</v>
      </c>
      <c r="O669" t="n">
        <v>0</v>
      </c>
      <c r="P669" t="n">
        <v>0</v>
      </c>
      <c r="Q669" t="n">
        <v>0</v>
      </c>
      <c r="R669" s="2" t="inlineStr"/>
    </row>
    <row r="670" ht="15" customHeight="1">
      <c r="A670" t="inlineStr">
        <is>
          <t>A 16073-2021</t>
        </is>
      </c>
      <c r="B670" s="1" t="n">
        <v>44287</v>
      </c>
      <c r="C670" s="1" t="n">
        <v>45754</v>
      </c>
      <c r="D670" t="inlineStr">
        <is>
          <t>JÄMTLANDS LÄN</t>
        </is>
      </c>
      <c r="E670" t="inlineStr">
        <is>
          <t>BRÄCKE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16117-2021</t>
        </is>
      </c>
      <c r="B671" s="1" t="n">
        <v>44291</v>
      </c>
      <c r="C671" s="1" t="n">
        <v>45754</v>
      </c>
      <c r="D671" t="inlineStr">
        <is>
          <t>JÄMTLANDS LÄN</t>
        </is>
      </c>
      <c r="E671" t="inlineStr">
        <is>
          <t>BRÄCKE</t>
        </is>
      </c>
      <c r="G671" t="n">
        <v>3.6</v>
      </c>
      <c r="H671" t="n">
        <v>0</v>
      </c>
      <c r="I671" t="n">
        <v>0</v>
      </c>
      <c r="J671" t="n">
        <v>0</v>
      </c>
      <c r="K671" t="n">
        <v>0</v>
      </c>
      <c r="L671" t="n">
        <v>0</v>
      </c>
      <c r="M671" t="n">
        <v>0</v>
      </c>
      <c r="N671" t="n">
        <v>0</v>
      </c>
      <c r="O671" t="n">
        <v>0</v>
      </c>
      <c r="P671" t="n">
        <v>0</v>
      </c>
      <c r="Q671" t="n">
        <v>0</v>
      </c>
      <c r="R671" s="2" t="inlineStr"/>
    </row>
    <row r="672" ht="15" customHeight="1">
      <c r="A672" t="inlineStr">
        <is>
          <t>A 16336-2021</t>
        </is>
      </c>
      <c r="B672" s="1" t="n">
        <v>44293</v>
      </c>
      <c r="C672" s="1" t="n">
        <v>45754</v>
      </c>
      <c r="D672" t="inlineStr">
        <is>
          <t>JÄMTLANDS LÄN</t>
        </is>
      </c>
      <c r="E672" t="inlineStr">
        <is>
          <t>BRÄCKE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16733-2021</t>
        </is>
      </c>
      <c r="B673" s="1" t="n">
        <v>44293</v>
      </c>
      <c r="C673" s="1" t="n">
        <v>45754</v>
      </c>
      <c r="D673" t="inlineStr">
        <is>
          <t>JÄMTLANDS LÄN</t>
        </is>
      </c>
      <c r="E673" t="inlineStr">
        <is>
          <t>BRÄCKE</t>
        </is>
      </c>
      <c r="G673" t="n">
        <v>4</v>
      </c>
      <c r="H673" t="n">
        <v>0</v>
      </c>
      <c r="I673" t="n">
        <v>0</v>
      </c>
      <c r="J673" t="n">
        <v>0</v>
      </c>
      <c r="K673" t="n">
        <v>0</v>
      </c>
      <c r="L673" t="n">
        <v>0</v>
      </c>
      <c r="M673" t="n">
        <v>0</v>
      </c>
      <c r="N673" t="n">
        <v>0</v>
      </c>
      <c r="O673" t="n">
        <v>0</v>
      </c>
      <c r="P673" t="n">
        <v>0</v>
      </c>
      <c r="Q673" t="n">
        <v>0</v>
      </c>
      <c r="R673" s="2" t="inlineStr"/>
    </row>
    <row r="674" ht="15" customHeight="1">
      <c r="A674" t="inlineStr">
        <is>
          <t>A 16723-2021</t>
        </is>
      </c>
      <c r="B674" s="1" t="n">
        <v>44293</v>
      </c>
      <c r="C674" s="1" t="n">
        <v>45754</v>
      </c>
      <c r="D674" t="inlineStr">
        <is>
          <t>JÄMTLANDS LÄN</t>
        </is>
      </c>
      <c r="E674" t="inlineStr">
        <is>
          <t>BRÄCKE</t>
        </is>
      </c>
      <c r="G674" t="n">
        <v>1.7</v>
      </c>
      <c r="H674" t="n">
        <v>0</v>
      </c>
      <c r="I674" t="n">
        <v>0</v>
      </c>
      <c r="J674" t="n">
        <v>0</v>
      </c>
      <c r="K674" t="n">
        <v>0</v>
      </c>
      <c r="L674" t="n">
        <v>0</v>
      </c>
      <c r="M674" t="n">
        <v>0</v>
      </c>
      <c r="N674" t="n">
        <v>0</v>
      </c>
      <c r="O674" t="n">
        <v>0</v>
      </c>
      <c r="P674" t="n">
        <v>0</v>
      </c>
      <c r="Q674" t="n">
        <v>0</v>
      </c>
      <c r="R674" s="2" t="inlineStr"/>
    </row>
    <row r="675" ht="15" customHeight="1">
      <c r="A675" t="inlineStr">
        <is>
          <t>A 16619-2021</t>
        </is>
      </c>
      <c r="B675" s="1" t="n">
        <v>44294</v>
      </c>
      <c r="C675" s="1" t="n">
        <v>45754</v>
      </c>
      <c r="D675" t="inlineStr">
        <is>
          <t>JÄMTLANDS LÄN</t>
        </is>
      </c>
      <c r="E675" t="inlineStr">
        <is>
          <t>BRÄCKE</t>
        </is>
      </c>
      <c r="G675" t="n">
        <v>10.3</v>
      </c>
      <c r="H675" t="n">
        <v>0</v>
      </c>
      <c r="I675" t="n">
        <v>0</v>
      </c>
      <c r="J675" t="n">
        <v>0</v>
      </c>
      <c r="K675" t="n">
        <v>0</v>
      </c>
      <c r="L675" t="n">
        <v>0</v>
      </c>
      <c r="M675" t="n">
        <v>0</v>
      </c>
      <c r="N675" t="n">
        <v>0</v>
      </c>
      <c r="O675" t="n">
        <v>0</v>
      </c>
      <c r="P675" t="n">
        <v>0</v>
      </c>
      <c r="Q675" t="n">
        <v>0</v>
      </c>
      <c r="R675" s="2" t="inlineStr"/>
    </row>
    <row r="676" ht="15" customHeight="1">
      <c r="A676" t="inlineStr">
        <is>
          <t>A 16781-2021</t>
        </is>
      </c>
      <c r="B676" s="1" t="n">
        <v>44295</v>
      </c>
      <c r="C676" s="1" t="n">
        <v>45754</v>
      </c>
      <c r="D676" t="inlineStr">
        <is>
          <t>JÄMTLANDS LÄN</t>
        </is>
      </c>
      <c r="E676" t="inlineStr">
        <is>
          <t>BRÄCKE</t>
        </is>
      </c>
      <c r="F676" t="inlineStr">
        <is>
          <t>SCA</t>
        </is>
      </c>
      <c r="G676" t="n">
        <v>11.2</v>
      </c>
      <c r="H676" t="n">
        <v>0</v>
      </c>
      <c r="I676" t="n">
        <v>0</v>
      </c>
      <c r="J676" t="n">
        <v>0</v>
      </c>
      <c r="K676" t="n">
        <v>0</v>
      </c>
      <c r="L676" t="n">
        <v>0</v>
      </c>
      <c r="M676" t="n">
        <v>0</v>
      </c>
      <c r="N676" t="n">
        <v>0</v>
      </c>
      <c r="O676" t="n">
        <v>0</v>
      </c>
      <c r="P676" t="n">
        <v>0</v>
      </c>
      <c r="Q676" t="n">
        <v>0</v>
      </c>
      <c r="R676" s="2" t="inlineStr"/>
    </row>
    <row r="677" ht="15" customHeight="1">
      <c r="A677" t="inlineStr">
        <is>
          <t>A 17173-2021</t>
        </is>
      </c>
      <c r="B677" s="1" t="n">
        <v>44295</v>
      </c>
      <c r="C677" s="1" t="n">
        <v>45754</v>
      </c>
      <c r="D677" t="inlineStr">
        <is>
          <t>JÄMTLANDS LÄN</t>
        </is>
      </c>
      <c r="E677" t="inlineStr">
        <is>
          <t>BRÄCKE</t>
        </is>
      </c>
      <c r="G677" t="n">
        <v>4.3</v>
      </c>
      <c r="H677" t="n">
        <v>0</v>
      </c>
      <c r="I677" t="n">
        <v>0</v>
      </c>
      <c r="J677" t="n">
        <v>0</v>
      </c>
      <c r="K677" t="n">
        <v>0</v>
      </c>
      <c r="L677" t="n">
        <v>0</v>
      </c>
      <c r="M677" t="n">
        <v>0</v>
      </c>
      <c r="N677" t="n">
        <v>0</v>
      </c>
      <c r="O677" t="n">
        <v>0</v>
      </c>
      <c r="P677" t="n">
        <v>0</v>
      </c>
      <c r="Q677" t="n">
        <v>0</v>
      </c>
      <c r="R677" s="2" t="inlineStr"/>
    </row>
    <row r="678" ht="15" customHeight="1">
      <c r="A678" t="inlineStr">
        <is>
          <t>A 18006-2021</t>
        </is>
      </c>
      <c r="B678" s="1" t="n">
        <v>44301</v>
      </c>
      <c r="C678" s="1" t="n">
        <v>45754</v>
      </c>
      <c r="D678" t="inlineStr">
        <is>
          <t>JÄMTLANDS LÄN</t>
        </is>
      </c>
      <c r="E678" t="inlineStr">
        <is>
          <t>BRÄCKE</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19088-2021</t>
        </is>
      </c>
      <c r="B679" s="1" t="n">
        <v>44308</v>
      </c>
      <c r="C679" s="1" t="n">
        <v>45754</v>
      </c>
      <c r="D679" t="inlineStr">
        <is>
          <t>JÄMTLANDS LÄN</t>
        </is>
      </c>
      <c r="E679" t="inlineStr">
        <is>
          <t>BRÄCKE</t>
        </is>
      </c>
      <c r="G679" t="n">
        <v>3.6</v>
      </c>
      <c r="H679" t="n">
        <v>0</v>
      </c>
      <c r="I679" t="n">
        <v>0</v>
      </c>
      <c r="J679" t="n">
        <v>0</v>
      </c>
      <c r="K679" t="n">
        <v>0</v>
      </c>
      <c r="L679" t="n">
        <v>0</v>
      </c>
      <c r="M679" t="n">
        <v>0</v>
      </c>
      <c r="N679" t="n">
        <v>0</v>
      </c>
      <c r="O679" t="n">
        <v>0</v>
      </c>
      <c r="P679" t="n">
        <v>0</v>
      </c>
      <c r="Q679" t="n">
        <v>0</v>
      </c>
      <c r="R679" s="2" t="inlineStr"/>
    </row>
    <row r="680" ht="15" customHeight="1">
      <c r="A680" t="inlineStr">
        <is>
          <t>A 20803-2021</t>
        </is>
      </c>
      <c r="B680" s="1" t="n">
        <v>44316</v>
      </c>
      <c r="C680" s="1" t="n">
        <v>45754</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21034-2021</t>
        </is>
      </c>
      <c r="B681" s="1" t="n">
        <v>44319</v>
      </c>
      <c r="C681" s="1" t="n">
        <v>45754</v>
      </c>
      <c r="D681" t="inlineStr">
        <is>
          <t>JÄMTLANDS LÄN</t>
        </is>
      </c>
      <c r="E681" t="inlineStr">
        <is>
          <t>BRÄCKE</t>
        </is>
      </c>
      <c r="G681" t="n">
        <v>3.3</v>
      </c>
      <c r="H681" t="n">
        <v>0</v>
      </c>
      <c r="I681" t="n">
        <v>0</v>
      </c>
      <c r="J681" t="n">
        <v>0</v>
      </c>
      <c r="K681" t="n">
        <v>0</v>
      </c>
      <c r="L681" t="n">
        <v>0</v>
      </c>
      <c r="M681" t="n">
        <v>0</v>
      </c>
      <c r="N681" t="n">
        <v>0</v>
      </c>
      <c r="O681" t="n">
        <v>0</v>
      </c>
      <c r="P681" t="n">
        <v>0</v>
      </c>
      <c r="Q681" t="n">
        <v>0</v>
      </c>
      <c r="R681" s="2" t="inlineStr"/>
    </row>
    <row r="682" ht="15" customHeight="1">
      <c r="A682" t="inlineStr">
        <is>
          <t>A 21019-2021</t>
        </is>
      </c>
      <c r="B682" s="1" t="n">
        <v>44319</v>
      </c>
      <c r="C682" s="1" t="n">
        <v>45754</v>
      </c>
      <c r="D682" t="inlineStr">
        <is>
          <t>JÄMTLANDS LÄN</t>
        </is>
      </c>
      <c r="E682" t="inlineStr">
        <is>
          <t>BRÄCKE</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21366-2021</t>
        </is>
      </c>
      <c r="B683" s="1" t="n">
        <v>44320</v>
      </c>
      <c r="C683" s="1" t="n">
        <v>45754</v>
      </c>
      <c r="D683" t="inlineStr">
        <is>
          <t>JÄMTLANDS LÄN</t>
        </is>
      </c>
      <c r="E683" t="inlineStr">
        <is>
          <t>BRÄCKE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21637-2021</t>
        </is>
      </c>
      <c r="B684" s="1" t="n">
        <v>44321</v>
      </c>
      <c r="C684" s="1" t="n">
        <v>45754</v>
      </c>
      <c r="D684" t="inlineStr">
        <is>
          <t>JÄMTLANDS LÄN</t>
        </is>
      </c>
      <c r="E684" t="inlineStr">
        <is>
          <t>BRÄCKE</t>
        </is>
      </c>
      <c r="F684" t="inlineStr">
        <is>
          <t>SCA</t>
        </is>
      </c>
      <c r="G684" t="n">
        <v>4.3</v>
      </c>
      <c r="H684" t="n">
        <v>0</v>
      </c>
      <c r="I684" t="n">
        <v>0</v>
      </c>
      <c r="J684" t="n">
        <v>0</v>
      </c>
      <c r="K684" t="n">
        <v>0</v>
      </c>
      <c r="L684" t="n">
        <v>0</v>
      </c>
      <c r="M684" t="n">
        <v>0</v>
      </c>
      <c r="N684" t="n">
        <v>0</v>
      </c>
      <c r="O684" t="n">
        <v>0</v>
      </c>
      <c r="P684" t="n">
        <v>0</v>
      </c>
      <c r="Q684" t="n">
        <v>0</v>
      </c>
      <c r="R684" s="2" t="inlineStr"/>
    </row>
    <row r="685" ht="15" customHeight="1">
      <c r="A685" t="inlineStr">
        <is>
          <t>A 21940-2021</t>
        </is>
      </c>
      <c r="B685" s="1" t="n">
        <v>44323</v>
      </c>
      <c r="C685" s="1" t="n">
        <v>45754</v>
      </c>
      <c r="D685" t="inlineStr">
        <is>
          <t>JÄMTLANDS LÄN</t>
        </is>
      </c>
      <c r="E685" t="inlineStr">
        <is>
          <t>BRÄCKE</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22124-2021</t>
        </is>
      </c>
      <c r="B686" s="1" t="n">
        <v>44323</v>
      </c>
      <c r="C686" s="1" t="n">
        <v>45754</v>
      </c>
      <c r="D686" t="inlineStr">
        <is>
          <t>JÄMTLANDS LÄN</t>
        </is>
      </c>
      <c r="E686" t="inlineStr">
        <is>
          <t>BRÄCKE</t>
        </is>
      </c>
      <c r="G686" t="n">
        <v>1.7</v>
      </c>
      <c r="H686" t="n">
        <v>0</v>
      </c>
      <c r="I686" t="n">
        <v>0</v>
      </c>
      <c r="J686" t="n">
        <v>0</v>
      </c>
      <c r="K686" t="n">
        <v>0</v>
      </c>
      <c r="L686" t="n">
        <v>0</v>
      </c>
      <c r="M686" t="n">
        <v>0</v>
      </c>
      <c r="N686" t="n">
        <v>0</v>
      </c>
      <c r="O686" t="n">
        <v>0</v>
      </c>
      <c r="P686" t="n">
        <v>0</v>
      </c>
      <c r="Q686" t="n">
        <v>0</v>
      </c>
      <c r="R686" s="2" t="inlineStr"/>
    </row>
    <row r="687" ht="15" customHeight="1">
      <c r="A687" t="inlineStr">
        <is>
          <t>A 23013-2021</t>
        </is>
      </c>
      <c r="B687" s="1" t="n">
        <v>44328</v>
      </c>
      <c r="C687" s="1" t="n">
        <v>45754</v>
      </c>
      <c r="D687" t="inlineStr">
        <is>
          <t>JÄMTLANDS LÄN</t>
        </is>
      </c>
      <c r="E687" t="inlineStr">
        <is>
          <t>BRÄCKE</t>
        </is>
      </c>
      <c r="G687" t="n">
        <v>8.4</v>
      </c>
      <c r="H687" t="n">
        <v>0</v>
      </c>
      <c r="I687" t="n">
        <v>0</v>
      </c>
      <c r="J687" t="n">
        <v>0</v>
      </c>
      <c r="K687" t="n">
        <v>0</v>
      </c>
      <c r="L687" t="n">
        <v>0</v>
      </c>
      <c r="M687" t="n">
        <v>0</v>
      </c>
      <c r="N687" t="n">
        <v>0</v>
      </c>
      <c r="O687" t="n">
        <v>0</v>
      </c>
      <c r="P687" t="n">
        <v>0</v>
      </c>
      <c r="Q687" t="n">
        <v>0</v>
      </c>
      <c r="R687" s="2" t="inlineStr"/>
    </row>
    <row r="688" ht="15" customHeight="1">
      <c r="A688" t="inlineStr">
        <is>
          <t>A 23746-2021</t>
        </is>
      </c>
      <c r="B688" s="1" t="n">
        <v>44335</v>
      </c>
      <c r="C688" s="1" t="n">
        <v>45754</v>
      </c>
      <c r="D688" t="inlineStr">
        <is>
          <t>JÄMTLANDS LÄN</t>
        </is>
      </c>
      <c r="E688" t="inlineStr">
        <is>
          <t>BRÄCKE</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23747-2021</t>
        </is>
      </c>
      <c r="B689" s="1" t="n">
        <v>44334</v>
      </c>
      <c r="C689" s="1" t="n">
        <v>45754</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24254-2021</t>
        </is>
      </c>
      <c r="B690" s="1" t="n">
        <v>44337</v>
      </c>
      <c r="C690" s="1" t="n">
        <v>45754</v>
      </c>
      <c r="D690" t="inlineStr">
        <is>
          <t>JÄMTLANDS LÄN</t>
        </is>
      </c>
      <c r="E690" t="inlineStr">
        <is>
          <t>BRÄCKE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24240-2021</t>
        </is>
      </c>
      <c r="B691" s="1" t="n">
        <v>44336</v>
      </c>
      <c r="C691" s="1" t="n">
        <v>45754</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24950-2021</t>
        </is>
      </c>
      <c r="B692" s="1" t="n">
        <v>44341</v>
      </c>
      <c r="C692" s="1" t="n">
        <v>45754</v>
      </c>
      <c r="D692" t="inlineStr">
        <is>
          <t>JÄMTLANDS LÄN</t>
        </is>
      </c>
      <c r="E692" t="inlineStr">
        <is>
          <t>BRÄCKE</t>
        </is>
      </c>
      <c r="F692" t="inlineStr">
        <is>
          <t>Kyrkan</t>
        </is>
      </c>
      <c r="G692" t="n">
        <v>15.3</v>
      </c>
      <c r="H692" t="n">
        <v>0</v>
      </c>
      <c r="I692" t="n">
        <v>0</v>
      </c>
      <c r="J692" t="n">
        <v>0</v>
      </c>
      <c r="K692" t="n">
        <v>0</v>
      </c>
      <c r="L692" t="n">
        <v>0</v>
      </c>
      <c r="M692" t="n">
        <v>0</v>
      </c>
      <c r="N692" t="n">
        <v>0</v>
      </c>
      <c r="O692" t="n">
        <v>0</v>
      </c>
      <c r="P692" t="n">
        <v>0</v>
      </c>
      <c r="Q692" t="n">
        <v>0</v>
      </c>
      <c r="R692" s="2" t="inlineStr"/>
    </row>
    <row r="693" ht="15" customHeight="1">
      <c r="A693" t="inlineStr">
        <is>
          <t>A 26664-2021</t>
        </is>
      </c>
      <c r="B693" s="1" t="n">
        <v>44348</v>
      </c>
      <c r="C693" s="1" t="n">
        <v>45754</v>
      </c>
      <c r="D693" t="inlineStr">
        <is>
          <t>JÄMTLANDS LÄN</t>
        </is>
      </c>
      <c r="E693" t="inlineStr">
        <is>
          <t>BRÄCKE</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26665-2021</t>
        </is>
      </c>
      <c r="B694" s="1" t="n">
        <v>44348</v>
      </c>
      <c r="C694" s="1" t="n">
        <v>45754</v>
      </c>
      <c r="D694" t="inlineStr">
        <is>
          <t>JÄMTLANDS LÄN</t>
        </is>
      </c>
      <c r="E694" t="inlineStr">
        <is>
          <t>BRÄCKE</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26666-2021</t>
        </is>
      </c>
      <c r="B695" s="1" t="n">
        <v>44349</v>
      </c>
      <c r="C695" s="1" t="n">
        <v>45754</v>
      </c>
      <c r="D695" t="inlineStr">
        <is>
          <t>JÄMTLANDS LÄN</t>
        </is>
      </c>
      <c r="E695" t="inlineStr">
        <is>
          <t>BRÄCKE</t>
        </is>
      </c>
      <c r="G695" t="n">
        <v>26.3</v>
      </c>
      <c r="H695" t="n">
        <v>0</v>
      </c>
      <c r="I695" t="n">
        <v>0</v>
      </c>
      <c r="J695" t="n">
        <v>0</v>
      </c>
      <c r="K695" t="n">
        <v>0</v>
      </c>
      <c r="L695" t="n">
        <v>0</v>
      </c>
      <c r="M695" t="n">
        <v>0</v>
      </c>
      <c r="N695" t="n">
        <v>0</v>
      </c>
      <c r="O695" t="n">
        <v>0</v>
      </c>
      <c r="P695" t="n">
        <v>0</v>
      </c>
      <c r="Q695" t="n">
        <v>0</v>
      </c>
      <c r="R695" s="2" t="inlineStr"/>
    </row>
    <row r="696" ht="15" customHeight="1">
      <c r="A696" t="inlineStr">
        <is>
          <t>A 27257-2021</t>
        </is>
      </c>
      <c r="B696" s="1" t="n">
        <v>44350</v>
      </c>
      <c r="C696" s="1" t="n">
        <v>45754</v>
      </c>
      <c r="D696" t="inlineStr">
        <is>
          <t>JÄMTLANDS LÄN</t>
        </is>
      </c>
      <c r="E696" t="inlineStr">
        <is>
          <t>BRÄCKE</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27261-2021</t>
        </is>
      </c>
      <c r="B697" s="1" t="n">
        <v>44351</v>
      </c>
      <c r="C697" s="1" t="n">
        <v>45754</v>
      </c>
      <c r="D697" t="inlineStr">
        <is>
          <t>JÄMTLANDS LÄN</t>
        </is>
      </c>
      <c r="E697" t="inlineStr">
        <is>
          <t>BRÄCKE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27258-2021</t>
        </is>
      </c>
      <c r="B698" s="1" t="n">
        <v>44351</v>
      </c>
      <c r="C698" s="1" t="n">
        <v>45754</v>
      </c>
      <c r="D698" t="inlineStr">
        <is>
          <t>JÄMTLANDS LÄN</t>
        </is>
      </c>
      <c r="E698" t="inlineStr">
        <is>
          <t>BRÄCKE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27256-2021</t>
        </is>
      </c>
      <c r="B699" s="1" t="n">
        <v>44350</v>
      </c>
      <c r="C699" s="1" t="n">
        <v>45754</v>
      </c>
      <c r="D699" t="inlineStr">
        <is>
          <t>JÄMTLANDS LÄN</t>
        </is>
      </c>
      <c r="E699" t="inlineStr">
        <is>
          <t>BRÄCKE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28616-2021</t>
        </is>
      </c>
      <c r="B700" s="1" t="n">
        <v>44357</v>
      </c>
      <c r="C700" s="1" t="n">
        <v>45754</v>
      </c>
      <c r="D700" t="inlineStr">
        <is>
          <t>JÄMTLANDS LÄN</t>
        </is>
      </c>
      <c r="E700" t="inlineStr">
        <is>
          <t>BRÄCKE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28617-2021</t>
        </is>
      </c>
      <c r="B701" s="1" t="n">
        <v>44356</v>
      </c>
      <c r="C701" s="1" t="n">
        <v>45754</v>
      </c>
      <c r="D701" t="inlineStr">
        <is>
          <t>JÄMTLANDS LÄN</t>
        </is>
      </c>
      <c r="E701" t="inlineStr">
        <is>
          <t>BRÄCKE</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28619-2021</t>
        </is>
      </c>
      <c r="B702" s="1" t="n">
        <v>44356</v>
      </c>
      <c r="C702" s="1" t="n">
        <v>45754</v>
      </c>
      <c r="D702" t="inlineStr">
        <is>
          <t>JÄMTLANDS LÄN</t>
        </is>
      </c>
      <c r="E702" t="inlineStr">
        <is>
          <t>BRÄCKE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28909-2021</t>
        </is>
      </c>
      <c r="B703" s="1" t="n">
        <v>44357</v>
      </c>
      <c r="C703" s="1" t="n">
        <v>45754</v>
      </c>
      <c r="D703" t="inlineStr">
        <is>
          <t>JÄMTLANDS LÄN</t>
        </is>
      </c>
      <c r="E703" t="inlineStr">
        <is>
          <t>BRÄCKE</t>
        </is>
      </c>
      <c r="F703" t="inlineStr">
        <is>
          <t>SCA</t>
        </is>
      </c>
      <c r="G703" t="n">
        <v>11.2</v>
      </c>
      <c r="H703" t="n">
        <v>0</v>
      </c>
      <c r="I703" t="n">
        <v>0</v>
      </c>
      <c r="J703" t="n">
        <v>0</v>
      </c>
      <c r="K703" t="n">
        <v>0</v>
      </c>
      <c r="L703" t="n">
        <v>0</v>
      </c>
      <c r="M703" t="n">
        <v>0</v>
      </c>
      <c r="N703" t="n">
        <v>0</v>
      </c>
      <c r="O703" t="n">
        <v>0</v>
      </c>
      <c r="P703" t="n">
        <v>0</v>
      </c>
      <c r="Q703" t="n">
        <v>0</v>
      </c>
      <c r="R703" s="2" t="inlineStr"/>
      <c r="U703">
        <f>HYPERLINK("https://klasma.github.io/Logging_2305/knärot/A 28909-2021 karta knärot.png", "A 28909-2021")</f>
        <v/>
      </c>
      <c r="V703">
        <f>HYPERLINK("https://klasma.github.io/Logging_2305/klagomål/A 28909-2021 FSC-klagomål.docx", "A 28909-2021")</f>
        <v/>
      </c>
      <c r="W703">
        <f>HYPERLINK("https://klasma.github.io/Logging_2305/klagomålsmail/A 28909-2021 FSC-klagomål mail.docx", "A 28909-2021")</f>
        <v/>
      </c>
      <c r="X703">
        <f>HYPERLINK("https://klasma.github.io/Logging_2305/tillsyn/A 28909-2021 tillsynsbegäran.docx", "A 28909-2021")</f>
        <v/>
      </c>
      <c r="Y703">
        <f>HYPERLINK("https://klasma.github.io/Logging_2305/tillsynsmail/A 28909-2021 tillsynsbegäran mail.docx", "A 28909-2021")</f>
        <v/>
      </c>
    </row>
    <row r="704" ht="15" customHeight="1">
      <c r="A704" t="inlineStr">
        <is>
          <t>A 28903-2021</t>
        </is>
      </c>
      <c r="B704" s="1" t="n">
        <v>44357</v>
      </c>
      <c r="C704" s="1" t="n">
        <v>45754</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29314-2021</t>
        </is>
      </c>
      <c r="B705" s="1" t="n">
        <v>44361</v>
      </c>
      <c r="C705" s="1" t="n">
        <v>45754</v>
      </c>
      <c r="D705" t="inlineStr">
        <is>
          <t>JÄMTLANDS LÄN</t>
        </is>
      </c>
      <c r="E705" t="inlineStr">
        <is>
          <t>BRÄCKE</t>
        </is>
      </c>
      <c r="G705" t="n">
        <v>10.7</v>
      </c>
      <c r="H705" t="n">
        <v>0</v>
      </c>
      <c r="I705" t="n">
        <v>0</v>
      </c>
      <c r="J705" t="n">
        <v>0</v>
      </c>
      <c r="K705" t="n">
        <v>0</v>
      </c>
      <c r="L705" t="n">
        <v>0</v>
      </c>
      <c r="M705" t="n">
        <v>0</v>
      </c>
      <c r="N705" t="n">
        <v>0</v>
      </c>
      <c r="O705" t="n">
        <v>0</v>
      </c>
      <c r="P705" t="n">
        <v>0</v>
      </c>
      <c r="Q705" t="n">
        <v>0</v>
      </c>
      <c r="R705" s="2" t="inlineStr"/>
    </row>
    <row r="706" ht="15" customHeight="1">
      <c r="A706" t="inlineStr">
        <is>
          <t>A 29603-2021</t>
        </is>
      </c>
      <c r="B706" s="1" t="n">
        <v>44361</v>
      </c>
      <c r="C706" s="1" t="n">
        <v>45754</v>
      </c>
      <c r="D706" t="inlineStr">
        <is>
          <t>JÄMTLANDS LÄN</t>
        </is>
      </c>
      <c r="E706" t="inlineStr">
        <is>
          <t>BRÄCKE</t>
        </is>
      </c>
      <c r="F706" t="inlineStr">
        <is>
          <t>Naturvårdsverket</t>
        </is>
      </c>
      <c r="G706" t="n">
        <v>3.9</v>
      </c>
      <c r="H706" t="n">
        <v>0</v>
      </c>
      <c r="I706" t="n">
        <v>0</v>
      </c>
      <c r="J706" t="n">
        <v>0</v>
      </c>
      <c r="K706" t="n">
        <v>0</v>
      </c>
      <c r="L706" t="n">
        <v>0</v>
      </c>
      <c r="M706" t="n">
        <v>0</v>
      </c>
      <c r="N706" t="n">
        <v>0</v>
      </c>
      <c r="O706" t="n">
        <v>0</v>
      </c>
      <c r="P706" t="n">
        <v>0</v>
      </c>
      <c r="Q706" t="n">
        <v>0</v>
      </c>
      <c r="R706" s="2" t="inlineStr"/>
    </row>
    <row r="707" ht="15" customHeight="1">
      <c r="A707" t="inlineStr">
        <is>
          <t>A 29611-2021</t>
        </is>
      </c>
      <c r="B707" s="1" t="n">
        <v>44361</v>
      </c>
      <c r="C707" s="1" t="n">
        <v>45754</v>
      </c>
      <c r="D707" t="inlineStr">
        <is>
          <t>JÄMTLANDS LÄN</t>
        </is>
      </c>
      <c r="E707" t="inlineStr">
        <is>
          <t>BRÄCKE</t>
        </is>
      </c>
      <c r="F707" t="inlineStr">
        <is>
          <t>SCA</t>
        </is>
      </c>
      <c r="G707" t="n">
        <v>6</v>
      </c>
      <c r="H707" t="n">
        <v>0</v>
      </c>
      <c r="I707" t="n">
        <v>0</v>
      </c>
      <c r="J707" t="n">
        <v>0</v>
      </c>
      <c r="K707" t="n">
        <v>0</v>
      </c>
      <c r="L707" t="n">
        <v>0</v>
      </c>
      <c r="M707" t="n">
        <v>0</v>
      </c>
      <c r="N707" t="n">
        <v>0</v>
      </c>
      <c r="O707" t="n">
        <v>0</v>
      </c>
      <c r="P707" t="n">
        <v>0</v>
      </c>
      <c r="Q707" t="n">
        <v>0</v>
      </c>
      <c r="R707" s="2" t="inlineStr"/>
    </row>
    <row r="708" ht="15" customHeight="1">
      <c r="A708" t="inlineStr">
        <is>
          <t>A 29929-2021</t>
        </is>
      </c>
      <c r="B708" s="1" t="n">
        <v>44362</v>
      </c>
      <c r="C708" s="1" t="n">
        <v>45754</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29930-2021</t>
        </is>
      </c>
      <c r="B709" s="1" t="n">
        <v>44362</v>
      </c>
      <c r="C709" s="1" t="n">
        <v>45754</v>
      </c>
      <c r="D709" t="inlineStr">
        <is>
          <t>JÄMTLANDS LÄN</t>
        </is>
      </c>
      <c r="E709" t="inlineStr">
        <is>
          <t>BRÄCKE</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30108-2021</t>
        </is>
      </c>
      <c r="B710" s="1" t="n">
        <v>44363</v>
      </c>
      <c r="C710" s="1" t="n">
        <v>45754</v>
      </c>
      <c r="D710" t="inlineStr">
        <is>
          <t>JÄMTLANDS LÄN</t>
        </is>
      </c>
      <c r="E710" t="inlineStr">
        <is>
          <t>BRÄCKE</t>
        </is>
      </c>
      <c r="G710" t="n">
        <v>0.8</v>
      </c>
      <c r="H710" t="n">
        <v>0</v>
      </c>
      <c r="I710" t="n">
        <v>0</v>
      </c>
      <c r="J710" t="n">
        <v>0</v>
      </c>
      <c r="K710" t="n">
        <v>0</v>
      </c>
      <c r="L710" t="n">
        <v>0</v>
      </c>
      <c r="M710" t="n">
        <v>0</v>
      </c>
      <c r="N710" t="n">
        <v>0</v>
      </c>
      <c r="O710" t="n">
        <v>0</v>
      </c>
      <c r="P710" t="n">
        <v>0</v>
      </c>
      <c r="Q710" t="n">
        <v>0</v>
      </c>
      <c r="R710" s="2" t="inlineStr"/>
    </row>
    <row r="711" ht="15" customHeight="1">
      <c r="A711" t="inlineStr">
        <is>
          <t>A 30102-2021</t>
        </is>
      </c>
      <c r="B711" s="1" t="n">
        <v>44363</v>
      </c>
      <c r="C711" s="1" t="n">
        <v>45754</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30592-2021</t>
        </is>
      </c>
      <c r="B712" s="1" t="n">
        <v>44365</v>
      </c>
      <c r="C712" s="1" t="n">
        <v>45754</v>
      </c>
      <c r="D712" t="inlineStr">
        <is>
          <t>JÄMTLANDS LÄN</t>
        </is>
      </c>
      <c r="E712" t="inlineStr">
        <is>
          <t>BRÄCKE</t>
        </is>
      </c>
      <c r="F712" t="inlineStr">
        <is>
          <t>SCA</t>
        </is>
      </c>
      <c r="G712" t="n">
        <v>22.4</v>
      </c>
      <c r="H712" t="n">
        <v>0</v>
      </c>
      <c r="I712" t="n">
        <v>0</v>
      </c>
      <c r="J712" t="n">
        <v>0</v>
      </c>
      <c r="K712" t="n">
        <v>0</v>
      </c>
      <c r="L712" t="n">
        <v>0</v>
      </c>
      <c r="M712" t="n">
        <v>0</v>
      </c>
      <c r="N712" t="n">
        <v>0</v>
      </c>
      <c r="O712" t="n">
        <v>0</v>
      </c>
      <c r="P712" t="n">
        <v>0</v>
      </c>
      <c r="Q712" t="n">
        <v>0</v>
      </c>
      <c r="R712" s="2" t="inlineStr"/>
    </row>
    <row r="713" ht="15" customHeight="1">
      <c r="A713" t="inlineStr">
        <is>
          <t>A 31093-2021</t>
        </is>
      </c>
      <c r="B713" s="1" t="n">
        <v>44368</v>
      </c>
      <c r="C713" s="1" t="n">
        <v>45754</v>
      </c>
      <c r="D713" t="inlineStr">
        <is>
          <t>JÄMTLANDS LÄN</t>
        </is>
      </c>
      <c r="E713" t="inlineStr">
        <is>
          <t>BRÄCKE</t>
        </is>
      </c>
      <c r="G713" t="n">
        <v>2.8</v>
      </c>
      <c r="H713" t="n">
        <v>0</v>
      </c>
      <c r="I713" t="n">
        <v>0</v>
      </c>
      <c r="J713" t="n">
        <v>0</v>
      </c>
      <c r="K713" t="n">
        <v>0</v>
      </c>
      <c r="L713" t="n">
        <v>0</v>
      </c>
      <c r="M713" t="n">
        <v>0</v>
      </c>
      <c r="N713" t="n">
        <v>0</v>
      </c>
      <c r="O713" t="n">
        <v>0</v>
      </c>
      <c r="P713" t="n">
        <v>0</v>
      </c>
      <c r="Q713" t="n">
        <v>0</v>
      </c>
      <c r="R713" s="2" t="inlineStr"/>
    </row>
    <row r="714" ht="15" customHeight="1">
      <c r="A714" t="inlineStr">
        <is>
          <t>A 31342-2021</t>
        </is>
      </c>
      <c r="B714" s="1" t="n">
        <v>44369</v>
      </c>
      <c r="C714" s="1" t="n">
        <v>45754</v>
      </c>
      <c r="D714" t="inlineStr">
        <is>
          <t>JÄMTLANDS LÄN</t>
        </is>
      </c>
      <c r="E714" t="inlineStr">
        <is>
          <t>BRÄCKE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32101-2021</t>
        </is>
      </c>
      <c r="B715" s="1" t="n">
        <v>44371</v>
      </c>
      <c r="C715" s="1" t="n">
        <v>45754</v>
      </c>
      <c r="D715" t="inlineStr">
        <is>
          <t>JÄMTLANDS LÄN</t>
        </is>
      </c>
      <c r="E715" t="inlineStr">
        <is>
          <t>BRÄCKE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32471-2021</t>
        </is>
      </c>
      <c r="B716" s="1" t="n">
        <v>44371</v>
      </c>
      <c r="C716" s="1" t="n">
        <v>45754</v>
      </c>
      <c r="D716" t="inlineStr">
        <is>
          <t>JÄMTLANDS LÄN</t>
        </is>
      </c>
      <c r="E716" t="inlineStr">
        <is>
          <t>BRÄCKE</t>
        </is>
      </c>
      <c r="F716" t="inlineStr">
        <is>
          <t>SCA</t>
        </is>
      </c>
      <c r="G716" t="n">
        <v>0.2</v>
      </c>
      <c r="H716" t="n">
        <v>0</v>
      </c>
      <c r="I716" t="n">
        <v>0</v>
      </c>
      <c r="J716" t="n">
        <v>0</v>
      </c>
      <c r="K716" t="n">
        <v>0</v>
      </c>
      <c r="L716" t="n">
        <v>0</v>
      </c>
      <c r="M716" t="n">
        <v>0</v>
      </c>
      <c r="N716" t="n">
        <v>0</v>
      </c>
      <c r="O716" t="n">
        <v>0</v>
      </c>
      <c r="P716" t="n">
        <v>0</v>
      </c>
      <c r="Q716" t="n">
        <v>0</v>
      </c>
      <c r="R716" s="2" t="inlineStr"/>
    </row>
    <row r="717" ht="15" customHeight="1">
      <c r="A717" t="inlineStr">
        <is>
          <t>A 33221-2021</t>
        </is>
      </c>
      <c r="B717" s="1" t="n">
        <v>44376</v>
      </c>
      <c r="C717" s="1" t="n">
        <v>45754</v>
      </c>
      <c r="D717" t="inlineStr">
        <is>
          <t>JÄMTLANDS LÄN</t>
        </is>
      </c>
      <c r="E717" t="inlineStr">
        <is>
          <t>BRÄCKE</t>
        </is>
      </c>
      <c r="F717" t="inlineStr">
        <is>
          <t>SCA</t>
        </is>
      </c>
      <c r="G717" t="n">
        <v>11.4</v>
      </c>
      <c r="H717" t="n">
        <v>0</v>
      </c>
      <c r="I717" t="n">
        <v>0</v>
      </c>
      <c r="J717" t="n">
        <v>0</v>
      </c>
      <c r="K717" t="n">
        <v>0</v>
      </c>
      <c r="L717" t="n">
        <v>0</v>
      </c>
      <c r="M717" t="n">
        <v>0</v>
      </c>
      <c r="N717" t="n">
        <v>0</v>
      </c>
      <c r="O717" t="n">
        <v>0</v>
      </c>
      <c r="P717" t="n">
        <v>0</v>
      </c>
      <c r="Q717" t="n">
        <v>0</v>
      </c>
      <c r="R717" s="2" t="inlineStr"/>
      <c r="U717">
        <f>HYPERLINK("https://klasma.github.io/Logging_2305/knärot/A 33221-2021 karta knärot.png", "A 33221-2021")</f>
        <v/>
      </c>
      <c r="V717">
        <f>HYPERLINK("https://klasma.github.io/Logging_2305/klagomål/A 33221-2021 FSC-klagomål.docx", "A 33221-2021")</f>
        <v/>
      </c>
      <c r="W717">
        <f>HYPERLINK("https://klasma.github.io/Logging_2305/klagomålsmail/A 33221-2021 FSC-klagomål mail.docx", "A 33221-2021")</f>
        <v/>
      </c>
      <c r="X717">
        <f>HYPERLINK("https://klasma.github.io/Logging_2305/tillsyn/A 33221-2021 tillsynsbegäran.docx", "A 33221-2021")</f>
        <v/>
      </c>
      <c r="Y717">
        <f>HYPERLINK("https://klasma.github.io/Logging_2305/tillsynsmail/A 33221-2021 tillsynsbegäran mail.docx", "A 33221-2021")</f>
        <v/>
      </c>
    </row>
    <row r="718" ht="15" customHeight="1">
      <c r="A718" t="inlineStr">
        <is>
          <t>A 33538-2021</t>
        </is>
      </c>
      <c r="B718" s="1" t="n">
        <v>44377</v>
      </c>
      <c r="C718" s="1" t="n">
        <v>45754</v>
      </c>
      <c r="D718" t="inlineStr">
        <is>
          <t>JÄMTLANDS LÄN</t>
        </is>
      </c>
      <c r="E718" t="inlineStr">
        <is>
          <t>BRÄCKE</t>
        </is>
      </c>
      <c r="G718" t="n">
        <v>6.9</v>
      </c>
      <c r="H718" t="n">
        <v>0</v>
      </c>
      <c r="I718" t="n">
        <v>0</v>
      </c>
      <c r="J718" t="n">
        <v>0</v>
      </c>
      <c r="K718" t="n">
        <v>0</v>
      </c>
      <c r="L718" t="n">
        <v>0</v>
      </c>
      <c r="M718" t="n">
        <v>0</v>
      </c>
      <c r="N718" t="n">
        <v>0</v>
      </c>
      <c r="O718" t="n">
        <v>0</v>
      </c>
      <c r="P718" t="n">
        <v>0</v>
      </c>
      <c r="Q718" t="n">
        <v>0</v>
      </c>
      <c r="R718" s="2" t="inlineStr"/>
    </row>
    <row r="719" ht="15" customHeight="1">
      <c r="A719" t="inlineStr">
        <is>
          <t>A 34409-2021</t>
        </is>
      </c>
      <c r="B719" s="1" t="n">
        <v>44379</v>
      </c>
      <c r="C719" s="1" t="n">
        <v>45754</v>
      </c>
      <c r="D719" t="inlineStr">
        <is>
          <t>JÄMTLANDS LÄN</t>
        </is>
      </c>
      <c r="E719" t="inlineStr">
        <is>
          <t>BRÄCKE</t>
        </is>
      </c>
      <c r="F719" t="inlineStr">
        <is>
          <t>SCA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34410-2021</t>
        </is>
      </c>
      <c r="B720" s="1" t="n">
        <v>44380</v>
      </c>
      <c r="C720" s="1" t="n">
        <v>45754</v>
      </c>
      <c r="D720" t="inlineStr">
        <is>
          <t>JÄMTLANDS LÄN</t>
        </is>
      </c>
      <c r="E720" t="inlineStr">
        <is>
          <t>BRÄCKE</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34873-2021</t>
        </is>
      </c>
      <c r="B721" s="1" t="n">
        <v>44382</v>
      </c>
      <c r="C721" s="1" t="n">
        <v>45754</v>
      </c>
      <c r="D721" t="inlineStr">
        <is>
          <t>JÄMTLANDS LÄN</t>
        </is>
      </c>
      <c r="E721" t="inlineStr">
        <is>
          <t>BRÄCKE</t>
        </is>
      </c>
      <c r="G721" t="n">
        <v>2</v>
      </c>
      <c r="H721" t="n">
        <v>0</v>
      </c>
      <c r="I721" t="n">
        <v>0</v>
      </c>
      <c r="J721" t="n">
        <v>0</v>
      </c>
      <c r="K721" t="n">
        <v>0</v>
      </c>
      <c r="L721" t="n">
        <v>0</v>
      </c>
      <c r="M721" t="n">
        <v>0</v>
      </c>
      <c r="N721" t="n">
        <v>0</v>
      </c>
      <c r="O721" t="n">
        <v>0</v>
      </c>
      <c r="P721" t="n">
        <v>0</v>
      </c>
      <c r="Q721" t="n">
        <v>0</v>
      </c>
      <c r="R721" s="2" t="inlineStr"/>
    </row>
    <row r="722" ht="15" customHeight="1">
      <c r="A722" t="inlineStr">
        <is>
          <t>A 35244-2021</t>
        </is>
      </c>
      <c r="B722" s="1" t="n">
        <v>44384</v>
      </c>
      <c r="C722" s="1" t="n">
        <v>45754</v>
      </c>
      <c r="D722" t="inlineStr">
        <is>
          <t>JÄMTLANDS LÄN</t>
        </is>
      </c>
      <c r="E722" t="inlineStr">
        <is>
          <t>BRÄCKE</t>
        </is>
      </c>
      <c r="G722" t="n">
        <v>0.5</v>
      </c>
      <c r="H722" t="n">
        <v>0</v>
      </c>
      <c r="I722" t="n">
        <v>0</v>
      </c>
      <c r="J722" t="n">
        <v>0</v>
      </c>
      <c r="K722" t="n">
        <v>0</v>
      </c>
      <c r="L722" t="n">
        <v>0</v>
      </c>
      <c r="M722" t="n">
        <v>0</v>
      </c>
      <c r="N722" t="n">
        <v>0</v>
      </c>
      <c r="O722" t="n">
        <v>0</v>
      </c>
      <c r="P722" t="n">
        <v>0</v>
      </c>
      <c r="Q722" t="n">
        <v>0</v>
      </c>
      <c r="R722" s="2" t="inlineStr"/>
    </row>
    <row r="723" ht="15" customHeight="1">
      <c r="A723" t="inlineStr">
        <is>
          <t>A 35252-2021</t>
        </is>
      </c>
      <c r="B723" s="1" t="n">
        <v>44384</v>
      </c>
      <c r="C723" s="1" t="n">
        <v>45754</v>
      </c>
      <c r="D723" t="inlineStr">
        <is>
          <t>JÄMTLANDS LÄN</t>
        </is>
      </c>
      <c r="E723" t="inlineStr">
        <is>
          <t>BRÄCKE</t>
        </is>
      </c>
      <c r="G723" t="n">
        <v>1.9</v>
      </c>
      <c r="H723" t="n">
        <v>0</v>
      </c>
      <c r="I723" t="n">
        <v>0</v>
      </c>
      <c r="J723" t="n">
        <v>0</v>
      </c>
      <c r="K723" t="n">
        <v>0</v>
      </c>
      <c r="L723" t="n">
        <v>0</v>
      </c>
      <c r="M723" t="n">
        <v>0</v>
      </c>
      <c r="N723" t="n">
        <v>0</v>
      </c>
      <c r="O723" t="n">
        <v>0</v>
      </c>
      <c r="P723" t="n">
        <v>0</v>
      </c>
      <c r="Q723" t="n">
        <v>0</v>
      </c>
      <c r="R723" s="2" t="inlineStr"/>
    </row>
    <row r="724" ht="15" customHeight="1">
      <c r="A724" t="inlineStr">
        <is>
          <t>A 35564-2021</t>
        </is>
      </c>
      <c r="B724" s="1" t="n">
        <v>44386</v>
      </c>
      <c r="C724" s="1" t="n">
        <v>45754</v>
      </c>
      <c r="D724" t="inlineStr">
        <is>
          <t>JÄMTLANDS LÄN</t>
        </is>
      </c>
      <c r="E724" t="inlineStr">
        <is>
          <t>BRÄCKE</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36445-2021</t>
        </is>
      </c>
      <c r="B725" s="1" t="n">
        <v>44391</v>
      </c>
      <c r="C725" s="1" t="n">
        <v>45754</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36819-2021</t>
        </is>
      </c>
      <c r="B726" s="1" t="n">
        <v>44392</v>
      </c>
      <c r="C726" s="1" t="n">
        <v>45754</v>
      </c>
      <c r="D726" t="inlineStr">
        <is>
          <t>JÄMTLANDS LÄN</t>
        </is>
      </c>
      <c r="E726" t="inlineStr">
        <is>
          <t>BRÄCKE</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37053-2021</t>
        </is>
      </c>
      <c r="B727" s="1" t="n">
        <v>44394</v>
      </c>
      <c r="C727" s="1" t="n">
        <v>45754</v>
      </c>
      <c r="D727" t="inlineStr">
        <is>
          <t>JÄMTLANDS LÄN</t>
        </is>
      </c>
      <c r="E727" t="inlineStr">
        <is>
          <t>BRÄCKE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37048-2021</t>
        </is>
      </c>
      <c r="B728" s="1" t="n">
        <v>44394</v>
      </c>
      <c r="C728" s="1" t="n">
        <v>45754</v>
      </c>
      <c r="D728" t="inlineStr">
        <is>
          <t>JÄMTLANDS LÄN</t>
        </is>
      </c>
      <c r="E728" t="inlineStr">
        <is>
          <t>BRÄCKE</t>
        </is>
      </c>
      <c r="F728" t="inlineStr">
        <is>
          <t>SCA</t>
        </is>
      </c>
      <c r="G728" t="n">
        <v>5.5</v>
      </c>
      <c r="H728" t="n">
        <v>0</v>
      </c>
      <c r="I728" t="n">
        <v>0</v>
      </c>
      <c r="J728" t="n">
        <v>0</v>
      </c>
      <c r="K728" t="n">
        <v>0</v>
      </c>
      <c r="L728" t="n">
        <v>0</v>
      </c>
      <c r="M728" t="n">
        <v>0</v>
      </c>
      <c r="N728" t="n">
        <v>0</v>
      </c>
      <c r="O728" t="n">
        <v>0</v>
      </c>
      <c r="P728" t="n">
        <v>0</v>
      </c>
      <c r="Q728" t="n">
        <v>0</v>
      </c>
      <c r="R728" s="2" t="inlineStr"/>
    </row>
    <row r="729" ht="15" customHeight="1">
      <c r="A729" t="inlineStr">
        <is>
          <t>A 37238-2021</t>
        </is>
      </c>
      <c r="B729" s="1" t="n">
        <v>44397</v>
      </c>
      <c r="C729" s="1" t="n">
        <v>45754</v>
      </c>
      <c r="D729" t="inlineStr">
        <is>
          <t>JÄMTLANDS LÄN</t>
        </is>
      </c>
      <c r="E729" t="inlineStr">
        <is>
          <t>BRÄCKE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37376-2021</t>
        </is>
      </c>
      <c r="B730" s="1" t="n">
        <v>44397</v>
      </c>
      <c r="C730" s="1" t="n">
        <v>45754</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37375-2021</t>
        </is>
      </c>
      <c r="B731" s="1" t="n">
        <v>44397</v>
      </c>
      <c r="C731" s="1" t="n">
        <v>45754</v>
      </c>
      <c r="D731" t="inlineStr">
        <is>
          <t>JÄMTLANDS LÄN</t>
        </is>
      </c>
      <c r="E731" t="inlineStr">
        <is>
          <t>BRÄCKE</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37479-2021</t>
        </is>
      </c>
      <c r="B732" s="1" t="n">
        <v>44398</v>
      </c>
      <c r="C732" s="1" t="n">
        <v>45754</v>
      </c>
      <c r="D732" t="inlineStr">
        <is>
          <t>JÄMTLANDS LÄN</t>
        </is>
      </c>
      <c r="E732" t="inlineStr">
        <is>
          <t>BRÄCKE</t>
        </is>
      </c>
      <c r="F732" t="inlineStr">
        <is>
          <t>SCA</t>
        </is>
      </c>
      <c r="G732" t="n">
        <v>5.6</v>
      </c>
      <c r="H732" t="n">
        <v>0</v>
      </c>
      <c r="I732" t="n">
        <v>0</v>
      </c>
      <c r="J732" t="n">
        <v>0</v>
      </c>
      <c r="K732" t="n">
        <v>0</v>
      </c>
      <c r="L732" t="n">
        <v>0</v>
      </c>
      <c r="M732" t="n">
        <v>0</v>
      </c>
      <c r="N732" t="n">
        <v>0</v>
      </c>
      <c r="O732" t="n">
        <v>0</v>
      </c>
      <c r="P732" t="n">
        <v>0</v>
      </c>
      <c r="Q732" t="n">
        <v>0</v>
      </c>
      <c r="R732" s="2" t="inlineStr"/>
    </row>
    <row r="733" ht="15" customHeight="1">
      <c r="A733" t="inlineStr">
        <is>
          <t>A 37957-2021</t>
        </is>
      </c>
      <c r="B733" s="1" t="n">
        <v>44403</v>
      </c>
      <c r="C733" s="1" t="n">
        <v>45754</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38280-2021</t>
        </is>
      </c>
      <c r="B734" s="1" t="n">
        <v>44405</v>
      </c>
      <c r="C734" s="1" t="n">
        <v>45754</v>
      </c>
      <c r="D734" t="inlineStr">
        <is>
          <t>JÄMTLANDS LÄN</t>
        </is>
      </c>
      <c r="E734" t="inlineStr">
        <is>
          <t>BRÄCKE</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38285-2021</t>
        </is>
      </c>
      <c r="B735" s="1" t="n">
        <v>44405</v>
      </c>
      <c r="C735" s="1" t="n">
        <v>45754</v>
      </c>
      <c r="D735" t="inlineStr">
        <is>
          <t>JÄMTLANDS LÄN</t>
        </is>
      </c>
      <c r="E735" t="inlineStr">
        <is>
          <t>BRÄCKE</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38281-2021</t>
        </is>
      </c>
      <c r="B736" s="1" t="n">
        <v>44405</v>
      </c>
      <c r="C736" s="1" t="n">
        <v>45754</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38424-2021</t>
        </is>
      </c>
      <c r="B737" s="1" t="n">
        <v>44407</v>
      </c>
      <c r="C737" s="1" t="n">
        <v>45754</v>
      </c>
      <c r="D737" t="inlineStr">
        <is>
          <t>JÄMTLANDS LÄN</t>
        </is>
      </c>
      <c r="E737" t="inlineStr">
        <is>
          <t>BRÄCKE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38593-2021</t>
        </is>
      </c>
      <c r="B738" s="1" t="n">
        <v>44407</v>
      </c>
      <c r="C738" s="1" t="n">
        <v>45754</v>
      </c>
      <c r="D738" t="inlineStr">
        <is>
          <t>JÄMTLANDS LÄN</t>
        </is>
      </c>
      <c r="E738" t="inlineStr">
        <is>
          <t>BRÄCKE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38956-2021</t>
        </is>
      </c>
      <c r="B739" s="1" t="n">
        <v>44411</v>
      </c>
      <c r="C739" s="1" t="n">
        <v>45754</v>
      </c>
      <c r="D739" t="inlineStr">
        <is>
          <t>JÄMTLANDS LÄN</t>
        </is>
      </c>
      <c r="E739" t="inlineStr">
        <is>
          <t>BRÄCKE</t>
        </is>
      </c>
      <c r="G739" t="n">
        <v>1.6</v>
      </c>
      <c r="H739" t="n">
        <v>0</v>
      </c>
      <c r="I739" t="n">
        <v>0</v>
      </c>
      <c r="J739" t="n">
        <v>0</v>
      </c>
      <c r="K739" t="n">
        <v>0</v>
      </c>
      <c r="L739" t="n">
        <v>0</v>
      </c>
      <c r="M739" t="n">
        <v>0</v>
      </c>
      <c r="N739" t="n">
        <v>0</v>
      </c>
      <c r="O739" t="n">
        <v>0</v>
      </c>
      <c r="P739" t="n">
        <v>0</v>
      </c>
      <c r="Q739" t="n">
        <v>0</v>
      </c>
      <c r="R739" s="2" t="inlineStr"/>
    </row>
    <row r="740" ht="15" customHeight="1">
      <c r="A740" t="inlineStr">
        <is>
          <t>A 39934-2021</t>
        </is>
      </c>
      <c r="B740" s="1" t="n">
        <v>44417</v>
      </c>
      <c r="C740" s="1" t="n">
        <v>45754</v>
      </c>
      <c r="D740" t="inlineStr">
        <is>
          <t>JÄMTLANDS LÄN</t>
        </is>
      </c>
      <c r="E740" t="inlineStr">
        <is>
          <t>BRÄCKE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40313-2021</t>
        </is>
      </c>
      <c r="B741" s="1" t="n">
        <v>44419</v>
      </c>
      <c r="C741" s="1" t="n">
        <v>45754</v>
      </c>
      <c r="D741" t="inlineStr">
        <is>
          <t>JÄMTLANDS LÄN</t>
        </is>
      </c>
      <c r="E741" t="inlineStr">
        <is>
          <t>BRÄCKE</t>
        </is>
      </c>
      <c r="G741" t="n">
        <v>5.7</v>
      </c>
      <c r="H741" t="n">
        <v>0</v>
      </c>
      <c r="I741" t="n">
        <v>0</v>
      </c>
      <c r="J741" t="n">
        <v>0</v>
      </c>
      <c r="K741" t="n">
        <v>0</v>
      </c>
      <c r="L741" t="n">
        <v>0</v>
      </c>
      <c r="M741" t="n">
        <v>0</v>
      </c>
      <c r="N741" t="n">
        <v>0</v>
      </c>
      <c r="O741" t="n">
        <v>0</v>
      </c>
      <c r="P741" t="n">
        <v>0</v>
      </c>
      <c r="Q741" t="n">
        <v>0</v>
      </c>
      <c r="R741" s="2" t="inlineStr"/>
    </row>
    <row r="742" ht="15" customHeight="1">
      <c r="A742" t="inlineStr">
        <is>
          <t>A 40467-2021</t>
        </is>
      </c>
      <c r="B742" s="1" t="n">
        <v>44420</v>
      </c>
      <c r="C742" s="1" t="n">
        <v>45754</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40482-2021</t>
        </is>
      </c>
      <c r="B743" s="1" t="n">
        <v>44420</v>
      </c>
      <c r="C743" s="1" t="n">
        <v>45754</v>
      </c>
      <c r="D743" t="inlineStr">
        <is>
          <t>JÄMTLANDS LÄN</t>
        </is>
      </c>
      <c r="E743" t="inlineStr">
        <is>
          <t>BRÄCKE</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40481-2021</t>
        </is>
      </c>
      <c r="B744" s="1" t="n">
        <v>44420</v>
      </c>
      <c r="C744" s="1" t="n">
        <v>45754</v>
      </c>
      <c r="D744" t="inlineStr">
        <is>
          <t>JÄMTLANDS LÄN</t>
        </is>
      </c>
      <c r="E744" t="inlineStr">
        <is>
          <t>BRÄCKE</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40769-2021</t>
        </is>
      </c>
      <c r="B745" s="1" t="n">
        <v>44420</v>
      </c>
      <c r="C745" s="1" t="n">
        <v>45754</v>
      </c>
      <c r="D745" t="inlineStr">
        <is>
          <t>JÄMTLANDS LÄN</t>
        </is>
      </c>
      <c r="E745" t="inlineStr">
        <is>
          <t>BRÄCKE</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41060-2021</t>
        </is>
      </c>
      <c r="B746" s="1" t="n">
        <v>44422</v>
      </c>
      <c r="C746" s="1" t="n">
        <v>45754</v>
      </c>
      <c r="D746" t="inlineStr">
        <is>
          <t>JÄMTLANDS LÄN</t>
        </is>
      </c>
      <c r="E746" t="inlineStr">
        <is>
          <t>BRÄCKE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41474-2021</t>
        </is>
      </c>
      <c r="B747" s="1" t="n">
        <v>44424</v>
      </c>
      <c r="C747" s="1" t="n">
        <v>45754</v>
      </c>
      <c r="D747" t="inlineStr">
        <is>
          <t>JÄMTLANDS LÄN</t>
        </is>
      </c>
      <c r="E747" t="inlineStr">
        <is>
          <t>BRÄCKE</t>
        </is>
      </c>
      <c r="G747" t="n">
        <v>2.3</v>
      </c>
      <c r="H747" t="n">
        <v>0</v>
      </c>
      <c r="I747" t="n">
        <v>0</v>
      </c>
      <c r="J747" t="n">
        <v>0</v>
      </c>
      <c r="K747" t="n">
        <v>0</v>
      </c>
      <c r="L747" t="n">
        <v>0</v>
      </c>
      <c r="M747" t="n">
        <v>0</v>
      </c>
      <c r="N747" t="n">
        <v>0</v>
      </c>
      <c r="O747" t="n">
        <v>0</v>
      </c>
      <c r="P747" t="n">
        <v>0</v>
      </c>
      <c r="Q747" t="n">
        <v>0</v>
      </c>
      <c r="R747" s="2" t="inlineStr"/>
    </row>
    <row r="748" ht="15" customHeight="1">
      <c r="A748" t="inlineStr">
        <is>
          <t>A 42806-2021</t>
        </is>
      </c>
      <c r="B748" s="1" t="n">
        <v>44429</v>
      </c>
      <c r="C748" s="1" t="n">
        <v>45754</v>
      </c>
      <c r="D748" t="inlineStr">
        <is>
          <t>JÄMTLANDS LÄN</t>
        </is>
      </c>
      <c r="E748" t="inlineStr">
        <is>
          <t>BRÄCKE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43831-2021</t>
        </is>
      </c>
      <c r="B749" s="1" t="n">
        <v>44433</v>
      </c>
      <c r="C749" s="1" t="n">
        <v>45754</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43832-2021</t>
        </is>
      </c>
      <c r="B750" s="1" t="n">
        <v>44434</v>
      </c>
      <c r="C750" s="1" t="n">
        <v>45754</v>
      </c>
      <c r="D750" t="inlineStr">
        <is>
          <t>JÄMTLANDS LÄN</t>
        </is>
      </c>
      <c r="E750" t="inlineStr">
        <is>
          <t>BRÄCKE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44244-2021</t>
        </is>
      </c>
      <c r="B751" s="1" t="n">
        <v>44434</v>
      </c>
      <c r="C751" s="1" t="n">
        <v>45754</v>
      </c>
      <c r="D751" t="inlineStr">
        <is>
          <t>JÄMTLANDS LÄN</t>
        </is>
      </c>
      <c r="E751" t="inlineStr">
        <is>
          <t>BRÄCKE</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44243-2021</t>
        </is>
      </c>
      <c r="B752" s="1" t="n">
        <v>44434</v>
      </c>
      <c r="C752" s="1" t="n">
        <v>45754</v>
      </c>
      <c r="D752" t="inlineStr">
        <is>
          <t>JÄMTLANDS LÄN</t>
        </is>
      </c>
      <c r="E752" t="inlineStr">
        <is>
          <t>BRÄCKE</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46793-2021</t>
        </is>
      </c>
      <c r="B753" s="1" t="n">
        <v>44445</v>
      </c>
      <c r="C753" s="1" t="n">
        <v>45754</v>
      </c>
      <c r="D753" t="inlineStr">
        <is>
          <t>JÄMTLANDS LÄN</t>
        </is>
      </c>
      <c r="E753" t="inlineStr">
        <is>
          <t>BRÄCKE</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46792-2021</t>
        </is>
      </c>
      <c r="B754" s="1" t="n">
        <v>44445</v>
      </c>
      <c r="C754" s="1" t="n">
        <v>45754</v>
      </c>
      <c r="D754" t="inlineStr">
        <is>
          <t>JÄMTLANDS LÄN</t>
        </is>
      </c>
      <c r="E754" t="inlineStr">
        <is>
          <t>BRÄCKE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46952-2021</t>
        </is>
      </c>
      <c r="B755" s="1" t="n">
        <v>44446</v>
      </c>
      <c r="C755" s="1" t="n">
        <v>45754</v>
      </c>
      <c r="D755" t="inlineStr">
        <is>
          <t>JÄMTLANDS LÄN</t>
        </is>
      </c>
      <c r="E755" t="inlineStr">
        <is>
          <t>BRÄCKE</t>
        </is>
      </c>
      <c r="G755" t="n">
        <v>2.1</v>
      </c>
      <c r="H755" t="n">
        <v>0</v>
      </c>
      <c r="I755" t="n">
        <v>0</v>
      </c>
      <c r="J755" t="n">
        <v>0</v>
      </c>
      <c r="K755" t="n">
        <v>0</v>
      </c>
      <c r="L755" t="n">
        <v>0</v>
      </c>
      <c r="M755" t="n">
        <v>0</v>
      </c>
      <c r="N755" t="n">
        <v>0</v>
      </c>
      <c r="O755" t="n">
        <v>0</v>
      </c>
      <c r="P755" t="n">
        <v>0</v>
      </c>
      <c r="Q755" t="n">
        <v>0</v>
      </c>
      <c r="R755" s="2" t="inlineStr"/>
    </row>
    <row r="756" ht="15" customHeight="1">
      <c r="A756" t="inlineStr">
        <is>
          <t>A 47559-2021</t>
        </is>
      </c>
      <c r="B756" s="1" t="n">
        <v>44447</v>
      </c>
      <c r="C756" s="1" t="n">
        <v>45754</v>
      </c>
      <c r="D756" t="inlineStr">
        <is>
          <t>JÄMTLANDS LÄN</t>
        </is>
      </c>
      <c r="E756" t="inlineStr">
        <is>
          <t>BRÄCKE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47558-2021</t>
        </is>
      </c>
      <c r="B757" s="1" t="n">
        <v>44448</v>
      </c>
      <c r="C757" s="1" t="n">
        <v>45754</v>
      </c>
      <c r="D757" t="inlineStr">
        <is>
          <t>JÄMTLANDS LÄN</t>
        </is>
      </c>
      <c r="E757" t="inlineStr">
        <is>
          <t>BRÄCKE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47560-2021</t>
        </is>
      </c>
      <c r="B758" s="1" t="n">
        <v>44448</v>
      </c>
      <c r="C758" s="1" t="n">
        <v>45754</v>
      </c>
      <c r="D758" t="inlineStr">
        <is>
          <t>JÄMTLANDS LÄN</t>
        </is>
      </c>
      <c r="E758" t="inlineStr">
        <is>
          <t>BRÄCKE</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47983-2021</t>
        </is>
      </c>
      <c r="B759" s="1" t="n">
        <v>44448</v>
      </c>
      <c r="C759" s="1" t="n">
        <v>45754</v>
      </c>
      <c r="D759" t="inlineStr">
        <is>
          <t>JÄMTLANDS LÄN</t>
        </is>
      </c>
      <c r="E759" t="inlineStr">
        <is>
          <t>BRÄCKE</t>
        </is>
      </c>
      <c r="G759" t="n">
        <v>1</v>
      </c>
      <c r="H759" t="n">
        <v>0</v>
      </c>
      <c r="I759" t="n">
        <v>0</v>
      </c>
      <c r="J759" t="n">
        <v>0</v>
      </c>
      <c r="K759" t="n">
        <v>0</v>
      </c>
      <c r="L759" t="n">
        <v>0</v>
      </c>
      <c r="M759" t="n">
        <v>0</v>
      </c>
      <c r="N759" t="n">
        <v>0</v>
      </c>
      <c r="O759" t="n">
        <v>0</v>
      </c>
      <c r="P759" t="n">
        <v>0</v>
      </c>
      <c r="Q759" t="n">
        <v>0</v>
      </c>
      <c r="R759" s="2" t="inlineStr"/>
    </row>
    <row r="760" ht="15" customHeight="1">
      <c r="A760" t="inlineStr">
        <is>
          <t>A 48284-2021</t>
        </is>
      </c>
      <c r="B760" s="1" t="n">
        <v>44449</v>
      </c>
      <c r="C760" s="1" t="n">
        <v>45754</v>
      </c>
      <c r="D760" t="inlineStr">
        <is>
          <t>JÄMTLANDS LÄN</t>
        </is>
      </c>
      <c r="E760" t="inlineStr">
        <is>
          <t>BRÄCKE</t>
        </is>
      </c>
      <c r="G760" t="n">
        <v>12.9</v>
      </c>
      <c r="H760" t="n">
        <v>0</v>
      </c>
      <c r="I760" t="n">
        <v>0</v>
      </c>
      <c r="J760" t="n">
        <v>0</v>
      </c>
      <c r="K760" t="n">
        <v>0</v>
      </c>
      <c r="L760" t="n">
        <v>0</v>
      </c>
      <c r="M760" t="n">
        <v>0</v>
      </c>
      <c r="N760" t="n">
        <v>0</v>
      </c>
      <c r="O760" t="n">
        <v>0</v>
      </c>
      <c r="P760" t="n">
        <v>0</v>
      </c>
      <c r="Q760" t="n">
        <v>0</v>
      </c>
      <c r="R760" s="2" t="inlineStr"/>
    </row>
    <row r="761" ht="15" customHeight="1">
      <c r="A761" t="inlineStr">
        <is>
          <t>A 49937-2021</t>
        </is>
      </c>
      <c r="B761" s="1" t="n">
        <v>44455</v>
      </c>
      <c r="C761" s="1" t="n">
        <v>45754</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51095-2021</t>
        </is>
      </c>
      <c r="B762" s="1" t="n">
        <v>44461</v>
      </c>
      <c r="C762" s="1" t="n">
        <v>45754</v>
      </c>
      <c r="D762" t="inlineStr">
        <is>
          <t>JÄMTLANDS LÄN</t>
        </is>
      </c>
      <c r="E762" t="inlineStr">
        <is>
          <t>BRÄCKE</t>
        </is>
      </c>
      <c r="G762" t="n">
        <v>0.8</v>
      </c>
      <c r="H762" t="n">
        <v>0</v>
      </c>
      <c r="I762" t="n">
        <v>0</v>
      </c>
      <c r="J762" t="n">
        <v>0</v>
      </c>
      <c r="K762" t="n">
        <v>0</v>
      </c>
      <c r="L762" t="n">
        <v>0</v>
      </c>
      <c r="M762" t="n">
        <v>0</v>
      </c>
      <c r="N762" t="n">
        <v>0</v>
      </c>
      <c r="O762" t="n">
        <v>0</v>
      </c>
      <c r="P762" t="n">
        <v>0</v>
      </c>
      <c r="Q762" t="n">
        <v>0</v>
      </c>
      <c r="R762" s="2" t="inlineStr"/>
    </row>
    <row r="763" ht="15" customHeight="1">
      <c r="A763" t="inlineStr">
        <is>
          <t>A 51957-2021</t>
        </is>
      </c>
      <c r="B763" s="1" t="n">
        <v>44463</v>
      </c>
      <c r="C763" s="1" t="n">
        <v>45754</v>
      </c>
      <c r="D763" t="inlineStr">
        <is>
          <t>JÄMTLANDS LÄN</t>
        </is>
      </c>
      <c r="E763" t="inlineStr">
        <is>
          <t>BRÄCKE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52022-2021</t>
        </is>
      </c>
      <c r="B764" s="1" t="n">
        <v>44463</v>
      </c>
      <c r="C764" s="1" t="n">
        <v>45754</v>
      </c>
      <c r="D764" t="inlineStr">
        <is>
          <t>JÄMTLANDS LÄN</t>
        </is>
      </c>
      <c r="E764" t="inlineStr">
        <is>
          <t>BRÄCKE</t>
        </is>
      </c>
      <c r="G764" t="n">
        <v>8.4</v>
      </c>
      <c r="H764" t="n">
        <v>0</v>
      </c>
      <c r="I764" t="n">
        <v>0</v>
      </c>
      <c r="J764" t="n">
        <v>0</v>
      </c>
      <c r="K764" t="n">
        <v>0</v>
      </c>
      <c r="L764" t="n">
        <v>0</v>
      </c>
      <c r="M764" t="n">
        <v>0</v>
      </c>
      <c r="N764" t="n">
        <v>0</v>
      </c>
      <c r="O764" t="n">
        <v>0</v>
      </c>
      <c r="P764" t="n">
        <v>0</v>
      </c>
      <c r="Q764" t="n">
        <v>0</v>
      </c>
      <c r="R764" s="2" t="inlineStr"/>
    </row>
    <row r="765" ht="15" customHeight="1">
      <c r="A765" t="inlineStr">
        <is>
          <t>A 52323-2021</t>
        </is>
      </c>
      <c r="B765" s="1" t="n">
        <v>44464</v>
      </c>
      <c r="C765" s="1" t="n">
        <v>45754</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53516-2021</t>
        </is>
      </c>
      <c r="B766" s="1" t="n">
        <v>44468</v>
      </c>
      <c r="C766" s="1" t="n">
        <v>45754</v>
      </c>
      <c r="D766" t="inlineStr">
        <is>
          <t>JÄMTLANDS LÄN</t>
        </is>
      </c>
      <c r="E766" t="inlineStr">
        <is>
          <t>BRÄCKE</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53612-2021</t>
        </is>
      </c>
      <c r="B767" s="1" t="n">
        <v>44469</v>
      </c>
      <c r="C767" s="1" t="n">
        <v>45754</v>
      </c>
      <c r="D767" t="inlineStr">
        <is>
          <t>JÄMTLANDS LÄN</t>
        </is>
      </c>
      <c r="E767" t="inlineStr">
        <is>
          <t>BRÄCKE</t>
        </is>
      </c>
      <c r="G767" t="n">
        <v>1.7</v>
      </c>
      <c r="H767" t="n">
        <v>0</v>
      </c>
      <c r="I767" t="n">
        <v>0</v>
      </c>
      <c r="J767" t="n">
        <v>0</v>
      </c>
      <c r="K767" t="n">
        <v>0</v>
      </c>
      <c r="L767" t="n">
        <v>0</v>
      </c>
      <c r="M767" t="n">
        <v>0</v>
      </c>
      <c r="N767" t="n">
        <v>0</v>
      </c>
      <c r="O767" t="n">
        <v>0</v>
      </c>
      <c r="P767" t="n">
        <v>0</v>
      </c>
      <c r="Q767" t="n">
        <v>0</v>
      </c>
      <c r="R767" s="2" t="inlineStr"/>
    </row>
    <row r="768" ht="15" customHeight="1">
      <c r="A768" t="inlineStr">
        <is>
          <t>A 53949-2021</t>
        </is>
      </c>
      <c r="B768" s="1" t="n">
        <v>44470</v>
      </c>
      <c r="C768" s="1" t="n">
        <v>45754</v>
      </c>
      <c r="D768" t="inlineStr">
        <is>
          <t>JÄMTLANDS LÄN</t>
        </is>
      </c>
      <c r="E768" t="inlineStr">
        <is>
          <t>BRÄCKE</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54035-2021</t>
        </is>
      </c>
      <c r="B769" s="1" t="n">
        <v>44470</v>
      </c>
      <c r="C769" s="1" t="n">
        <v>45754</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54571-2021</t>
        </is>
      </c>
      <c r="B770" s="1" t="n">
        <v>44473</v>
      </c>
      <c r="C770" s="1" t="n">
        <v>45754</v>
      </c>
      <c r="D770" t="inlineStr">
        <is>
          <t>JÄMTLANDS LÄN</t>
        </is>
      </c>
      <c r="E770" t="inlineStr">
        <is>
          <t>BRÄCKE</t>
        </is>
      </c>
      <c r="G770" t="n">
        <v>3</v>
      </c>
      <c r="H770" t="n">
        <v>0</v>
      </c>
      <c r="I770" t="n">
        <v>0</v>
      </c>
      <c r="J770" t="n">
        <v>0</v>
      </c>
      <c r="K770" t="n">
        <v>0</v>
      </c>
      <c r="L770" t="n">
        <v>0</v>
      </c>
      <c r="M770" t="n">
        <v>0</v>
      </c>
      <c r="N770" t="n">
        <v>0</v>
      </c>
      <c r="O770" t="n">
        <v>0</v>
      </c>
      <c r="P770" t="n">
        <v>0</v>
      </c>
      <c r="Q770" t="n">
        <v>0</v>
      </c>
      <c r="R770" s="2" t="inlineStr"/>
    </row>
    <row r="771" ht="15" customHeight="1">
      <c r="A771" t="inlineStr">
        <is>
          <t>A 54809-2021</t>
        </is>
      </c>
      <c r="B771" s="1" t="n">
        <v>44474</v>
      </c>
      <c r="C771" s="1" t="n">
        <v>45754</v>
      </c>
      <c r="D771" t="inlineStr">
        <is>
          <t>JÄMTLANDS LÄN</t>
        </is>
      </c>
      <c r="E771" t="inlineStr">
        <is>
          <t>BRÄCKE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56221-2021</t>
        </is>
      </c>
      <c r="B772" s="1" t="n">
        <v>44477</v>
      </c>
      <c r="C772" s="1" t="n">
        <v>45754</v>
      </c>
      <c r="D772" t="inlineStr">
        <is>
          <t>JÄMTLANDS LÄN</t>
        </is>
      </c>
      <c r="E772" t="inlineStr">
        <is>
          <t>BRÄCKE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56114-2021</t>
        </is>
      </c>
      <c r="B773" s="1" t="n">
        <v>44477</v>
      </c>
      <c r="C773" s="1" t="n">
        <v>45754</v>
      </c>
      <c r="D773" t="inlineStr">
        <is>
          <t>JÄMTLANDS LÄN</t>
        </is>
      </c>
      <c r="E773" t="inlineStr">
        <is>
          <t>BRÄCKE</t>
        </is>
      </c>
      <c r="G773" t="n">
        <v>12.7</v>
      </c>
      <c r="H773" t="n">
        <v>0</v>
      </c>
      <c r="I773" t="n">
        <v>0</v>
      </c>
      <c r="J773" t="n">
        <v>0</v>
      </c>
      <c r="K773" t="n">
        <v>0</v>
      </c>
      <c r="L773" t="n">
        <v>0</v>
      </c>
      <c r="M773" t="n">
        <v>0</v>
      </c>
      <c r="N773" t="n">
        <v>0</v>
      </c>
      <c r="O773" t="n">
        <v>0</v>
      </c>
      <c r="P773" t="n">
        <v>0</v>
      </c>
      <c r="Q773" t="n">
        <v>0</v>
      </c>
      <c r="R773" s="2" t="inlineStr"/>
    </row>
    <row r="774" ht="15" customHeight="1">
      <c r="A774" t="inlineStr">
        <is>
          <t>A 56639-2021</t>
        </is>
      </c>
      <c r="B774" s="1" t="n">
        <v>44480</v>
      </c>
      <c r="C774" s="1" t="n">
        <v>45754</v>
      </c>
      <c r="D774" t="inlineStr">
        <is>
          <t>JÄMTLANDS LÄN</t>
        </is>
      </c>
      <c r="E774" t="inlineStr">
        <is>
          <t>BRÄCKE</t>
        </is>
      </c>
      <c r="G774" t="n">
        <v>1.3</v>
      </c>
      <c r="H774" t="n">
        <v>0</v>
      </c>
      <c r="I774" t="n">
        <v>0</v>
      </c>
      <c r="J774" t="n">
        <v>0</v>
      </c>
      <c r="K774" t="n">
        <v>0</v>
      </c>
      <c r="L774" t="n">
        <v>0</v>
      </c>
      <c r="M774" t="n">
        <v>0</v>
      </c>
      <c r="N774" t="n">
        <v>0</v>
      </c>
      <c r="O774" t="n">
        <v>0</v>
      </c>
      <c r="P774" t="n">
        <v>0</v>
      </c>
      <c r="Q774" t="n">
        <v>0</v>
      </c>
      <c r="R774" s="2" t="inlineStr"/>
    </row>
    <row r="775" ht="15" customHeight="1">
      <c r="A775" t="inlineStr">
        <is>
          <t>A 56648-2021</t>
        </is>
      </c>
      <c r="B775" s="1" t="n">
        <v>44481</v>
      </c>
      <c r="C775" s="1" t="n">
        <v>45754</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56649-2021</t>
        </is>
      </c>
      <c r="B776" s="1" t="n">
        <v>44480</v>
      </c>
      <c r="C776" s="1" t="n">
        <v>45754</v>
      </c>
      <c r="D776" t="inlineStr">
        <is>
          <t>JÄMTLANDS LÄN</t>
        </is>
      </c>
      <c r="E776" t="inlineStr">
        <is>
          <t>BRÄCKE</t>
        </is>
      </c>
      <c r="G776" t="n">
        <v>6</v>
      </c>
      <c r="H776" t="n">
        <v>0</v>
      </c>
      <c r="I776" t="n">
        <v>0</v>
      </c>
      <c r="J776" t="n">
        <v>0</v>
      </c>
      <c r="K776" t="n">
        <v>0</v>
      </c>
      <c r="L776" t="n">
        <v>0</v>
      </c>
      <c r="M776" t="n">
        <v>0</v>
      </c>
      <c r="N776" t="n">
        <v>0</v>
      </c>
      <c r="O776" t="n">
        <v>0</v>
      </c>
      <c r="P776" t="n">
        <v>0</v>
      </c>
      <c r="Q776" t="n">
        <v>0</v>
      </c>
      <c r="R776" s="2" t="inlineStr"/>
    </row>
    <row r="777" ht="15" customHeight="1">
      <c r="A777" t="inlineStr">
        <is>
          <t>A 56640-2021</t>
        </is>
      </c>
      <c r="B777" s="1" t="n">
        <v>44480</v>
      </c>
      <c r="C777" s="1" t="n">
        <v>45754</v>
      </c>
      <c r="D777" t="inlineStr">
        <is>
          <t>JÄMTLANDS LÄN</t>
        </is>
      </c>
      <c r="E777" t="inlineStr">
        <is>
          <t>BRÄCKE</t>
        </is>
      </c>
      <c r="G777" t="n">
        <v>2.7</v>
      </c>
      <c r="H777" t="n">
        <v>0</v>
      </c>
      <c r="I777" t="n">
        <v>0</v>
      </c>
      <c r="J777" t="n">
        <v>0</v>
      </c>
      <c r="K777" t="n">
        <v>0</v>
      </c>
      <c r="L777" t="n">
        <v>0</v>
      </c>
      <c r="M777" t="n">
        <v>0</v>
      </c>
      <c r="N777" t="n">
        <v>0</v>
      </c>
      <c r="O777" t="n">
        <v>0</v>
      </c>
      <c r="P777" t="n">
        <v>0</v>
      </c>
      <c r="Q777" t="n">
        <v>0</v>
      </c>
      <c r="R777" s="2" t="inlineStr"/>
    </row>
    <row r="778" ht="15" customHeight="1">
      <c r="A778" t="inlineStr">
        <is>
          <t>A 56895-2021</t>
        </is>
      </c>
      <c r="B778" s="1" t="n">
        <v>44482</v>
      </c>
      <c r="C778" s="1" t="n">
        <v>45754</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56896-2021</t>
        </is>
      </c>
      <c r="B779" s="1" t="n">
        <v>44482</v>
      </c>
      <c r="C779" s="1" t="n">
        <v>45754</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58039-2021</t>
        </is>
      </c>
      <c r="B780" s="1" t="n">
        <v>44487</v>
      </c>
      <c r="C780" s="1" t="n">
        <v>45754</v>
      </c>
      <c r="D780" t="inlineStr">
        <is>
          <t>JÄMTLANDS LÄN</t>
        </is>
      </c>
      <c r="E780" t="inlineStr">
        <is>
          <t>BRÄCKE</t>
        </is>
      </c>
      <c r="G780" t="n">
        <v>7.4</v>
      </c>
      <c r="H780" t="n">
        <v>0</v>
      </c>
      <c r="I780" t="n">
        <v>0</v>
      </c>
      <c r="J780" t="n">
        <v>0</v>
      </c>
      <c r="K780" t="n">
        <v>0</v>
      </c>
      <c r="L780" t="n">
        <v>0</v>
      </c>
      <c r="M780" t="n">
        <v>0</v>
      </c>
      <c r="N780" t="n">
        <v>0</v>
      </c>
      <c r="O780" t="n">
        <v>0</v>
      </c>
      <c r="P780" t="n">
        <v>0</v>
      </c>
      <c r="Q780" t="n">
        <v>0</v>
      </c>
      <c r="R780" s="2" t="inlineStr"/>
    </row>
    <row r="781" ht="15" customHeight="1">
      <c r="A781" t="inlineStr">
        <is>
          <t>A 58269-2021</t>
        </is>
      </c>
      <c r="B781" s="1" t="n">
        <v>44487</v>
      </c>
      <c r="C781" s="1" t="n">
        <v>45754</v>
      </c>
      <c r="D781" t="inlineStr">
        <is>
          <t>JÄMTLANDS LÄN</t>
        </is>
      </c>
      <c r="E781" t="inlineStr">
        <is>
          <t>BRÄCKE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58272-2021</t>
        </is>
      </c>
      <c r="B782" s="1" t="n">
        <v>44487</v>
      </c>
      <c r="C782" s="1" t="n">
        <v>45754</v>
      </c>
      <c r="D782" t="inlineStr">
        <is>
          <t>JÄMTLANDS LÄN</t>
        </is>
      </c>
      <c r="E782" t="inlineStr">
        <is>
          <t>BRÄCKE</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58311-2021</t>
        </is>
      </c>
      <c r="B783" s="1" t="n">
        <v>44487</v>
      </c>
      <c r="C783" s="1" t="n">
        <v>45754</v>
      </c>
      <c r="D783" t="inlineStr">
        <is>
          <t>JÄMTLANDS LÄN</t>
        </is>
      </c>
      <c r="E783" t="inlineStr">
        <is>
          <t>BRÄCKE</t>
        </is>
      </c>
      <c r="G783" t="n">
        <v>9.1</v>
      </c>
      <c r="H783" t="n">
        <v>0</v>
      </c>
      <c r="I783" t="n">
        <v>0</v>
      </c>
      <c r="J783" t="n">
        <v>0</v>
      </c>
      <c r="K783" t="n">
        <v>0</v>
      </c>
      <c r="L783" t="n">
        <v>0</v>
      </c>
      <c r="M783" t="n">
        <v>0</v>
      </c>
      <c r="N783" t="n">
        <v>0</v>
      </c>
      <c r="O783" t="n">
        <v>0</v>
      </c>
      <c r="P783" t="n">
        <v>0</v>
      </c>
      <c r="Q783" t="n">
        <v>0</v>
      </c>
      <c r="R783" s="2" t="inlineStr"/>
    </row>
    <row r="784" ht="15" customHeight="1">
      <c r="A784" t="inlineStr">
        <is>
          <t>A 58584-2021</t>
        </is>
      </c>
      <c r="B784" s="1" t="n">
        <v>44488</v>
      </c>
      <c r="C784" s="1" t="n">
        <v>45754</v>
      </c>
      <c r="D784" t="inlineStr">
        <is>
          <t>JÄMTLANDS LÄN</t>
        </is>
      </c>
      <c r="E784" t="inlineStr">
        <is>
          <t>BRÄCKE</t>
        </is>
      </c>
      <c r="G784" t="n">
        <v>32</v>
      </c>
      <c r="H784" t="n">
        <v>0</v>
      </c>
      <c r="I784" t="n">
        <v>0</v>
      </c>
      <c r="J784" t="n">
        <v>0</v>
      </c>
      <c r="K784" t="n">
        <v>0</v>
      </c>
      <c r="L784" t="n">
        <v>0</v>
      </c>
      <c r="M784" t="n">
        <v>0</v>
      </c>
      <c r="N784" t="n">
        <v>0</v>
      </c>
      <c r="O784" t="n">
        <v>0</v>
      </c>
      <c r="P784" t="n">
        <v>0</v>
      </c>
      <c r="Q784" t="n">
        <v>0</v>
      </c>
      <c r="R784" s="2" t="inlineStr"/>
    </row>
    <row r="785" ht="15" customHeight="1">
      <c r="A785" t="inlineStr">
        <is>
          <t>A 59315-2021</t>
        </is>
      </c>
      <c r="B785" s="1" t="n">
        <v>44491</v>
      </c>
      <c r="C785" s="1" t="n">
        <v>45754</v>
      </c>
      <c r="D785" t="inlineStr">
        <is>
          <t>JÄMTLANDS LÄN</t>
        </is>
      </c>
      <c r="E785" t="inlineStr">
        <is>
          <t>BRÄCKE</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59322-2021</t>
        </is>
      </c>
      <c r="B786" s="1" t="n">
        <v>44491</v>
      </c>
      <c r="C786" s="1" t="n">
        <v>45754</v>
      </c>
      <c r="D786" t="inlineStr">
        <is>
          <t>JÄMTLANDS LÄN</t>
        </is>
      </c>
      <c r="E786" t="inlineStr">
        <is>
          <t>BRÄCKE</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59316-2021</t>
        </is>
      </c>
      <c r="B787" s="1" t="n">
        <v>44491</v>
      </c>
      <c r="C787" s="1" t="n">
        <v>45754</v>
      </c>
      <c r="D787" t="inlineStr">
        <is>
          <t>JÄMTLANDS LÄN</t>
        </is>
      </c>
      <c r="E787" t="inlineStr">
        <is>
          <t>BRÄCKE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60015-2021</t>
        </is>
      </c>
      <c r="B788" s="1" t="n">
        <v>44495</v>
      </c>
      <c r="C788" s="1" t="n">
        <v>45754</v>
      </c>
      <c r="D788" t="inlineStr">
        <is>
          <t>JÄMTLANDS LÄN</t>
        </is>
      </c>
      <c r="E788" t="inlineStr">
        <is>
          <t>BRÄCKE</t>
        </is>
      </c>
      <c r="G788" t="n">
        <v>18.7</v>
      </c>
      <c r="H788" t="n">
        <v>0</v>
      </c>
      <c r="I788" t="n">
        <v>0</v>
      </c>
      <c r="J788" t="n">
        <v>0</v>
      </c>
      <c r="K788" t="n">
        <v>0</v>
      </c>
      <c r="L788" t="n">
        <v>0</v>
      </c>
      <c r="M788" t="n">
        <v>0</v>
      </c>
      <c r="N788" t="n">
        <v>0</v>
      </c>
      <c r="O788" t="n">
        <v>0</v>
      </c>
      <c r="P788" t="n">
        <v>0</v>
      </c>
      <c r="Q788" t="n">
        <v>0</v>
      </c>
      <c r="R788" s="2" t="inlineStr"/>
    </row>
    <row r="789" ht="15" customHeight="1">
      <c r="A789" t="inlineStr">
        <is>
          <t>A 60325-2021</t>
        </is>
      </c>
      <c r="B789" s="1" t="n">
        <v>44496</v>
      </c>
      <c r="C789" s="1" t="n">
        <v>45754</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61415-2021</t>
        </is>
      </c>
      <c r="B790" s="1" t="n">
        <v>44500</v>
      </c>
      <c r="C790" s="1" t="n">
        <v>45754</v>
      </c>
      <c r="D790" t="inlineStr">
        <is>
          <t>JÄMTLANDS LÄN</t>
        </is>
      </c>
      <c r="E790" t="inlineStr">
        <is>
          <t>BRÄCKE</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62270-2021</t>
        </is>
      </c>
      <c r="B791" s="1" t="n">
        <v>44503</v>
      </c>
      <c r="C791" s="1" t="n">
        <v>45754</v>
      </c>
      <c r="D791" t="inlineStr">
        <is>
          <t>JÄMTLANDS LÄN</t>
        </is>
      </c>
      <c r="E791" t="inlineStr">
        <is>
          <t>BRÄCKE</t>
        </is>
      </c>
      <c r="G791" t="n">
        <v>6.6</v>
      </c>
      <c r="H791" t="n">
        <v>0</v>
      </c>
      <c r="I791" t="n">
        <v>0</v>
      </c>
      <c r="J791" t="n">
        <v>0</v>
      </c>
      <c r="K791" t="n">
        <v>0</v>
      </c>
      <c r="L791" t="n">
        <v>0</v>
      </c>
      <c r="M791" t="n">
        <v>0</v>
      </c>
      <c r="N791" t="n">
        <v>0</v>
      </c>
      <c r="O791" t="n">
        <v>0</v>
      </c>
      <c r="P791" t="n">
        <v>0</v>
      </c>
      <c r="Q791" t="n">
        <v>0</v>
      </c>
      <c r="R791" s="2" t="inlineStr"/>
    </row>
    <row r="792" ht="15" customHeight="1">
      <c r="A792" t="inlineStr">
        <is>
          <t>A 62249-2021</t>
        </is>
      </c>
      <c r="B792" s="1" t="n">
        <v>44503</v>
      </c>
      <c r="C792" s="1" t="n">
        <v>45754</v>
      </c>
      <c r="D792" t="inlineStr">
        <is>
          <t>JÄMTLANDS LÄN</t>
        </is>
      </c>
      <c r="E792" t="inlineStr">
        <is>
          <t>BRÄCKE</t>
        </is>
      </c>
      <c r="G792" t="n">
        <v>2.9</v>
      </c>
      <c r="H792" t="n">
        <v>0</v>
      </c>
      <c r="I792" t="n">
        <v>0</v>
      </c>
      <c r="J792" t="n">
        <v>0</v>
      </c>
      <c r="K792" t="n">
        <v>0</v>
      </c>
      <c r="L792" t="n">
        <v>0</v>
      </c>
      <c r="M792" t="n">
        <v>0</v>
      </c>
      <c r="N792" t="n">
        <v>0</v>
      </c>
      <c r="O792" t="n">
        <v>0</v>
      </c>
      <c r="P792" t="n">
        <v>0</v>
      </c>
      <c r="Q792" t="n">
        <v>0</v>
      </c>
      <c r="R792" s="2" t="inlineStr"/>
    </row>
    <row r="793" ht="15" customHeight="1">
      <c r="A793" t="inlineStr">
        <is>
          <t>A 62675-2021</t>
        </is>
      </c>
      <c r="B793" s="1" t="n">
        <v>44503</v>
      </c>
      <c r="C793" s="1" t="n">
        <v>45754</v>
      </c>
      <c r="D793" t="inlineStr">
        <is>
          <t>JÄMTLANDS LÄN</t>
        </is>
      </c>
      <c r="E793" t="inlineStr">
        <is>
          <t>BRÄCKE</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62664-2021</t>
        </is>
      </c>
      <c r="B794" s="1" t="n">
        <v>44503</v>
      </c>
      <c r="C794" s="1" t="n">
        <v>45754</v>
      </c>
      <c r="D794" t="inlineStr">
        <is>
          <t>JÄMTLANDS LÄN</t>
        </is>
      </c>
      <c r="E794" t="inlineStr">
        <is>
          <t>BRÄCKE</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62674-2021</t>
        </is>
      </c>
      <c r="B795" s="1" t="n">
        <v>44503</v>
      </c>
      <c r="C795" s="1" t="n">
        <v>45754</v>
      </c>
      <c r="D795" t="inlineStr">
        <is>
          <t>JÄMTLANDS LÄN</t>
        </is>
      </c>
      <c r="E795" t="inlineStr">
        <is>
          <t>BRÄCKE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62953-2021</t>
        </is>
      </c>
      <c r="B796" s="1" t="n">
        <v>44504</v>
      </c>
      <c r="C796" s="1" t="n">
        <v>45754</v>
      </c>
      <c r="D796" t="inlineStr">
        <is>
          <t>JÄMTLANDS LÄN</t>
        </is>
      </c>
      <c r="E796" t="inlineStr">
        <is>
          <t>BRÄCKE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62954-2021</t>
        </is>
      </c>
      <c r="B797" s="1" t="n">
        <v>44504</v>
      </c>
      <c r="C797" s="1" t="n">
        <v>45754</v>
      </c>
      <c r="D797" t="inlineStr">
        <is>
          <t>JÄMTLANDS LÄN</t>
        </is>
      </c>
      <c r="E797" t="inlineStr">
        <is>
          <t>BRÄCKE</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63346-2021</t>
        </is>
      </c>
      <c r="B798" s="1" t="n">
        <v>44508</v>
      </c>
      <c r="C798" s="1" t="n">
        <v>45754</v>
      </c>
      <c r="D798" t="inlineStr">
        <is>
          <t>JÄMTLANDS LÄN</t>
        </is>
      </c>
      <c r="E798" t="inlineStr">
        <is>
          <t>BRÄCKE</t>
        </is>
      </c>
      <c r="G798" t="n">
        <v>0.9</v>
      </c>
      <c r="H798" t="n">
        <v>0</v>
      </c>
      <c r="I798" t="n">
        <v>0</v>
      </c>
      <c r="J798" t="n">
        <v>0</v>
      </c>
      <c r="K798" t="n">
        <v>0</v>
      </c>
      <c r="L798" t="n">
        <v>0</v>
      </c>
      <c r="M798" t="n">
        <v>0</v>
      </c>
      <c r="N798" t="n">
        <v>0</v>
      </c>
      <c r="O798" t="n">
        <v>0</v>
      </c>
      <c r="P798" t="n">
        <v>0</v>
      </c>
      <c r="Q798" t="n">
        <v>0</v>
      </c>
      <c r="R798" s="2" t="inlineStr"/>
    </row>
    <row r="799" ht="15" customHeight="1">
      <c r="A799" t="inlineStr">
        <is>
          <t>A 63600-2021</t>
        </is>
      </c>
      <c r="B799" s="1" t="n">
        <v>44508</v>
      </c>
      <c r="C799" s="1" t="n">
        <v>45754</v>
      </c>
      <c r="D799" t="inlineStr">
        <is>
          <t>JÄMTLANDS LÄN</t>
        </is>
      </c>
      <c r="E799" t="inlineStr">
        <is>
          <t>BRÄCKE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63579-2021</t>
        </is>
      </c>
      <c r="B800" s="1" t="n">
        <v>44508</v>
      </c>
      <c r="C800" s="1" t="n">
        <v>45754</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63534-2021</t>
        </is>
      </c>
      <c r="B801" s="1" t="n">
        <v>44508</v>
      </c>
      <c r="C801" s="1" t="n">
        <v>45754</v>
      </c>
      <c r="D801" t="inlineStr">
        <is>
          <t>JÄMTLANDS LÄN</t>
        </is>
      </c>
      <c r="E801" t="inlineStr">
        <is>
          <t>BRÄCKE</t>
        </is>
      </c>
      <c r="G801" t="n">
        <v>6.6</v>
      </c>
      <c r="H801" t="n">
        <v>0</v>
      </c>
      <c r="I801" t="n">
        <v>0</v>
      </c>
      <c r="J801" t="n">
        <v>0</v>
      </c>
      <c r="K801" t="n">
        <v>0</v>
      </c>
      <c r="L801" t="n">
        <v>0</v>
      </c>
      <c r="M801" t="n">
        <v>0</v>
      </c>
      <c r="N801" t="n">
        <v>0</v>
      </c>
      <c r="O801" t="n">
        <v>0</v>
      </c>
      <c r="P801" t="n">
        <v>0</v>
      </c>
      <c r="Q801" t="n">
        <v>0</v>
      </c>
      <c r="R801" s="2" t="inlineStr"/>
    </row>
    <row r="802" ht="15" customHeight="1">
      <c r="A802" t="inlineStr">
        <is>
          <t>A 63590-2021</t>
        </is>
      </c>
      <c r="B802" s="1" t="n">
        <v>44508</v>
      </c>
      <c r="C802" s="1" t="n">
        <v>45754</v>
      </c>
      <c r="D802" t="inlineStr">
        <is>
          <t>JÄMTLANDS LÄN</t>
        </is>
      </c>
      <c r="E802" t="inlineStr">
        <is>
          <t>BRÄCKE</t>
        </is>
      </c>
      <c r="G802" t="n">
        <v>9.1</v>
      </c>
      <c r="H802" t="n">
        <v>0</v>
      </c>
      <c r="I802" t="n">
        <v>0</v>
      </c>
      <c r="J802" t="n">
        <v>0</v>
      </c>
      <c r="K802" t="n">
        <v>0</v>
      </c>
      <c r="L802" t="n">
        <v>0</v>
      </c>
      <c r="M802" t="n">
        <v>0</v>
      </c>
      <c r="N802" t="n">
        <v>0</v>
      </c>
      <c r="O802" t="n">
        <v>0</v>
      </c>
      <c r="P802" t="n">
        <v>0</v>
      </c>
      <c r="Q802" t="n">
        <v>0</v>
      </c>
      <c r="R802" s="2" t="inlineStr"/>
    </row>
    <row r="803" ht="15" customHeight="1">
      <c r="A803" t="inlineStr">
        <is>
          <t>A 63995-2021</t>
        </is>
      </c>
      <c r="B803" s="1" t="n">
        <v>44509</v>
      </c>
      <c r="C803" s="1" t="n">
        <v>45754</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64002-2021</t>
        </is>
      </c>
      <c r="B804" s="1" t="n">
        <v>44510</v>
      </c>
      <c r="C804" s="1" t="n">
        <v>45754</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64721-2021</t>
        </is>
      </c>
      <c r="B805" s="1" t="n">
        <v>44512</v>
      </c>
      <c r="C805" s="1" t="n">
        <v>45754</v>
      </c>
      <c r="D805" t="inlineStr">
        <is>
          <t>JÄMTLANDS LÄN</t>
        </is>
      </c>
      <c r="E805" t="inlineStr">
        <is>
          <t>BRÄCKE</t>
        </is>
      </c>
      <c r="G805" t="n">
        <v>8</v>
      </c>
      <c r="H805" t="n">
        <v>0</v>
      </c>
      <c r="I805" t="n">
        <v>0</v>
      </c>
      <c r="J805" t="n">
        <v>0</v>
      </c>
      <c r="K805" t="n">
        <v>0</v>
      </c>
      <c r="L805" t="n">
        <v>0</v>
      </c>
      <c r="M805" t="n">
        <v>0</v>
      </c>
      <c r="N805" t="n">
        <v>0</v>
      </c>
      <c r="O805" t="n">
        <v>0</v>
      </c>
      <c r="P805" t="n">
        <v>0</v>
      </c>
      <c r="Q805" t="n">
        <v>0</v>
      </c>
      <c r="R805" s="2" t="inlineStr"/>
    </row>
    <row r="806" ht="15" customHeight="1">
      <c r="A806" t="inlineStr">
        <is>
          <t>A 65433-2021</t>
        </is>
      </c>
      <c r="B806" s="1" t="n">
        <v>44515</v>
      </c>
      <c r="C806" s="1" t="n">
        <v>45754</v>
      </c>
      <c r="D806" t="inlineStr">
        <is>
          <t>JÄMTLANDS LÄN</t>
        </is>
      </c>
      <c r="E806" t="inlineStr">
        <is>
          <t>BRÄCKE</t>
        </is>
      </c>
      <c r="G806" t="n">
        <v>2.2</v>
      </c>
      <c r="H806" t="n">
        <v>0</v>
      </c>
      <c r="I806" t="n">
        <v>0</v>
      </c>
      <c r="J806" t="n">
        <v>0</v>
      </c>
      <c r="K806" t="n">
        <v>0</v>
      </c>
      <c r="L806" t="n">
        <v>0</v>
      </c>
      <c r="M806" t="n">
        <v>0</v>
      </c>
      <c r="N806" t="n">
        <v>0</v>
      </c>
      <c r="O806" t="n">
        <v>0</v>
      </c>
      <c r="P806" t="n">
        <v>0</v>
      </c>
      <c r="Q806" t="n">
        <v>0</v>
      </c>
      <c r="R806" s="2" t="inlineStr"/>
    </row>
    <row r="807" ht="15" customHeight="1">
      <c r="A807" t="inlineStr">
        <is>
          <t>A 66177-2021</t>
        </is>
      </c>
      <c r="B807" s="1" t="n">
        <v>44517</v>
      </c>
      <c r="C807" s="1" t="n">
        <v>45754</v>
      </c>
      <c r="D807" t="inlineStr">
        <is>
          <t>JÄMTLANDS LÄN</t>
        </is>
      </c>
      <c r="E807" t="inlineStr">
        <is>
          <t>BRÄCKE</t>
        </is>
      </c>
      <c r="G807" t="n">
        <v>24.8</v>
      </c>
      <c r="H807" t="n">
        <v>0</v>
      </c>
      <c r="I807" t="n">
        <v>0</v>
      </c>
      <c r="J807" t="n">
        <v>0</v>
      </c>
      <c r="K807" t="n">
        <v>0</v>
      </c>
      <c r="L807" t="n">
        <v>0</v>
      </c>
      <c r="M807" t="n">
        <v>0</v>
      </c>
      <c r="N807" t="n">
        <v>0</v>
      </c>
      <c r="O807" t="n">
        <v>0</v>
      </c>
      <c r="P807" t="n">
        <v>0</v>
      </c>
      <c r="Q807" t="n">
        <v>0</v>
      </c>
      <c r="R807" s="2" t="inlineStr"/>
    </row>
    <row r="808" ht="15" customHeight="1">
      <c r="A808" t="inlineStr">
        <is>
          <t>A 66285-2021</t>
        </is>
      </c>
      <c r="B808" s="1" t="n">
        <v>44518</v>
      </c>
      <c r="C808" s="1" t="n">
        <v>45754</v>
      </c>
      <c r="D808" t="inlineStr">
        <is>
          <t>JÄMTLANDS LÄN</t>
        </is>
      </c>
      <c r="E808" t="inlineStr">
        <is>
          <t>BRÄCKE</t>
        </is>
      </c>
      <c r="G808" t="n">
        <v>11.9</v>
      </c>
      <c r="H808" t="n">
        <v>0</v>
      </c>
      <c r="I808" t="n">
        <v>0</v>
      </c>
      <c r="J808" t="n">
        <v>0</v>
      </c>
      <c r="K808" t="n">
        <v>0</v>
      </c>
      <c r="L808" t="n">
        <v>0</v>
      </c>
      <c r="M808" t="n">
        <v>0</v>
      </c>
      <c r="N808" t="n">
        <v>0</v>
      </c>
      <c r="O808" t="n">
        <v>0</v>
      </c>
      <c r="P808" t="n">
        <v>0</v>
      </c>
      <c r="Q808" t="n">
        <v>0</v>
      </c>
      <c r="R808" s="2" t="inlineStr"/>
    </row>
    <row r="809" ht="15" customHeight="1">
      <c r="A809" t="inlineStr">
        <is>
          <t>A 67343-2021</t>
        </is>
      </c>
      <c r="B809" s="1" t="n">
        <v>44523</v>
      </c>
      <c r="C809" s="1" t="n">
        <v>45754</v>
      </c>
      <c r="D809" t="inlineStr">
        <is>
          <t>JÄMTLANDS LÄN</t>
        </is>
      </c>
      <c r="E809" t="inlineStr">
        <is>
          <t>BRÄCKE</t>
        </is>
      </c>
      <c r="G809" t="n">
        <v>4.4</v>
      </c>
      <c r="H809" t="n">
        <v>0</v>
      </c>
      <c r="I809" t="n">
        <v>0</v>
      </c>
      <c r="J809" t="n">
        <v>0</v>
      </c>
      <c r="K809" t="n">
        <v>0</v>
      </c>
      <c r="L809" t="n">
        <v>0</v>
      </c>
      <c r="M809" t="n">
        <v>0</v>
      </c>
      <c r="N809" t="n">
        <v>0</v>
      </c>
      <c r="O809" t="n">
        <v>0</v>
      </c>
      <c r="P809" t="n">
        <v>0</v>
      </c>
      <c r="Q809" t="n">
        <v>0</v>
      </c>
      <c r="R809" s="2" t="inlineStr"/>
    </row>
    <row r="810" ht="15" customHeight="1">
      <c r="A810" t="inlineStr">
        <is>
          <t>A 67687-2021</t>
        </is>
      </c>
      <c r="B810" s="1" t="n">
        <v>44524</v>
      </c>
      <c r="C810" s="1" t="n">
        <v>45754</v>
      </c>
      <c r="D810" t="inlineStr">
        <is>
          <t>JÄMTLANDS LÄN</t>
        </is>
      </c>
      <c r="E810" t="inlineStr">
        <is>
          <t>BRÄCKE</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68319-2021</t>
        </is>
      </c>
      <c r="B811" s="1" t="n">
        <v>44526</v>
      </c>
      <c r="C811" s="1" t="n">
        <v>45754</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68901-2021</t>
        </is>
      </c>
      <c r="B812" s="1" t="n">
        <v>44526</v>
      </c>
      <c r="C812" s="1" t="n">
        <v>45754</v>
      </c>
      <c r="D812" t="inlineStr">
        <is>
          <t>JÄMTLANDS LÄN</t>
        </is>
      </c>
      <c r="E812" t="inlineStr">
        <is>
          <t>BRÄCKE</t>
        </is>
      </c>
      <c r="G812" t="n">
        <v>1.4</v>
      </c>
      <c r="H812" t="n">
        <v>0</v>
      </c>
      <c r="I812" t="n">
        <v>0</v>
      </c>
      <c r="J812" t="n">
        <v>0</v>
      </c>
      <c r="K812" t="n">
        <v>0</v>
      </c>
      <c r="L812" t="n">
        <v>0</v>
      </c>
      <c r="M812" t="n">
        <v>0</v>
      </c>
      <c r="N812" t="n">
        <v>0</v>
      </c>
      <c r="O812" t="n">
        <v>0</v>
      </c>
      <c r="P812" t="n">
        <v>0</v>
      </c>
      <c r="Q812" t="n">
        <v>0</v>
      </c>
      <c r="R812" s="2" t="inlineStr"/>
    </row>
    <row r="813" ht="15" customHeight="1">
      <c r="A813" t="inlineStr">
        <is>
          <t>A 68769-2021</t>
        </is>
      </c>
      <c r="B813" s="1" t="n">
        <v>44529</v>
      </c>
      <c r="C813" s="1" t="n">
        <v>45754</v>
      </c>
      <c r="D813" t="inlineStr">
        <is>
          <t>JÄMTLANDS LÄN</t>
        </is>
      </c>
      <c r="E813" t="inlineStr">
        <is>
          <t>BRÄCKE</t>
        </is>
      </c>
      <c r="G813" t="n">
        <v>2.3</v>
      </c>
      <c r="H813" t="n">
        <v>0</v>
      </c>
      <c r="I813" t="n">
        <v>0</v>
      </c>
      <c r="J813" t="n">
        <v>0</v>
      </c>
      <c r="K813" t="n">
        <v>0</v>
      </c>
      <c r="L813" t="n">
        <v>0</v>
      </c>
      <c r="M813" t="n">
        <v>0</v>
      </c>
      <c r="N813" t="n">
        <v>0</v>
      </c>
      <c r="O813" t="n">
        <v>0</v>
      </c>
      <c r="P813" t="n">
        <v>0</v>
      </c>
      <c r="Q813" t="n">
        <v>0</v>
      </c>
      <c r="R813" s="2" t="inlineStr"/>
    </row>
    <row r="814" ht="15" customHeight="1">
      <c r="A814" t="inlineStr">
        <is>
          <t>A 68763-2021</t>
        </is>
      </c>
      <c r="B814" s="1" t="n">
        <v>44529</v>
      </c>
      <c r="C814" s="1" t="n">
        <v>45754</v>
      </c>
      <c r="D814" t="inlineStr">
        <is>
          <t>JÄMTLANDS LÄN</t>
        </is>
      </c>
      <c r="E814" t="inlineStr">
        <is>
          <t>BRÄCKE</t>
        </is>
      </c>
      <c r="G814" t="n">
        <v>1.7</v>
      </c>
      <c r="H814" t="n">
        <v>0</v>
      </c>
      <c r="I814" t="n">
        <v>0</v>
      </c>
      <c r="J814" t="n">
        <v>0</v>
      </c>
      <c r="K814" t="n">
        <v>0</v>
      </c>
      <c r="L814" t="n">
        <v>0</v>
      </c>
      <c r="M814" t="n">
        <v>0</v>
      </c>
      <c r="N814" t="n">
        <v>0</v>
      </c>
      <c r="O814" t="n">
        <v>0</v>
      </c>
      <c r="P814" t="n">
        <v>0</v>
      </c>
      <c r="Q814" t="n">
        <v>0</v>
      </c>
      <c r="R814" s="2" t="inlineStr"/>
    </row>
    <row r="815" ht="15" customHeight="1">
      <c r="A815" t="inlineStr">
        <is>
          <t>A 68765-2021</t>
        </is>
      </c>
      <c r="B815" s="1" t="n">
        <v>44529</v>
      </c>
      <c r="C815" s="1" t="n">
        <v>45754</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69155-2021</t>
        </is>
      </c>
      <c r="B816" s="1" t="n">
        <v>44530</v>
      </c>
      <c r="C816" s="1" t="n">
        <v>45754</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69550-2021</t>
        </is>
      </c>
      <c r="B817" s="1" t="n">
        <v>44531</v>
      </c>
      <c r="C817" s="1" t="n">
        <v>45754</v>
      </c>
      <c r="D817" t="inlineStr">
        <is>
          <t>JÄMTLANDS LÄN</t>
        </is>
      </c>
      <c r="E817" t="inlineStr">
        <is>
          <t>BRÄCKE</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69549-2021</t>
        </is>
      </c>
      <c r="B818" s="1" t="n">
        <v>44531</v>
      </c>
      <c r="C818" s="1" t="n">
        <v>45754</v>
      </c>
      <c r="D818" t="inlineStr">
        <is>
          <t>JÄMTLANDS LÄN</t>
        </is>
      </c>
      <c r="E818" t="inlineStr">
        <is>
          <t>BRÄCKE</t>
        </is>
      </c>
      <c r="F818" t="inlineStr">
        <is>
          <t>SCA</t>
        </is>
      </c>
      <c r="G818" t="n">
        <v>4.9</v>
      </c>
      <c r="H818" t="n">
        <v>0</v>
      </c>
      <c r="I818" t="n">
        <v>0</v>
      </c>
      <c r="J818" t="n">
        <v>0</v>
      </c>
      <c r="K818" t="n">
        <v>0</v>
      </c>
      <c r="L818" t="n">
        <v>0</v>
      </c>
      <c r="M818" t="n">
        <v>0</v>
      </c>
      <c r="N818" t="n">
        <v>0</v>
      </c>
      <c r="O818" t="n">
        <v>0</v>
      </c>
      <c r="P818" t="n">
        <v>0</v>
      </c>
      <c r="Q818" t="n">
        <v>0</v>
      </c>
      <c r="R818" s="2" t="inlineStr"/>
    </row>
    <row r="819" ht="15" customHeight="1">
      <c r="A819" t="inlineStr">
        <is>
          <t>A 70812-2021</t>
        </is>
      </c>
      <c r="B819" s="1" t="n">
        <v>44537</v>
      </c>
      <c r="C819" s="1" t="n">
        <v>45754</v>
      </c>
      <c r="D819" t="inlineStr">
        <is>
          <t>JÄMTLANDS LÄN</t>
        </is>
      </c>
      <c r="E819" t="inlineStr">
        <is>
          <t>BRÄCKE</t>
        </is>
      </c>
      <c r="G819" t="n">
        <v>3.4</v>
      </c>
      <c r="H819" t="n">
        <v>0</v>
      </c>
      <c r="I819" t="n">
        <v>0</v>
      </c>
      <c r="J819" t="n">
        <v>0</v>
      </c>
      <c r="K819" t="n">
        <v>0</v>
      </c>
      <c r="L819" t="n">
        <v>0</v>
      </c>
      <c r="M819" t="n">
        <v>0</v>
      </c>
      <c r="N819" t="n">
        <v>0</v>
      </c>
      <c r="O819" t="n">
        <v>0</v>
      </c>
      <c r="P819" t="n">
        <v>0</v>
      </c>
      <c r="Q819" t="n">
        <v>0</v>
      </c>
      <c r="R819" s="2" t="inlineStr"/>
    </row>
    <row r="820" ht="15" customHeight="1">
      <c r="A820" t="inlineStr">
        <is>
          <t>A 70807-2021</t>
        </is>
      </c>
      <c r="B820" s="1" t="n">
        <v>44537</v>
      </c>
      <c r="C820" s="1" t="n">
        <v>45754</v>
      </c>
      <c r="D820" t="inlineStr">
        <is>
          <t>JÄMTLANDS LÄN</t>
        </is>
      </c>
      <c r="E820" t="inlineStr">
        <is>
          <t>BRÄCKE</t>
        </is>
      </c>
      <c r="G820" t="n">
        <v>0.9</v>
      </c>
      <c r="H820" t="n">
        <v>0</v>
      </c>
      <c r="I820" t="n">
        <v>0</v>
      </c>
      <c r="J820" t="n">
        <v>0</v>
      </c>
      <c r="K820" t="n">
        <v>0</v>
      </c>
      <c r="L820" t="n">
        <v>0</v>
      </c>
      <c r="M820" t="n">
        <v>0</v>
      </c>
      <c r="N820" t="n">
        <v>0</v>
      </c>
      <c r="O820" t="n">
        <v>0</v>
      </c>
      <c r="P820" t="n">
        <v>0</v>
      </c>
      <c r="Q820" t="n">
        <v>0</v>
      </c>
      <c r="R820" s="2" t="inlineStr"/>
    </row>
    <row r="821" ht="15" customHeight="1">
      <c r="A821" t="inlineStr">
        <is>
          <t>A 70813-2021</t>
        </is>
      </c>
      <c r="B821" s="1" t="n">
        <v>44537</v>
      </c>
      <c r="C821" s="1" t="n">
        <v>45754</v>
      </c>
      <c r="D821" t="inlineStr">
        <is>
          <t>JÄMTLANDS LÄN</t>
        </is>
      </c>
      <c r="E821" t="inlineStr">
        <is>
          <t>BRÄCKE</t>
        </is>
      </c>
      <c r="G821" t="n">
        <v>5.2</v>
      </c>
      <c r="H821" t="n">
        <v>0</v>
      </c>
      <c r="I821" t="n">
        <v>0</v>
      </c>
      <c r="J821" t="n">
        <v>0</v>
      </c>
      <c r="K821" t="n">
        <v>0</v>
      </c>
      <c r="L821" t="n">
        <v>0</v>
      </c>
      <c r="M821" t="n">
        <v>0</v>
      </c>
      <c r="N821" t="n">
        <v>0</v>
      </c>
      <c r="O821" t="n">
        <v>0</v>
      </c>
      <c r="P821" t="n">
        <v>0</v>
      </c>
      <c r="Q821" t="n">
        <v>0</v>
      </c>
      <c r="R821" s="2" t="inlineStr"/>
    </row>
    <row r="822" ht="15" customHeight="1">
      <c r="A822" t="inlineStr">
        <is>
          <t>A 72025-2021</t>
        </is>
      </c>
      <c r="B822" s="1" t="n">
        <v>44540</v>
      </c>
      <c r="C822" s="1" t="n">
        <v>45754</v>
      </c>
      <c r="D822" t="inlineStr">
        <is>
          <t>JÄMTLANDS LÄN</t>
        </is>
      </c>
      <c r="E822" t="inlineStr">
        <is>
          <t>BRÄCKE</t>
        </is>
      </c>
      <c r="G822" t="n">
        <v>11</v>
      </c>
      <c r="H822" t="n">
        <v>0</v>
      </c>
      <c r="I822" t="n">
        <v>0</v>
      </c>
      <c r="J822" t="n">
        <v>0</v>
      </c>
      <c r="K822" t="n">
        <v>0</v>
      </c>
      <c r="L822" t="n">
        <v>0</v>
      </c>
      <c r="M822" t="n">
        <v>0</v>
      </c>
      <c r="N822" t="n">
        <v>0</v>
      </c>
      <c r="O822" t="n">
        <v>0</v>
      </c>
      <c r="P822" t="n">
        <v>0</v>
      </c>
      <c r="Q822" t="n">
        <v>0</v>
      </c>
      <c r="R822" s="2" t="inlineStr"/>
    </row>
    <row r="823" ht="15" customHeight="1">
      <c r="A823" t="inlineStr">
        <is>
          <t>A 72044-2021</t>
        </is>
      </c>
      <c r="B823" s="1" t="n">
        <v>44540</v>
      </c>
      <c r="C823" s="1" t="n">
        <v>45754</v>
      </c>
      <c r="D823" t="inlineStr">
        <is>
          <t>JÄMTLANDS LÄN</t>
        </is>
      </c>
      <c r="E823" t="inlineStr">
        <is>
          <t>BRÄCKE</t>
        </is>
      </c>
      <c r="G823" t="n">
        <v>19</v>
      </c>
      <c r="H823" t="n">
        <v>0</v>
      </c>
      <c r="I823" t="n">
        <v>0</v>
      </c>
      <c r="J823" t="n">
        <v>0</v>
      </c>
      <c r="K823" t="n">
        <v>0</v>
      </c>
      <c r="L823" t="n">
        <v>0</v>
      </c>
      <c r="M823" t="n">
        <v>0</v>
      </c>
      <c r="N823" t="n">
        <v>0</v>
      </c>
      <c r="O823" t="n">
        <v>0</v>
      </c>
      <c r="P823" t="n">
        <v>0</v>
      </c>
      <c r="Q823" t="n">
        <v>0</v>
      </c>
      <c r="R823" s="2" t="inlineStr"/>
    </row>
    <row r="824" ht="15" customHeight="1">
      <c r="A824" t="inlineStr">
        <is>
          <t>A 72757-2021</t>
        </is>
      </c>
      <c r="B824" s="1" t="n">
        <v>44546</v>
      </c>
      <c r="C824" s="1" t="n">
        <v>45754</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72750-2021</t>
        </is>
      </c>
      <c r="B825" s="1" t="n">
        <v>44546</v>
      </c>
      <c r="C825" s="1" t="n">
        <v>45754</v>
      </c>
      <c r="D825" t="inlineStr">
        <is>
          <t>JÄMTLANDS LÄN</t>
        </is>
      </c>
      <c r="E825" t="inlineStr">
        <is>
          <t>BRÄCKE</t>
        </is>
      </c>
      <c r="G825" t="n">
        <v>1.2</v>
      </c>
      <c r="H825" t="n">
        <v>0</v>
      </c>
      <c r="I825" t="n">
        <v>0</v>
      </c>
      <c r="J825" t="n">
        <v>0</v>
      </c>
      <c r="K825" t="n">
        <v>0</v>
      </c>
      <c r="L825" t="n">
        <v>0</v>
      </c>
      <c r="M825" t="n">
        <v>0</v>
      </c>
      <c r="N825" t="n">
        <v>0</v>
      </c>
      <c r="O825" t="n">
        <v>0</v>
      </c>
      <c r="P825" t="n">
        <v>0</v>
      </c>
      <c r="Q825" t="n">
        <v>0</v>
      </c>
      <c r="R825" s="2" t="inlineStr"/>
    </row>
    <row r="826" ht="15" customHeight="1">
      <c r="A826" t="inlineStr">
        <is>
          <t>A 72754-2021</t>
        </is>
      </c>
      <c r="B826" s="1" t="n">
        <v>44546</v>
      </c>
      <c r="C826" s="1" t="n">
        <v>45754</v>
      </c>
      <c r="D826" t="inlineStr">
        <is>
          <t>JÄMTLANDS LÄN</t>
        </is>
      </c>
      <c r="E826" t="inlineStr">
        <is>
          <t>BRÄCKE</t>
        </is>
      </c>
      <c r="G826" t="n">
        <v>2.4</v>
      </c>
      <c r="H826" t="n">
        <v>0</v>
      </c>
      <c r="I826" t="n">
        <v>0</v>
      </c>
      <c r="J826" t="n">
        <v>0</v>
      </c>
      <c r="K826" t="n">
        <v>0</v>
      </c>
      <c r="L826" t="n">
        <v>0</v>
      </c>
      <c r="M826" t="n">
        <v>0</v>
      </c>
      <c r="N826" t="n">
        <v>0</v>
      </c>
      <c r="O826" t="n">
        <v>0</v>
      </c>
      <c r="P826" t="n">
        <v>0</v>
      </c>
      <c r="Q826" t="n">
        <v>0</v>
      </c>
      <c r="R826" s="2" t="inlineStr"/>
    </row>
    <row r="827" ht="15" customHeight="1">
      <c r="A827" t="inlineStr">
        <is>
          <t>A 72758-2021</t>
        </is>
      </c>
      <c r="B827" s="1" t="n">
        <v>44546</v>
      </c>
      <c r="C827" s="1" t="n">
        <v>45754</v>
      </c>
      <c r="D827" t="inlineStr">
        <is>
          <t>JÄMTLANDS LÄN</t>
        </is>
      </c>
      <c r="E827" t="inlineStr">
        <is>
          <t>BRÄCKE</t>
        </is>
      </c>
      <c r="G827" t="n">
        <v>3.4</v>
      </c>
      <c r="H827" t="n">
        <v>0</v>
      </c>
      <c r="I827" t="n">
        <v>0</v>
      </c>
      <c r="J827" t="n">
        <v>0</v>
      </c>
      <c r="K827" t="n">
        <v>0</v>
      </c>
      <c r="L827" t="n">
        <v>0</v>
      </c>
      <c r="M827" t="n">
        <v>0</v>
      </c>
      <c r="N827" t="n">
        <v>0</v>
      </c>
      <c r="O827" t="n">
        <v>0</v>
      </c>
      <c r="P827" t="n">
        <v>0</v>
      </c>
      <c r="Q827" t="n">
        <v>0</v>
      </c>
      <c r="R827" s="2" t="inlineStr"/>
    </row>
    <row r="828" ht="15" customHeight="1">
      <c r="A828" t="inlineStr">
        <is>
          <t>A 73106-2021</t>
        </is>
      </c>
      <c r="B828" s="1" t="n">
        <v>44550</v>
      </c>
      <c r="C828" s="1" t="n">
        <v>45754</v>
      </c>
      <c r="D828" t="inlineStr">
        <is>
          <t>JÄMTLANDS LÄN</t>
        </is>
      </c>
      <c r="E828" t="inlineStr">
        <is>
          <t>BRÄCKE</t>
        </is>
      </c>
      <c r="F828" t="inlineStr">
        <is>
          <t>Sveaskog</t>
        </is>
      </c>
      <c r="G828" t="n">
        <v>5.4</v>
      </c>
      <c r="H828" t="n">
        <v>0</v>
      </c>
      <c r="I828" t="n">
        <v>0</v>
      </c>
      <c r="J828" t="n">
        <v>0</v>
      </c>
      <c r="K828" t="n">
        <v>0</v>
      </c>
      <c r="L828" t="n">
        <v>0</v>
      </c>
      <c r="M828" t="n">
        <v>0</v>
      </c>
      <c r="N828" t="n">
        <v>0</v>
      </c>
      <c r="O828" t="n">
        <v>0</v>
      </c>
      <c r="P828" t="n">
        <v>0</v>
      </c>
      <c r="Q828" t="n">
        <v>0</v>
      </c>
      <c r="R828" s="2" t="inlineStr"/>
    </row>
    <row r="829" ht="15" customHeight="1">
      <c r="A829" t="inlineStr">
        <is>
          <t>A 73109-2021</t>
        </is>
      </c>
      <c r="B829" s="1" t="n">
        <v>44550</v>
      </c>
      <c r="C829" s="1" t="n">
        <v>45754</v>
      </c>
      <c r="D829" t="inlineStr">
        <is>
          <t>JÄMTLANDS LÄN</t>
        </is>
      </c>
      <c r="E829" t="inlineStr">
        <is>
          <t>BRÄCKE</t>
        </is>
      </c>
      <c r="F829" t="inlineStr">
        <is>
          <t>Sveaskog</t>
        </is>
      </c>
      <c r="G829" t="n">
        <v>6.4</v>
      </c>
      <c r="H829" t="n">
        <v>0</v>
      </c>
      <c r="I829" t="n">
        <v>0</v>
      </c>
      <c r="J829" t="n">
        <v>0</v>
      </c>
      <c r="K829" t="n">
        <v>0</v>
      </c>
      <c r="L829" t="n">
        <v>0</v>
      </c>
      <c r="M829" t="n">
        <v>0</v>
      </c>
      <c r="N829" t="n">
        <v>0</v>
      </c>
      <c r="O829" t="n">
        <v>0</v>
      </c>
      <c r="P829" t="n">
        <v>0</v>
      </c>
      <c r="Q829" t="n">
        <v>0</v>
      </c>
      <c r="R829" s="2" t="inlineStr"/>
    </row>
    <row r="830" ht="15" customHeight="1">
      <c r="A830" t="inlineStr">
        <is>
          <t>A 73102-2021</t>
        </is>
      </c>
      <c r="B830" s="1" t="n">
        <v>44550</v>
      </c>
      <c r="C830" s="1" t="n">
        <v>45754</v>
      </c>
      <c r="D830" t="inlineStr">
        <is>
          <t>JÄMTLANDS LÄN</t>
        </is>
      </c>
      <c r="E830" t="inlineStr">
        <is>
          <t>BRÄCKE</t>
        </is>
      </c>
      <c r="F830" t="inlineStr">
        <is>
          <t>Sveaskog</t>
        </is>
      </c>
      <c r="G830" t="n">
        <v>6.5</v>
      </c>
      <c r="H830" t="n">
        <v>0</v>
      </c>
      <c r="I830" t="n">
        <v>0</v>
      </c>
      <c r="J830" t="n">
        <v>0</v>
      </c>
      <c r="K830" t="n">
        <v>0</v>
      </c>
      <c r="L830" t="n">
        <v>0</v>
      </c>
      <c r="M830" t="n">
        <v>0</v>
      </c>
      <c r="N830" t="n">
        <v>0</v>
      </c>
      <c r="O830" t="n">
        <v>0</v>
      </c>
      <c r="P830" t="n">
        <v>0</v>
      </c>
      <c r="Q830" t="n">
        <v>0</v>
      </c>
      <c r="R830" s="2" t="inlineStr"/>
    </row>
    <row r="831" ht="15" customHeight="1">
      <c r="A831" t="inlineStr">
        <is>
          <t>A 73281-2021</t>
        </is>
      </c>
      <c r="B831" s="1" t="n">
        <v>44550</v>
      </c>
      <c r="C831" s="1" t="n">
        <v>45754</v>
      </c>
      <c r="D831" t="inlineStr">
        <is>
          <t>JÄMTLANDS LÄN</t>
        </is>
      </c>
      <c r="E831" t="inlineStr">
        <is>
          <t>BRÄCKE</t>
        </is>
      </c>
      <c r="G831" t="n">
        <v>2.4</v>
      </c>
      <c r="H831" t="n">
        <v>0</v>
      </c>
      <c r="I831" t="n">
        <v>0</v>
      </c>
      <c r="J831" t="n">
        <v>0</v>
      </c>
      <c r="K831" t="n">
        <v>0</v>
      </c>
      <c r="L831" t="n">
        <v>0</v>
      </c>
      <c r="M831" t="n">
        <v>0</v>
      </c>
      <c r="N831" t="n">
        <v>0</v>
      </c>
      <c r="O831" t="n">
        <v>0</v>
      </c>
      <c r="P831" t="n">
        <v>0</v>
      </c>
      <c r="Q831" t="n">
        <v>0</v>
      </c>
      <c r="R831" s="2" t="inlineStr"/>
    </row>
    <row r="832" ht="15" customHeight="1">
      <c r="A832" t="inlineStr">
        <is>
          <t>A 73280-2021</t>
        </is>
      </c>
      <c r="B832" s="1" t="n">
        <v>44550</v>
      </c>
      <c r="C832" s="1" t="n">
        <v>45754</v>
      </c>
      <c r="D832" t="inlineStr">
        <is>
          <t>JÄMTLANDS LÄN</t>
        </is>
      </c>
      <c r="E832" t="inlineStr">
        <is>
          <t>BRÄCKE</t>
        </is>
      </c>
      <c r="G832" t="n">
        <v>2.5</v>
      </c>
      <c r="H832" t="n">
        <v>0</v>
      </c>
      <c r="I832" t="n">
        <v>0</v>
      </c>
      <c r="J832" t="n">
        <v>0</v>
      </c>
      <c r="K832" t="n">
        <v>0</v>
      </c>
      <c r="L832" t="n">
        <v>0</v>
      </c>
      <c r="M832" t="n">
        <v>0</v>
      </c>
      <c r="N832" t="n">
        <v>0</v>
      </c>
      <c r="O832" t="n">
        <v>0</v>
      </c>
      <c r="P832" t="n">
        <v>0</v>
      </c>
      <c r="Q832" t="n">
        <v>0</v>
      </c>
      <c r="R832" s="2" t="inlineStr"/>
    </row>
    <row r="833" ht="15" customHeight="1">
      <c r="A833" t="inlineStr">
        <is>
          <t>A 1087-2022</t>
        </is>
      </c>
      <c r="B833" s="1" t="n">
        <v>44571</v>
      </c>
      <c r="C833" s="1" t="n">
        <v>45754</v>
      </c>
      <c r="D833" t="inlineStr">
        <is>
          <t>JÄMTLANDS LÄN</t>
        </is>
      </c>
      <c r="E833" t="inlineStr">
        <is>
          <t>BRÄCKE</t>
        </is>
      </c>
      <c r="G833" t="n">
        <v>3.7</v>
      </c>
      <c r="H833" t="n">
        <v>0</v>
      </c>
      <c r="I833" t="n">
        <v>0</v>
      </c>
      <c r="J833" t="n">
        <v>0</v>
      </c>
      <c r="K833" t="n">
        <v>0</v>
      </c>
      <c r="L833" t="n">
        <v>0</v>
      </c>
      <c r="M833" t="n">
        <v>0</v>
      </c>
      <c r="N833" t="n">
        <v>0</v>
      </c>
      <c r="O833" t="n">
        <v>0</v>
      </c>
      <c r="P833" t="n">
        <v>0</v>
      </c>
      <c r="Q833" t="n">
        <v>0</v>
      </c>
      <c r="R833" s="2" t="inlineStr"/>
    </row>
    <row r="834" ht="15" customHeight="1">
      <c r="A834" t="inlineStr">
        <is>
          <t>A 1201-2022</t>
        </is>
      </c>
      <c r="B834" s="1" t="n">
        <v>44572</v>
      </c>
      <c r="C834" s="1" t="n">
        <v>45754</v>
      </c>
      <c r="D834" t="inlineStr">
        <is>
          <t>JÄMTLANDS LÄN</t>
        </is>
      </c>
      <c r="E834" t="inlineStr">
        <is>
          <t>BRÄCKE</t>
        </is>
      </c>
      <c r="G834" t="n">
        <v>13.7</v>
      </c>
      <c r="H834" t="n">
        <v>0</v>
      </c>
      <c r="I834" t="n">
        <v>0</v>
      </c>
      <c r="J834" t="n">
        <v>0</v>
      </c>
      <c r="K834" t="n">
        <v>0</v>
      </c>
      <c r="L834" t="n">
        <v>0</v>
      </c>
      <c r="M834" t="n">
        <v>0</v>
      </c>
      <c r="N834" t="n">
        <v>0</v>
      </c>
      <c r="O834" t="n">
        <v>0</v>
      </c>
      <c r="P834" t="n">
        <v>0</v>
      </c>
      <c r="Q834" t="n">
        <v>0</v>
      </c>
      <c r="R834" s="2" t="inlineStr"/>
    </row>
    <row r="835" ht="15" customHeight="1">
      <c r="A835" t="inlineStr">
        <is>
          <t>A 1340-2022</t>
        </is>
      </c>
      <c r="B835" s="1" t="n">
        <v>44572</v>
      </c>
      <c r="C835" s="1" t="n">
        <v>45754</v>
      </c>
      <c r="D835" t="inlineStr">
        <is>
          <t>JÄMTLANDS LÄN</t>
        </is>
      </c>
      <c r="E835" t="inlineStr">
        <is>
          <t>BRÄCKE</t>
        </is>
      </c>
      <c r="F835" t="inlineStr">
        <is>
          <t>SCA</t>
        </is>
      </c>
      <c r="G835" t="n">
        <v>23.7</v>
      </c>
      <c r="H835" t="n">
        <v>0</v>
      </c>
      <c r="I835" t="n">
        <v>0</v>
      </c>
      <c r="J835" t="n">
        <v>0</v>
      </c>
      <c r="K835" t="n">
        <v>0</v>
      </c>
      <c r="L835" t="n">
        <v>0</v>
      </c>
      <c r="M835" t="n">
        <v>0</v>
      </c>
      <c r="N835" t="n">
        <v>0</v>
      </c>
      <c r="O835" t="n">
        <v>0</v>
      </c>
      <c r="P835" t="n">
        <v>0</v>
      </c>
      <c r="Q835" t="n">
        <v>0</v>
      </c>
      <c r="R835" s="2" t="inlineStr"/>
    </row>
    <row r="836" ht="15" customHeight="1">
      <c r="A836" t="inlineStr">
        <is>
          <t>A 1865-2022</t>
        </is>
      </c>
      <c r="B836" s="1" t="n">
        <v>44574</v>
      </c>
      <c r="C836" s="1" t="n">
        <v>45754</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1863-2022</t>
        </is>
      </c>
      <c r="B837" s="1" t="n">
        <v>44574</v>
      </c>
      <c r="C837" s="1" t="n">
        <v>45754</v>
      </c>
      <c r="D837" t="inlineStr">
        <is>
          <t>JÄMTLANDS LÄN</t>
        </is>
      </c>
      <c r="E837" t="inlineStr">
        <is>
          <t>BRÄCKE</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1866-2022</t>
        </is>
      </c>
      <c r="B838" s="1" t="n">
        <v>44574</v>
      </c>
      <c r="C838" s="1" t="n">
        <v>45754</v>
      </c>
      <c r="D838" t="inlineStr">
        <is>
          <t>JÄMTLANDS LÄN</t>
        </is>
      </c>
      <c r="E838" t="inlineStr">
        <is>
          <t>BRÄCKE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1864-2022</t>
        </is>
      </c>
      <c r="B839" s="1" t="n">
        <v>44574</v>
      </c>
      <c r="C839" s="1" t="n">
        <v>45754</v>
      </c>
      <c r="D839" t="inlineStr">
        <is>
          <t>JÄMTLANDS LÄN</t>
        </is>
      </c>
      <c r="E839" t="inlineStr">
        <is>
          <t>BRÄCKE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2035-2022</t>
        </is>
      </c>
      <c r="B840" s="1" t="n">
        <v>44575</v>
      </c>
      <c r="C840" s="1" t="n">
        <v>45754</v>
      </c>
      <c r="D840" t="inlineStr">
        <is>
          <t>JÄMTLANDS LÄN</t>
        </is>
      </c>
      <c r="E840" t="inlineStr">
        <is>
          <t>BRÄCKE</t>
        </is>
      </c>
      <c r="G840" t="n">
        <v>2</v>
      </c>
      <c r="H840" t="n">
        <v>0</v>
      </c>
      <c r="I840" t="n">
        <v>0</v>
      </c>
      <c r="J840" t="n">
        <v>0</v>
      </c>
      <c r="K840" t="n">
        <v>0</v>
      </c>
      <c r="L840" t="n">
        <v>0</v>
      </c>
      <c r="M840" t="n">
        <v>0</v>
      </c>
      <c r="N840" t="n">
        <v>0</v>
      </c>
      <c r="O840" t="n">
        <v>0</v>
      </c>
      <c r="P840" t="n">
        <v>0</v>
      </c>
      <c r="Q840" t="n">
        <v>0</v>
      </c>
      <c r="R840" s="2" t="inlineStr"/>
    </row>
    <row r="841" ht="15" customHeight="1">
      <c r="A841" t="inlineStr">
        <is>
          <t>A 2645-2022</t>
        </is>
      </c>
      <c r="B841" s="1" t="n">
        <v>44580</v>
      </c>
      <c r="C841" s="1" t="n">
        <v>45754</v>
      </c>
      <c r="D841" t="inlineStr">
        <is>
          <t>JÄMTLANDS LÄN</t>
        </is>
      </c>
      <c r="E841" t="inlineStr">
        <is>
          <t>BRÄCKE</t>
        </is>
      </c>
      <c r="G841" t="n">
        <v>2.9</v>
      </c>
      <c r="H841" t="n">
        <v>0</v>
      </c>
      <c r="I841" t="n">
        <v>0</v>
      </c>
      <c r="J841" t="n">
        <v>0</v>
      </c>
      <c r="K841" t="n">
        <v>0</v>
      </c>
      <c r="L841" t="n">
        <v>0</v>
      </c>
      <c r="M841" t="n">
        <v>0</v>
      </c>
      <c r="N841" t="n">
        <v>0</v>
      </c>
      <c r="O841" t="n">
        <v>0</v>
      </c>
      <c r="P841" t="n">
        <v>0</v>
      </c>
      <c r="Q841" t="n">
        <v>0</v>
      </c>
      <c r="R841" s="2" t="inlineStr"/>
    </row>
    <row r="842" ht="15" customHeight="1">
      <c r="A842" t="inlineStr">
        <is>
          <t>A 3239-2022</t>
        </is>
      </c>
      <c r="B842" s="1" t="n">
        <v>44582</v>
      </c>
      <c r="C842" s="1" t="n">
        <v>45754</v>
      </c>
      <c r="D842" t="inlineStr">
        <is>
          <t>JÄMTLANDS LÄN</t>
        </is>
      </c>
      <c r="E842" t="inlineStr">
        <is>
          <t>BRÄCKE</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3224-2022</t>
        </is>
      </c>
      <c r="B843" s="1" t="n">
        <v>44582</v>
      </c>
      <c r="C843" s="1" t="n">
        <v>45754</v>
      </c>
      <c r="D843" t="inlineStr">
        <is>
          <t>JÄMTLANDS LÄN</t>
        </is>
      </c>
      <c r="E843" t="inlineStr">
        <is>
          <t>BRÄCKE</t>
        </is>
      </c>
      <c r="G843" t="n">
        <v>1.7</v>
      </c>
      <c r="H843" t="n">
        <v>0</v>
      </c>
      <c r="I843" t="n">
        <v>0</v>
      </c>
      <c r="J843" t="n">
        <v>0</v>
      </c>
      <c r="K843" t="n">
        <v>0</v>
      </c>
      <c r="L843" t="n">
        <v>0</v>
      </c>
      <c r="M843" t="n">
        <v>0</v>
      </c>
      <c r="N843" t="n">
        <v>0</v>
      </c>
      <c r="O843" t="n">
        <v>0</v>
      </c>
      <c r="P843" t="n">
        <v>0</v>
      </c>
      <c r="Q843" t="n">
        <v>0</v>
      </c>
      <c r="R843" s="2" t="inlineStr"/>
    </row>
    <row r="844" ht="15" customHeight="1">
      <c r="A844" t="inlineStr">
        <is>
          <t>A 3694-2022</t>
        </is>
      </c>
      <c r="B844" s="1" t="n">
        <v>44586</v>
      </c>
      <c r="C844" s="1" t="n">
        <v>45754</v>
      </c>
      <c r="D844" t="inlineStr">
        <is>
          <t>JÄMTLANDS LÄN</t>
        </is>
      </c>
      <c r="E844" t="inlineStr">
        <is>
          <t>BRÄCKE</t>
        </is>
      </c>
      <c r="G844" t="n">
        <v>2.3</v>
      </c>
      <c r="H844" t="n">
        <v>0</v>
      </c>
      <c r="I844" t="n">
        <v>0</v>
      </c>
      <c r="J844" t="n">
        <v>0</v>
      </c>
      <c r="K844" t="n">
        <v>0</v>
      </c>
      <c r="L844" t="n">
        <v>0</v>
      </c>
      <c r="M844" t="n">
        <v>0</v>
      </c>
      <c r="N844" t="n">
        <v>0</v>
      </c>
      <c r="O844" t="n">
        <v>0</v>
      </c>
      <c r="P844" t="n">
        <v>0</v>
      </c>
      <c r="Q844" t="n">
        <v>0</v>
      </c>
      <c r="R844" s="2" t="inlineStr"/>
    </row>
    <row r="845" ht="15" customHeight="1">
      <c r="A845" t="inlineStr">
        <is>
          <t>A 3947-2022</t>
        </is>
      </c>
      <c r="B845" s="1" t="n">
        <v>44587</v>
      </c>
      <c r="C845" s="1" t="n">
        <v>45754</v>
      </c>
      <c r="D845" t="inlineStr">
        <is>
          <t>JÄMTLANDS LÄN</t>
        </is>
      </c>
      <c r="E845" t="inlineStr">
        <is>
          <t>BRÄCKE</t>
        </is>
      </c>
      <c r="G845" t="n">
        <v>0.4</v>
      </c>
      <c r="H845" t="n">
        <v>0</v>
      </c>
      <c r="I845" t="n">
        <v>0</v>
      </c>
      <c r="J845" t="n">
        <v>0</v>
      </c>
      <c r="K845" t="n">
        <v>0</v>
      </c>
      <c r="L845" t="n">
        <v>0</v>
      </c>
      <c r="M845" t="n">
        <v>0</v>
      </c>
      <c r="N845" t="n">
        <v>0</v>
      </c>
      <c r="O845" t="n">
        <v>0</v>
      </c>
      <c r="P845" t="n">
        <v>0</v>
      </c>
      <c r="Q845" t="n">
        <v>0</v>
      </c>
      <c r="R845" s="2" t="inlineStr"/>
    </row>
    <row r="846" ht="15" customHeight="1">
      <c r="A846" t="inlineStr">
        <is>
          <t>A 4338-2022</t>
        </is>
      </c>
      <c r="B846" s="1" t="n">
        <v>44588</v>
      </c>
      <c r="C846" s="1" t="n">
        <v>45754</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4542-2022</t>
        </is>
      </c>
      <c r="B847" s="1" t="n">
        <v>44590</v>
      </c>
      <c r="C847" s="1" t="n">
        <v>45754</v>
      </c>
      <c r="D847" t="inlineStr">
        <is>
          <t>JÄMTLANDS LÄN</t>
        </is>
      </c>
      <c r="E847" t="inlineStr">
        <is>
          <t>BRÄCKE</t>
        </is>
      </c>
      <c r="G847" t="n">
        <v>18.5</v>
      </c>
      <c r="H847" t="n">
        <v>0</v>
      </c>
      <c r="I847" t="n">
        <v>0</v>
      </c>
      <c r="J847" t="n">
        <v>0</v>
      </c>
      <c r="K847" t="n">
        <v>0</v>
      </c>
      <c r="L847" t="n">
        <v>0</v>
      </c>
      <c r="M847" t="n">
        <v>0</v>
      </c>
      <c r="N847" t="n">
        <v>0</v>
      </c>
      <c r="O847" t="n">
        <v>0</v>
      </c>
      <c r="P847" t="n">
        <v>0</v>
      </c>
      <c r="Q847" t="n">
        <v>0</v>
      </c>
      <c r="R847" s="2" t="inlineStr"/>
    </row>
    <row r="848" ht="15" customHeight="1">
      <c r="A848" t="inlineStr">
        <is>
          <t>A 4635-2022</t>
        </is>
      </c>
      <c r="B848" s="1" t="n">
        <v>44592</v>
      </c>
      <c r="C848" s="1" t="n">
        <v>45754</v>
      </c>
      <c r="D848" t="inlineStr">
        <is>
          <t>JÄMTLANDS LÄN</t>
        </is>
      </c>
      <c r="E848" t="inlineStr">
        <is>
          <t>BRÄCKE</t>
        </is>
      </c>
      <c r="G848" t="n">
        <v>3.7</v>
      </c>
      <c r="H848" t="n">
        <v>0</v>
      </c>
      <c r="I848" t="n">
        <v>0</v>
      </c>
      <c r="J848" t="n">
        <v>0</v>
      </c>
      <c r="K848" t="n">
        <v>0</v>
      </c>
      <c r="L848" t="n">
        <v>0</v>
      </c>
      <c r="M848" t="n">
        <v>0</v>
      </c>
      <c r="N848" t="n">
        <v>0</v>
      </c>
      <c r="O848" t="n">
        <v>0</v>
      </c>
      <c r="P848" t="n">
        <v>0</v>
      </c>
      <c r="Q848" t="n">
        <v>0</v>
      </c>
      <c r="R848" s="2" t="inlineStr"/>
    </row>
    <row r="849" ht="15" customHeight="1">
      <c r="A849" t="inlineStr">
        <is>
          <t>A 4850-2022</t>
        </is>
      </c>
      <c r="B849" s="1" t="n">
        <v>44592</v>
      </c>
      <c r="C849" s="1" t="n">
        <v>45754</v>
      </c>
      <c r="D849" t="inlineStr">
        <is>
          <t>JÄMTLANDS LÄN</t>
        </is>
      </c>
      <c r="E849" t="inlineStr">
        <is>
          <t>BRÄCKE</t>
        </is>
      </c>
      <c r="G849" t="n">
        <v>7.6</v>
      </c>
      <c r="H849" t="n">
        <v>0</v>
      </c>
      <c r="I849" t="n">
        <v>0</v>
      </c>
      <c r="J849" t="n">
        <v>0</v>
      </c>
      <c r="K849" t="n">
        <v>0</v>
      </c>
      <c r="L849" t="n">
        <v>0</v>
      </c>
      <c r="M849" t="n">
        <v>0</v>
      </c>
      <c r="N849" t="n">
        <v>0</v>
      </c>
      <c r="O849" t="n">
        <v>0</v>
      </c>
      <c r="P849" t="n">
        <v>0</v>
      </c>
      <c r="Q849" t="n">
        <v>0</v>
      </c>
      <c r="R849" s="2" t="inlineStr"/>
    </row>
    <row r="850" ht="15" customHeight="1">
      <c r="A850" t="inlineStr">
        <is>
          <t>A 5377-2022</t>
        </is>
      </c>
      <c r="B850" s="1" t="n">
        <v>44594</v>
      </c>
      <c r="C850" s="1" t="n">
        <v>45754</v>
      </c>
      <c r="D850" t="inlineStr">
        <is>
          <t>JÄMTLANDS LÄN</t>
        </is>
      </c>
      <c r="E850" t="inlineStr">
        <is>
          <t>BRÄCKE</t>
        </is>
      </c>
      <c r="G850" t="n">
        <v>40.3</v>
      </c>
      <c r="H850" t="n">
        <v>0</v>
      </c>
      <c r="I850" t="n">
        <v>0</v>
      </c>
      <c r="J850" t="n">
        <v>0</v>
      </c>
      <c r="K850" t="n">
        <v>0</v>
      </c>
      <c r="L850" t="n">
        <v>0</v>
      </c>
      <c r="M850" t="n">
        <v>0</v>
      </c>
      <c r="N850" t="n">
        <v>0</v>
      </c>
      <c r="O850" t="n">
        <v>0</v>
      </c>
      <c r="P850" t="n">
        <v>0</v>
      </c>
      <c r="Q850" t="n">
        <v>0</v>
      </c>
      <c r="R850" s="2" t="inlineStr"/>
    </row>
    <row r="851" ht="15" customHeight="1">
      <c r="A851" t="inlineStr">
        <is>
          <t>A 5380-2022</t>
        </is>
      </c>
      <c r="B851" s="1" t="n">
        <v>44594</v>
      </c>
      <c r="C851" s="1" t="n">
        <v>45754</v>
      </c>
      <c r="D851" t="inlineStr">
        <is>
          <t>JÄMTLANDS LÄN</t>
        </is>
      </c>
      <c r="E851" t="inlineStr">
        <is>
          <t>BRÄCKE</t>
        </is>
      </c>
      <c r="F851" t="inlineStr">
        <is>
          <t>SCA</t>
        </is>
      </c>
      <c r="G851" t="n">
        <v>18.3</v>
      </c>
      <c r="H851" t="n">
        <v>0</v>
      </c>
      <c r="I851" t="n">
        <v>0</v>
      </c>
      <c r="J851" t="n">
        <v>0</v>
      </c>
      <c r="K851" t="n">
        <v>0</v>
      </c>
      <c r="L851" t="n">
        <v>0</v>
      </c>
      <c r="M851" t="n">
        <v>0</v>
      </c>
      <c r="N851" t="n">
        <v>0</v>
      </c>
      <c r="O851" t="n">
        <v>0</v>
      </c>
      <c r="P851" t="n">
        <v>0</v>
      </c>
      <c r="Q851" t="n">
        <v>0</v>
      </c>
      <c r="R851" s="2" t="inlineStr"/>
      <c r="U851">
        <f>HYPERLINK("https://klasma.github.io/Logging_2305/knärot/A 5380-2022 karta knärot.png", "A 5380-2022")</f>
        <v/>
      </c>
      <c r="V851">
        <f>HYPERLINK("https://klasma.github.io/Logging_2305/klagomål/A 5380-2022 FSC-klagomål.docx", "A 5380-2022")</f>
        <v/>
      </c>
      <c r="W851">
        <f>HYPERLINK("https://klasma.github.io/Logging_2305/klagomålsmail/A 5380-2022 FSC-klagomål mail.docx", "A 5380-2022")</f>
        <v/>
      </c>
      <c r="X851">
        <f>HYPERLINK("https://klasma.github.io/Logging_2305/tillsyn/A 5380-2022 tillsynsbegäran.docx", "A 5380-2022")</f>
        <v/>
      </c>
      <c r="Y851">
        <f>HYPERLINK("https://klasma.github.io/Logging_2305/tillsynsmail/A 5380-2022 tillsynsbegäran mail.docx", "A 5380-2022")</f>
        <v/>
      </c>
    </row>
    <row r="852" ht="15" customHeight="1">
      <c r="A852" t="inlineStr">
        <is>
          <t>A 5378-2022</t>
        </is>
      </c>
      <c r="B852" s="1" t="n">
        <v>44594</v>
      </c>
      <c r="C852" s="1" t="n">
        <v>45754</v>
      </c>
      <c r="D852" t="inlineStr">
        <is>
          <t>JÄMTLANDS LÄN</t>
        </is>
      </c>
      <c r="E852" t="inlineStr">
        <is>
          <t>BRÄCKE</t>
        </is>
      </c>
      <c r="G852" t="n">
        <v>4.6</v>
      </c>
      <c r="H852" t="n">
        <v>0</v>
      </c>
      <c r="I852" t="n">
        <v>0</v>
      </c>
      <c r="J852" t="n">
        <v>0</v>
      </c>
      <c r="K852" t="n">
        <v>0</v>
      </c>
      <c r="L852" t="n">
        <v>0</v>
      </c>
      <c r="M852" t="n">
        <v>0</v>
      </c>
      <c r="N852" t="n">
        <v>0</v>
      </c>
      <c r="O852" t="n">
        <v>0</v>
      </c>
      <c r="P852" t="n">
        <v>0</v>
      </c>
      <c r="Q852" t="n">
        <v>0</v>
      </c>
      <c r="R852" s="2" t="inlineStr"/>
    </row>
    <row r="853" ht="15" customHeight="1">
      <c r="A853" t="inlineStr">
        <is>
          <t>A 6460-2022</t>
        </is>
      </c>
      <c r="B853" s="1" t="n">
        <v>44601</v>
      </c>
      <c r="C853" s="1" t="n">
        <v>45754</v>
      </c>
      <c r="D853" t="inlineStr">
        <is>
          <t>JÄMTLANDS LÄN</t>
        </is>
      </c>
      <c r="E853" t="inlineStr">
        <is>
          <t>BRÄCKE</t>
        </is>
      </c>
      <c r="G853" t="n">
        <v>1.6</v>
      </c>
      <c r="H853" t="n">
        <v>0</v>
      </c>
      <c r="I853" t="n">
        <v>0</v>
      </c>
      <c r="J853" t="n">
        <v>0</v>
      </c>
      <c r="K853" t="n">
        <v>0</v>
      </c>
      <c r="L853" t="n">
        <v>0</v>
      </c>
      <c r="M853" t="n">
        <v>0</v>
      </c>
      <c r="N853" t="n">
        <v>0</v>
      </c>
      <c r="O853" t="n">
        <v>0</v>
      </c>
      <c r="P853" t="n">
        <v>0</v>
      </c>
      <c r="Q853" t="n">
        <v>0</v>
      </c>
      <c r="R853" s="2" t="inlineStr"/>
    </row>
    <row r="854" ht="15" customHeight="1">
      <c r="A854" t="inlineStr">
        <is>
          <t>A 6461-2022</t>
        </is>
      </c>
      <c r="B854" s="1" t="n">
        <v>44601</v>
      </c>
      <c r="C854" s="1" t="n">
        <v>45754</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6648-2022</t>
        </is>
      </c>
      <c r="B855" s="1" t="n">
        <v>44601</v>
      </c>
      <c r="C855" s="1" t="n">
        <v>45754</v>
      </c>
      <c r="D855" t="inlineStr">
        <is>
          <t>JÄMTLANDS LÄN</t>
        </is>
      </c>
      <c r="E855" t="inlineStr">
        <is>
          <t>BRÄCKE</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7027-2022</t>
        </is>
      </c>
      <c r="B856" s="1" t="n">
        <v>44603</v>
      </c>
      <c r="C856" s="1" t="n">
        <v>45754</v>
      </c>
      <c r="D856" t="inlineStr">
        <is>
          <t>JÄMTLANDS LÄN</t>
        </is>
      </c>
      <c r="E856" t="inlineStr">
        <is>
          <t>BRÄCKE</t>
        </is>
      </c>
      <c r="G856" t="n">
        <v>3.7</v>
      </c>
      <c r="H856" t="n">
        <v>0</v>
      </c>
      <c r="I856" t="n">
        <v>0</v>
      </c>
      <c r="J856" t="n">
        <v>0</v>
      </c>
      <c r="K856" t="n">
        <v>0</v>
      </c>
      <c r="L856" t="n">
        <v>0</v>
      </c>
      <c r="M856" t="n">
        <v>0</v>
      </c>
      <c r="N856" t="n">
        <v>0</v>
      </c>
      <c r="O856" t="n">
        <v>0</v>
      </c>
      <c r="P856" t="n">
        <v>0</v>
      </c>
      <c r="Q856" t="n">
        <v>0</v>
      </c>
      <c r="R856" s="2" t="inlineStr"/>
    </row>
    <row r="857" ht="15" customHeight="1">
      <c r="A857" t="inlineStr">
        <is>
          <t>A 8052-2022</t>
        </is>
      </c>
      <c r="B857" s="1" t="n">
        <v>44609</v>
      </c>
      <c r="C857" s="1" t="n">
        <v>45754</v>
      </c>
      <c r="D857" t="inlineStr">
        <is>
          <t>JÄMTLANDS LÄN</t>
        </is>
      </c>
      <c r="E857" t="inlineStr">
        <is>
          <t>BRÄCKE</t>
        </is>
      </c>
      <c r="G857" t="n">
        <v>0.6</v>
      </c>
      <c r="H857" t="n">
        <v>0</v>
      </c>
      <c r="I857" t="n">
        <v>0</v>
      </c>
      <c r="J857" t="n">
        <v>0</v>
      </c>
      <c r="K857" t="n">
        <v>0</v>
      </c>
      <c r="L857" t="n">
        <v>0</v>
      </c>
      <c r="M857" t="n">
        <v>0</v>
      </c>
      <c r="N857" t="n">
        <v>0</v>
      </c>
      <c r="O857" t="n">
        <v>0</v>
      </c>
      <c r="P857" t="n">
        <v>0</v>
      </c>
      <c r="Q857" t="n">
        <v>0</v>
      </c>
      <c r="R857" s="2" t="inlineStr"/>
    </row>
    <row r="858" ht="15" customHeight="1">
      <c r="A858" t="inlineStr">
        <is>
          <t>A 8422-2022</t>
        </is>
      </c>
      <c r="B858" s="1" t="n">
        <v>44610</v>
      </c>
      <c r="C858" s="1" t="n">
        <v>45754</v>
      </c>
      <c r="D858" t="inlineStr">
        <is>
          <t>JÄMTLANDS LÄN</t>
        </is>
      </c>
      <c r="E858" t="inlineStr">
        <is>
          <t>BRÄCKE</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10130-2022</t>
        </is>
      </c>
      <c r="B859" s="1" t="n">
        <v>44621</v>
      </c>
      <c r="C859" s="1" t="n">
        <v>45754</v>
      </c>
      <c r="D859" t="inlineStr">
        <is>
          <t>JÄMTLANDS LÄN</t>
        </is>
      </c>
      <c r="E859" t="inlineStr">
        <is>
          <t>BRÄCKE</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10129-2022</t>
        </is>
      </c>
      <c r="B860" s="1" t="n">
        <v>44621</v>
      </c>
      <c r="C860" s="1" t="n">
        <v>45754</v>
      </c>
      <c r="D860" t="inlineStr">
        <is>
          <t>JÄMTLANDS LÄN</t>
        </is>
      </c>
      <c r="E860" t="inlineStr">
        <is>
          <t>BRÄCKE</t>
        </is>
      </c>
      <c r="F860" t="inlineStr">
        <is>
          <t>SCA</t>
        </is>
      </c>
      <c r="G860" t="n">
        <v>15.6</v>
      </c>
      <c r="H860" t="n">
        <v>0</v>
      </c>
      <c r="I860" t="n">
        <v>0</v>
      </c>
      <c r="J860" t="n">
        <v>0</v>
      </c>
      <c r="K860" t="n">
        <v>0</v>
      </c>
      <c r="L860" t="n">
        <v>0</v>
      </c>
      <c r="M860" t="n">
        <v>0</v>
      </c>
      <c r="N860" t="n">
        <v>0</v>
      </c>
      <c r="O860" t="n">
        <v>0</v>
      </c>
      <c r="P860" t="n">
        <v>0</v>
      </c>
      <c r="Q860" t="n">
        <v>0</v>
      </c>
      <c r="R860" s="2" t="inlineStr"/>
    </row>
    <row r="861" ht="15" customHeight="1">
      <c r="A861" t="inlineStr">
        <is>
          <t>A 10476-2022</t>
        </is>
      </c>
      <c r="B861" s="1" t="n">
        <v>44623</v>
      </c>
      <c r="C861" s="1" t="n">
        <v>45754</v>
      </c>
      <c r="D861" t="inlineStr">
        <is>
          <t>JÄMTLANDS LÄN</t>
        </is>
      </c>
      <c r="E861" t="inlineStr">
        <is>
          <t>BRÄCKE</t>
        </is>
      </c>
      <c r="G861" t="n">
        <v>3.8</v>
      </c>
      <c r="H861" t="n">
        <v>0</v>
      </c>
      <c r="I861" t="n">
        <v>0</v>
      </c>
      <c r="J861" t="n">
        <v>0</v>
      </c>
      <c r="K861" t="n">
        <v>0</v>
      </c>
      <c r="L861" t="n">
        <v>0</v>
      </c>
      <c r="M861" t="n">
        <v>0</v>
      </c>
      <c r="N861" t="n">
        <v>0</v>
      </c>
      <c r="O861" t="n">
        <v>0</v>
      </c>
      <c r="P861" t="n">
        <v>0</v>
      </c>
      <c r="Q861" t="n">
        <v>0</v>
      </c>
      <c r="R861" s="2" t="inlineStr"/>
    </row>
    <row r="862" ht="15" customHeight="1">
      <c r="A862" t="inlineStr">
        <is>
          <t>A 10532-2022</t>
        </is>
      </c>
      <c r="B862" s="1" t="n">
        <v>44623</v>
      </c>
      <c r="C862" s="1" t="n">
        <v>45754</v>
      </c>
      <c r="D862" t="inlineStr">
        <is>
          <t>JÄMTLANDS LÄN</t>
        </is>
      </c>
      <c r="E862" t="inlineStr">
        <is>
          <t>BRÄCKE</t>
        </is>
      </c>
      <c r="G862" t="n">
        <v>3.1</v>
      </c>
      <c r="H862" t="n">
        <v>0</v>
      </c>
      <c r="I862" t="n">
        <v>0</v>
      </c>
      <c r="J862" t="n">
        <v>0</v>
      </c>
      <c r="K862" t="n">
        <v>0</v>
      </c>
      <c r="L862" t="n">
        <v>0</v>
      </c>
      <c r="M862" t="n">
        <v>0</v>
      </c>
      <c r="N862" t="n">
        <v>0</v>
      </c>
      <c r="O862" t="n">
        <v>0</v>
      </c>
      <c r="P862" t="n">
        <v>0</v>
      </c>
      <c r="Q862" t="n">
        <v>0</v>
      </c>
      <c r="R862" s="2" t="inlineStr"/>
    </row>
    <row r="863" ht="15" customHeight="1">
      <c r="A863" t="inlineStr">
        <is>
          <t>A 10536-2022</t>
        </is>
      </c>
      <c r="B863" s="1" t="n">
        <v>44623</v>
      </c>
      <c r="C863" s="1" t="n">
        <v>45754</v>
      </c>
      <c r="D863" t="inlineStr">
        <is>
          <t>JÄMTLANDS LÄN</t>
        </is>
      </c>
      <c r="E863" t="inlineStr">
        <is>
          <t>BRÄCKE</t>
        </is>
      </c>
      <c r="G863" t="n">
        <v>3.1</v>
      </c>
      <c r="H863" t="n">
        <v>0</v>
      </c>
      <c r="I863" t="n">
        <v>0</v>
      </c>
      <c r="J863" t="n">
        <v>0</v>
      </c>
      <c r="K863" t="n">
        <v>0</v>
      </c>
      <c r="L863" t="n">
        <v>0</v>
      </c>
      <c r="M863" t="n">
        <v>0</v>
      </c>
      <c r="N863" t="n">
        <v>0</v>
      </c>
      <c r="O863" t="n">
        <v>0</v>
      </c>
      <c r="P863" t="n">
        <v>0</v>
      </c>
      <c r="Q863" t="n">
        <v>0</v>
      </c>
      <c r="R863" s="2" t="inlineStr"/>
    </row>
    <row r="864" ht="15" customHeight="1">
      <c r="A864" t="inlineStr">
        <is>
          <t>A 10540-2022</t>
        </is>
      </c>
      <c r="B864" s="1" t="n">
        <v>44623</v>
      </c>
      <c r="C864" s="1" t="n">
        <v>45754</v>
      </c>
      <c r="D864" t="inlineStr">
        <is>
          <t>JÄMTLANDS LÄN</t>
        </is>
      </c>
      <c r="E864" t="inlineStr">
        <is>
          <t>BRÄCKE</t>
        </is>
      </c>
      <c r="G864" t="n">
        <v>2.1</v>
      </c>
      <c r="H864" t="n">
        <v>0</v>
      </c>
      <c r="I864" t="n">
        <v>0</v>
      </c>
      <c r="J864" t="n">
        <v>0</v>
      </c>
      <c r="K864" t="n">
        <v>0</v>
      </c>
      <c r="L864" t="n">
        <v>0</v>
      </c>
      <c r="M864" t="n">
        <v>0</v>
      </c>
      <c r="N864" t="n">
        <v>0</v>
      </c>
      <c r="O864" t="n">
        <v>0</v>
      </c>
      <c r="P864" t="n">
        <v>0</v>
      </c>
      <c r="Q864" t="n">
        <v>0</v>
      </c>
      <c r="R864" s="2" t="inlineStr"/>
    </row>
    <row r="865" ht="15" customHeight="1">
      <c r="A865" t="inlineStr">
        <is>
          <t>A 10535-2022</t>
        </is>
      </c>
      <c r="B865" s="1" t="n">
        <v>44623</v>
      </c>
      <c r="C865" s="1" t="n">
        <v>45754</v>
      </c>
      <c r="D865" t="inlineStr">
        <is>
          <t>JÄMTLANDS LÄN</t>
        </is>
      </c>
      <c r="E865" t="inlineStr">
        <is>
          <t>BRÄCKE</t>
        </is>
      </c>
      <c r="G865" t="n">
        <v>0.7</v>
      </c>
      <c r="H865" t="n">
        <v>0</v>
      </c>
      <c r="I865" t="n">
        <v>0</v>
      </c>
      <c r="J865" t="n">
        <v>0</v>
      </c>
      <c r="K865" t="n">
        <v>0</v>
      </c>
      <c r="L865" t="n">
        <v>0</v>
      </c>
      <c r="M865" t="n">
        <v>0</v>
      </c>
      <c r="N865" t="n">
        <v>0</v>
      </c>
      <c r="O865" t="n">
        <v>0</v>
      </c>
      <c r="P865" t="n">
        <v>0</v>
      </c>
      <c r="Q865" t="n">
        <v>0</v>
      </c>
      <c r="R865" s="2" t="inlineStr"/>
    </row>
    <row r="866" ht="15" customHeight="1">
      <c r="A866" t="inlineStr">
        <is>
          <t>A 10539-2022</t>
        </is>
      </c>
      <c r="B866" s="1" t="n">
        <v>44623</v>
      </c>
      <c r="C866" s="1" t="n">
        <v>45754</v>
      </c>
      <c r="D866" t="inlineStr">
        <is>
          <t>JÄMTLANDS LÄN</t>
        </is>
      </c>
      <c r="E866" t="inlineStr">
        <is>
          <t>BRÄCKE</t>
        </is>
      </c>
      <c r="G866" t="n">
        <v>0.8</v>
      </c>
      <c r="H866" t="n">
        <v>0</v>
      </c>
      <c r="I866" t="n">
        <v>0</v>
      </c>
      <c r="J866" t="n">
        <v>0</v>
      </c>
      <c r="K866" t="n">
        <v>0</v>
      </c>
      <c r="L866" t="n">
        <v>0</v>
      </c>
      <c r="M866" t="n">
        <v>0</v>
      </c>
      <c r="N866" t="n">
        <v>0</v>
      </c>
      <c r="O866" t="n">
        <v>0</v>
      </c>
      <c r="P866" t="n">
        <v>0</v>
      </c>
      <c r="Q866" t="n">
        <v>0</v>
      </c>
      <c r="R866" s="2" t="inlineStr"/>
    </row>
    <row r="867" ht="15" customHeight="1">
      <c r="A867" t="inlineStr">
        <is>
          <t>A 10543-2022</t>
        </is>
      </c>
      <c r="B867" s="1" t="n">
        <v>44623</v>
      </c>
      <c r="C867" s="1" t="n">
        <v>45754</v>
      </c>
      <c r="D867" t="inlineStr">
        <is>
          <t>JÄMTLANDS LÄN</t>
        </is>
      </c>
      <c r="E867" t="inlineStr">
        <is>
          <t>BRÄCKE</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10534-2022</t>
        </is>
      </c>
      <c r="B868" s="1" t="n">
        <v>44623</v>
      </c>
      <c r="C868" s="1" t="n">
        <v>45754</v>
      </c>
      <c r="D868" t="inlineStr">
        <is>
          <t>JÄMTLANDS LÄN</t>
        </is>
      </c>
      <c r="E868" t="inlineStr">
        <is>
          <t>BRÄCKE</t>
        </is>
      </c>
      <c r="G868" t="n">
        <v>2.5</v>
      </c>
      <c r="H868" t="n">
        <v>0</v>
      </c>
      <c r="I868" t="n">
        <v>0</v>
      </c>
      <c r="J868" t="n">
        <v>0</v>
      </c>
      <c r="K868" t="n">
        <v>0</v>
      </c>
      <c r="L868" t="n">
        <v>0</v>
      </c>
      <c r="M868" t="n">
        <v>0</v>
      </c>
      <c r="N868" t="n">
        <v>0</v>
      </c>
      <c r="O868" t="n">
        <v>0</v>
      </c>
      <c r="P868" t="n">
        <v>0</v>
      </c>
      <c r="Q868" t="n">
        <v>0</v>
      </c>
      <c r="R868" s="2" t="inlineStr"/>
    </row>
    <row r="869" ht="15" customHeight="1">
      <c r="A869" t="inlineStr">
        <is>
          <t>A 10538-2022</t>
        </is>
      </c>
      <c r="B869" s="1" t="n">
        <v>44623</v>
      </c>
      <c r="C869" s="1" t="n">
        <v>45754</v>
      </c>
      <c r="D869" t="inlineStr">
        <is>
          <t>JÄMTLANDS LÄN</t>
        </is>
      </c>
      <c r="E869" t="inlineStr">
        <is>
          <t>BRÄCKE</t>
        </is>
      </c>
      <c r="G869" t="n">
        <v>0.9</v>
      </c>
      <c r="H869" t="n">
        <v>0</v>
      </c>
      <c r="I869" t="n">
        <v>0</v>
      </c>
      <c r="J869" t="n">
        <v>0</v>
      </c>
      <c r="K869" t="n">
        <v>0</v>
      </c>
      <c r="L869" t="n">
        <v>0</v>
      </c>
      <c r="M869" t="n">
        <v>0</v>
      </c>
      <c r="N869" t="n">
        <v>0</v>
      </c>
      <c r="O869" t="n">
        <v>0</v>
      </c>
      <c r="P869" t="n">
        <v>0</v>
      </c>
      <c r="Q869" t="n">
        <v>0</v>
      </c>
      <c r="R869" s="2" t="inlineStr"/>
    </row>
    <row r="870" ht="15" customHeight="1">
      <c r="A870" t="inlineStr">
        <is>
          <t>A 10542-2022</t>
        </is>
      </c>
      <c r="B870" s="1" t="n">
        <v>44623</v>
      </c>
      <c r="C870" s="1" t="n">
        <v>45754</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10533-2022</t>
        </is>
      </c>
      <c r="B871" s="1" t="n">
        <v>44623</v>
      </c>
      <c r="C871" s="1" t="n">
        <v>45754</v>
      </c>
      <c r="D871" t="inlineStr">
        <is>
          <t>JÄMTLANDS LÄN</t>
        </is>
      </c>
      <c r="E871" t="inlineStr">
        <is>
          <t>BRÄCKE</t>
        </is>
      </c>
      <c r="G871" t="n">
        <v>5.4</v>
      </c>
      <c r="H871" t="n">
        <v>0</v>
      </c>
      <c r="I871" t="n">
        <v>0</v>
      </c>
      <c r="J871" t="n">
        <v>0</v>
      </c>
      <c r="K871" t="n">
        <v>0</v>
      </c>
      <c r="L871" t="n">
        <v>0</v>
      </c>
      <c r="M871" t="n">
        <v>0</v>
      </c>
      <c r="N871" t="n">
        <v>0</v>
      </c>
      <c r="O871" t="n">
        <v>0</v>
      </c>
      <c r="P871" t="n">
        <v>0</v>
      </c>
      <c r="Q871" t="n">
        <v>0</v>
      </c>
      <c r="R871" s="2" t="inlineStr"/>
    </row>
    <row r="872" ht="15" customHeight="1">
      <c r="A872" t="inlineStr">
        <is>
          <t>A 10537-2022</t>
        </is>
      </c>
      <c r="B872" s="1" t="n">
        <v>44623</v>
      </c>
      <c r="C872" s="1" t="n">
        <v>45754</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10815-2022</t>
        </is>
      </c>
      <c r="B873" s="1" t="n">
        <v>44627</v>
      </c>
      <c r="C873" s="1" t="n">
        <v>45754</v>
      </c>
      <c r="D873" t="inlineStr">
        <is>
          <t>JÄMTLANDS LÄN</t>
        </is>
      </c>
      <c r="E873" t="inlineStr">
        <is>
          <t>BRÄCKE</t>
        </is>
      </c>
      <c r="G873" t="n">
        <v>9</v>
      </c>
      <c r="H873" t="n">
        <v>0</v>
      </c>
      <c r="I873" t="n">
        <v>0</v>
      </c>
      <c r="J873" t="n">
        <v>0</v>
      </c>
      <c r="K873" t="n">
        <v>0</v>
      </c>
      <c r="L873" t="n">
        <v>0</v>
      </c>
      <c r="M873" t="n">
        <v>0</v>
      </c>
      <c r="N873" t="n">
        <v>0</v>
      </c>
      <c r="O873" t="n">
        <v>0</v>
      </c>
      <c r="P873" t="n">
        <v>0</v>
      </c>
      <c r="Q873" t="n">
        <v>0</v>
      </c>
      <c r="R873" s="2" t="inlineStr"/>
    </row>
    <row r="874" ht="15" customHeight="1">
      <c r="A874" t="inlineStr">
        <is>
          <t>A 11093-2022</t>
        </is>
      </c>
      <c r="B874" s="1" t="n">
        <v>44628</v>
      </c>
      <c r="C874" s="1" t="n">
        <v>45754</v>
      </c>
      <c r="D874" t="inlineStr">
        <is>
          <t>JÄMTLANDS LÄN</t>
        </is>
      </c>
      <c r="E874" t="inlineStr">
        <is>
          <t>BRÄCKE</t>
        </is>
      </c>
      <c r="G874" t="n">
        <v>16.4</v>
      </c>
      <c r="H874" t="n">
        <v>0</v>
      </c>
      <c r="I874" t="n">
        <v>0</v>
      </c>
      <c r="J874" t="n">
        <v>0</v>
      </c>
      <c r="K874" t="n">
        <v>0</v>
      </c>
      <c r="L874" t="n">
        <v>0</v>
      </c>
      <c r="M874" t="n">
        <v>0</v>
      </c>
      <c r="N874" t="n">
        <v>0</v>
      </c>
      <c r="O874" t="n">
        <v>0</v>
      </c>
      <c r="P874" t="n">
        <v>0</v>
      </c>
      <c r="Q874" t="n">
        <v>0</v>
      </c>
      <c r="R874" s="2" t="inlineStr"/>
    </row>
    <row r="875" ht="15" customHeight="1">
      <c r="A875" t="inlineStr">
        <is>
          <t>A 11313-2022</t>
        </is>
      </c>
      <c r="B875" s="1" t="n">
        <v>44629</v>
      </c>
      <c r="C875" s="1" t="n">
        <v>45754</v>
      </c>
      <c r="D875" t="inlineStr">
        <is>
          <t>JÄMTLANDS LÄN</t>
        </is>
      </c>
      <c r="E875" t="inlineStr">
        <is>
          <t>BRÄCKE</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12388-2022</t>
        </is>
      </c>
      <c r="B876" s="1" t="n">
        <v>44637</v>
      </c>
      <c r="C876" s="1" t="n">
        <v>45754</v>
      </c>
      <c r="D876" t="inlineStr">
        <is>
          <t>JÄMTLANDS LÄN</t>
        </is>
      </c>
      <c r="E876" t="inlineStr">
        <is>
          <t>BRÄCKE</t>
        </is>
      </c>
      <c r="G876" t="n">
        <v>27.6</v>
      </c>
      <c r="H876" t="n">
        <v>0</v>
      </c>
      <c r="I876" t="n">
        <v>0</v>
      </c>
      <c r="J876" t="n">
        <v>0</v>
      </c>
      <c r="K876" t="n">
        <v>0</v>
      </c>
      <c r="L876" t="n">
        <v>0</v>
      </c>
      <c r="M876" t="n">
        <v>0</v>
      </c>
      <c r="N876" t="n">
        <v>0</v>
      </c>
      <c r="O876" t="n">
        <v>0</v>
      </c>
      <c r="P876" t="n">
        <v>0</v>
      </c>
      <c r="Q876" t="n">
        <v>0</v>
      </c>
      <c r="R876" s="2" t="inlineStr"/>
    </row>
    <row r="877" ht="15" customHeight="1">
      <c r="A877" t="inlineStr">
        <is>
          <t>A 12610-2022</t>
        </is>
      </c>
      <c r="B877" s="1" t="n">
        <v>44638</v>
      </c>
      <c r="C877" s="1" t="n">
        <v>45754</v>
      </c>
      <c r="D877" t="inlineStr">
        <is>
          <t>JÄMTLANDS LÄN</t>
        </is>
      </c>
      <c r="E877" t="inlineStr">
        <is>
          <t>BRÄCKE</t>
        </is>
      </c>
      <c r="G877" t="n">
        <v>1</v>
      </c>
      <c r="H877" t="n">
        <v>0</v>
      </c>
      <c r="I877" t="n">
        <v>0</v>
      </c>
      <c r="J877" t="n">
        <v>0</v>
      </c>
      <c r="K877" t="n">
        <v>0</v>
      </c>
      <c r="L877" t="n">
        <v>0</v>
      </c>
      <c r="M877" t="n">
        <v>0</v>
      </c>
      <c r="N877" t="n">
        <v>0</v>
      </c>
      <c r="O877" t="n">
        <v>0</v>
      </c>
      <c r="P877" t="n">
        <v>0</v>
      </c>
      <c r="Q877" t="n">
        <v>0</v>
      </c>
      <c r="R877" s="2" t="inlineStr"/>
    </row>
    <row r="878" ht="15" customHeight="1">
      <c r="A878" t="inlineStr">
        <is>
          <t>A 12601-2022</t>
        </is>
      </c>
      <c r="B878" s="1" t="n">
        <v>44638</v>
      </c>
      <c r="C878" s="1" t="n">
        <v>45754</v>
      </c>
      <c r="D878" t="inlineStr">
        <is>
          <t>JÄMTLANDS LÄN</t>
        </is>
      </c>
      <c r="E878" t="inlineStr">
        <is>
          <t>BRÄCKE</t>
        </is>
      </c>
      <c r="G878" t="n">
        <v>3.1</v>
      </c>
      <c r="H878" t="n">
        <v>0</v>
      </c>
      <c r="I878" t="n">
        <v>0</v>
      </c>
      <c r="J878" t="n">
        <v>0</v>
      </c>
      <c r="K878" t="n">
        <v>0</v>
      </c>
      <c r="L878" t="n">
        <v>0</v>
      </c>
      <c r="M878" t="n">
        <v>0</v>
      </c>
      <c r="N878" t="n">
        <v>0</v>
      </c>
      <c r="O878" t="n">
        <v>0</v>
      </c>
      <c r="P878" t="n">
        <v>0</v>
      </c>
      <c r="Q878" t="n">
        <v>0</v>
      </c>
      <c r="R878" s="2" t="inlineStr"/>
    </row>
    <row r="879" ht="15" customHeight="1">
      <c r="A879" t="inlineStr">
        <is>
          <t>A 13525-2022</t>
        </is>
      </c>
      <c r="B879" s="1" t="n">
        <v>44648</v>
      </c>
      <c r="C879" s="1" t="n">
        <v>45754</v>
      </c>
      <c r="D879" t="inlineStr">
        <is>
          <t>JÄMTLANDS LÄN</t>
        </is>
      </c>
      <c r="E879" t="inlineStr">
        <is>
          <t>BRÄCKE</t>
        </is>
      </c>
      <c r="G879" t="n">
        <v>0.5</v>
      </c>
      <c r="H879" t="n">
        <v>0</v>
      </c>
      <c r="I879" t="n">
        <v>0</v>
      </c>
      <c r="J879" t="n">
        <v>0</v>
      </c>
      <c r="K879" t="n">
        <v>0</v>
      </c>
      <c r="L879" t="n">
        <v>0</v>
      </c>
      <c r="M879" t="n">
        <v>0</v>
      </c>
      <c r="N879" t="n">
        <v>0</v>
      </c>
      <c r="O879" t="n">
        <v>0</v>
      </c>
      <c r="P879" t="n">
        <v>0</v>
      </c>
      <c r="Q879" t="n">
        <v>0</v>
      </c>
      <c r="R879" s="2" t="inlineStr"/>
    </row>
    <row r="880" ht="15" customHeight="1">
      <c r="A880" t="inlineStr">
        <is>
          <t>A 15093-2022</t>
        </is>
      </c>
      <c r="B880" s="1" t="n">
        <v>44657</v>
      </c>
      <c r="C880" s="1" t="n">
        <v>45754</v>
      </c>
      <c r="D880" t="inlineStr">
        <is>
          <t>JÄMTLANDS LÄN</t>
        </is>
      </c>
      <c r="E880" t="inlineStr">
        <is>
          <t>BRÄCKE</t>
        </is>
      </c>
      <c r="F880" t="inlineStr">
        <is>
          <t>SCA</t>
        </is>
      </c>
      <c r="G880" t="n">
        <v>14.4</v>
      </c>
      <c r="H880" t="n">
        <v>0</v>
      </c>
      <c r="I880" t="n">
        <v>0</v>
      </c>
      <c r="J880" t="n">
        <v>0</v>
      </c>
      <c r="K880" t="n">
        <v>0</v>
      </c>
      <c r="L880" t="n">
        <v>0</v>
      </c>
      <c r="M880" t="n">
        <v>0</v>
      </c>
      <c r="N880" t="n">
        <v>0</v>
      </c>
      <c r="O880" t="n">
        <v>0</v>
      </c>
      <c r="P880" t="n">
        <v>0</v>
      </c>
      <c r="Q880" t="n">
        <v>0</v>
      </c>
      <c r="R880" s="2" t="inlineStr"/>
    </row>
    <row r="881" ht="15" customHeight="1">
      <c r="A881" t="inlineStr">
        <is>
          <t>A 16526-2022</t>
        </is>
      </c>
      <c r="B881" s="1" t="n">
        <v>44672</v>
      </c>
      <c r="C881" s="1" t="n">
        <v>45754</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17578-2022</t>
        </is>
      </c>
      <c r="B882" s="1" t="n">
        <v>44679</v>
      </c>
      <c r="C882" s="1" t="n">
        <v>45754</v>
      </c>
      <c r="D882" t="inlineStr">
        <is>
          <t>JÄMTLANDS LÄN</t>
        </is>
      </c>
      <c r="E882" t="inlineStr">
        <is>
          <t>BRÄCKE</t>
        </is>
      </c>
      <c r="G882" t="n">
        <v>5.5</v>
      </c>
      <c r="H882" t="n">
        <v>0</v>
      </c>
      <c r="I882" t="n">
        <v>0</v>
      </c>
      <c r="J882" t="n">
        <v>0</v>
      </c>
      <c r="K882" t="n">
        <v>0</v>
      </c>
      <c r="L882" t="n">
        <v>0</v>
      </c>
      <c r="M882" t="n">
        <v>0</v>
      </c>
      <c r="N882" t="n">
        <v>0</v>
      </c>
      <c r="O882" t="n">
        <v>0</v>
      </c>
      <c r="P882" t="n">
        <v>0</v>
      </c>
      <c r="Q882" t="n">
        <v>0</v>
      </c>
      <c r="R882" s="2" t="inlineStr"/>
    </row>
    <row r="883" ht="15" customHeight="1">
      <c r="A883" t="inlineStr">
        <is>
          <t>A 17577-2022</t>
        </is>
      </c>
      <c r="B883" s="1" t="n">
        <v>44679</v>
      </c>
      <c r="C883" s="1" t="n">
        <v>45754</v>
      </c>
      <c r="D883" t="inlineStr">
        <is>
          <t>JÄMTLANDS LÄN</t>
        </is>
      </c>
      <c r="E883" t="inlineStr">
        <is>
          <t>BRÄCKE</t>
        </is>
      </c>
      <c r="G883" t="n">
        <v>2.8</v>
      </c>
      <c r="H883" t="n">
        <v>0</v>
      </c>
      <c r="I883" t="n">
        <v>0</v>
      </c>
      <c r="J883" t="n">
        <v>0</v>
      </c>
      <c r="K883" t="n">
        <v>0</v>
      </c>
      <c r="L883" t="n">
        <v>0</v>
      </c>
      <c r="M883" t="n">
        <v>0</v>
      </c>
      <c r="N883" t="n">
        <v>0</v>
      </c>
      <c r="O883" t="n">
        <v>0</v>
      </c>
      <c r="P883" t="n">
        <v>0</v>
      </c>
      <c r="Q883" t="n">
        <v>0</v>
      </c>
      <c r="R883" s="2" t="inlineStr"/>
    </row>
    <row r="884" ht="15" customHeight="1">
      <c r="A884" t="inlineStr">
        <is>
          <t>A 17738-2022</t>
        </is>
      </c>
      <c r="B884" s="1" t="n">
        <v>44681</v>
      </c>
      <c r="C884" s="1" t="n">
        <v>45754</v>
      </c>
      <c r="D884" t="inlineStr">
        <is>
          <t>JÄMTLANDS LÄN</t>
        </is>
      </c>
      <c r="E884" t="inlineStr">
        <is>
          <t>BRÄCKE</t>
        </is>
      </c>
      <c r="F884" t="inlineStr">
        <is>
          <t>SCA</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17996-2022</t>
        </is>
      </c>
      <c r="B885" s="1" t="n">
        <v>44683</v>
      </c>
      <c r="C885" s="1" t="n">
        <v>45754</v>
      </c>
      <c r="D885" t="inlineStr">
        <is>
          <t>JÄMTLANDS LÄN</t>
        </is>
      </c>
      <c r="E885" t="inlineStr">
        <is>
          <t>BRÄCKE</t>
        </is>
      </c>
      <c r="G885" t="n">
        <v>2.8</v>
      </c>
      <c r="H885" t="n">
        <v>0</v>
      </c>
      <c r="I885" t="n">
        <v>0</v>
      </c>
      <c r="J885" t="n">
        <v>0</v>
      </c>
      <c r="K885" t="n">
        <v>0</v>
      </c>
      <c r="L885" t="n">
        <v>0</v>
      </c>
      <c r="M885" t="n">
        <v>0</v>
      </c>
      <c r="N885" t="n">
        <v>0</v>
      </c>
      <c r="O885" t="n">
        <v>0</v>
      </c>
      <c r="P885" t="n">
        <v>0</v>
      </c>
      <c r="Q885" t="n">
        <v>0</v>
      </c>
      <c r="R885" s="2" t="inlineStr"/>
    </row>
    <row r="886" ht="15" customHeight="1">
      <c r="A886" t="inlineStr">
        <is>
          <t>A 18221-2022</t>
        </is>
      </c>
      <c r="B886" s="1" t="n">
        <v>44685</v>
      </c>
      <c r="C886" s="1" t="n">
        <v>45754</v>
      </c>
      <c r="D886" t="inlineStr">
        <is>
          <t>JÄMTLANDS LÄN</t>
        </is>
      </c>
      <c r="E886" t="inlineStr">
        <is>
          <t>BRÄCKE</t>
        </is>
      </c>
      <c r="G886" t="n">
        <v>1.5</v>
      </c>
      <c r="H886" t="n">
        <v>0</v>
      </c>
      <c r="I886" t="n">
        <v>0</v>
      </c>
      <c r="J886" t="n">
        <v>0</v>
      </c>
      <c r="K886" t="n">
        <v>0</v>
      </c>
      <c r="L886" t="n">
        <v>0</v>
      </c>
      <c r="M886" t="n">
        <v>0</v>
      </c>
      <c r="N886" t="n">
        <v>0</v>
      </c>
      <c r="O886" t="n">
        <v>0</v>
      </c>
      <c r="P886" t="n">
        <v>0</v>
      </c>
      <c r="Q886" t="n">
        <v>0</v>
      </c>
      <c r="R886" s="2" t="inlineStr"/>
    </row>
    <row r="887" ht="15" customHeight="1">
      <c r="A887" t="inlineStr">
        <is>
          <t>A 18371-2022</t>
        </is>
      </c>
      <c r="B887" s="1" t="n">
        <v>44686</v>
      </c>
      <c r="C887" s="1" t="n">
        <v>45754</v>
      </c>
      <c r="D887" t="inlineStr">
        <is>
          <t>JÄMTLANDS LÄN</t>
        </is>
      </c>
      <c r="E887" t="inlineStr">
        <is>
          <t>BRÄCKE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18977-2022</t>
        </is>
      </c>
      <c r="B888" s="1" t="n">
        <v>44690</v>
      </c>
      <c r="C888" s="1" t="n">
        <v>45754</v>
      </c>
      <c r="D888" t="inlineStr">
        <is>
          <t>JÄMTLANDS LÄN</t>
        </is>
      </c>
      <c r="E888" t="inlineStr">
        <is>
          <t>BRÄCKE</t>
        </is>
      </c>
      <c r="G888" t="n">
        <v>4.6</v>
      </c>
      <c r="H888" t="n">
        <v>0</v>
      </c>
      <c r="I888" t="n">
        <v>0</v>
      </c>
      <c r="J888" t="n">
        <v>0</v>
      </c>
      <c r="K888" t="n">
        <v>0</v>
      </c>
      <c r="L888" t="n">
        <v>0</v>
      </c>
      <c r="M888" t="n">
        <v>0</v>
      </c>
      <c r="N888" t="n">
        <v>0</v>
      </c>
      <c r="O888" t="n">
        <v>0</v>
      </c>
      <c r="P888" t="n">
        <v>0</v>
      </c>
      <c r="Q888" t="n">
        <v>0</v>
      </c>
      <c r="R888" s="2" t="inlineStr"/>
    </row>
    <row r="889" ht="15" customHeight="1">
      <c r="A889" t="inlineStr">
        <is>
          <t>A 18984-2022</t>
        </is>
      </c>
      <c r="B889" s="1" t="n">
        <v>44690</v>
      </c>
      <c r="C889" s="1" t="n">
        <v>45754</v>
      </c>
      <c r="D889" t="inlineStr">
        <is>
          <t>JÄMTLANDS LÄN</t>
        </is>
      </c>
      <c r="E889" t="inlineStr">
        <is>
          <t>BRÄCKE</t>
        </is>
      </c>
      <c r="G889" t="n">
        <v>2.7</v>
      </c>
      <c r="H889" t="n">
        <v>0</v>
      </c>
      <c r="I889" t="n">
        <v>0</v>
      </c>
      <c r="J889" t="n">
        <v>0</v>
      </c>
      <c r="K889" t="n">
        <v>0</v>
      </c>
      <c r="L889" t="n">
        <v>0</v>
      </c>
      <c r="M889" t="n">
        <v>0</v>
      </c>
      <c r="N889" t="n">
        <v>0</v>
      </c>
      <c r="O889" t="n">
        <v>0</v>
      </c>
      <c r="P889" t="n">
        <v>0</v>
      </c>
      <c r="Q889" t="n">
        <v>0</v>
      </c>
      <c r="R889" s="2" t="inlineStr"/>
    </row>
    <row r="890" ht="15" customHeight="1">
      <c r="A890" t="inlineStr">
        <is>
          <t>A 18975-2022</t>
        </is>
      </c>
      <c r="B890" s="1" t="n">
        <v>44691</v>
      </c>
      <c r="C890" s="1" t="n">
        <v>45754</v>
      </c>
      <c r="D890" t="inlineStr">
        <is>
          <t>JÄMTLANDS LÄN</t>
        </is>
      </c>
      <c r="E890" t="inlineStr">
        <is>
          <t>BRÄCKE</t>
        </is>
      </c>
      <c r="G890" t="n">
        <v>1</v>
      </c>
      <c r="H890" t="n">
        <v>0</v>
      </c>
      <c r="I890" t="n">
        <v>0</v>
      </c>
      <c r="J890" t="n">
        <v>0</v>
      </c>
      <c r="K890" t="n">
        <v>0</v>
      </c>
      <c r="L890" t="n">
        <v>0</v>
      </c>
      <c r="M890" t="n">
        <v>0</v>
      </c>
      <c r="N890" t="n">
        <v>0</v>
      </c>
      <c r="O890" t="n">
        <v>0</v>
      </c>
      <c r="P890" t="n">
        <v>0</v>
      </c>
      <c r="Q890" t="n">
        <v>0</v>
      </c>
      <c r="R890" s="2" t="inlineStr"/>
    </row>
    <row r="891" ht="15" customHeight="1">
      <c r="A891" t="inlineStr">
        <is>
          <t>A 18981-2022</t>
        </is>
      </c>
      <c r="B891" s="1" t="n">
        <v>44690</v>
      </c>
      <c r="C891" s="1" t="n">
        <v>45754</v>
      </c>
      <c r="D891" t="inlineStr">
        <is>
          <t>JÄMTLANDS LÄN</t>
        </is>
      </c>
      <c r="E891" t="inlineStr">
        <is>
          <t>BRÄCKE</t>
        </is>
      </c>
      <c r="G891" t="n">
        <v>7.7</v>
      </c>
      <c r="H891" t="n">
        <v>0</v>
      </c>
      <c r="I891" t="n">
        <v>0</v>
      </c>
      <c r="J891" t="n">
        <v>0</v>
      </c>
      <c r="K891" t="n">
        <v>0</v>
      </c>
      <c r="L891" t="n">
        <v>0</v>
      </c>
      <c r="M891" t="n">
        <v>0</v>
      </c>
      <c r="N891" t="n">
        <v>0</v>
      </c>
      <c r="O891" t="n">
        <v>0</v>
      </c>
      <c r="P891" t="n">
        <v>0</v>
      </c>
      <c r="Q891" t="n">
        <v>0</v>
      </c>
      <c r="R891" s="2" t="inlineStr"/>
    </row>
    <row r="892" ht="15" customHeight="1">
      <c r="A892" t="inlineStr">
        <is>
          <t>A 18976-2022</t>
        </is>
      </c>
      <c r="B892" s="1" t="n">
        <v>44691</v>
      </c>
      <c r="C892" s="1" t="n">
        <v>45754</v>
      </c>
      <c r="D892" t="inlineStr">
        <is>
          <t>JÄMTLANDS LÄN</t>
        </is>
      </c>
      <c r="E892" t="inlineStr">
        <is>
          <t>BRÄCKE</t>
        </is>
      </c>
      <c r="G892" t="n">
        <v>1.3</v>
      </c>
      <c r="H892" t="n">
        <v>0</v>
      </c>
      <c r="I892" t="n">
        <v>0</v>
      </c>
      <c r="J892" t="n">
        <v>0</v>
      </c>
      <c r="K892" t="n">
        <v>0</v>
      </c>
      <c r="L892" t="n">
        <v>0</v>
      </c>
      <c r="M892" t="n">
        <v>0</v>
      </c>
      <c r="N892" t="n">
        <v>0</v>
      </c>
      <c r="O892" t="n">
        <v>0</v>
      </c>
      <c r="P892" t="n">
        <v>0</v>
      </c>
      <c r="Q892" t="n">
        <v>0</v>
      </c>
      <c r="R892" s="2" t="inlineStr"/>
    </row>
    <row r="893" ht="15" customHeight="1">
      <c r="A893" t="inlineStr">
        <is>
          <t>A 18982-2022</t>
        </is>
      </c>
      <c r="B893" s="1" t="n">
        <v>44691</v>
      </c>
      <c r="C893" s="1" t="n">
        <v>45754</v>
      </c>
      <c r="D893" t="inlineStr">
        <is>
          <t>JÄMTLANDS LÄN</t>
        </is>
      </c>
      <c r="E893" t="inlineStr">
        <is>
          <t>BRÄCKE</t>
        </is>
      </c>
      <c r="G893" t="n">
        <v>2.8</v>
      </c>
      <c r="H893" t="n">
        <v>0</v>
      </c>
      <c r="I893" t="n">
        <v>0</v>
      </c>
      <c r="J893" t="n">
        <v>0</v>
      </c>
      <c r="K893" t="n">
        <v>0</v>
      </c>
      <c r="L893" t="n">
        <v>0</v>
      </c>
      <c r="M893" t="n">
        <v>0</v>
      </c>
      <c r="N893" t="n">
        <v>0</v>
      </c>
      <c r="O893" t="n">
        <v>0</v>
      </c>
      <c r="P893" t="n">
        <v>0</v>
      </c>
      <c r="Q893" t="n">
        <v>0</v>
      </c>
      <c r="R893" s="2" t="inlineStr"/>
    </row>
    <row r="894" ht="15" customHeight="1">
      <c r="A894" t="inlineStr">
        <is>
          <t>A 19601-2022</t>
        </is>
      </c>
      <c r="B894" s="1" t="n">
        <v>44694</v>
      </c>
      <c r="C894" s="1" t="n">
        <v>45754</v>
      </c>
      <c r="D894" t="inlineStr">
        <is>
          <t>JÄMTLANDS LÄN</t>
        </is>
      </c>
      <c r="E894" t="inlineStr">
        <is>
          <t>BRÄCKE</t>
        </is>
      </c>
      <c r="G894" t="n">
        <v>1</v>
      </c>
      <c r="H894" t="n">
        <v>0</v>
      </c>
      <c r="I894" t="n">
        <v>0</v>
      </c>
      <c r="J894" t="n">
        <v>0</v>
      </c>
      <c r="K894" t="n">
        <v>0</v>
      </c>
      <c r="L894" t="n">
        <v>0</v>
      </c>
      <c r="M894" t="n">
        <v>0</v>
      </c>
      <c r="N894" t="n">
        <v>0</v>
      </c>
      <c r="O894" t="n">
        <v>0</v>
      </c>
      <c r="P894" t="n">
        <v>0</v>
      </c>
      <c r="Q894" t="n">
        <v>0</v>
      </c>
      <c r="R894" s="2" t="inlineStr"/>
    </row>
    <row r="895" ht="15" customHeight="1">
      <c r="A895" t="inlineStr">
        <is>
          <t>A 19810-2022</t>
        </is>
      </c>
      <c r="B895" s="1" t="n">
        <v>44695</v>
      </c>
      <c r="C895" s="1" t="n">
        <v>45754</v>
      </c>
      <c r="D895" t="inlineStr">
        <is>
          <t>JÄMTLANDS LÄN</t>
        </is>
      </c>
      <c r="E895" t="inlineStr">
        <is>
          <t>BRÄCKE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20014-2022</t>
        </is>
      </c>
      <c r="B896" s="1" t="n">
        <v>44697</v>
      </c>
      <c r="C896" s="1" t="n">
        <v>45754</v>
      </c>
      <c r="D896" t="inlineStr">
        <is>
          <t>JÄMTLANDS LÄN</t>
        </is>
      </c>
      <c r="E896" t="inlineStr">
        <is>
          <t>BRÄCKE</t>
        </is>
      </c>
      <c r="G896" t="n">
        <v>1.8</v>
      </c>
      <c r="H896" t="n">
        <v>0</v>
      </c>
      <c r="I896" t="n">
        <v>0</v>
      </c>
      <c r="J896" t="n">
        <v>0</v>
      </c>
      <c r="K896" t="n">
        <v>0</v>
      </c>
      <c r="L896" t="n">
        <v>0</v>
      </c>
      <c r="M896" t="n">
        <v>0</v>
      </c>
      <c r="N896" t="n">
        <v>0</v>
      </c>
      <c r="O896" t="n">
        <v>0</v>
      </c>
      <c r="P896" t="n">
        <v>0</v>
      </c>
      <c r="Q896" t="n">
        <v>0</v>
      </c>
      <c r="R896" s="2" t="inlineStr"/>
    </row>
    <row r="897" ht="15" customHeight="1">
      <c r="A897" t="inlineStr">
        <is>
          <t>A 20065-2022</t>
        </is>
      </c>
      <c r="B897" s="1" t="n">
        <v>44698</v>
      </c>
      <c r="C897" s="1" t="n">
        <v>45754</v>
      </c>
      <c r="D897" t="inlineStr">
        <is>
          <t>JÄMTLANDS LÄN</t>
        </is>
      </c>
      <c r="E897" t="inlineStr">
        <is>
          <t>BRÄCKE</t>
        </is>
      </c>
      <c r="G897" t="n">
        <v>33</v>
      </c>
      <c r="H897" t="n">
        <v>0</v>
      </c>
      <c r="I897" t="n">
        <v>0</v>
      </c>
      <c r="J897" t="n">
        <v>0</v>
      </c>
      <c r="K897" t="n">
        <v>0</v>
      </c>
      <c r="L897" t="n">
        <v>0</v>
      </c>
      <c r="M897" t="n">
        <v>0</v>
      </c>
      <c r="N897" t="n">
        <v>0</v>
      </c>
      <c r="O897" t="n">
        <v>0</v>
      </c>
      <c r="P897" t="n">
        <v>0</v>
      </c>
      <c r="Q897" t="n">
        <v>0</v>
      </c>
      <c r="R897" s="2" t="inlineStr"/>
    </row>
    <row r="898" ht="15" customHeight="1">
      <c r="A898" t="inlineStr">
        <is>
          <t>A 20067-2022</t>
        </is>
      </c>
      <c r="B898" s="1" t="n">
        <v>44698</v>
      </c>
      <c r="C898" s="1" t="n">
        <v>45754</v>
      </c>
      <c r="D898" t="inlineStr">
        <is>
          <t>JÄMTLANDS LÄN</t>
        </is>
      </c>
      <c r="E898" t="inlineStr">
        <is>
          <t>BRÄCKE</t>
        </is>
      </c>
      <c r="G898" t="n">
        <v>4.1</v>
      </c>
      <c r="H898" t="n">
        <v>0</v>
      </c>
      <c r="I898" t="n">
        <v>0</v>
      </c>
      <c r="J898" t="n">
        <v>0</v>
      </c>
      <c r="K898" t="n">
        <v>0</v>
      </c>
      <c r="L898" t="n">
        <v>0</v>
      </c>
      <c r="M898" t="n">
        <v>0</v>
      </c>
      <c r="N898" t="n">
        <v>0</v>
      </c>
      <c r="O898" t="n">
        <v>0</v>
      </c>
      <c r="P898" t="n">
        <v>0</v>
      </c>
      <c r="Q898" t="n">
        <v>0</v>
      </c>
      <c r="R898" s="2" t="inlineStr"/>
    </row>
    <row r="899" ht="15" customHeight="1">
      <c r="A899" t="inlineStr">
        <is>
          <t>A 20066-2022</t>
        </is>
      </c>
      <c r="B899" s="1" t="n">
        <v>44697</v>
      </c>
      <c r="C899" s="1" t="n">
        <v>45754</v>
      </c>
      <c r="D899" t="inlineStr">
        <is>
          <t>JÄMTLANDS LÄN</t>
        </is>
      </c>
      <c r="E899" t="inlineStr">
        <is>
          <t>BRÄCKE</t>
        </is>
      </c>
      <c r="G899" t="n">
        <v>41.6</v>
      </c>
      <c r="H899" t="n">
        <v>0</v>
      </c>
      <c r="I899" t="n">
        <v>0</v>
      </c>
      <c r="J899" t="n">
        <v>0</v>
      </c>
      <c r="K899" t="n">
        <v>0</v>
      </c>
      <c r="L899" t="n">
        <v>0</v>
      </c>
      <c r="M899" t="n">
        <v>0</v>
      </c>
      <c r="N899" t="n">
        <v>0</v>
      </c>
      <c r="O899" t="n">
        <v>0</v>
      </c>
      <c r="P899" t="n">
        <v>0</v>
      </c>
      <c r="Q899" t="n">
        <v>0</v>
      </c>
      <c r="R899" s="2" t="inlineStr"/>
    </row>
    <row r="900" ht="15" customHeight="1">
      <c r="A900" t="inlineStr">
        <is>
          <t>A 20069-2022</t>
        </is>
      </c>
      <c r="B900" s="1" t="n">
        <v>44698</v>
      </c>
      <c r="C900" s="1" t="n">
        <v>45754</v>
      </c>
      <c r="D900" t="inlineStr">
        <is>
          <t>JÄMTLANDS LÄN</t>
        </is>
      </c>
      <c r="E900" t="inlineStr">
        <is>
          <t>BRÄCKE</t>
        </is>
      </c>
      <c r="F900" t="inlineStr">
        <is>
          <t>SCA</t>
        </is>
      </c>
      <c r="G900" t="n">
        <v>5.3</v>
      </c>
      <c r="H900" t="n">
        <v>0</v>
      </c>
      <c r="I900" t="n">
        <v>0</v>
      </c>
      <c r="J900" t="n">
        <v>0</v>
      </c>
      <c r="K900" t="n">
        <v>0</v>
      </c>
      <c r="L900" t="n">
        <v>0</v>
      </c>
      <c r="M900" t="n">
        <v>0</v>
      </c>
      <c r="N900" t="n">
        <v>0</v>
      </c>
      <c r="O900" t="n">
        <v>0</v>
      </c>
      <c r="P900" t="n">
        <v>0</v>
      </c>
      <c r="Q900" t="n">
        <v>0</v>
      </c>
      <c r="R900" s="2" t="inlineStr"/>
    </row>
    <row r="901" ht="15" customHeight="1">
      <c r="A901" t="inlineStr">
        <is>
          <t>A 20070-2022</t>
        </is>
      </c>
      <c r="B901" s="1" t="n">
        <v>44698</v>
      </c>
      <c r="C901" s="1" t="n">
        <v>45754</v>
      </c>
      <c r="D901" t="inlineStr">
        <is>
          <t>JÄMTLANDS LÄN</t>
        </is>
      </c>
      <c r="E901" t="inlineStr">
        <is>
          <t>BRÄCKE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20300-2022</t>
        </is>
      </c>
      <c r="B902" s="1" t="n">
        <v>44699</v>
      </c>
      <c r="C902" s="1" t="n">
        <v>45754</v>
      </c>
      <c r="D902" t="inlineStr">
        <is>
          <t>JÄMTLANDS LÄN</t>
        </is>
      </c>
      <c r="E902" t="inlineStr">
        <is>
          <t>BRÄCKE</t>
        </is>
      </c>
      <c r="F902" t="inlineStr">
        <is>
          <t>SCA</t>
        </is>
      </c>
      <c r="G902" t="n">
        <v>7.1</v>
      </c>
      <c r="H902" t="n">
        <v>0</v>
      </c>
      <c r="I902" t="n">
        <v>0</v>
      </c>
      <c r="J902" t="n">
        <v>0</v>
      </c>
      <c r="K902" t="n">
        <v>0</v>
      </c>
      <c r="L902" t="n">
        <v>0</v>
      </c>
      <c r="M902" t="n">
        <v>0</v>
      </c>
      <c r="N902" t="n">
        <v>0</v>
      </c>
      <c r="O902" t="n">
        <v>0</v>
      </c>
      <c r="P902" t="n">
        <v>0</v>
      </c>
      <c r="Q902" t="n">
        <v>0</v>
      </c>
      <c r="R902" s="2" t="inlineStr"/>
    </row>
    <row r="903" ht="15" customHeight="1">
      <c r="A903" t="inlineStr">
        <is>
          <t>A 20399-2022</t>
        </is>
      </c>
      <c r="B903" s="1" t="n">
        <v>44699</v>
      </c>
      <c r="C903" s="1" t="n">
        <v>45754</v>
      </c>
      <c r="D903" t="inlineStr">
        <is>
          <t>JÄMTLANDS LÄN</t>
        </is>
      </c>
      <c r="E903" t="inlineStr">
        <is>
          <t>BRÄCKE</t>
        </is>
      </c>
      <c r="F903" t="inlineStr">
        <is>
          <t>Övriga Aktiebolag</t>
        </is>
      </c>
      <c r="G903" t="n">
        <v>20.9</v>
      </c>
      <c r="H903" t="n">
        <v>0</v>
      </c>
      <c r="I903" t="n">
        <v>0</v>
      </c>
      <c r="J903" t="n">
        <v>0</v>
      </c>
      <c r="K903" t="n">
        <v>0</v>
      </c>
      <c r="L903" t="n">
        <v>0</v>
      </c>
      <c r="M903" t="n">
        <v>0</v>
      </c>
      <c r="N903" t="n">
        <v>0</v>
      </c>
      <c r="O903" t="n">
        <v>0</v>
      </c>
      <c r="P903" t="n">
        <v>0</v>
      </c>
      <c r="Q903" t="n">
        <v>0</v>
      </c>
      <c r="R903" s="2" t="inlineStr"/>
    </row>
    <row r="904" ht="15" customHeight="1">
      <c r="A904" t="inlineStr">
        <is>
          <t>A 20667-2022</t>
        </is>
      </c>
      <c r="B904" s="1" t="n">
        <v>44700</v>
      </c>
      <c r="C904" s="1" t="n">
        <v>45754</v>
      </c>
      <c r="D904" t="inlineStr">
        <is>
          <t>JÄMTLANDS LÄN</t>
        </is>
      </c>
      <c r="E904" t="inlineStr">
        <is>
          <t>BRÄCKE</t>
        </is>
      </c>
      <c r="G904" t="n">
        <v>13.8</v>
      </c>
      <c r="H904" t="n">
        <v>0</v>
      </c>
      <c r="I904" t="n">
        <v>0</v>
      </c>
      <c r="J904" t="n">
        <v>0</v>
      </c>
      <c r="K904" t="n">
        <v>0</v>
      </c>
      <c r="L904" t="n">
        <v>0</v>
      </c>
      <c r="M904" t="n">
        <v>0</v>
      </c>
      <c r="N904" t="n">
        <v>0</v>
      </c>
      <c r="O904" t="n">
        <v>0</v>
      </c>
      <c r="P904" t="n">
        <v>0</v>
      </c>
      <c r="Q904" t="n">
        <v>0</v>
      </c>
      <c r="R904" s="2" t="inlineStr"/>
    </row>
    <row r="905" ht="15" customHeight="1">
      <c r="A905" t="inlineStr">
        <is>
          <t>A 20718-2022</t>
        </is>
      </c>
      <c r="B905" s="1" t="n">
        <v>44700</v>
      </c>
      <c r="C905" s="1" t="n">
        <v>45754</v>
      </c>
      <c r="D905" t="inlineStr">
        <is>
          <t>JÄMTLANDS LÄN</t>
        </is>
      </c>
      <c r="E905" t="inlineStr">
        <is>
          <t>BRÄCKE</t>
        </is>
      </c>
      <c r="F905" t="inlineStr">
        <is>
          <t>SCA</t>
        </is>
      </c>
      <c r="G905" t="n">
        <v>4.6</v>
      </c>
      <c r="H905" t="n">
        <v>0</v>
      </c>
      <c r="I905" t="n">
        <v>0</v>
      </c>
      <c r="J905" t="n">
        <v>0</v>
      </c>
      <c r="K905" t="n">
        <v>0</v>
      </c>
      <c r="L905" t="n">
        <v>0</v>
      </c>
      <c r="M905" t="n">
        <v>0</v>
      </c>
      <c r="N905" t="n">
        <v>0</v>
      </c>
      <c r="O905" t="n">
        <v>0</v>
      </c>
      <c r="P905" t="n">
        <v>0</v>
      </c>
      <c r="Q905" t="n">
        <v>0</v>
      </c>
      <c r="R905" s="2" t="inlineStr"/>
    </row>
    <row r="906" ht="15" customHeight="1">
      <c r="A906" t="inlineStr">
        <is>
          <t>A 20727-2022</t>
        </is>
      </c>
      <c r="B906" s="1" t="n">
        <v>44700</v>
      </c>
      <c r="C906" s="1" t="n">
        <v>45754</v>
      </c>
      <c r="D906" t="inlineStr">
        <is>
          <t>JÄMTLANDS LÄN</t>
        </is>
      </c>
      <c r="E906" t="inlineStr">
        <is>
          <t>BRÄCKE</t>
        </is>
      </c>
      <c r="G906" t="n">
        <v>1.5</v>
      </c>
      <c r="H906" t="n">
        <v>0</v>
      </c>
      <c r="I906" t="n">
        <v>0</v>
      </c>
      <c r="J906" t="n">
        <v>0</v>
      </c>
      <c r="K906" t="n">
        <v>0</v>
      </c>
      <c r="L906" t="n">
        <v>0</v>
      </c>
      <c r="M906" t="n">
        <v>0</v>
      </c>
      <c r="N906" t="n">
        <v>0</v>
      </c>
      <c r="O906" t="n">
        <v>0</v>
      </c>
      <c r="P906" t="n">
        <v>0</v>
      </c>
      <c r="Q906" t="n">
        <v>0</v>
      </c>
      <c r="R906" s="2" t="inlineStr"/>
    </row>
    <row r="907" ht="15" customHeight="1">
      <c r="A907" t="inlineStr">
        <is>
          <t>A 21655-2022</t>
        </is>
      </c>
      <c r="B907" s="1" t="n">
        <v>44707</v>
      </c>
      <c r="C907" s="1" t="n">
        <v>45754</v>
      </c>
      <c r="D907" t="inlineStr">
        <is>
          <t>JÄMTLANDS LÄN</t>
        </is>
      </c>
      <c r="E907" t="inlineStr">
        <is>
          <t>BRÄCKE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21656-2022</t>
        </is>
      </c>
      <c r="B908" s="1" t="n">
        <v>44707</v>
      </c>
      <c r="C908" s="1" t="n">
        <v>45754</v>
      </c>
      <c r="D908" t="inlineStr">
        <is>
          <t>JÄMTLANDS LÄN</t>
        </is>
      </c>
      <c r="E908" t="inlineStr">
        <is>
          <t>BRÄCKE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21722-2022</t>
        </is>
      </c>
      <c r="B909" s="1" t="n">
        <v>44706</v>
      </c>
      <c r="C909" s="1" t="n">
        <v>45754</v>
      </c>
      <c r="D909" t="inlineStr">
        <is>
          <t>JÄMTLANDS LÄN</t>
        </is>
      </c>
      <c r="E909" t="inlineStr">
        <is>
          <t>BRÄCKE</t>
        </is>
      </c>
      <c r="G909" t="n">
        <v>1.5</v>
      </c>
      <c r="H909" t="n">
        <v>0</v>
      </c>
      <c r="I909" t="n">
        <v>0</v>
      </c>
      <c r="J909" t="n">
        <v>0</v>
      </c>
      <c r="K909" t="n">
        <v>0</v>
      </c>
      <c r="L909" t="n">
        <v>0</v>
      </c>
      <c r="M909" t="n">
        <v>0</v>
      </c>
      <c r="N909" t="n">
        <v>0</v>
      </c>
      <c r="O909" t="n">
        <v>0</v>
      </c>
      <c r="P909" t="n">
        <v>0</v>
      </c>
      <c r="Q909" t="n">
        <v>0</v>
      </c>
      <c r="R909" s="2" t="inlineStr"/>
    </row>
    <row r="910" ht="15" customHeight="1">
      <c r="A910" t="inlineStr">
        <is>
          <t>A 21654-2022</t>
        </is>
      </c>
      <c r="B910" s="1" t="n">
        <v>44707</v>
      </c>
      <c r="C910" s="1" t="n">
        <v>45754</v>
      </c>
      <c r="D910" t="inlineStr">
        <is>
          <t>JÄMTLANDS LÄN</t>
        </is>
      </c>
      <c r="E910" t="inlineStr">
        <is>
          <t>BRÄCKE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21717-2022</t>
        </is>
      </c>
      <c r="B911" s="1" t="n">
        <v>44708</v>
      </c>
      <c r="C911" s="1" t="n">
        <v>45754</v>
      </c>
      <c r="D911" t="inlineStr">
        <is>
          <t>JÄMTLANDS LÄN</t>
        </is>
      </c>
      <c r="E911" t="inlineStr">
        <is>
          <t>BRÄCKE</t>
        </is>
      </c>
      <c r="G911" t="n">
        <v>10.8</v>
      </c>
      <c r="H911" t="n">
        <v>0</v>
      </c>
      <c r="I911" t="n">
        <v>0</v>
      </c>
      <c r="J911" t="n">
        <v>0</v>
      </c>
      <c r="K911" t="n">
        <v>0</v>
      </c>
      <c r="L911" t="n">
        <v>0</v>
      </c>
      <c r="M911" t="n">
        <v>0</v>
      </c>
      <c r="N911" t="n">
        <v>0</v>
      </c>
      <c r="O911" t="n">
        <v>0</v>
      </c>
      <c r="P911" t="n">
        <v>0</v>
      </c>
      <c r="Q911" t="n">
        <v>0</v>
      </c>
      <c r="R911" s="2" t="inlineStr"/>
    </row>
    <row r="912" ht="15" customHeight="1">
      <c r="A912" t="inlineStr">
        <is>
          <t>A 22094-2022</t>
        </is>
      </c>
      <c r="B912" s="1" t="n">
        <v>44712</v>
      </c>
      <c r="C912" s="1" t="n">
        <v>45754</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22095-2022</t>
        </is>
      </c>
      <c r="B913" s="1" t="n">
        <v>44712</v>
      </c>
      <c r="C913" s="1" t="n">
        <v>45754</v>
      </c>
      <c r="D913" t="inlineStr">
        <is>
          <t>JÄMTLANDS LÄN</t>
        </is>
      </c>
      <c r="E913" t="inlineStr">
        <is>
          <t>BRÄCKE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22612-2022</t>
        </is>
      </c>
      <c r="B914" s="1" t="n">
        <v>44714</v>
      </c>
      <c r="C914" s="1" t="n">
        <v>45754</v>
      </c>
      <c r="D914" t="inlineStr">
        <is>
          <t>JÄMTLANDS LÄN</t>
        </is>
      </c>
      <c r="E914" t="inlineStr">
        <is>
          <t>BRÄCKE</t>
        </is>
      </c>
      <c r="G914" t="n">
        <v>6.3</v>
      </c>
      <c r="H914" t="n">
        <v>0</v>
      </c>
      <c r="I914" t="n">
        <v>0</v>
      </c>
      <c r="J914" t="n">
        <v>0</v>
      </c>
      <c r="K914" t="n">
        <v>0</v>
      </c>
      <c r="L914" t="n">
        <v>0</v>
      </c>
      <c r="M914" t="n">
        <v>0</v>
      </c>
      <c r="N914" t="n">
        <v>0</v>
      </c>
      <c r="O914" t="n">
        <v>0</v>
      </c>
      <c r="P914" t="n">
        <v>0</v>
      </c>
      <c r="Q914" t="n">
        <v>0</v>
      </c>
      <c r="R914" s="2" t="inlineStr"/>
    </row>
    <row r="915" ht="15" customHeight="1">
      <c r="A915" t="inlineStr">
        <is>
          <t>A 22702-2022</t>
        </is>
      </c>
      <c r="B915" s="1" t="n">
        <v>44714</v>
      </c>
      <c r="C915" s="1" t="n">
        <v>45754</v>
      </c>
      <c r="D915" t="inlineStr">
        <is>
          <t>JÄMTLANDS LÄN</t>
        </is>
      </c>
      <c r="E915" t="inlineStr">
        <is>
          <t>BRÄCKE</t>
        </is>
      </c>
      <c r="G915" t="n">
        <v>4.6</v>
      </c>
      <c r="H915" t="n">
        <v>0</v>
      </c>
      <c r="I915" t="n">
        <v>0</v>
      </c>
      <c r="J915" t="n">
        <v>0</v>
      </c>
      <c r="K915" t="n">
        <v>0</v>
      </c>
      <c r="L915" t="n">
        <v>0</v>
      </c>
      <c r="M915" t="n">
        <v>0</v>
      </c>
      <c r="N915" t="n">
        <v>0</v>
      </c>
      <c r="O915" t="n">
        <v>0</v>
      </c>
      <c r="P915" t="n">
        <v>0</v>
      </c>
      <c r="Q915" t="n">
        <v>0</v>
      </c>
      <c r="R915" s="2" t="inlineStr"/>
    </row>
    <row r="916" ht="15" customHeight="1">
      <c r="A916" t="inlineStr">
        <is>
          <t>A 23426-2022</t>
        </is>
      </c>
      <c r="B916" s="1" t="n">
        <v>44720</v>
      </c>
      <c r="C916" s="1" t="n">
        <v>45754</v>
      </c>
      <c r="D916" t="inlineStr">
        <is>
          <t>JÄMTLANDS LÄN</t>
        </is>
      </c>
      <c r="E916" t="inlineStr">
        <is>
          <t>BRÄCKE</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23427-2022</t>
        </is>
      </c>
      <c r="B917" s="1" t="n">
        <v>44721</v>
      </c>
      <c r="C917" s="1" t="n">
        <v>45754</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23444-2022</t>
        </is>
      </c>
      <c r="B918" s="1" t="n">
        <v>44721</v>
      </c>
      <c r="C918" s="1" t="n">
        <v>45754</v>
      </c>
      <c r="D918" t="inlineStr">
        <is>
          <t>JÄMTLANDS LÄN</t>
        </is>
      </c>
      <c r="E918" t="inlineStr">
        <is>
          <t>BRÄCKE</t>
        </is>
      </c>
      <c r="G918" t="n">
        <v>1.9</v>
      </c>
      <c r="H918" t="n">
        <v>0</v>
      </c>
      <c r="I918" t="n">
        <v>0</v>
      </c>
      <c r="J918" t="n">
        <v>0</v>
      </c>
      <c r="K918" t="n">
        <v>0</v>
      </c>
      <c r="L918" t="n">
        <v>0</v>
      </c>
      <c r="M918" t="n">
        <v>0</v>
      </c>
      <c r="N918" t="n">
        <v>0</v>
      </c>
      <c r="O918" t="n">
        <v>0</v>
      </c>
      <c r="P918" t="n">
        <v>0</v>
      </c>
      <c r="Q918" t="n">
        <v>0</v>
      </c>
      <c r="R918" s="2" t="inlineStr"/>
    </row>
    <row r="919" ht="15" customHeight="1">
      <c r="A919" t="inlineStr">
        <is>
          <t>A 23441-2022</t>
        </is>
      </c>
      <c r="B919" s="1" t="n">
        <v>44721</v>
      </c>
      <c r="C919" s="1" t="n">
        <v>45754</v>
      </c>
      <c r="D919" t="inlineStr">
        <is>
          <t>JÄMTLANDS LÄN</t>
        </is>
      </c>
      <c r="E919" t="inlineStr">
        <is>
          <t>BRÄCKE</t>
        </is>
      </c>
      <c r="G919" t="n">
        <v>2.4</v>
      </c>
      <c r="H919" t="n">
        <v>0</v>
      </c>
      <c r="I919" t="n">
        <v>0</v>
      </c>
      <c r="J919" t="n">
        <v>0</v>
      </c>
      <c r="K919" t="n">
        <v>0</v>
      </c>
      <c r="L919" t="n">
        <v>0</v>
      </c>
      <c r="M919" t="n">
        <v>0</v>
      </c>
      <c r="N919" t="n">
        <v>0</v>
      </c>
      <c r="O919" t="n">
        <v>0</v>
      </c>
      <c r="P919" t="n">
        <v>0</v>
      </c>
      <c r="Q919" t="n">
        <v>0</v>
      </c>
      <c r="R919" s="2" t="inlineStr"/>
    </row>
    <row r="920" ht="15" customHeight="1">
      <c r="A920" t="inlineStr">
        <is>
          <t>A 23433-2022</t>
        </is>
      </c>
      <c r="B920" s="1" t="n">
        <v>44720</v>
      </c>
      <c r="C920" s="1" t="n">
        <v>45754</v>
      </c>
      <c r="D920" t="inlineStr">
        <is>
          <t>JÄMTLANDS LÄN</t>
        </is>
      </c>
      <c r="E920" t="inlineStr">
        <is>
          <t>BRÄCKE</t>
        </is>
      </c>
      <c r="F920" t="inlineStr">
        <is>
          <t>SCA</t>
        </is>
      </c>
      <c r="G920" t="n">
        <v>5.3</v>
      </c>
      <c r="H920" t="n">
        <v>0</v>
      </c>
      <c r="I920" t="n">
        <v>0</v>
      </c>
      <c r="J920" t="n">
        <v>0</v>
      </c>
      <c r="K920" t="n">
        <v>0</v>
      </c>
      <c r="L920" t="n">
        <v>0</v>
      </c>
      <c r="M920" t="n">
        <v>0</v>
      </c>
      <c r="N920" t="n">
        <v>0</v>
      </c>
      <c r="O920" t="n">
        <v>0</v>
      </c>
      <c r="P920" t="n">
        <v>0</v>
      </c>
      <c r="Q920" t="n">
        <v>0</v>
      </c>
      <c r="R920" s="2" t="inlineStr"/>
    </row>
    <row r="921" ht="15" customHeight="1">
      <c r="A921" t="inlineStr">
        <is>
          <t>A 23443-2022</t>
        </is>
      </c>
      <c r="B921" s="1" t="n">
        <v>44721</v>
      </c>
      <c r="C921" s="1" t="n">
        <v>45754</v>
      </c>
      <c r="D921" t="inlineStr">
        <is>
          <t>JÄMTLANDS LÄN</t>
        </is>
      </c>
      <c r="E921" t="inlineStr">
        <is>
          <t>BRÄCKE</t>
        </is>
      </c>
      <c r="G921" t="n">
        <v>1.9</v>
      </c>
      <c r="H921" t="n">
        <v>0</v>
      </c>
      <c r="I921" t="n">
        <v>0</v>
      </c>
      <c r="J921" t="n">
        <v>0</v>
      </c>
      <c r="K921" t="n">
        <v>0</v>
      </c>
      <c r="L921" t="n">
        <v>0</v>
      </c>
      <c r="M921" t="n">
        <v>0</v>
      </c>
      <c r="N921" t="n">
        <v>0</v>
      </c>
      <c r="O921" t="n">
        <v>0</v>
      </c>
      <c r="P921" t="n">
        <v>0</v>
      </c>
      <c r="Q921" t="n">
        <v>0</v>
      </c>
      <c r="R921" s="2" t="inlineStr"/>
    </row>
    <row r="922" ht="15" customHeight="1">
      <c r="A922" t="inlineStr">
        <is>
          <t>A 23687-2022</t>
        </is>
      </c>
      <c r="B922" s="1" t="n">
        <v>44721</v>
      </c>
      <c r="C922" s="1" t="n">
        <v>45754</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24056-2022</t>
        </is>
      </c>
      <c r="B923" s="1" t="n">
        <v>44725</v>
      </c>
      <c r="C923" s="1" t="n">
        <v>45754</v>
      </c>
      <c r="D923" t="inlineStr">
        <is>
          <t>JÄMTLANDS LÄN</t>
        </is>
      </c>
      <c r="E923" t="inlineStr">
        <is>
          <t>BRÄCKE</t>
        </is>
      </c>
      <c r="G923" t="n">
        <v>1.4</v>
      </c>
      <c r="H923" t="n">
        <v>0</v>
      </c>
      <c r="I923" t="n">
        <v>0</v>
      </c>
      <c r="J923" t="n">
        <v>0</v>
      </c>
      <c r="K923" t="n">
        <v>0</v>
      </c>
      <c r="L923" t="n">
        <v>0</v>
      </c>
      <c r="M923" t="n">
        <v>0</v>
      </c>
      <c r="N923" t="n">
        <v>0</v>
      </c>
      <c r="O923" t="n">
        <v>0</v>
      </c>
      <c r="P923" t="n">
        <v>0</v>
      </c>
      <c r="Q923" t="n">
        <v>0</v>
      </c>
      <c r="R923" s="2" t="inlineStr"/>
    </row>
    <row r="924" ht="15" customHeight="1">
      <c r="A924" t="inlineStr">
        <is>
          <t>A 24055-2022</t>
        </is>
      </c>
      <c r="B924" s="1" t="n">
        <v>44725</v>
      </c>
      <c r="C924" s="1" t="n">
        <v>45754</v>
      </c>
      <c r="D924" t="inlineStr">
        <is>
          <t>JÄMTLANDS LÄN</t>
        </is>
      </c>
      <c r="E924" t="inlineStr">
        <is>
          <t>BRÄCKE</t>
        </is>
      </c>
      <c r="G924" t="n">
        <v>2.4</v>
      </c>
      <c r="H924" t="n">
        <v>0</v>
      </c>
      <c r="I924" t="n">
        <v>0</v>
      </c>
      <c r="J924" t="n">
        <v>0</v>
      </c>
      <c r="K924" t="n">
        <v>0</v>
      </c>
      <c r="L924" t="n">
        <v>0</v>
      </c>
      <c r="M924" t="n">
        <v>0</v>
      </c>
      <c r="N924" t="n">
        <v>0</v>
      </c>
      <c r="O924" t="n">
        <v>0</v>
      </c>
      <c r="P924" t="n">
        <v>0</v>
      </c>
      <c r="Q924" t="n">
        <v>0</v>
      </c>
      <c r="R924" s="2" t="inlineStr"/>
    </row>
    <row r="925" ht="15" customHeight="1">
      <c r="A925" t="inlineStr">
        <is>
          <t>A 24054-2022</t>
        </is>
      </c>
      <c r="B925" s="1" t="n">
        <v>44725</v>
      </c>
      <c r="C925" s="1" t="n">
        <v>45754</v>
      </c>
      <c r="D925" t="inlineStr">
        <is>
          <t>JÄMTLANDS LÄN</t>
        </is>
      </c>
      <c r="E925" t="inlineStr">
        <is>
          <t>BRÄCKE</t>
        </is>
      </c>
      <c r="G925" t="n">
        <v>5.5</v>
      </c>
      <c r="H925" t="n">
        <v>0</v>
      </c>
      <c r="I925" t="n">
        <v>0</v>
      </c>
      <c r="J925" t="n">
        <v>0</v>
      </c>
      <c r="K925" t="n">
        <v>0</v>
      </c>
      <c r="L925" t="n">
        <v>0</v>
      </c>
      <c r="M925" t="n">
        <v>0</v>
      </c>
      <c r="N925" t="n">
        <v>0</v>
      </c>
      <c r="O925" t="n">
        <v>0</v>
      </c>
      <c r="P925" t="n">
        <v>0</v>
      </c>
      <c r="Q925" t="n">
        <v>0</v>
      </c>
      <c r="R925" s="2" t="inlineStr"/>
    </row>
    <row r="926" ht="15" customHeight="1">
      <c r="A926" t="inlineStr">
        <is>
          <t>A 24053-2022</t>
        </is>
      </c>
      <c r="B926" s="1" t="n">
        <v>44725</v>
      </c>
      <c r="C926" s="1" t="n">
        <v>45754</v>
      </c>
      <c r="D926" t="inlineStr">
        <is>
          <t>JÄMTLANDS LÄN</t>
        </is>
      </c>
      <c r="E926" t="inlineStr">
        <is>
          <t>BRÄCKE</t>
        </is>
      </c>
      <c r="G926" t="n">
        <v>1</v>
      </c>
      <c r="H926" t="n">
        <v>0</v>
      </c>
      <c r="I926" t="n">
        <v>0</v>
      </c>
      <c r="J926" t="n">
        <v>0</v>
      </c>
      <c r="K926" t="n">
        <v>0</v>
      </c>
      <c r="L926" t="n">
        <v>0</v>
      </c>
      <c r="M926" t="n">
        <v>0</v>
      </c>
      <c r="N926" t="n">
        <v>0</v>
      </c>
      <c r="O926" t="n">
        <v>0</v>
      </c>
      <c r="P926" t="n">
        <v>0</v>
      </c>
      <c r="Q926" t="n">
        <v>0</v>
      </c>
      <c r="R926" s="2" t="inlineStr"/>
    </row>
    <row r="927" ht="15" customHeight="1">
      <c r="A927" t="inlineStr">
        <is>
          <t>A 24531-2022</t>
        </is>
      </c>
      <c r="B927" s="1" t="n">
        <v>44726</v>
      </c>
      <c r="C927" s="1" t="n">
        <v>45754</v>
      </c>
      <c r="D927" t="inlineStr">
        <is>
          <t>JÄMTLANDS LÄN</t>
        </is>
      </c>
      <c r="E927" t="inlineStr">
        <is>
          <t>BRÄCKE</t>
        </is>
      </c>
      <c r="F927" t="inlineStr">
        <is>
          <t>SCA</t>
        </is>
      </c>
      <c r="G927" t="n">
        <v>5.1</v>
      </c>
      <c r="H927" t="n">
        <v>0</v>
      </c>
      <c r="I927" t="n">
        <v>0</v>
      </c>
      <c r="J927" t="n">
        <v>0</v>
      </c>
      <c r="K927" t="n">
        <v>0</v>
      </c>
      <c r="L927" t="n">
        <v>0</v>
      </c>
      <c r="M927" t="n">
        <v>0</v>
      </c>
      <c r="N927" t="n">
        <v>0</v>
      </c>
      <c r="O927" t="n">
        <v>0</v>
      </c>
      <c r="P927" t="n">
        <v>0</v>
      </c>
      <c r="Q927" t="n">
        <v>0</v>
      </c>
      <c r="R927" s="2" t="inlineStr"/>
    </row>
    <row r="928" ht="15" customHeight="1">
      <c r="A928" t="inlineStr">
        <is>
          <t>A 24718-2022</t>
        </is>
      </c>
      <c r="B928" s="1" t="n">
        <v>44728</v>
      </c>
      <c r="C928" s="1" t="n">
        <v>45754</v>
      </c>
      <c r="D928" t="inlineStr">
        <is>
          <t>JÄMTLANDS LÄN</t>
        </is>
      </c>
      <c r="E928" t="inlineStr">
        <is>
          <t>BRÄCKE</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24717-2022</t>
        </is>
      </c>
      <c r="B929" s="1" t="n">
        <v>44727</v>
      </c>
      <c r="C929" s="1" t="n">
        <v>45754</v>
      </c>
      <c r="D929" t="inlineStr">
        <is>
          <t>JÄMTLANDS LÄN</t>
        </is>
      </c>
      <c r="E929" t="inlineStr">
        <is>
          <t>BRÄCKE</t>
        </is>
      </c>
      <c r="F929" t="inlineStr">
        <is>
          <t>SCA</t>
        </is>
      </c>
      <c r="G929" t="n">
        <v>5.2</v>
      </c>
      <c r="H929" t="n">
        <v>0</v>
      </c>
      <c r="I929" t="n">
        <v>0</v>
      </c>
      <c r="J929" t="n">
        <v>0</v>
      </c>
      <c r="K929" t="n">
        <v>0</v>
      </c>
      <c r="L929" t="n">
        <v>0</v>
      </c>
      <c r="M929" t="n">
        <v>0</v>
      </c>
      <c r="N929" t="n">
        <v>0</v>
      </c>
      <c r="O929" t="n">
        <v>0</v>
      </c>
      <c r="P929" t="n">
        <v>0</v>
      </c>
      <c r="Q929" t="n">
        <v>0</v>
      </c>
      <c r="R929" s="2" t="inlineStr"/>
    </row>
    <row r="930" ht="15" customHeight="1">
      <c r="A930" t="inlineStr">
        <is>
          <t>A 24726-2022</t>
        </is>
      </c>
      <c r="B930" s="1" t="n">
        <v>44727</v>
      </c>
      <c r="C930" s="1" t="n">
        <v>45754</v>
      </c>
      <c r="D930" t="inlineStr">
        <is>
          <t>JÄMTLANDS LÄN</t>
        </is>
      </c>
      <c r="E930" t="inlineStr">
        <is>
          <t>BRÄCKE</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25150-2022</t>
        </is>
      </c>
      <c r="B931" s="1" t="n">
        <v>44729</v>
      </c>
      <c r="C931" s="1" t="n">
        <v>45754</v>
      </c>
      <c r="D931" t="inlineStr">
        <is>
          <t>JÄMTLANDS LÄN</t>
        </is>
      </c>
      <c r="E931" t="inlineStr">
        <is>
          <t>BRÄCKE</t>
        </is>
      </c>
      <c r="F931" t="inlineStr">
        <is>
          <t>Övriga Aktiebolag</t>
        </is>
      </c>
      <c r="G931" t="n">
        <v>10.4</v>
      </c>
      <c r="H931" t="n">
        <v>0</v>
      </c>
      <c r="I931" t="n">
        <v>0</v>
      </c>
      <c r="J931" t="n">
        <v>0</v>
      </c>
      <c r="K931" t="n">
        <v>0</v>
      </c>
      <c r="L931" t="n">
        <v>0</v>
      </c>
      <c r="M931" t="n">
        <v>0</v>
      </c>
      <c r="N931" t="n">
        <v>0</v>
      </c>
      <c r="O931" t="n">
        <v>0</v>
      </c>
      <c r="P931" t="n">
        <v>0</v>
      </c>
      <c r="Q931" t="n">
        <v>0</v>
      </c>
      <c r="R931" s="2" t="inlineStr"/>
    </row>
    <row r="932" ht="15" customHeight="1">
      <c r="A932" t="inlineStr">
        <is>
          <t>A 25192-2022</t>
        </is>
      </c>
      <c r="B932" s="1" t="n">
        <v>44729</v>
      </c>
      <c r="C932" s="1" t="n">
        <v>45754</v>
      </c>
      <c r="D932" t="inlineStr">
        <is>
          <t>JÄMTLANDS LÄN</t>
        </is>
      </c>
      <c r="E932" t="inlineStr">
        <is>
          <t>BRÄCKE</t>
        </is>
      </c>
      <c r="F932" t="inlineStr">
        <is>
          <t>Övriga Aktiebolag</t>
        </is>
      </c>
      <c r="G932" t="n">
        <v>5.6</v>
      </c>
      <c r="H932" t="n">
        <v>0</v>
      </c>
      <c r="I932" t="n">
        <v>0</v>
      </c>
      <c r="J932" t="n">
        <v>0</v>
      </c>
      <c r="K932" t="n">
        <v>0</v>
      </c>
      <c r="L932" t="n">
        <v>0</v>
      </c>
      <c r="M932" t="n">
        <v>0</v>
      </c>
      <c r="N932" t="n">
        <v>0</v>
      </c>
      <c r="O932" t="n">
        <v>0</v>
      </c>
      <c r="P932" t="n">
        <v>0</v>
      </c>
      <c r="Q932" t="n">
        <v>0</v>
      </c>
      <c r="R932" s="2" t="inlineStr"/>
    </row>
    <row r="933" ht="15" customHeight="1">
      <c r="A933" t="inlineStr">
        <is>
          <t>A 25883-2022</t>
        </is>
      </c>
      <c r="B933" s="1" t="n">
        <v>44733</v>
      </c>
      <c r="C933" s="1" t="n">
        <v>45754</v>
      </c>
      <c r="D933" t="inlineStr">
        <is>
          <t>JÄMTLANDS LÄN</t>
        </is>
      </c>
      <c r="E933" t="inlineStr">
        <is>
          <t>BRÄCKE</t>
        </is>
      </c>
      <c r="F933" t="inlineStr">
        <is>
          <t>Övriga Aktiebolag</t>
        </is>
      </c>
      <c r="G933" t="n">
        <v>23.4</v>
      </c>
      <c r="H933" t="n">
        <v>0</v>
      </c>
      <c r="I933" t="n">
        <v>0</v>
      </c>
      <c r="J933" t="n">
        <v>0</v>
      </c>
      <c r="K933" t="n">
        <v>0</v>
      </c>
      <c r="L933" t="n">
        <v>0</v>
      </c>
      <c r="M933" t="n">
        <v>0</v>
      </c>
      <c r="N933" t="n">
        <v>0</v>
      </c>
      <c r="O933" t="n">
        <v>0</v>
      </c>
      <c r="P933" t="n">
        <v>0</v>
      </c>
      <c r="Q933" t="n">
        <v>0</v>
      </c>
      <c r="R933" s="2" t="inlineStr"/>
    </row>
    <row r="934" ht="15" customHeight="1">
      <c r="A934" t="inlineStr">
        <is>
          <t>A 26139-2022</t>
        </is>
      </c>
      <c r="B934" s="1" t="n">
        <v>44734</v>
      </c>
      <c r="C934" s="1" t="n">
        <v>45754</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26138-2022</t>
        </is>
      </c>
      <c r="B935" s="1" t="n">
        <v>44734</v>
      </c>
      <c r="C935" s="1" t="n">
        <v>45754</v>
      </c>
      <c r="D935" t="inlineStr">
        <is>
          <t>JÄMTLANDS LÄN</t>
        </is>
      </c>
      <c r="E935" t="inlineStr">
        <is>
          <t>BRÄCKE</t>
        </is>
      </c>
      <c r="F935" t="inlineStr">
        <is>
          <t>SCA</t>
        </is>
      </c>
      <c r="G935" t="n">
        <v>9.1</v>
      </c>
      <c r="H935" t="n">
        <v>0</v>
      </c>
      <c r="I935" t="n">
        <v>0</v>
      </c>
      <c r="J935" t="n">
        <v>0</v>
      </c>
      <c r="K935" t="n">
        <v>0</v>
      </c>
      <c r="L935" t="n">
        <v>0</v>
      </c>
      <c r="M935" t="n">
        <v>0</v>
      </c>
      <c r="N935" t="n">
        <v>0</v>
      </c>
      <c r="O935" t="n">
        <v>0</v>
      </c>
      <c r="P935" t="n">
        <v>0</v>
      </c>
      <c r="Q935" t="n">
        <v>0</v>
      </c>
      <c r="R935" s="2" t="inlineStr"/>
    </row>
    <row r="936" ht="15" customHeight="1">
      <c r="A936" t="inlineStr">
        <is>
          <t>A 26437-2022</t>
        </is>
      </c>
      <c r="B936" s="1" t="n">
        <v>44737</v>
      </c>
      <c r="C936" s="1" t="n">
        <v>45754</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26445-2022</t>
        </is>
      </c>
      <c r="B937" s="1" t="n">
        <v>44738</v>
      </c>
      <c r="C937" s="1" t="n">
        <v>45754</v>
      </c>
      <c r="D937" t="inlineStr">
        <is>
          <t>JÄMTLANDS LÄN</t>
        </is>
      </c>
      <c r="E937" t="inlineStr">
        <is>
          <t>BRÄCKE</t>
        </is>
      </c>
      <c r="F937" t="inlineStr">
        <is>
          <t>SCA</t>
        </is>
      </c>
      <c r="G937" t="n">
        <v>62.5</v>
      </c>
      <c r="H937" t="n">
        <v>0</v>
      </c>
      <c r="I937" t="n">
        <v>0</v>
      </c>
      <c r="J937" t="n">
        <v>0</v>
      </c>
      <c r="K937" t="n">
        <v>0</v>
      </c>
      <c r="L937" t="n">
        <v>0</v>
      </c>
      <c r="M937" t="n">
        <v>0</v>
      </c>
      <c r="N937" t="n">
        <v>0</v>
      </c>
      <c r="O937" t="n">
        <v>0</v>
      </c>
      <c r="P937" t="n">
        <v>0</v>
      </c>
      <c r="Q937" t="n">
        <v>0</v>
      </c>
      <c r="R937" s="2" t="inlineStr"/>
    </row>
    <row r="938" ht="15" customHeight="1">
      <c r="A938" t="inlineStr">
        <is>
          <t>A 26444-2022</t>
        </is>
      </c>
      <c r="B938" s="1" t="n">
        <v>44739</v>
      </c>
      <c r="C938" s="1" t="n">
        <v>45754</v>
      </c>
      <c r="D938" t="inlineStr">
        <is>
          <t>JÄMTLANDS LÄN</t>
        </is>
      </c>
      <c r="E938" t="inlineStr">
        <is>
          <t>BRÄCKE</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26458-2022</t>
        </is>
      </c>
      <c r="B939" s="1" t="n">
        <v>44739</v>
      </c>
      <c r="C939" s="1" t="n">
        <v>45754</v>
      </c>
      <c r="D939" t="inlineStr">
        <is>
          <t>JÄMTLANDS LÄN</t>
        </is>
      </c>
      <c r="E939" t="inlineStr">
        <is>
          <t>BRÄCKE</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26750-2022</t>
        </is>
      </c>
      <c r="B940" s="1" t="n">
        <v>44740</v>
      </c>
      <c r="C940" s="1" t="n">
        <v>45754</v>
      </c>
      <c r="D940" t="inlineStr">
        <is>
          <t>JÄMTLANDS LÄN</t>
        </is>
      </c>
      <c r="E940" t="inlineStr">
        <is>
          <t>BRÄCKE</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26751-2022</t>
        </is>
      </c>
      <c r="B941" s="1" t="n">
        <v>44739</v>
      </c>
      <c r="C941" s="1" t="n">
        <v>45754</v>
      </c>
      <c r="D941" t="inlineStr">
        <is>
          <t>JÄMTLANDS LÄN</t>
        </is>
      </c>
      <c r="E941" t="inlineStr">
        <is>
          <t>BRÄCKE</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27351-2022</t>
        </is>
      </c>
      <c r="B942" s="1" t="n">
        <v>44742</v>
      </c>
      <c r="C942" s="1" t="n">
        <v>45754</v>
      </c>
      <c r="D942" t="inlineStr">
        <is>
          <t>JÄMTLANDS LÄN</t>
        </is>
      </c>
      <c r="E942" t="inlineStr">
        <is>
          <t>BRÄCKE</t>
        </is>
      </c>
      <c r="G942" t="n">
        <v>2</v>
      </c>
      <c r="H942" t="n">
        <v>0</v>
      </c>
      <c r="I942" t="n">
        <v>0</v>
      </c>
      <c r="J942" t="n">
        <v>0</v>
      </c>
      <c r="K942" t="n">
        <v>0</v>
      </c>
      <c r="L942" t="n">
        <v>0</v>
      </c>
      <c r="M942" t="n">
        <v>0</v>
      </c>
      <c r="N942" t="n">
        <v>0</v>
      </c>
      <c r="O942" t="n">
        <v>0</v>
      </c>
      <c r="P942" t="n">
        <v>0</v>
      </c>
      <c r="Q942" t="n">
        <v>0</v>
      </c>
      <c r="R942" s="2" t="inlineStr"/>
    </row>
    <row r="943" ht="15" customHeight="1">
      <c r="A943" t="inlineStr">
        <is>
          <t>A 28285-2022</t>
        </is>
      </c>
      <c r="B943" s="1" t="n">
        <v>44746</v>
      </c>
      <c r="C943" s="1" t="n">
        <v>45754</v>
      </c>
      <c r="D943" t="inlineStr">
        <is>
          <t>JÄMTLANDS LÄN</t>
        </is>
      </c>
      <c r="E943" t="inlineStr">
        <is>
          <t>BRÄCKE</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28296-2022</t>
        </is>
      </c>
      <c r="B944" s="1" t="n">
        <v>44747</v>
      </c>
      <c r="C944" s="1" t="n">
        <v>45754</v>
      </c>
      <c r="D944" t="inlineStr">
        <is>
          <t>JÄMTLANDS LÄN</t>
        </is>
      </c>
      <c r="E944" t="inlineStr">
        <is>
          <t>BRÄCKE</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28738-2022</t>
        </is>
      </c>
      <c r="B945" s="1" t="n">
        <v>44749</v>
      </c>
      <c r="C945" s="1" t="n">
        <v>45754</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29325-2022</t>
        </is>
      </c>
      <c r="B946" s="1" t="n">
        <v>44752</v>
      </c>
      <c r="C946" s="1" t="n">
        <v>45754</v>
      </c>
      <c r="D946" t="inlineStr">
        <is>
          <t>JÄMTLANDS LÄN</t>
        </is>
      </c>
      <c r="E946" t="inlineStr">
        <is>
          <t>BRÄCKE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29821-2022</t>
        </is>
      </c>
      <c r="B947" s="1" t="n">
        <v>44756</v>
      </c>
      <c r="C947" s="1" t="n">
        <v>45754</v>
      </c>
      <c r="D947" t="inlineStr">
        <is>
          <t>JÄMTLANDS LÄN</t>
        </is>
      </c>
      <c r="E947" t="inlineStr">
        <is>
          <t>BRÄCKE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29835-2022</t>
        </is>
      </c>
      <c r="B948" s="1" t="n">
        <v>44756</v>
      </c>
      <c r="C948" s="1" t="n">
        <v>45754</v>
      </c>
      <c r="D948" t="inlineStr">
        <is>
          <t>JÄMTLANDS LÄN</t>
        </is>
      </c>
      <c r="E948" t="inlineStr">
        <is>
          <t>BRÄCKE</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29820-2022</t>
        </is>
      </c>
      <c r="B949" s="1" t="n">
        <v>44756</v>
      </c>
      <c r="C949" s="1" t="n">
        <v>45754</v>
      </c>
      <c r="D949" t="inlineStr">
        <is>
          <t>JÄMTLANDS LÄN</t>
        </is>
      </c>
      <c r="E949" t="inlineStr">
        <is>
          <t>BRÄCKE</t>
        </is>
      </c>
      <c r="F949" t="inlineStr">
        <is>
          <t>SCA</t>
        </is>
      </c>
      <c r="G949" t="n">
        <v>10.9</v>
      </c>
      <c r="H949" t="n">
        <v>0</v>
      </c>
      <c r="I949" t="n">
        <v>0</v>
      </c>
      <c r="J949" t="n">
        <v>0</v>
      </c>
      <c r="K949" t="n">
        <v>0</v>
      </c>
      <c r="L949" t="n">
        <v>0</v>
      </c>
      <c r="M949" t="n">
        <v>0</v>
      </c>
      <c r="N949" t="n">
        <v>0</v>
      </c>
      <c r="O949" t="n">
        <v>0</v>
      </c>
      <c r="P949" t="n">
        <v>0</v>
      </c>
      <c r="Q949" t="n">
        <v>0</v>
      </c>
      <c r="R949" s="2" t="inlineStr"/>
    </row>
    <row r="950" ht="15" customHeight="1">
      <c r="A950" t="inlineStr">
        <is>
          <t>A 29819-2022</t>
        </is>
      </c>
      <c r="B950" s="1" t="n">
        <v>44755</v>
      </c>
      <c r="C950" s="1" t="n">
        <v>45754</v>
      </c>
      <c r="D950" t="inlineStr">
        <is>
          <t>JÄMTLANDS LÄN</t>
        </is>
      </c>
      <c r="E950" t="inlineStr">
        <is>
          <t>BRÄCKE</t>
        </is>
      </c>
      <c r="F950" t="inlineStr">
        <is>
          <t>SCA</t>
        </is>
      </c>
      <c r="G950" t="n">
        <v>28.8</v>
      </c>
      <c r="H950" t="n">
        <v>0</v>
      </c>
      <c r="I950" t="n">
        <v>0</v>
      </c>
      <c r="J950" t="n">
        <v>0</v>
      </c>
      <c r="K950" t="n">
        <v>0</v>
      </c>
      <c r="L950" t="n">
        <v>0</v>
      </c>
      <c r="M950" t="n">
        <v>0</v>
      </c>
      <c r="N950" t="n">
        <v>0</v>
      </c>
      <c r="O950" t="n">
        <v>0</v>
      </c>
      <c r="P950" t="n">
        <v>0</v>
      </c>
      <c r="Q950" t="n">
        <v>0</v>
      </c>
      <c r="R950" s="2" t="inlineStr"/>
    </row>
    <row r="951" ht="15" customHeight="1">
      <c r="A951" t="inlineStr">
        <is>
          <t>A 30258-2022</t>
        </is>
      </c>
      <c r="B951" s="1" t="n">
        <v>44759</v>
      </c>
      <c r="C951" s="1" t="n">
        <v>45754</v>
      </c>
      <c r="D951" t="inlineStr">
        <is>
          <t>JÄMTLANDS LÄN</t>
        </is>
      </c>
      <c r="E951" t="inlineStr">
        <is>
          <t>BRÄCKE</t>
        </is>
      </c>
      <c r="F951" t="inlineStr">
        <is>
          <t>SCA</t>
        </is>
      </c>
      <c r="G951" t="n">
        <v>5</v>
      </c>
      <c r="H951" t="n">
        <v>0</v>
      </c>
      <c r="I951" t="n">
        <v>0</v>
      </c>
      <c r="J951" t="n">
        <v>0</v>
      </c>
      <c r="K951" t="n">
        <v>0</v>
      </c>
      <c r="L951" t="n">
        <v>0</v>
      </c>
      <c r="M951" t="n">
        <v>0</v>
      </c>
      <c r="N951" t="n">
        <v>0</v>
      </c>
      <c r="O951" t="n">
        <v>0</v>
      </c>
      <c r="P951" t="n">
        <v>0</v>
      </c>
      <c r="Q951" t="n">
        <v>0</v>
      </c>
      <c r="R951" s="2" t="inlineStr"/>
    </row>
    <row r="952" ht="15" customHeight="1">
      <c r="A952" t="inlineStr">
        <is>
          <t>A 30479-2022</t>
        </is>
      </c>
      <c r="B952" s="1" t="n">
        <v>44762</v>
      </c>
      <c r="C952" s="1" t="n">
        <v>45754</v>
      </c>
      <c r="D952" t="inlineStr">
        <is>
          <t>JÄMTLANDS LÄN</t>
        </is>
      </c>
      <c r="E952" t="inlineStr">
        <is>
          <t>BRÄCKE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30490-2022</t>
        </is>
      </c>
      <c r="B953" s="1" t="n">
        <v>44761</v>
      </c>
      <c r="C953" s="1" t="n">
        <v>45754</v>
      </c>
      <c r="D953" t="inlineStr">
        <is>
          <t>JÄMTLANDS LÄN</t>
        </is>
      </c>
      <c r="E953" t="inlineStr">
        <is>
          <t>BRÄCKE</t>
        </is>
      </c>
      <c r="F953" t="inlineStr">
        <is>
          <t>SCA</t>
        </is>
      </c>
      <c r="G953" t="n">
        <v>5.8</v>
      </c>
      <c r="H953" t="n">
        <v>0</v>
      </c>
      <c r="I953" t="n">
        <v>0</v>
      </c>
      <c r="J953" t="n">
        <v>0</v>
      </c>
      <c r="K953" t="n">
        <v>0</v>
      </c>
      <c r="L953" t="n">
        <v>0</v>
      </c>
      <c r="M953" t="n">
        <v>0</v>
      </c>
      <c r="N953" t="n">
        <v>0</v>
      </c>
      <c r="O953" t="n">
        <v>0</v>
      </c>
      <c r="P953" t="n">
        <v>0</v>
      </c>
      <c r="Q953" t="n">
        <v>0</v>
      </c>
      <c r="R953" s="2" t="inlineStr"/>
    </row>
    <row r="954" ht="15" customHeight="1">
      <c r="A954" t="inlineStr">
        <is>
          <t>A 30478-2022</t>
        </is>
      </c>
      <c r="B954" s="1" t="n">
        <v>44761</v>
      </c>
      <c r="C954" s="1" t="n">
        <v>45754</v>
      </c>
      <c r="D954" t="inlineStr">
        <is>
          <t>JÄMTLANDS LÄN</t>
        </is>
      </c>
      <c r="E954" t="inlineStr">
        <is>
          <t>BRÄCKE</t>
        </is>
      </c>
      <c r="F954" t="inlineStr">
        <is>
          <t>SCA</t>
        </is>
      </c>
      <c r="G954" t="n">
        <v>5.3</v>
      </c>
      <c r="H954" t="n">
        <v>0</v>
      </c>
      <c r="I954" t="n">
        <v>0</v>
      </c>
      <c r="J954" t="n">
        <v>0</v>
      </c>
      <c r="K954" t="n">
        <v>0</v>
      </c>
      <c r="L954" t="n">
        <v>0</v>
      </c>
      <c r="M954" t="n">
        <v>0</v>
      </c>
      <c r="N954" t="n">
        <v>0</v>
      </c>
      <c r="O954" t="n">
        <v>0</v>
      </c>
      <c r="P954" t="n">
        <v>0</v>
      </c>
      <c r="Q954" t="n">
        <v>0</v>
      </c>
      <c r="R954" s="2" t="inlineStr"/>
    </row>
    <row r="955" ht="15" customHeight="1">
      <c r="A955" t="inlineStr">
        <is>
          <t>A 30483-2022</t>
        </is>
      </c>
      <c r="B955" s="1" t="n">
        <v>44762</v>
      </c>
      <c r="C955" s="1" t="n">
        <v>45754</v>
      </c>
      <c r="D955" t="inlineStr">
        <is>
          <t>JÄMTLANDS LÄN</t>
        </is>
      </c>
      <c r="E955" t="inlineStr">
        <is>
          <t>BRÄCKE</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30480-2022</t>
        </is>
      </c>
      <c r="B956" s="1" t="n">
        <v>44762</v>
      </c>
      <c r="C956" s="1" t="n">
        <v>45754</v>
      </c>
      <c r="D956" t="inlineStr">
        <is>
          <t>JÄMTLANDS LÄN</t>
        </is>
      </c>
      <c r="E956" t="inlineStr">
        <is>
          <t>BRÄCKE</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30603-2022</t>
        </is>
      </c>
      <c r="B957" s="1" t="n">
        <v>44763</v>
      </c>
      <c r="C957" s="1" t="n">
        <v>45754</v>
      </c>
      <c r="D957" t="inlineStr">
        <is>
          <t>JÄMTLANDS LÄN</t>
        </is>
      </c>
      <c r="E957" t="inlineStr">
        <is>
          <t>BRÄCKE</t>
        </is>
      </c>
      <c r="F957" t="inlineStr">
        <is>
          <t>SCA</t>
        </is>
      </c>
      <c r="G957" t="n">
        <v>18.6</v>
      </c>
      <c r="H957" t="n">
        <v>0</v>
      </c>
      <c r="I957" t="n">
        <v>0</v>
      </c>
      <c r="J957" t="n">
        <v>0</v>
      </c>
      <c r="K957" t="n">
        <v>0</v>
      </c>
      <c r="L957" t="n">
        <v>0</v>
      </c>
      <c r="M957" t="n">
        <v>0</v>
      </c>
      <c r="N957" t="n">
        <v>0</v>
      </c>
      <c r="O957" t="n">
        <v>0</v>
      </c>
      <c r="P957" t="n">
        <v>0</v>
      </c>
      <c r="Q957" t="n">
        <v>0</v>
      </c>
      <c r="R957" s="2" t="inlineStr"/>
    </row>
    <row r="958" ht="15" customHeight="1">
      <c r="A958" t="inlineStr">
        <is>
          <t>A 30604-2022</t>
        </is>
      </c>
      <c r="B958" s="1" t="n">
        <v>44763</v>
      </c>
      <c r="C958" s="1" t="n">
        <v>45754</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30719-2022</t>
        </is>
      </c>
      <c r="B959" s="1" t="n">
        <v>44764</v>
      </c>
      <c r="C959" s="1" t="n">
        <v>45754</v>
      </c>
      <c r="D959" t="inlineStr">
        <is>
          <t>JÄMTLANDS LÄN</t>
        </is>
      </c>
      <c r="E959" t="inlineStr">
        <is>
          <t>BRÄCKE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30810-2022</t>
        </is>
      </c>
      <c r="B960" s="1" t="n">
        <v>44765</v>
      </c>
      <c r="C960" s="1" t="n">
        <v>45754</v>
      </c>
      <c r="D960" t="inlineStr">
        <is>
          <t>JÄMTLANDS LÄN</t>
        </is>
      </c>
      <c r="E960" t="inlineStr">
        <is>
          <t>BRÄCKE</t>
        </is>
      </c>
      <c r="F960" t="inlineStr">
        <is>
          <t>SCA</t>
        </is>
      </c>
      <c r="G960" t="n">
        <v>3.4</v>
      </c>
      <c r="H960" t="n">
        <v>0</v>
      </c>
      <c r="I960" t="n">
        <v>0</v>
      </c>
      <c r="J960" t="n">
        <v>0</v>
      </c>
      <c r="K960" t="n">
        <v>0</v>
      </c>
      <c r="L960" t="n">
        <v>0</v>
      </c>
      <c r="M960" t="n">
        <v>0</v>
      </c>
      <c r="N960" t="n">
        <v>0</v>
      </c>
      <c r="O960" t="n">
        <v>0</v>
      </c>
      <c r="P960" t="n">
        <v>0</v>
      </c>
      <c r="Q960" t="n">
        <v>0</v>
      </c>
      <c r="R960" s="2" t="inlineStr"/>
    </row>
    <row r="961" ht="15" customHeight="1">
      <c r="A961" t="inlineStr">
        <is>
          <t>A 30811-2022</t>
        </is>
      </c>
      <c r="B961" s="1" t="n">
        <v>44764</v>
      </c>
      <c r="C961" s="1" t="n">
        <v>45754</v>
      </c>
      <c r="D961" t="inlineStr">
        <is>
          <t>JÄMTLANDS LÄN</t>
        </is>
      </c>
      <c r="E961" t="inlineStr">
        <is>
          <t>BRÄCKE</t>
        </is>
      </c>
      <c r="F961" t="inlineStr">
        <is>
          <t>SCA</t>
        </is>
      </c>
      <c r="G961" t="n">
        <v>3.9</v>
      </c>
      <c r="H961" t="n">
        <v>0</v>
      </c>
      <c r="I961" t="n">
        <v>0</v>
      </c>
      <c r="J961" t="n">
        <v>0</v>
      </c>
      <c r="K961" t="n">
        <v>0</v>
      </c>
      <c r="L961" t="n">
        <v>0</v>
      </c>
      <c r="M961" t="n">
        <v>0</v>
      </c>
      <c r="N961" t="n">
        <v>0</v>
      </c>
      <c r="O961" t="n">
        <v>0</v>
      </c>
      <c r="P961" t="n">
        <v>0</v>
      </c>
      <c r="Q961" t="n">
        <v>0</v>
      </c>
      <c r="R961" s="2" t="inlineStr"/>
    </row>
    <row r="962" ht="15" customHeight="1">
      <c r="A962" t="inlineStr">
        <is>
          <t>A 31467-2022</t>
        </is>
      </c>
      <c r="B962" s="1" t="n">
        <v>44774</v>
      </c>
      <c r="C962" s="1" t="n">
        <v>45754</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31466-2022</t>
        </is>
      </c>
      <c r="B963" s="1" t="n">
        <v>44774</v>
      </c>
      <c r="C963" s="1" t="n">
        <v>45754</v>
      </c>
      <c r="D963" t="inlineStr">
        <is>
          <t>JÄMTLANDS LÄN</t>
        </is>
      </c>
      <c r="E963" t="inlineStr">
        <is>
          <t>BRÄCKE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31521-2022</t>
        </is>
      </c>
      <c r="B964" s="1" t="n">
        <v>44775</v>
      </c>
      <c r="C964" s="1" t="n">
        <v>45754</v>
      </c>
      <c r="D964" t="inlineStr">
        <is>
          <t>JÄMTLANDS LÄN</t>
        </is>
      </c>
      <c r="E964" t="inlineStr">
        <is>
          <t>BRÄCKE</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31520-2022</t>
        </is>
      </c>
      <c r="B965" s="1" t="n">
        <v>44775</v>
      </c>
      <c r="C965" s="1" t="n">
        <v>45754</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31516-2022</t>
        </is>
      </c>
      <c r="B966" s="1" t="n">
        <v>44775</v>
      </c>
      <c r="C966" s="1" t="n">
        <v>45754</v>
      </c>
      <c r="D966" t="inlineStr">
        <is>
          <t>JÄMTLANDS LÄN</t>
        </is>
      </c>
      <c r="E966" t="inlineStr">
        <is>
          <t>BRÄCKE</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31844-2022</t>
        </is>
      </c>
      <c r="B967" s="1" t="n">
        <v>44777</v>
      </c>
      <c r="C967" s="1" t="n">
        <v>45754</v>
      </c>
      <c r="D967" t="inlineStr">
        <is>
          <t>JÄMTLANDS LÄN</t>
        </is>
      </c>
      <c r="E967" t="inlineStr">
        <is>
          <t>BRÄCKE</t>
        </is>
      </c>
      <c r="G967" t="n">
        <v>13.7</v>
      </c>
      <c r="H967" t="n">
        <v>0</v>
      </c>
      <c r="I967" t="n">
        <v>0</v>
      </c>
      <c r="J967" t="n">
        <v>0</v>
      </c>
      <c r="K967" t="n">
        <v>0</v>
      </c>
      <c r="L967" t="n">
        <v>0</v>
      </c>
      <c r="M967" t="n">
        <v>0</v>
      </c>
      <c r="N967" t="n">
        <v>0</v>
      </c>
      <c r="O967" t="n">
        <v>0</v>
      </c>
      <c r="P967" t="n">
        <v>0</v>
      </c>
      <c r="Q967" t="n">
        <v>0</v>
      </c>
      <c r="R967" s="2" t="inlineStr"/>
    </row>
    <row r="968" ht="15" customHeight="1">
      <c r="A968" t="inlineStr">
        <is>
          <t>A 31853-2022</t>
        </is>
      </c>
      <c r="B968" s="1" t="n">
        <v>44776</v>
      </c>
      <c r="C968" s="1" t="n">
        <v>45754</v>
      </c>
      <c r="D968" t="inlineStr">
        <is>
          <t>JÄMTLANDS LÄN</t>
        </is>
      </c>
      <c r="E968" t="inlineStr">
        <is>
          <t>BRÄCKE</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31843-2022</t>
        </is>
      </c>
      <c r="B969" s="1" t="n">
        <v>44777</v>
      </c>
      <c r="C969" s="1" t="n">
        <v>45754</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31978-2022</t>
        </is>
      </c>
      <c r="B970" s="1" t="n">
        <v>44778</v>
      </c>
      <c r="C970" s="1" t="n">
        <v>45754</v>
      </c>
      <c r="D970" t="inlineStr">
        <is>
          <t>JÄMTLANDS LÄN</t>
        </is>
      </c>
      <c r="E970" t="inlineStr">
        <is>
          <t>BRÄCKE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31982-2022</t>
        </is>
      </c>
      <c r="B971" s="1" t="n">
        <v>44778</v>
      </c>
      <c r="C971" s="1" t="n">
        <v>45754</v>
      </c>
      <c r="D971" t="inlineStr">
        <is>
          <t>JÄMTLANDS LÄN</t>
        </is>
      </c>
      <c r="E971" t="inlineStr">
        <is>
          <t>BRÄCKE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31980-2022</t>
        </is>
      </c>
      <c r="B972" s="1" t="n">
        <v>44777</v>
      </c>
      <c r="C972" s="1" t="n">
        <v>45754</v>
      </c>
      <c r="D972" t="inlineStr">
        <is>
          <t>JÄMTLANDS LÄN</t>
        </is>
      </c>
      <c r="E972" t="inlineStr">
        <is>
          <t>BRÄCKE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32141-2022</t>
        </is>
      </c>
      <c r="B973" s="1" t="n">
        <v>44779</v>
      </c>
      <c r="C973" s="1" t="n">
        <v>45754</v>
      </c>
      <c r="D973" t="inlineStr">
        <is>
          <t>JÄMTLANDS LÄN</t>
        </is>
      </c>
      <c r="E973" t="inlineStr">
        <is>
          <t>BRÄCKE</t>
        </is>
      </c>
      <c r="G973" t="n">
        <v>0.9</v>
      </c>
      <c r="H973" t="n">
        <v>0</v>
      </c>
      <c r="I973" t="n">
        <v>0</v>
      </c>
      <c r="J973" t="n">
        <v>0</v>
      </c>
      <c r="K973" t="n">
        <v>0</v>
      </c>
      <c r="L973" t="n">
        <v>0</v>
      </c>
      <c r="M973" t="n">
        <v>0</v>
      </c>
      <c r="N973" t="n">
        <v>0</v>
      </c>
      <c r="O973" t="n">
        <v>0</v>
      </c>
      <c r="P973" t="n">
        <v>0</v>
      </c>
      <c r="Q973" t="n">
        <v>0</v>
      </c>
      <c r="R973" s="2" t="inlineStr"/>
    </row>
    <row r="974" ht="15" customHeight="1">
      <c r="A974" t="inlineStr">
        <is>
          <t>A 32533-2022</t>
        </is>
      </c>
      <c r="B974" s="1" t="n">
        <v>44783</v>
      </c>
      <c r="C974" s="1" t="n">
        <v>45754</v>
      </c>
      <c r="D974" t="inlineStr">
        <is>
          <t>JÄMTLANDS LÄN</t>
        </is>
      </c>
      <c r="E974" t="inlineStr">
        <is>
          <t>BRÄCKE</t>
        </is>
      </c>
      <c r="F974" t="inlineStr">
        <is>
          <t>SCA</t>
        </is>
      </c>
      <c r="G974" t="n">
        <v>6.7</v>
      </c>
      <c r="H974" t="n">
        <v>0</v>
      </c>
      <c r="I974" t="n">
        <v>0</v>
      </c>
      <c r="J974" t="n">
        <v>0</v>
      </c>
      <c r="K974" t="n">
        <v>0</v>
      </c>
      <c r="L974" t="n">
        <v>0</v>
      </c>
      <c r="M974" t="n">
        <v>0</v>
      </c>
      <c r="N974" t="n">
        <v>0</v>
      </c>
      <c r="O974" t="n">
        <v>0</v>
      </c>
      <c r="P974" t="n">
        <v>0</v>
      </c>
      <c r="Q974" t="n">
        <v>0</v>
      </c>
      <c r="R974" s="2" t="inlineStr"/>
    </row>
    <row r="975" ht="15" customHeight="1">
      <c r="A975" t="inlineStr">
        <is>
          <t>A 32964-2022</t>
        </is>
      </c>
      <c r="B975" s="1" t="n">
        <v>44785</v>
      </c>
      <c r="C975" s="1" t="n">
        <v>45754</v>
      </c>
      <c r="D975" t="inlineStr">
        <is>
          <t>JÄMTLANDS LÄN</t>
        </is>
      </c>
      <c r="E975" t="inlineStr">
        <is>
          <t>BRÄCKE</t>
        </is>
      </c>
      <c r="G975" t="n">
        <v>2.6</v>
      </c>
      <c r="H975" t="n">
        <v>0</v>
      </c>
      <c r="I975" t="n">
        <v>0</v>
      </c>
      <c r="J975" t="n">
        <v>0</v>
      </c>
      <c r="K975" t="n">
        <v>0</v>
      </c>
      <c r="L975" t="n">
        <v>0</v>
      </c>
      <c r="M975" t="n">
        <v>0</v>
      </c>
      <c r="N975" t="n">
        <v>0</v>
      </c>
      <c r="O975" t="n">
        <v>0</v>
      </c>
      <c r="P975" t="n">
        <v>0</v>
      </c>
      <c r="Q975" t="n">
        <v>0</v>
      </c>
      <c r="R975" s="2" t="inlineStr"/>
    </row>
    <row r="976" ht="15" customHeight="1">
      <c r="A976" t="inlineStr">
        <is>
          <t>A 32963-2022</t>
        </is>
      </c>
      <c r="B976" s="1" t="n">
        <v>44785</v>
      </c>
      <c r="C976" s="1" t="n">
        <v>45754</v>
      </c>
      <c r="D976" t="inlineStr">
        <is>
          <t>JÄMTLANDS LÄN</t>
        </is>
      </c>
      <c r="E976" t="inlineStr">
        <is>
          <t>BRÄCKE</t>
        </is>
      </c>
      <c r="G976" t="n">
        <v>5.2</v>
      </c>
      <c r="H976" t="n">
        <v>0</v>
      </c>
      <c r="I976" t="n">
        <v>0</v>
      </c>
      <c r="J976" t="n">
        <v>0</v>
      </c>
      <c r="K976" t="n">
        <v>0</v>
      </c>
      <c r="L976" t="n">
        <v>0</v>
      </c>
      <c r="M976" t="n">
        <v>0</v>
      </c>
      <c r="N976" t="n">
        <v>0</v>
      </c>
      <c r="O976" t="n">
        <v>0</v>
      </c>
      <c r="P976" t="n">
        <v>0</v>
      </c>
      <c r="Q976" t="n">
        <v>0</v>
      </c>
      <c r="R976" s="2" t="inlineStr"/>
    </row>
    <row r="977" ht="15" customHeight="1">
      <c r="A977" t="inlineStr">
        <is>
          <t>A 33234-2022</t>
        </is>
      </c>
      <c r="B977" s="1" t="n">
        <v>44786</v>
      </c>
      <c r="C977" s="1" t="n">
        <v>45754</v>
      </c>
      <c r="D977" t="inlineStr">
        <is>
          <t>JÄMTLANDS LÄN</t>
        </is>
      </c>
      <c r="E977" t="inlineStr">
        <is>
          <t>BRÄCKE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33243-2022</t>
        </is>
      </c>
      <c r="B978" s="1" t="n">
        <v>44787</v>
      </c>
      <c r="C978" s="1" t="n">
        <v>45754</v>
      </c>
      <c r="D978" t="inlineStr">
        <is>
          <t>JÄMTLANDS LÄN</t>
        </is>
      </c>
      <c r="E978" t="inlineStr">
        <is>
          <t>BRÄCKE</t>
        </is>
      </c>
      <c r="F978" t="inlineStr">
        <is>
          <t>SCA</t>
        </is>
      </c>
      <c r="G978" t="n">
        <v>4.2</v>
      </c>
      <c r="H978" t="n">
        <v>0</v>
      </c>
      <c r="I978" t="n">
        <v>0</v>
      </c>
      <c r="J978" t="n">
        <v>0</v>
      </c>
      <c r="K978" t="n">
        <v>0</v>
      </c>
      <c r="L978" t="n">
        <v>0</v>
      </c>
      <c r="M978" t="n">
        <v>0</v>
      </c>
      <c r="N978" t="n">
        <v>0</v>
      </c>
      <c r="O978" t="n">
        <v>0</v>
      </c>
      <c r="P978" t="n">
        <v>0</v>
      </c>
      <c r="Q978" t="n">
        <v>0</v>
      </c>
      <c r="R978" s="2" t="inlineStr"/>
    </row>
    <row r="979" ht="15" customHeight="1">
      <c r="A979" t="inlineStr">
        <is>
          <t>A 33481-2022</t>
        </is>
      </c>
      <c r="B979" s="1" t="n">
        <v>44788</v>
      </c>
      <c r="C979" s="1" t="n">
        <v>45754</v>
      </c>
      <c r="D979" t="inlineStr">
        <is>
          <t>JÄMTLANDS LÄN</t>
        </is>
      </c>
      <c r="E979" t="inlineStr">
        <is>
          <t>BRÄCKE</t>
        </is>
      </c>
      <c r="F979" t="inlineStr">
        <is>
          <t>Sveaskog</t>
        </is>
      </c>
      <c r="G979" t="n">
        <v>3.4</v>
      </c>
      <c r="H979" t="n">
        <v>0</v>
      </c>
      <c r="I979" t="n">
        <v>0</v>
      </c>
      <c r="J979" t="n">
        <v>0</v>
      </c>
      <c r="K979" t="n">
        <v>0</v>
      </c>
      <c r="L979" t="n">
        <v>0</v>
      </c>
      <c r="M979" t="n">
        <v>0</v>
      </c>
      <c r="N979" t="n">
        <v>0</v>
      </c>
      <c r="O979" t="n">
        <v>0</v>
      </c>
      <c r="P979" t="n">
        <v>0</v>
      </c>
      <c r="Q979" t="n">
        <v>0</v>
      </c>
      <c r="R979" s="2" t="inlineStr"/>
    </row>
    <row r="980" ht="15" customHeight="1">
      <c r="A980" t="inlineStr">
        <is>
          <t>A 33482-2022</t>
        </is>
      </c>
      <c r="B980" s="1" t="n">
        <v>44788</v>
      </c>
      <c r="C980" s="1" t="n">
        <v>45754</v>
      </c>
      <c r="D980" t="inlineStr">
        <is>
          <t>JÄMTLANDS LÄN</t>
        </is>
      </c>
      <c r="E980" t="inlineStr">
        <is>
          <t>BRÄCKE</t>
        </is>
      </c>
      <c r="F980" t="inlineStr">
        <is>
          <t>Sveaskog</t>
        </is>
      </c>
      <c r="G980" t="n">
        <v>1.4</v>
      </c>
      <c r="H980" t="n">
        <v>0</v>
      </c>
      <c r="I980" t="n">
        <v>0</v>
      </c>
      <c r="J980" t="n">
        <v>0</v>
      </c>
      <c r="K980" t="n">
        <v>0</v>
      </c>
      <c r="L980" t="n">
        <v>0</v>
      </c>
      <c r="M980" t="n">
        <v>0</v>
      </c>
      <c r="N980" t="n">
        <v>0</v>
      </c>
      <c r="O980" t="n">
        <v>0</v>
      </c>
      <c r="P980" t="n">
        <v>0</v>
      </c>
      <c r="Q980" t="n">
        <v>0</v>
      </c>
      <c r="R980" s="2" t="inlineStr"/>
    </row>
    <row r="981" ht="15" customHeight="1">
      <c r="A981" t="inlineStr">
        <is>
          <t>A 33483-2022</t>
        </is>
      </c>
      <c r="B981" s="1" t="n">
        <v>44788</v>
      </c>
      <c r="C981" s="1" t="n">
        <v>45754</v>
      </c>
      <c r="D981" t="inlineStr">
        <is>
          <t>JÄMTLANDS LÄN</t>
        </is>
      </c>
      <c r="E981" t="inlineStr">
        <is>
          <t>BRÄCKE</t>
        </is>
      </c>
      <c r="F981" t="inlineStr">
        <is>
          <t>Sveaskog</t>
        </is>
      </c>
      <c r="G981" t="n">
        <v>2.7</v>
      </c>
      <c r="H981" t="n">
        <v>0</v>
      </c>
      <c r="I981" t="n">
        <v>0</v>
      </c>
      <c r="J981" t="n">
        <v>0</v>
      </c>
      <c r="K981" t="n">
        <v>0</v>
      </c>
      <c r="L981" t="n">
        <v>0</v>
      </c>
      <c r="M981" t="n">
        <v>0</v>
      </c>
      <c r="N981" t="n">
        <v>0</v>
      </c>
      <c r="O981" t="n">
        <v>0</v>
      </c>
      <c r="P981" t="n">
        <v>0</v>
      </c>
      <c r="Q981" t="n">
        <v>0</v>
      </c>
      <c r="R981" s="2" t="inlineStr"/>
    </row>
    <row r="982" ht="15" customHeight="1">
      <c r="A982" t="inlineStr">
        <is>
          <t>A 36714-2022</t>
        </is>
      </c>
      <c r="B982" s="1" t="n">
        <v>44789</v>
      </c>
      <c r="C982" s="1" t="n">
        <v>45754</v>
      </c>
      <c r="D982" t="inlineStr">
        <is>
          <t>JÄMTLANDS LÄN</t>
        </is>
      </c>
      <c r="E982" t="inlineStr">
        <is>
          <t>BRÄCKE</t>
        </is>
      </c>
      <c r="G982" t="n">
        <v>1</v>
      </c>
      <c r="H982" t="n">
        <v>0</v>
      </c>
      <c r="I982" t="n">
        <v>0</v>
      </c>
      <c r="J982" t="n">
        <v>0</v>
      </c>
      <c r="K982" t="n">
        <v>0</v>
      </c>
      <c r="L982" t="n">
        <v>0</v>
      </c>
      <c r="M982" t="n">
        <v>0</v>
      </c>
      <c r="N982" t="n">
        <v>0</v>
      </c>
      <c r="O982" t="n">
        <v>0</v>
      </c>
      <c r="P982" t="n">
        <v>0</v>
      </c>
      <c r="Q982" t="n">
        <v>0</v>
      </c>
      <c r="R982" s="2" t="inlineStr"/>
    </row>
    <row r="983" ht="15" customHeight="1">
      <c r="A983" t="inlineStr">
        <is>
          <t>A 33992-2022</t>
        </is>
      </c>
      <c r="B983" s="1" t="n">
        <v>44791</v>
      </c>
      <c r="C983" s="1" t="n">
        <v>45754</v>
      </c>
      <c r="D983" t="inlineStr">
        <is>
          <t>JÄMTLANDS LÄN</t>
        </is>
      </c>
      <c r="E983" t="inlineStr">
        <is>
          <t>BRÄCKE</t>
        </is>
      </c>
      <c r="F983" t="inlineStr">
        <is>
          <t>SCA</t>
        </is>
      </c>
      <c r="G983" t="n">
        <v>7.2</v>
      </c>
      <c r="H983" t="n">
        <v>0</v>
      </c>
      <c r="I983" t="n">
        <v>0</v>
      </c>
      <c r="J983" t="n">
        <v>0</v>
      </c>
      <c r="K983" t="n">
        <v>0</v>
      </c>
      <c r="L983" t="n">
        <v>0</v>
      </c>
      <c r="M983" t="n">
        <v>0</v>
      </c>
      <c r="N983" t="n">
        <v>0</v>
      </c>
      <c r="O983" t="n">
        <v>0</v>
      </c>
      <c r="P983" t="n">
        <v>0</v>
      </c>
      <c r="Q983" t="n">
        <v>0</v>
      </c>
      <c r="R983" s="2" t="inlineStr"/>
    </row>
    <row r="984" ht="15" customHeight="1">
      <c r="A984" t="inlineStr">
        <is>
          <t>A 33998-2022</t>
        </is>
      </c>
      <c r="B984" s="1" t="n">
        <v>44791</v>
      </c>
      <c r="C984" s="1" t="n">
        <v>45754</v>
      </c>
      <c r="D984" t="inlineStr">
        <is>
          <t>JÄMTLANDS LÄN</t>
        </is>
      </c>
      <c r="E984" t="inlineStr">
        <is>
          <t>BRÄCKE</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33993-2022</t>
        </is>
      </c>
      <c r="B985" s="1" t="n">
        <v>44790</v>
      </c>
      <c r="C985" s="1" t="n">
        <v>45754</v>
      </c>
      <c r="D985" t="inlineStr">
        <is>
          <t>JÄMTLANDS LÄN</t>
        </is>
      </c>
      <c r="E985" t="inlineStr">
        <is>
          <t>BRÄCKE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34315-2022</t>
        </is>
      </c>
      <c r="B986" s="1" t="n">
        <v>44792</v>
      </c>
      <c r="C986" s="1" t="n">
        <v>45754</v>
      </c>
      <c r="D986" t="inlineStr">
        <is>
          <t>JÄMTLANDS LÄN</t>
        </is>
      </c>
      <c r="E986" t="inlineStr">
        <is>
          <t>BRÄCKE</t>
        </is>
      </c>
      <c r="G986" t="n">
        <v>4.9</v>
      </c>
      <c r="H986" t="n">
        <v>0</v>
      </c>
      <c r="I986" t="n">
        <v>0</v>
      </c>
      <c r="J986" t="n">
        <v>0</v>
      </c>
      <c r="K986" t="n">
        <v>0</v>
      </c>
      <c r="L986" t="n">
        <v>0</v>
      </c>
      <c r="M986" t="n">
        <v>0</v>
      </c>
      <c r="N986" t="n">
        <v>0</v>
      </c>
      <c r="O986" t="n">
        <v>0</v>
      </c>
      <c r="P986" t="n">
        <v>0</v>
      </c>
      <c r="Q986" t="n">
        <v>0</v>
      </c>
      <c r="R986" s="2" t="inlineStr"/>
    </row>
    <row r="987" ht="15" customHeight="1">
      <c r="A987" t="inlineStr">
        <is>
          <t>A 34531-2022</t>
        </is>
      </c>
      <c r="B987" s="1" t="n">
        <v>44793</v>
      </c>
      <c r="C987" s="1" t="n">
        <v>45754</v>
      </c>
      <c r="D987" t="inlineStr">
        <is>
          <t>JÄMTLANDS LÄN</t>
        </is>
      </c>
      <c r="E987" t="inlineStr">
        <is>
          <t>BRÄCKE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34530-2022</t>
        </is>
      </c>
      <c r="B988" s="1" t="n">
        <v>44793</v>
      </c>
      <c r="C988" s="1" t="n">
        <v>45754</v>
      </c>
      <c r="D988" t="inlineStr">
        <is>
          <t>JÄMTLANDS LÄN</t>
        </is>
      </c>
      <c r="E988" t="inlineStr">
        <is>
          <t>BRÄCKE</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35010-2022</t>
        </is>
      </c>
      <c r="B989" s="1" t="n">
        <v>44797</v>
      </c>
      <c r="C989" s="1" t="n">
        <v>45754</v>
      </c>
      <c r="D989" t="inlineStr">
        <is>
          <t>JÄMTLANDS LÄN</t>
        </is>
      </c>
      <c r="E989" t="inlineStr">
        <is>
          <t>BRÄCKE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35182-2022</t>
        </is>
      </c>
      <c r="B990" s="1" t="n">
        <v>44797</v>
      </c>
      <c r="C990" s="1" t="n">
        <v>45754</v>
      </c>
      <c r="D990" t="inlineStr">
        <is>
          <t>JÄMTLANDS LÄN</t>
        </is>
      </c>
      <c r="E990" t="inlineStr">
        <is>
          <t>BRÄCKE</t>
        </is>
      </c>
      <c r="G990" t="n">
        <v>0.5</v>
      </c>
      <c r="H990" t="n">
        <v>0</v>
      </c>
      <c r="I990" t="n">
        <v>0</v>
      </c>
      <c r="J990" t="n">
        <v>0</v>
      </c>
      <c r="K990" t="n">
        <v>0</v>
      </c>
      <c r="L990" t="n">
        <v>0</v>
      </c>
      <c r="M990" t="n">
        <v>0</v>
      </c>
      <c r="N990" t="n">
        <v>0</v>
      </c>
      <c r="O990" t="n">
        <v>0</v>
      </c>
      <c r="P990" t="n">
        <v>0</v>
      </c>
      <c r="Q990" t="n">
        <v>0</v>
      </c>
      <c r="R990" s="2" t="inlineStr"/>
    </row>
    <row r="991" ht="15" customHeight="1">
      <c r="A991" t="inlineStr">
        <is>
          <t>A 35232-2022</t>
        </is>
      </c>
      <c r="B991" s="1" t="n">
        <v>44797</v>
      </c>
      <c r="C991" s="1" t="n">
        <v>45754</v>
      </c>
      <c r="D991" t="inlineStr">
        <is>
          <t>JÄMTLANDS LÄN</t>
        </is>
      </c>
      <c r="E991" t="inlineStr">
        <is>
          <t>BRÄCKE</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35501-2022</t>
        </is>
      </c>
      <c r="B992" s="1" t="n">
        <v>44799</v>
      </c>
      <c r="C992" s="1" t="n">
        <v>45754</v>
      </c>
      <c r="D992" t="inlineStr">
        <is>
          <t>JÄMTLANDS LÄN</t>
        </is>
      </c>
      <c r="E992" t="inlineStr">
        <is>
          <t>BRÄCKE</t>
        </is>
      </c>
      <c r="F992" t="inlineStr">
        <is>
          <t>SCA</t>
        </is>
      </c>
      <c r="G992" t="n">
        <v>5.5</v>
      </c>
      <c r="H992" t="n">
        <v>0</v>
      </c>
      <c r="I992" t="n">
        <v>0</v>
      </c>
      <c r="J992" t="n">
        <v>0</v>
      </c>
      <c r="K992" t="n">
        <v>0</v>
      </c>
      <c r="L992" t="n">
        <v>0</v>
      </c>
      <c r="M992" t="n">
        <v>0</v>
      </c>
      <c r="N992" t="n">
        <v>0</v>
      </c>
      <c r="O992" t="n">
        <v>0</v>
      </c>
      <c r="P992" t="n">
        <v>0</v>
      </c>
      <c r="Q992" t="n">
        <v>0</v>
      </c>
      <c r="R992" s="2" t="inlineStr"/>
    </row>
    <row r="993" ht="15" customHeight="1">
      <c r="A993" t="inlineStr">
        <is>
          <t>A 35511-2022</t>
        </is>
      </c>
      <c r="B993" s="1" t="n">
        <v>44798</v>
      </c>
      <c r="C993" s="1" t="n">
        <v>45754</v>
      </c>
      <c r="D993" t="inlineStr">
        <is>
          <t>JÄMTLANDS LÄN</t>
        </is>
      </c>
      <c r="E993" t="inlineStr">
        <is>
          <t>BRÄCKE</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35512-2022</t>
        </is>
      </c>
      <c r="B994" s="1" t="n">
        <v>44799</v>
      </c>
      <c r="C994" s="1" t="n">
        <v>45754</v>
      </c>
      <c r="D994" t="inlineStr">
        <is>
          <t>JÄMTLANDS LÄN</t>
        </is>
      </c>
      <c r="E994" t="inlineStr">
        <is>
          <t>BRÄCKE</t>
        </is>
      </c>
      <c r="F994" t="inlineStr">
        <is>
          <t>SCA</t>
        </is>
      </c>
      <c r="G994" t="n">
        <v>7.1</v>
      </c>
      <c r="H994" t="n">
        <v>0</v>
      </c>
      <c r="I994" t="n">
        <v>0</v>
      </c>
      <c r="J994" t="n">
        <v>0</v>
      </c>
      <c r="K994" t="n">
        <v>0</v>
      </c>
      <c r="L994" t="n">
        <v>0</v>
      </c>
      <c r="M994" t="n">
        <v>0</v>
      </c>
      <c r="N994" t="n">
        <v>0</v>
      </c>
      <c r="O994" t="n">
        <v>0</v>
      </c>
      <c r="P994" t="n">
        <v>0</v>
      </c>
      <c r="Q994" t="n">
        <v>0</v>
      </c>
      <c r="R994" s="2" t="inlineStr"/>
    </row>
    <row r="995" ht="15" customHeight="1">
      <c r="A995" t="inlineStr">
        <is>
          <t>A 35746-2022</t>
        </is>
      </c>
      <c r="B995" s="1" t="n">
        <v>44800</v>
      </c>
      <c r="C995" s="1" t="n">
        <v>45754</v>
      </c>
      <c r="D995" t="inlineStr">
        <is>
          <t>JÄMTLANDS LÄN</t>
        </is>
      </c>
      <c r="E995" t="inlineStr">
        <is>
          <t>BRÄCKE</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36129-2022</t>
        </is>
      </c>
      <c r="B996" s="1" t="n">
        <v>44803</v>
      </c>
      <c r="C996" s="1" t="n">
        <v>45754</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36364-2022</t>
        </is>
      </c>
      <c r="B997" s="1" t="n">
        <v>44804</v>
      </c>
      <c r="C997" s="1" t="n">
        <v>45754</v>
      </c>
      <c r="D997" t="inlineStr">
        <is>
          <t>JÄMTLANDS LÄN</t>
        </is>
      </c>
      <c r="E997" t="inlineStr">
        <is>
          <t>BRÄCKE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36392-2022</t>
        </is>
      </c>
      <c r="B998" s="1" t="n">
        <v>44804</v>
      </c>
      <c r="C998" s="1" t="n">
        <v>45754</v>
      </c>
      <c r="D998" t="inlineStr">
        <is>
          <t>JÄMTLANDS LÄN</t>
        </is>
      </c>
      <c r="E998" t="inlineStr">
        <is>
          <t>BRÄCKE</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36389-2022</t>
        </is>
      </c>
      <c r="B999" s="1" t="n">
        <v>44803</v>
      </c>
      <c r="C999" s="1" t="n">
        <v>45754</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36685-2022</t>
        </is>
      </c>
      <c r="B1000" s="1" t="n">
        <v>44804</v>
      </c>
      <c r="C1000" s="1" t="n">
        <v>45754</v>
      </c>
      <c r="D1000" t="inlineStr">
        <is>
          <t>JÄMTLANDS LÄN</t>
        </is>
      </c>
      <c r="E1000" t="inlineStr">
        <is>
          <t>BRÄCKE</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36840-2022</t>
        </is>
      </c>
      <c r="B1001" s="1" t="n">
        <v>44805</v>
      </c>
      <c r="C1001" s="1" t="n">
        <v>45754</v>
      </c>
      <c r="D1001" t="inlineStr">
        <is>
          <t>JÄMTLANDS LÄN</t>
        </is>
      </c>
      <c r="E1001" t="inlineStr">
        <is>
          <t>BRÄCKE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37032-2022</t>
        </is>
      </c>
      <c r="B1002" s="1" t="n">
        <v>44806</v>
      </c>
      <c r="C1002" s="1" t="n">
        <v>45754</v>
      </c>
      <c r="D1002" t="inlineStr">
        <is>
          <t>JÄMTLANDS LÄN</t>
        </is>
      </c>
      <c r="E1002" t="inlineStr">
        <is>
          <t>BRÄCKE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37232-2022</t>
        </is>
      </c>
      <c r="B1003" s="1" t="n">
        <v>44806</v>
      </c>
      <c r="C1003" s="1" t="n">
        <v>45754</v>
      </c>
      <c r="D1003" t="inlineStr">
        <is>
          <t>JÄMTLANDS LÄN</t>
        </is>
      </c>
      <c r="E1003" t="inlineStr">
        <is>
          <t>BRÄCKE</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37229-2022</t>
        </is>
      </c>
      <c r="B1004" s="1" t="n">
        <v>44807</v>
      </c>
      <c r="C1004" s="1" t="n">
        <v>45754</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37234-2022</t>
        </is>
      </c>
      <c r="B1005" s="1" t="n">
        <v>44807</v>
      </c>
      <c r="C1005" s="1" t="n">
        <v>45754</v>
      </c>
      <c r="D1005" t="inlineStr">
        <is>
          <t>JÄMTLANDS LÄN</t>
        </is>
      </c>
      <c r="E1005" t="inlineStr">
        <is>
          <t>BRÄCKE</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37650-2022</t>
        </is>
      </c>
      <c r="B1006" s="1" t="n">
        <v>44810</v>
      </c>
      <c r="C1006" s="1" t="n">
        <v>45754</v>
      </c>
      <c r="D1006" t="inlineStr">
        <is>
          <t>JÄMTLANDS LÄN</t>
        </is>
      </c>
      <c r="E1006" t="inlineStr">
        <is>
          <t>BRÄCKE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37829-2022</t>
        </is>
      </c>
      <c r="B1007" s="1" t="n">
        <v>44811</v>
      </c>
      <c r="C1007" s="1" t="n">
        <v>45754</v>
      </c>
      <c r="D1007" t="inlineStr">
        <is>
          <t>JÄMTLANDS LÄN</t>
        </is>
      </c>
      <c r="E1007" t="inlineStr">
        <is>
          <t>BRÄCKE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37828-2022</t>
        </is>
      </c>
      <c r="B1008" s="1" t="n">
        <v>44811</v>
      </c>
      <c r="C1008" s="1" t="n">
        <v>45754</v>
      </c>
      <c r="D1008" t="inlineStr">
        <is>
          <t>JÄMTLANDS LÄN</t>
        </is>
      </c>
      <c r="E1008" t="inlineStr">
        <is>
          <t>BRÄCKE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39701-2022</t>
        </is>
      </c>
      <c r="B1009" s="1" t="n">
        <v>44818</v>
      </c>
      <c r="C1009" s="1" t="n">
        <v>45754</v>
      </c>
      <c r="D1009" t="inlineStr">
        <is>
          <t>JÄMTLANDS LÄN</t>
        </is>
      </c>
      <c r="E1009" t="inlineStr">
        <is>
          <t>BRÄCKE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39702-2022</t>
        </is>
      </c>
      <c r="B1010" s="1" t="n">
        <v>44818</v>
      </c>
      <c r="C1010" s="1" t="n">
        <v>45754</v>
      </c>
      <c r="D1010" t="inlineStr">
        <is>
          <t>JÄMTLANDS LÄN</t>
        </is>
      </c>
      <c r="E1010" t="inlineStr">
        <is>
          <t>BRÄCKE</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39704-2022</t>
        </is>
      </c>
      <c r="B1011" s="1" t="n">
        <v>44818</v>
      </c>
      <c r="C1011" s="1" t="n">
        <v>45754</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39703-2022</t>
        </is>
      </c>
      <c r="B1012" s="1" t="n">
        <v>44818</v>
      </c>
      <c r="C1012" s="1" t="n">
        <v>45754</v>
      </c>
      <c r="D1012" t="inlineStr">
        <is>
          <t>JÄMTLANDS LÄN</t>
        </is>
      </c>
      <c r="E1012" t="inlineStr">
        <is>
          <t>BRÄCKE</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39937-2022</t>
        </is>
      </c>
      <c r="B1013" s="1" t="n">
        <v>44820</v>
      </c>
      <c r="C1013" s="1" t="n">
        <v>45754</v>
      </c>
      <c r="D1013" t="inlineStr">
        <is>
          <t>JÄMTLANDS LÄN</t>
        </is>
      </c>
      <c r="E1013" t="inlineStr">
        <is>
          <t>BRÄCKE</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39930-2022</t>
        </is>
      </c>
      <c r="B1014" s="1" t="n">
        <v>44819</v>
      </c>
      <c r="C1014" s="1" t="n">
        <v>45754</v>
      </c>
      <c r="D1014" t="inlineStr">
        <is>
          <t>JÄMTLANDS LÄN</t>
        </is>
      </c>
      <c r="E1014" t="inlineStr">
        <is>
          <t>BRÄCKE</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40278-2022</t>
        </is>
      </c>
      <c r="B1015" s="1" t="n">
        <v>44820</v>
      </c>
      <c r="C1015" s="1" t="n">
        <v>45754</v>
      </c>
      <c r="D1015" t="inlineStr">
        <is>
          <t>JÄMTLANDS LÄN</t>
        </is>
      </c>
      <c r="E1015" t="inlineStr">
        <is>
          <t>BRÄCKE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40268-2022</t>
        </is>
      </c>
      <c r="B1016" s="1" t="n">
        <v>44821</v>
      </c>
      <c r="C1016" s="1" t="n">
        <v>45754</v>
      </c>
      <c r="D1016" t="inlineStr">
        <is>
          <t>JÄMTLANDS LÄN</t>
        </is>
      </c>
      <c r="E1016" t="inlineStr">
        <is>
          <t>BRÄCKE</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40285-2022</t>
        </is>
      </c>
      <c r="B1017" s="1" t="n">
        <v>44821</v>
      </c>
      <c r="C1017" s="1" t="n">
        <v>45754</v>
      </c>
      <c r="D1017" t="inlineStr">
        <is>
          <t>JÄMTLANDS LÄN</t>
        </is>
      </c>
      <c r="E1017" t="inlineStr">
        <is>
          <t>BRÄCKE</t>
        </is>
      </c>
      <c r="F1017" t="inlineStr">
        <is>
          <t>SCA</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40711-2022</t>
        </is>
      </c>
      <c r="B1018" s="1" t="n">
        <v>44820</v>
      </c>
      <c r="C1018" s="1" t="n">
        <v>45754</v>
      </c>
      <c r="D1018" t="inlineStr">
        <is>
          <t>JÄMTLANDS LÄN</t>
        </is>
      </c>
      <c r="E1018" t="inlineStr">
        <is>
          <t>BRÄCKE</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40440-2022</t>
        </is>
      </c>
      <c r="B1019" s="1" t="n">
        <v>44823</v>
      </c>
      <c r="C1019" s="1" t="n">
        <v>45754</v>
      </c>
      <c r="D1019" t="inlineStr">
        <is>
          <t>JÄMTLANDS LÄN</t>
        </is>
      </c>
      <c r="E1019" t="inlineStr">
        <is>
          <t>BRÄCKE</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40675-2022</t>
        </is>
      </c>
      <c r="B1020" s="1" t="n">
        <v>44824</v>
      </c>
      <c r="C1020" s="1" t="n">
        <v>45754</v>
      </c>
      <c r="D1020" t="inlineStr">
        <is>
          <t>JÄMTLANDS LÄN</t>
        </is>
      </c>
      <c r="E1020" t="inlineStr">
        <is>
          <t>BRÄCKE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40903-2022</t>
        </is>
      </c>
      <c r="B1021" s="1" t="n">
        <v>44825</v>
      </c>
      <c r="C1021" s="1" t="n">
        <v>45754</v>
      </c>
      <c r="D1021" t="inlineStr">
        <is>
          <t>JÄMTLANDS LÄN</t>
        </is>
      </c>
      <c r="E1021" t="inlineStr">
        <is>
          <t>BRÄCKE</t>
        </is>
      </c>
      <c r="G1021" t="n">
        <v>65.59999999999999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41175-2022</t>
        </is>
      </c>
      <c r="B1022" s="1" t="n">
        <v>44826</v>
      </c>
      <c r="C1022" s="1" t="n">
        <v>45754</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41182-2022</t>
        </is>
      </c>
      <c r="B1023" s="1" t="n">
        <v>44826</v>
      </c>
      <c r="C1023" s="1" t="n">
        <v>45754</v>
      </c>
      <c r="D1023" t="inlineStr">
        <is>
          <t>JÄMTLANDS LÄN</t>
        </is>
      </c>
      <c r="E1023" t="inlineStr">
        <is>
          <t>BRÄCKE</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41817-2022</t>
        </is>
      </c>
      <c r="B1024" s="1" t="n">
        <v>44827</v>
      </c>
      <c r="C1024" s="1" t="n">
        <v>45754</v>
      </c>
      <c r="D1024" t="inlineStr">
        <is>
          <t>JÄMTLANDS LÄN</t>
        </is>
      </c>
      <c r="E1024" t="inlineStr">
        <is>
          <t>BRÄCKE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42113-2022</t>
        </is>
      </c>
      <c r="B1025" s="1" t="n">
        <v>44830</v>
      </c>
      <c r="C1025" s="1" t="n">
        <v>45754</v>
      </c>
      <c r="D1025" t="inlineStr">
        <is>
          <t>JÄMTLANDS LÄN</t>
        </is>
      </c>
      <c r="E1025" t="inlineStr">
        <is>
          <t>BRÄCKE</t>
        </is>
      </c>
      <c r="F1025" t="inlineStr">
        <is>
          <t>Övriga Aktiebolag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42288-2022</t>
        </is>
      </c>
      <c r="B1026" s="1" t="n">
        <v>44830</v>
      </c>
      <c r="C1026" s="1" t="n">
        <v>45754</v>
      </c>
      <c r="D1026" t="inlineStr">
        <is>
          <t>JÄMTLANDS LÄN</t>
        </is>
      </c>
      <c r="E1026" t="inlineStr">
        <is>
          <t>BRÄCKE</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42290-2022</t>
        </is>
      </c>
      <c r="B1027" s="1" t="n">
        <v>44830</v>
      </c>
      <c r="C1027" s="1" t="n">
        <v>45754</v>
      </c>
      <c r="D1027" t="inlineStr">
        <is>
          <t>JÄMTLANDS LÄN</t>
        </is>
      </c>
      <c r="E1027" t="inlineStr">
        <is>
          <t>BRÄCKE</t>
        </is>
      </c>
      <c r="F1027" t="inlineStr">
        <is>
          <t>SCA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42656-2022</t>
        </is>
      </c>
      <c r="B1028" s="1" t="n">
        <v>44831</v>
      </c>
      <c r="C1028" s="1" t="n">
        <v>45754</v>
      </c>
      <c r="D1028" t="inlineStr">
        <is>
          <t>JÄMTLANDS LÄN</t>
        </is>
      </c>
      <c r="E1028" t="inlineStr">
        <is>
          <t>BRÄCKE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42894-2022</t>
        </is>
      </c>
      <c r="B1029" s="1" t="n">
        <v>44833</v>
      </c>
      <c r="C1029" s="1" t="n">
        <v>45754</v>
      </c>
      <c r="D1029" t="inlineStr">
        <is>
          <t>JÄMTLANDS LÄN</t>
        </is>
      </c>
      <c r="E1029" t="inlineStr">
        <is>
          <t>BRÄCKE</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43142-2022</t>
        </is>
      </c>
      <c r="B1030" s="1" t="n">
        <v>44834</v>
      </c>
      <c r="C1030" s="1" t="n">
        <v>45754</v>
      </c>
      <c r="D1030" t="inlineStr">
        <is>
          <t>JÄMTLANDS LÄN</t>
        </is>
      </c>
      <c r="E1030" t="inlineStr">
        <is>
          <t>BRÄCKE</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43126-2022</t>
        </is>
      </c>
      <c r="B1031" s="1" t="n">
        <v>44833</v>
      </c>
      <c r="C1031" s="1" t="n">
        <v>45754</v>
      </c>
      <c r="D1031" t="inlineStr">
        <is>
          <t>JÄMTLANDS LÄN</t>
        </is>
      </c>
      <c r="E1031" t="inlineStr">
        <is>
          <t>BRÄCKE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43421-2022</t>
        </is>
      </c>
      <c r="B1032" s="1" t="n">
        <v>44834</v>
      </c>
      <c r="C1032" s="1" t="n">
        <v>45754</v>
      </c>
      <c r="D1032" t="inlineStr">
        <is>
          <t>JÄMTLANDS LÄN</t>
        </is>
      </c>
      <c r="E1032" t="inlineStr">
        <is>
          <t>BRÄCKE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43789-2022</t>
        </is>
      </c>
      <c r="B1033" s="1" t="n">
        <v>44837</v>
      </c>
      <c r="C1033" s="1" t="n">
        <v>45754</v>
      </c>
      <c r="D1033" t="inlineStr">
        <is>
          <t>JÄMTLANDS LÄN</t>
        </is>
      </c>
      <c r="E1033" t="inlineStr">
        <is>
          <t>BRÄCKE</t>
        </is>
      </c>
      <c r="F1033" t="inlineStr">
        <is>
          <t>SCA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43785-2022</t>
        </is>
      </c>
      <c r="B1034" s="1" t="n">
        <v>44837</v>
      </c>
      <c r="C1034" s="1" t="n">
        <v>45754</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44445-2022</t>
        </is>
      </c>
      <c r="B1035" s="1" t="n">
        <v>44840</v>
      </c>
      <c r="C1035" s="1" t="n">
        <v>45754</v>
      </c>
      <c r="D1035" t="inlineStr">
        <is>
          <t>JÄMTLANDS LÄN</t>
        </is>
      </c>
      <c r="E1035" t="inlineStr">
        <is>
          <t>BRÄCKE</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44444-2022</t>
        </is>
      </c>
      <c r="B1036" s="1" t="n">
        <v>44840</v>
      </c>
      <c r="C1036" s="1" t="n">
        <v>45754</v>
      </c>
      <c r="D1036" t="inlineStr">
        <is>
          <t>JÄMTLANDS LÄN</t>
        </is>
      </c>
      <c r="E1036" t="inlineStr">
        <is>
          <t>BRÄCKE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44743-2022</t>
        </is>
      </c>
      <c r="B1037" s="1" t="n">
        <v>44840</v>
      </c>
      <c r="C1037" s="1" t="n">
        <v>45754</v>
      </c>
      <c r="D1037" t="inlineStr">
        <is>
          <t>JÄMTLANDS LÄN</t>
        </is>
      </c>
      <c r="E1037" t="inlineStr">
        <is>
          <t>BRÄCKE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44752-2022</t>
        </is>
      </c>
      <c r="B1038" s="1" t="n">
        <v>44840</v>
      </c>
      <c r="C1038" s="1" t="n">
        <v>45754</v>
      </c>
      <c r="D1038" t="inlineStr">
        <is>
          <t>JÄMTLANDS LÄN</t>
        </is>
      </c>
      <c r="E1038" t="inlineStr">
        <is>
          <t>BRÄCKE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44753-2022</t>
        </is>
      </c>
      <c r="B1039" s="1" t="n">
        <v>44840</v>
      </c>
      <c r="C1039" s="1" t="n">
        <v>45754</v>
      </c>
      <c r="D1039" t="inlineStr">
        <is>
          <t>JÄMTLANDS LÄN</t>
        </is>
      </c>
      <c r="E1039" t="inlineStr">
        <is>
          <t>BRÄCKE</t>
        </is>
      </c>
      <c r="F1039" t="inlineStr">
        <is>
          <t>SCA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45304-2022</t>
        </is>
      </c>
      <c r="B1040" s="1" t="n">
        <v>44841</v>
      </c>
      <c r="C1040" s="1" t="n">
        <v>45754</v>
      </c>
      <c r="D1040" t="inlineStr">
        <is>
          <t>JÄMTLANDS LÄN</t>
        </is>
      </c>
      <c r="E1040" t="inlineStr">
        <is>
          <t>BRÄCKE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45426-2022</t>
        </is>
      </c>
      <c r="B1041" s="1" t="n">
        <v>44844</v>
      </c>
      <c r="C1041" s="1" t="n">
        <v>45754</v>
      </c>
      <c r="D1041" t="inlineStr">
        <is>
          <t>JÄMTLANDS LÄN</t>
        </is>
      </c>
      <c r="E1041" t="inlineStr">
        <is>
          <t>BRÄCKE</t>
        </is>
      </c>
      <c r="F1041" t="inlineStr">
        <is>
          <t>SCA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45436-2022</t>
        </is>
      </c>
      <c r="B1042" s="1" t="n">
        <v>44845</v>
      </c>
      <c r="C1042" s="1" t="n">
        <v>45754</v>
      </c>
      <c r="D1042" t="inlineStr">
        <is>
          <t>JÄMTLANDS LÄN</t>
        </is>
      </c>
      <c r="E1042" t="inlineStr">
        <is>
          <t>BRÄCKE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45533-2022</t>
        </is>
      </c>
      <c r="B1043" s="1" t="n">
        <v>44845</v>
      </c>
      <c r="C1043" s="1" t="n">
        <v>45754</v>
      </c>
      <c r="D1043" t="inlineStr">
        <is>
          <t>JÄMTLANDS LÄN</t>
        </is>
      </c>
      <c r="E1043" t="inlineStr">
        <is>
          <t>BRÄCKE</t>
        </is>
      </c>
      <c r="F1043" t="inlineStr">
        <is>
          <t>Övriga Aktiebolag</t>
        </is>
      </c>
      <c r="G1043" t="n">
        <v>13.7</v>
      </c>
      <c r="H1043" t="n">
        <v>0</v>
      </c>
      <c r="I1043" t="n">
        <v>0</v>
      </c>
      <c r="J1043" t="n">
        <v>0</v>
      </c>
      <c r="K1043" t="n">
        <v>0</v>
      </c>
      <c r="L1043" t="n">
        <v>0</v>
      </c>
      <c r="M1043" t="n">
        <v>0</v>
      </c>
      <c r="N1043" t="n">
        <v>0</v>
      </c>
      <c r="O1043" t="n">
        <v>0</v>
      </c>
      <c r="P1043" t="n">
        <v>0</v>
      </c>
      <c r="Q1043" t="n">
        <v>0</v>
      </c>
      <c r="R1043" s="2" t="inlineStr"/>
    </row>
    <row r="1044" ht="15" customHeight="1">
      <c r="A1044" t="inlineStr">
        <is>
          <t>A 45701-2022</t>
        </is>
      </c>
      <c r="B1044" s="1" t="n">
        <v>44845</v>
      </c>
      <c r="C1044" s="1" t="n">
        <v>45754</v>
      </c>
      <c r="D1044" t="inlineStr">
        <is>
          <t>JÄMTLANDS LÄN</t>
        </is>
      </c>
      <c r="E1044" t="inlineStr">
        <is>
          <t>BRÄCKE</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45691-2022</t>
        </is>
      </c>
      <c r="B1045" s="1" t="n">
        <v>44846</v>
      </c>
      <c r="C1045" s="1" t="n">
        <v>45754</v>
      </c>
      <c r="D1045" t="inlineStr">
        <is>
          <t>JÄMTLANDS LÄN</t>
        </is>
      </c>
      <c r="E1045" t="inlineStr">
        <is>
          <t>BRÄCKE</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45913-2022</t>
        </is>
      </c>
      <c r="B1046" s="1" t="n">
        <v>44845</v>
      </c>
      <c r="C1046" s="1" t="n">
        <v>45754</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46024-2022</t>
        </is>
      </c>
      <c r="B1047" s="1" t="n">
        <v>44847</v>
      </c>
      <c r="C1047" s="1" t="n">
        <v>45754</v>
      </c>
      <c r="D1047" t="inlineStr">
        <is>
          <t>JÄMTLANDS LÄN</t>
        </is>
      </c>
      <c r="E1047" t="inlineStr">
        <is>
          <t>BRÄCKE</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46598-2022</t>
        </is>
      </c>
      <c r="B1048" s="1" t="n">
        <v>44848</v>
      </c>
      <c r="C1048" s="1" t="n">
        <v>45754</v>
      </c>
      <c r="D1048" t="inlineStr">
        <is>
          <t>JÄMTLANDS LÄN</t>
        </is>
      </c>
      <c r="E1048" t="inlineStr">
        <is>
          <t>BRÄCKE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46623-2022</t>
        </is>
      </c>
      <c r="B1049" s="1" t="n">
        <v>44849</v>
      </c>
      <c r="C1049" s="1" t="n">
        <v>45754</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46602-2022</t>
        </is>
      </c>
      <c r="B1050" s="1" t="n">
        <v>44848</v>
      </c>
      <c r="C1050" s="1" t="n">
        <v>45754</v>
      </c>
      <c r="D1050" t="inlineStr">
        <is>
          <t>JÄMTLANDS LÄN</t>
        </is>
      </c>
      <c r="E1050" t="inlineStr">
        <is>
          <t>BRÄCKE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46597-2022</t>
        </is>
      </c>
      <c r="B1051" s="1" t="n">
        <v>44848</v>
      </c>
      <c r="C1051" s="1" t="n">
        <v>45754</v>
      </c>
      <c r="D1051" t="inlineStr">
        <is>
          <t>JÄMTLANDS LÄN</t>
        </is>
      </c>
      <c r="E1051" t="inlineStr">
        <is>
          <t>BRÄCKE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46601-2022</t>
        </is>
      </c>
      <c r="B1052" s="1" t="n">
        <v>44848</v>
      </c>
      <c r="C1052" s="1" t="n">
        <v>45754</v>
      </c>
      <c r="D1052" t="inlineStr">
        <is>
          <t>JÄMTLANDS LÄN</t>
        </is>
      </c>
      <c r="E1052" t="inlineStr">
        <is>
          <t>BRÄCKE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46966-2022</t>
        </is>
      </c>
      <c r="B1053" s="1" t="n">
        <v>44852</v>
      </c>
      <c r="C1053" s="1" t="n">
        <v>45754</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47183-2022</t>
        </is>
      </c>
      <c r="B1054" s="1" t="n">
        <v>44851</v>
      </c>
      <c r="C1054" s="1" t="n">
        <v>45754</v>
      </c>
      <c r="D1054" t="inlineStr">
        <is>
          <t>JÄMTLANDS LÄN</t>
        </is>
      </c>
      <c r="E1054" t="inlineStr">
        <is>
          <t>BRÄCKE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47257-2022</t>
        </is>
      </c>
      <c r="B1055" s="1" t="n">
        <v>44852</v>
      </c>
      <c r="C1055" s="1" t="n">
        <v>45754</v>
      </c>
      <c r="D1055" t="inlineStr">
        <is>
          <t>JÄMTLANDS LÄN</t>
        </is>
      </c>
      <c r="E1055" t="inlineStr">
        <is>
          <t>BRÄCKE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47256-2022</t>
        </is>
      </c>
      <c r="B1056" s="1" t="n">
        <v>44853</v>
      </c>
      <c r="C1056" s="1" t="n">
        <v>45754</v>
      </c>
      <c r="D1056" t="inlineStr">
        <is>
          <t>JÄMTLANDS LÄN</t>
        </is>
      </c>
      <c r="E1056" t="inlineStr">
        <is>
          <t>BRÄCKE</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47264-2022</t>
        </is>
      </c>
      <c r="B1057" s="1" t="n">
        <v>44853</v>
      </c>
      <c r="C1057" s="1" t="n">
        <v>45754</v>
      </c>
      <c r="D1057" t="inlineStr">
        <is>
          <t>JÄMTLANDS LÄN</t>
        </is>
      </c>
      <c r="E1057" t="inlineStr">
        <is>
          <t>BRÄCKE</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47298-2022</t>
        </is>
      </c>
      <c r="B1058" s="1" t="n">
        <v>44852</v>
      </c>
      <c r="C1058" s="1" t="n">
        <v>45754</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47561-2022</t>
        </is>
      </c>
      <c r="B1059" s="1" t="n">
        <v>44854</v>
      </c>
      <c r="C1059" s="1" t="n">
        <v>45754</v>
      </c>
      <c r="D1059" t="inlineStr">
        <is>
          <t>JÄMTLANDS LÄN</t>
        </is>
      </c>
      <c r="E1059" t="inlineStr">
        <is>
          <t>BRÄCKE</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47574-2022</t>
        </is>
      </c>
      <c r="B1060" s="1" t="n">
        <v>44853</v>
      </c>
      <c r="C1060" s="1" t="n">
        <v>45754</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48517-2022</t>
        </is>
      </c>
      <c r="B1061" s="1" t="n">
        <v>44859</v>
      </c>
      <c r="C1061" s="1" t="n">
        <v>45754</v>
      </c>
      <c r="D1061" t="inlineStr">
        <is>
          <t>JÄMTLANDS LÄN</t>
        </is>
      </c>
      <c r="E1061" t="inlineStr">
        <is>
          <t>BRÄCKE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48499-2022</t>
        </is>
      </c>
      <c r="B1062" s="1" t="n">
        <v>44859</v>
      </c>
      <c r="C1062" s="1" t="n">
        <v>45754</v>
      </c>
      <c r="D1062" t="inlineStr">
        <is>
          <t>JÄMTLANDS LÄN</t>
        </is>
      </c>
      <c r="E1062" t="inlineStr">
        <is>
          <t>BRÄCKE</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48555-2022</t>
        </is>
      </c>
      <c r="B1063" s="1" t="n">
        <v>44859</v>
      </c>
      <c r="C1063" s="1" t="n">
        <v>45754</v>
      </c>
      <c r="D1063" t="inlineStr">
        <is>
          <t>JÄMTLANDS LÄN</t>
        </is>
      </c>
      <c r="E1063" t="inlineStr">
        <is>
          <t>BRÄCKE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48928-2022</t>
        </is>
      </c>
      <c r="B1064" s="1" t="n">
        <v>44860</v>
      </c>
      <c r="C1064" s="1" t="n">
        <v>45754</v>
      </c>
      <c r="D1064" t="inlineStr">
        <is>
          <t>JÄMTLANDS LÄN</t>
        </is>
      </c>
      <c r="E1064" t="inlineStr">
        <is>
          <t>BRÄCKE</t>
        </is>
      </c>
      <c r="F1064" t="inlineStr">
        <is>
          <t>SCA</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48816-2022</t>
        </is>
      </c>
      <c r="B1065" s="1" t="n">
        <v>44859</v>
      </c>
      <c r="C1065" s="1" t="n">
        <v>45754</v>
      </c>
      <c r="D1065" t="inlineStr">
        <is>
          <t>JÄMTLANDS LÄN</t>
        </is>
      </c>
      <c r="E1065" t="inlineStr">
        <is>
          <t>BRÄCKE</t>
        </is>
      </c>
      <c r="G1065" t="n">
        <v>13.3</v>
      </c>
      <c r="H1065" t="n">
        <v>0</v>
      </c>
      <c r="I1065" t="n">
        <v>0</v>
      </c>
      <c r="J1065" t="n">
        <v>0</v>
      </c>
      <c r="K1065" t="n">
        <v>0</v>
      </c>
      <c r="L1065" t="n">
        <v>0</v>
      </c>
      <c r="M1065" t="n">
        <v>0</v>
      </c>
      <c r="N1065" t="n">
        <v>0</v>
      </c>
      <c r="O1065" t="n">
        <v>0</v>
      </c>
      <c r="P1065" t="n">
        <v>0</v>
      </c>
      <c r="Q1065" t="n">
        <v>0</v>
      </c>
      <c r="R1065" s="2" t="inlineStr"/>
    </row>
    <row r="1066" ht="15" customHeight="1">
      <c r="A1066" t="inlineStr">
        <is>
          <t>A 48927-2022</t>
        </is>
      </c>
      <c r="B1066" s="1" t="n">
        <v>44860</v>
      </c>
      <c r="C1066" s="1" t="n">
        <v>45754</v>
      </c>
      <c r="D1066" t="inlineStr">
        <is>
          <t>JÄMTLANDS LÄN</t>
        </is>
      </c>
      <c r="E1066" t="inlineStr">
        <is>
          <t>BRÄCKE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49191-2022</t>
        </is>
      </c>
      <c r="B1067" s="1" t="n">
        <v>44861</v>
      </c>
      <c r="C1067" s="1" t="n">
        <v>45754</v>
      </c>
      <c r="D1067" t="inlineStr">
        <is>
          <t>JÄMTLANDS LÄN</t>
        </is>
      </c>
      <c r="E1067" t="inlineStr">
        <is>
          <t>BRÄCKE</t>
        </is>
      </c>
      <c r="F1067" t="inlineStr">
        <is>
          <t>SCA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49523-2022</t>
        </is>
      </c>
      <c r="B1068" s="1" t="n">
        <v>44862</v>
      </c>
      <c r="C1068" s="1" t="n">
        <v>45754</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49516-2022</t>
        </is>
      </c>
      <c r="B1069" s="1" t="n">
        <v>44862</v>
      </c>
      <c r="C1069" s="1" t="n">
        <v>45754</v>
      </c>
      <c r="D1069" t="inlineStr">
        <is>
          <t>JÄMTLANDS LÄN</t>
        </is>
      </c>
      <c r="E1069" t="inlineStr">
        <is>
          <t>BRÄCKE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49839-2022</t>
        </is>
      </c>
      <c r="B1070" s="1" t="n">
        <v>44863</v>
      </c>
      <c r="C1070" s="1" t="n">
        <v>45754</v>
      </c>
      <c r="D1070" t="inlineStr">
        <is>
          <t>JÄMTLANDS LÄN</t>
        </is>
      </c>
      <c r="E1070" t="inlineStr">
        <is>
          <t>BRÄCKE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49858-2022</t>
        </is>
      </c>
      <c r="B1071" s="1" t="n">
        <v>44862</v>
      </c>
      <c r="C1071" s="1" t="n">
        <v>45754</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49838-2022</t>
        </is>
      </c>
      <c r="B1072" s="1" t="n">
        <v>44863</v>
      </c>
      <c r="C1072" s="1" t="n">
        <v>45754</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49864-2022</t>
        </is>
      </c>
      <c r="B1073" s="1" t="n">
        <v>44862</v>
      </c>
      <c r="C1073" s="1" t="n">
        <v>45754</v>
      </c>
      <c r="D1073" t="inlineStr">
        <is>
          <t>JÄMTLANDS LÄN</t>
        </is>
      </c>
      <c r="E1073" t="inlineStr">
        <is>
          <t>BRÄCKE</t>
        </is>
      </c>
      <c r="F1073" t="inlineStr">
        <is>
          <t>SCA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49853-2022</t>
        </is>
      </c>
      <c r="B1074" s="1" t="n">
        <v>44863</v>
      </c>
      <c r="C1074" s="1" t="n">
        <v>45754</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49861-2022</t>
        </is>
      </c>
      <c r="B1075" s="1" t="n">
        <v>44862</v>
      </c>
      <c r="C1075" s="1" t="n">
        <v>45754</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50323-2022</t>
        </is>
      </c>
      <c r="B1076" s="1" t="n">
        <v>44865</v>
      </c>
      <c r="C1076" s="1" t="n">
        <v>45754</v>
      </c>
      <c r="D1076" t="inlineStr">
        <is>
          <t>JÄMTLANDS LÄN</t>
        </is>
      </c>
      <c r="E1076" t="inlineStr">
        <is>
          <t>BRÄCKE</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50333-2022</t>
        </is>
      </c>
      <c r="B1077" s="1" t="n">
        <v>44865</v>
      </c>
      <c r="C1077" s="1" t="n">
        <v>45754</v>
      </c>
      <c r="D1077" t="inlineStr">
        <is>
          <t>JÄMTLANDS LÄN</t>
        </is>
      </c>
      <c r="E1077" t="inlineStr">
        <is>
          <t>BRÄCKE</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50334-2022</t>
        </is>
      </c>
      <c r="B1078" s="1" t="n">
        <v>44865</v>
      </c>
      <c r="C1078" s="1" t="n">
        <v>45754</v>
      </c>
      <c r="D1078" t="inlineStr">
        <is>
          <t>JÄMTLANDS LÄN</t>
        </is>
      </c>
      <c r="E1078" t="inlineStr">
        <is>
          <t>BRÄCKE</t>
        </is>
      </c>
      <c r="F1078" t="inlineStr">
        <is>
          <t>SCA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51152-2022</t>
        </is>
      </c>
      <c r="B1079" s="1" t="n">
        <v>44865</v>
      </c>
      <c r="C1079" s="1" t="n">
        <v>45754</v>
      </c>
      <c r="D1079" t="inlineStr">
        <is>
          <t>JÄMTLANDS LÄN</t>
        </is>
      </c>
      <c r="E1079" t="inlineStr">
        <is>
          <t>BRÄCKE</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51270-2022</t>
        </is>
      </c>
      <c r="B1080" s="1" t="n">
        <v>44866</v>
      </c>
      <c r="C1080" s="1" t="n">
        <v>45754</v>
      </c>
      <c r="D1080" t="inlineStr">
        <is>
          <t>JÄMTLANDS LÄN</t>
        </is>
      </c>
      <c r="E1080" t="inlineStr">
        <is>
          <t>BRÄCKE</t>
        </is>
      </c>
      <c r="F1080" t="inlineStr">
        <is>
          <t>Kommuner</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51022-2022</t>
        </is>
      </c>
      <c r="B1081" s="1" t="n">
        <v>44867</v>
      </c>
      <c r="C1081" s="1" t="n">
        <v>45754</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51020-2022</t>
        </is>
      </c>
      <c r="B1082" s="1" t="n">
        <v>44867</v>
      </c>
      <c r="C1082" s="1" t="n">
        <v>45754</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51558-2022</t>
        </is>
      </c>
      <c r="B1083" s="1" t="n">
        <v>44869</v>
      </c>
      <c r="C1083" s="1" t="n">
        <v>45754</v>
      </c>
      <c r="D1083" t="inlineStr">
        <is>
          <t>JÄMTLANDS LÄN</t>
        </is>
      </c>
      <c r="E1083" t="inlineStr">
        <is>
          <t>BRÄCKE</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51559-2022</t>
        </is>
      </c>
      <c r="B1084" s="1" t="n">
        <v>44869</v>
      </c>
      <c r="C1084" s="1" t="n">
        <v>45754</v>
      </c>
      <c r="D1084" t="inlineStr">
        <is>
          <t>JÄMTLANDS LÄN</t>
        </is>
      </c>
      <c r="E1084" t="inlineStr">
        <is>
          <t>BRÄCKE</t>
        </is>
      </c>
      <c r="F1084" t="inlineStr">
        <is>
          <t>SCA</t>
        </is>
      </c>
      <c r="G1084" t="n">
        <v>21.1</v>
      </c>
      <c r="H1084" t="n">
        <v>0</v>
      </c>
      <c r="I1084" t="n">
        <v>0</v>
      </c>
      <c r="J1084" t="n">
        <v>0</v>
      </c>
      <c r="K1084" t="n">
        <v>0</v>
      </c>
      <c r="L1084" t="n">
        <v>0</v>
      </c>
      <c r="M1084" t="n">
        <v>0</v>
      </c>
      <c r="N1084" t="n">
        <v>0</v>
      </c>
      <c r="O1084" t="n">
        <v>0</v>
      </c>
      <c r="P1084" t="n">
        <v>0</v>
      </c>
      <c r="Q1084" t="n">
        <v>0</v>
      </c>
      <c r="R1084" s="2" t="inlineStr"/>
    </row>
    <row r="1085" ht="15" customHeight="1">
      <c r="A1085" t="inlineStr">
        <is>
          <t>A 51787-2022</t>
        </is>
      </c>
      <c r="B1085" s="1" t="n">
        <v>44872</v>
      </c>
      <c r="C1085" s="1" t="n">
        <v>45754</v>
      </c>
      <c r="D1085" t="inlineStr">
        <is>
          <t>JÄMTLANDS LÄN</t>
        </is>
      </c>
      <c r="E1085" t="inlineStr">
        <is>
          <t>BRÄCKE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52021-2022</t>
        </is>
      </c>
      <c r="B1086" s="1" t="n">
        <v>44872</v>
      </c>
      <c r="C1086" s="1" t="n">
        <v>45754</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52023-2022</t>
        </is>
      </c>
      <c r="B1087" s="1" t="n">
        <v>44872</v>
      </c>
      <c r="C1087" s="1" t="n">
        <v>45754</v>
      </c>
      <c r="D1087" t="inlineStr">
        <is>
          <t>JÄMTLANDS LÄN</t>
        </is>
      </c>
      <c r="E1087" t="inlineStr">
        <is>
          <t>BRÄCKE</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52022-2022</t>
        </is>
      </c>
      <c r="B1088" s="1" t="n">
        <v>44872</v>
      </c>
      <c r="C1088" s="1" t="n">
        <v>45754</v>
      </c>
      <c r="D1088" t="inlineStr">
        <is>
          <t>JÄMTLANDS LÄN</t>
        </is>
      </c>
      <c r="E1088" t="inlineStr">
        <is>
          <t>BRÄCKE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52844-2022</t>
        </is>
      </c>
      <c r="B1089" s="1" t="n">
        <v>44872</v>
      </c>
      <c r="C1089" s="1" t="n">
        <v>45754</v>
      </c>
      <c r="D1089" t="inlineStr">
        <is>
          <t>JÄMTLANDS LÄN</t>
        </is>
      </c>
      <c r="E1089" t="inlineStr">
        <is>
          <t>BRÄCKE</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52031-2022</t>
        </is>
      </c>
      <c r="B1090" s="1" t="n">
        <v>44872</v>
      </c>
      <c r="C1090" s="1" t="n">
        <v>45754</v>
      </c>
      <c r="D1090" t="inlineStr">
        <is>
          <t>JÄMTLANDS LÄN</t>
        </is>
      </c>
      <c r="E1090" t="inlineStr">
        <is>
          <t>BRÄCKE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52300-2022</t>
        </is>
      </c>
      <c r="B1091" s="1" t="n">
        <v>44873</v>
      </c>
      <c r="C1091" s="1" t="n">
        <v>45754</v>
      </c>
      <c r="D1091" t="inlineStr">
        <is>
          <t>JÄMTLANDS LÄN</t>
        </is>
      </c>
      <c r="E1091" t="inlineStr">
        <is>
          <t>BRÄCKE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53113-2022</t>
        </is>
      </c>
      <c r="B1092" s="1" t="n">
        <v>44873</v>
      </c>
      <c r="C1092" s="1" t="n">
        <v>45754</v>
      </c>
      <c r="D1092" t="inlineStr">
        <is>
          <t>JÄMTLANDS LÄN</t>
        </is>
      </c>
      <c r="E1092" t="inlineStr">
        <is>
          <t>BRÄCKE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52433-2022</t>
        </is>
      </c>
      <c r="B1093" s="1" t="n">
        <v>44874</v>
      </c>
      <c r="C1093" s="1" t="n">
        <v>45754</v>
      </c>
      <c r="D1093" t="inlineStr">
        <is>
          <t>JÄMTLANDS LÄN</t>
        </is>
      </c>
      <c r="E1093" t="inlineStr">
        <is>
          <t>BRÄCKE</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52712-2022</t>
        </is>
      </c>
      <c r="B1094" s="1" t="n">
        <v>44874</v>
      </c>
      <c r="C1094" s="1" t="n">
        <v>45754</v>
      </c>
      <c r="D1094" t="inlineStr">
        <is>
          <t>JÄMTLANDS LÄN</t>
        </is>
      </c>
      <c r="E1094" t="inlineStr">
        <is>
          <t>BRÄCKE</t>
        </is>
      </c>
      <c r="F1094" t="inlineStr">
        <is>
          <t>SCA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52721-2022</t>
        </is>
      </c>
      <c r="B1095" s="1" t="n">
        <v>44874</v>
      </c>
      <c r="C1095" s="1" t="n">
        <v>45754</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52713-2022</t>
        </is>
      </c>
      <c r="B1096" s="1" t="n">
        <v>44874</v>
      </c>
      <c r="C1096" s="1" t="n">
        <v>45754</v>
      </c>
      <c r="D1096" t="inlineStr">
        <is>
          <t>JÄMTLANDS LÄN</t>
        </is>
      </c>
      <c r="E1096" t="inlineStr">
        <is>
          <t>BRÄCKE</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52722-2022</t>
        </is>
      </c>
      <c r="B1097" s="1" t="n">
        <v>44874</v>
      </c>
      <c r="C1097" s="1" t="n">
        <v>45754</v>
      </c>
      <c r="D1097" t="inlineStr">
        <is>
          <t>JÄMTLANDS LÄN</t>
        </is>
      </c>
      <c r="E1097" t="inlineStr">
        <is>
          <t>BRÄCKE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52714-2022</t>
        </is>
      </c>
      <c r="B1098" s="1" t="n">
        <v>44874</v>
      </c>
      <c r="C1098" s="1" t="n">
        <v>45754</v>
      </c>
      <c r="D1098" t="inlineStr">
        <is>
          <t>JÄMTLANDS LÄN</t>
        </is>
      </c>
      <c r="E1098" t="inlineStr">
        <is>
          <t>BRÄCKE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52724-2022</t>
        </is>
      </c>
      <c r="B1099" s="1" t="n">
        <v>44874</v>
      </c>
      <c r="C1099" s="1" t="n">
        <v>45754</v>
      </c>
      <c r="D1099" t="inlineStr">
        <is>
          <t>JÄMTLANDS LÄN</t>
        </is>
      </c>
      <c r="E1099" t="inlineStr">
        <is>
          <t>BRÄCKE</t>
        </is>
      </c>
      <c r="F1099" t="inlineStr">
        <is>
          <t>SCA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53407-2022</t>
        </is>
      </c>
      <c r="B1100" s="1" t="n">
        <v>44874</v>
      </c>
      <c r="C1100" s="1" t="n">
        <v>45754</v>
      </c>
      <c r="D1100" t="inlineStr">
        <is>
          <t>JÄMTLANDS LÄN</t>
        </is>
      </c>
      <c r="E1100" t="inlineStr">
        <is>
          <t>BRÄCKE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52846-2022</t>
        </is>
      </c>
      <c r="B1101" s="1" t="n">
        <v>44875</v>
      </c>
      <c r="C1101" s="1" t="n">
        <v>45754</v>
      </c>
      <c r="D1101" t="inlineStr">
        <is>
          <t>JÄMTLANDS LÄN</t>
        </is>
      </c>
      <c r="E1101" t="inlineStr">
        <is>
          <t>BRÄCKE</t>
        </is>
      </c>
      <c r="F1101" t="inlineStr">
        <is>
          <t>Övriga Aktiebolag</t>
        </is>
      </c>
      <c r="G1101" t="n">
        <v>13.1</v>
      </c>
      <c r="H1101" t="n">
        <v>0</v>
      </c>
      <c r="I1101" t="n">
        <v>0</v>
      </c>
      <c r="J1101" t="n">
        <v>0</v>
      </c>
      <c r="K1101" t="n">
        <v>0</v>
      </c>
      <c r="L1101" t="n">
        <v>0</v>
      </c>
      <c r="M1101" t="n">
        <v>0</v>
      </c>
      <c r="N1101" t="n">
        <v>0</v>
      </c>
      <c r="O1101" t="n">
        <v>0</v>
      </c>
      <c r="P1101" t="n">
        <v>0</v>
      </c>
      <c r="Q1101" t="n">
        <v>0</v>
      </c>
      <c r="R1101" s="2" t="inlineStr"/>
    </row>
    <row r="1102" ht="15" customHeight="1">
      <c r="A1102" t="inlineStr">
        <is>
          <t>A 52983-2022</t>
        </is>
      </c>
      <c r="B1102" s="1" t="n">
        <v>44875</v>
      </c>
      <c r="C1102" s="1" t="n">
        <v>45754</v>
      </c>
      <c r="D1102" t="inlineStr">
        <is>
          <t>JÄMTLANDS LÄN</t>
        </is>
      </c>
      <c r="E1102" t="inlineStr">
        <is>
          <t>BRÄCKE</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53026-2022</t>
        </is>
      </c>
      <c r="B1103" s="1" t="n">
        <v>44875</v>
      </c>
      <c r="C1103" s="1" t="n">
        <v>45754</v>
      </c>
      <c r="D1103" t="inlineStr">
        <is>
          <t>JÄMTLANDS LÄN</t>
        </is>
      </c>
      <c r="E1103" t="inlineStr">
        <is>
          <t>BRÄCKE</t>
        </is>
      </c>
      <c r="F1103" t="inlineStr">
        <is>
          <t>Naturvårdsverket</t>
        </is>
      </c>
      <c r="G1103" t="n">
        <v>69.90000000000001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53276-2022</t>
        </is>
      </c>
      <c r="B1104" s="1" t="n">
        <v>44876</v>
      </c>
      <c r="C1104" s="1" t="n">
        <v>45754</v>
      </c>
      <c r="D1104" t="inlineStr">
        <is>
          <t>JÄMTLANDS LÄN</t>
        </is>
      </c>
      <c r="E1104" t="inlineStr">
        <is>
          <t>BRÄCKE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53281-2022</t>
        </is>
      </c>
      <c r="B1105" s="1" t="n">
        <v>44876</v>
      </c>
      <c r="C1105" s="1" t="n">
        <v>45754</v>
      </c>
      <c r="D1105" t="inlineStr">
        <is>
          <t>JÄMTLANDS LÄN</t>
        </is>
      </c>
      <c r="E1105" t="inlineStr">
        <is>
          <t>BRÄCKE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53274-2022</t>
        </is>
      </c>
      <c r="B1106" s="1" t="n">
        <v>44876</v>
      </c>
      <c r="C1106" s="1" t="n">
        <v>45754</v>
      </c>
      <c r="D1106" t="inlineStr">
        <is>
          <t>JÄMTLANDS LÄN</t>
        </is>
      </c>
      <c r="E1106" t="inlineStr">
        <is>
          <t>BRÄCKE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53283-2022</t>
        </is>
      </c>
      <c r="B1107" s="1" t="n">
        <v>44876</v>
      </c>
      <c r="C1107" s="1" t="n">
        <v>45754</v>
      </c>
      <c r="D1107" t="inlineStr">
        <is>
          <t>JÄMTLANDS LÄN</t>
        </is>
      </c>
      <c r="E1107" t="inlineStr">
        <is>
          <t>BRÄCKE</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53278-2022</t>
        </is>
      </c>
      <c r="B1108" s="1" t="n">
        <v>44876</v>
      </c>
      <c r="C1108" s="1" t="n">
        <v>45754</v>
      </c>
      <c r="D1108" t="inlineStr">
        <is>
          <t>JÄMTLANDS LÄN</t>
        </is>
      </c>
      <c r="E1108" t="inlineStr">
        <is>
          <t>BRÄCKE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54274-2022</t>
        </is>
      </c>
      <c r="B1109" s="1" t="n">
        <v>44879</v>
      </c>
      <c r="C1109" s="1" t="n">
        <v>45754</v>
      </c>
      <c r="D1109" t="inlineStr">
        <is>
          <t>JÄMTLANDS LÄN</t>
        </is>
      </c>
      <c r="E1109" t="inlineStr">
        <is>
          <t>BRÄCKE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53662-2022</t>
        </is>
      </c>
      <c r="B1110" s="1" t="n">
        <v>44879</v>
      </c>
      <c r="C1110" s="1" t="n">
        <v>45754</v>
      </c>
      <c r="D1110" t="inlineStr">
        <is>
          <t>JÄMTLANDS LÄN</t>
        </is>
      </c>
      <c r="E1110" t="inlineStr">
        <is>
          <t>BRÄCKE</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53941-2022</t>
        </is>
      </c>
      <c r="B1111" s="1" t="n">
        <v>44880</v>
      </c>
      <c r="C1111" s="1" t="n">
        <v>45754</v>
      </c>
      <c r="D1111" t="inlineStr">
        <is>
          <t>JÄMTLANDS LÄN</t>
        </is>
      </c>
      <c r="E1111" t="inlineStr">
        <is>
          <t>BRÄCKE</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54243-2022</t>
        </is>
      </c>
      <c r="B1112" s="1" t="n">
        <v>44881</v>
      </c>
      <c r="C1112" s="1" t="n">
        <v>45754</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54520-2022</t>
        </is>
      </c>
      <c r="B1113" s="1" t="n">
        <v>44882</v>
      </c>
      <c r="C1113" s="1" t="n">
        <v>45754</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54566-2022</t>
        </is>
      </c>
      <c r="B1114" s="1" t="n">
        <v>44882</v>
      </c>
      <c r="C1114" s="1" t="n">
        <v>45754</v>
      </c>
      <c r="D1114" t="inlineStr">
        <is>
          <t>JÄMTLANDS LÄN</t>
        </is>
      </c>
      <c r="E1114" t="inlineStr">
        <is>
          <t>BRÄCKE</t>
        </is>
      </c>
      <c r="F1114" t="inlineStr">
        <is>
          <t>SCA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54524-2022</t>
        </is>
      </c>
      <c r="B1115" s="1" t="n">
        <v>44882</v>
      </c>
      <c r="C1115" s="1" t="n">
        <v>45754</v>
      </c>
      <c r="D1115" t="inlineStr">
        <is>
          <t>JÄMTLANDS LÄN</t>
        </is>
      </c>
      <c r="E1115" t="inlineStr">
        <is>
          <t>BRÄCKE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54568-2022</t>
        </is>
      </c>
      <c r="B1116" s="1" t="n">
        <v>44882</v>
      </c>
      <c r="C1116" s="1" t="n">
        <v>45754</v>
      </c>
      <c r="D1116" t="inlineStr">
        <is>
          <t>JÄMTLANDS LÄN</t>
        </is>
      </c>
      <c r="E1116" t="inlineStr">
        <is>
          <t>BRÄCKE</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54565-2022</t>
        </is>
      </c>
      <c r="B1117" s="1" t="n">
        <v>44882</v>
      </c>
      <c r="C1117" s="1" t="n">
        <v>45754</v>
      </c>
      <c r="D1117" t="inlineStr">
        <is>
          <t>JÄMTLANDS LÄN</t>
        </is>
      </c>
      <c r="E1117" t="inlineStr">
        <is>
          <t>BRÄCKE</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54567-2022</t>
        </is>
      </c>
      <c r="B1118" s="1" t="n">
        <v>44882</v>
      </c>
      <c r="C1118" s="1" t="n">
        <v>45754</v>
      </c>
      <c r="D1118" t="inlineStr">
        <is>
          <t>JÄMTLANDS LÄN</t>
        </is>
      </c>
      <c r="E1118" t="inlineStr">
        <is>
          <t>BRÄCKE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54668-2022</t>
        </is>
      </c>
      <c r="B1119" s="1" t="n">
        <v>44883</v>
      </c>
      <c r="C1119" s="1" t="n">
        <v>45754</v>
      </c>
      <c r="D1119" t="inlineStr">
        <is>
          <t>JÄMTLANDS LÄN</t>
        </is>
      </c>
      <c r="E1119" t="inlineStr">
        <is>
          <t>BRÄCKE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54829-2022</t>
        </is>
      </c>
      <c r="B1120" s="1" t="n">
        <v>44883</v>
      </c>
      <c r="C1120" s="1" t="n">
        <v>45754</v>
      </c>
      <c r="D1120" t="inlineStr">
        <is>
          <t>JÄMTLANDS LÄN</t>
        </is>
      </c>
      <c r="E1120" t="inlineStr">
        <is>
          <t>BRÄCKE</t>
        </is>
      </c>
      <c r="F1120" t="inlineStr">
        <is>
          <t>SCA</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54840-2022</t>
        </is>
      </c>
      <c r="B1121" s="1" t="n">
        <v>44883</v>
      </c>
      <c r="C1121" s="1" t="n">
        <v>45754</v>
      </c>
      <c r="D1121" t="inlineStr">
        <is>
          <t>JÄMTLANDS LÄN</t>
        </is>
      </c>
      <c r="E1121" t="inlineStr">
        <is>
          <t>BRÄCKE</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54833-2022</t>
        </is>
      </c>
      <c r="B1122" s="1" t="n">
        <v>44883</v>
      </c>
      <c r="C1122" s="1" t="n">
        <v>45754</v>
      </c>
      <c r="D1122" t="inlineStr">
        <is>
          <t>JÄMTLANDS LÄN</t>
        </is>
      </c>
      <c r="E1122" t="inlineStr">
        <is>
          <t>BRÄCKE</t>
        </is>
      </c>
      <c r="F1122" t="inlineStr">
        <is>
          <t>SCA</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55774-2022</t>
        </is>
      </c>
      <c r="B1123" s="1" t="n">
        <v>44886</v>
      </c>
      <c r="C1123" s="1" t="n">
        <v>45754</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55512-2022</t>
        </is>
      </c>
      <c r="B1124" s="1" t="n">
        <v>44887</v>
      </c>
      <c r="C1124" s="1" t="n">
        <v>45754</v>
      </c>
      <c r="D1124" t="inlineStr">
        <is>
          <t>JÄMTLANDS LÄN</t>
        </is>
      </c>
      <c r="E1124" t="inlineStr">
        <is>
          <t>BRÄCKE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55520-2022</t>
        </is>
      </c>
      <c r="B1125" s="1" t="n">
        <v>44887</v>
      </c>
      <c r="C1125" s="1" t="n">
        <v>45754</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55529-2022</t>
        </is>
      </c>
      <c r="B1126" s="1" t="n">
        <v>44887</v>
      </c>
      <c r="C1126" s="1" t="n">
        <v>45754</v>
      </c>
      <c r="D1126" t="inlineStr">
        <is>
          <t>JÄMTLANDS LÄN</t>
        </is>
      </c>
      <c r="E1126" t="inlineStr">
        <is>
          <t>BRÄCKE</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55523-2022</t>
        </is>
      </c>
      <c r="B1127" s="1" t="n">
        <v>44887</v>
      </c>
      <c r="C1127" s="1" t="n">
        <v>45754</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55895-2022</t>
        </is>
      </c>
      <c r="B1128" s="1" t="n">
        <v>44888</v>
      </c>
      <c r="C1128" s="1" t="n">
        <v>45754</v>
      </c>
      <c r="D1128" t="inlineStr">
        <is>
          <t>JÄMTLANDS LÄN</t>
        </is>
      </c>
      <c r="E1128" t="inlineStr">
        <is>
          <t>BRÄCKE</t>
        </is>
      </c>
      <c r="F1128" t="inlineStr">
        <is>
          <t>SCA</t>
        </is>
      </c>
      <c r="G1128" t="n">
        <v>14.9</v>
      </c>
      <c r="H1128" t="n">
        <v>0</v>
      </c>
      <c r="I1128" t="n">
        <v>0</v>
      </c>
      <c r="J1128" t="n">
        <v>0</v>
      </c>
      <c r="K1128" t="n">
        <v>0</v>
      </c>
      <c r="L1128" t="n">
        <v>0</v>
      </c>
      <c r="M1128" t="n">
        <v>0</v>
      </c>
      <c r="N1128" t="n">
        <v>0</v>
      </c>
      <c r="O1128" t="n">
        <v>0</v>
      </c>
      <c r="P1128" t="n">
        <v>0</v>
      </c>
      <c r="Q1128" t="n">
        <v>0</v>
      </c>
      <c r="R1128" s="2" t="inlineStr"/>
    </row>
    <row r="1129" ht="15" customHeight="1">
      <c r="A1129" t="inlineStr">
        <is>
          <t>A 55900-2022</t>
        </is>
      </c>
      <c r="B1129" s="1" t="n">
        <v>44888</v>
      </c>
      <c r="C1129" s="1" t="n">
        <v>45754</v>
      </c>
      <c r="D1129" t="inlineStr">
        <is>
          <t>JÄMTLANDS LÄN</t>
        </is>
      </c>
      <c r="E1129" t="inlineStr">
        <is>
          <t>BRÄCKE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55905-2022</t>
        </is>
      </c>
      <c r="B1130" s="1" t="n">
        <v>44888</v>
      </c>
      <c r="C1130" s="1" t="n">
        <v>45754</v>
      </c>
      <c r="D1130" t="inlineStr">
        <is>
          <t>JÄMTLANDS LÄN</t>
        </is>
      </c>
      <c r="E1130" t="inlineStr">
        <is>
          <t>BRÄCKE</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56185-2022</t>
        </is>
      </c>
      <c r="B1131" s="1" t="n">
        <v>44889</v>
      </c>
      <c r="C1131" s="1" t="n">
        <v>45754</v>
      </c>
      <c r="D1131" t="inlineStr">
        <is>
          <t>JÄMTLANDS LÄN</t>
        </is>
      </c>
      <c r="E1131" t="inlineStr">
        <is>
          <t>BRÄCKE</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56424-2022</t>
        </is>
      </c>
      <c r="B1132" s="1" t="n">
        <v>44890</v>
      </c>
      <c r="C1132" s="1" t="n">
        <v>45754</v>
      </c>
      <c r="D1132" t="inlineStr">
        <is>
          <t>JÄMTLANDS LÄN</t>
        </is>
      </c>
      <c r="E1132" t="inlineStr">
        <is>
          <t>BRÄCKE</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56641-2022</t>
        </is>
      </c>
      <c r="B1133" s="1" t="n">
        <v>44893</v>
      </c>
      <c r="C1133" s="1" t="n">
        <v>45754</v>
      </c>
      <c r="D1133" t="inlineStr">
        <is>
          <t>JÄMTLANDS LÄN</t>
        </is>
      </c>
      <c r="E1133" t="inlineStr">
        <is>
          <t>BRÄCKE</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56656-2022</t>
        </is>
      </c>
      <c r="B1134" s="1" t="n">
        <v>44893</v>
      </c>
      <c r="C1134" s="1" t="n">
        <v>45754</v>
      </c>
      <c r="D1134" t="inlineStr">
        <is>
          <t>JÄMTLANDS LÄN</t>
        </is>
      </c>
      <c r="E1134" t="inlineStr">
        <is>
          <t>BRÄCKE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56732-2022</t>
        </is>
      </c>
      <c r="B1135" s="1" t="n">
        <v>44893</v>
      </c>
      <c r="C1135" s="1" t="n">
        <v>45754</v>
      </c>
      <c r="D1135" t="inlineStr">
        <is>
          <t>JÄMTLANDS LÄN</t>
        </is>
      </c>
      <c r="E1135" t="inlineStr">
        <is>
          <t>BRÄCKE</t>
        </is>
      </c>
      <c r="F1135" t="inlineStr">
        <is>
          <t>SCA</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56739-2022</t>
        </is>
      </c>
      <c r="B1136" s="1" t="n">
        <v>44893</v>
      </c>
      <c r="C1136" s="1" t="n">
        <v>45754</v>
      </c>
      <c r="D1136" t="inlineStr">
        <is>
          <t>JÄMTLANDS LÄN</t>
        </is>
      </c>
      <c r="E1136" t="inlineStr">
        <is>
          <t>BRÄCKE</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57011-2022</t>
        </is>
      </c>
      <c r="B1137" s="1" t="n">
        <v>44894</v>
      </c>
      <c r="C1137" s="1" t="n">
        <v>45754</v>
      </c>
      <c r="D1137" t="inlineStr">
        <is>
          <t>JÄMTLANDS LÄN</t>
        </is>
      </c>
      <c r="E1137" t="inlineStr">
        <is>
          <t>BRÄCKE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56822-2022</t>
        </is>
      </c>
      <c r="B1138" s="1" t="n">
        <v>44894</v>
      </c>
      <c r="C1138" s="1" t="n">
        <v>45754</v>
      </c>
      <c r="D1138" t="inlineStr">
        <is>
          <t>JÄMTLANDS LÄN</t>
        </is>
      </c>
      <c r="E1138" t="inlineStr">
        <is>
          <t>BRÄCKE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57010-2022</t>
        </is>
      </c>
      <c r="B1139" s="1" t="n">
        <v>44894</v>
      </c>
      <c r="C1139" s="1" t="n">
        <v>45754</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58547-2022</t>
        </is>
      </c>
      <c r="B1140" s="1" t="n">
        <v>44894</v>
      </c>
      <c r="C1140" s="1" t="n">
        <v>45754</v>
      </c>
      <c r="D1140" t="inlineStr">
        <is>
          <t>JÄMTLANDS LÄN</t>
        </is>
      </c>
      <c r="E1140" t="inlineStr">
        <is>
          <t>BRÄCKE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57845-2022</t>
        </is>
      </c>
      <c r="B1141" s="1" t="n">
        <v>44897</v>
      </c>
      <c r="C1141" s="1" t="n">
        <v>45754</v>
      </c>
      <c r="D1141" t="inlineStr">
        <is>
          <t>JÄMTLANDS LÄN</t>
        </is>
      </c>
      <c r="E1141" t="inlineStr">
        <is>
          <t>BRÄCKE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58187-2022</t>
        </is>
      </c>
      <c r="B1142" s="1" t="n">
        <v>44900</v>
      </c>
      <c r="C1142" s="1" t="n">
        <v>45754</v>
      </c>
      <c r="D1142" t="inlineStr">
        <is>
          <t>JÄMTLANDS LÄN</t>
        </is>
      </c>
      <c r="E1142" t="inlineStr">
        <is>
          <t>BRÄCKE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58500-2022</t>
        </is>
      </c>
      <c r="B1143" s="1" t="n">
        <v>44902</v>
      </c>
      <c r="C1143" s="1" t="n">
        <v>45754</v>
      </c>
      <c r="D1143" t="inlineStr">
        <is>
          <t>JÄMTLANDS LÄN</t>
        </is>
      </c>
      <c r="E1143" t="inlineStr">
        <is>
          <t>BRÄCKE</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58498-2022</t>
        </is>
      </c>
      <c r="B1144" s="1" t="n">
        <v>44902</v>
      </c>
      <c r="C1144" s="1" t="n">
        <v>45754</v>
      </c>
      <c r="D1144" t="inlineStr">
        <is>
          <t>JÄMTLANDS LÄN</t>
        </is>
      </c>
      <c r="E1144" t="inlineStr">
        <is>
          <t>BRÄCKE</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58503-2022</t>
        </is>
      </c>
      <c r="B1145" s="1" t="n">
        <v>44902</v>
      </c>
      <c r="C1145" s="1" t="n">
        <v>45754</v>
      </c>
      <c r="D1145" t="inlineStr">
        <is>
          <t>JÄMTLANDS LÄN</t>
        </is>
      </c>
      <c r="E1145" t="inlineStr">
        <is>
          <t>BRÄCKE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58497-2022</t>
        </is>
      </c>
      <c r="B1146" s="1" t="n">
        <v>44902</v>
      </c>
      <c r="C1146" s="1" t="n">
        <v>45754</v>
      </c>
      <c r="D1146" t="inlineStr">
        <is>
          <t>JÄMTLANDS LÄN</t>
        </is>
      </c>
      <c r="E1146" t="inlineStr">
        <is>
          <t>BRÄCKE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58728-2022</t>
        </is>
      </c>
      <c r="B1147" s="1" t="n">
        <v>44902</v>
      </c>
      <c r="C1147" s="1" t="n">
        <v>45754</v>
      </c>
      <c r="D1147" t="inlineStr">
        <is>
          <t>JÄMTLANDS LÄN</t>
        </is>
      </c>
      <c r="E1147" t="inlineStr">
        <is>
          <t>BRÄCKE</t>
        </is>
      </c>
      <c r="G1147" t="n">
        <v>21.5</v>
      </c>
      <c r="H1147" t="n">
        <v>0</v>
      </c>
      <c r="I1147" t="n">
        <v>0</v>
      </c>
      <c r="J1147" t="n">
        <v>0</v>
      </c>
      <c r="K1147" t="n">
        <v>0</v>
      </c>
      <c r="L1147" t="n">
        <v>0</v>
      </c>
      <c r="M1147" t="n">
        <v>0</v>
      </c>
      <c r="N1147" t="n">
        <v>0</v>
      </c>
      <c r="O1147" t="n">
        <v>0</v>
      </c>
      <c r="P1147" t="n">
        <v>0</v>
      </c>
      <c r="Q1147" t="n">
        <v>0</v>
      </c>
      <c r="R1147" s="2" t="inlineStr"/>
    </row>
    <row r="1148" ht="15" customHeight="1">
      <c r="A1148" t="inlineStr">
        <is>
          <t>A 58745-2022</t>
        </is>
      </c>
      <c r="B1148" s="1" t="n">
        <v>44902</v>
      </c>
      <c r="C1148" s="1" t="n">
        <v>45754</v>
      </c>
      <c r="D1148" t="inlineStr">
        <is>
          <t>JÄMTLANDS LÄN</t>
        </is>
      </c>
      <c r="E1148" t="inlineStr">
        <is>
          <t>BRÄCKE</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58731-2022</t>
        </is>
      </c>
      <c r="B1149" s="1" t="n">
        <v>44902</v>
      </c>
      <c r="C1149" s="1" t="n">
        <v>45754</v>
      </c>
      <c r="D1149" t="inlineStr">
        <is>
          <t>JÄMTLANDS LÄN</t>
        </is>
      </c>
      <c r="E1149" t="inlineStr">
        <is>
          <t>BRÄCKE</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59047-2022</t>
        </is>
      </c>
      <c r="B1150" s="1" t="n">
        <v>44903</v>
      </c>
      <c r="C1150" s="1" t="n">
        <v>45754</v>
      </c>
      <c r="D1150" t="inlineStr">
        <is>
          <t>JÄMTLANDS LÄN</t>
        </is>
      </c>
      <c r="E1150" t="inlineStr">
        <is>
          <t>BRÄCKE</t>
        </is>
      </c>
      <c r="F1150" t="inlineStr">
        <is>
          <t>SCA</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59369-2022</t>
        </is>
      </c>
      <c r="B1151" s="1" t="n">
        <v>44904</v>
      </c>
      <c r="C1151" s="1" t="n">
        <v>45754</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59405-2022</t>
        </is>
      </c>
      <c r="B1152" s="1" t="n">
        <v>44906</v>
      </c>
      <c r="C1152" s="1" t="n">
        <v>45754</v>
      </c>
      <c r="D1152" t="inlineStr">
        <is>
          <t>JÄMTLANDS LÄN</t>
        </is>
      </c>
      <c r="E1152" t="inlineStr">
        <is>
          <t>BRÄCKE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59427-2022</t>
        </is>
      </c>
      <c r="B1153" s="1" t="n">
        <v>44907</v>
      </c>
      <c r="C1153" s="1" t="n">
        <v>45754</v>
      </c>
      <c r="D1153" t="inlineStr">
        <is>
          <t>JÄMTLANDS LÄN</t>
        </is>
      </c>
      <c r="E1153" t="inlineStr">
        <is>
          <t>BRÄCKE</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59640-2022</t>
        </is>
      </c>
      <c r="B1154" s="1" t="n">
        <v>44908</v>
      </c>
      <c r="C1154" s="1" t="n">
        <v>45754</v>
      </c>
      <c r="D1154" t="inlineStr">
        <is>
          <t>JÄMTLANDS LÄN</t>
        </is>
      </c>
      <c r="E1154" t="inlineStr">
        <is>
          <t>BRÄCKE</t>
        </is>
      </c>
      <c r="F1154" t="inlineStr">
        <is>
          <t>SCA</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59644-2022</t>
        </is>
      </c>
      <c r="B1155" s="1" t="n">
        <v>44908</v>
      </c>
      <c r="C1155" s="1" t="n">
        <v>45754</v>
      </c>
      <c r="D1155" t="inlineStr">
        <is>
          <t>JÄMTLANDS LÄN</t>
        </is>
      </c>
      <c r="E1155" t="inlineStr">
        <is>
          <t>BRÄCKE</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59641-2022</t>
        </is>
      </c>
      <c r="B1156" s="1" t="n">
        <v>44908</v>
      </c>
      <c r="C1156" s="1" t="n">
        <v>45754</v>
      </c>
      <c r="D1156" t="inlineStr">
        <is>
          <t>JÄMTLANDS LÄN</t>
        </is>
      </c>
      <c r="E1156" t="inlineStr">
        <is>
          <t>BRÄCKE</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59642-2022</t>
        </is>
      </c>
      <c r="B1157" s="1" t="n">
        <v>44908</v>
      </c>
      <c r="C1157" s="1" t="n">
        <v>45754</v>
      </c>
      <c r="D1157" t="inlineStr">
        <is>
          <t>JÄMTLANDS LÄN</t>
        </is>
      </c>
      <c r="E1157" t="inlineStr">
        <is>
          <t>BRÄCKE</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59643-2022</t>
        </is>
      </c>
      <c r="B1158" s="1" t="n">
        <v>44907</v>
      </c>
      <c r="C1158" s="1" t="n">
        <v>45754</v>
      </c>
      <c r="D1158" t="inlineStr">
        <is>
          <t>JÄMTLANDS LÄN</t>
        </is>
      </c>
      <c r="E1158" t="inlineStr">
        <is>
          <t>BRÄCKE</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59910-2022</t>
        </is>
      </c>
      <c r="B1159" s="1" t="n">
        <v>44908</v>
      </c>
      <c r="C1159" s="1" t="n">
        <v>45754</v>
      </c>
      <c r="D1159" t="inlineStr">
        <is>
          <t>JÄMTLANDS LÄN</t>
        </is>
      </c>
      <c r="E1159" t="inlineStr">
        <is>
          <t>BRÄCKE</t>
        </is>
      </c>
      <c r="F1159" t="inlineStr">
        <is>
          <t>SCA</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59915-2022</t>
        </is>
      </c>
      <c r="B1160" s="1" t="n">
        <v>44909</v>
      </c>
      <c r="C1160" s="1" t="n">
        <v>45754</v>
      </c>
      <c r="D1160" t="inlineStr">
        <is>
          <t>JÄMTLANDS LÄN</t>
        </is>
      </c>
      <c r="E1160" t="inlineStr">
        <is>
          <t>BRÄCKE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59914-2022</t>
        </is>
      </c>
      <c r="B1161" s="1" t="n">
        <v>44909</v>
      </c>
      <c r="C1161" s="1" t="n">
        <v>45754</v>
      </c>
      <c r="D1161" t="inlineStr">
        <is>
          <t>JÄMTLANDS LÄN</t>
        </is>
      </c>
      <c r="E1161" t="inlineStr">
        <is>
          <t>BRÄCKE</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59916-2022</t>
        </is>
      </c>
      <c r="B1162" s="1" t="n">
        <v>44909</v>
      </c>
      <c r="C1162" s="1" t="n">
        <v>45754</v>
      </c>
      <c r="D1162" t="inlineStr">
        <is>
          <t>JÄMTLANDS LÄN</t>
        </is>
      </c>
      <c r="E1162" t="inlineStr">
        <is>
          <t>BRÄCKE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59932-2022</t>
        </is>
      </c>
      <c r="B1163" s="1" t="n">
        <v>44909</v>
      </c>
      <c r="C1163" s="1" t="n">
        <v>45754</v>
      </c>
      <c r="D1163" t="inlineStr">
        <is>
          <t>JÄMTLANDS LÄN</t>
        </is>
      </c>
      <c r="E1163" t="inlineStr">
        <is>
          <t>BRÄCKE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60178-2022</t>
        </is>
      </c>
      <c r="B1164" s="1" t="n">
        <v>44909</v>
      </c>
      <c r="C1164" s="1" t="n">
        <v>45754</v>
      </c>
      <c r="D1164" t="inlineStr">
        <is>
          <t>JÄMTLANDS LÄN</t>
        </is>
      </c>
      <c r="E1164" t="inlineStr">
        <is>
          <t>BRÄCKE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60417-2022</t>
        </is>
      </c>
      <c r="B1165" s="1" t="n">
        <v>44911</v>
      </c>
      <c r="C1165" s="1" t="n">
        <v>45754</v>
      </c>
      <c r="D1165" t="inlineStr">
        <is>
          <t>JÄMTLANDS LÄN</t>
        </is>
      </c>
      <c r="E1165" t="inlineStr">
        <is>
          <t>BRÄCKE</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60661-2022</t>
        </is>
      </c>
      <c r="B1166" s="1" t="n">
        <v>44911</v>
      </c>
      <c r="C1166" s="1" t="n">
        <v>45754</v>
      </c>
      <c r="D1166" t="inlineStr">
        <is>
          <t>JÄMTLANDS LÄN</t>
        </is>
      </c>
      <c r="E1166" t="inlineStr">
        <is>
          <t>BRÄCKE</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61662-2022</t>
        </is>
      </c>
      <c r="B1167" s="1" t="n">
        <v>44917</v>
      </c>
      <c r="C1167" s="1" t="n">
        <v>45754</v>
      </c>
      <c r="D1167" t="inlineStr">
        <is>
          <t>JÄMTLANDS LÄN</t>
        </is>
      </c>
      <c r="E1167" t="inlineStr">
        <is>
          <t>BRÄCKE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61663-2022</t>
        </is>
      </c>
      <c r="B1168" s="1" t="n">
        <v>44916</v>
      </c>
      <c r="C1168" s="1" t="n">
        <v>45754</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123-2023</t>
        </is>
      </c>
      <c r="B1169" s="1" t="n">
        <v>44928</v>
      </c>
      <c r="C1169" s="1" t="n">
        <v>45754</v>
      </c>
      <c r="D1169" t="inlineStr">
        <is>
          <t>JÄMTLANDS LÄN</t>
        </is>
      </c>
      <c r="E1169" t="inlineStr">
        <is>
          <t>BRÄCKE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1070-2023</t>
        </is>
      </c>
      <c r="B1170" s="1" t="n">
        <v>44929</v>
      </c>
      <c r="C1170" s="1" t="n">
        <v>45754</v>
      </c>
      <c r="D1170" t="inlineStr">
        <is>
          <t>JÄMTLANDS LÄN</t>
        </is>
      </c>
      <c r="E1170" t="inlineStr">
        <is>
          <t>BRÄCKE</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643-2023</t>
        </is>
      </c>
      <c r="B1171" s="1" t="n">
        <v>44930</v>
      </c>
      <c r="C1171" s="1" t="n">
        <v>45754</v>
      </c>
      <c r="D1171" t="inlineStr">
        <is>
          <t>JÄMTLANDS LÄN</t>
        </is>
      </c>
      <c r="E1171" t="inlineStr">
        <is>
          <t>BRÄCKE</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1178-2023</t>
        </is>
      </c>
      <c r="B1172" s="1" t="n">
        <v>44930</v>
      </c>
      <c r="C1172" s="1" t="n">
        <v>45754</v>
      </c>
      <c r="D1172" t="inlineStr">
        <is>
          <t>JÄMTLANDS LÄN</t>
        </is>
      </c>
      <c r="E1172" t="inlineStr">
        <is>
          <t>BRÄCKE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676-2023</t>
        </is>
      </c>
      <c r="B1173" s="1" t="n">
        <v>44930</v>
      </c>
      <c r="C1173" s="1" t="n">
        <v>45754</v>
      </c>
      <c r="D1173" t="inlineStr">
        <is>
          <t>JÄMTLANDS LÄN</t>
        </is>
      </c>
      <c r="E1173" t="inlineStr">
        <is>
          <t>BRÄCKE</t>
        </is>
      </c>
      <c r="F1173" t="inlineStr">
        <is>
          <t>Kyrkan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1204-2023</t>
        </is>
      </c>
      <c r="B1174" s="1" t="n">
        <v>44930</v>
      </c>
      <c r="C1174" s="1" t="n">
        <v>45754</v>
      </c>
      <c r="D1174" t="inlineStr">
        <is>
          <t>JÄMTLANDS LÄN</t>
        </is>
      </c>
      <c r="E1174" t="inlineStr">
        <is>
          <t>BRÄCKE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1230-2023</t>
        </is>
      </c>
      <c r="B1175" s="1" t="n">
        <v>44936</v>
      </c>
      <c r="C1175" s="1" t="n">
        <v>45754</v>
      </c>
      <c r="D1175" t="inlineStr">
        <is>
          <t>JÄMTLANDS LÄN</t>
        </is>
      </c>
      <c r="E1175" t="inlineStr">
        <is>
          <t>BRÄCKE</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2254-2023</t>
        </is>
      </c>
      <c r="B1176" s="1" t="n">
        <v>44939</v>
      </c>
      <c r="C1176" s="1" t="n">
        <v>45754</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2954-2023</t>
        </is>
      </c>
      <c r="B1177" s="1" t="n">
        <v>44945</v>
      </c>
      <c r="C1177" s="1" t="n">
        <v>45754</v>
      </c>
      <c r="D1177" t="inlineStr">
        <is>
          <t>JÄMTLANDS LÄN</t>
        </is>
      </c>
      <c r="E1177" t="inlineStr">
        <is>
          <t>BRÄCKE</t>
        </is>
      </c>
      <c r="F1177" t="inlineStr">
        <is>
          <t>Övriga Aktiebolag</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3032-2023</t>
        </is>
      </c>
      <c r="B1178" s="1" t="n">
        <v>44945</v>
      </c>
      <c r="C1178" s="1" t="n">
        <v>45754</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3036-2023</t>
        </is>
      </c>
      <c r="B1179" s="1" t="n">
        <v>44945</v>
      </c>
      <c r="C1179" s="1" t="n">
        <v>45754</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3020-2023</t>
        </is>
      </c>
      <c r="B1180" s="1" t="n">
        <v>44945</v>
      </c>
      <c r="C1180" s="1" t="n">
        <v>45754</v>
      </c>
      <c r="D1180" t="inlineStr">
        <is>
          <t>JÄMTLANDS LÄN</t>
        </is>
      </c>
      <c r="E1180" t="inlineStr">
        <is>
          <t>BRÄCKE</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3031-2023</t>
        </is>
      </c>
      <c r="B1181" s="1" t="n">
        <v>44945</v>
      </c>
      <c r="C1181" s="1" t="n">
        <v>45754</v>
      </c>
      <c r="D1181" t="inlineStr">
        <is>
          <t>JÄMTLANDS LÄN</t>
        </is>
      </c>
      <c r="E1181" t="inlineStr">
        <is>
          <t>BRÄCKE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3035-2023</t>
        </is>
      </c>
      <c r="B1182" s="1" t="n">
        <v>44945</v>
      </c>
      <c r="C1182" s="1" t="n">
        <v>45754</v>
      </c>
      <c r="D1182" t="inlineStr">
        <is>
          <t>JÄMTLANDS LÄN</t>
        </is>
      </c>
      <c r="E1182" t="inlineStr">
        <is>
          <t>BRÄCKE</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3033-2023</t>
        </is>
      </c>
      <c r="B1183" s="1" t="n">
        <v>44945</v>
      </c>
      <c r="C1183" s="1" t="n">
        <v>45754</v>
      </c>
      <c r="D1183" t="inlineStr">
        <is>
          <t>JÄMTLANDS LÄN</t>
        </is>
      </c>
      <c r="E1183" t="inlineStr">
        <is>
          <t>BRÄCKE</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2985-2023</t>
        </is>
      </c>
      <c r="B1184" s="1" t="n">
        <v>44945</v>
      </c>
      <c r="C1184" s="1" t="n">
        <v>45754</v>
      </c>
      <c r="D1184" t="inlineStr">
        <is>
          <t>JÄMTLANDS LÄN</t>
        </is>
      </c>
      <c r="E1184" t="inlineStr">
        <is>
          <t>BRÄCKE</t>
        </is>
      </c>
      <c r="F1184" t="inlineStr">
        <is>
          <t>Övriga Aktiebolag</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3698-2023</t>
        </is>
      </c>
      <c r="B1185" s="1" t="n">
        <v>44950</v>
      </c>
      <c r="C1185" s="1" t="n">
        <v>45754</v>
      </c>
      <c r="D1185" t="inlineStr">
        <is>
          <t>JÄMTLANDS LÄN</t>
        </is>
      </c>
      <c r="E1185" t="inlineStr">
        <is>
          <t>BRÄCKE</t>
        </is>
      </c>
      <c r="F1185" t="inlineStr">
        <is>
          <t>SCA</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3702-2023</t>
        </is>
      </c>
      <c r="B1186" s="1" t="n">
        <v>44950</v>
      </c>
      <c r="C1186" s="1" t="n">
        <v>45754</v>
      </c>
      <c r="D1186" t="inlineStr">
        <is>
          <t>JÄMTLANDS LÄN</t>
        </is>
      </c>
      <c r="E1186" t="inlineStr">
        <is>
          <t>BRÄCKE</t>
        </is>
      </c>
      <c r="F1186" t="inlineStr">
        <is>
          <t>SCA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3845-2023</t>
        </is>
      </c>
      <c r="B1187" s="1" t="n">
        <v>44950</v>
      </c>
      <c r="C1187" s="1" t="n">
        <v>45754</v>
      </c>
      <c r="D1187" t="inlineStr">
        <is>
          <t>JÄMTLANDS LÄN</t>
        </is>
      </c>
      <c r="E1187" t="inlineStr">
        <is>
          <t>BRÄCKE</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3892-2023</t>
        </is>
      </c>
      <c r="B1188" s="1" t="n">
        <v>44951</v>
      </c>
      <c r="C1188" s="1" t="n">
        <v>45754</v>
      </c>
      <c r="D1188" t="inlineStr">
        <is>
          <t>JÄMTLANDS LÄN</t>
        </is>
      </c>
      <c r="E1188" t="inlineStr">
        <is>
          <t>BRÄCKE</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3895-2023</t>
        </is>
      </c>
      <c r="B1189" s="1" t="n">
        <v>44951</v>
      </c>
      <c r="C1189" s="1" t="n">
        <v>45754</v>
      </c>
      <c r="D1189" t="inlineStr">
        <is>
          <t>JÄMTLANDS LÄN</t>
        </is>
      </c>
      <c r="E1189" t="inlineStr">
        <is>
          <t>BRÄCKE</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4273-2023</t>
        </is>
      </c>
      <c r="B1190" s="1" t="n">
        <v>44953</v>
      </c>
      <c r="C1190" s="1" t="n">
        <v>45754</v>
      </c>
      <c r="D1190" t="inlineStr">
        <is>
          <t>JÄMTLANDS LÄN</t>
        </is>
      </c>
      <c r="E1190" t="inlineStr">
        <is>
          <t>BRÄCKE</t>
        </is>
      </c>
      <c r="F1190" t="inlineStr">
        <is>
          <t>Övriga Aktiebolag</t>
        </is>
      </c>
      <c r="G1190" t="n">
        <v>24.4</v>
      </c>
      <c r="H1190" t="n">
        <v>0</v>
      </c>
      <c r="I1190" t="n">
        <v>0</v>
      </c>
      <c r="J1190" t="n">
        <v>0</v>
      </c>
      <c r="K1190" t="n">
        <v>0</v>
      </c>
      <c r="L1190" t="n">
        <v>0</v>
      </c>
      <c r="M1190" t="n">
        <v>0</v>
      </c>
      <c r="N1190" t="n">
        <v>0</v>
      </c>
      <c r="O1190" t="n">
        <v>0</v>
      </c>
      <c r="P1190" t="n">
        <v>0</v>
      </c>
      <c r="Q1190" t="n">
        <v>0</v>
      </c>
      <c r="R1190" s="2" t="inlineStr"/>
    </row>
    <row r="1191" ht="15" customHeight="1">
      <c r="A1191" t="inlineStr">
        <is>
          <t>A 4365-2023</t>
        </is>
      </c>
      <c r="B1191" s="1" t="n">
        <v>44954</v>
      </c>
      <c r="C1191" s="1" t="n">
        <v>45754</v>
      </c>
      <c r="D1191" t="inlineStr">
        <is>
          <t>JÄMTLANDS LÄN</t>
        </is>
      </c>
      <c r="E1191" t="inlineStr">
        <is>
          <t>BRÄCKE</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4366-2023</t>
        </is>
      </c>
      <c r="B1192" s="1" t="n">
        <v>44954</v>
      </c>
      <c r="C1192" s="1" t="n">
        <v>45754</v>
      </c>
      <c r="D1192" t="inlineStr">
        <is>
          <t>JÄMTLANDS LÄN</t>
        </is>
      </c>
      <c r="E1192" t="inlineStr">
        <is>
          <t>BRÄCKE</t>
        </is>
      </c>
      <c r="F1192" t="inlineStr">
        <is>
          <t>SCA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4381-2023</t>
        </is>
      </c>
      <c r="B1193" s="1" t="n">
        <v>44955</v>
      </c>
      <c r="C1193" s="1" t="n">
        <v>45754</v>
      </c>
      <c r="D1193" t="inlineStr">
        <is>
          <t>JÄMTLANDS LÄN</t>
        </is>
      </c>
      <c r="E1193" t="inlineStr">
        <is>
          <t>BRÄCKE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5004-2023</t>
        </is>
      </c>
      <c r="B1194" s="1" t="n">
        <v>44956</v>
      </c>
      <c r="C1194" s="1" t="n">
        <v>45754</v>
      </c>
      <c r="D1194" t="inlineStr">
        <is>
          <t>JÄMTLANDS LÄN</t>
        </is>
      </c>
      <c r="E1194" t="inlineStr">
        <is>
          <t>BRÄCKE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5160-2023</t>
        </is>
      </c>
      <c r="B1195" s="1" t="n">
        <v>44958</v>
      </c>
      <c r="C1195" s="1" t="n">
        <v>45754</v>
      </c>
      <c r="D1195" t="inlineStr">
        <is>
          <t>JÄMTLANDS LÄN</t>
        </is>
      </c>
      <c r="E1195" t="inlineStr">
        <is>
          <t>BRÄCKE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5180-2023</t>
        </is>
      </c>
      <c r="B1196" s="1" t="n">
        <v>44958</v>
      </c>
      <c r="C1196" s="1" t="n">
        <v>45754</v>
      </c>
      <c r="D1196" t="inlineStr">
        <is>
          <t>JÄMTLANDS LÄN</t>
        </is>
      </c>
      <c r="E1196" t="inlineStr">
        <is>
          <t>BRÄCKE</t>
        </is>
      </c>
      <c r="F1196" t="inlineStr">
        <is>
          <t>SCA</t>
        </is>
      </c>
      <c r="G1196" t="n">
        <v>13.3</v>
      </c>
      <c r="H1196" t="n">
        <v>0</v>
      </c>
      <c r="I1196" t="n">
        <v>0</v>
      </c>
      <c r="J1196" t="n">
        <v>0</v>
      </c>
      <c r="K1196" t="n">
        <v>0</v>
      </c>
      <c r="L1196" t="n">
        <v>0</v>
      </c>
      <c r="M1196" t="n">
        <v>0</v>
      </c>
      <c r="N1196" t="n">
        <v>0</v>
      </c>
      <c r="O1196" t="n">
        <v>0</v>
      </c>
      <c r="P1196" t="n">
        <v>0</v>
      </c>
      <c r="Q1196" t="n">
        <v>0</v>
      </c>
      <c r="R1196" s="2" t="inlineStr"/>
    </row>
    <row r="1197" ht="15" customHeight="1">
      <c r="A1197" t="inlineStr">
        <is>
          <t>A 6345-2023</t>
        </is>
      </c>
      <c r="B1197" s="1" t="n">
        <v>44960</v>
      </c>
      <c r="C1197" s="1" t="n">
        <v>45754</v>
      </c>
      <c r="D1197" t="inlineStr">
        <is>
          <t>JÄMTLANDS LÄN</t>
        </is>
      </c>
      <c r="E1197" t="inlineStr">
        <is>
          <t>BRÄCKE</t>
        </is>
      </c>
      <c r="G1197" t="n">
        <v>11.4</v>
      </c>
      <c r="H1197" t="n">
        <v>0</v>
      </c>
      <c r="I1197" t="n">
        <v>0</v>
      </c>
      <c r="J1197" t="n">
        <v>0</v>
      </c>
      <c r="K1197" t="n">
        <v>0</v>
      </c>
      <c r="L1197" t="n">
        <v>0</v>
      </c>
      <c r="M1197" t="n">
        <v>0</v>
      </c>
      <c r="N1197" t="n">
        <v>0</v>
      </c>
      <c r="O1197" t="n">
        <v>0</v>
      </c>
      <c r="P1197" t="n">
        <v>0</v>
      </c>
      <c r="Q1197" t="n">
        <v>0</v>
      </c>
      <c r="R1197" s="2" t="inlineStr"/>
    </row>
    <row r="1198" ht="15" customHeight="1">
      <c r="A1198" t="inlineStr">
        <is>
          <t>A 6852-2023</t>
        </is>
      </c>
      <c r="B1198" s="1" t="n">
        <v>44964</v>
      </c>
      <c r="C1198" s="1" t="n">
        <v>45754</v>
      </c>
      <c r="D1198" t="inlineStr">
        <is>
          <t>JÄMTLANDS LÄN</t>
        </is>
      </c>
      <c r="E1198" t="inlineStr">
        <is>
          <t>BRÄCKE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6701-2023</t>
        </is>
      </c>
      <c r="B1199" s="1" t="n">
        <v>44964</v>
      </c>
      <c r="C1199" s="1" t="n">
        <v>45754</v>
      </c>
      <c r="D1199" t="inlineStr">
        <is>
          <t>JÄMTLANDS LÄN</t>
        </is>
      </c>
      <c r="E1199" t="inlineStr">
        <is>
          <t>BRÄCKE</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6390-2023</t>
        </is>
      </c>
      <c r="B1200" s="1" t="n">
        <v>44965</v>
      </c>
      <c r="C1200" s="1" t="n">
        <v>45754</v>
      </c>
      <c r="D1200" t="inlineStr">
        <is>
          <t>JÄMTLANDS LÄN</t>
        </is>
      </c>
      <c r="E1200" t="inlineStr">
        <is>
          <t>BRÄCKE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6764-2023</t>
        </is>
      </c>
      <c r="B1201" s="1" t="n">
        <v>44966</v>
      </c>
      <c r="C1201" s="1" t="n">
        <v>45754</v>
      </c>
      <c r="D1201" t="inlineStr">
        <is>
          <t>JÄMTLANDS LÄN</t>
        </is>
      </c>
      <c r="E1201" t="inlineStr">
        <is>
          <t>BRÄCKE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6768-2023</t>
        </is>
      </c>
      <c r="B1202" s="1" t="n">
        <v>44966</v>
      </c>
      <c r="C1202" s="1" t="n">
        <v>45754</v>
      </c>
      <c r="D1202" t="inlineStr">
        <is>
          <t>JÄMTLANDS LÄN</t>
        </is>
      </c>
      <c r="E1202" t="inlineStr">
        <is>
          <t>BRÄCKE</t>
        </is>
      </c>
      <c r="G1202" t="n">
        <v>3.4</v>
      </c>
      <c r="H1202" t="n">
        <v>0</v>
      </c>
      <c r="I1202" t="n">
        <v>0</v>
      </c>
      <c r="J1202" t="n">
        <v>0</v>
      </c>
      <c r="K1202" t="n">
        <v>0</v>
      </c>
      <c r="L1202" t="n">
        <v>0</v>
      </c>
      <c r="M1202" t="n">
        <v>0</v>
      </c>
      <c r="N1202" t="n">
        <v>0</v>
      </c>
      <c r="O1202" t="n">
        <v>0</v>
      </c>
      <c r="P1202" t="n">
        <v>0</v>
      </c>
      <c r="Q1202" t="n">
        <v>0</v>
      </c>
      <c r="R1202" s="2" t="inlineStr"/>
      <c r="U1202">
        <f>HYPERLINK("https://klasma.github.io/Logging_2305/knärot/A 6768-2023 karta knärot.png", "A 6768-2023")</f>
        <v/>
      </c>
      <c r="V1202">
        <f>HYPERLINK("https://klasma.github.io/Logging_2305/klagomål/A 6768-2023 FSC-klagomål.docx", "A 6768-2023")</f>
        <v/>
      </c>
      <c r="W1202">
        <f>HYPERLINK("https://klasma.github.io/Logging_2305/klagomålsmail/A 6768-2023 FSC-klagomål mail.docx", "A 6768-2023")</f>
        <v/>
      </c>
      <c r="X1202">
        <f>HYPERLINK("https://klasma.github.io/Logging_2305/tillsyn/A 6768-2023 tillsynsbegäran.docx", "A 6768-2023")</f>
        <v/>
      </c>
      <c r="Y1202">
        <f>HYPERLINK("https://klasma.github.io/Logging_2305/tillsynsmail/A 6768-2023 tillsynsbegäran mail.docx", "A 6768-2023")</f>
        <v/>
      </c>
    </row>
    <row r="1203" ht="15" customHeight="1">
      <c r="A1203" t="inlineStr">
        <is>
          <t>A 6766-2023</t>
        </is>
      </c>
      <c r="B1203" s="1" t="n">
        <v>44966</v>
      </c>
      <c r="C1203" s="1" t="n">
        <v>45754</v>
      </c>
      <c r="D1203" t="inlineStr">
        <is>
          <t>JÄMTLANDS LÄN</t>
        </is>
      </c>
      <c r="E1203" t="inlineStr">
        <is>
          <t>BRÄCKE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6763-2023</t>
        </is>
      </c>
      <c r="B1204" s="1" t="n">
        <v>44966</v>
      </c>
      <c r="C1204" s="1" t="n">
        <v>45754</v>
      </c>
      <c r="D1204" t="inlineStr">
        <is>
          <t>JÄMTLANDS LÄN</t>
        </is>
      </c>
      <c r="E1204" t="inlineStr">
        <is>
          <t>BRÄCKE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6870-2023</t>
        </is>
      </c>
      <c r="B1205" s="1" t="n">
        <v>44967</v>
      </c>
      <c r="C1205" s="1" t="n">
        <v>45754</v>
      </c>
      <c r="D1205" t="inlineStr">
        <is>
          <t>JÄMTLANDS LÄN</t>
        </is>
      </c>
      <c r="E1205" t="inlineStr">
        <is>
          <t>BRÄCKE</t>
        </is>
      </c>
      <c r="F1205" t="inlineStr">
        <is>
          <t>Övriga Aktiebolag</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7549-2023</t>
        </is>
      </c>
      <c r="B1206" s="1" t="n">
        <v>44972</v>
      </c>
      <c r="C1206" s="1" t="n">
        <v>45754</v>
      </c>
      <c r="D1206" t="inlineStr">
        <is>
          <t>JÄMTLANDS LÄN</t>
        </is>
      </c>
      <c r="E1206" t="inlineStr">
        <is>
          <t>BRÄCKE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8975-2023</t>
        </is>
      </c>
      <c r="B1207" s="1" t="n">
        <v>44974</v>
      </c>
      <c r="C1207" s="1" t="n">
        <v>45754</v>
      </c>
      <c r="D1207" t="inlineStr">
        <is>
          <t>JÄMTLANDS LÄN</t>
        </is>
      </c>
      <c r="E1207" t="inlineStr">
        <is>
          <t>BRÄCKE</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8657-2023</t>
        </is>
      </c>
      <c r="B1208" s="1" t="n">
        <v>44978</v>
      </c>
      <c r="C1208" s="1" t="n">
        <v>45754</v>
      </c>
      <c r="D1208" t="inlineStr">
        <is>
          <t>JÄMTLANDS LÄN</t>
        </is>
      </c>
      <c r="E1208" t="inlineStr">
        <is>
          <t>BRÄCKE</t>
        </is>
      </c>
      <c r="F1208" t="inlineStr">
        <is>
          <t>SCA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8674-2023</t>
        </is>
      </c>
      <c r="B1209" s="1" t="n">
        <v>44977</v>
      </c>
      <c r="C1209" s="1" t="n">
        <v>45754</v>
      </c>
      <c r="D1209" t="inlineStr">
        <is>
          <t>JÄMTLANDS LÄN</t>
        </is>
      </c>
      <c r="E1209" t="inlineStr">
        <is>
          <t>BRÄCKE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8864-2023</t>
        </is>
      </c>
      <c r="B1210" s="1" t="n">
        <v>44978</v>
      </c>
      <c r="C1210" s="1" t="n">
        <v>45754</v>
      </c>
      <c r="D1210" t="inlineStr">
        <is>
          <t>JÄMTLANDS LÄN</t>
        </is>
      </c>
      <c r="E1210" t="inlineStr">
        <is>
          <t>BRÄCKE</t>
        </is>
      </c>
      <c r="G1210" t="n">
        <v>17.3</v>
      </c>
      <c r="H1210" t="n">
        <v>0</v>
      </c>
      <c r="I1210" t="n">
        <v>0</v>
      </c>
      <c r="J1210" t="n">
        <v>0</v>
      </c>
      <c r="K1210" t="n">
        <v>0</v>
      </c>
      <c r="L1210" t="n">
        <v>0</v>
      </c>
      <c r="M1210" t="n">
        <v>0</v>
      </c>
      <c r="N1210" t="n">
        <v>0</v>
      </c>
      <c r="O1210" t="n">
        <v>0</v>
      </c>
      <c r="P1210" t="n">
        <v>0</v>
      </c>
      <c r="Q1210" t="n">
        <v>0</v>
      </c>
      <c r="R1210" s="2" t="inlineStr"/>
    </row>
    <row r="1211" ht="15" customHeight="1">
      <c r="A1211" t="inlineStr">
        <is>
          <t>A 8865-2023</t>
        </is>
      </c>
      <c r="B1211" s="1" t="n">
        <v>44978</v>
      </c>
      <c r="C1211" s="1" t="n">
        <v>45754</v>
      </c>
      <c r="D1211" t="inlineStr">
        <is>
          <t>JÄMTLANDS LÄN</t>
        </is>
      </c>
      <c r="E1211" t="inlineStr">
        <is>
          <t>BRÄCKE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8958-2023</t>
        </is>
      </c>
      <c r="B1212" s="1" t="n">
        <v>44979</v>
      </c>
      <c r="C1212" s="1" t="n">
        <v>45754</v>
      </c>
      <c r="D1212" t="inlineStr">
        <is>
          <t>JÄMTLANDS LÄN</t>
        </is>
      </c>
      <c r="E1212" t="inlineStr">
        <is>
          <t>BRÄCKE</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9194-2023</t>
        </is>
      </c>
      <c r="B1213" s="1" t="n">
        <v>44980</v>
      </c>
      <c r="C1213" s="1" t="n">
        <v>45754</v>
      </c>
      <c r="D1213" t="inlineStr">
        <is>
          <t>JÄMTLANDS LÄN</t>
        </is>
      </c>
      <c r="E1213" t="inlineStr">
        <is>
          <t>BRÄCKE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9348-2023</t>
        </is>
      </c>
      <c r="B1214" s="1" t="n">
        <v>44980</v>
      </c>
      <c r="C1214" s="1" t="n">
        <v>45754</v>
      </c>
      <c r="D1214" t="inlineStr">
        <is>
          <t>JÄMTLANDS LÄN</t>
        </is>
      </c>
      <c r="E1214" t="inlineStr">
        <is>
          <t>BRÄCKE</t>
        </is>
      </c>
      <c r="F1214" t="inlineStr">
        <is>
          <t>SCA</t>
        </is>
      </c>
      <c r="G1214" t="n">
        <v>64.5</v>
      </c>
      <c r="H1214" t="n">
        <v>0</v>
      </c>
      <c r="I1214" t="n">
        <v>0</v>
      </c>
      <c r="J1214" t="n">
        <v>0</v>
      </c>
      <c r="K1214" t="n">
        <v>0</v>
      </c>
      <c r="L1214" t="n">
        <v>0</v>
      </c>
      <c r="M1214" t="n">
        <v>0</v>
      </c>
      <c r="N1214" t="n">
        <v>0</v>
      </c>
      <c r="O1214" t="n">
        <v>0</v>
      </c>
      <c r="P1214" t="n">
        <v>0</v>
      </c>
      <c r="Q1214" t="n">
        <v>0</v>
      </c>
      <c r="R1214" s="2" t="inlineStr"/>
    </row>
    <row r="1215" ht="15" customHeight="1">
      <c r="A1215" t="inlineStr">
        <is>
          <t>A 9356-2023</t>
        </is>
      </c>
      <c r="B1215" s="1" t="n">
        <v>44980</v>
      </c>
      <c r="C1215" s="1" t="n">
        <v>45754</v>
      </c>
      <c r="D1215" t="inlineStr">
        <is>
          <t>JÄMTLANDS LÄN</t>
        </is>
      </c>
      <c r="E1215" t="inlineStr">
        <is>
          <t>BRÄCKE</t>
        </is>
      </c>
      <c r="F1215" t="inlineStr">
        <is>
          <t>SCA</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9357-2023</t>
        </is>
      </c>
      <c r="B1216" s="1" t="n">
        <v>44980</v>
      </c>
      <c r="C1216" s="1" t="n">
        <v>45754</v>
      </c>
      <c r="D1216" t="inlineStr">
        <is>
          <t>JÄMTLANDS LÄN</t>
        </is>
      </c>
      <c r="E1216" t="inlineStr">
        <is>
          <t>BRÄCKE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10309-2023</t>
        </is>
      </c>
      <c r="B1217" s="1" t="n">
        <v>44986</v>
      </c>
      <c r="C1217" s="1" t="n">
        <v>45754</v>
      </c>
      <c r="D1217" t="inlineStr">
        <is>
          <t>JÄMTLANDS LÄN</t>
        </is>
      </c>
      <c r="E1217" t="inlineStr">
        <is>
          <t>BRÄCKE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10763-2023</t>
        </is>
      </c>
      <c r="B1218" s="1" t="n">
        <v>44988</v>
      </c>
      <c r="C1218" s="1" t="n">
        <v>45754</v>
      </c>
      <c r="D1218" t="inlineStr">
        <is>
          <t>JÄMTLANDS LÄN</t>
        </is>
      </c>
      <c r="E1218" t="inlineStr">
        <is>
          <t>BRÄCKE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11548-2023</t>
        </is>
      </c>
      <c r="B1219" s="1" t="n">
        <v>44993</v>
      </c>
      <c r="C1219" s="1" t="n">
        <v>45754</v>
      </c>
      <c r="D1219" t="inlineStr">
        <is>
          <t>JÄMTLANDS LÄN</t>
        </is>
      </c>
      <c r="E1219" t="inlineStr">
        <is>
          <t>BRÄCKE</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11550-2023</t>
        </is>
      </c>
      <c r="B1220" s="1" t="n">
        <v>44993</v>
      </c>
      <c r="C1220" s="1" t="n">
        <v>45754</v>
      </c>
      <c r="D1220" t="inlineStr">
        <is>
          <t>JÄMTLANDS LÄN</t>
        </is>
      </c>
      <c r="E1220" t="inlineStr">
        <is>
          <t>BRÄCKE</t>
        </is>
      </c>
      <c r="F1220" t="inlineStr">
        <is>
          <t>SCA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11563-2023</t>
        </is>
      </c>
      <c r="B1221" s="1" t="n">
        <v>44993</v>
      </c>
      <c r="C1221" s="1" t="n">
        <v>45754</v>
      </c>
      <c r="D1221" t="inlineStr">
        <is>
          <t>JÄMTLANDS LÄN</t>
        </is>
      </c>
      <c r="E1221" t="inlineStr">
        <is>
          <t>BRÄCKE</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11821-2023</t>
        </is>
      </c>
      <c r="B1222" s="1" t="n">
        <v>44994</v>
      </c>
      <c r="C1222" s="1" t="n">
        <v>45754</v>
      </c>
      <c r="D1222" t="inlineStr">
        <is>
          <t>JÄMTLANDS LÄN</t>
        </is>
      </c>
      <c r="E1222" t="inlineStr">
        <is>
          <t>BRÄCKE</t>
        </is>
      </c>
      <c r="F1222" t="inlineStr">
        <is>
          <t>SCA</t>
        </is>
      </c>
      <c r="G1222" t="n">
        <v>36.6</v>
      </c>
      <c r="H1222" t="n">
        <v>0</v>
      </c>
      <c r="I1222" t="n">
        <v>0</v>
      </c>
      <c r="J1222" t="n">
        <v>0</v>
      </c>
      <c r="K1222" t="n">
        <v>0</v>
      </c>
      <c r="L1222" t="n">
        <v>0</v>
      </c>
      <c r="M1222" t="n">
        <v>0</v>
      </c>
      <c r="N1222" t="n">
        <v>0</v>
      </c>
      <c r="O1222" t="n">
        <v>0</v>
      </c>
      <c r="P1222" t="n">
        <v>0</v>
      </c>
      <c r="Q1222" t="n">
        <v>0</v>
      </c>
      <c r="R1222" s="2" t="inlineStr"/>
    </row>
    <row r="1223" ht="15" customHeight="1">
      <c r="A1223" t="inlineStr">
        <is>
          <t>A 12023-2023</t>
        </is>
      </c>
      <c r="B1223" s="1" t="n">
        <v>44995</v>
      </c>
      <c r="C1223" s="1" t="n">
        <v>45754</v>
      </c>
      <c r="D1223" t="inlineStr">
        <is>
          <t>JÄMTLANDS LÄN</t>
        </is>
      </c>
      <c r="E1223" t="inlineStr">
        <is>
          <t>BRÄCKE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12034-2023</t>
        </is>
      </c>
      <c r="B1224" s="1" t="n">
        <v>44995</v>
      </c>
      <c r="C1224" s="1" t="n">
        <v>45754</v>
      </c>
      <c r="D1224" t="inlineStr">
        <is>
          <t>JÄMTLANDS LÄN</t>
        </is>
      </c>
      <c r="E1224" t="inlineStr">
        <is>
          <t>BRÄCKE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12036-2023</t>
        </is>
      </c>
      <c r="B1225" s="1" t="n">
        <v>44995</v>
      </c>
      <c r="C1225" s="1" t="n">
        <v>45754</v>
      </c>
      <c r="D1225" t="inlineStr">
        <is>
          <t>JÄMTLANDS LÄN</t>
        </is>
      </c>
      <c r="E1225" t="inlineStr">
        <is>
          <t>BRÄCKE</t>
        </is>
      </c>
      <c r="G1225" t="n">
        <v>16.3</v>
      </c>
      <c r="H1225" t="n">
        <v>0</v>
      </c>
      <c r="I1225" t="n">
        <v>0</v>
      </c>
      <c r="J1225" t="n">
        <v>0</v>
      </c>
      <c r="K1225" t="n">
        <v>0</v>
      </c>
      <c r="L1225" t="n">
        <v>0</v>
      </c>
      <c r="M1225" t="n">
        <v>0</v>
      </c>
      <c r="N1225" t="n">
        <v>0</v>
      </c>
      <c r="O1225" t="n">
        <v>0</v>
      </c>
      <c r="P1225" t="n">
        <v>0</v>
      </c>
      <c r="Q1225" t="n">
        <v>0</v>
      </c>
      <c r="R1225" s="2" t="inlineStr"/>
    </row>
    <row r="1226" ht="15" customHeight="1">
      <c r="A1226" t="inlineStr">
        <is>
          <t>A 12063-2023</t>
        </is>
      </c>
      <c r="B1226" s="1" t="n">
        <v>44996</v>
      </c>
      <c r="C1226" s="1" t="n">
        <v>45754</v>
      </c>
      <c r="D1226" t="inlineStr">
        <is>
          <t>JÄMTLANDS LÄN</t>
        </is>
      </c>
      <c r="E1226" t="inlineStr">
        <is>
          <t>BRÄCKE</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12061-2023</t>
        </is>
      </c>
      <c r="B1227" s="1" t="n">
        <v>44996</v>
      </c>
      <c r="C1227" s="1" t="n">
        <v>45754</v>
      </c>
      <c r="D1227" t="inlineStr">
        <is>
          <t>JÄMTLANDS LÄN</t>
        </is>
      </c>
      <c r="E1227" t="inlineStr">
        <is>
          <t>BRÄCKE</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12518-2023</t>
        </is>
      </c>
      <c r="B1228" s="1" t="n">
        <v>45000</v>
      </c>
      <c r="C1228" s="1" t="n">
        <v>45754</v>
      </c>
      <c r="D1228" t="inlineStr">
        <is>
          <t>JÄMTLANDS LÄN</t>
        </is>
      </c>
      <c r="E1228" t="inlineStr">
        <is>
          <t>BRÄCKE</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12900-2023</t>
        </is>
      </c>
      <c r="B1229" s="1" t="n">
        <v>45001</v>
      </c>
      <c r="C1229" s="1" t="n">
        <v>45754</v>
      </c>
      <c r="D1229" t="inlineStr">
        <is>
          <t>JÄMTLANDS LÄN</t>
        </is>
      </c>
      <c r="E1229" t="inlineStr">
        <is>
          <t>BRÄCKE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13033-2023</t>
        </is>
      </c>
      <c r="B1230" s="1" t="n">
        <v>45001</v>
      </c>
      <c r="C1230" s="1" t="n">
        <v>45754</v>
      </c>
      <c r="D1230" t="inlineStr">
        <is>
          <t>JÄMTLANDS LÄN</t>
        </is>
      </c>
      <c r="E1230" t="inlineStr">
        <is>
          <t>BRÄCKE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13019-2023</t>
        </is>
      </c>
      <c r="B1231" s="1" t="n">
        <v>45001</v>
      </c>
      <c r="C1231" s="1" t="n">
        <v>45754</v>
      </c>
      <c r="D1231" t="inlineStr">
        <is>
          <t>JÄMTLANDS LÄN</t>
        </is>
      </c>
      <c r="E1231" t="inlineStr">
        <is>
          <t>BRÄCKE</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12977-2023</t>
        </is>
      </c>
      <c r="B1232" s="1" t="n">
        <v>45001</v>
      </c>
      <c r="C1232" s="1" t="n">
        <v>45754</v>
      </c>
      <c r="D1232" t="inlineStr">
        <is>
          <t>JÄMTLANDS LÄN</t>
        </is>
      </c>
      <c r="E1232" t="inlineStr">
        <is>
          <t>BRÄCKE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13258-2023</t>
        </is>
      </c>
      <c r="B1233" s="1" t="n">
        <v>45002</v>
      </c>
      <c r="C1233" s="1" t="n">
        <v>45754</v>
      </c>
      <c r="D1233" t="inlineStr">
        <is>
          <t>JÄMTLANDS LÄN</t>
        </is>
      </c>
      <c r="E1233" t="inlineStr">
        <is>
          <t>BRÄCKE</t>
        </is>
      </c>
      <c r="F1233" t="inlineStr">
        <is>
          <t>SCA</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13244-2023</t>
        </is>
      </c>
      <c r="B1234" s="1" t="n">
        <v>45002</v>
      </c>
      <c r="C1234" s="1" t="n">
        <v>45754</v>
      </c>
      <c r="D1234" t="inlineStr">
        <is>
          <t>JÄMTLANDS LÄN</t>
        </is>
      </c>
      <c r="E1234" t="inlineStr">
        <is>
          <t>BRÄCKE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13709-2023</t>
        </is>
      </c>
      <c r="B1235" s="1" t="n">
        <v>45006</v>
      </c>
      <c r="C1235" s="1" t="n">
        <v>45754</v>
      </c>
      <c r="D1235" t="inlineStr">
        <is>
          <t>JÄMTLANDS LÄN</t>
        </is>
      </c>
      <c r="E1235" t="inlineStr">
        <is>
          <t>BRÄCKE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13708-2023</t>
        </is>
      </c>
      <c r="B1236" s="1" t="n">
        <v>45006</v>
      </c>
      <c r="C1236" s="1" t="n">
        <v>45754</v>
      </c>
      <c r="D1236" t="inlineStr">
        <is>
          <t>JÄMTLANDS LÄN</t>
        </is>
      </c>
      <c r="E1236" t="inlineStr">
        <is>
          <t>BRÄCKE</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13707-2023</t>
        </is>
      </c>
      <c r="B1237" s="1" t="n">
        <v>45006</v>
      </c>
      <c r="C1237" s="1" t="n">
        <v>45754</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13925-2023</t>
        </is>
      </c>
      <c r="B1238" s="1" t="n">
        <v>45008</v>
      </c>
      <c r="C1238" s="1" t="n">
        <v>45754</v>
      </c>
      <c r="D1238" t="inlineStr">
        <is>
          <t>JÄMTLANDS LÄN</t>
        </is>
      </c>
      <c r="E1238" t="inlineStr">
        <is>
          <t>BRÄCKE</t>
        </is>
      </c>
      <c r="F1238" t="inlineStr">
        <is>
          <t>Kyrkan</t>
        </is>
      </c>
      <c r="G1238" t="n">
        <v>15.1</v>
      </c>
      <c r="H1238" t="n">
        <v>0</v>
      </c>
      <c r="I1238" t="n">
        <v>0</v>
      </c>
      <c r="J1238" t="n">
        <v>0</v>
      </c>
      <c r="K1238" t="n">
        <v>0</v>
      </c>
      <c r="L1238" t="n">
        <v>0</v>
      </c>
      <c r="M1238" t="n">
        <v>0</v>
      </c>
      <c r="N1238" t="n">
        <v>0</v>
      </c>
      <c r="O1238" t="n">
        <v>0</v>
      </c>
      <c r="P1238" t="n">
        <v>0</v>
      </c>
      <c r="Q1238" t="n">
        <v>0</v>
      </c>
      <c r="R1238" s="2" t="inlineStr"/>
    </row>
    <row r="1239" ht="15" customHeight="1">
      <c r="A1239" t="inlineStr">
        <is>
          <t>A 13999-2023</t>
        </is>
      </c>
      <c r="B1239" s="1" t="n">
        <v>45008</v>
      </c>
      <c r="C1239" s="1" t="n">
        <v>45754</v>
      </c>
      <c r="D1239" t="inlineStr">
        <is>
          <t>JÄMTLANDS LÄN</t>
        </is>
      </c>
      <c r="E1239" t="inlineStr">
        <is>
          <t>BRÄCKE</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14262-2023</t>
        </is>
      </c>
      <c r="B1240" s="1" t="n">
        <v>45009</v>
      </c>
      <c r="C1240" s="1" t="n">
        <v>45754</v>
      </c>
      <c r="D1240" t="inlineStr">
        <is>
          <t>JÄMTLANDS LÄN</t>
        </is>
      </c>
      <c r="E1240" t="inlineStr">
        <is>
          <t>BRÄCKE</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14266-2023</t>
        </is>
      </c>
      <c r="B1241" s="1" t="n">
        <v>45010</v>
      </c>
      <c r="C1241" s="1" t="n">
        <v>45754</v>
      </c>
      <c r="D1241" t="inlineStr">
        <is>
          <t>JÄMTLANDS LÄN</t>
        </is>
      </c>
      <c r="E1241" t="inlineStr">
        <is>
          <t>BRÄCKE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14274-2023</t>
        </is>
      </c>
      <c r="B1242" s="1" t="n">
        <v>45009</v>
      </c>
      <c r="C1242" s="1" t="n">
        <v>45754</v>
      </c>
      <c r="D1242" t="inlineStr">
        <is>
          <t>JÄMTLANDS LÄN</t>
        </is>
      </c>
      <c r="E1242" t="inlineStr">
        <is>
          <t>BRÄCKE</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14275-2023</t>
        </is>
      </c>
      <c r="B1243" s="1" t="n">
        <v>45009</v>
      </c>
      <c r="C1243" s="1" t="n">
        <v>45754</v>
      </c>
      <c r="D1243" t="inlineStr">
        <is>
          <t>JÄMTLANDS LÄN</t>
        </is>
      </c>
      <c r="E1243" t="inlineStr">
        <is>
          <t>BRÄCKE</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14276-2023</t>
        </is>
      </c>
      <c r="B1244" s="1" t="n">
        <v>45010</v>
      </c>
      <c r="C1244" s="1" t="n">
        <v>45754</v>
      </c>
      <c r="D1244" t="inlineStr">
        <is>
          <t>JÄMTLANDS LÄN</t>
        </is>
      </c>
      <c r="E1244" t="inlineStr">
        <is>
          <t>BRÄCKE</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14278-2023</t>
        </is>
      </c>
      <c r="B1245" s="1" t="n">
        <v>45009</v>
      </c>
      <c r="C1245" s="1" t="n">
        <v>45754</v>
      </c>
      <c r="D1245" t="inlineStr">
        <is>
          <t>JÄMTLANDS LÄN</t>
        </is>
      </c>
      <c r="E1245" t="inlineStr">
        <is>
          <t>BRÄCKE</t>
        </is>
      </c>
      <c r="F1245" t="inlineStr">
        <is>
          <t>SCA</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14530-2023</t>
        </is>
      </c>
      <c r="B1246" s="1" t="n">
        <v>45013</v>
      </c>
      <c r="C1246" s="1" t="n">
        <v>45754</v>
      </c>
      <c r="D1246" t="inlineStr">
        <is>
          <t>JÄMTLANDS LÄN</t>
        </is>
      </c>
      <c r="E1246" t="inlineStr">
        <is>
          <t>BRÄCKE</t>
        </is>
      </c>
      <c r="F1246" t="inlineStr">
        <is>
          <t>SCA</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14642-2023</t>
        </is>
      </c>
      <c r="B1247" s="1" t="n">
        <v>45012</v>
      </c>
      <c r="C1247" s="1" t="n">
        <v>45754</v>
      </c>
      <c r="D1247" t="inlineStr">
        <is>
          <t>JÄMTLANDS LÄN</t>
        </is>
      </c>
      <c r="E1247" t="inlineStr">
        <is>
          <t>BRÄCKE</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14693-2023</t>
        </is>
      </c>
      <c r="B1248" s="1" t="n">
        <v>45012</v>
      </c>
      <c r="C1248" s="1" t="n">
        <v>45754</v>
      </c>
      <c r="D1248" t="inlineStr">
        <is>
          <t>JÄMTLANDS LÄN</t>
        </is>
      </c>
      <c r="E1248" t="inlineStr">
        <is>
          <t>BRÄCKE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14798-2023</t>
        </is>
      </c>
      <c r="B1249" s="1" t="n">
        <v>45014</v>
      </c>
      <c r="C1249" s="1" t="n">
        <v>45754</v>
      </c>
      <c r="D1249" t="inlineStr">
        <is>
          <t>JÄMTLANDS LÄN</t>
        </is>
      </c>
      <c r="E1249" t="inlineStr">
        <is>
          <t>BRÄCKE</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15366-2023</t>
        </is>
      </c>
      <c r="B1250" s="1" t="n">
        <v>45019</v>
      </c>
      <c r="C1250" s="1" t="n">
        <v>45754</v>
      </c>
      <c r="D1250" t="inlineStr">
        <is>
          <t>JÄMTLANDS LÄN</t>
        </is>
      </c>
      <c r="E1250" t="inlineStr">
        <is>
          <t>BRÄCKE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15824-2023</t>
        </is>
      </c>
      <c r="B1251" s="1" t="n">
        <v>45022</v>
      </c>
      <c r="C1251" s="1" t="n">
        <v>45754</v>
      </c>
      <c r="D1251" t="inlineStr">
        <is>
          <t>JÄMTLANDS LÄN</t>
        </is>
      </c>
      <c r="E1251" t="inlineStr">
        <is>
          <t>BRÄCKE</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15813-2023</t>
        </is>
      </c>
      <c r="B1252" s="1" t="n">
        <v>45021</v>
      </c>
      <c r="C1252" s="1" t="n">
        <v>45754</v>
      </c>
      <c r="D1252" t="inlineStr">
        <is>
          <t>JÄMTLANDS LÄN</t>
        </is>
      </c>
      <c r="E1252" t="inlineStr">
        <is>
          <t>BRÄCKE</t>
        </is>
      </c>
      <c r="F1252" t="inlineStr">
        <is>
          <t>SCA</t>
        </is>
      </c>
      <c r="G1252" t="n">
        <v>18.2</v>
      </c>
      <c r="H1252" t="n">
        <v>0</v>
      </c>
      <c r="I1252" t="n">
        <v>0</v>
      </c>
      <c r="J1252" t="n">
        <v>0</v>
      </c>
      <c r="K1252" t="n">
        <v>0</v>
      </c>
      <c r="L1252" t="n">
        <v>0</v>
      </c>
      <c r="M1252" t="n">
        <v>0</v>
      </c>
      <c r="N1252" t="n">
        <v>0</v>
      </c>
      <c r="O1252" t="n">
        <v>0</v>
      </c>
      <c r="P1252" t="n">
        <v>0</v>
      </c>
      <c r="Q1252" t="n">
        <v>0</v>
      </c>
      <c r="R1252" s="2" t="inlineStr"/>
    </row>
    <row r="1253" ht="15" customHeight="1">
      <c r="A1253" t="inlineStr">
        <is>
          <t>A 16180-2023</t>
        </is>
      </c>
      <c r="B1253" s="1" t="n">
        <v>45027</v>
      </c>
      <c r="C1253" s="1" t="n">
        <v>45754</v>
      </c>
      <c r="D1253" t="inlineStr">
        <is>
          <t>JÄMTLANDS LÄN</t>
        </is>
      </c>
      <c r="E1253" t="inlineStr">
        <is>
          <t>BRÄCKE</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16232-2023</t>
        </is>
      </c>
      <c r="B1254" s="1" t="n">
        <v>45028</v>
      </c>
      <c r="C1254" s="1" t="n">
        <v>45754</v>
      </c>
      <c r="D1254" t="inlineStr">
        <is>
          <t>JÄMTLANDS LÄN</t>
        </is>
      </c>
      <c r="E1254" t="inlineStr">
        <is>
          <t>BRÄCKE</t>
        </is>
      </c>
      <c r="G1254" t="n">
        <v>16.2</v>
      </c>
      <c r="H1254" t="n">
        <v>0</v>
      </c>
      <c r="I1254" t="n">
        <v>0</v>
      </c>
      <c r="J1254" t="n">
        <v>0</v>
      </c>
      <c r="K1254" t="n">
        <v>0</v>
      </c>
      <c r="L1254" t="n">
        <v>0</v>
      </c>
      <c r="M1254" t="n">
        <v>0</v>
      </c>
      <c r="N1254" t="n">
        <v>0</v>
      </c>
      <c r="O1254" t="n">
        <v>0</v>
      </c>
      <c r="P1254" t="n">
        <v>0</v>
      </c>
      <c r="Q1254" t="n">
        <v>0</v>
      </c>
      <c r="R1254" s="2" t="inlineStr"/>
    </row>
    <row r="1255" ht="15" customHeight="1">
      <c r="A1255" t="inlineStr">
        <is>
          <t>A 16372-2023</t>
        </is>
      </c>
      <c r="B1255" s="1" t="n">
        <v>45029</v>
      </c>
      <c r="C1255" s="1" t="n">
        <v>45754</v>
      </c>
      <c r="D1255" t="inlineStr">
        <is>
          <t>JÄMTLANDS LÄN</t>
        </is>
      </c>
      <c r="E1255" t="inlineStr">
        <is>
          <t>BRÄCKE</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16649-2023</t>
        </is>
      </c>
      <c r="B1256" s="1" t="n">
        <v>45028</v>
      </c>
      <c r="C1256" s="1" t="n">
        <v>45754</v>
      </c>
      <c r="D1256" t="inlineStr">
        <is>
          <t>JÄMTLANDS LÄN</t>
        </is>
      </c>
      <c r="E1256" t="inlineStr">
        <is>
          <t>BRÄCKE</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16371-2023</t>
        </is>
      </c>
      <c r="B1257" s="1" t="n">
        <v>45029</v>
      </c>
      <c r="C1257" s="1" t="n">
        <v>45754</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16573-2023</t>
        </is>
      </c>
      <c r="B1258" s="1" t="n">
        <v>45030</v>
      </c>
      <c r="C1258" s="1" t="n">
        <v>45754</v>
      </c>
      <c r="D1258" t="inlineStr">
        <is>
          <t>JÄMTLANDS LÄN</t>
        </is>
      </c>
      <c r="E1258" t="inlineStr">
        <is>
          <t>BRÄCKE</t>
        </is>
      </c>
      <c r="F1258" t="inlineStr">
        <is>
          <t>SCA</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16574-2023</t>
        </is>
      </c>
      <c r="B1259" s="1" t="n">
        <v>45029</v>
      </c>
      <c r="C1259" s="1" t="n">
        <v>45754</v>
      </c>
      <c r="D1259" t="inlineStr">
        <is>
          <t>JÄMTLANDS LÄN</t>
        </is>
      </c>
      <c r="E1259" t="inlineStr">
        <is>
          <t>BRÄCKE</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16751-2023</t>
        </is>
      </c>
      <c r="B1260" s="1" t="n">
        <v>45030</v>
      </c>
      <c r="C1260" s="1" t="n">
        <v>45754</v>
      </c>
      <c r="D1260" t="inlineStr">
        <is>
          <t>JÄMTLANDS LÄN</t>
        </is>
      </c>
      <c r="E1260" t="inlineStr">
        <is>
          <t>BRÄCKE</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16752-2023</t>
        </is>
      </c>
      <c r="B1261" s="1" t="n">
        <v>45030</v>
      </c>
      <c r="C1261" s="1" t="n">
        <v>45754</v>
      </c>
      <c r="D1261" t="inlineStr">
        <is>
          <t>JÄMTLANDS LÄN</t>
        </is>
      </c>
      <c r="E1261" t="inlineStr">
        <is>
          <t>BRÄCKE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16982-2023</t>
        </is>
      </c>
      <c r="B1262" s="1" t="n">
        <v>45033</v>
      </c>
      <c r="C1262" s="1" t="n">
        <v>45754</v>
      </c>
      <c r="D1262" t="inlineStr">
        <is>
          <t>JÄMTLANDS LÄN</t>
        </is>
      </c>
      <c r="E1262" t="inlineStr">
        <is>
          <t>BRÄCKE</t>
        </is>
      </c>
      <c r="G1262" t="n">
        <v>12.9</v>
      </c>
      <c r="H1262" t="n">
        <v>0</v>
      </c>
      <c r="I1262" t="n">
        <v>0</v>
      </c>
      <c r="J1262" t="n">
        <v>0</v>
      </c>
      <c r="K1262" t="n">
        <v>0</v>
      </c>
      <c r="L1262" t="n">
        <v>0</v>
      </c>
      <c r="M1262" t="n">
        <v>0</v>
      </c>
      <c r="N1262" t="n">
        <v>0</v>
      </c>
      <c r="O1262" t="n">
        <v>0</v>
      </c>
      <c r="P1262" t="n">
        <v>0</v>
      </c>
      <c r="Q1262" t="n">
        <v>0</v>
      </c>
      <c r="R1262" s="2" t="inlineStr"/>
    </row>
    <row r="1263" ht="15" customHeight="1">
      <c r="A1263" t="inlineStr">
        <is>
          <t>A 17209-2023</t>
        </is>
      </c>
      <c r="B1263" s="1" t="n">
        <v>45034</v>
      </c>
      <c r="C1263" s="1" t="n">
        <v>45754</v>
      </c>
      <c r="D1263" t="inlineStr">
        <is>
          <t>JÄMTLANDS LÄN</t>
        </is>
      </c>
      <c r="E1263" t="inlineStr">
        <is>
          <t>BRÄCKE</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17223-2023</t>
        </is>
      </c>
      <c r="B1264" s="1" t="n">
        <v>45034</v>
      </c>
      <c r="C1264" s="1" t="n">
        <v>45754</v>
      </c>
      <c r="D1264" t="inlineStr">
        <is>
          <t>JÄMTLANDS LÄN</t>
        </is>
      </c>
      <c r="E1264" t="inlineStr">
        <is>
          <t>BRÄCKE</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17568-2023</t>
        </is>
      </c>
      <c r="B1265" s="1" t="n">
        <v>45036</v>
      </c>
      <c r="C1265" s="1" t="n">
        <v>45754</v>
      </c>
      <c r="D1265" t="inlineStr">
        <is>
          <t>JÄMTLANDS LÄN</t>
        </is>
      </c>
      <c r="E1265" t="inlineStr">
        <is>
          <t>BRÄCKE</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17665-2023</t>
        </is>
      </c>
      <c r="B1266" s="1" t="n">
        <v>45036</v>
      </c>
      <c r="C1266" s="1" t="n">
        <v>45754</v>
      </c>
      <c r="D1266" t="inlineStr">
        <is>
          <t>JÄMTLANDS LÄN</t>
        </is>
      </c>
      <c r="E1266" t="inlineStr">
        <is>
          <t>BRÄCKE</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17857-2023</t>
        </is>
      </c>
      <c r="B1267" s="1" t="n">
        <v>45037</v>
      </c>
      <c r="C1267" s="1" t="n">
        <v>45754</v>
      </c>
      <c r="D1267" t="inlineStr">
        <is>
          <t>JÄMTLANDS LÄN</t>
        </is>
      </c>
      <c r="E1267" t="inlineStr">
        <is>
          <t>BRÄCKE</t>
        </is>
      </c>
      <c r="F1267" t="inlineStr">
        <is>
          <t>SCA</t>
        </is>
      </c>
      <c r="G1267" t="n">
        <v>20</v>
      </c>
      <c r="H1267" t="n">
        <v>0</v>
      </c>
      <c r="I1267" t="n">
        <v>0</v>
      </c>
      <c r="J1267" t="n">
        <v>0</v>
      </c>
      <c r="K1267" t="n">
        <v>0</v>
      </c>
      <c r="L1267" t="n">
        <v>0</v>
      </c>
      <c r="M1267" t="n">
        <v>0</v>
      </c>
      <c r="N1267" t="n">
        <v>0</v>
      </c>
      <c r="O1267" t="n">
        <v>0</v>
      </c>
      <c r="P1267" t="n">
        <v>0</v>
      </c>
      <c r="Q1267" t="n">
        <v>0</v>
      </c>
      <c r="R1267" s="2" t="inlineStr"/>
    </row>
    <row r="1268" ht="15" customHeight="1">
      <c r="A1268" t="inlineStr">
        <is>
          <t>A 17888-2023</t>
        </is>
      </c>
      <c r="B1268" s="1" t="n">
        <v>45037</v>
      </c>
      <c r="C1268" s="1" t="n">
        <v>45754</v>
      </c>
      <c r="D1268" t="inlineStr">
        <is>
          <t>JÄMTLANDS LÄN</t>
        </is>
      </c>
      <c r="E1268" t="inlineStr">
        <is>
          <t>BRÄCKE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18152-2023</t>
        </is>
      </c>
      <c r="B1269" s="1" t="n">
        <v>45040</v>
      </c>
      <c r="C1269" s="1" t="n">
        <v>45754</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18150-2023</t>
        </is>
      </c>
      <c r="B1270" s="1" t="n">
        <v>45041</v>
      </c>
      <c r="C1270" s="1" t="n">
        <v>45754</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18164-2023</t>
        </is>
      </c>
      <c r="B1271" s="1" t="n">
        <v>45041</v>
      </c>
      <c r="C1271" s="1" t="n">
        <v>45754</v>
      </c>
      <c r="D1271" t="inlineStr">
        <is>
          <t>JÄMTLANDS LÄN</t>
        </is>
      </c>
      <c r="E1271" t="inlineStr">
        <is>
          <t>BRÄCKE</t>
        </is>
      </c>
      <c r="F1271" t="inlineStr">
        <is>
          <t>SCA</t>
        </is>
      </c>
      <c r="G1271" t="n">
        <v>31.4</v>
      </c>
      <c r="H1271" t="n">
        <v>0</v>
      </c>
      <c r="I1271" t="n">
        <v>0</v>
      </c>
      <c r="J1271" t="n">
        <v>0</v>
      </c>
      <c r="K1271" t="n">
        <v>0</v>
      </c>
      <c r="L1271" t="n">
        <v>0</v>
      </c>
      <c r="M1271" t="n">
        <v>0</v>
      </c>
      <c r="N1271" t="n">
        <v>0</v>
      </c>
      <c r="O1271" t="n">
        <v>0</v>
      </c>
      <c r="P1271" t="n">
        <v>0</v>
      </c>
      <c r="Q1271" t="n">
        <v>0</v>
      </c>
      <c r="R1271" s="2" t="inlineStr"/>
    </row>
    <row r="1272" ht="15" customHeight="1">
      <c r="A1272" t="inlineStr">
        <is>
          <t>A 18229-2023</t>
        </is>
      </c>
      <c r="B1272" s="1" t="n">
        <v>45040</v>
      </c>
      <c r="C1272" s="1" t="n">
        <v>45754</v>
      </c>
      <c r="D1272" t="inlineStr">
        <is>
          <t>JÄMTLANDS LÄN</t>
        </is>
      </c>
      <c r="E1272" t="inlineStr">
        <is>
          <t>BRÄCKE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18151-2023</t>
        </is>
      </c>
      <c r="B1273" s="1" t="n">
        <v>45040</v>
      </c>
      <c r="C1273" s="1" t="n">
        <v>45754</v>
      </c>
      <c r="D1273" t="inlineStr">
        <is>
          <t>JÄMTLANDS LÄN</t>
        </is>
      </c>
      <c r="E1273" t="inlineStr">
        <is>
          <t>BRÄCKE</t>
        </is>
      </c>
      <c r="F1273" t="inlineStr">
        <is>
          <t>SCA</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18236-2023</t>
        </is>
      </c>
      <c r="B1274" s="1" t="n">
        <v>45040</v>
      </c>
      <c r="C1274" s="1" t="n">
        <v>45754</v>
      </c>
      <c r="D1274" t="inlineStr">
        <is>
          <t>JÄMTLANDS LÄN</t>
        </is>
      </c>
      <c r="E1274" t="inlineStr">
        <is>
          <t>BRÄCKE</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18206-2023</t>
        </is>
      </c>
      <c r="B1275" s="1" t="n">
        <v>45041</v>
      </c>
      <c r="C1275" s="1" t="n">
        <v>45754</v>
      </c>
      <c r="D1275" t="inlineStr">
        <is>
          <t>JÄMTLANDS LÄN</t>
        </is>
      </c>
      <c r="E1275" t="inlineStr">
        <is>
          <t>BRÄCKE</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18559-2023</t>
        </is>
      </c>
      <c r="B1276" s="1" t="n">
        <v>45043</v>
      </c>
      <c r="C1276" s="1" t="n">
        <v>45754</v>
      </c>
      <c r="D1276" t="inlineStr">
        <is>
          <t>JÄMTLANDS LÄN</t>
        </is>
      </c>
      <c r="E1276" t="inlineStr">
        <is>
          <t>BRÄCKE</t>
        </is>
      </c>
      <c r="F1276" t="inlineStr">
        <is>
          <t>SCA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18552-2023</t>
        </is>
      </c>
      <c r="B1277" s="1" t="n">
        <v>45043</v>
      </c>
      <c r="C1277" s="1" t="n">
        <v>45754</v>
      </c>
      <c r="D1277" t="inlineStr">
        <is>
          <t>JÄMTLANDS LÄN</t>
        </is>
      </c>
      <c r="E1277" t="inlineStr">
        <is>
          <t>BRÄCKE</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18698-2023</t>
        </is>
      </c>
      <c r="B1278" s="1" t="n">
        <v>45042</v>
      </c>
      <c r="C1278" s="1" t="n">
        <v>45754</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18555-2023</t>
        </is>
      </c>
      <c r="B1279" s="1" t="n">
        <v>45042</v>
      </c>
      <c r="C1279" s="1" t="n">
        <v>45754</v>
      </c>
      <c r="D1279" t="inlineStr">
        <is>
          <t>JÄMTLANDS LÄN</t>
        </is>
      </c>
      <c r="E1279" t="inlineStr">
        <is>
          <t>BRÄCKE</t>
        </is>
      </c>
      <c r="F1279" t="inlineStr">
        <is>
          <t>SCA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18674-2023</t>
        </is>
      </c>
      <c r="B1280" s="1" t="n">
        <v>45043</v>
      </c>
      <c r="C1280" s="1" t="n">
        <v>45754</v>
      </c>
      <c r="D1280" t="inlineStr">
        <is>
          <t>JÄMTLANDS LÄN</t>
        </is>
      </c>
      <c r="E1280" t="inlineStr">
        <is>
          <t>BRÄCKE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19237-2023</t>
        </is>
      </c>
      <c r="B1281" s="1" t="n">
        <v>45049</v>
      </c>
      <c r="C1281" s="1" t="n">
        <v>45754</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19436-2023</t>
        </is>
      </c>
      <c r="B1282" s="1" t="n">
        <v>45050</v>
      </c>
      <c r="C1282" s="1" t="n">
        <v>45754</v>
      </c>
      <c r="D1282" t="inlineStr">
        <is>
          <t>JÄMTLANDS LÄN</t>
        </is>
      </c>
      <c r="E1282" t="inlineStr">
        <is>
          <t>BRÄCKE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19465-2023</t>
        </is>
      </c>
      <c r="B1283" s="1" t="n">
        <v>45049</v>
      </c>
      <c r="C1283" s="1" t="n">
        <v>45754</v>
      </c>
      <c r="D1283" t="inlineStr">
        <is>
          <t>JÄMTLANDS LÄN</t>
        </is>
      </c>
      <c r="E1283" t="inlineStr">
        <is>
          <t>BRÄCKE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19486-2023</t>
        </is>
      </c>
      <c r="B1284" s="1" t="n">
        <v>45049</v>
      </c>
      <c r="C1284" s="1" t="n">
        <v>45754</v>
      </c>
      <c r="D1284" t="inlineStr">
        <is>
          <t>JÄMTLANDS LÄN</t>
        </is>
      </c>
      <c r="E1284" t="inlineStr">
        <is>
          <t>BRÄCKE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19485-2023</t>
        </is>
      </c>
      <c r="B1285" s="1" t="n">
        <v>45049</v>
      </c>
      <c r="C1285" s="1" t="n">
        <v>45754</v>
      </c>
      <c r="D1285" t="inlineStr">
        <is>
          <t>JÄMTLANDS LÄN</t>
        </is>
      </c>
      <c r="E1285" t="inlineStr">
        <is>
          <t>BRÄCKE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19496-2023</t>
        </is>
      </c>
      <c r="B1286" s="1" t="n">
        <v>45049</v>
      </c>
      <c r="C1286" s="1" t="n">
        <v>45754</v>
      </c>
      <c r="D1286" t="inlineStr">
        <is>
          <t>JÄMTLANDS LÄN</t>
        </is>
      </c>
      <c r="E1286" t="inlineStr">
        <is>
          <t>BRÄCKE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19533-2023</t>
        </is>
      </c>
      <c r="B1287" s="1" t="n">
        <v>45050</v>
      </c>
      <c r="C1287" s="1" t="n">
        <v>45754</v>
      </c>
      <c r="D1287" t="inlineStr">
        <is>
          <t>JÄMTLANDS LÄN</t>
        </is>
      </c>
      <c r="E1287" t="inlineStr">
        <is>
          <t>BRÄCKE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19461-2023</t>
        </is>
      </c>
      <c r="B1288" s="1" t="n">
        <v>45050</v>
      </c>
      <c r="C1288" s="1" t="n">
        <v>45754</v>
      </c>
      <c r="D1288" t="inlineStr">
        <is>
          <t>JÄMTLANDS LÄN</t>
        </is>
      </c>
      <c r="E1288" t="inlineStr">
        <is>
          <t>BRÄCKE</t>
        </is>
      </c>
      <c r="G1288" t="n">
        <v>14.8</v>
      </c>
      <c r="H1288" t="n">
        <v>0</v>
      </c>
      <c r="I1288" t="n">
        <v>0</v>
      </c>
      <c r="J1288" t="n">
        <v>0</v>
      </c>
      <c r="K1288" t="n">
        <v>0</v>
      </c>
      <c r="L1288" t="n">
        <v>0</v>
      </c>
      <c r="M1288" t="n">
        <v>0</v>
      </c>
      <c r="N1288" t="n">
        <v>0</v>
      </c>
      <c r="O1288" t="n">
        <v>0</v>
      </c>
      <c r="P1288" t="n">
        <v>0</v>
      </c>
      <c r="Q1288" t="n">
        <v>0</v>
      </c>
      <c r="R1288" s="2" t="inlineStr"/>
    </row>
    <row r="1289" ht="15" customHeight="1">
      <c r="A1289" t="inlineStr">
        <is>
          <t>A 19819-2023</t>
        </is>
      </c>
      <c r="B1289" s="1" t="n">
        <v>45052</v>
      </c>
      <c r="C1289" s="1" t="n">
        <v>45754</v>
      </c>
      <c r="D1289" t="inlineStr">
        <is>
          <t>JÄMTLANDS LÄN</t>
        </is>
      </c>
      <c r="E1289" t="inlineStr">
        <is>
          <t>BRÄCKE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19823-2023</t>
        </is>
      </c>
      <c r="B1290" s="1" t="n">
        <v>45052</v>
      </c>
      <c r="C1290" s="1" t="n">
        <v>45754</v>
      </c>
      <c r="D1290" t="inlineStr">
        <is>
          <t>JÄMTLANDS LÄN</t>
        </is>
      </c>
      <c r="E1290" t="inlineStr">
        <is>
          <t>BRÄCKE</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19820-2023</t>
        </is>
      </c>
      <c r="B1291" s="1" t="n">
        <v>45051</v>
      </c>
      <c r="C1291" s="1" t="n">
        <v>45754</v>
      </c>
      <c r="D1291" t="inlineStr">
        <is>
          <t>JÄMTLANDS LÄN</t>
        </is>
      </c>
      <c r="E1291" t="inlineStr">
        <is>
          <t>BRÄCKE</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19824-2023</t>
        </is>
      </c>
      <c r="B1292" s="1" t="n">
        <v>45051</v>
      </c>
      <c r="C1292" s="1" t="n">
        <v>45754</v>
      </c>
      <c r="D1292" t="inlineStr">
        <is>
          <t>JÄMTLANDS LÄN</t>
        </is>
      </c>
      <c r="E1292" t="inlineStr">
        <is>
          <t>BRÄCKE</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19822-2023</t>
        </is>
      </c>
      <c r="B1293" s="1" t="n">
        <v>45052</v>
      </c>
      <c r="C1293" s="1" t="n">
        <v>45754</v>
      </c>
      <c r="D1293" t="inlineStr">
        <is>
          <t>JÄMTLANDS LÄN</t>
        </is>
      </c>
      <c r="E1293" t="inlineStr">
        <is>
          <t>BRÄCKE</t>
        </is>
      </c>
      <c r="F1293" t="inlineStr">
        <is>
          <t>SCA</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19821-2023</t>
        </is>
      </c>
      <c r="B1294" s="1" t="n">
        <v>45051</v>
      </c>
      <c r="C1294" s="1" t="n">
        <v>45754</v>
      </c>
      <c r="D1294" t="inlineStr">
        <is>
          <t>JÄMTLANDS LÄN</t>
        </is>
      </c>
      <c r="E1294" t="inlineStr">
        <is>
          <t>BRÄCKE</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19941-2023</t>
        </is>
      </c>
      <c r="B1295" s="1" t="n">
        <v>45051</v>
      </c>
      <c r="C1295" s="1" t="n">
        <v>45754</v>
      </c>
      <c r="D1295" t="inlineStr">
        <is>
          <t>JÄMTLANDS LÄN</t>
        </is>
      </c>
      <c r="E1295" t="inlineStr">
        <is>
          <t>BRÄCKE</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20095-2023</t>
        </is>
      </c>
      <c r="B1296" s="1" t="n">
        <v>45055</v>
      </c>
      <c r="C1296" s="1" t="n">
        <v>45754</v>
      </c>
      <c r="D1296" t="inlineStr">
        <is>
          <t>JÄMTLANDS LÄN</t>
        </is>
      </c>
      <c r="E1296" t="inlineStr">
        <is>
          <t>BRÄCKE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20100-2023</t>
        </is>
      </c>
      <c r="B1297" s="1" t="n">
        <v>45055</v>
      </c>
      <c r="C1297" s="1" t="n">
        <v>45754</v>
      </c>
      <c r="D1297" t="inlineStr">
        <is>
          <t>JÄMTLANDS LÄN</t>
        </is>
      </c>
      <c r="E1297" t="inlineStr">
        <is>
          <t>BRÄCKE</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20101-2023</t>
        </is>
      </c>
      <c r="B1298" s="1" t="n">
        <v>45055</v>
      </c>
      <c r="C1298" s="1" t="n">
        <v>45754</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20093-2023</t>
        </is>
      </c>
      <c r="B1299" s="1" t="n">
        <v>45055</v>
      </c>
      <c r="C1299" s="1" t="n">
        <v>45754</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20265-2023</t>
        </is>
      </c>
      <c r="B1300" s="1" t="n">
        <v>45056</v>
      </c>
      <c r="C1300" s="1" t="n">
        <v>45754</v>
      </c>
      <c r="D1300" t="inlineStr">
        <is>
          <t>JÄMTLANDS LÄN</t>
        </is>
      </c>
      <c r="E1300" t="inlineStr">
        <is>
          <t>BRÄCKE</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20270-2023</t>
        </is>
      </c>
      <c r="B1301" s="1" t="n">
        <v>45056</v>
      </c>
      <c r="C1301" s="1" t="n">
        <v>45754</v>
      </c>
      <c r="D1301" t="inlineStr">
        <is>
          <t>JÄMTLANDS LÄN</t>
        </is>
      </c>
      <c r="E1301" t="inlineStr">
        <is>
          <t>BRÄCKE</t>
        </is>
      </c>
      <c r="F1301" t="inlineStr">
        <is>
          <t>SCA</t>
        </is>
      </c>
      <c r="G1301" t="n">
        <v>21.6</v>
      </c>
      <c r="H1301" t="n">
        <v>0</v>
      </c>
      <c r="I1301" t="n">
        <v>0</v>
      </c>
      <c r="J1301" t="n">
        <v>0</v>
      </c>
      <c r="K1301" t="n">
        <v>0</v>
      </c>
      <c r="L1301" t="n">
        <v>0</v>
      </c>
      <c r="M1301" t="n">
        <v>0</v>
      </c>
      <c r="N1301" t="n">
        <v>0</v>
      </c>
      <c r="O1301" t="n">
        <v>0</v>
      </c>
      <c r="P1301" t="n">
        <v>0</v>
      </c>
      <c r="Q1301" t="n">
        <v>0</v>
      </c>
      <c r="R1301" s="2" t="inlineStr"/>
    </row>
    <row r="1302" ht="15" customHeight="1">
      <c r="A1302" t="inlineStr">
        <is>
          <t>A 20276-2023</t>
        </is>
      </c>
      <c r="B1302" s="1" t="n">
        <v>45056</v>
      </c>
      <c r="C1302" s="1" t="n">
        <v>45754</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20603-2023</t>
        </is>
      </c>
      <c r="B1303" s="1" t="n">
        <v>45057</v>
      </c>
      <c r="C1303" s="1" t="n">
        <v>45754</v>
      </c>
      <c r="D1303" t="inlineStr">
        <is>
          <t>JÄMTLANDS LÄN</t>
        </is>
      </c>
      <c r="E1303" t="inlineStr">
        <is>
          <t>BRÄCKE</t>
        </is>
      </c>
      <c r="F1303" t="inlineStr">
        <is>
          <t>SCA</t>
        </is>
      </c>
      <c r="G1303" t="n">
        <v>13.5</v>
      </c>
      <c r="H1303" t="n">
        <v>0</v>
      </c>
      <c r="I1303" t="n">
        <v>0</v>
      </c>
      <c r="J1303" t="n">
        <v>0</v>
      </c>
      <c r="K1303" t="n">
        <v>0</v>
      </c>
      <c r="L1303" t="n">
        <v>0</v>
      </c>
      <c r="M1303" t="n">
        <v>0</v>
      </c>
      <c r="N1303" t="n">
        <v>0</v>
      </c>
      <c r="O1303" t="n">
        <v>0</v>
      </c>
      <c r="P1303" t="n">
        <v>0</v>
      </c>
      <c r="Q1303" t="n">
        <v>0</v>
      </c>
      <c r="R1303" s="2" t="inlineStr"/>
    </row>
    <row r="1304" ht="15" customHeight="1">
      <c r="A1304" t="inlineStr">
        <is>
          <t>A 20612-2023</t>
        </is>
      </c>
      <c r="B1304" s="1" t="n">
        <v>45057</v>
      </c>
      <c r="C1304" s="1" t="n">
        <v>45754</v>
      </c>
      <c r="D1304" t="inlineStr">
        <is>
          <t>JÄMTLANDS LÄN</t>
        </is>
      </c>
      <c r="E1304" t="inlineStr">
        <is>
          <t>BRÄCKE</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20616-2023</t>
        </is>
      </c>
      <c r="B1305" s="1" t="n">
        <v>45057</v>
      </c>
      <c r="C1305" s="1" t="n">
        <v>45754</v>
      </c>
      <c r="D1305" t="inlineStr">
        <is>
          <t>JÄMTLANDS LÄN</t>
        </is>
      </c>
      <c r="E1305" t="inlineStr">
        <is>
          <t>BRÄCKE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20602-2023</t>
        </is>
      </c>
      <c r="B1306" s="1" t="n">
        <v>45058</v>
      </c>
      <c r="C1306" s="1" t="n">
        <v>45754</v>
      </c>
      <c r="D1306" t="inlineStr">
        <is>
          <t>JÄMTLANDS LÄN</t>
        </is>
      </c>
      <c r="E1306" t="inlineStr">
        <is>
          <t>BRÄCKE</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20615-2023</t>
        </is>
      </c>
      <c r="B1307" s="1" t="n">
        <v>45058</v>
      </c>
      <c r="C1307" s="1" t="n">
        <v>45754</v>
      </c>
      <c r="D1307" t="inlineStr">
        <is>
          <t>JÄMTLANDS LÄN</t>
        </is>
      </c>
      <c r="E1307" t="inlineStr">
        <is>
          <t>BRÄCKE</t>
        </is>
      </c>
      <c r="F1307" t="inlineStr">
        <is>
          <t>SCA</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20625-2023</t>
        </is>
      </c>
      <c r="B1308" s="1" t="n">
        <v>45058</v>
      </c>
      <c r="C1308" s="1" t="n">
        <v>45754</v>
      </c>
      <c r="D1308" t="inlineStr">
        <is>
          <t>JÄMTLANDS LÄN</t>
        </is>
      </c>
      <c r="E1308" t="inlineStr">
        <is>
          <t>BRÄCKE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20630-2023</t>
        </is>
      </c>
      <c r="B1309" s="1" t="n">
        <v>45057</v>
      </c>
      <c r="C1309" s="1" t="n">
        <v>45754</v>
      </c>
      <c r="D1309" t="inlineStr">
        <is>
          <t>JÄMTLANDS LÄN</t>
        </is>
      </c>
      <c r="E1309" t="inlineStr">
        <is>
          <t>BRÄCKE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20605-2023</t>
        </is>
      </c>
      <c r="B1310" s="1" t="n">
        <v>45057</v>
      </c>
      <c r="C1310" s="1" t="n">
        <v>45754</v>
      </c>
      <c r="D1310" t="inlineStr">
        <is>
          <t>JÄMTLANDS LÄN</t>
        </is>
      </c>
      <c r="E1310" t="inlineStr">
        <is>
          <t>BRÄCKE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20614-2023</t>
        </is>
      </c>
      <c r="B1311" s="1" t="n">
        <v>45057</v>
      </c>
      <c r="C1311" s="1" t="n">
        <v>45754</v>
      </c>
      <c r="D1311" t="inlineStr">
        <is>
          <t>JÄMTLANDS LÄN</t>
        </is>
      </c>
      <c r="E1311" t="inlineStr">
        <is>
          <t>BRÄCKE</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20624-2023</t>
        </is>
      </c>
      <c r="B1312" s="1" t="n">
        <v>45058</v>
      </c>
      <c r="C1312" s="1" t="n">
        <v>45754</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20613-2023</t>
        </is>
      </c>
      <c r="B1313" s="1" t="n">
        <v>45057</v>
      </c>
      <c r="C1313" s="1" t="n">
        <v>45754</v>
      </c>
      <c r="D1313" t="inlineStr">
        <is>
          <t>JÄMTLANDS LÄN</t>
        </is>
      </c>
      <c r="E1313" t="inlineStr">
        <is>
          <t>BRÄCKE</t>
        </is>
      </c>
      <c r="F1313" t="inlineStr">
        <is>
          <t>SCA</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20864-2023</t>
        </is>
      </c>
      <c r="B1314" s="1" t="n">
        <v>45058</v>
      </c>
      <c r="C1314" s="1" t="n">
        <v>45754</v>
      </c>
      <c r="D1314" t="inlineStr">
        <is>
          <t>JÄMTLANDS LÄN</t>
        </is>
      </c>
      <c r="E1314" t="inlineStr">
        <is>
          <t>BRÄCKE</t>
        </is>
      </c>
      <c r="F1314" t="inlineStr">
        <is>
          <t>SCA</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20866-2023</t>
        </is>
      </c>
      <c r="B1315" s="1" t="n">
        <v>45058</v>
      </c>
      <c r="C1315" s="1" t="n">
        <v>45754</v>
      </c>
      <c r="D1315" t="inlineStr">
        <is>
          <t>JÄMTLANDS LÄN</t>
        </is>
      </c>
      <c r="E1315" t="inlineStr">
        <is>
          <t>BRÄCKE</t>
        </is>
      </c>
      <c r="F1315" t="inlineStr">
        <is>
          <t>SCA</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20863-2023</t>
        </is>
      </c>
      <c r="B1316" s="1" t="n">
        <v>45058</v>
      </c>
      <c r="C1316" s="1" t="n">
        <v>45754</v>
      </c>
      <c r="D1316" t="inlineStr">
        <is>
          <t>JÄMTLANDS LÄN</t>
        </is>
      </c>
      <c r="E1316" t="inlineStr">
        <is>
          <t>BRÄCKE</t>
        </is>
      </c>
      <c r="F1316" t="inlineStr">
        <is>
          <t>SCA</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20867-2023</t>
        </is>
      </c>
      <c r="B1317" s="1" t="n">
        <v>45058</v>
      </c>
      <c r="C1317" s="1" t="n">
        <v>45754</v>
      </c>
      <c r="D1317" t="inlineStr">
        <is>
          <t>JÄMTLANDS LÄN</t>
        </is>
      </c>
      <c r="E1317" t="inlineStr">
        <is>
          <t>BRÄCKE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20865-2023</t>
        </is>
      </c>
      <c r="B1318" s="1" t="n">
        <v>45059</v>
      </c>
      <c r="C1318" s="1" t="n">
        <v>45754</v>
      </c>
      <c r="D1318" t="inlineStr">
        <is>
          <t>JÄMTLANDS LÄN</t>
        </is>
      </c>
      <c r="E1318" t="inlineStr">
        <is>
          <t>BRÄCKE</t>
        </is>
      </c>
      <c r="F1318" t="inlineStr">
        <is>
          <t>SCA</t>
        </is>
      </c>
      <c r="G1318" t="n">
        <v>13.5</v>
      </c>
      <c r="H1318" t="n">
        <v>0</v>
      </c>
      <c r="I1318" t="n">
        <v>0</v>
      </c>
      <c r="J1318" t="n">
        <v>0</v>
      </c>
      <c r="K1318" t="n">
        <v>0</v>
      </c>
      <c r="L1318" t="n">
        <v>0</v>
      </c>
      <c r="M1318" t="n">
        <v>0</v>
      </c>
      <c r="N1318" t="n">
        <v>0</v>
      </c>
      <c r="O1318" t="n">
        <v>0</v>
      </c>
      <c r="P1318" t="n">
        <v>0</v>
      </c>
      <c r="Q1318" t="n">
        <v>0</v>
      </c>
      <c r="R1318" s="2" t="inlineStr"/>
    </row>
    <row r="1319" ht="15" customHeight="1">
      <c r="A1319" t="inlineStr">
        <is>
          <t>A 20869-2023</t>
        </is>
      </c>
      <c r="B1319" s="1" t="n">
        <v>45058</v>
      </c>
      <c r="C1319" s="1" t="n">
        <v>45754</v>
      </c>
      <c r="D1319" t="inlineStr">
        <is>
          <t>JÄMTLANDS LÄN</t>
        </is>
      </c>
      <c r="E1319" t="inlineStr">
        <is>
          <t>BRÄCKE</t>
        </is>
      </c>
      <c r="F1319" t="inlineStr">
        <is>
          <t>SCA</t>
        </is>
      </c>
      <c r="G1319" t="n">
        <v>11.8</v>
      </c>
      <c r="H1319" t="n">
        <v>0</v>
      </c>
      <c r="I1319" t="n">
        <v>0</v>
      </c>
      <c r="J1319" t="n">
        <v>0</v>
      </c>
      <c r="K1319" t="n">
        <v>0</v>
      </c>
      <c r="L1319" t="n">
        <v>0</v>
      </c>
      <c r="M1319" t="n">
        <v>0</v>
      </c>
      <c r="N1319" t="n">
        <v>0</v>
      </c>
      <c r="O1319" t="n">
        <v>0</v>
      </c>
      <c r="P1319" t="n">
        <v>0</v>
      </c>
      <c r="Q1319" t="n">
        <v>0</v>
      </c>
      <c r="R1319" s="2" t="inlineStr"/>
    </row>
    <row r="1320" ht="15" customHeight="1">
      <c r="A1320" t="inlineStr">
        <is>
          <t>A 20870-2023</t>
        </is>
      </c>
      <c r="B1320" s="1" t="n">
        <v>45059</v>
      </c>
      <c r="C1320" s="1" t="n">
        <v>45754</v>
      </c>
      <c r="D1320" t="inlineStr">
        <is>
          <t>JÄMTLANDS LÄN</t>
        </is>
      </c>
      <c r="E1320" t="inlineStr">
        <is>
          <t>BRÄCKE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20868-2023</t>
        </is>
      </c>
      <c r="B1321" s="1" t="n">
        <v>45059</v>
      </c>
      <c r="C1321" s="1" t="n">
        <v>45754</v>
      </c>
      <c r="D1321" t="inlineStr">
        <is>
          <t>JÄMTLANDS LÄN</t>
        </is>
      </c>
      <c r="E1321" t="inlineStr">
        <is>
          <t>BRÄCKE</t>
        </is>
      </c>
      <c r="F1321" t="inlineStr">
        <is>
          <t>SCA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20879-2023</t>
        </is>
      </c>
      <c r="B1322" s="1" t="n">
        <v>45059</v>
      </c>
      <c r="C1322" s="1" t="n">
        <v>45754</v>
      </c>
      <c r="D1322" t="inlineStr">
        <is>
          <t>JÄMTLANDS LÄN</t>
        </is>
      </c>
      <c r="E1322" t="inlineStr">
        <is>
          <t>BRÄCKE</t>
        </is>
      </c>
      <c r="F1322" t="inlineStr">
        <is>
          <t>Naturvårdsverket</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21183-2023</t>
        </is>
      </c>
      <c r="B1323" s="1" t="n">
        <v>45058</v>
      </c>
      <c r="C1323" s="1" t="n">
        <v>45754</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21243-2023</t>
        </is>
      </c>
      <c r="B1324" s="1" t="n">
        <v>45058</v>
      </c>
      <c r="C1324" s="1" t="n">
        <v>45754</v>
      </c>
      <c r="D1324" t="inlineStr">
        <is>
          <t>JÄMTLANDS LÄN</t>
        </is>
      </c>
      <c r="E1324" t="inlineStr">
        <is>
          <t>BRÄCKE</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21114-2023</t>
        </is>
      </c>
      <c r="B1325" s="1" t="n">
        <v>45062</v>
      </c>
      <c r="C1325" s="1" t="n">
        <v>45754</v>
      </c>
      <c r="D1325" t="inlineStr">
        <is>
          <t>JÄMTLANDS LÄN</t>
        </is>
      </c>
      <c r="E1325" t="inlineStr">
        <is>
          <t>BRÄCKE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21118-2023</t>
        </is>
      </c>
      <c r="B1326" s="1" t="n">
        <v>45062</v>
      </c>
      <c r="C1326" s="1" t="n">
        <v>45754</v>
      </c>
      <c r="D1326" t="inlineStr">
        <is>
          <t>JÄMTLANDS LÄN</t>
        </is>
      </c>
      <c r="E1326" t="inlineStr">
        <is>
          <t>BRÄCKE</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21116-2023</t>
        </is>
      </c>
      <c r="B1327" s="1" t="n">
        <v>45062</v>
      </c>
      <c r="C1327" s="1" t="n">
        <v>45754</v>
      </c>
      <c r="D1327" t="inlineStr">
        <is>
          <t>JÄMTLANDS LÄN</t>
        </is>
      </c>
      <c r="E1327" t="inlineStr">
        <is>
          <t>BRÄCKE</t>
        </is>
      </c>
      <c r="F1327" t="inlineStr">
        <is>
          <t>SCA</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21113-2023</t>
        </is>
      </c>
      <c r="B1328" s="1" t="n">
        <v>45062</v>
      </c>
      <c r="C1328" s="1" t="n">
        <v>45754</v>
      </c>
      <c r="D1328" t="inlineStr">
        <is>
          <t>JÄMTLANDS LÄN</t>
        </is>
      </c>
      <c r="E1328" t="inlineStr">
        <is>
          <t>BRÄCKE</t>
        </is>
      </c>
      <c r="F1328" t="inlineStr">
        <is>
          <t>SCA</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21117-2023</t>
        </is>
      </c>
      <c r="B1329" s="1" t="n">
        <v>45061</v>
      </c>
      <c r="C1329" s="1" t="n">
        <v>45754</v>
      </c>
      <c r="D1329" t="inlineStr">
        <is>
          <t>JÄMTLANDS LÄN</t>
        </is>
      </c>
      <c r="E1329" t="inlineStr">
        <is>
          <t>BRÄCKE</t>
        </is>
      </c>
      <c r="F1329" t="inlineStr">
        <is>
          <t>SCA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21308-2023</t>
        </is>
      </c>
      <c r="B1330" s="1" t="n">
        <v>45062</v>
      </c>
      <c r="C1330" s="1" t="n">
        <v>45754</v>
      </c>
      <c r="D1330" t="inlineStr">
        <is>
          <t>JÄMTLANDS LÄN</t>
        </is>
      </c>
      <c r="E1330" t="inlineStr">
        <is>
          <t>BRÄCKE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21350-2023</t>
        </is>
      </c>
      <c r="B1331" s="1" t="n">
        <v>45063</v>
      </c>
      <c r="C1331" s="1" t="n">
        <v>45754</v>
      </c>
      <c r="D1331" t="inlineStr">
        <is>
          <t>JÄMTLANDS LÄN</t>
        </is>
      </c>
      <c r="E1331" t="inlineStr">
        <is>
          <t>BRÄCKE</t>
        </is>
      </c>
      <c r="F1331" t="inlineStr">
        <is>
          <t>Naturvårdsverket</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21359-2023</t>
        </is>
      </c>
      <c r="B1332" s="1" t="n">
        <v>45062</v>
      </c>
      <c r="C1332" s="1" t="n">
        <v>45754</v>
      </c>
      <c r="D1332" t="inlineStr">
        <is>
          <t>JÄMTLANDS LÄN</t>
        </is>
      </c>
      <c r="E1332" t="inlineStr">
        <is>
          <t>BRÄCKE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21360-2023</t>
        </is>
      </c>
      <c r="B1333" s="1" t="n">
        <v>45062</v>
      </c>
      <c r="C1333" s="1" t="n">
        <v>45754</v>
      </c>
      <c r="D1333" t="inlineStr">
        <is>
          <t>JÄMTLANDS LÄN</t>
        </is>
      </c>
      <c r="E1333" t="inlineStr">
        <is>
          <t>BRÄCKE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21673-2023</t>
        </is>
      </c>
      <c r="B1334" s="1" t="n">
        <v>45064</v>
      </c>
      <c r="C1334" s="1" t="n">
        <v>45754</v>
      </c>
      <c r="D1334" t="inlineStr">
        <is>
          <t>JÄMTLANDS LÄN</t>
        </is>
      </c>
      <c r="E1334" t="inlineStr">
        <is>
          <t>BRÄCKE</t>
        </is>
      </c>
      <c r="F1334" t="inlineStr">
        <is>
          <t>SCA</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21780-2023</t>
        </is>
      </c>
      <c r="B1335" s="1" t="n">
        <v>45066</v>
      </c>
      <c r="C1335" s="1" t="n">
        <v>45754</v>
      </c>
      <c r="D1335" t="inlineStr">
        <is>
          <t>JÄMTLANDS LÄN</t>
        </is>
      </c>
      <c r="E1335" t="inlineStr">
        <is>
          <t>BRÄCKE</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21781-2023</t>
        </is>
      </c>
      <c r="B1336" s="1" t="n">
        <v>45065</v>
      </c>
      <c r="C1336" s="1" t="n">
        <v>45754</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21779-2023</t>
        </is>
      </c>
      <c r="B1337" s="1" t="n">
        <v>45065</v>
      </c>
      <c r="C1337" s="1" t="n">
        <v>45754</v>
      </c>
      <c r="D1337" t="inlineStr">
        <is>
          <t>JÄMTLANDS LÄN</t>
        </is>
      </c>
      <c r="E1337" t="inlineStr">
        <is>
          <t>BRÄCKE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21782-2023</t>
        </is>
      </c>
      <c r="B1338" s="1" t="n">
        <v>45066</v>
      </c>
      <c r="C1338" s="1" t="n">
        <v>45754</v>
      </c>
      <c r="D1338" t="inlineStr">
        <is>
          <t>JÄMTLANDS LÄN</t>
        </is>
      </c>
      <c r="E1338" t="inlineStr">
        <is>
          <t>BRÄCKE</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22012-2023</t>
        </is>
      </c>
      <c r="B1339" s="1" t="n">
        <v>45069</v>
      </c>
      <c r="C1339" s="1" t="n">
        <v>45754</v>
      </c>
      <c r="D1339" t="inlineStr">
        <is>
          <t>JÄMTLANDS LÄN</t>
        </is>
      </c>
      <c r="E1339" t="inlineStr">
        <is>
          <t>BRÄCKE</t>
        </is>
      </c>
      <c r="F1339" t="inlineStr">
        <is>
          <t>SCA</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22010-2023</t>
        </is>
      </c>
      <c r="B1340" s="1" t="n">
        <v>45068</v>
      </c>
      <c r="C1340" s="1" t="n">
        <v>45754</v>
      </c>
      <c r="D1340" t="inlineStr">
        <is>
          <t>JÄMTLANDS LÄN</t>
        </is>
      </c>
      <c r="E1340" t="inlineStr">
        <is>
          <t>BRÄCKE</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22231-2023</t>
        </is>
      </c>
      <c r="B1341" s="1" t="n">
        <v>45069</v>
      </c>
      <c r="C1341" s="1" t="n">
        <v>45754</v>
      </c>
      <c r="D1341" t="inlineStr">
        <is>
          <t>JÄMTLANDS LÄN</t>
        </is>
      </c>
      <c r="E1341" t="inlineStr">
        <is>
          <t>BRÄCKE</t>
        </is>
      </c>
      <c r="F1341" t="inlineStr">
        <is>
          <t>SCA</t>
        </is>
      </c>
      <c r="G1341" t="n">
        <v>30.6</v>
      </c>
      <c r="H1341" t="n">
        <v>0</v>
      </c>
      <c r="I1341" t="n">
        <v>0</v>
      </c>
      <c r="J1341" t="n">
        <v>0</v>
      </c>
      <c r="K1341" t="n">
        <v>0</v>
      </c>
      <c r="L1341" t="n">
        <v>0</v>
      </c>
      <c r="M1341" t="n">
        <v>0</v>
      </c>
      <c r="N1341" t="n">
        <v>0</v>
      </c>
      <c r="O1341" t="n">
        <v>0</v>
      </c>
      <c r="P1341" t="n">
        <v>0</v>
      </c>
      <c r="Q1341" t="n">
        <v>0</v>
      </c>
      <c r="R1341" s="2" t="inlineStr"/>
    </row>
    <row r="1342" ht="15" customHeight="1">
      <c r="A1342" t="inlineStr">
        <is>
          <t>A 22232-2023</t>
        </is>
      </c>
      <c r="B1342" s="1" t="n">
        <v>45069</v>
      </c>
      <c r="C1342" s="1" t="n">
        <v>45754</v>
      </c>
      <c r="D1342" t="inlineStr">
        <is>
          <t>JÄMTLANDS LÄN</t>
        </is>
      </c>
      <c r="E1342" t="inlineStr">
        <is>
          <t>BRÄCKE</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22471-2023</t>
        </is>
      </c>
      <c r="B1343" s="1" t="n">
        <v>45070</v>
      </c>
      <c r="C1343" s="1" t="n">
        <v>45754</v>
      </c>
      <c r="D1343" t="inlineStr">
        <is>
          <t>JÄMTLANDS LÄN</t>
        </is>
      </c>
      <c r="E1343" t="inlineStr">
        <is>
          <t>BRÄCKE</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22748-2023</t>
        </is>
      </c>
      <c r="B1344" s="1" t="n">
        <v>45071</v>
      </c>
      <c r="C1344" s="1" t="n">
        <v>45754</v>
      </c>
      <c r="D1344" t="inlineStr">
        <is>
          <t>JÄMTLANDS LÄN</t>
        </is>
      </c>
      <c r="E1344" t="inlineStr">
        <is>
          <t>BRÄCKE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22986-2023</t>
        </is>
      </c>
      <c r="B1345" s="1" t="n">
        <v>45073</v>
      </c>
      <c r="C1345" s="1" t="n">
        <v>45754</v>
      </c>
      <c r="D1345" t="inlineStr">
        <is>
          <t>JÄMTLANDS LÄN</t>
        </is>
      </c>
      <c r="E1345" t="inlineStr">
        <is>
          <t>BRÄCKE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22983-2023</t>
        </is>
      </c>
      <c r="B1346" s="1" t="n">
        <v>45073</v>
      </c>
      <c r="C1346" s="1" t="n">
        <v>45754</v>
      </c>
      <c r="D1346" t="inlineStr">
        <is>
          <t>JÄMTLANDS LÄN</t>
        </is>
      </c>
      <c r="E1346" t="inlineStr">
        <is>
          <t>BRÄCKE</t>
        </is>
      </c>
      <c r="F1346" t="inlineStr">
        <is>
          <t>SCA</t>
        </is>
      </c>
      <c r="G1346" t="n">
        <v>9.9</v>
      </c>
      <c r="H1346" t="n">
        <v>0</v>
      </c>
      <c r="I1346" t="n">
        <v>0</v>
      </c>
      <c r="J1346" t="n">
        <v>0</v>
      </c>
      <c r="K1346" t="n">
        <v>0</v>
      </c>
      <c r="L1346" t="n">
        <v>0</v>
      </c>
      <c r="M1346" t="n">
        <v>0</v>
      </c>
      <c r="N1346" t="n">
        <v>0</v>
      </c>
      <c r="O1346" t="n">
        <v>0</v>
      </c>
      <c r="P1346" t="n">
        <v>0</v>
      </c>
      <c r="Q1346" t="n">
        <v>0</v>
      </c>
      <c r="R1346" s="2" t="inlineStr"/>
    </row>
    <row r="1347" ht="15" customHeight="1">
      <c r="A1347" t="inlineStr">
        <is>
          <t>A 22988-2023</t>
        </is>
      </c>
      <c r="B1347" s="1" t="n">
        <v>45072</v>
      </c>
      <c r="C1347" s="1" t="n">
        <v>45754</v>
      </c>
      <c r="D1347" t="inlineStr">
        <is>
          <t>JÄMTLANDS LÄN</t>
        </is>
      </c>
      <c r="E1347" t="inlineStr">
        <is>
          <t>BRÄCKE</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23000-2023</t>
        </is>
      </c>
      <c r="B1348" s="1" t="n">
        <v>45073</v>
      </c>
      <c r="C1348" s="1" t="n">
        <v>45754</v>
      </c>
      <c r="D1348" t="inlineStr">
        <is>
          <t>JÄMTLANDS LÄN</t>
        </is>
      </c>
      <c r="E1348" t="inlineStr">
        <is>
          <t>BRÄCKE</t>
        </is>
      </c>
      <c r="F1348" t="inlineStr">
        <is>
          <t>SCA</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22985-2023</t>
        </is>
      </c>
      <c r="B1349" s="1" t="n">
        <v>45072</v>
      </c>
      <c r="C1349" s="1" t="n">
        <v>45754</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23312-2023</t>
        </is>
      </c>
      <c r="B1350" s="1" t="n">
        <v>45076</v>
      </c>
      <c r="C1350" s="1" t="n">
        <v>45754</v>
      </c>
      <c r="D1350" t="inlineStr">
        <is>
          <t>JÄMTLANDS LÄN</t>
        </is>
      </c>
      <c r="E1350" t="inlineStr">
        <is>
          <t>BRÄCKE</t>
        </is>
      </c>
      <c r="F1350" t="inlineStr">
        <is>
          <t>SCA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23301-2023</t>
        </is>
      </c>
      <c r="B1351" s="1" t="n">
        <v>45075</v>
      </c>
      <c r="C1351" s="1" t="n">
        <v>45754</v>
      </c>
      <c r="D1351" t="inlineStr">
        <is>
          <t>JÄMTLANDS LÄN</t>
        </is>
      </c>
      <c r="E1351" t="inlineStr">
        <is>
          <t>BRÄCKE</t>
        </is>
      </c>
      <c r="F1351" t="inlineStr">
        <is>
          <t>SCA</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23313-2023</t>
        </is>
      </c>
      <c r="B1352" s="1" t="n">
        <v>45076</v>
      </c>
      <c r="C1352" s="1" t="n">
        <v>45754</v>
      </c>
      <c r="D1352" t="inlineStr">
        <is>
          <t>JÄMTLANDS LÄN</t>
        </is>
      </c>
      <c r="E1352" t="inlineStr">
        <is>
          <t>BRÄCKE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23306-2023</t>
        </is>
      </c>
      <c r="B1353" s="1" t="n">
        <v>45075</v>
      </c>
      <c r="C1353" s="1" t="n">
        <v>45754</v>
      </c>
      <c r="D1353" t="inlineStr">
        <is>
          <t>JÄMTLANDS LÄN</t>
        </is>
      </c>
      <c r="E1353" t="inlineStr">
        <is>
          <t>BRÄCKE</t>
        </is>
      </c>
      <c r="F1353" t="inlineStr">
        <is>
          <t>SCA</t>
        </is>
      </c>
      <c r="G1353" t="n">
        <v>13.9</v>
      </c>
      <c r="H1353" t="n">
        <v>0</v>
      </c>
      <c r="I1353" t="n">
        <v>0</v>
      </c>
      <c r="J1353" t="n">
        <v>0</v>
      </c>
      <c r="K1353" t="n">
        <v>0</v>
      </c>
      <c r="L1353" t="n">
        <v>0</v>
      </c>
      <c r="M1353" t="n">
        <v>0</v>
      </c>
      <c r="N1353" t="n">
        <v>0</v>
      </c>
      <c r="O1353" t="n">
        <v>0</v>
      </c>
      <c r="P1353" t="n">
        <v>0</v>
      </c>
      <c r="Q1353" t="n">
        <v>0</v>
      </c>
      <c r="R1353" s="2" t="inlineStr"/>
    </row>
    <row r="1354" ht="15" customHeight="1">
      <c r="A1354" t="inlineStr">
        <is>
          <t>A 23517-2023</t>
        </is>
      </c>
      <c r="B1354" s="1" t="n">
        <v>45077</v>
      </c>
      <c r="C1354" s="1" t="n">
        <v>45754</v>
      </c>
      <c r="D1354" t="inlineStr">
        <is>
          <t>JÄMTLANDS LÄN</t>
        </is>
      </c>
      <c r="E1354" t="inlineStr">
        <is>
          <t>BRÄCKE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23526-2023</t>
        </is>
      </c>
      <c r="B1355" s="1" t="n">
        <v>45077</v>
      </c>
      <c r="C1355" s="1" t="n">
        <v>45754</v>
      </c>
      <c r="D1355" t="inlineStr">
        <is>
          <t>JÄMTLANDS LÄN</t>
        </is>
      </c>
      <c r="E1355" t="inlineStr">
        <is>
          <t>BRÄCKE</t>
        </is>
      </c>
      <c r="F1355" t="inlineStr">
        <is>
          <t>SCA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23752-2023</t>
        </is>
      </c>
      <c r="B1356" s="1" t="n">
        <v>45078</v>
      </c>
      <c r="C1356" s="1" t="n">
        <v>45754</v>
      </c>
      <c r="D1356" t="inlineStr">
        <is>
          <t>JÄMTLANDS LÄN</t>
        </is>
      </c>
      <c r="E1356" t="inlineStr">
        <is>
          <t>BRÄCKE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23756-2023</t>
        </is>
      </c>
      <c r="B1357" s="1" t="n">
        <v>45078</v>
      </c>
      <c r="C1357" s="1" t="n">
        <v>45754</v>
      </c>
      <c r="D1357" t="inlineStr">
        <is>
          <t>JÄMTLANDS LÄN</t>
        </is>
      </c>
      <c r="E1357" t="inlineStr">
        <is>
          <t>BRÄCKE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23764-2023</t>
        </is>
      </c>
      <c r="B1358" s="1" t="n">
        <v>45078</v>
      </c>
      <c r="C1358" s="1" t="n">
        <v>45754</v>
      </c>
      <c r="D1358" t="inlineStr">
        <is>
          <t>JÄMTLANDS LÄN</t>
        </is>
      </c>
      <c r="E1358" t="inlineStr">
        <is>
          <t>BRÄCKE</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23773-2023</t>
        </is>
      </c>
      <c r="B1359" s="1" t="n">
        <v>45078</v>
      </c>
      <c r="C1359" s="1" t="n">
        <v>45754</v>
      </c>
      <c r="D1359" t="inlineStr">
        <is>
          <t>JÄMTLANDS LÄN</t>
        </is>
      </c>
      <c r="E1359" t="inlineStr">
        <is>
          <t>BRÄCKE</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23766-2023</t>
        </is>
      </c>
      <c r="B1360" s="1" t="n">
        <v>45078</v>
      </c>
      <c r="C1360" s="1" t="n">
        <v>45754</v>
      </c>
      <c r="D1360" t="inlineStr">
        <is>
          <t>JÄMTLANDS LÄN</t>
        </is>
      </c>
      <c r="E1360" t="inlineStr">
        <is>
          <t>BRÄCKE</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23778-2023</t>
        </is>
      </c>
      <c r="B1361" s="1" t="n">
        <v>45077</v>
      </c>
      <c r="C1361" s="1" t="n">
        <v>45754</v>
      </c>
      <c r="D1361" t="inlineStr">
        <is>
          <t>JÄMTLANDS LÄN</t>
        </is>
      </c>
      <c r="E1361" t="inlineStr">
        <is>
          <t>BRÄCKE</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23754-2023</t>
        </is>
      </c>
      <c r="B1362" s="1" t="n">
        <v>45078</v>
      </c>
      <c r="C1362" s="1" t="n">
        <v>45754</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23767-2023</t>
        </is>
      </c>
      <c r="B1363" s="1" t="n">
        <v>45077</v>
      </c>
      <c r="C1363" s="1" t="n">
        <v>45754</v>
      </c>
      <c r="D1363" t="inlineStr">
        <is>
          <t>JÄMTLANDS LÄN</t>
        </is>
      </c>
      <c r="E1363" t="inlineStr">
        <is>
          <t>BRÄCKE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23771-2023</t>
        </is>
      </c>
      <c r="B1364" s="1" t="n">
        <v>45077</v>
      </c>
      <c r="C1364" s="1" t="n">
        <v>45754</v>
      </c>
      <c r="D1364" t="inlineStr">
        <is>
          <t>JÄMTLANDS LÄN</t>
        </is>
      </c>
      <c r="E1364" t="inlineStr">
        <is>
          <t>BRÄCKE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23755-2023</t>
        </is>
      </c>
      <c r="B1365" s="1" t="n">
        <v>45078</v>
      </c>
      <c r="C1365" s="1" t="n">
        <v>45754</v>
      </c>
      <c r="D1365" t="inlineStr">
        <is>
          <t>JÄMTLANDS LÄN</t>
        </is>
      </c>
      <c r="E1365" t="inlineStr">
        <is>
          <t>BRÄCKE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23763-2023</t>
        </is>
      </c>
      <c r="B1366" s="1" t="n">
        <v>45078</v>
      </c>
      <c r="C1366" s="1" t="n">
        <v>45754</v>
      </c>
      <c r="D1366" t="inlineStr">
        <is>
          <t>JÄMTLANDS LÄN</t>
        </is>
      </c>
      <c r="E1366" t="inlineStr">
        <is>
          <t>BRÄCKE</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23772-2023</t>
        </is>
      </c>
      <c r="B1367" s="1" t="n">
        <v>45077</v>
      </c>
      <c r="C1367" s="1" t="n">
        <v>45754</v>
      </c>
      <c r="D1367" t="inlineStr">
        <is>
          <t>JÄMTLANDS LÄN</t>
        </is>
      </c>
      <c r="E1367" t="inlineStr">
        <is>
          <t>BRÄCKE</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24043-2023</t>
        </is>
      </c>
      <c r="B1368" s="1" t="n">
        <v>45078</v>
      </c>
      <c r="C1368" s="1" t="n">
        <v>45754</v>
      </c>
      <c r="D1368" t="inlineStr">
        <is>
          <t>JÄMTLANDS LÄN</t>
        </is>
      </c>
      <c r="E1368" t="inlineStr">
        <is>
          <t>BRÄCKE</t>
        </is>
      </c>
      <c r="F1368" t="inlineStr">
        <is>
          <t>SCA</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24045-2023</t>
        </is>
      </c>
      <c r="B1369" s="1" t="n">
        <v>45078</v>
      </c>
      <c r="C1369" s="1" t="n">
        <v>45754</v>
      </c>
      <c r="D1369" t="inlineStr">
        <is>
          <t>JÄMTLANDS LÄN</t>
        </is>
      </c>
      <c r="E1369" t="inlineStr">
        <is>
          <t>BRÄCKE</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24049-2023</t>
        </is>
      </c>
      <c r="B1370" s="1" t="n">
        <v>45079</v>
      </c>
      <c r="C1370" s="1" t="n">
        <v>45754</v>
      </c>
      <c r="D1370" t="inlineStr">
        <is>
          <t>JÄMTLANDS LÄN</t>
        </is>
      </c>
      <c r="E1370" t="inlineStr">
        <is>
          <t>BRÄCKE</t>
        </is>
      </c>
      <c r="G1370" t="n">
        <v>15.2</v>
      </c>
      <c r="H1370" t="n">
        <v>0</v>
      </c>
      <c r="I1370" t="n">
        <v>0</v>
      </c>
      <c r="J1370" t="n">
        <v>0</v>
      </c>
      <c r="K1370" t="n">
        <v>0</v>
      </c>
      <c r="L1370" t="n">
        <v>0</v>
      </c>
      <c r="M1370" t="n">
        <v>0</v>
      </c>
      <c r="N1370" t="n">
        <v>0</v>
      </c>
      <c r="O1370" t="n">
        <v>0</v>
      </c>
      <c r="P1370" t="n">
        <v>0</v>
      </c>
      <c r="Q1370" t="n">
        <v>0</v>
      </c>
      <c r="R1370" s="2" t="inlineStr"/>
    </row>
    <row r="1371" ht="15" customHeight="1">
      <c r="A1371" t="inlineStr">
        <is>
          <t>A 24046-2023</t>
        </is>
      </c>
      <c r="B1371" s="1" t="n">
        <v>45078</v>
      </c>
      <c r="C1371" s="1" t="n">
        <v>45754</v>
      </c>
      <c r="D1371" t="inlineStr">
        <is>
          <t>JÄMTLANDS LÄN</t>
        </is>
      </c>
      <c r="E1371" t="inlineStr">
        <is>
          <t>BRÄCKE</t>
        </is>
      </c>
      <c r="F1371" t="inlineStr">
        <is>
          <t>SCA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24048-2023</t>
        </is>
      </c>
      <c r="B1372" s="1" t="n">
        <v>45079</v>
      </c>
      <c r="C1372" s="1" t="n">
        <v>45754</v>
      </c>
      <c r="D1372" t="inlineStr">
        <is>
          <t>JÄMTLANDS LÄN</t>
        </is>
      </c>
      <c r="E1372" t="inlineStr">
        <is>
          <t>BRÄCKE</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24047-2023</t>
        </is>
      </c>
      <c r="B1373" s="1" t="n">
        <v>45079</v>
      </c>
      <c r="C1373" s="1" t="n">
        <v>45754</v>
      </c>
      <c r="D1373" t="inlineStr">
        <is>
          <t>JÄMTLANDS LÄN</t>
        </is>
      </c>
      <c r="E1373" t="inlineStr">
        <is>
          <t>BRÄCKE</t>
        </is>
      </c>
      <c r="G1373" t="n">
        <v>21.6</v>
      </c>
      <c r="H1373" t="n">
        <v>0</v>
      </c>
      <c r="I1373" t="n">
        <v>0</v>
      </c>
      <c r="J1373" t="n">
        <v>0</v>
      </c>
      <c r="K1373" t="n">
        <v>0</v>
      </c>
      <c r="L1373" t="n">
        <v>0</v>
      </c>
      <c r="M1373" t="n">
        <v>0</v>
      </c>
      <c r="N1373" t="n">
        <v>0</v>
      </c>
      <c r="O1373" t="n">
        <v>0</v>
      </c>
      <c r="P1373" t="n">
        <v>0</v>
      </c>
      <c r="Q1373" t="n">
        <v>0</v>
      </c>
      <c r="R1373" s="2" t="inlineStr"/>
    </row>
    <row r="1374" ht="15" customHeight="1">
      <c r="A1374" t="inlineStr">
        <is>
          <t>A 24195-2023</t>
        </is>
      </c>
      <c r="B1374" s="1" t="n">
        <v>45079</v>
      </c>
      <c r="C1374" s="1" t="n">
        <v>45754</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24214-2023</t>
        </is>
      </c>
      <c r="B1375" s="1" t="n">
        <v>45079</v>
      </c>
      <c r="C1375" s="1" t="n">
        <v>45754</v>
      </c>
      <c r="D1375" t="inlineStr">
        <is>
          <t>JÄMTLANDS LÄN</t>
        </is>
      </c>
      <c r="E1375" t="inlineStr">
        <is>
          <t>BRÄCKE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24206-2023</t>
        </is>
      </c>
      <c r="B1376" s="1" t="n">
        <v>45079</v>
      </c>
      <c r="C1376" s="1" t="n">
        <v>45754</v>
      </c>
      <c r="D1376" t="inlineStr">
        <is>
          <t>JÄMTLANDS LÄN</t>
        </is>
      </c>
      <c r="E1376" t="inlineStr">
        <is>
          <t>BRÄCKE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24182-2023</t>
        </is>
      </c>
      <c r="B1377" s="1" t="n">
        <v>45079</v>
      </c>
      <c r="C1377" s="1" t="n">
        <v>45754</v>
      </c>
      <c r="D1377" t="inlineStr">
        <is>
          <t>JÄMTLANDS LÄN</t>
        </is>
      </c>
      <c r="E1377" t="inlineStr">
        <is>
          <t>BRÄCKE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24550-2023</t>
        </is>
      </c>
      <c r="B1378" s="1" t="n">
        <v>45082</v>
      </c>
      <c r="C1378" s="1" t="n">
        <v>45754</v>
      </c>
      <c r="D1378" t="inlineStr">
        <is>
          <t>JÄMTLANDS LÄN</t>
        </is>
      </c>
      <c r="E1378" t="inlineStr">
        <is>
          <t>BRÄCKE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25043-2023</t>
        </is>
      </c>
      <c r="B1379" s="1" t="n">
        <v>45085</v>
      </c>
      <c r="C1379" s="1" t="n">
        <v>45754</v>
      </c>
      <c r="D1379" t="inlineStr">
        <is>
          <t>JÄMTLANDS LÄN</t>
        </is>
      </c>
      <c r="E1379" t="inlineStr">
        <is>
          <t>BRÄCKE</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25056-2023</t>
        </is>
      </c>
      <c r="B1380" s="1" t="n">
        <v>45086</v>
      </c>
      <c r="C1380" s="1" t="n">
        <v>45754</v>
      </c>
      <c r="D1380" t="inlineStr">
        <is>
          <t>JÄMTLANDS LÄN</t>
        </is>
      </c>
      <c r="E1380" t="inlineStr">
        <is>
          <t>BRÄCKE</t>
        </is>
      </c>
      <c r="F1380" t="inlineStr">
        <is>
          <t>SCA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25060-2023</t>
        </is>
      </c>
      <c r="B1381" s="1" t="n">
        <v>45086</v>
      </c>
      <c r="C1381" s="1" t="n">
        <v>45754</v>
      </c>
      <c r="D1381" t="inlineStr">
        <is>
          <t>JÄMTLANDS LÄN</t>
        </is>
      </c>
      <c r="E1381" t="inlineStr">
        <is>
          <t>BRÄCKE</t>
        </is>
      </c>
      <c r="F1381" t="inlineStr">
        <is>
          <t>SCA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25041-2023</t>
        </is>
      </c>
      <c r="B1382" s="1" t="n">
        <v>45085</v>
      </c>
      <c r="C1382" s="1" t="n">
        <v>45754</v>
      </c>
      <c r="D1382" t="inlineStr">
        <is>
          <t>JÄMTLANDS LÄN</t>
        </is>
      </c>
      <c r="E1382" t="inlineStr">
        <is>
          <t>BRÄCKE</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25058-2023</t>
        </is>
      </c>
      <c r="B1383" s="1" t="n">
        <v>45086</v>
      </c>
      <c r="C1383" s="1" t="n">
        <v>45754</v>
      </c>
      <c r="D1383" t="inlineStr">
        <is>
          <t>JÄMTLANDS LÄN</t>
        </is>
      </c>
      <c r="E1383" t="inlineStr">
        <is>
          <t>BRÄCKE</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25057-2023</t>
        </is>
      </c>
      <c r="B1384" s="1" t="n">
        <v>45086</v>
      </c>
      <c r="C1384" s="1" t="n">
        <v>45754</v>
      </c>
      <c r="D1384" t="inlineStr">
        <is>
          <t>JÄMTLANDS LÄN</t>
        </is>
      </c>
      <c r="E1384" t="inlineStr">
        <is>
          <t>BRÄCKE</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25061-2023</t>
        </is>
      </c>
      <c r="B1385" s="1" t="n">
        <v>45085</v>
      </c>
      <c r="C1385" s="1" t="n">
        <v>45754</v>
      </c>
      <c r="D1385" t="inlineStr">
        <is>
          <t>JÄMTLANDS LÄN</t>
        </is>
      </c>
      <c r="E1385" t="inlineStr">
        <is>
          <t>BRÄCKE</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25895-2023</t>
        </is>
      </c>
      <c r="B1386" s="1" t="n">
        <v>45085</v>
      </c>
      <c r="C1386" s="1" t="n">
        <v>45754</v>
      </c>
      <c r="D1386" t="inlineStr">
        <is>
          <t>JÄMTLANDS LÄN</t>
        </is>
      </c>
      <c r="E1386" t="inlineStr">
        <is>
          <t>BRÄCKE</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25042-2023</t>
        </is>
      </c>
      <c r="B1387" s="1" t="n">
        <v>45086</v>
      </c>
      <c r="C1387" s="1" t="n">
        <v>45754</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25055-2023</t>
        </is>
      </c>
      <c r="B1388" s="1" t="n">
        <v>45086</v>
      </c>
      <c r="C1388" s="1" t="n">
        <v>45754</v>
      </c>
      <c r="D1388" t="inlineStr">
        <is>
          <t>JÄMTLANDS LÄN</t>
        </is>
      </c>
      <c r="E1388" t="inlineStr">
        <is>
          <t>BRÄCKE</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25059-2023</t>
        </is>
      </c>
      <c r="B1389" s="1" t="n">
        <v>45086</v>
      </c>
      <c r="C1389" s="1" t="n">
        <v>45754</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25909-2023</t>
        </is>
      </c>
      <c r="B1390" s="1" t="n">
        <v>45085</v>
      </c>
      <c r="C1390" s="1" t="n">
        <v>45754</v>
      </c>
      <c r="D1390" t="inlineStr">
        <is>
          <t>JÄMTLANDS LÄN</t>
        </is>
      </c>
      <c r="E1390" t="inlineStr">
        <is>
          <t>BRÄCKE</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25319-2023</t>
        </is>
      </c>
      <c r="B1391" s="1" t="n">
        <v>45087</v>
      </c>
      <c r="C1391" s="1" t="n">
        <v>45754</v>
      </c>
      <c r="D1391" t="inlineStr">
        <is>
          <t>JÄMTLANDS LÄN</t>
        </is>
      </c>
      <c r="E1391" t="inlineStr">
        <is>
          <t>BRÄCKE</t>
        </is>
      </c>
      <c r="F1391" t="inlineStr">
        <is>
          <t>SCA</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25317-2023</t>
        </is>
      </c>
      <c r="B1392" s="1" t="n">
        <v>45087</v>
      </c>
      <c r="C1392" s="1" t="n">
        <v>45754</v>
      </c>
      <c r="D1392" t="inlineStr">
        <is>
          <t>JÄMTLANDS LÄN</t>
        </is>
      </c>
      <c r="E1392" t="inlineStr">
        <is>
          <t>BRÄCKE</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25329-2023</t>
        </is>
      </c>
      <c r="B1393" s="1" t="n">
        <v>45087</v>
      </c>
      <c r="C1393" s="1" t="n">
        <v>45754</v>
      </c>
      <c r="D1393" t="inlineStr">
        <is>
          <t>JÄMTLANDS LÄN</t>
        </is>
      </c>
      <c r="E1393" t="inlineStr">
        <is>
          <t>BRÄCKE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25318-2023</t>
        </is>
      </c>
      <c r="B1394" s="1" t="n">
        <v>45086</v>
      </c>
      <c r="C1394" s="1" t="n">
        <v>45754</v>
      </c>
      <c r="D1394" t="inlineStr">
        <is>
          <t>JÄMTLANDS LÄN</t>
        </is>
      </c>
      <c r="E1394" t="inlineStr">
        <is>
          <t>BRÄCKE</t>
        </is>
      </c>
      <c r="F1394" t="inlineStr">
        <is>
          <t>SCA</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25330-2023</t>
        </is>
      </c>
      <c r="B1395" s="1" t="n">
        <v>45087</v>
      </c>
      <c r="C1395" s="1" t="n">
        <v>45754</v>
      </c>
      <c r="D1395" t="inlineStr">
        <is>
          <t>JÄMTLANDS LÄN</t>
        </is>
      </c>
      <c r="E1395" t="inlineStr">
        <is>
          <t>BRÄCKE</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25352-2023</t>
        </is>
      </c>
      <c r="B1396" s="1" t="n">
        <v>45088</v>
      </c>
      <c r="C1396" s="1" t="n">
        <v>45754</v>
      </c>
      <c r="D1396" t="inlineStr">
        <is>
          <t>JÄMTLANDS LÄN</t>
        </is>
      </c>
      <c r="E1396" t="inlineStr">
        <is>
          <t>BRÄCKE</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25374-2023</t>
        </is>
      </c>
      <c r="B1397" s="1" t="n">
        <v>45088</v>
      </c>
      <c r="C1397" s="1" t="n">
        <v>45754</v>
      </c>
      <c r="D1397" t="inlineStr">
        <is>
          <t>JÄMTLANDS LÄN</t>
        </is>
      </c>
      <c r="E1397" t="inlineStr">
        <is>
          <t>BRÄCKE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25373-2023</t>
        </is>
      </c>
      <c r="B1398" s="1" t="n">
        <v>45089</v>
      </c>
      <c r="C1398" s="1" t="n">
        <v>45754</v>
      </c>
      <c r="D1398" t="inlineStr">
        <is>
          <t>JÄMTLANDS LÄN</t>
        </is>
      </c>
      <c r="E1398" t="inlineStr">
        <is>
          <t>BRÄCKE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25689-2023</t>
        </is>
      </c>
      <c r="B1399" s="1" t="n">
        <v>45090</v>
      </c>
      <c r="C1399" s="1" t="n">
        <v>45754</v>
      </c>
      <c r="D1399" t="inlineStr">
        <is>
          <t>JÄMTLANDS LÄN</t>
        </is>
      </c>
      <c r="E1399" t="inlineStr">
        <is>
          <t>BRÄCKE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25677-2023</t>
        </is>
      </c>
      <c r="B1400" s="1" t="n">
        <v>45090</v>
      </c>
      <c r="C1400" s="1" t="n">
        <v>45754</v>
      </c>
      <c r="D1400" t="inlineStr">
        <is>
          <t>JÄMTLANDS LÄN</t>
        </is>
      </c>
      <c r="E1400" t="inlineStr">
        <is>
          <t>BRÄCKE</t>
        </is>
      </c>
      <c r="F1400" t="inlineStr">
        <is>
          <t>SCA</t>
        </is>
      </c>
      <c r="G1400" t="n">
        <v>26.2</v>
      </c>
      <c r="H1400" t="n">
        <v>0</v>
      </c>
      <c r="I1400" t="n">
        <v>0</v>
      </c>
      <c r="J1400" t="n">
        <v>0</v>
      </c>
      <c r="K1400" t="n">
        <v>0</v>
      </c>
      <c r="L1400" t="n">
        <v>0</v>
      </c>
      <c r="M1400" t="n">
        <v>0</v>
      </c>
      <c r="N1400" t="n">
        <v>0</v>
      </c>
      <c r="O1400" t="n">
        <v>0</v>
      </c>
      <c r="P1400" t="n">
        <v>0</v>
      </c>
      <c r="Q1400" t="n">
        <v>0</v>
      </c>
      <c r="R1400" s="2" t="inlineStr"/>
    </row>
    <row r="1401" ht="15" customHeight="1">
      <c r="A1401" t="inlineStr">
        <is>
          <t>A 25675-2023</t>
        </is>
      </c>
      <c r="B1401" s="1" t="n">
        <v>45089</v>
      </c>
      <c r="C1401" s="1" t="n">
        <v>45754</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25687-2023</t>
        </is>
      </c>
      <c r="B1402" s="1" t="n">
        <v>45090</v>
      </c>
      <c r="C1402" s="1" t="n">
        <v>45754</v>
      </c>
      <c r="D1402" t="inlineStr">
        <is>
          <t>JÄMTLANDS LÄN</t>
        </is>
      </c>
      <c r="E1402" t="inlineStr">
        <is>
          <t>BRÄCKE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25676-2023</t>
        </is>
      </c>
      <c r="B1403" s="1" t="n">
        <v>45090</v>
      </c>
      <c r="C1403" s="1" t="n">
        <v>45754</v>
      </c>
      <c r="D1403" t="inlineStr">
        <is>
          <t>JÄMTLANDS LÄN</t>
        </is>
      </c>
      <c r="E1403" t="inlineStr">
        <is>
          <t>BRÄCKE</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25674-2023</t>
        </is>
      </c>
      <c r="B1404" s="1" t="n">
        <v>45089</v>
      </c>
      <c r="C1404" s="1" t="n">
        <v>45754</v>
      </c>
      <c r="D1404" t="inlineStr">
        <is>
          <t>JÄMTLANDS LÄN</t>
        </is>
      </c>
      <c r="E1404" t="inlineStr">
        <is>
          <t>BRÄCKE</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25686-2023</t>
        </is>
      </c>
      <c r="B1405" s="1" t="n">
        <v>45090</v>
      </c>
      <c r="C1405" s="1" t="n">
        <v>45754</v>
      </c>
      <c r="D1405" t="inlineStr">
        <is>
          <t>JÄMTLANDS LÄN</t>
        </is>
      </c>
      <c r="E1405" t="inlineStr">
        <is>
          <t>BRÄCKE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25678-2023</t>
        </is>
      </c>
      <c r="B1406" s="1" t="n">
        <v>45089</v>
      </c>
      <c r="C1406" s="1" t="n">
        <v>45754</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25684-2023</t>
        </is>
      </c>
      <c r="B1407" s="1" t="n">
        <v>45090</v>
      </c>
      <c r="C1407" s="1" t="n">
        <v>45754</v>
      </c>
      <c r="D1407" t="inlineStr">
        <is>
          <t>JÄMTLANDS LÄN</t>
        </is>
      </c>
      <c r="E1407" t="inlineStr">
        <is>
          <t>BRÄCKE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25685-2023</t>
        </is>
      </c>
      <c r="B1408" s="1" t="n">
        <v>45090</v>
      </c>
      <c r="C1408" s="1" t="n">
        <v>45754</v>
      </c>
      <c r="D1408" t="inlineStr">
        <is>
          <t>JÄMTLANDS LÄN</t>
        </is>
      </c>
      <c r="E1408" t="inlineStr">
        <is>
          <t>BRÄCKE</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26004-2023</t>
        </is>
      </c>
      <c r="B1409" s="1" t="n">
        <v>45090</v>
      </c>
      <c r="C1409" s="1" t="n">
        <v>45754</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26370-2023</t>
        </is>
      </c>
      <c r="B1410" s="1" t="n">
        <v>45092</v>
      </c>
      <c r="C1410" s="1" t="n">
        <v>45754</v>
      </c>
      <c r="D1410" t="inlineStr">
        <is>
          <t>JÄMTLANDS LÄN</t>
        </is>
      </c>
      <c r="E1410" t="inlineStr">
        <is>
          <t>BRÄCKE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26350-2023</t>
        </is>
      </c>
      <c r="B1411" s="1" t="n">
        <v>45092</v>
      </c>
      <c r="C1411" s="1" t="n">
        <v>45754</v>
      </c>
      <c r="D1411" t="inlineStr">
        <is>
          <t>JÄMTLANDS LÄN</t>
        </is>
      </c>
      <c r="E1411" t="inlineStr">
        <is>
          <t>BRÄCKE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26351-2023</t>
        </is>
      </c>
      <c r="B1412" s="1" t="n">
        <v>45091</v>
      </c>
      <c r="C1412" s="1" t="n">
        <v>45754</v>
      </c>
      <c r="D1412" t="inlineStr">
        <is>
          <t>JÄMTLANDS LÄN</t>
        </is>
      </c>
      <c r="E1412" t="inlineStr">
        <is>
          <t>BRÄCKE</t>
        </is>
      </c>
      <c r="F1412" t="inlineStr">
        <is>
          <t>SCA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26353-2023</t>
        </is>
      </c>
      <c r="B1413" s="1" t="n">
        <v>45092</v>
      </c>
      <c r="C1413" s="1" t="n">
        <v>45754</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26345-2023</t>
        </is>
      </c>
      <c r="B1414" s="1" t="n">
        <v>45091</v>
      </c>
      <c r="C1414" s="1" t="n">
        <v>45754</v>
      </c>
      <c r="D1414" t="inlineStr">
        <is>
          <t>JÄMTLANDS LÄN</t>
        </is>
      </c>
      <c r="E1414" t="inlineStr">
        <is>
          <t>BRÄCKE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26352-2023</t>
        </is>
      </c>
      <c r="B1415" s="1" t="n">
        <v>45092</v>
      </c>
      <c r="C1415" s="1" t="n">
        <v>45754</v>
      </c>
      <c r="D1415" t="inlineStr">
        <is>
          <t>JÄMTLANDS LÄN</t>
        </is>
      </c>
      <c r="E1415" t="inlineStr">
        <is>
          <t>BRÄCKE</t>
        </is>
      </c>
      <c r="F1415" t="inlineStr">
        <is>
          <t>SCA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26664-2023</t>
        </is>
      </c>
      <c r="B1416" s="1" t="n">
        <v>45093</v>
      </c>
      <c r="C1416" s="1" t="n">
        <v>45754</v>
      </c>
      <c r="D1416" t="inlineStr">
        <is>
          <t>JÄMTLANDS LÄN</t>
        </is>
      </c>
      <c r="E1416" t="inlineStr">
        <is>
          <t>BRÄCKE</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27354-2023</t>
        </is>
      </c>
      <c r="B1417" s="1" t="n">
        <v>45096</v>
      </c>
      <c r="C1417" s="1" t="n">
        <v>45754</v>
      </c>
      <c r="D1417" t="inlineStr">
        <is>
          <t>JÄMTLANDS LÄN</t>
        </is>
      </c>
      <c r="E1417" t="inlineStr">
        <is>
          <t>BRÄCKE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28801-2023</t>
        </is>
      </c>
      <c r="B1418" s="1" t="n">
        <v>45096</v>
      </c>
      <c r="C1418" s="1" t="n">
        <v>45754</v>
      </c>
      <c r="D1418" t="inlineStr">
        <is>
          <t>JÄMTLANDS LÄN</t>
        </is>
      </c>
      <c r="E1418" t="inlineStr">
        <is>
          <t>BRÄCKE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27363-2023</t>
        </is>
      </c>
      <c r="B1419" s="1" t="n">
        <v>45097</v>
      </c>
      <c r="C1419" s="1" t="n">
        <v>45754</v>
      </c>
      <c r="D1419" t="inlineStr">
        <is>
          <t>JÄMTLANDS LÄN</t>
        </is>
      </c>
      <c r="E1419" t="inlineStr">
        <is>
          <t>BRÄCKE</t>
        </is>
      </c>
      <c r="F1419" t="inlineStr">
        <is>
          <t>SCA</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28796-2023</t>
        </is>
      </c>
      <c r="B1420" s="1" t="n">
        <v>45096</v>
      </c>
      <c r="C1420" s="1" t="n">
        <v>45754</v>
      </c>
      <c r="D1420" t="inlineStr">
        <is>
          <t>JÄMTLANDS LÄN</t>
        </is>
      </c>
      <c r="E1420" t="inlineStr">
        <is>
          <t>BRÄCKE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27691-2023</t>
        </is>
      </c>
      <c r="B1421" s="1" t="n">
        <v>45098</v>
      </c>
      <c r="C1421" s="1" t="n">
        <v>45754</v>
      </c>
      <c r="D1421" t="inlineStr">
        <is>
          <t>JÄMTLANDS LÄN</t>
        </is>
      </c>
      <c r="E1421" t="inlineStr">
        <is>
          <t>BRÄCKE</t>
        </is>
      </c>
      <c r="F1421" t="inlineStr">
        <is>
          <t>SCA</t>
        </is>
      </c>
      <c r="G1421" t="n">
        <v>26.5</v>
      </c>
      <c r="H1421" t="n">
        <v>0</v>
      </c>
      <c r="I1421" t="n">
        <v>0</v>
      </c>
      <c r="J1421" t="n">
        <v>0</v>
      </c>
      <c r="K1421" t="n">
        <v>0</v>
      </c>
      <c r="L1421" t="n">
        <v>0</v>
      </c>
      <c r="M1421" t="n">
        <v>0</v>
      </c>
      <c r="N1421" t="n">
        <v>0</v>
      </c>
      <c r="O1421" t="n">
        <v>0</v>
      </c>
      <c r="P1421" t="n">
        <v>0</v>
      </c>
      <c r="Q1421" t="n">
        <v>0</v>
      </c>
      <c r="R1421" s="2" t="inlineStr"/>
    </row>
    <row r="1422" ht="15" customHeight="1">
      <c r="A1422" t="inlineStr">
        <is>
          <t>A 27690-2023</t>
        </is>
      </c>
      <c r="B1422" s="1" t="n">
        <v>45098</v>
      </c>
      <c r="C1422" s="1" t="n">
        <v>45754</v>
      </c>
      <c r="D1422" t="inlineStr">
        <is>
          <t>JÄMTLANDS LÄN</t>
        </is>
      </c>
      <c r="E1422" t="inlineStr">
        <is>
          <t>BRÄCKE</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28392-2023</t>
        </is>
      </c>
      <c r="B1423" s="1" t="n">
        <v>45099</v>
      </c>
      <c r="C1423" s="1" t="n">
        <v>45754</v>
      </c>
      <c r="D1423" t="inlineStr">
        <is>
          <t>JÄMTLANDS LÄN</t>
        </is>
      </c>
      <c r="E1423" t="inlineStr">
        <is>
          <t>BRÄCKE</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28762-2023</t>
        </is>
      </c>
      <c r="B1424" s="1" t="n">
        <v>45104</v>
      </c>
      <c r="C1424" s="1" t="n">
        <v>45754</v>
      </c>
      <c r="D1424" t="inlineStr">
        <is>
          <t>JÄMTLANDS LÄN</t>
        </is>
      </c>
      <c r="E1424" t="inlineStr">
        <is>
          <t>BRÄCKE</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28759-2023</t>
        </is>
      </c>
      <c r="B1425" s="1" t="n">
        <v>45104</v>
      </c>
      <c r="C1425" s="1" t="n">
        <v>45754</v>
      </c>
      <c r="D1425" t="inlineStr">
        <is>
          <t>JÄMTLANDS LÄN</t>
        </is>
      </c>
      <c r="E1425" t="inlineStr">
        <is>
          <t>BRÄCKE</t>
        </is>
      </c>
      <c r="F1425" t="inlineStr">
        <is>
          <t>SCA</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28764-2023</t>
        </is>
      </c>
      <c r="B1426" s="1" t="n">
        <v>45104</v>
      </c>
      <c r="C1426" s="1" t="n">
        <v>45754</v>
      </c>
      <c r="D1426" t="inlineStr">
        <is>
          <t>JÄMTLANDS LÄN</t>
        </is>
      </c>
      <c r="E1426" t="inlineStr">
        <is>
          <t>BRÄCKE</t>
        </is>
      </c>
      <c r="F1426" t="inlineStr">
        <is>
          <t>SCA</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28760-2023</t>
        </is>
      </c>
      <c r="B1427" s="1" t="n">
        <v>45104</v>
      </c>
      <c r="C1427" s="1" t="n">
        <v>45754</v>
      </c>
      <c r="D1427" t="inlineStr">
        <is>
          <t>JÄMTLANDS LÄN</t>
        </is>
      </c>
      <c r="E1427" t="inlineStr">
        <is>
          <t>BRÄCKE</t>
        </is>
      </c>
      <c r="F1427" t="inlineStr">
        <is>
          <t>SCA</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31467-2023</t>
        </is>
      </c>
      <c r="B1428" s="1" t="n">
        <v>45104</v>
      </c>
      <c r="C1428" s="1" t="n">
        <v>45754</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31471-2023</t>
        </is>
      </c>
      <c r="B1429" s="1" t="n">
        <v>45104</v>
      </c>
      <c r="C1429" s="1" t="n">
        <v>45754</v>
      </c>
      <c r="D1429" t="inlineStr">
        <is>
          <t>JÄMTLANDS LÄN</t>
        </is>
      </c>
      <c r="E1429" t="inlineStr">
        <is>
          <t>BRÄCKE</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31470-2023</t>
        </is>
      </c>
      <c r="B1430" s="1" t="n">
        <v>45104</v>
      </c>
      <c r="C1430" s="1" t="n">
        <v>45754</v>
      </c>
      <c r="D1430" t="inlineStr">
        <is>
          <t>JÄMTLANDS LÄN</t>
        </is>
      </c>
      <c r="E1430" t="inlineStr">
        <is>
          <t>BRÄCKE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29322-2023</t>
        </is>
      </c>
      <c r="B1431" s="1" t="n">
        <v>45105</v>
      </c>
      <c r="C1431" s="1" t="n">
        <v>45754</v>
      </c>
      <c r="D1431" t="inlineStr">
        <is>
          <t>JÄMTLANDS LÄN</t>
        </is>
      </c>
      <c r="E1431" t="inlineStr">
        <is>
          <t>BRÄCKE</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29334-2023</t>
        </is>
      </c>
      <c r="B1432" s="1" t="n">
        <v>45105</v>
      </c>
      <c r="C1432" s="1" t="n">
        <v>45754</v>
      </c>
      <c r="D1432" t="inlineStr">
        <is>
          <t>JÄMTLANDS LÄN</t>
        </is>
      </c>
      <c r="E1432" t="inlineStr">
        <is>
          <t>BRÄCKE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29323-2023</t>
        </is>
      </c>
      <c r="B1433" s="1" t="n">
        <v>45105</v>
      </c>
      <c r="C1433" s="1" t="n">
        <v>45754</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29621-2023</t>
        </is>
      </c>
      <c r="B1434" s="1" t="n">
        <v>45107</v>
      </c>
      <c r="C1434" s="1" t="n">
        <v>45754</v>
      </c>
      <c r="D1434" t="inlineStr">
        <is>
          <t>JÄMTLANDS LÄN</t>
        </is>
      </c>
      <c r="E1434" t="inlineStr">
        <is>
          <t>BRÄCKE</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29805-2023</t>
        </is>
      </c>
      <c r="B1435" s="1" t="n">
        <v>45107</v>
      </c>
      <c r="C1435" s="1" t="n">
        <v>45754</v>
      </c>
      <c r="D1435" t="inlineStr">
        <is>
          <t>JÄMTLANDS LÄN</t>
        </is>
      </c>
      <c r="E1435" t="inlineStr">
        <is>
          <t>BRÄCKE</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29751-2023</t>
        </is>
      </c>
      <c r="B1436" s="1" t="n">
        <v>45107</v>
      </c>
      <c r="C1436" s="1" t="n">
        <v>45754</v>
      </c>
      <c r="D1436" t="inlineStr">
        <is>
          <t>JÄMTLANDS LÄN</t>
        </is>
      </c>
      <c r="E1436" t="inlineStr">
        <is>
          <t>BRÄCKE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29941-2023</t>
        </is>
      </c>
      <c r="B1437" s="1" t="n">
        <v>45107</v>
      </c>
      <c r="C1437" s="1" t="n">
        <v>45754</v>
      </c>
      <c r="D1437" t="inlineStr">
        <is>
          <t>JÄMTLANDS LÄN</t>
        </is>
      </c>
      <c r="E1437" t="inlineStr">
        <is>
          <t>BRÄCKE</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29942-2023</t>
        </is>
      </c>
      <c r="B1438" s="1" t="n">
        <v>45107</v>
      </c>
      <c r="C1438" s="1" t="n">
        <v>45754</v>
      </c>
      <c r="D1438" t="inlineStr">
        <is>
          <t>JÄMTLANDS LÄN</t>
        </is>
      </c>
      <c r="E1438" t="inlineStr">
        <is>
          <t>BRÄCKE</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32000-2023</t>
        </is>
      </c>
      <c r="B1439" s="1" t="n">
        <v>45107</v>
      </c>
      <c r="C1439" s="1" t="n">
        <v>45754</v>
      </c>
      <c r="D1439" t="inlineStr">
        <is>
          <t>JÄMTLANDS LÄN</t>
        </is>
      </c>
      <c r="E1439" t="inlineStr">
        <is>
          <t>BRÄCKE</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30312-2023</t>
        </is>
      </c>
      <c r="B1440" s="1" t="n">
        <v>45111</v>
      </c>
      <c r="C1440" s="1" t="n">
        <v>45754</v>
      </c>
      <c r="D1440" t="inlineStr">
        <is>
          <t>JÄMTLANDS LÄN</t>
        </is>
      </c>
      <c r="E1440" t="inlineStr">
        <is>
          <t>BRÄCKE</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30311-2023</t>
        </is>
      </c>
      <c r="B1441" s="1" t="n">
        <v>45111</v>
      </c>
      <c r="C1441" s="1" t="n">
        <v>45754</v>
      </c>
      <c r="D1441" t="inlineStr">
        <is>
          <t>JÄMTLANDS LÄN</t>
        </is>
      </c>
      <c r="E1441" t="inlineStr">
        <is>
          <t>BRÄCKE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30309-2023</t>
        </is>
      </c>
      <c r="B1442" s="1" t="n">
        <v>45111</v>
      </c>
      <c r="C1442" s="1" t="n">
        <v>45754</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30313-2023</t>
        </is>
      </c>
      <c r="B1443" s="1" t="n">
        <v>45111</v>
      </c>
      <c r="C1443" s="1" t="n">
        <v>45754</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30310-2023</t>
        </is>
      </c>
      <c r="B1444" s="1" t="n">
        <v>45110</v>
      </c>
      <c r="C1444" s="1" t="n">
        <v>45754</v>
      </c>
      <c r="D1444" t="inlineStr">
        <is>
          <t>JÄMTLANDS LÄN</t>
        </is>
      </c>
      <c r="E1444" t="inlineStr">
        <is>
          <t>BRÄCKE</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30854-2023</t>
        </is>
      </c>
      <c r="B1445" s="1" t="n">
        <v>45113</v>
      </c>
      <c r="C1445" s="1" t="n">
        <v>45754</v>
      </c>
      <c r="D1445" t="inlineStr">
        <is>
          <t>JÄMTLANDS LÄN</t>
        </is>
      </c>
      <c r="E1445" t="inlineStr">
        <is>
          <t>BRÄCKE</t>
        </is>
      </c>
      <c r="F1445" t="inlineStr">
        <is>
          <t>SCA</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30833-2023</t>
        </is>
      </c>
      <c r="B1446" s="1" t="n">
        <v>45112</v>
      </c>
      <c r="C1446" s="1" t="n">
        <v>45754</v>
      </c>
      <c r="D1446" t="inlineStr">
        <is>
          <t>JÄMTLANDS LÄN</t>
        </is>
      </c>
      <c r="E1446" t="inlineStr">
        <is>
          <t>BRÄCKE</t>
        </is>
      </c>
      <c r="F1446" t="inlineStr">
        <is>
          <t>SCA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30685-2023</t>
        </is>
      </c>
      <c r="B1447" s="1" t="n">
        <v>45112</v>
      </c>
      <c r="C1447" s="1" t="n">
        <v>45754</v>
      </c>
      <c r="D1447" t="inlineStr">
        <is>
          <t>JÄMTLANDS LÄN</t>
        </is>
      </c>
      <c r="E1447" t="inlineStr">
        <is>
          <t>BRÄCKE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31195-2023</t>
        </is>
      </c>
      <c r="B1448" s="1" t="n">
        <v>45114</v>
      </c>
      <c r="C1448" s="1" t="n">
        <v>45754</v>
      </c>
      <c r="D1448" t="inlineStr">
        <is>
          <t>JÄMTLANDS LÄN</t>
        </is>
      </c>
      <c r="E1448" t="inlineStr">
        <is>
          <t>BRÄCKE</t>
        </is>
      </c>
      <c r="F1448" t="inlineStr">
        <is>
          <t>SCA</t>
        </is>
      </c>
      <c r="G1448" t="n">
        <v>9.800000000000001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31933-2023</t>
        </is>
      </c>
      <c r="B1449" s="1" t="n">
        <v>45119</v>
      </c>
      <c r="C1449" s="1" t="n">
        <v>45754</v>
      </c>
      <c r="D1449" t="inlineStr">
        <is>
          <t>JÄMTLANDS LÄN</t>
        </is>
      </c>
      <c r="E1449" t="inlineStr">
        <is>
          <t>BRÄCKE</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32228-2023</t>
        </is>
      </c>
      <c r="B1450" s="1" t="n">
        <v>45120</v>
      </c>
      <c r="C1450" s="1" t="n">
        <v>45754</v>
      </c>
      <c r="D1450" t="inlineStr">
        <is>
          <t>JÄMTLANDS LÄN</t>
        </is>
      </c>
      <c r="E1450" t="inlineStr">
        <is>
          <t>BRÄCKE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32229-2023</t>
        </is>
      </c>
      <c r="B1451" s="1" t="n">
        <v>45120</v>
      </c>
      <c r="C1451" s="1" t="n">
        <v>45754</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32479-2023</t>
        </is>
      </c>
      <c r="B1452" s="1" t="n">
        <v>45121</v>
      </c>
      <c r="C1452" s="1" t="n">
        <v>45754</v>
      </c>
      <c r="D1452" t="inlineStr">
        <is>
          <t>JÄMTLANDS LÄN</t>
        </is>
      </c>
      <c r="E1452" t="inlineStr">
        <is>
          <t>BRÄCKE</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32477-2023</t>
        </is>
      </c>
      <c r="B1453" s="1" t="n">
        <v>45120</v>
      </c>
      <c r="C1453" s="1" t="n">
        <v>45754</v>
      </c>
      <c r="D1453" t="inlineStr">
        <is>
          <t>JÄMTLANDS LÄN</t>
        </is>
      </c>
      <c r="E1453" t="inlineStr">
        <is>
          <t>BRÄCKE</t>
        </is>
      </c>
      <c r="F1453" t="inlineStr">
        <is>
          <t>SCA</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32476-2023</t>
        </is>
      </c>
      <c r="B1454" s="1" t="n">
        <v>45120</v>
      </c>
      <c r="C1454" s="1" t="n">
        <v>45754</v>
      </c>
      <c r="D1454" t="inlineStr">
        <is>
          <t>JÄMTLANDS LÄN</t>
        </is>
      </c>
      <c r="E1454" t="inlineStr">
        <is>
          <t>BRÄCKE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32481-2023</t>
        </is>
      </c>
      <c r="B1455" s="1" t="n">
        <v>45120</v>
      </c>
      <c r="C1455" s="1" t="n">
        <v>45754</v>
      </c>
      <c r="D1455" t="inlineStr">
        <is>
          <t>JÄMTLANDS LÄN</t>
        </is>
      </c>
      <c r="E1455" t="inlineStr">
        <is>
          <t>BRÄCKE</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32732-2023</t>
        </is>
      </c>
      <c r="B1456" s="1" t="n">
        <v>45122</v>
      </c>
      <c r="C1456" s="1" t="n">
        <v>45754</v>
      </c>
      <c r="D1456" t="inlineStr">
        <is>
          <t>JÄMTLANDS LÄN</t>
        </is>
      </c>
      <c r="E1456" t="inlineStr">
        <is>
          <t>BRÄCKE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33031-2023</t>
        </is>
      </c>
      <c r="B1457" s="1" t="n">
        <v>45125</v>
      </c>
      <c r="C1457" s="1" t="n">
        <v>45754</v>
      </c>
      <c r="D1457" t="inlineStr">
        <is>
          <t>JÄMTLANDS LÄN</t>
        </is>
      </c>
      <c r="E1457" t="inlineStr">
        <is>
          <t>BRÄCKE</t>
        </is>
      </c>
      <c r="F1457" t="inlineStr">
        <is>
          <t>SCA</t>
        </is>
      </c>
      <c r="G1457" t="n">
        <v>10.7</v>
      </c>
      <c r="H1457" t="n">
        <v>0</v>
      </c>
      <c r="I1457" t="n">
        <v>0</v>
      </c>
      <c r="J1457" t="n">
        <v>0</v>
      </c>
      <c r="K1457" t="n">
        <v>0</v>
      </c>
      <c r="L1457" t="n">
        <v>0</v>
      </c>
      <c r="M1457" t="n">
        <v>0</v>
      </c>
      <c r="N1457" t="n">
        <v>0</v>
      </c>
      <c r="O1457" t="n">
        <v>0</v>
      </c>
      <c r="P1457" t="n">
        <v>0</v>
      </c>
      <c r="Q1457" t="n">
        <v>0</v>
      </c>
      <c r="R1457" s="2" t="inlineStr"/>
    </row>
    <row r="1458" ht="15" customHeight="1">
      <c r="A1458" t="inlineStr">
        <is>
          <t>A 33032-2023</t>
        </is>
      </c>
      <c r="B1458" s="1" t="n">
        <v>45126</v>
      </c>
      <c r="C1458" s="1" t="n">
        <v>45754</v>
      </c>
      <c r="D1458" t="inlineStr">
        <is>
          <t>JÄMTLANDS LÄN</t>
        </is>
      </c>
      <c r="E1458" t="inlineStr">
        <is>
          <t>BRÄCKE</t>
        </is>
      </c>
      <c r="F1458" t="inlineStr">
        <is>
          <t>SCA</t>
        </is>
      </c>
      <c r="G1458" t="n">
        <v>16.7</v>
      </c>
      <c r="H1458" t="n">
        <v>0</v>
      </c>
      <c r="I1458" t="n">
        <v>0</v>
      </c>
      <c r="J1458" t="n">
        <v>0</v>
      </c>
      <c r="K1458" t="n">
        <v>0</v>
      </c>
      <c r="L1458" t="n">
        <v>0</v>
      </c>
      <c r="M1458" t="n">
        <v>0</v>
      </c>
      <c r="N1458" t="n">
        <v>0</v>
      </c>
      <c r="O1458" t="n">
        <v>0</v>
      </c>
      <c r="P1458" t="n">
        <v>0</v>
      </c>
      <c r="Q1458" t="n">
        <v>0</v>
      </c>
      <c r="R1458" s="2" t="inlineStr"/>
    </row>
    <row r="1459" ht="15" customHeight="1">
      <c r="A1459" t="inlineStr">
        <is>
          <t>A 33033-2023</t>
        </is>
      </c>
      <c r="B1459" s="1" t="n">
        <v>45126</v>
      </c>
      <c r="C1459" s="1" t="n">
        <v>45754</v>
      </c>
      <c r="D1459" t="inlineStr">
        <is>
          <t>JÄMTLANDS LÄN</t>
        </is>
      </c>
      <c r="E1459" t="inlineStr">
        <is>
          <t>BRÄCKE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33172-2023</t>
        </is>
      </c>
      <c r="B1460" s="1" t="n">
        <v>45127</v>
      </c>
      <c r="C1460" s="1" t="n">
        <v>45754</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33174-2023</t>
        </is>
      </c>
      <c r="B1461" s="1" t="n">
        <v>45127</v>
      </c>
      <c r="C1461" s="1" t="n">
        <v>45754</v>
      </c>
      <c r="D1461" t="inlineStr">
        <is>
          <t>JÄMTLANDS LÄN</t>
        </is>
      </c>
      <c r="E1461" t="inlineStr">
        <is>
          <t>BRÄCKE</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33585-2023</t>
        </is>
      </c>
      <c r="B1462" s="1" t="n">
        <v>45132</v>
      </c>
      <c r="C1462" s="1" t="n">
        <v>45754</v>
      </c>
      <c r="D1462" t="inlineStr">
        <is>
          <t>JÄMTLANDS LÄN</t>
        </is>
      </c>
      <c r="E1462" t="inlineStr">
        <is>
          <t>BRÄCKE</t>
        </is>
      </c>
      <c r="F1462" t="inlineStr">
        <is>
          <t>SCA</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33584-2023</t>
        </is>
      </c>
      <c r="B1463" s="1" t="n">
        <v>45132</v>
      </c>
      <c r="C1463" s="1" t="n">
        <v>45754</v>
      </c>
      <c r="D1463" t="inlineStr">
        <is>
          <t>JÄMTLANDS LÄN</t>
        </is>
      </c>
      <c r="E1463" t="inlineStr">
        <is>
          <t>BRÄCKE</t>
        </is>
      </c>
      <c r="F1463" t="inlineStr">
        <is>
          <t>SCA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33872-2023</t>
        </is>
      </c>
      <c r="B1464" s="1" t="n">
        <v>45134</v>
      </c>
      <c r="C1464" s="1" t="n">
        <v>45754</v>
      </c>
      <c r="D1464" t="inlineStr">
        <is>
          <t>JÄMTLANDS LÄN</t>
        </is>
      </c>
      <c r="E1464" t="inlineStr">
        <is>
          <t>BRÄCKE</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33869-2023</t>
        </is>
      </c>
      <c r="B1465" s="1" t="n">
        <v>45134</v>
      </c>
      <c r="C1465" s="1" t="n">
        <v>45754</v>
      </c>
      <c r="D1465" t="inlineStr">
        <is>
          <t>JÄMTLANDS LÄN</t>
        </is>
      </c>
      <c r="E1465" t="inlineStr">
        <is>
          <t>BRÄCKE</t>
        </is>
      </c>
      <c r="F1465" t="inlineStr">
        <is>
          <t>SCA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33873-2023</t>
        </is>
      </c>
      <c r="B1466" s="1" t="n">
        <v>45134</v>
      </c>
      <c r="C1466" s="1" t="n">
        <v>45754</v>
      </c>
      <c r="D1466" t="inlineStr">
        <is>
          <t>JÄMTLANDS LÄN</t>
        </is>
      </c>
      <c r="E1466" t="inlineStr">
        <is>
          <t>BRÄCKE</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33870-2023</t>
        </is>
      </c>
      <c r="B1467" s="1" t="n">
        <v>45134</v>
      </c>
      <c r="C1467" s="1" t="n">
        <v>45754</v>
      </c>
      <c r="D1467" t="inlineStr">
        <is>
          <t>JÄMTLANDS LÄN</t>
        </is>
      </c>
      <c r="E1467" t="inlineStr">
        <is>
          <t>BRÄCKE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33878-2023</t>
        </is>
      </c>
      <c r="B1468" s="1" t="n">
        <v>45133</v>
      </c>
      <c r="C1468" s="1" t="n">
        <v>45754</v>
      </c>
      <c r="D1468" t="inlineStr">
        <is>
          <t>JÄMTLANDS LÄN</t>
        </is>
      </c>
      <c r="E1468" t="inlineStr">
        <is>
          <t>BRÄCKE</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33998-2023</t>
        </is>
      </c>
      <c r="B1469" s="1" t="n">
        <v>45134</v>
      </c>
      <c r="C1469" s="1" t="n">
        <v>45754</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34137-2023</t>
        </is>
      </c>
      <c r="B1470" s="1" t="n">
        <v>45135</v>
      </c>
      <c r="C1470" s="1" t="n">
        <v>45754</v>
      </c>
      <c r="D1470" t="inlineStr">
        <is>
          <t>JÄMTLANDS LÄN</t>
        </is>
      </c>
      <c r="E1470" t="inlineStr">
        <is>
          <t>BRÄCKE</t>
        </is>
      </c>
      <c r="F1470" t="inlineStr">
        <is>
          <t>SCA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34136-2023</t>
        </is>
      </c>
      <c r="B1471" s="1" t="n">
        <v>45135</v>
      </c>
      <c r="C1471" s="1" t="n">
        <v>45754</v>
      </c>
      <c r="D1471" t="inlineStr">
        <is>
          <t>JÄMTLANDS LÄN</t>
        </is>
      </c>
      <c r="E1471" t="inlineStr">
        <is>
          <t>BRÄCKE</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34138-2023</t>
        </is>
      </c>
      <c r="B1472" s="1" t="n">
        <v>45135</v>
      </c>
      <c r="C1472" s="1" t="n">
        <v>45754</v>
      </c>
      <c r="D1472" t="inlineStr">
        <is>
          <t>JÄMTLANDS LÄN</t>
        </is>
      </c>
      <c r="E1472" t="inlineStr">
        <is>
          <t>BRÄCKE</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34587-2023</t>
        </is>
      </c>
      <c r="B1473" s="1" t="n">
        <v>45135</v>
      </c>
      <c r="C1473" s="1" t="n">
        <v>45754</v>
      </c>
      <c r="D1473" t="inlineStr">
        <is>
          <t>JÄMTLANDS LÄN</t>
        </is>
      </c>
      <c r="E1473" t="inlineStr">
        <is>
          <t>BRÄCKE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34320-2023</t>
        </is>
      </c>
      <c r="B1474" s="1" t="n">
        <v>45139</v>
      </c>
      <c r="C1474" s="1" t="n">
        <v>45754</v>
      </c>
      <c r="D1474" t="inlineStr">
        <is>
          <t>JÄMTLANDS LÄN</t>
        </is>
      </c>
      <c r="E1474" t="inlineStr">
        <is>
          <t>BRÄCKE</t>
        </is>
      </c>
      <c r="F1474" t="inlineStr">
        <is>
          <t>SCA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34693-2023</t>
        </is>
      </c>
      <c r="B1475" s="1" t="n">
        <v>45140</v>
      </c>
      <c r="C1475" s="1" t="n">
        <v>45754</v>
      </c>
      <c r="D1475" t="inlineStr">
        <is>
          <t>JÄMTLANDS LÄN</t>
        </is>
      </c>
      <c r="E1475" t="inlineStr">
        <is>
          <t>BRÄCKE</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34704-2023</t>
        </is>
      </c>
      <c r="B1476" s="1" t="n">
        <v>45140</v>
      </c>
      <c r="C1476" s="1" t="n">
        <v>45754</v>
      </c>
      <c r="D1476" t="inlineStr">
        <is>
          <t>JÄMTLANDS LÄN</t>
        </is>
      </c>
      <c r="E1476" t="inlineStr">
        <is>
          <t>BRÄCKE</t>
        </is>
      </c>
      <c r="F1476" t="inlineStr">
        <is>
          <t>SCA</t>
        </is>
      </c>
      <c r="G1476" t="n">
        <v>16.8</v>
      </c>
      <c r="H1476" t="n">
        <v>0</v>
      </c>
      <c r="I1476" t="n">
        <v>0</v>
      </c>
      <c r="J1476" t="n">
        <v>0</v>
      </c>
      <c r="K1476" t="n">
        <v>0</v>
      </c>
      <c r="L1476" t="n">
        <v>0</v>
      </c>
      <c r="M1476" t="n">
        <v>0</v>
      </c>
      <c r="N1476" t="n">
        <v>0</v>
      </c>
      <c r="O1476" t="n">
        <v>0</v>
      </c>
      <c r="P1476" t="n">
        <v>0</v>
      </c>
      <c r="Q1476" t="n">
        <v>0</v>
      </c>
      <c r="R1476" s="2" t="inlineStr"/>
    </row>
    <row r="1477" ht="15" customHeight="1">
      <c r="A1477" t="inlineStr">
        <is>
          <t>A 34947-2023</t>
        </is>
      </c>
      <c r="B1477" s="1" t="n">
        <v>45142</v>
      </c>
      <c r="C1477" s="1" t="n">
        <v>45754</v>
      </c>
      <c r="D1477" t="inlineStr">
        <is>
          <t>JÄMTLANDS LÄN</t>
        </is>
      </c>
      <c r="E1477" t="inlineStr">
        <is>
          <t>BRÄCKE</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35013-2023</t>
        </is>
      </c>
      <c r="B1478" s="1" t="n">
        <v>45143</v>
      </c>
      <c r="C1478" s="1" t="n">
        <v>45754</v>
      </c>
      <c r="D1478" t="inlineStr">
        <is>
          <t>JÄMTLANDS LÄN</t>
        </is>
      </c>
      <c r="E1478" t="inlineStr">
        <is>
          <t>BRÄCKE</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35017-2023</t>
        </is>
      </c>
      <c r="B1479" s="1" t="n">
        <v>45142</v>
      </c>
      <c r="C1479" s="1" t="n">
        <v>45754</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35014-2023</t>
        </is>
      </c>
      <c r="B1480" s="1" t="n">
        <v>45143</v>
      </c>
      <c r="C1480" s="1" t="n">
        <v>45754</v>
      </c>
      <c r="D1480" t="inlineStr">
        <is>
          <t>JÄMTLANDS LÄN</t>
        </is>
      </c>
      <c r="E1480" t="inlineStr">
        <is>
          <t>BRÄCKE</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35015-2023</t>
        </is>
      </c>
      <c r="B1481" s="1" t="n">
        <v>45143</v>
      </c>
      <c r="C1481" s="1" t="n">
        <v>45754</v>
      </c>
      <c r="D1481" t="inlineStr">
        <is>
          <t>JÄMTLANDS LÄN</t>
        </is>
      </c>
      <c r="E1481" t="inlineStr">
        <is>
          <t>BRÄCKE</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35255-2023</t>
        </is>
      </c>
      <c r="B1482" s="1" t="n">
        <v>45145</v>
      </c>
      <c r="C1482" s="1" t="n">
        <v>45754</v>
      </c>
      <c r="D1482" t="inlineStr">
        <is>
          <t>JÄMTLANDS LÄN</t>
        </is>
      </c>
      <c r="E1482" t="inlineStr">
        <is>
          <t>BRÄCKE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35256-2023</t>
        </is>
      </c>
      <c r="B1483" s="1" t="n">
        <v>45145</v>
      </c>
      <c r="C1483" s="1" t="n">
        <v>45754</v>
      </c>
      <c r="D1483" t="inlineStr">
        <is>
          <t>JÄMTLANDS LÄN</t>
        </is>
      </c>
      <c r="E1483" t="inlineStr">
        <is>
          <t>BRÄCKE</t>
        </is>
      </c>
      <c r="F1483" t="inlineStr">
        <is>
          <t>SCA</t>
        </is>
      </c>
      <c r="G1483" t="n">
        <v>34.5</v>
      </c>
      <c r="H1483" t="n">
        <v>0</v>
      </c>
      <c r="I1483" t="n">
        <v>0</v>
      </c>
      <c r="J1483" t="n">
        <v>0</v>
      </c>
      <c r="K1483" t="n">
        <v>0</v>
      </c>
      <c r="L1483" t="n">
        <v>0</v>
      </c>
      <c r="M1483" t="n">
        <v>0</v>
      </c>
      <c r="N1483" t="n">
        <v>0</v>
      </c>
      <c r="O1483" t="n">
        <v>0</v>
      </c>
      <c r="P1483" t="n">
        <v>0</v>
      </c>
      <c r="Q1483" t="n">
        <v>0</v>
      </c>
      <c r="R1483" s="2" t="inlineStr"/>
    </row>
    <row r="1484" ht="15" customHeight="1">
      <c r="A1484" t="inlineStr">
        <is>
          <t>A 35503-2023</t>
        </is>
      </c>
      <c r="B1484" s="1" t="n">
        <v>45147</v>
      </c>
      <c r="C1484" s="1" t="n">
        <v>45754</v>
      </c>
      <c r="D1484" t="inlineStr">
        <is>
          <t>JÄMTLANDS LÄN</t>
        </is>
      </c>
      <c r="E1484" t="inlineStr">
        <is>
          <t>BRÄCKE</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35506-2023</t>
        </is>
      </c>
      <c r="B1485" s="1" t="n">
        <v>45146</v>
      </c>
      <c r="C1485" s="1" t="n">
        <v>45754</v>
      </c>
      <c r="D1485" t="inlineStr">
        <is>
          <t>JÄMTLANDS LÄN</t>
        </is>
      </c>
      <c r="E1485" t="inlineStr">
        <is>
          <t>BRÄCKE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35424-2023</t>
        </is>
      </c>
      <c r="B1486" s="1" t="n">
        <v>45146</v>
      </c>
      <c r="C1486" s="1" t="n">
        <v>45754</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35742-2023</t>
        </is>
      </c>
      <c r="B1487" s="1" t="n">
        <v>45147</v>
      </c>
      <c r="C1487" s="1" t="n">
        <v>45754</v>
      </c>
      <c r="D1487" t="inlineStr">
        <is>
          <t>JÄMTLANDS LÄN</t>
        </is>
      </c>
      <c r="E1487" t="inlineStr">
        <is>
          <t>BRÄCKE</t>
        </is>
      </c>
      <c r="F1487" t="inlineStr">
        <is>
          <t>SCA</t>
        </is>
      </c>
      <c r="G1487" t="n">
        <v>26.8</v>
      </c>
      <c r="H1487" t="n">
        <v>0</v>
      </c>
      <c r="I1487" t="n">
        <v>0</v>
      </c>
      <c r="J1487" t="n">
        <v>0</v>
      </c>
      <c r="K1487" t="n">
        <v>0</v>
      </c>
      <c r="L1487" t="n">
        <v>0</v>
      </c>
      <c r="M1487" t="n">
        <v>0</v>
      </c>
      <c r="N1487" t="n">
        <v>0</v>
      </c>
      <c r="O1487" t="n">
        <v>0</v>
      </c>
      <c r="P1487" t="n">
        <v>0</v>
      </c>
      <c r="Q1487" t="n">
        <v>0</v>
      </c>
      <c r="R1487" s="2" t="inlineStr"/>
    </row>
    <row r="1488" ht="15" customHeight="1">
      <c r="A1488" t="inlineStr">
        <is>
          <t>A 35766-2023</t>
        </is>
      </c>
      <c r="B1488" s="1" t="n">
        <v>45147</v>
      </c>
      <c r="C1488" s="1" t="n">
        <v>45754</v>
      </c>
      <c r="D1488" t="inlineStr">
        <is>
          <t>JÄMTLANDS LÄN</t>
        </is>
      </c>
      <c r="E1488" t="inlineStr">
        <is>
          <t>BRÄCKE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35862-2023</t>
        </is>
      </c>
      <c r="B1489" s="1" t="n">
        <v>45147</v>
      </c>
      <c r="C1489" s="1" t="n">
        <v>45754</v>
      </c>
      <c r="D1489" t="inlineStr">
        <is>
          <t>JÄMTLANDS LÄN</t>
        </is>
      </c>
      <c r="E1489" t="inlineStr">
        <is>
          <t>BRÄCKE</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35741-2023</t>
        </is>
      </c>
      <c r="B1490" s="1" t="n">
        <v>45147</v>
      </c>
      <c r="C1490" s="1" t="n">
        <v>45754</v>
      </c>
      <c r="D1490" t="inlineStr">
        <is>
          <t>JÄMTLANDS LÄN</t>
        </is>
      </c>
      <c r="E1490" t="inlineStr">
        <is>
          <t>BRÄCKE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35896-2023</t>
        </is>
      </c>
      <c r="B1491" s="1" t="n">
        <v>45148</v>
      </c>
      <c r="C1491" s="1" t="n">
        <v>45754</v>
      </c>
      <c r="D1491" t="inlineStr">
        <is>
          <t>JÄMTLANDS LÄN</t>
        </is>
      </c>
      <c r="E1491" t="inlineStr">
        <is>
          <t>BRÄCKE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35880-2023</t>
        </is>
      </c>
      <c r="B1492" s="1" t="n">
        <v>45148</v>
      </c>
      <c r="C1492" s="1" t="n">
        <v>45754</v>
      </c>
      <c r="D1492" t="inlineStr">
        <is>
          <t>JÄMTLANDS LÄN</t>
        </is>
      </c>
      <c r="E1492" t="inlineStr">
        <is>
          <t>BRÄCKE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35972-2023</t>
        </is>
      </c>
      <c r="B1493" s="1" t="n">
        <v>45148</v>
      </c>
      <c r="C1493" s="1" t="n">
        <v>45754</v>
      </c>
      <c r="D1493" t="inlineStr">
        <is>
          <t>JÄMTLANDS LÄN</t>
        </is>
      </c>
      <c r="E1493" t="inlineStr">
        <is>
          <t>BRÄCKE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36205-2023</t>
        </is>
      </c>
      <c r="B1494" s="1" t="n">
        <v>45149</v>
      </c>
      <c r="C1494" s="1" t="n">
        <v>45754</v>
      </c>
      <c r="D1494" t="inlineStr">
        <is>
          <t>JÄMTLANDS LÄN</t>
        </is>
      </c>
      <c r="E1494" t="inlineStr">
        <is>
          <t>BRÄCKE</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36209-2023</t>
        </is>
      </c>
      <c r="B1495" s="1" t="n">
        <v>45149</v>
      </c>
      <c r="C1495" s="1" t="n">
        <v>45754</v>
      </c>
      <c r="D1495" t="inlineStr">
        <is>
          <t>JÄMTLANDS LÄN</t>
        </is>
      </c>
      <c r="E1495" t="inlineStr">
        <is>
          <t>BRÄCKE</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36497-2023</t>
        </is>
      </c>
      <c r="B1496" s="1" t="n">
        <v>45152</v>
      </c>
      <c r="C1496" s="1" t="n">
        <v>45754</v>
      </c>
      <c r="D1496" t="inlineStr">
        <is>
          <t>JÄMTLANDS LÄN</t>
        </is>
      </c>
      <c r="E1496" t="inlineStr">
        <is>
          <t>BRÄCKE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36753-2023</t>
        </is>
      </c>
      <c r="B1497" s="1" t="n">
        <v>45153</v>
      </c>
      <c r="C1497" s="1" t="n">
        <v>45754</v>
      </c>
      <c r="D1497" t="inlineStr">
        <is>
          <t>JÄMTLANDS LÄN</t>
        </is>
      </c>
      <c r="E1497" t="inlineStr">
        <is>
          <t>BRÄCKE</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36988-2023</t>
        </is>
      </c>
      <c r="B1498" s="1" t="n">
        <v>45154</v>
      </c>
      <c r="C1498" s="1" t="n">
        <v>45754</v>
      </c>
      <c r="D1498" t="inlineStr">
        <is>
          <t>JÄMTLANDS LÄN</t>
        </is>
      </c>
      <c r="E1498" t="inlineStr">
        <is>
          <t>BRÄCKE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37265-2023</t>
        </is>
      </c>
      <c r="B1499" s="1" t="n">
        <v>45156</v>
      </c>
      <c r="C1499" s="1" t="n">
        <v>45754</v>
      </c>
      <c r="D1499" t="inlineStr">
        <is>
          <t>JÄMTLANDS LÄN</t>
        </is>
      </c>
      <c r="E1499" t="inlineStr">
        <is>
          <t>BRÄCKE</t>
        </is>
      </c>
      <c r="F1499" t="inlineStr">
        <is>
          <t>SCA</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37264-2023</t>
        </is>
      </c>
      <c r="B1500" s="1" t="n">
        <v>45155</v>
      </c>
      <c r="C1500" s="1" t="n">
        <v>45754</v>
      </c>
      <c r="D1500" t="inlineStr">
        <is>
          <t>JÄMTLANDS LÄN</t>
        </is>
      </c>
      <c r="E1500" t="inlineStr">
        <is>
          <t>BRÄCKE</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37268-2023</t>
        </is>
      </c>
      <c r="B1501" s="1" t="n">
        <v>45156</v>
      </c>
      <c r="C1501" s="1" t="n">
        <v>45754</v>
      </c>
      <c r="D1501" t="inlineStr">
        <is>
          <t>JÄMTLANDS LÄN</t>
        </is>
      </c>
      <c r="E1501" t="inlineStr">
        <is>
          <t>BRÄCKE</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37238-2023</t>
        </is>
      </c>
      <c r="B1502" s="1" t="n">
        <v>45156</v>
      </c>
      <c r="C1502" s="1" t="n">
        <v>45754</v>
      </c>
      <c r="D1502" t="inlineStr">
        <is>
          <t>JÄMTLANDS LÄN</t>
        </is>
      </c>
      <c r="E1502" t="inlineStr">
        <is>
          <t>BRÄCKE</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37239-2023</t>
        </is>
      </c>
      <c r="B1503" s="1" t="n">
        <v>45156</v>
      </c>
      <c r="C1503" s="1" t="n">
        <v>45754</v>
      </c>
      <c r="D1503" t="inlineStr">
        <is>
          <t>JÄMTLANDS LÄN</t>
        </is>
      </c>
      <c r="E1503" t="inlineStr">
        <is>
          <t>BRÄCKE</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37263-2023</t>
        </is>
      </c>
      <c r="B1504" s="1" t="n">
        <v>45156</v>
      </c>
      <c r="C1504" s="1" t="n">
        <v>45754</v>
      </c>
      <c r="D1504" t="inlineStr">
        <is>
          <t>JÄMTLANDS LÄN</t>
        </is>
      </c>
      <c r="E1504" t="inlineStr">
        <is>
          <t>BRÄCKE</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37267-2023</t>
        </is>
      </c>
      <c r="B1505" s="1" t="n">
        <v>45156</v>
      </c>
      <c r="C1505" s="1" t="n">
        <v>45754</v>
      </c>
      <c r="D1505" t="inlineStr">
        <is>
          <t>JÄMTLANDS LÄN</t>
        </is>
      </c>
      <c r="E1505" t="inlineStr">
        <is>
          <t>BRÄCKE</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37492-2023</t>
        </is>
      </c>
      <c r="B1506" s="1" t="n">
        <v>45156</v>
      </c>
      <c r="C1506" s="1" t="n">
        <v>45754</v>
      </c>
      <c r="D1506" t="inlineStr">
        <is>
          <t>JÄMTLANDS LÄN</t>
        </is>
      </c>
      <c r="E1506" t="inlineStr">
        <is>
          <t>BRÄCKE</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37472-2023</t>
        </is>
      </c>
      <c r="B1507" s="1" t="n">
        <v>45157</v>
      </c>
      <c r="C1507" s="1" t="n">
        <v>45754</v>
      </c>
      <c r="D1507" t="inlineStr">
        <is>
          <t>JÄMTLANDS LÄN</t>
        </is>
      </c>
      <c r="E1507" t="inlineStr">
        <is>
          <t>BRÄCKE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37504-2023</t>
        </is>
      </c>
      <c r="B1508" s="1" t="n">
        <v>45157</v>
      </c>
      <c r="C1508" s="1" t="n">
        <v>45754</v>
      </c>
      <c r="D1508" t="inlineStr">
        <is>
          <t>JÄMTLANDS LÄN</t>
        </is>
      </c>
      <c r="E1508" t="inlineStr">
        <is>
          <t>BRÄCKE</t>
        </is>
      </c>
      <c r="F1508" t="inlineStr">
        <is>
          <t>Sveaskog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37806-2023</t>
        </is>
      </c>
      <c r="B1509" s="1" t="n">
        <v>45159</v>
      </c>
      <c r="C1509" s="1" t="n">
        <v>45754</v>
      </c>
      <c r="D1509" t="inlineStr">
        <is>
          <t>JÄMTLANDS LÄN</t>
        </is>
      </c>
      <c r="E1509" t="inlineStr">
        <is>
          <t>BRÄCKE</t>
        </is>
      </c>
      <c r="F1509" t="inlineStr">
        <is>
          <t>SCA</t>
        </is>
      </c>
      <c r="G1509" t="n">
        <v>19.2</v>
      </c>
      <c r="H1509" t="n">
        <v>0</v>
      </c>
      <c r="I1509" t="n">
        <v>0</v>
      </c>
      <c r="J1509" t="n">
        <v>0</v>
      </c>
      <c r="K1509" t="n">
        <v>0</v>
      </c>
      <c r="L1509" t="n">
        <v>0</v>
      </c>
      <c r="M1509" t="n">
        <v>0</v>
      </c>
      <c r="N1509" t="n">
        <v>0</v>
      </c>
      <c r="O1509" t="n">
        <v>0</v>
      </c>
      <c r="P1509" t="n">
        <v>0</v>
      </c>
      <c r="Q1509" t="n">
        <v>0</v>
      </c>
      <c r="R1509" s="2" t="inlineStr"/>
    </row>
    <row r="1510" ht="15" customHeight="1">
      <c r="A1510" t="inlineStr">
        <is>
          <t>A 38087-2023</t>
        </is>
      </c>
      <c r="B1510" s="1" t="n">
        <v>45160</v>
      </c>
      <c r="C1510" s="1" t="n">
        <v>45754</v>
      </c>
      <c r="D1510" t="inlineStr">
        <is>
          <t>JÄMTLANDS LÄN</t>
        </is>
      </c>
      <c r="E1510" t="inlineStr">
        <is>
          <t>BRÄCKE</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38091-2023</t>
        </is>
      </c>
      <c r="B1511" s="1" t="n">
        <v>45160</v>
      </c>
      <c r="C1511" s="1" t="n">
        <v>45754</v>
      </c>
      <c r="D1511" t="inlineStr">
        <is>
          <t>JÄMTLANDS LÄN</t>
        </is>
      </c>
      <c r="E1511" t="inlineStr">
        <is>
          <t>BRÄCKE</t>
        </is>
      </c>
      <c r="F1511" t="inlineStr">
        <is>
          <t>SCA</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38359-2023</t>
        </is>
      </c>
      <c r="B1512" s="1" t="n">
        <v>45162</v>
      </c>
      <c r="C1512" s="1" t="n">
        <v>45754</v>
      </c>
      <c r="D1512" t="inlineStr">
        <is>
          <t>JÄMTLANDS LÄN</t>
        </is>
      </c>
      <c r="E1512" t="inlineStr">
        <is>
          <t>BRÄCKE</t>
        </is>
      </c>
      <c r="F1512" t="inlineStr">
        <is>
          <t>Naturvårdsverket</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38533-2023</t>
        </is>
      </c>
      <c r="B1513" s="1" t="n">
        <v>45162</v>
      </c>
      <c r="C1513" s="1" t="n">
        <v>45754</v>
      </c>
      <c r="D1513" t="inlineStr">
        <is>
          <t>JÄMTLANDS LÄN</t>
        </is>
      </c>
      <c r="E1513" t="inlineStr">
        <is>
          <t>BRÄCKE</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38856-2023</t>
        </is>
      </c>
      <c r="B1514" s="1" t="n">
        <v>45162</v>
      </c>
      <c r="C1514" s="1" t="n">
        <v>45754</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39004-2023</t>
        </is>
      </c>
      <c r="B1515" s="1" t="n">
        <v>45162</v>
      </c>
      <c r="C1515" s="1" t="n">
        <v>45754</v>
      </c>
      <c r="D1515" t="inlineStr">
        <is>
          <t>JÄMTLANDS LÄN</t>
        </is>
      </c>
      <c r="E1515" t="inlineStr">
        <is>
          <t>BRÄCKE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38841-2023</t>
        </is>
      </c>
      <c r="B1516" s="1" t="n">
        <v>45162</v>
      </c>
      <c r="C1516" s="1" t="n">
        <v>45754</v>
      </c>
      <c r="D1516" t="inlineStr">
        <is>
          <t>JÄMTLANDS LÄN</t>
        </is>
      </c>
      <c r="E1516" t="inlineStr">
        <is>
          <t>BRÄCKE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39007-2023</t>
        </is>
      </c>
      <c r="B1517" s="1" t="n">
        <v>45162</v>
      </c>
      <c r="C1517" s="1" t="n">
        <v>45754</v>
      </c>
      <c r="D1517" t="inlineStr">
        <is>
          <t>JÄMTLANDS LÄN</t>
        </is>
      </c>
      <c r="E1517" t="inlineStr">
        <is>
          <t>BRÄCKE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38996-2023</t>
        </is>
      </c>
      <c r="B1518" s="1" t="n">
        <v>45162</v>
      </c>
      <c r="C1518" s="1" t="n">
        <v>45754</v>
      </c>
      <c r="D1518" t="inlineStr">
        <is>
          <t>JÄMTLANDS LÄN</t>
        </is>
      </c>
      <c r="E1518" t="inlineStr">
        <is>
          <t>BRÄCKE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38688-2023</t>
        </is>
      </c>
      <c r="B1519" s="1" t="n">
        <v>45163</v>
      </c>
      <c r="C1519" s="1" t="n">
        <v>45754</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38692-2023</t>
        </is>
      </c>
      <c r="B1520" s="1" t="n">
        <v>45163</v>
      </c>
      <c r="C1520" s="1" t="n">
        <v>45754</v>
      </c>
      <c r="D1520" t="inlineStr">
        <is>
          <t>JÄMTLANDS LÄN</t>
        </is>
      </c>
      <c r="E1520" t="inlineStr">
        <is>
          <t>BRÄCKE</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38675-2023</t>
        </is>
      </c>
      <c r="B1521" s="1" t="n">
        <v>45162</v>
      </c>
      <c r="C1521" s="1" t="n">
        <v>45754</v>
      </c>
      <c r="D1521" t="inlineStr">
        <is>
          <t>JÄMTLANDS LÄN</t>
        </is>
      </c>
      <c r="E1521" t="inlineStr">
        <is>
          <t>BRÄCKE</t>
        </is>
      </c>
      <c r="F1521" t="inlineStr">
        <is>
          <t>SCA</t>
        </is>
      </c>
      <c r="G1521" t="n">
        <v>12.6</v>
      </c>
      <c r="H1521" t="n">
        <v>0</v>
      </c>
      <c r="I1521" t="n">
        <v>0</v>
      </c>
      <c r="J1521" t="n">
        <v>0</v>
      </c>
      <c r="K1521" t="n">
        <v>0</v>
      </c>
      <c r="L1521" t="n">
        <v>0</v>
      </c>
      <c r="M1521" t="n">
        <v>0</v>
      </c>
      <c r="N1521" t="n">
        <v>0</v>
      </c>
      <c r="O1521" t="n">
        <v>0</v>
      </c>
      <c r="P1521" t="n">
        <v>0</v>
      </c>
      <c r="Q1521" t="n">
        <v>0</v>
      </c>
      <c r="R1521" s="2" t="inlineStr"/>
    </row>
    <row r="1522" ht="15" customHeight="1">
      <c r="A1522" t="inlineStr">
        <is>
          <t>A 38691-2023</t>
        </is>
      </c>
      <c r="B1522" s="1" t="n">
        <v>45163</v>
      </c>
      <c r="C1522" s="1" t="n">
        <v>45754</v>
      </c>
      <c r="D1522" t="inlineStr">
        <is>
          <t>JÄMTLANDS LÄN</t>
        </is>
      </c>
      <c r="E1522" t="inlineStr">
        <is>
          <t>BRÄCKE</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38693-2023</t>
        </is>
      </c>
      <c r="B1523" s="1" t="n">
        <v>45162</v>
      </c>
      <c r="C1523" s="1" t="n">
        <v>45754</v>
      </c>
      <c r="D1523" t="inlineStr">
        <is>
          <t>JÄMTLANDS LÄN</t>
        </is>
      </c>
      <c r="E1523" t="inlineStr">
        <is>
          <t>BRÄCKE</t>
        </is>
      </c>
      <c r="F1523" t="inlineStr">
        <is>
          <t>SCA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38689-2023</t>
        </is>
      </c>
      <c r="B1524" s="1" t="n">
        <v>45162</v>
      </c>
      <c r="C1524" s="1" t="n">
        <v>45754</v>
      </c>
      <c r="D1524" t="inlineStr">
        <is>
          <t>JÄMTLANDS LÄN</t>
        </is>
      </c>
      <c r="E1524" t="inlineStr">
        <is>
          <t>BRÄCKE</t>
        </is>
      </c>
      <c r="F1524" t="inlineStr">
        <is>
          <t>SCA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38690-2023</t>
        </is>
      </c>
      <c r="B1525" s="1" t="n">
        <v>45163</v>
      </c>
      <c r="C1525" s="1" t="n">
        <v>45754</v>
      </c>
      <c r="D1525" t="inlineStr">
        <is>
          <t>JÄMTLANDS LÄN</t>
        </is>
      </c>
      <c r="E1525" t="inlineStr">
        <is>
          <t>BRÄCKE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39439-2023</t>
        </is>
      </c>
      <c r="B1526" s="1" t="n">
        <v>45163</v>
      </c>
      <c r="C1526" s="1" t="n">
        <v>45754</v>
      </c>
      <c r="D1526" t="inlineStr">
        <is>
          <t>JÄMTLANDS LÄN</t>
        </is>
      </c>
      <c r="E1526" t="inlineStr">
        <is>
          <t>BRÄCKE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39509-2023</t>
        </is>
      </c>
      <c r="B1527" s="1" t="n">
        <v>45167</v>
      </c>
      <c r="C1527" s="1" t="n">
        <v>45754</v>
      </c>
      <c r="D1527" t="inlineStr">
        <is>
          <t>JÄMTLANDS LÄN</t>
        </is>
      </c>
      <c r="E1527" t="inlineStr">
        <is>
          <t>BRÄCKE</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40096-2023</t>
        </is>
      </c>
      <c r="B1528" s="1" t="n">
        <v>45168</v>
      </c>
      <c r="C1528" s="1" t="n">
        <v>45754</v>
      </c>
      <c r="D1528" t="inlineStr">
        <is>
          <t>JÄMTLANDS LÄN</t>
        </is>
      </c>
      <c r="E1528" t="inlineStr">
        <is>
          <t>BRÄCKE</t>
        </is>
      </c>
      <c r="F1528" t="inlineStr">
        <is>
          <t>SCA</t>
        </is>
      </c>
      <c r="G1528" t="n">
        <v>28.9</v>
      </c>
      <c r="H1528" t="n">
        <v>0</v>
      </c>
      <c r="I1528" t="n">
        <v>0</v>
      </c>
      <c r="J1528" t="n">
        <v>0</v>
      </c>
      <c r="K1528" t="n">
        <v>0</v>
      </c>
      <c r="L1528" t="n">
        <v>0</v>
      </c>
      <c r="M1528" t="n">
        <v>0</v>
      </c>
      <c r="N1528" t="n">
        <v>0</v>
      </c>
      <c r="O1528" t="n">
        <v>0</v>
      </c>
      <c r="P1528" t="n">
        <v>0</v>
      </c>
      <c r="Q1528" t="n">
        <v>0</v>
      </c>
      <c r="R1528" s="2" t="inlineStr"/>
    </row>
    <row r="1529" ht="15" customHeight="1">
      <c r="A1529" t="inlineStr">
        <is>
          <t>A 40114-2023</t>
        </is>
      </c>
      <c r="B1529" s="1" t="n">
        <v>45169</v>
      </c>
      <c r="C1529" s="1" t="n">
        <v>45754</v>
      </c>
      <c r="D1529" t="inlineStr">
        <is>
          <t>JÄMTLANDS LÄN</t>
        </is>
      </c>
      <c r="E1529" t="inlineStr">
        <is>
          <t>BRÄCKE</t>
        </is>
      </c>
      <c r="F1529" t="inlineStr">
        <is>
          <t>Naturvårdsverket</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40108-2023</t>
        </is>
      </c>
      <c r="B1530" s="1" t="n">
        <v>45169</v>
      </c>
      <c r="C1530" s="1" t="n">
        <v>45754</v>
      </c>
      <c r="D1530" t="inlineStr">
        <is>
          <t>JÄMTLANDS LÄN</t>
        </is>
      </c>
      <c r="E1530" t="inlineStr">
        <is>
          <t>BRÄCKE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40094-2023</t>
        </is>
      </c>
      <c r="B1531" s="1" t="n">
        <v>45168</v>
      </c>
      <c r="C1531" s="1" t="n">
        <v>45754</v>
      </c>
      <c r="D1531" t="inlineStr">
        <is>
          <t>JÄMTLANDS LÄN</t>
        </is>
      </c>
      <c r="E1531" t="inlineStr">
        <is>
          <t>BRÄCKE</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39907-2023</t>
        </is>
      </c>
      <c r="B1532" s="1" t="n">
        <v>45168</v>
      </c>
      <c r="C1532" s="1" t="n">
        <v>45754</v>
      </c>
      <c r="D1532" t="inlineStr">
        <is>
          <t>JÄMTLANDS LÄN</t>
        </is>
      </c>
      <c r="E1532" t="inlineStr">
        <is>
          <t>BRÄCKE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40389-2023</t>
        </is>
      </c>
      <c r="B1533" s="1" t="n">
        <v>45170</v>
      </c>
      <c r="C1533" s="1" t="n">
        <v>45754</v>
      </c>
      <c r="D1533" t="inlineStr">
        <is>
          <t>JÄMTLANDS LÄN</t>
        </is>
      </c>
      <c r="E1533" t="inlineStr">
        <is>
          <t>BRÄCKE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40394-2023</t>
        </is>
      </c>
      <c r="B1534" s="1" t="n">
        <v>45170</v>
      </c>
      <c r="C1534" s="1" t="n">
        <v>45754</v>
      </c>
      <c r="D1534" t="inlineStr">
        <is>
          <t>JÄMTLANDS LÄN</t>
        </is>
      </c>
      <c r="E1534" t="inlineStr">
        <is>
          <t>BRÄCKE</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40410-2023</t>
        </is>
      </c>
      <c r="B1535" s="1" t="n">
        <v>45169</v>
      </c>
      <c r="C1535" s="1" t="n">
        <v>45754</v>
      </c>
      <c r="D1535" t="inlineStr">
        <is>
          <t>JÄMTLANDS LÄN</t>
        </is>
      </c>
      <c r="E1535" t="inlineStr">
        <is>
          <t>BRÄCKE</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40430-2023</t>
        </is>
      </c>
      <c r="B1536" s="1" t="n">
        <v>45169</v>
      </c>
      <c r="C1536" s="1" t="n">
        <v>45754</v>
      </c>
      <c r="D1536" t="inlineStr">
        <is>
          <t>JÄMTLANDS LÄN</t>
        </is>
      </c>
      <c r="E1536" t="inlineStr">
        <is>
          <t>BRÄCKE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40387-2023</t>
        </is>
      </c>
      <c r="B1537" s="1" t="n">
        <v>45170</v>
      </c>
      <c r="C1537" s="1" t="n">
        <v>45754</v>
      </c>
      <c r="D1537" t="inlineStr">
        <is>
          <t>JÄMTLANDS LÄN</t>
        </is>
      </c>
      <c r="E1537" t="inlineStr">
        <is>
          <t>BRÄCKE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40405-2023</t>
        </is>
      </c>
      <c r="B1538" s="1" t="n">
        <v>45170</v>
      </c>
      <c r="C1538" s="1" t="n">
        <v>45754</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40761-2023</t>
        </is>
      </c>
      <c r="B1539" s="1" t="n">
        <v>45171</v>
      </c>
      <c r="C1539" s="1" t="n">
        <v>45754</v>
      </c>
      <c r="D1539" t="inlineStr">
        <is>
          <t>JÄMTLANDS LÄN</t>
        </is>
      </c>
      <c r="E1539" t="inlineStr">
        <is>
          <t>BRÄCKE</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40765-2023</t>
        </is>
      </c>
      <c r="B1540" s="1" t="n">
        <v>45170</v>
      </c>
      <c r="C1540" s="1" t="n">
        <v>45754</v>
      </c>
      <c r="D1540" t="inlineStr">
        <is>
          <t>JÄMTLANDS LÄN</t>
        </is>
      </c>
      <c r="E1540" t="inlineStr">
        <is>
          <t>BRÄCKE</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41175-2023</t>
        </is>
      </c>
      <c r="B1541" s="1" t="n">
        <v>45170</v>
      </c>
      <c r="C1541" s="1" t="n">
        <v>45754</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40775-2023</t>
        </is>
      </c>
      <c r="B1542" s="1" t="n">
        <v>45171</v>
      </c>
      <c r="C1542" s="1" t="n">
        <v>45754</v>
      </c>
      <c r="D1542" t="inlineStr">
        <is>
          <t>JÄMTLANDS LÄN</t>
        </is>
      </c>
      <c r="E1542" t="inlineStr">
        <is>
          <t>BRÄCKE</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41183-2023</t>
        </is>
      </c>
      <c r="B1543" s="1" t="n">
        <v>45170</v>
      </c>
      <c r="C1543" s="1" t="n">
        <v>45754</v>
      </c>
      <c r="D1543" t="inlineStr">
        <is>
          <t>JÄMTLANDS LÄN</t>
        </is>
      </c>
      <c r="E1543" t="inlineStr">
        <is>
          <t>BRÄCKE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41188-2023</t>
        </is>
      </c>
      <c r="B1544" s="1" t="n">
        <v>45170</v>
      </c>
      <c r="C1544" s="1" t="n">
        <v>45754</v>
      </c>
      <c r="D1544" t="inlineStr">
        <is>
          <t>JÄMTLANDS LÄN</t>
        </is>
      </c>
      <c r="E1544" t="inlineStr">
        <is>
          <t>BRÄCKE</t>
        </is>
      </c>
      <c r="F1544" t="inlineStr">
        <is>
          <t>Kommuner</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40844-2023</t>
        </is>
      </c>
      <c r="B1545" s="1" t="n">
        <v>45173</v>
      </c>
      <c r="C1545" s="1" t="n">
        <v>45754</v>
      </c>
      <c r="D1545" t="inlineStr">
        <is>
          <t>JÄMTLANDS LÄN</t>
        </is>
      </c>
      <c r="E1545" t="inlineStr">
        <is>
          <t>BRÄCKE</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41148-2023</t>
        </is>
      </c>
      <c r="B1546" s="1" t="n">
        <v>45173</v>
      </c>
      <c r="C1546" s="1" t="n">
        <v>45754</v>
      </c>
      <c r="D1546" t="inlineStr">
        <is>
          <t>JÄMTLANDS LÄN</t>
        </is>
      </c>
      <c r="E1546" t="inlineStr">
        <is>
          <t>BRÄCKE</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41401-2023</t>
        </is>
      </c>
      <c r="B1547" s="1" t="n">
        <v>45174</v>
      </c>
      <c r="C1547" s="1" t="n">
        <v>45754</v>
      </c>
      <c r="D1547" t="inlineStr">
        <is>
          <t>JÄMTLANDS LÄN</t>
        </is>
      </c>
      <c r="E1547" t="inlineStr">
        <is>
          <t>BRÄCKE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41412-2023</t>
        </is>
      </c>
      <c r="B1548" s="1" t="n">
        <v>45175</v>
      </c>
      <c r="C1548" s="1" t="n">
        <v>45754</v>
      </c>
      <c r="D1548" t="inlineStr">
        <is>
          <t>JÄMTLANDS LÄN</t>
        </is>
      </c>
      <c r="E1548" t="inlineStr">
        <is>
          <t>BRÄCKE</t>
        </is>
      </c>
      <c r="F1548" t="inlineStr">
        <is>
          <t>SCA</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41647-2023</t>
        </is>
      </c>
      <c r="B1549" s="1" t="n">
        <v>45176</v>
      </c>
      <c r="C1549" s="1" t="n">
        <v>45754</v>
      </c>
      <c r="D1549" t="inlineStr">
        <is>
          <t>JÄMTLANDS LÄN</t>
        </is>
      </c>
      <c r="E1549" t="inlineStr">
        <is>
          <t>BRÄCKE</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41663-2023</t>
        </is>
      </c>
      <c r="B1550" s="1" t="n">
        <v>45176</v>
      </c>
      <c r="C1550" s="1" t="n">
        <v>45754</v>
      </c>
      <c r="D1550" t="inlineStr">
        <is>
          <t>JÄMTLANDS LÄN</t>
        </is>
      </c>
      <c r="E1550" t="inlineStr">
        <is>
          <t>BRÄCKE</t>
        </is>
      </c>
      <c r="F1550" t="inlineStr">
        <is>
          <t>SCA</t>
        </is>
      </c>
      <c r="G1550" t="n">
        <v>10.6</v>
      </c>
      <c r="H1550" t="n">
        <v>0</v>
      </c>
      <c r="I1550" t="n">
        <v>0</v>
      </c>
      <c r="J1550" t="n">
        <v>0</v>
      </c>
      <c r="K1550" t="n">
        <v>0</v>
      </c>
      <c r="L1550" t="n">
        <v>0</v>
      </c>
      <c r="M1550" t="n">
        <v>0</v>
      </c>
      <c r="N1550" t="n">
        <v>0</v>
      </c>
      <c r="O1550" t="n">
        <v>0</v>
      </c>
      <c r="P1550" t="n">
        <v>0</v>
      </c>
      <c r="Q1550" t="n">
        <v>0</v>
      </c>
      <c r="R1550" s="2" t="inlineStr"/>
    </row>
    <row r="1551" ht="15" customHeight="1">
      <c r="A1551" t="inlineStr">
        <is>
          <t>A 42103-2023</t>
        </is>
      </c>
      <c r="B1551" s="1" t="n">
        <v>45175</v>
      </c>
      <c r="C1551" s="1" t="n">
        <v>45754</v>
      </c>
      <c r="D1551" t="inlineStr">
        <is>
          <t>JÄMTLANDS LÄN</t>
        </is>
      </c>
      <c r="E1551" t="inlineStr">
        <is>
          <t>BRÄCKE</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41923-2023</t>
        </is>
      </c>
      <c r="B1552" s="1" t="n">
        <v>45176</v>
      </c>
      <c r="C1552" s="1" t="n">
        <v>45754</v>
      </c>
      <c r="D1552" t="inlineStr">
        <is>
          <t>JÄMTLANDS LÄN</t>
        </is>
      </c>
      <c r="E1552" t="inlineStr">
        <is>
          <t>BRÄCKE</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41722-2023</t>
        </is>
      </c>
      <c r="B1553" s="1" t="n">
        <v>45176</v>
      </c>
      <c r="C1553" s="1" t="n">
        <v>45754</v>
      </c>
      <c r="D1553" t="inlineStr">
        <is>
          <t>JÄMTLANDS LÄN</t>
        </is>
      </c>
      <c r="E1553" t="inlineStr">
        <is>
          <t>BRÄCKE</t>
        </is>
      </c>
      <c r="G1553" t="n">
        <v>21.3</v>
      </c>
      <c r="H1553" t="n">
        <v>0</v>
      </c>
      <c r="I1553" t="n">
        <v>0</v>
      </c>
      <c r="J1553" t="n">
        <v>0</v>
      </c>
      <c r="K1553" t="n">
        <v>0</v>
      </c>
      <c r="L1553" t="n">
        <v>0</v>
      </c>
      <c r="M1553" t="n">
        <v>0</v>
      </c>
      <c r="N1553" t="n">
        <v>0</v>
      </c>
      <c r="O1553" t="n">
        <v>0</v>
      </c>
      <c r="P1553" t="n">
        <v>0</v>
      </c>
      <c r="Q1553" t="n">
        <v>0</v>
      </c>
      <c r="R1553" s="2" t="inlineStr"/>
    </row>
    <row r="1554" ht="15" customHeight="1">
      <c r="A1554" t="inlineStr">
        <is>
          <t>A 41922-2023</t>
        </is>
      </c>
      <c r="B1554" s="1" t="n">
        <v>45176</v>
      </c>
      <c r="C1554" s="1" t="n">
        <v>45754</v>
      </c>
      <c r="D1554" t="inlineStr">
        <is>
          <t>JÄMTLANDS LÄN</t>
        </is>
      </c>
      <c r="E1554" t="inlineStr">
        <is>
          <t>BRÄCKE</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41738-2023</t>
        </is>
      </c>
      <c r="B1555" s="1" t="n">
        <v>45176</v>
      </c>
      <c r="C1555" s="1" t="n">
        <v>45754</v>
      </c>
      <c r="D1555" t="inlineStr">
        <is>
          <t>JÄMTLANDS LÄN</t>
        </is>
      </c>
      <c r="E1555" t="inlineStr">
        <is>
          <t>BRÄCKE</t>
        </is>
      </c>
      <c r="G1555" t="n">
        <v>12.7</v>
      </c>
      <c r="H1555" t="n">
        <v>0</v>
      </c>
      <c r="I1555" t="n">
        <v>0</v>
      </c>
      <c r="J1555" t="n">
        <v>0</v>
      </c>
      <c r="K1555" t="n">
        <v>0</v>
      </c>
      <c r="L1555" t="n">
        <v>0</v>
      </c>
      <c r="M1555" t="n">
        <v>0</v>
      </c>
      <c r="N1555" t="n">
        <v>0</v>
      </c>
      <c r="O1555" t="n">
        <v>0</v>
      </c>
      <c r="P1555" t="n">
        <v>0</v>
      </c>
      <c r="Q1555" t="n">
        <v>0</v>
      </c>
      <c r="R1555" s="2" t="inlineStr"/>
    </row>
    <row r="1556" ht="15" customHeight="1">
      <c r="A1556" t="inlineStr">
        <is>
          <t>A 41936-2023</t>
        </is>
      </c>
      <c r="B1556" s="1" t="n">
        <v>45177</v>
      </c>
      <c r="C1556" s="1" t="n">
        <v>45754</v>
      </c>
      <c r="D1556" t="inlineStr">
        <is>
          <t>JÄMTLANDS LÄN</t>
        </is>
      </c>
      <c r="E1556" t="inlineStr">
        <is>
          <t>BRÄCKE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42159-2023</t>
        </is>
      </c>
      <c r="B1557" s="1" t="n">
        <v>45177</v>
      </c>
      <c r="C1557" s="1" t="n">
        <v>45754</v>
      </c>
      <c r="D1557" t="inlineStr">
        <is>
          <t>JÄMTLANDS LÄN</t>
        </is>
      </c>
      <c r="E1557" t="inlineStr">
        <is>
          <t>BRÄCKE</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42500-2023</t>
        </is>
      </c>
      <c r="B1558" s="1" t="n">
        <v>45181</v>
      </c>
      <c r="C1558" s="1" t="n">
        <v>45754</v>
      </c>
      <c r="D1558" t="inlineStr">
        <is>
          <t>JÄMTLANDS LÄN</t>
        </is>
      </c>
      <c r="E1558" t="inlineStr">
        <is>
          <t>BRÄCKE</t>
        </is>
      </c>
      <c r="F1558" t="inlineStr">
        <is>
          <t>SCA</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43180-2023</t>
        </is>
      </c>
      <c r="B1559" s="1" t="n">
        <v>45180</v>
      </c>
      <c r="C1559" s="1" t="n">
        <v>45754</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43551-2023</t>
        </is>
      </c>
      <c r="B1560" s="1" t="n">
        <v>45181</v>
      </c>
      <c r="C1560" s="1" t="n">
        <v>45754</v>
      </c>
      <c r="D1560" t="inlineStr">
        <is>
          <t>JÄMTLANDS LÄN</t>
        </is>
      </c>
      <c r="E1560" t="inlineStr">
        <is>
          <t>BRÄCKE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43591-2023</t>
        </is>
      </c>
      <c r="B1561" s="1" t="n">
        <v>45181</v>
      </c>
      <c r="C1561" s="1" t="n">
        <v>45754</v>
      </c>
      <c r="D1561" t="inlineStr">
        <is>
          <t>JÄMTLANDS LÄN</t>
        </is>
      </c>
      <c r="E1561" t="inlineStr">
        <is>
          <t>BRÄCKE</t>
        </is>
      </c>
      <c r="F1561" t="inlineStr">
        <is>
          <t>SCA</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43596-2023</t>
        </is>
      </c>
      <c r="B1562" s="1" t="n">
        <v>45181</v>
      </c>
      <c r="C1562" s="1" t="n">
        <v>45754</v>
      </c>
      <c r="D1562" t="inlineStr">
        <is>
          <t>JÄMTLANDS LÄN</t>
        </is>
      </c>
      <c r="E1562" t="inlineStr">
        <is>
          <t>BRÄCKE</t>
        </is>
      </c>
      <c r="F1562" t="inlineStr">
        <is>
          <t>SCA</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43123-2023</t>
        </is>
      </c>
      <c r="B1563" s="1" t="n">
        <v>45182</v>
      </c>
      <c r="C1563" s="1" t="n">
        <v>45754</v>
      </c>
      <c r="D1563" t="inlineStr">
        <is>
          <t>JÄMTLANDS LÄN</t>
        </is>
      </c>
      <c r="E1563" t="inlineStr">
        <is>
          <t>BRÄCKE</t>
        </is>
      </c>
      <c r="F1563" t="inlineStr">
        <is>
          <t>Naturvårdsverket</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43108-2023</t>
        </is>
      </c>
      <c r="B1564" s="1" t="n">
        <v>45183</v>
      </c>
      <c r="C1564" s="1" t="n">
        <v>45754</v>
      </c>
      <c r="D1564" t="inlineStr">
        <is>
          <t>JÄMTLANDS LÄN</t>
        </is>
      </c>
      <c r="E1564" t="inlineStr">
        <is>
          <t>BRÄCKE</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43906-2023</t>
        </is>
      </c>
      <c r="B1565" s="1" t="n">
        <v>45182</v>
      </c>
      <c r="C1565" s="1" t="n">
        <v>45754</v>
      </c>
      <c r="D1565" t="inlineStr">
        <is>
          <t>JÄMTLANDS LÄN</t>
        </is>
      </c>
      <c r="E1565" t="inlineStr">
        <is>
          <t>BRÄCKE</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43910-2023</t>
        </is>
      </c>
      <c r="B1566" s="1" t="n">
        <v>45182</v>
      </c>
      <c r="C1566" s="1" t="n">
        <v>45754</v>
      </c>
      <c r="D1566" t="inlineStr">
        <is>
          <t>JÄMTLANDS LÄN</t>
        </is>
      </c>
      <c r="E1566" t="inlineStr">
        <is>
          <t>BRÄCKE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43093-2023</t>
        </is>
      </c>
      <c r="B1567" s="1" t="n">
        <v>45182</v>
      </c>
      <c r="C1567" s="1" t="n">
        <v>45754</v>
      </c>
      <c r="D1567" t="inlineStr">
        <is>
          <t>JÄMTLANDS LÄN</t>
        </is>
      </c>
      <c r="E1567" t="inlineStr">
        <is>
          <t>BRÄCKE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43869-2023</t>
        </is>
      </c>
      <c r="B1568" s="1" t="n">
        <v>45182</v>
      </c>
      <c r="C1568" s="1" t="n">
        <v>45754</v>
      </c>
      <c r="D1568" t="inlineStr">
        <is>
          <t>JÄMTLANDS LÄN</t>
        </is>
      </c>
      <c r="E1568" t="inlineStr">
        <is>
          <t>BRÄCKE</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43292-2023</t>
        </is>
      </c>
      <c r="B1569" s="1" t="n">
        <v>45183</v>
      </c>
      <c r="C1569" s="1" t="n">
        <v>45754</v>
      </c>
      <c r="D1569" t="inlineStr">
        <is>
          <t>JÄMTLANDS LÄN</t>
        </is>
      </c>
      <c r="E1569" t="inlineStr">
        <is>
          <t>BRÄCKE</t>
        </is>
      </c>
      <c r="F1569" t="inlineStr">
        <is>
          <t>Kyrkan</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43957-2023</t>
        </is>
      </c>
      <c r="B1570" s="1" t="n">
        <v>45187</v>
      </c>
      <c r="C1570" s="1" t="n">
        <v>45754</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43969-2023</t>
        </is>
      </c>
      <c r="B1571" s="1" t="n">
        <v>45187</v>
      </c>
      <c r="C1571" s="1" t="n">
        <v>45754</v>
      </c>
      <c r="D1571" t="inlineStr">
        <is>
          <t>JÄMTLANDS LÄN</t>
        </is>
      </c>
      <c r="E1571" t="inlineStr">
        <is>
          <t>BRÄCKE</t>
        </is>
      </c>
      <c r="F1571" t="inlineStr">
        <is>
          <t>SCA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43977-2023</t>
        </is>
      </c>
      <c r="B1572" s="1" t="n">
        <v>45187</v>
      </c>
      <c r="C1572" s="1" t="n">
        <v>45754</v>
      </c>
      <c r="D1572" t="inlineStr">
        <is>
          <t>JÄMTLANDS LÄN</t>
        </is>
      </c>
      <c r="E1572" t="inlineStr">
        <is>
          <t>BRÄCKE</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43971-2023</t>
        </is>
      </c>
      <c r="B1573" s="1" t="n">
        <v>45188</v>
      </c>
      <c r="C1573" s="1" t="n">
        <v>45754</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43958-2023</t>
        </is>
      </c>
      <c r="B1574" s="1" t="n">
        <v>45187</v>
      </c>
      <c r="C1574" s="1" t="n">
        <v>45754</v>
      </c>
      <c r="D1574" t="inlineStr">
        <is>
          <t>JÄMTLANDS LÄN</t>
        </is>
      </c>
      <c r="E1574" t="inlineStr">
        <is>
          <t>BRÄCKE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43970-2023</t>
        </is>
      </c>
      <c r="B1575" s="1" t="n">
        <v>45187</v>
      </c>
      <c r="C1575" s="1" t="n">
        <v>45754</v>
      </c>
      <c r="D1575" t="inlineStr">
        <is>
          <t>JÄMTLANDS LÄN</t>
        </is>
      </c>
      <c r="E1575" t="inlineStr">
        <is>
          <t>BRÄCKE</t>
        </is>
      </c>
      <c r="F1575" t="inlineStr">
        <is>
          <t>SCA</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44324-2023</t>
        </is>
      </c>
      <c r="B1576" s="1" t="n">
        <v>45188</v>
      </c>
      <c r="C1576" s="1" t="n">
        <v>45754</v>
      </c>
      <c r="D1576" t="inlineStr">
        <is>
          <t>JÄMTLANDS LÄN</t>
        </is>
      </c>
      <c r="E1576" t="inlineStr">
        <is>
          <t>BRÄCKE</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44318-2023</t>
        </is>
      </c>
      <c r="B1577" s="1" t="n">
        <v>45188</v>
      </c>
      <c r="C1577" s="1" t="n">
        <v>45754</v>
      </c>
      <c r="D1577" t="inlineStr">
        <is>
          <t>JÄMTLANDS LÄN</t>
        </is>
      </c>
      <c r="E1577" t="inlineStr">
        <is>
          <t>BRÄCKE</t>
        </is>
      </c>
      <c r="F1577" t="inlineStr">
        <is>
          <t>Sveaskog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44321-2023</t>
        </is>
      </c>
      <c r="B1578" s="1" t="n">
        <v>45188</v>
      </c>
      <c r="C1578" s="1" t="n">
        <v>45754</v>
      </c>
      <c r="D1578" t="inlineStr">
        <is>
          <t>JÄMTLANDS LÄN</t>
        </is>
      </c>
      <c r="E1578" t="inlineStr">
        <is>
          <t>BRÄCKE</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44328-2023</t>
        </is>
      </c>
      <c r="B1579" s="1" t="n">
        <v>45188</v>
      </c>
      <c r="C1579" s="1" t="n">
        <v>45754</v>
      </c>
      <c r="D1579" t="inlineStr">
        <is>
          <t>JÄMTLANDS LÄN</t>
        </is>
      </c>
      <c r="E1579" t="inlineStr">
        <is>
          <t>BRÄCKE</t>
        </is>
      </c>
      <c r="F1579" t="inlineStr">
        <is>
          <t>Sveaskog</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44357-2023</t>
        </is>
      </c>
      <c r="B1580" s="1" t="n">
        <v>45188</v>
      </c>
      <c r="C1580" s="1" t="n">
        <v>45754</v>
      </c>
      <c r="D1580" t="inlineStr">
        <is>
          <t>JÄMTLANDS LÄN</t>
        </is>
      </c>
      <c r="E1580" t="inlineStr">
        <is>
          <t>BRÄCKE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44381-2023</t>
        </is>
      </c>
      <c r="B1581" s="1" t="n">
        <v>45188</v>
      </c>
      <c r="C1581" s="1" t="n">
        <v>45754</v>
      </c>
      <c r="D1581" t="inlineStr">
        <is>
          <t>JÄMTLANDS LÄN</t>
        </is>
      </c>
      <c r="E1581" t="inlineStr">
        <is>
          <t>BRÄCKE</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44400-2023</t>
        </is>
      </c>
      <c r="B1582" s="1" t="n">
        <v>45189</v>
      </c>
      <c r="C1582" s="1" t="n">
        <v>45754</v>
      </c>
      <c r="D1582" t="inlineStr">
        <is>
          <t>JÄMTLANDS LÄN</t>
        </is>
      </c>
      <c r="E1582" t="inlineStr">
        <is>
          <t>BRÄCKE</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44399-2023</t>
        </is>
      </c>
      <c r="B1583" s="1" t="n">
        <v>45189</v>
      </c>
      <c r="C1583" s="1" t="n">
        <v>45754</v>
      </c>
      <c r="D1583" t="inlineStr">
        <is>
          <t>JÄMTLANDS LÄN</t>
        </is>
      </c>
      <c r="E1583" t="inlineStr">
        <is>
          <t>BRÄCKE</t>
        </is>
      </c>
      <c r="F1583" t="inlineStr">
        <is>
          <t>SCA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44403-2023</t>
        </is>
      </c>
      <c r="B1584" s="1" t="n">
        <v>45189</v>
      </c>
      <c r="C1584" s="1" t="n">
        <v>45754</v>
      </c>
      <c r="D1584" t="inlineStr">
        <is>
          <t>JÄMTLANDS LÄN</t>
        </is>
      </c>
      <c r="E1584" t="inlineStr">
        <is>
          <t>BRÄCKE</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44358-2023</t>
        </is>
      </c>
      <c r="B1585" s="1" t="n">
        <v>45188</v>
      </c>
      <c r="C1585" s="1" t="n">
        <v>45754</v>
      </c>
      <c r="D1585" t="inlineStr">
        <is>
          <t>JÄMTLANDS LÄN</t>
        </is>
      </c>
      <c r="E1585" t="inlineStr">
        <is>
          <t>BRÄCKE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44693-2023</t>
        </is>
      </c>
      <c r="B1586" s="1" t="n">
        <v>45190</v>
      </c>
      <c r="C1586" s="1" t="n">
        <v>45754</v>
      </c>
      <c r="D1586" t="inlineStr">
        <is>
          <t>JÄMTLANDS LÄN</t>
        </is>
      </c>
      <c r="E1586" t="inlineStr">
        <is>
          <t>BRÄCKE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44694-2023</t>
        </is>
      </c>
      <c r="B1587" s="1" t="n">
        <v>45190</v>
      </c>
      <c r="C1587" s="1" t="n">
        <v>45754</v>
      </c>
      <c r="D1587" t="inlineStr">
        <is>
          <t>JÄMTLANDS LÄN</t>
        </is>
      </c>
      <c r="E1587" t="inlineStr">
        <is>
          <t>BRÄCKE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45019-2023</t>
        </is>
      </c>
      <c r="B1588" s="1" t="n">
        <v>45191</v>
      </c>
      <c r="C1588" s="1" t="n">
        <v>45754</v>
      </c>
      <c r="D1588" t="inlineStr">
        <is>
          <t>JÄMTLANDS LÄN</t>
        </is>
      </c>
      <c r="E1588" t="inlineStr">
        <is>
          <t>BRÄCKE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45002-2023</t>
        </is>
      </c>
      <c r="B1589" s="1" t="n">
        <v>45191</v>
      </c>
      <c r="C1589" s="1" t="n">
        <v>45754</v>
      </c>
      <c r="D1589" t="inlineStr">
        <is>
          <t>JÄMTLANDS LÄN</t>
        </is>
      </c>
      <c r="E1589" t="inlineStr">
        <is>
          <t>BRÄCKE</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45010-2023</t>
        </is>
      </c>
      <c r="B1590" s="1" t="n">
        <v>45191</v>
      </c>
      <c r="C1590" s="1" t="n">
        <v>45754</v>
      </c>
      <c r="D1590" t="inlineStr">
        <is>
          <t>JÄMTLANDS LÄN</t>
        </is>
      </c>
      <c r="E1590" t="inlineStr">
        <is>
          <t>BRÄCKE</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44989-2023</t>
        </is>
      </c>
      <c r="B1591" s="1" t="n">
        <v>45190</v>
      </c>
      <c r="C1591" s="1" t="n">
        <v>45754</v>
      </c>
      <c r="D1591" t="inlineStr">
        <is>
          <t>JÄMTLANDS LÄN</t>
        </is>
      </c>
      <c r="E1591" t="inlineStr">
        <is>
          <t>BRÄCKE</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45005-2023</t>
        </is>
      </c>
      <c r="B1592" s="1" t="n">
        <v>45190</v>
      </c>
      <c r="C1592" s="1" t="n">
        <v>45754</v>
      </c>
      <c r="D1592" t="inlineStr">
        <is>
          <t>JÄMTLANDS LÄN</t>
        </is>
      </c>
      <c r="E1592" t="inlineStr">
        <is>
          <t>BRÄCKE</t>
        </is>
      </c>
      <c r="F1592" t="inlineStr">
        <is>
          <t>SCA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45009-2023</t>
        </is>
      </c>
      <c r="B1593" s="1" t="n">
        <v>45191</v>
      </c>
      <c r="C1593" s="1" t="n">
        <v>45754</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45013-2023</t>
        </is>
      </c>
      <c r="B1594" s="1" t="n">
        <v>45191</v>
      </c>
      <c r="C1594" s="1" t="n">
        <v>45754</v>
      </c>
      <c r="D1594" t="inlineStr">
        <is>
          <t>JÄMTLANDS LÄN</t>
        </is>
      </c>
      <c r="E1594" t="inlineStr">
        <is>
          <t>BRÄCKE</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45028-2023</t>
        </is>
      </c>
      <c r="B1595" s="1" t="n">
        <v>45190</v>
      </c>
      <c r="C1595" s="1" t="n">
        <v>45754</v>
      </c>
      <c r="D1595" t="inlineStr">
        <is>
          <t>JÄMTLANDS LÄN</t>
        </is>
      </c>
      <c r="E1595" t="inlineStr">
        <is>
          <t>BRÄCKE</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45029-2023</t>
        </is>
      </c>
      <c r="B1596" s="1" t="n">
        <v>45191</v>
      </c>
      <c r="C1596" s="1" t="n">
        <v>45754</v>
      </c>
      <c r="D1596" t="inlineStr">
        <is>
          <t>JÄMTLANDS LÄN</t>
        </is>
      </c>
      <c r="E1596" t="inlineStr">
        <is>
          <t>BRÄCKE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45337-2023</t>
        </is>
      </c>
      <c r="B1597" s="1" t="n">
        <v>45191</v>
      </c>
      <c r="C1597" s="1" t="n">
        <v>45754</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45345-2023</t>
        </is>
      </c>
      <c r="B1598" s="1" t="n">
        <v>45192</v>
      </c>
      <c r="C1598" s="1" t="n">
        <v>45754</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45344-2023</t>
        </is>
      </c>
      <c r="B1599" s="1" t="n">
        <v>45191</v>
      </c>
      <c r="C1599" s="1" t="n">
        <v>45754</v>
      </c>
      <c r="D1599" t="inlineStr">
        <is>
          <t>JÄMTLANDS LÄN</t>
        </is>
      </c>
      <c r="E1599" t="inlineStr">
        <is>
          <t>BRÄCKE</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45334-2023</t>
        </is>
      </c>
      <c r="B1600" s="1" t="n">
        <v>45192</v>
      </c>
      <c r="C1600" s="1" t="n">
        <v>45754</v>
      </c>
      <c r="D1600" t="inlineStr">
        <is>
          <t>JÄMTLANDS LÄN</t>
        </is>
      </c>
      <c r="E1600" t="inlineStr">
        <is>
          <t>BRÄCKE</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45342-2023</t>
        </is>
      </c>
      <c r="B1601" s="1" t="n">
        <v>45192</v>
      </c>
      <c r="C1601" s="1" t="n">
        <v>45754</v>
      </c>
      <c r="D1601" t="inlineStr">
        <is>
          <t>JÄMTLANDS LÄN</t>
        </is>
      </c>
      <c r="E1601" t="inlineStr">
        <is>
          <t>BRÄCKE</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45370-2023</t>
        </is>
      </c>
      <c r="B1602" s="1" t="n">
        <v>45193</v>
      </c>
      <c r="C1602" s="1" t="n">
        <v>45754</v>
      </c>
      <c r="D1602" t="inlineStr">
        <is>
          <t>JÄMTLANDS LÄN</t>
        </is>
      </c>
      <c r="E1602" t="inlineStr">
        <is>
          <t>BRÄCKE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45369-2023</t>
        </is>
      </c>
      <c r="B1603" s="1" t="n">
        <v>45193</v>
      </c>
      <c r="C1603" s="1" t="n">
        <v>45754</v>
      </c>
      <c r="D1603" t="inlineStr">
        <is>
          <t>JÄMTLANDS LÄN</t>
        </is>
      </c>
      <c r="E1603" t="inlineStr">
        <is>
          <t>BRÄCKE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45577-2023</t>
        </is>
      </c>
      <c r="B1604" s="1" t="n">
        <v>45194</v>
      </c>
      <c r="C1604" s="1" t="n">
        <v>45754</v>
      </c>
      <c r="D1604" t="inlineStr">
        <is>
          <t>JÄMTLANDS LÄN</t>
        </is>
      </c>
      <c r="E1604" t="inlineStr">
        <is>
          <t>BRÄCKE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45950-2023</t>
        </is>
      </c>
      <c r="B1605" s="1" t="n">
        <v>45195</v>
      </c>
      <c r="C1605" s="1" t="n">
        <v>45754</v>
      </c>
      <c r="D1605" t="inlineStr">
        <is>
          <t>JÄMTLANDS LÄN</t>
        </is>
      </c>
      <c r="E1605" t="inlineStr">
        <is>
          <t>BRÄCKE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45963-2023</t>
        </is>
      </c>
      <c r="B1606" s="1" t="n">
        <v>45196</v>
      </c>
      <c r="C1606" s="1" t="n">
        <v>45754</v>
      </c>
      <c r="D1606" t="inlineStr">
        <is>
          <t>JÄMTLANDS LÄN</t>
        </is>
      </c>
      <c r="E1606" t="inlineStr">
        <is>
          <t>BRÄCKE</t>
        </is>
      </c>
      <c r="F1606" t="inlineStr">
        <is>
          <t>SCA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46939-2023</t>
        </is>
      </c>
      <c r="B1607" s="1" t="n">
        <v>45195</v>
      </c>
      <c r="C1607" s="1" t="n">
        <v>45754</v>
      </c>
      <c r="D1607" t="inlineStr">
        <is>
          <t>JÄMTLANDS LÄN</t>
        </is>
      </c>
      <c r="E1607" t="inlineStr">
        <is>
          <t>BRÄCKE</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45936-2023</t>
        </is>
      </c>
      <c r="B1608" s="1" t="n">
        <v>45196</v>
      </c>
      <c r="C1608" s="1" t="n">
        <v>45754</v>
      </c>
      <c r="D1608" t="inlineStr">
        <is>
          <t>JÄMTLANDS LÄN</t>
        </is>
      </c>
      <c r="E1608" t="inlineStr">
        <is>
          <t>BRÄCKE</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46952-2023</t>
        </is>
      </c>
      <c r="B1609" s="1" t="n">
        <v>45195</v>
      </c>
      <c r="C1609" s="1" t="n">
        <v>45754</v>
      </c>
      <c r="D1609" t="inlineStr">
        <is>
          <t>JÄMTLANDS LÄN</t>
        </is>
      </c>
      <c r="E1609" t="inlineStr">
        <is>
          <t>BRÄCKE</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45951-2023</t>
        </is>
      </c>
      <c r="B1610" s="1" t="n">
        <v>45196</v>
      </c>
      <c r="C1610" s="1" t="n">
        <v>45754</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46274-2023</t>
        </is>
      </c>
      <c r="B1611" s="1" t="n">
        <v>45197</v>
      </c>
      <c r="C1611" s="1" t="n">
        <v>45754</v>
      </c>
      <c r="D1611" t="inlineStr">
        <is>
          <t>JÄMTLANDS LÄN</t>
        </is>
      </c>
      <c r="E1611" t="inlineStr">
        <is>
          <t>BRÄCKE</t>
        </is>
      </c>
      <c r="F1611" t="inlineStr">
        <is>
          <t>Naturvårdsverket</t>
        </is>
      </c>
      <c r="G1611" t="n">
        <v>70.3</v>
      </c>
      <c r="H1611" t="n">
        <v>0</v>
      </c>
      <c r="I1611" t="n">
        <v>0</v>
      </c>
      <c r="J1611" t="n">
        <v>0</v>
      </c>
      <c r="K1611" t="n">
        <v>0</v>
      </c>
      <c r="L1611" t="n">
        <v>0</v>
      </c>
      <c r="M1611" t="n">
        <v>0</v>
      </c>
      <c r="N1611" t="n">
        <v>0</v>
      </c>
      <c r="O1611" t="n">
        <v>0</v>
      </c>
      <c r="P1611" t="n">
        <v>0</v>
      </c>
      <c r="Q1611" t="n">
        <v>0</v>
      </c>
      <c r="R1611" s="2" t="inlineStr"/>
    </row>
    <row r="1612" ht="15" customHeight="1">
      <c r="A1612" t="inlineStr">
        <is>
          <t>A 46257-2023</t>
        </is>
      </c>
      <c r="B1612" s="1" t="n">
        <v>45197</v>
      </c>
      <c r="C1612" s="1" t="n">
        <v>45754</v>
      </c>
      <c r="D1612" t="inlineStr">
        <is>
          <t>JÄMTLANDS LÄN</t>
        </is>
      </c>
      <c r="E1612" t="inlineStr">
        <is>
          <t>BRÄCKE</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46273-2023</t>
        </is>
      </c>
      <c r="B1613" s="1" t="n">
        <v>45197</v>
      </c>
      <c r="C1613" s="1" t="n">
        <v>45754</v>
      </c>
      <c r="D1613" t="inlineStr">
        <is>
          <t>JÄMTLANDS LÄN</t>
        </is>
      </c>
      <c r="E1613" t="inlineStr">
        <is>
          <t>BRÄCKE</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46263-2023</t>
        </is>
      </c>
      <c r="B1614" s="1" t="n">
        <v>45196</v>
      </c>
      <c r="C1614" s="1" t="n">
        <v>45754</v>
      </c>
      <c r="D1614" t="inlineStr">
        <is>
          <t>JÄMTLANDS LÄN</t>
        </is>
      </c>
      <c r="E1614" t="inlineStr">
        <is>
          <t>BRÄCKE</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46551-2023</t>
        </is>
      </c>
      <c r="B1615" s="1" t="n">
        <v>45198</v>
      </c>
      <c r="C1615" s="1" t="n">
        <v>45754</v>
      </c>
      <c r="D1615" t="inlineStr">
        <is>
          <t>JÄMTLANDS LÄN</t>
        </is>
      </c>
      <c r="E1615" t="inlineStr">
        <is>
          <t>BRÄCKE</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46812-2023</t>
        </is>
      </c>
      <c r="B1616" s="1" t="n">
        <v>45198</v>
      </c>
      <c r="C1616" s="1" t="n">
        <v>45754</v>
      </c>
      <c r="D1616" t="inlineStr">
        <is>
          <t>JÄMTLANDS LÄN</t>
        </is>
      </c>
      <c r="E1616" t="inlineStr">
        <is>
          <t>BRÄCKE</t>
        </is>
      </c>
      <c r="F1616" t="inlineStr">
        <is>
          <t>SCA</t>
        </is>
      </c>
      <c r="G1616" t="n">
        <v>17.5</v>
      </c>
      <c r="H1616" t="n">
        <v>0</v>
      </c>
      <c r="I1616" t="n">
        <v>0</v>
      </c>
      <c r="J1616" t="n">
        <v>0</v>
      </c>
      <c r="K1616" t="n">
        <v>0</v>
      </c>
      <c r="L1616" t="n">
        <v>0</v>
      </c>
      <c r="M1616" t="n">
        <v>0</v>
      </c>
      <c r="N1616" t="n">
        <v>0</v>
      </c>
      <c r="O1616" t="n">
        <v>0</v>
      </c>
      <c r="P1616" t="n">
        <v>0</v>
      </c>
      <c r="Q1616" t="n">
        <v>0</v>
      </c>
      <c r="R1616" s="2" t="inlineStr"/>
    </row>
    <row r="1617" ht="15" customHeight="1">
      <c r="A1617" t="inlineStr">
        <is>
          <t>A 46798-2023</t>
        </is>
      </c>
      <c r="B1617" s="1" t="n">
        <v>45198</v>
      </c>
      <c r="C1617" s="1" t="n">
        <v>45754</v>
      </c>
      <c r="D1617" t="inlineStr">
        <is>
          <t>JÄMTLANDS LÄN</t>
        </is>
      </c>
      <c r="E1617" t="inlineStr">
        <is>
          <t>BRÄCKE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46805-2023</t>
        </is>
      </c>
      <c r="B1618" s="1" t="n">
        <v>45198</v>
      </c>
      <c r="C1618" s="1" t="n">
        <v>45754</v>
      </c>
      <c r="D1618" t="inlineStr">
        <is>
          <t>JÄMTLANDS LÄN</t>
        </is>
      </c>
      <c r="E1618" t="inlineStr">
        <is>
          <t>BRÄCKE</t>
        </is>
      </c>
      <c r="F1618" t="inlineStr">
        <is>
          <t>SCA</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46809-2023</t>
        </is>
      </c>
      <c r="B1619" s="1" t="n">
        <v>45199</v>
      </c>
      <c r="C1619" s="1" t="n">
        <v>45754</v>
      </c>
      <c r="D1619" t="inlineStr">
        <is>
          <t>JÄMTLANDS LÄN</t>
        </is>
      </c>
      <c r="E1619" t="inlineStr">
        <is>
          <t>BRÄCKE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46799-2023</t>
        </is>
      </c>
      <c r="B1620" s="1" t="n">
        <v>45198</v>
      </c>
      <c r="C1620" s="1" t="n">
        <v>45754</v>
      </c>
      <c r="D1620" t="inlineStr">
        <is>
          <t>JÄMTLANDS LÄN</t>
        </is>
      </c>
      <c r="E1620" t="inlineStr">
        <is>
          <t>BRÄCKE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46810-2023</t>
        </is>
      </c>
      <c r="B1621" s="1" t="n">
        <v>45199</v>
      </c>
      <c r="C1621" s="1" t="n">
        <v>45754</v>
      </c>
      <c r="D1621" t="inlineStr">
        <is>
          <t>JÄMTLANDS LÄN</t>
        </is>
      </c>
      <c r="E1621" t="inlineStr">
        <is>
          <t>BRÄCKE</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46860-2023</t>
        </is>
      </c>
      <c r="B1622" s="1" t="n">
        <v>45200</v>
      </c>
      <c r="C1622" s="1" t="n">
        <v>45754</v>
      </c>
      <c r="D1622" t="inlineStr">
        <is>
          <t>JÄMTLANDS LÄN</t>
        </is>
      </c>
      <c r="E1622" t="inlineStr">
        <is>
          <t>BRÄCKE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47163-2023</t>
        </is>
      </c>
      <c r="B1623" s="1" t="n">
        <v>45202</v>
      </c>
      <c r="C1623" s="1" t="n">
        <v>45754</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47186-2023</t>
        </is>
      </c>
      <c r="B1624" s="1" t="n">
        <v>45201</v>
      </c>
      <c r="C1624" s="1" t="n">
        <v>45754</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47169-2023</t>
        </is>
      </c>
      <c r="B1625" s="1" t="n">
        <v>45202</v>
      </c>
      <c r="C1625" s="1" t="n">
        <v>45754</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48349-2023</t>
        </is>
      </c>
      <c r="B1626" s="1" t="n">
        <v>45201</v>
      </c>
      <c r="C1626" s="1" t="n">
        <v>45754</v>
      </c>
      <c r="D1626" t="inlineStr">
        <is>
          <t>JÄMTLANDS LÄN</t>
        </is>
      </c>
      <c r="E1626" t="inlineStr">
        <is>
          <t>BRÄCKE</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48390-2023</t>
        </is>
      </c>
      <c r="B1627" s="1" t="n">
        <v>45201</v>
      </c>
      <c r="C1627" s="1" t="n">
        <v>45754</v>
      </c>
      <c r="D1627" t="inlineStr">
        <is>
          <t>JÄMTLANDS LÄN</t>
        </is>
      </c>
      <c r="E1627" t="inlineStr">
        <is>
          <t>BRÄCKE</t>
        </is>
      </c>
      <c r="F1627" t="inlineStr">
        <is>
          <t>SCA</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47365-2023</t>
        </is>
      </c>
      <c r="B1628" s="1" t="n">
        <v>45202</v>
      </c>
      <c r="C1628" s="1" t="n">
        <v>45754</v>
      </c>
      <c r="D1628" t="inlineStr">
        <is>
          <t>JÄMTLANDS LÄN</t>
        </is>
      </c>
      <c r="E1628" t="inlineStr">
        <is>
          <t>BRÄCKE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47486-2023</t>
        </is>
      </c>
      <c r="B1629" s="1" t="n">
        <v>45203</v>
      </c>
      <c r="C1629" s="1" t="n">
        <v>45754</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47500-2023</t>
        </is>
      </c>
      <c r="B1630" s="1" t="n">
        <v>45203</v>
      </c>
      <c r="C1630" s="1" t="n">
        <v>45754</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47487-2023</t>
        </is>
      </c>
      <c r="B1631" s="1" t="n">
        <v>45203</v>
      </c>
      <c r="C1631" s="1" t="n">
        <v>45754</v>
      </c>
      <c r="D1631" t="inlineStr">
        <is>
          <t>JÄMTLANDS LÄN</t>
        </is>
      </c>
      <c r="E1631" t="inlineStr">
        <is>
          <t>BRÄCKE</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47788-2023</t>
        </is>
      </c>
      <c r="B1632" s="1" t="n">
        <v>45204</v>
      </c>
      <c r="C1632" s="1" t="n">
        <v>45754</v>
      </c>
      <c r="D1632" t="inlineStr">
        <is>
          <t>JÄMTLANDS LÄN</t>
        </is>
      </c>
      <c r="E1632" t="inlineStr">
        <is>
          <t>BRÄCKE</t>
        </is>
      </c>
      <c r="F1632" t="inlineStr">
        <is>
          <t>SCA</t>
        </is>
      </c>
      <c r="G1632" t="n">
        <v>22.4</v>
      </c>
      <c r="H1632" t="n">
        <v>0</v>
      </c>
      <c r="I1632" t="n">
        <v>0</v>
      </c>
      <c r="J1632" t="n">
        <v>0</v>
      </c>
      <c r="K1632" t="n">
        <v>0</v>
      </c>
      <c r="L1632" t="n">
        <v>0</v>
      </c>
      <c r="M1632" t="n">
        <v>0</v>
      </c>
      <c r="N1632" t="n">
        <v>0</v>
      </c>
      <c r="O1632" t="n">
        <v>0</v>
      </c>
      <c r="P1632" t="n">
        <v>0</v>
      </c>
      <c r="Q1632" t="n">
        <v>0</v>
      </c>
      <c r="R1632" s="2" t="inlineStr"/>
    </row>
    <row r="1633" ht="15" customHeight="1">
      <c r="A1633" t="inlineStr">
        <is>
          <t>A 48079-2023</t>
        </is>
      </c>
      <c r="B1633" s="1" t="n">
        <v>45204</v>
      </c>
      <c r="C1633" s="1" t="n">
        <v>45754</v>
      </c>
      <c r="D1633" t="inlineStr">
        <is>
          <t>JÄMTLANDS LÄN</t>
        </is>
      </c>
      <c r="E1633" t="inlineStr">
        <is>
          <t>BRÄCKE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48058-2023</t>
        </is>
      </c>
      <c r="B1634" s="1" t="n">
        <v>45205</v>
      </c>
      <c r="C1634" s="1" t="n">
        <v>45754</v>
      </c>
      <c r="D1634" t="inlineStr">
        <is>
          <t>JÄMTLANDS LÄN</t>
        </is>
      </c>
      <c r="E1634" t="inlineStr">
        <is>
          <t>BRÄCKE</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48064-2023</t>
        </is>
      </c>
      <c r="B1635" s="1" t="n">
        <v>45204</v>
      </c>
      <c r="C1635" s="1" t="n">
        <v>45754</v>
      </c>
      <c r="D1635" t="inlineStr">
        <is>
          <t>JÄMTLANDS LÄN</t>
        </is>
      </c>
      <c r="E1635" t="inlineStr">
        <is>
          <t>BRÄCKE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48068-2023</t>
        </is>
      </c>
      <c r="B1636" s="1" t="n">
        <v>45205</v>
      </c>
      <c r="C1636" s="1" t="n">
        <v>45754</v>
      </c>
      <c r="D1636" t="inlineStr">
        <is>
          <t>JÄMTLANDS LÄN</t>
        </is>
      </c>
      <c r="E1636" t="inlineStr">
        <is>
          <t>BRÄCKE</t>
        </is>
      </c>
      <c r="F1636" t="inlineStr">
        <is>
          <t>SCA</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48080-2023</t>
        </is>
      </c>
      <c r="B1637" s="1" t="n">
        <v>45205</v>
      </c>
      <c r="C1637" s="1" t="n">
        <v>45754</v>
      </c>
      <c r="D1637" t="inlineStr">
        <is>
          <t>JÄMTLANDS LÄN</t>
        </is>
      </c>
      <c r="E1637" t="inlineStr">
        <is>
          <t>BRÄCKE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49085-2023</t>
        </is>
      </c>
      <c r="B1638" s="1" t="n">
        <v>45204</v>
      </c>
      <c r="C1638" s="1" t="n">
        <v>45754</v>
      </c>
      <c r="D1638" t="inlineStr">
        <is>
          <t>JÄMTLANDS LÄN</t>
        </is>
      </c>
      <c r="E1638" t="inlineStr">
        <is>
          <t>BRÄCKE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48159-2023</t>
        </is>
      </c>
      <c r="B1639" s="1" t="n">
        <v>45205</v>
      </c>
      <c r="C1639" s="1" t="n">
        <v>45754</v>
      </c>
      <c r="D1639" t="inlineStr">
        <is>
          <t>JÄMTLANDS LÄN</t>
        </is>
      </c>
      <c r="E1639" t="inlineStr">
        <is>
          <t>BRÄCKE</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48434-2023</t>
        </is>
      </c>
      <c r="B1640" s="1" t="n">
        <v>45205</v>
      </c>
      <c r="C1640" s="1" t="n">
        <v>45754</v>
      </c>
      <c r="D1640" t="inlineStr">
        <is>
          <t>JÄMTLANDS LÄN</t>
        </is>
      </c>
      <c r="E1640" t="inlineStr">
        <is>
          <t>BRÄCKE</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48419-2023</t>
        </is>
      </c>
      <c r="B1641" s="1" t="n">
        <v>45205</v>
      </c>
      <c r="C1641" s="1" t="n">
        <v>45754</v>
      </c>
      <c r="D1641" t="inlineStr">
        <is>
          <t>JÄMTLANDS LÄN</t>
        </is>
      </c>
      <c r="E1641" t="inlineStr">
        <is>
          <t>BRÄCKE</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48433-2023</t>
        </is>
      </c>
      <c r="B1642" s="1" t="n">
        <v>45205</v>
      </c>
      <c r="C1642" s="1" t="n">
        <v>45754</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48432-2023</t>
        </is>
      </c>
      <c r="B1643" s="1" t="n">
        <v>45205</v>
      </c>
      <c r="C1643" s="1" t="n">
        <v>45754</v>
      </c>
      <c r="D1643" t="inlineStr">
        <is>
          <t>JÄMTLANDS LÄN</t>
        </is>
      </c>
      <c r="E1643" t="inlineStr">
        <is>
          <t>BRÄCKE</t>
        </is>
      </c>
      <c r="F1643" t="inlineStr">
        <is>
          <t>SCA</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48425-2023</t>
        </is>
      </c>
      <c r="B1644" s="1" t="n">
        <v>45205</v>
      </c>
      <c r="C1644" s="1" t="n">
        <v>45754</v>
      </c>
      <c r="D1644" t="inlineStr">
        <is>
          <t>JÄMTLANDS LÄN</t>
        </is>
      </c>
      <c r="E1644" t="inlineStr">
        <is>
          <t>BRÄCKE</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48435-2023</t>
        </is>
      </c>
      <c r="B1645" s="1" t="n">
        <v>45205</v>
      </c>
      <c r="C1645" s="1" t="n">
        <v>45754</v>
      </c>
      <c r="D1645" t="inlineStr">
        <is>
          <t>JÄMTLANDS LÄN</t>
        </is>
      </c>
      <c r="E1645" t="inlineStr">
        <is>
          <t>BRÄCKE</t>
        </is>
      </c>
      <c r="F1645" t="inlineStr">
        <is>
          <t>SCA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48482-2023</t>
        </is>
      </c>
      <c r="B1646" s="1" t="n">
        <v>45207</v>
      </c>
      <c r="C1646" s="1" t="n">
        <v>45754</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48473-2023</t>
        </is>
      </c>
      <c r="B1647" s="1" t="n">
        <v>45207</v>
      </c>
      <c r="C1647" s="1" t="n">
        <v>45754</v>
      </c>
      <c r="D1647" t="inlineStr">
        <is>
          <t>JÄMTLANDS LÄN</t>
        </is>
      </c>
      <c r="E1647" t="inlineStr">
        <is>
          <t>BRÄCKE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48481-2023</t>
        </is>
      </c>
      <c r="B1648" s="1" t="n">
        <v>45206</v>
      </c>
      <c r="C1648" s="1" t="n">
        <v>45754</v>
      </c>
      <c r="D1648" t="inlineStr">
        <is>
          <t>JÄMTLANDS LÄN</t>
        </is>
      </c>
      <c r="E1648" t="inlineStr">
        <is>
          <t>BRÄCKE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48480-2023</t>
        </is>
      </c>
      <c r="B1649" s="1" t="n">
        <v>45207</v>
      </c>
      <c r="C1649" s="1" t="n">
        <v>45754</v>
      </c>
      <c r="D1649" t="inlineStr">
        <is>
          <t>JÄMTLANDS LÄN</t>
        </is>
      </c>
      <c r="E1649" t="inlineStr">
        <is>
          <t>BRÄCKE</t>
        </is>
      </c>
      <c r="F1649" t="inlineStr">
        <is>
          <t>SCA</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48507-2023</t>
        </is>
      </c>
      <c r="B1650" s="1" t="n">
        <v>45208</v>
      </c>
      <c r="C1650" s="1" t="n">
        <v>45754</v>
      </c>
      <c r="D1650" t="inlineStr">
        <is>
          <t>JÄMTLANDS LÄN</t>
        </is>
      </c>
      <c r="E1650" t="inlineStr">
        <is>
          <t>BRÄCKE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48509-2023</t>
        </is>
      </c>
      <c r="B1651" s="1" t="n">
        <v>45207</v>
      </c>
      <c r="C1651" s="1" t="n">
        <v>45754</v>
      </c>
      <c r="D1651" t="inlineStr">
        <is>
          <t>JÄMTLANDS LÄN</t>
        </is>
      </c>
      <c r="E1651" t="inlineStr">
        <is>
          <t>BRÄCKE</t>
        </is>
      </c>
      <c r="F1651" t="inlineStr">
        <is>
          <t>SCA</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48672-2023</t>
        </is>
      </c>
      <c r="B1652" s="1" t="n">
        <v>45208</v>
      </c>
      <c r="C1652" s="1" t="n">
        <v>45754</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48770-2023</t>
        </is>
      </c>
      <c r="B1653" s="1" t="n">
        <v>45209</v>
      </c>
      <c r="C1653" s="1" t="n">
        <v>45754</v>
      </c>
      <c r="D1653" t="inlineStr">
        <is>
          <t>JÄMTLANDS LÄN</t>
        </is>
      </c>
      <c r="E1653" t="inlineStr">
        <is>
          <t>BRÄCKE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48779-2023</t>
        </is>
      </c>
      <c r="B1654" s="1" t="n">
        <v>45209</v>
      </c>
      <c r="C1654" s="1" t="n">
        <v>45754</v>
      </c>
      <c r="D1654" t="inlineStr">
        <is>
          <t>JÄMTLANDS LÄN</t>
        </is>
      </c>
      <c r="E1654" t="inlineStr">
        <is>
          <t>BRÄCKE</t>
        </is>
      </c>
      <c r="F1654" t="inlineStr">
        <is>
          <t>Naturvårdsverket</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48781-2023</t>
        </is>
      </c>
      <c r="B1655" s="1" t="n">
        <v>45209</v>
      </c>
      <c r="C1655" s="1" t="n">
        <v>45754</v>
      </c>
      <c r="D1655" t="inlineStr">
        <is>
          <t>JÄMTLANDS LÄN</t>
        </is>
      </c>
      <c r="E1655" t="inlineStr">
        <is>
          <t>BRÄCKE</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50151-2023</t>
        </is>
      </c>
      <c r="B1656" s="1" t="n">
        <v>45208</v>
      </c>
      <c r="C1656" s="1" t="n">
        <v>45754</v>
      </c>
      <c r="D1656" t="inlineStr">
        <is>
          <t>JÄMTLANDS LÄN</t>
        </is>
      </c>
      <c r="E1656" t="inlineStr">
        <is>
          <t>BRÄCKE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48900-2023</t>
        </is>
      </c>
      <c r="B1657" s="1" t="n">
        <v>45209</v>
      </c>
      <c r="C1657" s="1" t="n">
        <v>45754</v>
      </c>
      <c r="D1657" t="inlineStr">
        <is>
          <t>JÄMTLANDS LÄN</t>
        </is>
      </c>
      <c r="E1657" t="inlineStr">
        <is>
          <t>BRÄCKE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49035-2023</t>
        </is>
      </c>
      <c r="B1658" s="1" t="n">
        <v>45210</v>
      </c>
      <c r="C1658" s="1" t="n">
        <v>45754</v>
      </c>
      <c r="D1658" t="inlineStr">
        <is>
          <t>JÄMTLANDS LÄN</t>
        </is>
      </c>
      <c r="E1658" t="inlineStr">
        <is>
          <t>BRÄCKE</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49043-2023</t>
        </is>
      </c>
      <c r="B1659" s="1" t="n">
        <v>45210</v>
      </c>
      <c r="C1659" s="1" t="n">
        <v>45754</v>
      </c>
      <c r="D1659" t="inlineStr">
        <is>
          <t>JÄMTLANDS LÄN</t>
        </is>
      </c>
      <c r="E1659" t="inlineStr">
        <is>
          <t>BRÄCKE</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49044-2023</t>
        </is>
      </c>
      <c r="B1660" s="1" t="n">
        <v>45209</v>
      </c>
      <c r="C1660" s="1" t="n">
        <v>45754</v>
      </c>
      <c r="D1660" t="inlineStr">
        <is>
          <t>JÄMTLANDS LÄN</t>
        </is>
      </c>
      <c r="E1660" t="inlineStr">
        <is>
          <t>BRÄCKE</t>
        </is>
      </c>
      <c r="F1660" t="inlineStr">
        <is>
          <t>SCA</t>
        </is>
      </c>
      <c r="G1660" t="n">
        <v>12.4</v>
      </c>
      <c r="H1660" t="n">
        <v>0</v>
      </c>
      <c r="I1660" t="n">
        <v>0</v>
      </c>
      <c r="J1660" t="n">
        <v>0</v>
      </c>
      <c r="K1660" t="n">
        <v>0</v>
      </c>
      <c r="L1660" t="n">
        <v>0</v>
      </c>
      <c r="M1660" t="n">
        <v>0</v>
      </c>
      <c r="N1660" t="n">
        <v>0</v>
      </c>
      <c r="O1660" t="n">
        <v>0</v>
      </c>
      <c r="P1660" t="n">
        <v>0</v>
      </c>
      <c r="Q1660" t="n">
        <v>0</v>
      </c>
      <c r="R1660" s="2" t="inlineStr"/>
    </row>
    <row r="1661" ht="15" customHeight="1">
      <c r="A1661" t="inlineStr">
        <is>
          <t>A 49034-2023</t>
        </is>
      </c>
      <c r="B1661" s="1" t="n">
        <v>45210</v>
      </c>
      <c r="C1661" s="1" t="n">
        <v>45754</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49042-2023</t>
        </is>
      </c>
      <c r="B1662" s="1" t="n">
        <v>45210</v>
      </c>
      <c r="C1662" s="1" t="n">
        <v>45754</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49037-2023</t>
        </is>
      </c>
      <c r="B1663" s="1" t="n">
        <v>45210</v>
      </c>
      <c r="C1663" s="1" t="n">
        <v>45754</v>
      </c>
      <c r="D1663" t="inlineStr">
        <is>
          <t>JÄMTLANDS LÄN</t>
        </is>
      </c>
      <c r="E1663" t="inlineStr">
        <is>
          <t>BRÄCKE</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49326-2023</t>
        </is>
      </c>
      <c r="B1664" s="1" t="n">
        <v>45211</v>
      </c>
      <c r="C1664" s="1" t="n">
        <v>45754</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49330-2023</t>
        </is>
      </c>
      <c r="B1665" s="1" t="n">
        <v>45211</v>
      </c>
      <c r="C1665" s="1" t="n">
        <v>45754</v>
      </c>
      <c r="D1665" t="inlineStr">
        <is>
          <t>JÄMTLANDS LÄN</t>
        </is>
      </c>
      <c r="E1665" t="inlineStr">
        <is>
          <t>BRÄCKE</t>
        </is>
      </c>
      <c r="F1665" t="inlineStr">
        <is>
          <t>SCA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49315-2023</t>
        </is>
      </c>
      <c r="B1666" s="1" t="n">
        <v>45210</v>
      </c>
      <c r="C1666" s="1" t="n">
        <v>45754</v>
      </c>
      <c r="D1666" t="inlineStr">
        <is>
          <t>JÄMTLANDS LÄN</t>
        </is>
      </c>
      <c r="E1666" t="inlineStr">
        <is>
          <t>BRÄCKE</t>
        </is>
      </c>
      <c r="F1666" t="inlineStr">
        <is>
          <t>SCA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49316-2023</t>
        </is>
      </c>
      <c r="B1667" s="1" t="n">
        <v>45211</v>
      </c>
      <c r="C1667" s="1" t="n">
        <v>45754</v>
      </c>
      <c r="D1667" t="inlineStr">
        <is>
          <t>JÄMTLANDS LÄN</t>
        </is>
      </c>
      <c r="E1667" t="inlineStr">
        <is>
          <t>BRÄCKE</t>
        </is>
      </c>
      <c r="F1667" t="inlineStr">
        <is>
          <t>SCA</t>
        </is>
      </c>
      <c r="G1667" t="n">
        <v>13.4</v>
      </c>
      <c r="H1667" t="n">
        <v>0</v>
      </c>
      <c r="I1667" t="n">
        <v>0</v>
      </c>
      <c r="J1667" t="n">
        <v>0</v>
      </c>
      <c r="K1667" t="n">
        <v>0</v>
      </c>
      <c r="L1667" t="n">
        <v>0</v>
      </c>
      <c r="M1667" t="n">
        <v>0</v>
      </c>
      <c r="N1667" t="n">
        <v>0</v>
      </c>
      <c r="O1667" t="n">
        <v>0</v>
      </c>
      <c r="P1667" t="n">
        <v>0</v>
      </c>
      <c r="Q1667" t="n">
        <v>0</v>
      </c>
      <c r="R1667" s="2" t="inlineStr"/>
    </row>
    <row r="1668" ht="15" customHeight="1">
      <c r="A1668" t="inlineStr">
        <is>
          <t>A 49646-2023</t>
        </is>
      </c>
      <c r="B1668" s="1" t="n">
        <v>45211</v>
      </c>
      <c r="C1668" s="1" t="n">
        <v>45754</v>
      </c>
      <c r="D1668" t="inlineStr">
        <is>
          <t>JÄMTLANDS LÄN</t>
        </is>
      </c>
      <c r="E1668" t="inlineStr">
        <is>
          <t>BRÄCKE</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49653-2023</t>
        </is>
      </c>
      <c r="B1669" s="1" t="n">
        <v>45211</v>
      </c>
      <c r="C1669" s="1" t="n">
        <v>45754</v>
      </c>
      <c r="D1669" t="inlineStr">
        <is>
          <t>JÄMTLANDS LÄN</t>
        </is>
      </c>
      <c r="E1669" t="inlineStr">
        <is>
          <t>BRÄCKE</t>
        </is>
      </c>
      <c r="F1669" t="inlineStr">
        <is>
          <t>SCA</t>
        </is>
      </c>
      <c r="G1669" t="n">
        <v>66.7</v>
      </c>
      <c r="H1669" t="n">
        <v>0</v>
      </c>
      <c r="I1669" t="n">
        <v>0</v>
      </c>
      <c r="J1669" t="n">
        <v>0</v>
      </c>
      <c r="K1669" t="n">
        <v>0</v>
      </c>
      <c r="L1669" t="n">
        <v>0</v>
      </c>
      <c r="M1669" t="n">
        <v>0</v>
      </c>
      <c r="N1669" t="n">
        <v>0</v>
      </c>
      <c r="O1669" t="n">
        <v>0</v>
      </c>
      <c r="P1669" t="n">
        <v>0</v>
      </c>
      <c r="Q1669" t="n">
        <v>0</v>
      </c>
      <c r="R1669" s="2" t="inlineStr"/>
    </row>
    <row r="1670" ht="15" customHeight="1">
      <c r="A1670" t="inlineStr">
        <is>
          <t>A 49864-2023</t>
        </is>
      </c>
      <c r="B1670" s="1" t="n">
        <v>45212</v>
      </c>
      <c r="C1670" s="1" t="n">
        <v>45754</v>
      </c>
      <c r="D1670" t="inlineStr">
        <is>
          <t>JÄMTLANDS LÄN</t>
        </is>
      </c>
      <c r="E1670" t="inlineStr">
        <is>
          <t>BRÄCKE</t>
        </is>
      </c>
      <c r="F1670" t="inlineStr">
        <is>
          <t>SCA</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51140-2023</t>
        </is>
      </c>
      <c r="B1671" s="1" t="n">
        <v>45212</v>
      </c>
      <c r="C1671" s="1" t="n">
        <v>45754</v>
      </c>
      <c r="D1671" t="inlineStr">
        <is>
          <t>JÄMTLANDS LÄN</t>
        </is>
      </c>
      <c r="E1671" t="inlineStr">
        <is>
          <t>BRÄCKE</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50222-2023</t>
        </is>
      </c>
      <c r="B1672" s="1" t="n">
        <v>45216</v>
      </c>
      <c r="C1672" s="1" t="n">
        <v>45754</v>
      </c>
      <c r="D1672" t="inlineStr">
        <is>
          <t>JÄMTLANDS LÄN</t>
        </is>
      </c>
      <c r="E1672" t="inlineStr">
        <is>
          <t>BRÄCKE</t>
        </is>
      </c>
      <c r="F1672" t="inlineStr">
        <is>
          <t>SCA</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50060-2023</t>
        </is>
      </c>
      <c r="B1673" s="1" t="n">
        <v>45215</v>
      </c>
      <c r="C1673" s="1" t="n">
        <v>45754</v>
      </c>
      <c r="D1673" t="inlineStr">
        <is>
          <t>JÄMTLANDS LÄN</t>
        </is>
      </c>
      <c r="E1673" t="inlineStr">
        <is>
          <t>BRÄCKE</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50223-2023</t>
        </is>
      </c>
      <c r="B1674" s="1" t="n">
        <v>45216</v>
      </c>
      <c r="C1674" s="1" t="n">
        <v>45754</v>
      </c>
      <c r="D1674" t="inlineStr">
        <is>
          <t>JÄMTLANDS LÄN</t>
        </is>
      </c>
      <c r="E1674" t="inlineStr">
        <is>
          <t>BRÄCKE</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50221-2023</t>
        </is>
      </c>
      <c r="B1675" s="1" t="n">
        <v>45216</v>
      </c>
      <c r="C1675" s="1" t="n">
        <v>45754</v>
      </c>
      <c r="D1675" t="inlineStr">
        <is>
          <t>JÄMTLANDS LÄN</t>
        </is>
      </c>
      <c r="E1675" t="inlineStr">
        <is>
          <t>BRÄCKE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50220-2023</t>
        </is>
      </c>
      <c r="B1676" s="1" t="n">
        <v>45215</v>
      </c>
      <c r="C1676" s="1" t="n">
        <v>45754</v>
      </c>
      <c r="D1676" t="inlineStr">
        <is>
          <t>JÄMTLANDS LÄN</t>
        </is>
      </c>
      <c r="E1676" t="inlineStr">
        <is>
          <t>BRÄCKE</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50515-2023</t>
        </is>
      </c>
      <c r="B1677" s="1" t="n">
        <v>45216</v>
      </c>
      <c r="C1677" s="1" t="n">
        <v>45754</v>
      </c>
      <c r="D1677" t="inlineStr">
        <is>
          <t>JÄMTLANDS LÄN</t>
        </is>
      </c>
      <c r="E1677" t="inlineStr">
        <is>
          <t>BRÄCKE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50514-2023</t>
        </is>
      </c>
      <c r="B1678" s="1" t="n">
        <v>45217</v>
      </c>
      <c r="C1678" s="1" t="n">
        <v>45754</v>
      </c>
      <c r="D1678" t="inlineStr">
        <is>
          <t>JÄMTLANDS LÄN</t>
        </is>
      </c>
      <c r="E1678" t="inlineStr">
        <is>
          <t>BRÄCKE</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50609-2023</t>
        </is>
      </c>
      <c r="B1679" s="1" t="n">
        <v>45217</v>
      </c>
      <c r="C1679" s="1" t="n">
        <v>45754</v>
      </c>
      <c r="D1679" t="inlineStr">
        <is>
          <t>JÄMTLANDS LÄN</t>
        </is>
      </c>
      <c r="E1679" t="inlineStr">
        <is>
          <t>BRÄCKE</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50637-2023</t>
        </is>
      </c>
      <c r="B1680" s="1" t="n">
        <v>45217</v>
      </c>
      <c r="C1680" s="1" t="n">
        <v>45754</v>
      </c>
      <c r="D1680" t="inlineStr">
        <is>
          <t>JÄMTLANDS LÄN</t>
        </is>
      </c>
      <c r="E1680" t="inlineStr">
        <is>
          <t>BRÄCKE</t>
        </is>
      </c>
      <c r="G1680" t="n">
        <v>9.300000000000001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50827-2023</t>
        </is>
      </c>
      <c r="B1681" s="1" t="n">
        <v>45218</v>
      </c>
      <c r="C1681" s="1" t="n">
        <v>45754</v>
      </c>
      <c r="D1681" t="inlineStr">
        <is>
          <t>JÄMTLANDS LÄN</t>
        </is>
      </c>
      <c r="E1681" t="inlineStr">
        <is>
          <t>BRÄCKE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50828-2023</t>
        </is>
      </c>
      <c r="B1682" s="1" t="n">
        <v>45218</v>
      </c>
      <c r="C1682" s="1" t="n">
        <v>45754</v>
      </c>
      <c r="D1682" t="inlineStr">
        <is>
          <t>JÄMTLANDS LÄN</t>
        </is>
      </c>
      <c r="E1682" t="inlineStr">
        <is>
          <t>BRÄCKE</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50840-2023</t>
        </is>
      </c>
      <c r="B1683" s="1" t="n">
        <v>45217</v>
      </c>
      <c r="C1683" s="1" t="n">
        <v>45754</v>
      </c>
      <c r="D1683" t="inlineStr">
        <is>
          <t>JÄMTLANDS LÄN</t>
        </is>
      </c>
      <c r="E1683" t="inlineStr">
        <is>
          <t>BRÄCKE</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52269-2023</t>
        </is>
      </c>
      <c r="B1684" s="1" t="n">
        <v>45217</v>
      </c>
      <c r="C1684" s="1" t="n">
        <v>45754</v>
      </c>
      <c r="D1684" t="inlineStr">
        <is>
          <t>JÄMTLANDS LÄN</t>
        </is>
      </c>
      <c r="E1684" t="inlineStr">
        <is>
          <t>BRÄCKE</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51029-2023</t>
        </is>
      </c>
      <c r="B1685" s="1" t="n">
        <v>45218</v>
      </c>
      <c r="C1685" s="1" t="n">
        <v>45754</v>
      </c>
      <c r="D1685" t="inlineStr">
        <is>
          <t>JÄMTLANDS LÄN</t>
        </is>
      </c>
      <c r="E1685" t="inlineStr">
        <is>
          <t>BRÄCKE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51042-2023</t>
        </is>
      </c>
      <c r="B1686" s="1" t="n">
        <v>45218</v>
      </c>
      <c r="C1686" s="1" t="n">
        <v>45754</v>
      </c>
      <c r="D1686" t="inlineStr">
        <is>
          <t>JÄMTLANDS LÄN</t>
        </is>
      </c>
      <c r="E1686" t="inlineStr">
        <is>
          <t>BRÄCKE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51039-2023</t>
        </is>
      </c>
      <c r="B1687" s="1" t="n">
        <v>45218</v>
      </c>
      <c r="C1687" s="1" t="n">
        <v>45754</v>
      </c>
      <c r="D1687" t="inlineStr">
        <is>
          <t>JÄMTLANDS LÄN</t>
        </is>
      </c>
      <c r="E1687" t="inlineStr">
        <is>
          <t>BRÄCKE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51161-2023</t>
        </is>
      </c>
      <c r="B1688" s="1" t="n">
        <v>45219</v>
      </c>
      <c r="C1688" s="1" t="n">
        <v>45754</v>
      </c>
      <c r="D1688" t="inlineStr">
        <is>
          <t>JÄMTLANDS LÄN</t>
        </is>
      </c>
      <c r="E1688" t="inlineStr">
        <is>
          <t>BRÄCKE</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51421-2023</t>
        </is>
      </c>
      <c r="B1689" s="1" t="n">
        <v>45219</v>
      </c>
      <c r="C1689" s="1" t="n">
        <v>45754</v>
      </c>
      <c r="D1689" t="inlineStr">
        <is>
          <t>JÄMTLANDS LÄN</t>
        </is>
      </c>
      <c r="E1689" t="inlineStr">
        <is>
          <t>BRÄCKE</t>
        </is>
      </c>
      <c r="F1689" t="inlineStr">
        <is>
          <t>SCA</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51433-2023</t>
        </is>
      </c>
      <c r="B1690" s="1" t="n">
        <v>45220</v>
      </c>
      <c r="C1690" s="1" t="n">
        <v>45754</v>
      </c>
      <c r="D1690" t="inlineStr">
        <is>
          <t>JÄMTLANDS LÄN</t>
        </is>
      </c>
      <c r="E1690" t="inlineStr">
        <is>
          <t>BRÄCKE</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51441-2023</t>
        </is>
      </c>
      <c r="B1691" s="1" t="n">
        <v>45220</v>
      </c>
      <c r="C1691" s="1" t="n">
        <v>45754</v>
      </c>
      <c r="D1691" t="inlineStr">
        <is>
          <t>JÄMTLANDS LÄN</t>
        </is>
      </c>
      <c r="E1691" t="inlineStr">
        <is>
          <t>BRÄCKE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51424-2023</t>
        </is>
      </c>
      <c r="B1692" s="1" t="n">
        <v>45220</v>
      </c>
      <c r="C1692" s="1" t="n">
        <v>45754</v>
      </c>
      <c r="D1692" t="inlineStr">
        <is>
          <t>JÄMTLANDS LÄN</t>
        </is>
      </c>
      <c r="E1692" t="inlineStr">
        <is>
          <t>BRÄCKE</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51432-2023</t>
        </is>
      </c>
      <c r="B1693" s="1" t="n">
        <v>45220</v>
      </c>
      <c r="C1693" s="1" t="n">
        <v>45754</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51440-2023</t>
        </is>
      </c>
      <c r="B1694" s="1" t="n">
        <v>45220</v>
      </c>
      <c r="C1694" s="1" t="n">
        <v>45754</v>
      </c>
      <c r="D1694" t="inlineStr">
        <is>
          <t>JÄMTLANDS LÄN</t>
        </is>
      </c>
      <c r="E1694" t="inlineStr">
        <is>
          <t>BRÄCKE</t>
        </is>
      </c>
      <c r="F1694" t="inlineStr">
        <is>
          <t>SCA</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51431-2023</t>
        </is>
      </c>
      <c r="B1695" s="1" t="n">
        <v>45220</v>
      </c>
      <c r="C1695" s="1" t="n">
        <v>45754</v>
      </c>
      <c r="D1695" t="inlineStr">
        <is>
          <t>JÄMTLANDS LÄN</t>
        </is>
      </c>
      <c r="E1695" t="inlineStr">
        <is>
          <t>BRÄCKE</t>
        </is>
      </c>
      <c r="F1695" t="inlineStr">
        <is>
          <t>SCA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51423-2023</t>
        </is>
      </c>
      <c r="B1696" s="1" t="n">
        <v>45220</v>
      </c>
      <c r="C1696" s="1" t="n">
        <v>45754</v>
      </c>
      <c r="D1696" t="inlineStr">
        <is>
          <t>JÄMTLANDS LÄN</t>
        </is>
      </c>
      <c r="E1696" t="inlineStr">
        <is>
          <t>BRÄCKE</t>
        </is>
      </c>
      <c r="F1696" t="inlineStr">
        <is>
          <t>SCA</t>
        </is>
      </c>
      <c r="G1696" t="n">
        <v>15.1</v>
      </c>
      <c r="H1696" t="n">
        <v>0</v>
      </c>
      <c r="I1696" t="n">
        <v>0</v>
      </c>
      <c r="J1696" t="n">
        <v>0</v>
      </c>
      <c r="K1696" t="n">
        <v>0</v>
      </c>
      <c r="L1696" t="n">
        <v>0</v>
      </c>
      <c r="M1696" t="n">
        <v>0</v>
      </c>
      <c r="N1696" t="n">
        <v>0</v>
      </c>
      <c r="O1696" t="n">
        <v>0</v>
      </c>
      <c r="P1696" t="n">
        <v>0</v>
      </c>
      <c r="Q1696" t="n">
        <v>0</v>
      </c>
      <c r="R1696" s="2" t="inlineStr"/>
    </row>
    <row r="1697" ht="15" customHeight="1">
      <c r="A1697" t="inlineStr">
        <is>
          <t>A 51167-2023</t>
        </is>
      </c>
      <c r="B1697" s="1" t="n">
        <v>45219</v>
      </c>
      <c r="C1697" s="1" t="n">
        <v>45754</v>
      </c>
      <c r="D1697" t="inlineStr">
        <is>
          <t>JÄMTLANDS LÄN</t>
        </is>
      </c>
      <c r="E1697" t="inlineStr">
        <is>
          <t>BRÄCKE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51422-2023</t>
        </is>
      </c>
      <c r="B1698" s="1" t="n">
        <v>45219</v>
      </c>
      <c r="C1698" s="1" t="n">
        <v>45754</v>
      </c>
      <c r="D1698" t="inlineStr">
        <is>
          <t>JÄMTLANDS LÄN</t>
        </is>
      </c>
      <c r="E1698" t="inlineStr">
        <is>
          <t>BRÄCKE</t>
        </is>
      </c>
      <c r="F1698" t="inlineStr">
        <is>
          <t>SCA</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51434-2023</t>
        </is>
      </c>
      <c r="B1699" s="1" t="n">
        <v>45220</v>
      </c>
      <c r="C1699" s="1" t="n">
        <v>45754</v>
      </c>
      <c r="D1699" t="inlineStr">
        <is>
          <t>JÄMTLANDS LÄN</t>
        </is>
      </c>
      <c r="E1699" t="inlineStr">
        <is>
          <t>BRÄCKE</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51808-2023</t>
        </is>
      </c>
      <c r="B1700" s="1" t="n">
        <v>45222</v>
      </c>
      <c r="C1700" s="1" t="n">
        <v>45754</v>
      </c>
      <c r="D1700" t="inlineStr">
        <is>
          <t>JÄMTLANDS LÄN</t>
        </is>
      </c>
      <c r="E1700" t="inlineStr">
        <is>
          <t>BRÄCKE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51809-2023</t>
        </is>
      </c>
      <c r="B1701" s="1" t="n">
        <v>45223</v>
      </c>
      <c r="C1701" s="1" t="n">
        <v>45754</v>
      </c>
      <c r="D1701" t="inlineStr">
        <is>
          <t>JÄMTLANDS LÄN</t>
        </is>
      </c>
      <c r="E1701" t="inlineStr">
        <is>
          <t>BRÄCKE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51821-2023</t>
        </is>
      </c>
      <c r="B1702" s="1" t="n">
        <v>45222</v>
      </c>
      <c r="C1702" s="1" t="n">
        <v>45754</v>
      </c>
      <c r="D1702" t="inlineStr">
        <is>
          <t>JÄMTLANDS LÄN</t>
        </is>
      </c>
      <c r="E1702" t="inlineStr">
        <is>
          <t>BRÄCKE</t>
        </is>
      </c>
      <c r="F1702" t="inlineStr">
        <is>
          <t>SCA</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51832-2023</t>
        </is>
      </c>
      <c r="B1703" s="1" t="n">
        <v>45223</v>
      </c>
      <c r="C1703" s="1" t="n">
        <v>45754</v>
      </c>
      <c r="D1703" t="inlineStr">
        <is>
          <t>JÄMTLANDS LÄN</t>
        </is>
      </c>
      <c r="E1703" t="inlineStr">
        <is>
          <t>BRÄCKE</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51827-2023</t>
        </is>
      </c>
      <c r="B1704" s="1" t="n">
        <v>45223</v>
      </c>
      <c r="C1704" s="1" t="n">
        <v>45754</v>
      </c>
      <c r="D1704" t="inlineStr">
        <is>
          <t>JÄMTLANDS LÄN</t>
        </is>
      </c>
      <c r="E1704" t="inlineStr">
        <is>
          <t>BRÄCKE</t>
        </is>
      </c>
      <c r="F1704" t="inlineStr">
        <is>
          <t>SCA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53027-2023</t>
        </is>
      </c>
      <c r="B1705" s="1" t="n">
        <v>45222</v>
      </c>
      <c r="C1705" s="1" t="n">
        <v>45754</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52124-2023</t>
        </is>
      </c>
      <c r="B1706" s="1" t="n">
        <v>45224</v>
      </c>
      <c r="C1706" s="1" t="n">
        <v>45754</v>
      </c>
      <c r="D1706" t="inlineStr">
        <is>
          <t>JÄMTLANDS LÄN</t>
        </is>
      </c>
      <c r="E1706" t="inlineStr">
        <is>
          <t>BRÄCKE</t>
        </is>
      </c>
      <c r="F1706" t="inlineStr">
        <is>
          <t>SCA</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52127-2023</t>
        </is>
      </c>
      <c r="B1707" s="1" t="n">
        <v>45224</v>
      </c>
      <c r="C1707" s="1" t="n">
        <v>45754</v>
      </c>
      <c r="D1707" t="inlineStr">
        <is>
          <t>JÄMTLANDS LÄN</t>
        </is>
      </c>
      <c r="E1707" t="inlineStr">
        <is>
          <t>BRÄCKE</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52133-2023</t>
        </is>
      </c>
      <c r="B1708" s="1" t="n">
        <v>45224</v>
      </c>
      <c r="C1708" s="1" t="n">
        <v>45754</v>
      </c>
      <c r="D1708" t="inlineStr">
        <is>
          <t>JÄMTLANDS LÄN</t>
        </is>
      </c>
      <c r="E1708" t="inlineStr">
        <is>
          <t>BRÄCKE</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52137-2023</t>
        </is>
      </c>
      <c r="B1709" s="1" t="n">
        <v>45224</v>
      </c>
      <c r="C1709" s="1" t="n">
        <v>45754</v>
      </c>
      <c r="D1709" t="inlineStr">
        <is>
          <t>JÄMTLANDS LÄN</t>
        </is>
      </c>
      <c r="E1709" t="inlineStr">
        <is>
          <t>BRÄCKE</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53522-2023</t>
        </is>
      </c>
      <c r="B1710" s="1" t="n">
        <v>45223</v>
      </c>
      <c r="C1710" s="1" t="n">
        <v>45754</v>
      </c>
      <c r="D1710" t="inlineStr">
        <is>
          <t>JÄMTLANDS LÄN</t>
        </is>
      </c>
      <c r="E1710" t="inlineStr">
        <is>
          <t>BRÄCKE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53480-2023</t>
        </is>
      </c>
      <c r="B1711" s="1" t="n">
        <v>45223</v>
      </c>
      <c r="C1711" s="1" t="n">
        <v>45754</v>
      </c>
      <c r="D1711" t="inlineStr">
        <is>
          <t>JÄMTLANDS LÄN</t>
        </is>
      </c>
      <c r="E1711" t="inlineStr">
        <is>
          <t>BRÄCKE</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52723-2023</t>
        </is>
      </c>
      <c r="B1712" s="1" t="n">
        <v>45225</v>
      </c>
      <c r="C1712" s="1" t="n">
        <v>45754</v>
      </c>
      <c r="D1712" t="inlineStr">
        <is>
          <t>JÄMTLANDS LÄN</t>
        </is>
      </c>
      <c r="E1712" t="inlineStr">
        <is>
          <t>BRÄCKE</t>
        </is>
      </c>
      <c r="G1712" t="n">
        <v>9.699999999999999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52760-2023</t>
        </is>
      </c>
      <c r="B1713" s="1" t="n">
        <v>45225</v>
      </c>
      <c r="C1713" s="1" t="n">
        <v>45754</v>
      </c>
      <c r="D1713" t="inlineStr">
        <is>
          <t>JÄMTLANDS LÄN</t>
        </is>
      </c>
      <c r="E1713" t="inlineStr">
        <is>
          <t>BRÄCKE</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52761-2023</t>
        </is>
      </c>
      <c r="B1714" s="1" t="n">
        <v>45225</v>
      </c>
      <c r="C1714" s="1" t="n">
        <v>45754</v>
      </c>
      <c r="D1714" t="inlineStr">
        <is>
          <t>JÄMTLANDS LÄN</t>
        </is>
      </c>
      <c r="E1714" t="inlineStr">
        <is>
          <t>BRÄCKE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52754-2023</t>
        </is>
      </c>
      <c r="B1715" s="1" t="n">
        <v>45226</v>
      </c>
      <c r="C1715" s="1" t="n">
        <v>45754</v>
      </c>
      <c r="D1715" t="inlineStr">
        <is>
          <t>JÄMTLANDS LÄN</t>
        </is>
      </c>
      <c r="E1715" t="inlineStr">
        <is>
          <t>BRÄCKE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52739-2023</t>
        </is>
      </c>
      <c r="B1716" s="1" t="n">
        <v>45225</v>
      </c>
      <c r="C1716" s="1" t="n">
        <v>45754</v>
      </c>
      <c r="D1716" t="inlineStr">
        <is>
          <t>JÄMTLANDS LÄN</t>
        </is>
      </c>
      <c r="E1716" t="inlineStr">
        <is>
          <t>BRÄCKE</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52743-2023</t>
        </is>
      </c>
      <c r="B1717" s="1" t="n">
        <v>45226</v>
      </c>
      <c r="C1717" s="1" t="n">
        <v>45754</v>
      </c>
      <c r="D1717" t="inlineStr">
        <is>
          <t>JÄMTLANDS LÄN</t>
        </is>
      </c>
      <c r="E1717" t="inlineStr">
        <is>
          <t>BRÄCKE</t>
        </is>
      </c>
      <c r="F1717" t="inlineStr">
        <is>
          <t>SCA</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53054-2023</t>
        </is>
      </c>
      <c r="B1718" s="1" t="n">
        <v>45227</v>
      </c>
      <c r="C1718" s="1" t="n">
        <v>45754</v>
      </c>
      <c r="D1718" t="inlineStr">
        <is>
          <t>JÄMTLANDS LÄN</t>
        </is>
      </c>
      <c r="E1718" t="inlineStr">
        <is>
          <t>BRÄCKE</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53046-2023</t>
        </is>
      </c>
      <c r="B1719" s="1" t="n">
        <v>45227</v>
      </c>
      <c r="C1719" s="1" t="n">
        <v>45754</v>
      </c>
      <c r="D1719" t="inlineStr">
        <is>
          <t>JÄMTLANDS LÄN</t>
        </is>
      </c>
      <c r="E1719" t="inlineStr">
        <is>
          <t>BRÄCKE</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53047-2023</t>
        </is>
      </c>
      <c r="B1720" s="1" t="n">
        <v>45227</v>
      </c>
      <c r="C1720" s="1" t="n">
        <v>45754</v>
      </c>
      <c r="D1720" t="inlineStr">
        <is>
          <t>JÄMTLANDS LÄN</t>
        </is>
      </c>
      <c r="E1720" t="inlineStr">
        <is>
          <t>BRÄCKE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53760-2023</t>
        </is>
      </c>
      <c r="B1721" s="1" t="n">
        <v>45230</v>
      </c>
      <c r="C1721" s="1" t="n">
        <v>45754</v>
      </c>
      <c r="D1721" t="inlineStr">
        <is>
          <t>JÄMTLANDS LÄN</t>
        </is>
      </c>
      <c r="E1721" t="inlineStr">
        <is>
          <t>BRÄCKE</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53555-2023</t>
        </is>
      </c>
      <c r="B1722" s="1" t="n">
        <v>45230</v>
      </c>
      <c r="C1722" s="1" t="n">
        <v>45754</v>
      </c>
      <c r="D1722" t="inlineStr">
        <is>
          <t>JÄMTLANDS LÄN</t>
        </is>
      </c>
      <c r="E1722" t="inlineStr">
        <is>
          <t>BRÄCKE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53761-2023</t>
        </is>
      </c>
      <c r="B1723" s="1" t="n">
        <v>45231</v>
      </c>
      <c r="C1723" s="1" t="n">
        <v>45754</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54070-2023</t>
        </is>
      </c>
      <c r="B1724" s="1" t="n">
        <v>45232</v>
      </c>
      <c r="C1724" s="1" t="n">
        <v>45754</v>
      </c>
      <c r="D1724" t="inlineStr">
        <is>
          <t>JÄMTLANDS LÄN</t>
        </is>
      </c>
      <c r="E1724" t="inlineStr">
        <is>
          <t>BRÄCKE</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54074-2023</t>
        </is>
      </c>
      <c r="B1725" s="1" t="n">
        <v>45232</v>
      </c>
      <c r="C1725" s="1" t="n">
        <v>45754</v>
      </c>
      <c r="D1725" t="inlineStr">
        <is>
          <t>JÄMTLANDS LÄN</t>
        </is>
      </c>
      <c r="E1725" t="inlineStr">
        <is>
          <t>BRÄCKE</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54072-2023</t>
        </is>
      </c>
      <c r="B1726" s="1" t="n">
        <v>45231</v>
      </c>
      <c r="C1726" s="1" t="n">
        <v>45754</v>
      </c>
      <c r="D1726" t="inlineStr">
        <is>
          <t>JÄMTLANDS LÄN</t>
        </is>
      </c>
      <c r="E1726" t="inlineStr">
        <is>
          <t>BRÄCKE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55242-2023</t>
        </is>
      </c>
      <c r="B1727" s="1" t="n">
        <v>45231</v>
      </c>
      <c r="C1727" s="1" t="n">
        <v>45754</v>
      </c>
      <c r="D1727" t="inlineStr">
        <is>
          <t>JÄMTLANDS LÄN</t>
        </is>
      </c>
      <c r="E1727" t="inlineStr">
        <is>
          <t>BRÄCKE</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54073-2023</t>
        </is>
      </c>
      <c r="B1728" s="1" t="n">
        <v>45231</v>
      </c>
      <c r="C1728" s="1" t="n">
        <v>45754</v>
      </c>
      <c r="D1728" t="inlineStr">
        <is>
          <t>JÄMTLANDS LÄN</t>
        </is>
      </c>
      <c r="E1728" t="inlineStr">
        <is>
          <t>BRÄCKE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54334-2023</t>
        </is>
      </c>
      <c r="B1729" s="1" t="n">
        <v>45232</v>
      </c>
      <c r="C1729" s="1" t="n">
        <v>45754</v>
      </c>
      <c r="D1729" t="inlineStr">
        <is>
          <t>JÄMTLANDS LÄN</t>
        </is>
      </c>
      <c r="E1729" t="inlineStr">
        <is>
          <t>BRÄCKE</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54355-2023</t>
        </is>
      </c>
      <c r="B1730" s="1" t="n">
        <v>45233</v>
      </c>
      <c r="C1730" s="1" t="n">
        <v>45754</v>
      </c>
      <c r="D1730" t="inlineStr">
        <is>
          <t>JÄMTLANDS LÄN</t>
        </is>
      </c>
      <c r="E1730" t="inlineStr">
        <is>
          <t>BRÄCKE</t>
        </is>
      </c>
      <c r="F1730" t="inlineStr">
        <is>
          <t>Kyrkan</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54350-2023</t>
        </is>
      </c>
      <c r="B1731" s="1" t="n">
        <v>45232</v>
      </c>
      <c r="C1731" s="1" t="n">
        <v>45754</v>
      </c>
      <c r="D1731" t="inlineStr">
        <is>
          <t>JÄMTLANDS LÄN</t>
        </is>
      </c>
      <c r="E1731" t="inlineStr">
        <is>
          <t>BRÄCKE</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54328-2023</t>
        </is>
      </c>
      <c r="B1732" s="1" t="n">
        <v>45232</v>
      </c>
      <c r="C1732" s="1" t="n">
        <v>45754</v>
      </c>
      <c r="D1732" t="inlineStr">
        <is>
          <t>JÄMTLANDS LÄN</t>
        </is>
      </c>
      <c r="E1732" t="inlineStr">
        <is>
          <t>BRÄCKE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54332-2023</t>
        </is>
      </c>
      <c r="B1733" s="1" t="n">
        <v>45232</v>
      </c>
      <c r="C1733" s="1" t="n">
        <v>45754</v>
      </c>
      <c r="D1733" t="inlineStr">
        <is>
          <t>JÄMTLANDS LÄN</t>
        </is>
      </c>
      <c r="E1733" t="inlineStr">
        <is>
          <t>BRÄCKE</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54331-2023</t>
        </is>
      </c>
      <c r="B1734" s="1" t="n">
        <v>45232</v>
      </c>
      <c r="C1734" s="1" t="n">
        <v>45754</v>
      </c>
      <c r="D1734" t="inlineStr">
        <is>
          <t>JÄMTLANDS LÄN</t>
        </is>
      </c>
      <c r="E1734" t="inlineStr">
        <is>
          <t>BRÄCKE</t>
        </is>
      </c>
      <c r="F1734" t="inlineStr">
        <is>
          <t>SCA</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54335-2023</t>
        </is>
      </c>
      <c r="B1735" s="1" t="n">
        <v>45232</v>
      </c>
      <c r="C1735" s="1" t="n">
        <v>45754</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54352-2023</t>
        </is>
      </c>
      <c r="B1736" s="1" t="n">
        <v>45233</v>
      </c>
      <c r="C1736" s="1" t="n">
        <v>45754</v>
      </c>
      <c r="D1736" t="inlineStr">
        <is>
          <t>JÄMTLANDS LÄN</t>
        </is>
      </c>
      <c r="E1736" t="inlineStr">
        <is>
          <t>BRÄCKE</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55548-2023</t>
        </is>
      </c>
      <c r="B1737" s="1" t="n">
        <v>45232</v>
      </c>
      <c r="C1737" s="1" t="n">
        <v>45754</v>
      </c>
      <c r="D1737" t="inlineStr">
        <is>
          <t>JÄMTLANDS LÄN</t>
        </is>
      </c>
      <c r="E1737" t="inlineStr">
        <is>
          <t>BRÄCKE</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54612-2023</t>
        </is>
      </c>
      <c r="B1738" s="1" t="n">
        <v>45233</v>
      </c>
      <c r="C1738" s="1" t="n">
        <v>45754</v>
      </c>
      <c r="D1738" t="inlineStr">
        <is>
          <t>JÄMTLANDS LÄN</t>
        </is>
      </c>
      <c r="E1738" t="inlineStr">
        <is>
          <t>BRÄCKE</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54460-2023</t>
        </is>
      </c>
      <c r="B1739" s="1" t="n">
        <v>45233</v>
      </c>
      <c r="C1739" s="1" t="n">
        <v>45754</v>
      </c>
      <c r="D1739" t="inlineStr">
        <is>
          <t>JÄMTLANDS LÄN</t>
        </is>
      </c>
      <c r="E1739" t="inlineStr">
        <is>
          <t>BRÄCKE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54600-2023</t>
        </is>
      </c>
      <c r="B1740" s="1" t="n">
        <v>45233</v>
      </c>
      <c r="C1740" s="1" t="n">
        <v>45754</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54447-2023</t>
        </is>
      </c>
      <c r="B1741" s="1" t="n">
        <v>45233</v>
      </c>
      <c r="C1741" s="1" t="n">
        <v>45754</v>
      </c>
      <c r="D1741" t="inlineStr">
        <is>
          <t>JÄMTLANDS LÄN</t>
        </is>
      </c>
      <c r="E1741" t="inlineStr">
        <is>
          <t>BRÄCKE</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54451-2023</t>
        </is>
      </c>
      <c r="B1742" s="1" t="n">
        <v>45233</v>
      </c>
      <c r="C1742" s="1" t="n">
        <v>45754</v>
      </c>
      <c r="D1742" t="inlineStr">
        <is>
          <t>JÄMTLANDS LÄN</t>
        </is>
      </c>
      <c r="E1742" t="inlineStr">
        <is>
          <t>BRÄCKE</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54986-2023</t>
        </is>
      </c>
      <c r="B1743" s="1" t="n">
        <v>45237</v>
      </c>
      <c r="C1743" s="1" t="n">
        <v>45754</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54789-2023</t>
        </is>
      </c>
      <c r="B1744" s="1" t="n">
        <v>45236</v>
      </c>
      <c r="C1744" s="1" t="n">
        <v>45754</v>
      </c>
      <c r="D1744" t="inlineStr">
        <is>
          <t>JÄMTLANDS LÄN</t>
        </is>
      </c>
      <c r="E1744" t="inlineStr">
        <is>
          <t>BRÄCKE</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54949-2023</t>
        </is>
      </c>
      <c r="B1745" s="1" t="n">
        <v>45236</v>
      </c>
      <c r="C1745" s="1" t="n">
        <v>45754</v>
      </c>
      <c r="D1745" t="inlineStr">
        <is>
          <t>JÄMTLANDS LÄN</t>
        </is>
      </c>
      <c r="E1745" t="inlineStr">
        <is>
          <t>BRÄCKE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56499-2023</t>
        </is>
      </c>
      <c r="B1746" s="1" t="n">
        <v>45237</v>
      </c>
      <c r="C1746" s="1" t="n">
        <v>45754</v>
      </c>
      <c r="D1746" t="inlineStr">
        <is>
          <t>JÄMTLANDS LÄN</t>
        </is>
      </c>
      <c r="E1746" t="inlineStr">
        <is>
          <t>BRÄCKE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55665-2023</t>
        </is>
      </c>
      <c r="B1747" s="1" t="n">
        <v>45239</v>
      </c>
      <c r="C1747" s="1" t="n">
        <v>45754</v>
      </c>
      <c r="D1747" t="inlineStr">
        <is>
          <t>JÄMTLANDS LÄN</t>
        </is>
      </c>
      <c r="E1747" t="inlineStr">
        <is>
          <t>BRÄCKE</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55662-2023</t>
        </is>
      </c>
      <c r="B1748" s="1" t="n">
        <v>45239</v>
      </c>
      <c r="C1748" s="1" t="n">
        <v>45754</v>
      </c>
      <c r="D1748" t="inlineStr">
        <is>
          <t>JÄMTLANDS LÄN</t>
        </is>
      </c>
      <c r="E1748" t="inlineStr">
        <is>
          <t>BRÄCKE</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55668-2023</t>
        </is>
      </c>
      <c r="B1749" s="1" t="n">
        <v>45238</v>
      </c>
      <c r="C1749" s="1" t="n">
        <v>45754</v>
      </c>
      <c r="D1749" t="inlineStr">
        <is>
          <t>JÄMTLANDS LÄN</t>
        </is>
      </c>
      <c r="E1749" t="inlineStr">
        <is>
          <t>BRÄCKE</t>
        </is>
      </c>
      <c r="F1749" t="inlineStr">
        <is>
          <t>SCA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55659-2023</t>
        </is>
      </c>
      <c r="B1750" s="1" t="n">
        <v>45239</v>
      </c>
      <c r="C1750" s="1" t="n">
        <v>45754</v>
      </c>
      <c r="D1750" t="inlineStr">
        <is>
          <t>JÄMTLANDS LÄN</t>
        </is>
      </c>
      <c r="E1750" t="inlineStr">
        <is>
          <t>BRÄCKE</t>
        </is>
      </c>
      <c r="F1750" t="inlineStr">
        <is>
          <t>SCA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55663-2023</t>
        </is>
      </c>
      <c r="B1751" s="1" t="n">
        <v>45239</v>
      </c>
      <c r="C1751" s="1" t="n">
        <v>45754</v>
      </c>
      <c r="D1751" t="inlineStr">
        <is>
          <t>JÄMTLANDS LÄN</t>
        </is>
      </c>
      <c r="E1751" t="inlineStr">
        <is>
          <t>BRÄCKE</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55667-2023</t>
        </is>
      </c>
      <c r="B1752" s="1" t="n">
        <v>45239</v>
      </c>
      <c r="C1752" s="1" t="n">
        <v>45754</v>
      </c>
      <c r="D1752" t="inlineStr">
        <is>
          <t>JÄMTLANDS LÄN</t>
        </is>
      </c>
      <c r="E1752" t="inlineStr">
        <is>
          <t>BRÄCKE</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56253-2023</t>
        </is>
      </c>
      <c r="B1753" s="1" t="n">
        <v>45240</v>
      </c>
      <c r="C1753" s="1" t="n">
        <v>45754</v>
      </c>
      <c r="D1753" t="inlineStr">
        <is>
          <t>JÄMTLANDS LÄN</t>
        </is>
      </c>
      <c r="E1753" t="inlineStr">
        <is>
          <t>BRÄCKE</t>
        </is>
      </c>
      <c r="F1753" t="inlineStr">
        <is>
          <t>SCA</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56688-2023</t>
        </is>
      </c>
      <c r="B1754" s="1" t="n">
        <v>45244</v>
      </c>
      <c r="C1754" s="1" t="n">
        <v>45754</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56686-2023</t>
        </is>
      </c>
      <c r="B1755" s="1" t="n">
        <v>45244</v>
      </c>
      <c r="C1755" s="1" t="n">
        <v>45754</v>
      </c>
      <c r="D1755" t="inlineStr">
        <is>
          <t>JÄMTLANDS LÄN</t>
        </is>
      </c>
      <c r="E1755" t="inlineStr">
        <is>
          <t>BRÄCKE</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56690-2023</t>
        </is>
      </c>
      <c r="B1756" s="1" t="n">
        <v>45244</v>
      </c>
      <c r="C1756" s="1" t="n">
        <v>45754</v>
      </c>
      <c r="D1756" t="inlineStr">
        <is>
          <t>JÄMTLANDS LÄN</t>
        </is>
      </c>
      <c r="E1756" t="inlineStr">
        <is>
          <t>BRÄCKE</t>
        </is>
      </c>
      <c r="G1756" t="n">
        <v>24.3</v>
      </c>
      <c r="H1756" t="n">
        <v>0</v>
      </c>
      <c r="I1756" t="n">
        <v>0</v>
      </c>
      <c r="J1756" t="n">
        <v>0</v>
      </c>
      <c r="K1756" t="n">
        <v>0</v>
      </c>
      <c r="L1756" t="n">
        <v>0</v>
      </c>
      <c r="M1756" t="n">
        <v>0</v>
      </c>
      <c r="N1756" t="n">
        <v>0</v>
      </c>
      <c r="O1756" t="n">
        <v>0</v>
      </c>
      <c r="P1756" t="n">
        <v>0</v>
      </c>
      <c r="Q1756" t="n">
        <v>0</v>
      </c>
      <c r="R1756" s="2" t="inlineStr"/>
    </row>
    <row r="1757" ht="15" customHeight="1">
      <c r="A1757" t="inlineStr">
        <is>
          <t>A 56525-2023</t>
        </is>
      </c>
      <c r="B1757" s="1" t="n">
        <v>45243</v>
      </c>
      <c r="C1757" s="1" t="n">
        <v>45754</v>
      </c>
      <c r="D1757" t="inlineStr">
        <is>
          <t>JÄMTLANDS LÄN</t>
        </is>
      </c>
      <c r="E1757" t="inlineStr">
        <is>
          <t>BRÄCKE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56687-2023</t>
        </is>
      </c>
      <c r="B1758" s="1" t="n">
        <v>45244</v>
      </c>
      <c r="C1758" s="1" t="n">
        <v>45754</v>
      </c>
      <c r="D1758" t="inlineStr">
        <is>
          <t>JÄMTLANDS LÄN</t>
        </is>
      </c>
      <c r="E1758" t="inlineStr">
        <is>
          <t>BRÄCKE</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57612-2023</t>
        </is>
      </c>
      <c r="B1759" s="1" t="n">
        <v>45243</v>
      </c>
      <c r="C1759" s="1" t="n">
        <v>45754</v>
      </c>
      <c r="D1759" t="inlineStr">
        <is>
          <t>JÄMTLANDS LÄN</t>
        </is>
      </c>
      <c r="E1759" t="inlineStr">
        <is>
          <t>BRÄCKE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57942-2023</t>
        </is>
      </c>
      <c r="B1760" s="1" t="n">
        <v>45244</v>
      </c>
      <c r="C1760" s="1" t="n">
        <v>45754</v>
      </c>
      <c r="D1760" t="inlineStr">
        <is>
          <t>JÄMTLANDS LÄN</t>
        </is>
      </c>
      <c r="E1760" t="inlineStr">
        <is>
          <t>BRÄCKE</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57412-2023</t>
        </is>
      </c>
      <c r="B1761" s="1" t="n">
        <v>45246</v>
      </c>
      <c r="C1761" s="1" t="n">
        <v>45754</v>
      </c>
      <c r="D1761" t="inlineStr">
        <is>
          <t>JÄMTLANDS LÄN</t>
        </is>
      </c>
      <c r="E1761" t="inlineStr">
        <is>
          <t>BRÄCKE</t>
        </is>
      </c>
      <c r="F1761" t="inlineStr">
        <is>
          <t>SCA</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57420-2023</t>
        </is>
      </c>
      <c r="B1762" s="1" t="n">
        <v>45246</v>
      </c>
      <c r="C1762" s="1" t="n">
        <v>45754</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57393-2023</t>
        </is>
      </c>
      <c r="B1763" s="1" t="n">
        <v>45246</v>
      </c>
      <c r="C1763" s="1" t="n">
        <v>45754</v>
      </c>
      <c r="D1763" t="inlineStr">
        <is>
          <t>JÄMTLANDS LÄN</t>
        </is>
      </c>
      <c r="E1763" t="inlineStr">
        <is>
          <t>BRÄCKE</t>
        </is>
      </c>
      <c r="F1763" t="inlineStr">
        <is>
          <t>SCA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57397-2023</t>
        </is>
      </c>
      <c r="B1764" s="1" t="n">
        <v>45245</v>
      </c>
      <c r="C1764" s="1" t="n">
        <v>45754</v>
      </c>
      <c r="D1764" t="inlineStr">
        <is>
          <t>JÄMTLANDS LÄN</t>
        </is>
      </c>
      <c r="E1764" t="inlineStr">
        <is>
          <t>BRÄCKE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57414-2023</t>
        </is>
      </c>
      <c r="B1765" s="1" t="n">
        <v>45246</v>
      </c>
      <c r="C1765" s="1" t="n">
        <v>45754</v>
      </c>
      <c r="D1765" t="inlineStr">
        <is>
          <t>JÄMTLANDS LÄN</t>
        </is>
      </c>
      <c r="E1765" t="inlineStr">
        <is>
          <t>BRÄCKE</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57405-2023</t>
        </is>
      </c>
      <c r="B1766" s="1" t="n">
        <v>45245</v>
      </c>
      <c r="C1766" s="1" t="n">
        <v>45754</v>
      </c>
      <c r="D1766" t="inlineStr">
        <is>
          <t>JÄMTLANDS LÄN</t>
        </is>
      </c>
      <c r="E1766" t="inlineStr">
        <is>
          <t>BRÄCKE</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57417-2023</t>
        </is>
      </c>
      <c r="B1767" s="1" t="n">
        <v>45246</v>
      </c>
      <c r="C1767" s="1" t="n">
        <v>45754</v>
      </c>
      <c r="D1767" t="inlineStr">
        <is>
          <t>JÄMTLANDS LÄN</t>
        </is>
      </c>
      <c r="E1767" t="inlineStr">
        <is>
          <t>BRÄCKE</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57407-2023</t>
        </is>
      </c>
      <c r="B1768" s="1" t="n">
        <v>45245</v>
      </c>
      <c r="C1768" s="1" t="n">
        <v>45754</v>
      </c>
      <c r="D1768" t="inlineStr">
        <is>
          <t>JÄMTLANDS LÄN</t>
        </is>
      </c>
      <c r="E1768" t="inlineStr">
        <is>
          <t>BRÄCKE</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57419-2023</t>
        </is>
      </c>
      <c r="B1769" s="1" t="n">
        <v>45246</v>
      </c>
      <c r="C1769" s="1" t="n">
        <v>45754</v>
      </c>
      <c r="D1769" t="inlineStr">
        <is>
          <t>JÄMTLANDS LÄN</t>
        </is>
      </c>
      <c r="E1769" t="inlineStr">
        <is>
          <t>BRÄCKE</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57779-2023</t>
        </is>
      </c>
      <c r="B1770" s="1" t="n">
        <v>45247</v>
      </c>
      <c r="C1770" s="1" t="n">
        <v>45754</v>
      </c>
      <c r="D1770" t="inlineStr">
        <is>
          <t>JÄMTLANDS LÄN</t>
        </is>
      </c>
      <c r="E1770" t="inlineStr">
        <is>
          <t>BRÄCKE</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57783-2023</t>
        </is>
      </c>
      <c r="B1771" s="1" t="n">
        <v>45247</v>
      </c>
      <c r="C1771" s="1" t="n">
        <v>45754</v>
      </c>
      <c r="D1771" t="inlineStr">
        <is>
          <t>JÄMTLANDS LÄN</t>
        </is>
      </c>
      <c r="E1771" t="inlineStr">
        <is>
          <t>BRÄCKE</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57798-2023</t>
        </is>
      </c>
      <c r="B1772" s="1" t="n">
        <v>45247</v>
      </c>
      <c r="C1772" s="1" t="n">
        <v>45754</v>
      </c>
      <c r="D1772" t="inlineStr">
        <is>
          <t>JÄMTLANDS LÄN</t>
        </is>
      </c>
      <c r="E1772" t="inlineStr">
        <is>
          <t>BRÄCKE</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58078-2023</t>
        </is>
      </c>
      <c r="B1773" s="1" t="n">
        <v>45248</v>
      </c>
      <c r="C1773" s="1" t="n">
        <v>45754</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58082-2023</t>
        </is>
      </c>
      <c r="B1774" s="1" t="n">
        <v>45248</v>
      </c>
      <c r="C1774" s="1" t="n">
        <v>45754</v>
      </c>
      <c r="D1774" t="inlineStr">
        <is>
          <t>JÄMTLANDS LÄN</t>
        </is>
      </c>
      <c r="E1774" t="inlineStr">
        <is>
          <t>BRÄCKE</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58083-2023</t>
        </is>
      </c>
      <c r="B1775" s="1" t="n">
        <v>45248</v>
      </c>
      <c r="C1775" s="1" t="n">
        <v>45754</v>
      </c>
      <c r="D1775" t="inlineStr">
        <is>
          <t>JÄMTLANDS LÄN</t>
        </is>
      </c>
      <c r="E1775" t="inlineStr">
        <is>
          <t>BRÄCKE</t>
        </is>
      </c>
      <c r="F1775" t="inlineStr">
        <is>
          <t>SCA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58079-2023</t>
        </is>
      </c>
      <c r="B1776" s="1" t="n">
        <v>45248</v>
      </c>
      <c r="C1776" s="1" t="n">
        <v>45754</v>
      </c>
      <c r="D1776" t="inlineStr">
        <is>
          <t>JÄMTLANDS LÄN</t>
        </is>
      </c>
      <c r="E1776" t="inlineStr">
        <is>
          <t>BRÄCKE</t>
        </is>
      </c>
      <c r="F1776" t="inlineStr">
        <is>
          <t>SCA</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58468-2023</t>
        </is>
      </c>
      <c r="B1777" s="1" t="n">
        <v>45251</v>
      </c>
      <c r="C1777" s="1" t="n">
        <v>45754</v>
      </c>
      <c r="D1777" t="inlineStr">
        <is>
          <t>JÄMTLANDS LÄN</t>
        </is>
      </c>
      <c r="E1777" t="inlineStr">
        <is>
          <t>BRÄCKE</t>
        </is>
      </c>
      <c r="F1777" t="inlineStr">
        <is>
          <t>SCA</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58467-2023</t>
        </is>
      </c>
      <c r="B1778" s="1" t="n">
        <v>45251</v>
      </c>
      <c r="C1778" s="1" t="n">
        <v>45754</v>
      </c>
      <c r="D1778" t="inlineStr">
        <is>
          <t>JÄMTLANDS LÄN</t>
        </is>
      </c>
      <c r="E1778" t="inlineStr">
        <is>
          <t>BRÄCKE</t>
        </is>
      </c>
      <c r="F1778" t="inlineStr">
        <is>
          <t>SCA</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58471-2023</t>
        </is>
      </c>
      <c r="B1779" s="1" t="n">
        <v>45251</v>
      </c>
      <c r="C1779" s="1" t="n">
        <v>45754</v>
      </c>
      <c r="D1779" t="inlineStr">
        <is>
          <t>JÄMTLANDS LÄN</t>
        </is>
      </c>
      <c r="E1779" t="inlineStr">
        <is>
          <t>BRÄCKE</t>
        </is>
      </c>
      <c r="F1779" t="inlineStr">
        <is>
          <t>SCA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58368-2023</t>
        </is>
      </c>
      <c r="B1780" s="1" t="n">
        <v>45250</v>
      </c>
      <c r="C1780" s="1" t="n">
        <v>45754</v>
      </c>
      <c r="D1780" t="inlineStr">
        <is>
          <t>JÄMTLANDS LÄN</t>
        </is>
      </c>
      <c r="E1780" t="inlineStr">
        <is>
          <t>BRÄCKE</t>
        </is>
      </c>
      <c r="G1780" t="n">
        <v>16.1</v>
      </c>
      <c r="H1780" t="n">
        <v>0</v>
      </c>
      <c r="I1780" t="n">
        <v>0</v>
      </c>
      <c r="J1780" t="n">
        <v>0</v>
      </c>
      <c r="K1780" t="n">
        <v>0</v>
      </c>
      <c r="L1780" t="n">
        <v>0</v>
      </c>
      <c r="M1780" t="n">
        <v>0</v>
      </c>
      <c r="N1780" t="n">
        <v>0</v>
      </c>
      <c r="O1780" t="n">
        <v>0</v>
      </c>
      <c r="P1780" t="n">
        <v>0</v>
      </c>
      <c r="Q1780" t="n">
        <v>0</v>
      </c>
      <c r="R1780" s="2" t="inlineStr"/>
    </row>
    <row r="1781" ht="15" customHeight="1">
      <c r="A1781" t="inlineStr">
        <is>
          <t>A 58461-2023</t>
        </is>
      </c>
      <c r="B1781" s="1" t="n">
        <v>45250</v>
      </c>
      <c r="C1781" s="1" t="n">
        <v>45754</v>
      </c>
      <c r="D1781" t="inlineStr">
        <is>
          <t>JÄMTLANDS LÄN</t>
        </is>
      </c>
      <c r="E1781" t="inlineStr">
        <is>
          <t>BRÄCKE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58742-2023</t>
        </is>
      </c>
      <c r="B1782" s="1" t="n">
        <v>45251</v>
      </c>
      <c r="C1782" s="1" t="n">
        <v>45754</v>
      </c>
      <c r="D1782" t="inlineStr">
        <is>
          <t>JÄMTLANDS LÄN</t>
        </is>
      </c>
      <c r="E1782" t="inlineStr">
        <is>
          <t>BRÄCKE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58758-2023</t>
        </is>
      </c>
      <c r="B1783" s="1" t="n">
        <v>45251</v>
      </c>
      <c r="C1783" s="1" t="n">
        <v>45754</v>
      </c>
      <c r="D1783" t="inlineStr">
        <is>
          <t>JÄMTLANDS LÄN</t>
        </is>
      </c>
      <c r="E1783" t="inlineStr">
        <is>
          <t>BRÄCKE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58762-2023</t>
        </is>
      </c>
      <c r="B1784" s="1" t="n">
        <v>45252</v>
      </c>
      <c r="C1784" s="1" t="n">
        <v>45754</v>
      </c>
      <c r="D1784" t="inlineStr">
        <is>
          <t>JÄMTLANDS LÄN</t>
        </is>
      </c>
      <c r="E1784" t="inlineStr">
        <is>
          <t>BRÄCKE</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58740-2023</t>
        </is>
      </c>
      <c r="B1785" s="1" t="n">
        <v>45251</v>
      </c>
      <c r="C1785" s="1" t="n">
        <v>45754</v>
      </c>
      <c r="D1785" t="inlineStr">
        <is>
          <t>JÄMTLANDS LÄN</t>
        </is>
      </c>
      <c r="E1785" t="inlineStr">
        <is>
          <t>BRÄCKE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58776-2023</t>
        </is>
      </c>
      <c r="B1786" s="1" t="n">
        <v>45252</v>
      </c>
      <c r="C1786" s="1" t="n">
        <v>45754</v>
      </c>
      <c r="D1786" t="inlineStr">
        <is>
          <t>JÄMTLANDS LÄN</t>
        </is>
      </c>
      <c r="E1786" t="inlineStr">
        <is>
          <t>BRÄCKE</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58741-2023</t>
        </is>
      </c>
      <c r="B1787" s="1" t="n">
        <v>45251</v>
      </c>
      <c r="C1787" s="1" t="n">
        <v>45754</v>
      </c>
      <c r="D1787" t="inlineStr">
        <is>
          <t>JÄMTLANDS LÄN</t>
        </is>
      </c>
      <c r="E1787" t="inlineStr">
        <is>
          <t>BRÄCKE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58767-2023</t>
        </is>
      </c>
      <c r="B1788" s="1" t="n">
        <v>45252</v>
      </c>
      <c r="C1788" s="1" t="n">
        <v>45754</v>
      </c>
      <c r="D1788" t="inlineStr">
        <is>
          <t>JÄMTLANDS LÄN</t>
        </is>
      </c>
      <c r="E1788" t="inlineStr">
        <is>
          <t>BRÄCKE</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59102-2023</t>
        </is>
      </c>
      <c r="B1789" s="1" t="n">
        <v>45253</v>
      </c>
      <c r="C1789" s="1" t="n">
        <v>45754</v>
      </c>
      <c r="D1789" t="inlineStr">
        <is>
          <t>JÄMTLANDS LÄN</t>
        </is>
      </c>
      <c r="E1789" t="inlineStr">
        <is>
          <t>BRÄCKE</t>
        </is>
      </c>
      <c r="F1789" t="inlineStr">
        <is>
          <t>SCA</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59416-2023</t>
        </is>
      </c>
      <c r="B1790" s="1" t="n">
        <v>45254</v>
      </c>
      <c r="C1790" s="1" t="n">
        <v>45754</v>
      </c>
      <c r="D1790" t="inlineStr">
        <is>
          <t>JÄMTLANDS LÄN</t>
        </is>
      </c>
      <c r="E1790" t="inlineStr">
        <is>
          <t>BRÄCKE</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59419-2023</t>
        </is>
      </c>
      <c r="B1791" s="1" t="n">
        <v>45254</v>
      </c>
      <c r="C1791" s="1" t="n">
        <v>45754</v>
      </c>
      <c r="D1791" t="inlineStr">
        <is>
          <t>JÄMTLANDS LÄN</t>
        </is>
      </c>
      <c r="E1791" t="inlineStr">
        <is>
          <t>BRÄCKE</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59561-2023</t>
        </is>
      </c>
      <c r="B1792" s="1" t="n">
        <v>45253</v>
      </c>
      <c r="C1792" s="1" t="n">
        <v>45754</v>
      </c>
      <c r="D1792" t="inlineStr">
        <is>
          <t>JÄMTLANDS LÄN</t>
        </is>
      </c>
      <c r="E1792" t="inlineStr">
        <is>
          <t>BRÄCKE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59417-2023</t>
        </is>
      </c>
      <c r="B1793" s="1" t="n">
        <v>45254</v>
      </c>
      <c r="C1793" s="1" t="n">
        <v>45754</v>
      </c>
      <c r="D1793" t="inlineStr">
        <is>
          <t>JÄMTLANDS LÄN</t>
        </is>
      </c>
      <c r="E1793" t="inlineStr">
        <is>
          <t>BRÄCKE</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59595-2023</t>
        </is>
      </c>
      <c r="B1794" s="1" t="n">
        <v>45254</v>
      </c>
      <c r="C1794" s="1" t="n">
        <v>45754</v>
      </c>
      <c r="D1794" t="inlineStr">
        <is>
          <t>JÄMTLANDS LÄN</t>
        </is>
      </c>
      <c r="E1794" t="inlineStr">
        <is>
          <t>BRÄCKE</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59586-2023</t>
        </is>
      </c>
      <c r="B1795" s="1" t="n">
        <v>45254</v>
      </c>
      <c r="C1795" s="1" t="n">
        <v>45754</v>
      </c>
      <c r="D1795" t="inlineStr">
        <is>
          <t>JÄMTLANDS LÄN</t>
        </is>
      </c>
      <c r="E1795" t="inlineStr">
        <is>
          <t>BRÄCKE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60085-2023</t>
        </is>
      </c>
      <c r="B1796" s="1" t="n">
        <v>45258</v>
      </c>
      <c r="C1796" s="1" t="n">
        <v>45754</v>
      </c>
      <c r="D1796" t="inlineStr">
        <is>
          <t>JÄMTLANDS LÄN</t>
        </is>
      </c>
      <c r="E1796" t="inlineStr">
        <is>
          <t>BRÄCKE</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60415-2023</t>
        </is>
      </c>
      <c r="B1797" s="1" t="n">
        <v>45258</v>
      </c>
      <c r="C1797" s="1" t="n">
        <v>45754</v>
      </c>
      <c r="D1797" t="inlineStr">
        <is>
          <t>JÄMTLANDS LÄN</t>
        </is>
      </c>
      <c r="E1797" t="inlineStr">
        <is>
          <t>BRÄCKE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60435-2023</t>
        </is>
      </c>
      <c r="B1798" s="1" t="n">
        <v>45258</v>
      </c>
      <c r="C1798" s="1" t="n">
        <v>45754</v>
      </c>
      <c r="D1798" t="inlineStr">
        <is>
          <t>JÄMTLANDS LÄN</t>
        </is>
      </c>
      <c r="E1798" t="inlineStr">
        <is>
          <t>BRÄCKE</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60453-2023</t>
        </is>
      </c>
      <c r="B1799" s="1" t="n">
        <v>45259</v>
      </c>
      <c r="C1799" s="1" t="n">
        <v>45754</v>
      </c>
      <c r="D1799" t="inlineStr">
        <is>
          <t>JÄMTLANDS LÄN</t>
        </is>
      </c>
      <c r="E1799" t="inlineStr">
        <is>
          <t>BRÄCKE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60581-2023</t>
        </is>
      </c>
      <c r="B1800" s="1" t="n">
        <v>45260</v>
      </c>
      <c r="C1800" s="1" t="n">
        <v>45754</v>
      </c>
      <c r="D1800" t="inlineStr">
        <is>
          <t>JÄMTLANDS LÄN</t>
        </is>
      </c>
      <c r="E1800" t="inlineStr">
        <is>
          <t>BRÄCKE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60582-2023</t>
        </is>
      </c>
      <c r="B1801" s="1" t="n">
        <v>45260</v>
      </c>
      <c r="C1801" s="1" t="n">
        <v>45754</v>
      </c>
      <c r="D1801" t="inlineStr">
        <is>
          <t>JÄMTLANDS LÄN</t>
        </is>
      </c>
      <c r="E1801" t="inlineStr">
        <is>
          <t>BRÄCKE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60996-2023</t>
        </is>
      </c>
      <c r="B1802" s="1" t="n">
        <v>45259</v>
      </c>
      <c r="C1802" s="1" t="n">
        <v>45754</v>
      </c>
      <c r="D1802" t="inlineStr">
        <is>
          <t>JÄMTLANDS LÄN</t>
        </is>
      </c>
      <c r="E1802" t="inlineStr">
        <is>
          <t>BRÄCKE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60866-2023</t>
        </is>
      </c>
      <c r="B1803" s="1" t="n">
        <v>45261</v>
      </c>
      <c r="C1803" s="1" t="n">
        <v>45754</v>
      </c>
      <c r="D1803" t="inlineStr">
        <is>
          <t>JÄMTLANDS LÄN</t>
        </is>
      </c>
      <c r="E1803" t="inlineStr">
        <is>
          <t>BRÄCKE</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60870-2023</t>
        </is>
      </c>
      <c r="B1804" s="1" t="n">
        <v>45261</v>
      </c>
      <c r="C1804" s="1" t="n">
        <v>45754</v>
      </c>
      <c r="D1804" t="inlineStr">
        <is>
          <t>JÄMTLANDS LÄN</t>
        </is>
      </c>
      <c r="E1804" t="inlineStr">
        <is>
          <t>BRÄCKE</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60833-2023</t>
        </is>
      </c>
      <c r="B1805" s="1" t="n">
        <v>45260</v>
      </c>
      <c r="C1805" s="1" t="n">
        <v>45754</v>
      </c>
      <c r="D1805" t="inlineStr">
        <is>
          <t>JÄMTLANDS LÄN</t>
        </is>
      </c>
      <c r="E1805" t="inlineStr">
        <is>
          <t>BRÄCKE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60865-2023</t>
        </is>
      </c>
      <c r="B1806" s="1" t="n">
        <v>45260</v>
      </c>
      <c r="C1806" s="1" t="n">
        <v>45754</v>
      </c>
      <c r="D1806" t="inlineStr">
        <is>
          <t>JÄMTLANDS LÄN</t>
        </is>
      </c>
      <c r="E1806" t="inlineStr">
        <is>
          <t>BRÄCKE</t>
        </is>
      </c>
      <c r="F1806" t="inlineStr">
        <is>
          <t>SCA</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60954-2023</t>
        </is>
      </c>
      <c r="B1807" s="1" t="n">
        <v>45261</v>
      </c>
      <c r="C1807" s="1" t="n">
        <v>45754</v>
      </c>
      <c r="D1807" t="inlineStr">
        <is>
          <t>JÄMTLANDS LÄN</t>
        </is>
      </c>
      <c r="E1807" t="inlineStr">
        <is>
          <t>BRÄCKE</t>
        </is>
      </c>
      <c r="G1807" t="n">
        <v>8.4</v>
      </c>
      <c r="H1807" t="n">
        <v>0</v>
      </c>
      <c r="I1807" t="n">
        <v>0</v>
      </c>
      <c r="J1807" t="n">
        <v>0</v>
      </c>
      <c r="K1807" t="n">
        <v>0</v>
      </c>
      <c r="L1807" t="n">
        <v>0</v>
      </c>
      <c r="M1807" t="n">
        <v>0</v>
      </c>
      <c r="N1807" t="n">
        <v>0</v>
      </c>
      <c r="O1807" t="n">
        <v>0</v>
      </c>
      <c r="P1807" t="n">
        <v>0</v>
      </c>
      <c r="Q1807" t="n">
        <v>0</v>
      </c>
      <c r="R1807" s="2" t="inlineStr"/>
    </row>
    <row r="1808" ht="15" customHeight="1">
      <c r="A1808" t="inlineStr">
        <is>
          <t>A 61149-2023</t>
        </is>
      </c>
      <c r="B1808" s="1" t="n">
        <v>45262</v>
      </c>
      <c r="C1808" s="1" t="n">
        <v>45754</v>
      </c>
      <c r="D1808" t="inlineStr">
        <is>
          <t>JÄMTLANDS LÄN</t>
        </is>
      </c>
      <c r="E1808" t="inlineStr">
        <is>
          <t>BRÄCKE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61440-2023</t>
        </is>
      </c>
      <c r="B1809" s="1" t="n">
        <v>45261</v>
      </c>
      <c r="C1809" s="1" t="n">
        <v>45754</v>
      </c>
      <c r="D1809" t="inlineStr">
        <is>
          <t>JÄMTLANDS LÄN</t>
        </is>
      </c>
      <c r="E1809" t="inlineStr">
        <is>
          <t>BRÄCKE</t>
        </is>
      </c>
      <c r="G1809" t="n">
        <v>8.4</v>
      </c>
      <c r="H1809" t="n">
        <v>0</v>
      </c>
      <c r="I1809" t="n">
        <v>0</v>
      </c>
      <c r="J1809" t="n">
        <v>0</v>
      </c>
      <c r="K1809" t="n">
        <v>0</v>
      </c>
      <c r="L1809" t="n">
        <v>0</v>
      </c>
      <c r="M1809" t="n">
        <v>0</v>
      </c>
      <c r="N1809" t="n">
        <v>0</v>
      </c>
      <c r="O1809" t="n">
        <v>0</v>
      </c>
      <c r="P1809" t="n">
        <v>0</v>
      </c>
      <c r="Q1809" t="n">
        <v>0</v>
      </c>
      <c r="R1809" s="2" t="inlineStr"/>
    </row>
    <row r="1810" ht="15" customHeight="1">
      <c r="A1810" t="inlineStr">
        <is>
          <t>A 61504-2023</t>
        </is>
      </c>
      <c r="B1810" s="1" t="n">
        <v>45264</v>
      </c>
      <c r="C1810" s="1" t="n">
        <v>45754</v>
      </c>
      <c r="D1810" t="inlineStr">
        <is>
          <t>JÄMTLANDS LÄN</t>
        </is>
      </c>
      <c r="E1810" t="inlineStr">
        <is>
          <t>BRÄCKE</t>
        </is>
      </c>
      <c r="F1810" t="inlineStr">
        <is>
          <t>SCA</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61503-2023</t>
        </is>
      </c>
      <c r="B1811" s="1" t="n">
        <v>45264</v>
      </c>
      <c r="C1811" s="1" t="n">
        <v>45754</v>
      </c>
      <c r="D1811" t="inlineStr">
        <is>
          <t>JÄMTLANDS LÄN</t>
        </is>
      </c>
      <c r="E1811" t="inlineStr">
        <is>
          <t>BRÄCKE</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61787-2023</t>
        </is>
      </c>
      <c r="B1812" s="1" t="n">
        <v>45265</v>
      </c>
      <c r="C1812" s="1" t="n">
        <v>45754</v>
      </c>
      <c r="D1812" t="inlineStr">
        <is>
          <t>JÄMTLANDS LÄN</t>
        </is>
      </c>
      <c r="E1812" t="inlineStr">
        <is>
          <t>BRÄCKE</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61796-2023</t>
        </is>
      </c>
      <c r="B1813" s="1" t="n">
        <v>45266</v>
      </c>
      <c r="C1813" s="1" t="n">
        <v>45754</v>
      </c>
      <c r="D1813" t="inlineStr">
        <is>
          <t>JÄMTLANDS LÄN</t>
        </is>
      </c>
      <c r="E1813" t="inlineStr">
        <is>
          <t>BRÄCKE</t>
        </is>
      </c>
      <c r="F1813" t="inlineStr">
        <is>
          <t>SCA</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62074-2023</t>
        </is>
      </c>
      <c r="B1814" s="1" t="n">
        <v>45266</v>
      </c>
      <c r="C1814" s="1" t="n">
        <v>45754</v>
      </c>
      <c r="D1814" t="inlineStr">
        <is>
          <t>JÄMTLANDS LÄN</t>
        </is>
      </c>
      <c r="E1814" t="inlineStr">
        <is>
          <t>BRÄCKE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62114-2023</t>
        </is>
      </c>
      <c r="B1815" s="1" t="n">
        <v>45266</v>
      </c>
      <c r="C1815" s="1" t="n">
        <v>45754</v>
      </c>
      <c r="D1815" t="inlineStr">
        <is>
          <t>JÄMTLANDS LÄN</t>
        </is>
      </c>
      <c r="E1815" t="inlineStr">
        <is>
          <t>BRÄCKE</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62410-2023</t>
        </is>
      </c>
      <c r="B1816" s="1" t="n">
        <v>45266</v>
      </c>
      <c r="C1816" s="1" t="n">
        <v>45754</v>
      </c>
      <c r="D1816" t="inlineStr">
        <is>
          <t>JÄMTLANDS LÄN</t>
        </is>
      </c>
      <c r="E1816" t="inlineStr">
        <is>
          <t>BRÄCKE</t>
        </is>
      </c>
      <c r="G1816" t="n">
        <v>14.4</v>
      </c>
      <c r="H1816" t="n">
        <v>0</v>
      </c>
      <c r="I1816" t="n">
        <v>0</v>
      </c>
      <c r="J1816" t="n">
        <v>0</v>
      </c>
      <c r="K1816" t="n">
        <v>0</v>
      </c>
      <c r="L1816" t="n">
        <v>0</v>
      </c>
      <c r="M1816" t="n">
        <v>0</v>
      </c>
      <c r="N1816" t="n">
        <v>0</v>
      </c>
      <c r="O1816" t="n">
        <v>0</v>
      </c>
      <c r="P1816" t="n">
        <v>0</v>
      </c>
      <c r="Q1816" t="n">
        <v>0</v>
      </c>
      <c r="R1816" s="2" t="inlineStr"/>
    </row>
    <row r="1817" ht="15" customHeight="1">
      <c r="A1817" t="inlineStr">
        <is>
          <t>A 62354-2023</t>
        </is>
      </c>
      <c r="B1817" s="1" t="n">
        <v>45267</v>
      </c>
      <c r="C1817" s="1" t="n">
        <v>45754</v>
      </c>
      <c r="D1817" t="inlineStr">
        <is>
          <t>JÄMTLANDS LÄN</t>
        </is>
      </c>
      <c r="E1817" t="inlineStr">
        <is>
          <t>BRÄCKE</t>
        </is>
      </c>
      <c r="F1817" t="inlineStr">
        <is>
          <t>SCA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62899-2023</t>
        </is>
      </c>
      <c r="B1818" s="1" t="n">
        <v>45271</v>
      </c>
      <c r="C1818" s="1" t="n">
        <v>45754</v>
      </c>
      <c r="D1818" t="inlineStr">
        <is>
          <t>JÄMTLANDS LÄN</t>
        </is>
      </c>
      <c r="E1818" t="inlineStr">
        <is>
          <t>BRÄCKE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63089-2023</t>
        </is>
      </c>
      <c r="B1819" s="1" t="n">
        <v>45272</v>
      </c>
      <c r="C1819" s="1" t="n">
        <v>45754</v>
      </c>
      <c r="D1819" t="inlineStr">
        <is>
          <t>JÄMTLANDS LÄN</t>
        </is>
      </c>
      <c r="E1819" t="inlineStr">
        <is>
          <t>BRÄCKE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63292-2023</t>
        </is>
      </c>
      <c r="B1820" s="1" t="n">
        <v>45273</v>
      </c>
      <c r="C1820" s="1" t="n">
        <v>45754</v>
      </c>
      <c r="D1820" t="inlineStr">
        <is>
          <t>JÄMTLANDS LÄN</t>
        </is>
      </c>
      <c r="E1820" t="inlineStr">
        <is>
          <t>BRÄCKE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63295-2023</t>
        </is>
      </c>
      <c r="B1821" s="1" t="n">
        <v>45273</v>
      </c>
      <c r="C1821" s="1" t="n">
        <v>45754</v>
      </c>
      <c r="D1821" t="inlineStr">
        <is>
          <t>JÄMTLANDS LÄN</t>
        </is>
      </c>
      <c r="E1821" t="inlineStr">
        <is>
          <t>BRÄCKE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63534-2023</t>
        </is>
      </c>
      <c r="B1822" s="1" t="n">
        <v>45274</v>
      </c>
      <c r="C1822" s="1" t="n">
        <v>45754</v>
      </c>
      <c r="D1822" t="inlineStr">
        <is>
          <t>JÄMTLANDS LÄN</t>
        </is>
      </c>
      <c r="E1822" t="inlineStr">
        <is>
          <t>BRÄCKE</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63713-2023</t>
        </is>
      </c>
      <c r="B1823" s="1" t="n">
        <v>45275</v>
      </c>
      <c r="C1823" s="1" t="n">
        <v>45754</v>
      </c>
      <c r="D1823" t="inlineStr">
        <is>
          <t>JÄMTLANDS LÄN</t>
        </is>
      </c>
      <c r="E1823" t="inlineStr">
        <is>
          <t>BRÄCKE</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63716-2023</t>
        </is>
      </c>
      <c r="B1824" s="1" t="n">
        <v>45275</v>
      </c>
      <c r="C1824" s="1" t="n">
        <v>45754</v>
      </c>
      <c r="D1824" t="inlineStr">
        <is>
          <t>JÄMTLANDS LÄN</t>
        </is>
      </c>
      <c r="E1824" t="inlineStr">
        <is>
          <t>BRÄCKE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63706-2023</t>
        </is>
      </c>
      <c r="B1825" s="1" t="n">
        <v>45275</v>
      </c>
      <c r="C1825" s="1" t="n">
        <v>45754</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63714-2023</t>
        </is>
      </c>
      <c r="B1826" s="1" t="n">
        <v>45275</v>
      </c>
      <c r="C1826" s="1" t="n">
        <v>45754</v>
      </c>
      <c r="D1826" t="inlineStr">
        <is>
          <t>JÄMTLANDS LÄN</t>
        </is>
      </c>
      <c r="E1826" t="inlineStr">
        <is>
          <t>BRÄCKE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64025-2023</t>
        </is>
      </c>
      <c r="B1827" s="1" t="n">
        <v>45278</v>
      </c>
      <c r="C1827" s="1" t="n">
        <v>45754</v>
      </c>
      <c r="D1827" t="inlineStr">
        <is>
          <t>JÄMTLANDS LÄN</t>
        </is>
      </c>
      <c r="E1827" t="inlineStr">
        <is>
          <t>BRÄCKE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64037-2023</t>
        </is>
      </c>
      <c r="B1828" s="1" t="n">
        <v>45278</v>
      </c>
      <c r="C1828" s="1" t="n">
        <v>45754</v>
      </c>
      <c r="D1828" t="inlineStr">
        <is>
          <t>JÄMTLANDS LÄN</t>
        </is>
      </c>
      <c r="E1828" t="inlineStr">
        <is>
          <t>BRÄCKE</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64034-2023</t>
        </is>
      </c>
      <c r="B1829" s="1" t="n">
        <v>45278</v>
      </c>
      <c r="C1829" s="1" t="n">
        <v>45754</v>
      </c>
      <c r="D1829" t="inlineStr">
        <is>
          <t>JÄMTLANDS LÄN</t>
        </is>
      </c>
      <c r="E1829" t="inlineStr">
        <is>
          <t>BRÄCKE</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64038-2023</t>
        </is>
      </c>
      <c r="B1830" s="1" t="n">
        <v>45278</v>
      </c>
      <c r="C1830" s="1" t="n">
        <v>45754</v>
      </c>
      <c r="D1830" t="inlineStr">
        <is>
          <t>JÄMTLANDS LÄN</t>
        </is>
      </c>
      <c r="E1830" t="inlineStr">
        <is>
          <t>BRÄCKE</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64024-2023</t>
        </is>
      </c>
      <c r="B1831" s="1" t="n">
        <v>45278</v>
      </c>
      <c r="C1831" s="1" t="n">
        <v>45754</v>
      </c>
      <c r="D1831" t="inlineStr">
        <is>
          <t>JÄMTLANDS LÄN</t>
        </is>
      </c>
      <c r="E1831" t="inlineStr">
        <is>
          <t>BRÄCKE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64117-2023</t>
        </is>
      </c>
      <c r="B1832" s="1" t="n">
        <v>45279</v>
      </c>
      <c r="C1832" s="1" t="n">
        <v>45754</v>
      </c>
      <c r="D1832" t="inlineStr">
        <is>
          <t>JÄMTLANDS LÄN</t>
        </is>
      </c>
      <c r="E1832" t="inlineStr">
        <is>
          <t>BRÄCKE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64143-2023</t>
        </is>
      </c>
      <c r="B1833" s="1" t="n">
        <v>45279</v>
      </c>
      <c r="C1833" s="1" t="n">
        <v>45754</v>
      </c>
      <c r="D1833" t="inlineStr">
        <is>
          <t>JÄMTLANDS LÄN</t>
        </is>
      </c>
      <c r="E1833" t="inlineStr">
        <is>
          <t>BRÄCKE</t>
        </is>
      </c>
      <c r="G1833" t="n">
        <v>5.5</v>
      </c>
      <c r="H1833" t="n">
        <v>0</v>
      </c>
      <c r="I1833" t="n">
        <v>0</v>
      </c>
      <c r="J1833" t="n">
        <v>0</v>
      </c>
      <c r="K1833" t="n">
        <v>0</v>
      </c>
      <c r="L1833" t="n">
        <v>0</v>
      </c>
      <c r="M1833" t="n">
        <v>0</v>
      </c>
      <c r="N1833" t="n">
        <v>0</v>
      </c>
      <c r="O1833" t="n">
        <v>0</v>
      </c>
      <c r="P1833" t="n">
        <v>0</v>
      </c>
      <c r="Q1833" t="n">
        <v>0</v>
      </c>
      <c r="R1833" s="2" t="inlineStr"/>
      <c r="U1833">
        <f>HYPERLINK("https://klasma.github.io/Logging_2305/knärot/A 64143-2023 karta knärot.png", "A 64143-2023")</f>
        <v/>
      </c>
      <c r="V1833">
        <f>HYPERLINK("https://klasma.github.io/Logging_2305/klagomål/A 64143-2023 FSC-klagomål.docx", "A 64143-2023")</f>
        <v/>
      </c>
      <c r="W1833">
        <f>HYPERLINK("https://klasma.github.io/Logging_2305/klagomålsmail/A 64143-2023 FSC-klagomål mail.docx", "A 64143-2023")</f>
        <v/>
      </c>
      <c r="X1833">
        <f>HYPERLINK("https://klasma.github.io/Logging_2305/tillsyn/A 64143-2023 tillsynsbegäran.docx", "A 64143-2023")</f>
        <v/>
      </c>
      <c r="Y1833">
        <f>HYPERLINK("https://klasma.github.io/Logging_2305/tillsynsmail/A 64143-2023 tillsynsbegäran mail.docx", "A 64143-2023")</f>
        <v/>
      </c>
    </row>
    <row r="1834" ht="15" customHeight="1">
      <c r="A1834" t="inlineStr">
        <is>
          <t>A 64266-2023</t>
        </is>
      </c>
      <c r="B1834" s="1" t="n">
        <v>45279</v>
      </c>
      <c r="C1834" s="1" t="n">
        <v>45754</v>
      </c>
      <c r="D1834" t="inlineStr">
        <is>
          <t>JÄMTLANDS LÄN</t>
        </is>
      </c>
      <c r="E1834" t="inlineStr">
        <is>
          <t>BRÄCKE</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64268-2023</t>
        </is>
      </c>
      <c r="B1835" s="1" t="n">
        <v>45279</v>
      </c>
      <c r="C1835" s="1" t="n">
        <v>45754</v>
      </c>
      <c r="D1835" t="inlineStr">
        <is>
          <t>JÄMTLANDS LÄN</t>
        </is>
      </c>
      <c r="E1835" t="inlineStr">
        <is>
          <t>BRÄCKE</t>
        </is>
      </c>
      <c r="F1835" t="inlineStr">
        <is>
          <t>SCA</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64272-2023</t>
        </is>
      </c>
      <c r="B1836" s="1" t="n">
        <v>45279</v>
      </c>
      <c r="C1836" s="1" t="n">
        <v>45754</v>
      </c>
      <c r="D1836" t="inlineStr">
        <is>
          <t>JÄMTLANDS LÄN</t>
        </is>
      </c>
      <c r="E1836" t="inlineStr">
        <is>
          <t>BRÄCKE</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64269-2023</t>
        </is>
      </c>
      <c r="B1837" s="1" t="n">
        <v>45279</v>
      </c>
      <c r="C1837" s="1" t="n">
        <v>45754</v>
      </c>
      <c r="D1837" t="inlineStr">
        <is>
          <t>JÄMTLANDS LÄN</t>
        </is>
      </c>
      <c r="E1837" t="inlineStr">
        <is>
          <t>BRÄCKE</t>
        </is>
      </c>
      <c r="F1837" t="inlineStr">
        <is>
          <t>SCA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64302-2023</t>
        </is>
      </c>
      <c r="B1838" s="1" t="n">
        <v>45280</v>
      </c>
      <c r="C1838" s="1" t="n">
        <v>45754</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64413-2023</t>
        </is>
      </c>
      <c r="B1839" s="1" t="n">
        <v>45280</v>
      </c>
      <c r="C1839" s="1" t="n">
        <v>45754</v>
      </c>
      <c r="D1839" t="inlineStr">
        <is>
          <t>JÄMTLANDS LÄN</t>
        </is>
      </c>
      <c r="E1839" t="inlineStr">
        <is>
          <t>BRÄCKE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64643-2023</t>
        </is>
      </c>
      <c r="B1840" s="1" t="n">
        <v>45281</v>
      </c>
      <c r="C1840" s="1" t="n">
        <v>45754</v>
      </c>
      <c r="D1840" t="inlineStr">
        <is>
          <t>JÄMTLANDS LÄN</t>
        </is>
      </c>
      <c r="E1840" t="inlineStr">
        <is>
          <t>BRÄCKE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64757-2023</t>
        </is>
      </c>
      <c r="B1841" s="1" t="n">
        <v>45281</v>
      </c>
      <c r="C1841" s="1" t="n">
        <v>45754</v>
      </c>
      <c r="D1841" t="inlineStr">
        <is>
          <t>JÄMTLANDS LÄN</t>
        </is>
      </c>
      <c r="E1841" t="inlineStr">
        <is>
          <t>BRÄCKE</t>
        </is>
      </c>
      <c r="F1841" t="inlineStr">
        <is>
          <t>SCA</t>
        </is>
      </c>
      <c r="G1841" t="n">
        <v>11.7</v>
      </c>
      <c r="H1841" t="n">
        <v>0</v>
      </c>
      <c r="I1841" t="n">
        <v>0</v>
      </c>
      <c r="J1841" t="n">
        <v>0</v>
      </c>
      <c r="K1841" t="n">
        <v>0</v>
      </c>
      <c r="L1841" t="n">
        <v>0</v>
      </c>
      <c r="M1841" t="n">
        <v>0</v>
      </c>
      <c r="N1841" t="n">
        <v>0</v>
      </c>
      <c r="O1841" t="n">
        <v>0</v>
      </c>
      <c r="P1841" t="n">
        <v>0</v>
      </c>
      <c r="Q1841" t="n">
        <v>0</v>
      </c>
      <c r="R1841" s="2" t="inlineStr"/>
    </row>
    <row r="1842" ht="15" customHeight="1">
      <c r="A1842" t="inlineStr">
        <is>
          <t>A 65041-2023</t>
        </is>
      </c>
      <c r="B1842" s="1" t="n">
        <v>45287</v>
      </c>
      <c r="C1842" s="1" t="n">
        <v>45754</v>
      </c>
      <c r="D1842" t="inlineStr">
        <is>
          <t>JÄMTLANDS LÄN</t>
        </is>
      </c>
      <c r="E1842" t="inlineStr">
        <is>
          <t>BRÄCKE</t>
        </is>
      </c>
      <c r="G1842" t="n">
        <v>45.2</v>
      </c>
      <c r="H1842" t="n">
        <v>0</v>
      </c>
      <c r="I1842" t="n">
        <v>0</v>
      </c>
      <c r="J1842" t="n">
        <v>0</v>
      </c>
      <c r="K1842" t="n">
        <v>0</v>
      </c>
      <c r="L1842" t="n">
        <v>0</v>
      </c>
      <c r="M1842" t="n">
        <v>0</v>
      </c>
      <c r="N1842" t="n">
        <v>0</v>
      </c>
      <c r="O1842" t="n">
        <v>0</v>
      </c>
      <c r="P1842" t="n">
        <v>0</v>
      </c>
      <c r="Q1842" t="n">
        <v>0</v>
      </c>
      <c r="R1842" s="2" t="inlineStr"/>
    </row>
    <row r="1843" ht="15" customHeight="1">
      <c r="A1843" t="inlineStr">
        <is>
          <t>A 65096-2023</t>
        </is>
      </c>
      <c r="B1843" s="1" t="n">
        <v>45288</v>
      </c>
      <c r="C1843" s="1" t="n">
        <v>45754</v>
      </c>
      <c r="D1843" t="inlineStr">
        <is>
          <t>JÄMTLANDS LÄN</t>
        </is>
      </c>
      <c r="E1843" t="inlineStr">
        <is>
          <t>BRÄCKE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65226-2023</t>
        </is>
      </c>
      <c r="B1844" s="1" t="n">
        <v>45289</v>
      </c>
      <c r="C1844" s="1" t="n">
        <v>45754</v>
      </c>
      <c r="D1844" t="inlineStr">
        <is>
          <t>JÄMTLANDS LÄN</t>
        </is>
      </c>
      <c r="E1844" t="inlineStr">
        <is>
          <t>BRÄCKE</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107-2024</t>
        </is>
      </c>
      <c r="B1845" s="1" t="n">
        <v>45293</v>
      </c>
      <c r="C1845" s="1" t="n">
        <v>45754</v>
      </c>
      <c r="D1845" t="inlineStr">
        <is>
          <t>JÄMTLANDS LÄN</t>
        </is>
      </c>
      <c r="E1845" t="inlineStr">
        <is>
          <t>BRÄCKE</t>
        </is>
      </c>
      <c r="F1845" t="inlineStr">
        <is>
          <t>SCA</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477-2024</t>
        </is>
      </c>
      <c r="B1846" s="1" t="n">
        <v>45298</v>
      </c>
      <c r="C1846" s="1" t="n">
        <v>45754</v>
      </c>
      <c r="D1846" t="inlineStr">
        <is>
          <t>JÄMTLANDS LÄN</t>
        </is>
      </c>
      <c r="E1846" t="inlineStr">
        <is>
          <t>BRÄCKE</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662-2024</t>
        </is>
      </c>
      <c r="B1847" s="1" t="n">
        <v>45299</v>
      </c>
      <c r="C1847" s="1" t="n">
        <v>45754</v>
      </c>
      <c r="D1847" t="inlineStr">
        <is>
          <t>JÄMTLANDS LÄN</t>
        </is>
      </c>
      <c r="E1847" t="inlineStr">
        <is>
          <t>BRÄCKE</t>
        </is>
      </c>
      <c r="F1847" t="inlineStr">
        <is>
          <t>SCA</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861-2024</t>
        </is>
      </c>
      <c r="B1848" s="1" t="n">
        <v>45301</v>
      </c>
      <c r="C1848" s="1" t="n">
        <v>45754</v>
      </c>
      <c r="D1848" t="inlineStr">
        <is>
          <t>JÄMTLANDS LÄN</t>
        </is>
      </c>
      <c r="E1848" t="inlineStr">
        <is>
          <t>BRÄCKE</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1277-2024</t>
        </is>
      </c>
      <c r="B1849" s="1" t="n">
        <v>45303</v>
      </c>
      <c r="C1849" s="1" t="n">
        <v>45754</v>
      </c>
      <c r="D1849" t="inlineStr">
        <is>
          <t>JÄMTLANDS LÄN</t>
        </is>
      </c>
      <c r="E1849" t="inlineStr">
        <is>
          <t>BRÄCKE</t>
        </is>
      </c>
      <c r="F1849" t="inlineStr">
        <is>
          <t>SCA</t>
        </is>
      </c>
      <c r="G1849" t="n">
        <v>25.7</v>
      </c>
      <c r="H1849" t="n">
        <v>0</v>
      </c>
      <c r="I1849" t="n">
        <v>0</v>
      </c>
      <c r="J1849" t="n">
        <v>0</v>
      </c>
      <c r="K1849" t="n">
        <v>0</v>
      </c>
      <c r="L1849" t="n">
        <v>0</v>
      </c>
      <c r="M1849" t="n">
        <v>0</v>
      </c>
      <c r="N1849" t="n">
        <v>0</v>
      </c>
      <c r="O1849" t="n">
        <v>0</v>
      </c>
      <c r="P1849" t="n">
        <v>0</v>
      </c>
      <c r="Q1849" t="n">
        <v>0</v>
      </c>
      <c r="R1849" s="2" t="inlineStr"/>
    </row>
    <row r="1850" ht="15" customHeight="1">
      <c r="A1850" t="inlineStr">
        <is>
          <t>A 1681-2024</t>
        </is>
      </c>
      <c r="B1850" s="1" t="n">
        <v>45307</v>
      </c>
      <c r="C1850" s="1" t="n">
        <v>45754</v>
      </c>
      <c r="D1850" t="inlineStr">
        <is>
          <t>JÄMTLANDS LÄN</t>
        </is>
      </c>
      <c r="E1850" t="inlineStr">
        <is>
          <t>BRÄCKE</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1746-2024</t>
        </is>
      </c>
      <c r="B1851" s="1" t="n">
        <v>45307</v>
      </c>
      <c r="C1851" s="1" t="n">
        <v>45754</v>
      </c>
      <c r="D1851" t="inlineStr">
        <is>
          <t>JÄMTLANDS LÄN</t>
        </is>
      </c>
      <c r="E1851" t="inlineStr">
        <is>
          <t>BRÄCKE</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1881-2024</t>
        </is>
      </c>
      <c r="B1852" s="1" t="n">
        <v>45308</v>
      </c>
      <c r="C1852" s="1" t="n">
        <v>45754</v>
      </c>
      <c r="D1852" t="inlineStr">
        <is>
          <t>JÄMTLANDS LÄN</t>
        </is>
      </c>
      <c r="E1852" t="inlineStr">
        <is>
          <t>BRÄCKE</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1799-2024</t>
        </is>
      </c>
      <c r="B1853" s="1" t="n">
        <v>45307</v>
      </c>
      <c r="C1853" s="1" t="n">
        <v>45754</v>
      </c>
      <c r="D1853" t="inlineStr">
        <is>
          <t>JÄMTLANDS LÄN</t>
        </is>
      </c>
      <c r="E1853" t="inlineStr">
        <is>
          <t>BRÄCKE</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2064-2024</t>
        </is>
      </c>
      <c r="B1854" s="1" t="n">
        <v>45308</v>
      </c>
      <c r="C1854" s="1" t="n">
        <v>45754</v>
      </c>
      <c r="D1854" t="inlineStr">
        <is>
          <t>JÄMTLANDS LÄN</t>
        </is>
      </c>
      <c r="E1854" t="inlineStr">
        <is>
          <t>BRÄCKE</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2065-2024</t>
        </is>
      </c>
      <c r="B1855" s="1" t="n">
        <v>45309</v>
      </c>
      <c r="C1855" s="1" t="n">
        <v>45754</v>
      </c>
      <c r="D1855" t="inlineStr">
        <is>
          <t>JÄMTLANDS LÄN</t>
        </is>
      </c>
      <c r="E1855" t="inlineStr">
        <is>
          <t>BRÄCKE</t>
        </is>
      </c>
      <c r="F1855" t="inlineStr">
        <is>
          <t>SCA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2420-2024</t>
        </is>
      </c>
      <c r="B1856" s="1" t="n">
        <v>45310</v>
      </c>
      <c r="C1856" s="1" t="n">
        <v>45754</v>
      </c>
      <c r="D1856" t="inlineStr">
        <is>
          <t>JÄMTLANDS LÄN</t>
        </is>
      </c>
      <c r="E1856" t="inlineStr">
        <is>
          <t>BRÄCKE</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2421-2024</t>
        </is>
      </c>
      <c r="B1857" s="1" t="n">
        <v>45310</v>
      </c>
      <c r="C1857" s="1" t="n">
        <v>45754</v>
      </c>
      <c r="D1857" t="inlineStr">
        <is>
          <t>JÄMTLANDS LÄN</t>
        </is>
      </c>
      <c r="E1857" t="inlineStr">
        <is>
          <t>BRÄCKE</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2422-2024</t>
        </is>
      </c>
      <c r="B1858" s="1" t="n">
        <v>45310</v>
      </c>
      <c r="C1858" s="1" t="n">
        <v>45754</v>
      </c>
      <c r="D1858" t="inlineStr">
        <is>
          <t>JÄMTLANDS LÄN</t>
        </is>
      </c>
      <c r="E1858" t="inlineStr">
        <is>
          <t>BRÄCKE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2621-2024</t>
        </is>
      </c>
      <c r="B1859" s="1" t="n">
        <v>45313</v>
      </c>
      <c r="C1859" s="1" t="n">
        <v>45754</v>
      </c>
      <c r="D1859" t="inlineStr">
        <is>
          <t>JÄMTLANDS LÄN</t>
        </is>
      </c>
      <c r="E1859" t="inlineStr">
        <is>
          <t>BRÄCKE</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3182-2024</t>
        </is>
      </c>
      <c r="B1860" s="1" t="n">
        <v>45316</v>
      </c>
      <c r="C1860" s="1" t="n">
        <v>45754</v>
      </c>
      <c r="D1860" t="inlineStr">
        <is>
          <t>JÄMTLANDS LÄN</t>
        </is>
      </c>
      <c r="E1860" t="inlineStr">
        <is>
          <t>BRÄCKE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3179-2024</t>
        </is>
      </c>
      <c r="B1861" s="1" t="n">
        <v>45316</v>
      </c>
      <c r="C1861" s="1" t="n">
        <v>45754</v>
      </c>
      <c r="D1861" t="inlineStr">
        <is>
          <t>JÄMTLANDS LÄN</t>
        </is>
      </c>
      <c r="E1861" t="inlineStr">
        <is>
          <t>BRÄCKE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3180-2024</t>
        </is>
      </c>
      <c r="B1862" s="1" t="n">
        <v>45316</v>
      </c>
      <c r="C1862" s="1" t="n">
        <v>45754</v>
      </c>
      <c r="D1862" t="inlineStr">
        <is>
          <t>JÄMTLANDS LÄN</t>
        </is>
      </c>
      <c r="E1862" t="inlineStr">
        <is>
          <t>BRÄCKE</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3233-2024</t>
        </is>
      </c>
      <c r="B1863" s="1" t="n">
        <v>45316</v>
      </c>
      <c r="C1863" s="1" t="n">
        <v>45754</v>
      </c>
      <c r="D1863" t="inlineStr">
        <is>
          <t>JÄMTLANDS LÄN</t>
        </is>
      </c>
      <c r="E1863" t="inlineStr">
        <is>
          <t>BRÄCKE</t>
        </is>
      </c>
      <c r="F1863" t="inlineStr">
        <is>
          <t>SCA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3390-2024</t>
        </is>
      </c>
      <c r="B1864" s="1" t="n">
        <v>45317</v>
      </c>
      <c r="C1864" s="1" t="n">
        <v>45754</v>
      </c>
      <c r="D1864" t="inlineStr">
        <is>
          <t>JÄMTLANDS LÄN</t>
        </is>
      </c>
      <c r="E1864" t="inlineStr">
        <is>
          <t>BRÄCKE</t>
        </is>
      </c>
      <c r="F1864" t="inlineStr">
        <is>
          <t>SCA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3389-2024</t>
        </is>
      </c>
      <c r="B1865" s="1" t="n">
        <v>45317</v>
      </c>
      <c r="C1865" s="1" t="n">
        <v>45754</v>
      </c>
      <c r="D1865" t="inlineStr">
        <is>
          <t>JÄMTLANDS LÄN</t>
        </is>
      </c>
      <c r="E1865" t="inlineStr">
        <is>
          <t>BRÄCKE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3487-2024</t>
        </is>
      </c>
      <c r="B1866" s="1" t="n">
        <v>45317</v>
      </c>
      <c r="C1866" s="1" t="n">
        <v>45754</v>
      </c>
      <c r="D1866" t="inlineStr">
        <is>
          <t>JÄMTLANDS LÄN</t>
        </is>
      </c>
      <c r="E1866" t="inlineStr">
        <is>
          <t>BRÄCKE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3528-2024</t>
        </is>
      </c>
      <c r="B1867" s="1" t="n">
        <v>45320</v>
      </c>
      <c r="C1867" s="1" t="n">
        <v>45754</v>
      </c>
      <c r="D1867" t="inlineStr">
        <is>
          <t>JÄMTLANDS LÄN</t>
        </is>
      </c>
      <c r="E1867" t="inlineStr">
        <is>
          <t>BRÄCKE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3626-2024</t>
        </is>
      </c>
      <c r="B1868" s="1" t="n">
        <v>45320</v>
      </c>
      <c r="C1868" s="1" t="n">
        <v>45754</v>
      </c>
      <c r="D1868" t="inlineStr">
        <is>
          <t>JÄMTLANDS LÄN</t>
        </is>
      </c>
      <c r="E1868" t="inlineStr">
        <is>
          <t>BRÄCKE</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3616-2024</t>
        </is>
      </c>
      <c r="B1869" s="1" t="n">
        <v>45320</v>
      </c>
      <c r="C1869" s="1" t="n">
        <v>45754</v>
      </c>
      <c r="D1869" t="inlineStr">
        <is>
          <t>JÄMTLANDS LÄN</t>
        </is>
      </c>
      <c r="E1869" t="inlineStr">
        <is>
          <t>BRÄCKE</t>
        </is>
      </c>
      <c r="F1869" t="inlineStr">
        <is>
          <t>SCA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3840-2024</t>
        </is>
      </c>
      <c r="B1870" s="1" t="n">
        <v>45321</v>
      </c>
      <c r="C1870" s="1" t="n">
        <v>45754</v>
      </c>
      <c r="D1870" t="inlineStr">
        <is>
          <t>JÄMTLANDS LÄN</t>
        </is>
      </c>
      <c r="E1870" t="inlineStr">
        <is>
          <t>BRÄCKE</t>
        </is>
      </c>
      <c r="F1870" t="inlineStr">
        <is>
          <t>SCA</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3972-2024</t>
        </is>
      </c>
      <c r="B1871" s="1" t="n">
        <v>45322</v>
      </c>
      <c r="C1871" s="1" t="n">
        <v>45754</v>
      </c>
      <c r="D1871" t="inlineStr">
        <is>
          <t>JÄMTLANDS LÄN</t>
        </is>
      </c>
      <c r="E1871" t="inlineStr">
        <is>
          <t>BRÄCKE</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3995-2024</t>
        </is>
      </c>
      <c r="B1872" s="1" t="n">
        <v>45322</v>
      </c>
      <c r="C1872" s="1" t="n">
        <v>45754</v>
      </c>
      <c r="D1872" t="inlineStr">
        <is>
          <t>JÄMTLANDS LÄN</t>
        </is>
      </c>
      <c r="E1872" t="inlineStr">
        <is>
          <t>BRÄCKE</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4171-2024</t>
        </is>
      </c>
      <c r="B1873" s="1" t="n">
        <v>45323</v>
      </c>
      <c r="C1873" s="1" t="n">
        <v>45754</v>
      </c>
      <c r="D1873" t="inlineStr">
        <is>
          <t>JÄMTLANDS LÄN</t>
        </is>
      </c>
      <c r="E1873" t="inlineStr">
        <is>
          <t>BRÄCKE</t>
        </is>
      </c>
      <c r="F1873" t="inlineStr">
        <is>
          <t>SCA</t>
        </is>
      </c>
      <c r="G1873" t="n">
        <v>13.1</v>
      </c>
      <c r="H1873" t="n">
        <v>0</v>
      </c>
      <c r="I1873" t="n">
        <v>0</v>
      </c>
      <c r="J1873" t="n">
        <v>0</v>
      </c>
      <c r="K1873" t="n">
        <v>0</v>
      </c>
      <c r="L1873" t="n">
        <v>0</v>
      </c>
      <c r="M1873" t="n">
        <v>0</v>
      </c>
      <c r="N1873" t="n">
        <v>0</v>
      </c>
      <c r="O1873" t="n">
        <v>0</v>
      </c>
      <c r="P1873" t="n">
        <v>0</v>
      </c>
      <c r="Q1873" t="n">
        <v>0</v>
      </c>
      <c r="R1873" s="2" t="inlineStr"/>
    </row>
    <row r="1874" ht="15" customHeight="1">
      <c r="A1874" t="inlineStr">
        <is>
          <t>A 4170-2024</t>
        </is>
      </c>
      <c r="B1874" s="1" t="n">
        <v>45323</v>
      </c>
      <c r="C1874" s="1" t="n">
        <v>45754</v>
      </c>
      <c r="D1874" t="inlineStr">
        <is>
          <t>JÄMTLANDS LÄN</t>
        </is>
      </c>
      <c r="E1874" t="inlineStr">
        <is>
          <t>BRÄCKE</t>
        </is>
      </c>
      <c r="F1874" t="inlineStr">
        <is>
          <t>SCA</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4491-2024</t>
        </is>
      </c>
      <c r="B1875" s="1" t="n">
        <v>45327</v>
      </c>
      <c r="C1875" s="1" t="n">
        <v>45754</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4556-2024</t>
        </is>
      </c>
      <c r="B1876" s="1" t="n">
        <v>45327</v>
      </c>
      <c r="C1876" s="1" t="n">
        <v>45754</v>
      </c>
      <c r="D1876" t="inlineStr">
        <is>
          <t>JÄMTLANDS LÄN</t>
        </is>
      </c>
      <c r="E1876" t="inlineStr">
        <is>
          <t>BRÄCKE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4585-2024</t>
        </is>
      </c>
      <c r="B1877" s="1" t="n">
        <v>45327</v>
      </c>
      <c r="C1877" s="1" t="n">
        <v>45754</v>
      </c>
      <c r="D1877" t="inlineStr">
        <is>
          <t>JÄMTLANDS LÄN</t>
        </is>
      </c>
      <c r="E1877" t="inlineStr">
        <is>
          <t>BRÄCKE</t>
        </is>
      </c>
      <c r="F1877" t="inlineStr">
        <is>
          <t>SCA</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4590-2024</t>
        </is>
      </c>
      <c r="B1878" s="1" t="n">
        <v>45327</v>
      </c>
      <c r="C1878" s="1" t="n">
        <v>45754</v>
      </c>
      <c r="D1878" t="inlineStr">
        <is>
          <t>JÄMTLANDS LÄN</t>
        </is>
      </c>
      <c r="E1878" t="inlineStr">
        <is>
          <t>BRÄCKE</t>
        </is>
      </c>
      <c r="F1878" t="inlineStr">
        <is>
          <t>SCA</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4930-2024</t>
        </is>
      </c>
      <c r="B1879" s="1" t="n">
        <v>45329</v>
      </c>
      <c r="C1879" s="1" t="n">
        <v>45754</v>
      </c>
      <c r="D1879" t="inlineStr">
        <is>
          <t>JÄMTLANDS LÄN</t>
        </is>
      </c>
      <c r="E1879" t="inlineStr">
        <is>
          <t>BRÄCKE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5053-2024</t>
        </is>
      </c>
      <c r="B1880" s="1" t="n">
        <v>45329</v>
      </c>
      <c r="C1880" s="1" t="n">
        <v>45754</v>
      </c>
      <c r="D1880" t="inlineStr">
        <is>
          <t>JÄMTLANDS LÄN</t>
        </is>
      </c>
      <c r="E1880" t="inlineStr">
        <is>
          <t>BRÄCKE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5052-2024</t>
        </is>
      </c>
      <c r="B1881" s="1" t="n">
        <v>45329</v>
      </c>
      <c r="C1881" s="1" t="n">
        <v>45754</v>
      </c>
      <c r="D1881" t="inlineStr">
        <is>
          <t>JÄMTLANDS LÄN</t>
        </is>
      </c>
      <c r="E1881" t="inlineStr">
        <is>
          <t>BRÄCKE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7843-2024</t>
        </is>
      </c>
      <c r="B1882" s="1" t="n">
        <v>45329</v>
      </c>
      <c r="C1882" s="1" t="n">
        <v>45754</v>
      </c>
      <c r="D1882" t="inlineStr">
        <is>
          <t>JÄMTLANDS LÄN</t>
        </is>
      </c>
      <c r="E1882" t="inlineStr">
        <is>
          <t>BRÄCKE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5266-2024</t>
        </is>
      </c>
      <c r="B1883" s="1" t="n">
        <v>45330</v>
      </c>
      <c r="C1883" s="1" t="n">
        <v>45754</v>
      </c>
      <c r="D1883" t="inlineStr">
        <is>
          <t>JÄMTLANDS LÄN</t>
        </is>
      </c>
      <c r="E1883" t="inlineStr">
        <is>
          <t>BRÄCKE</t>
        </is>
      </c>
      <c r="F1883" t="inlineStr">
        <is>
          <t>SCA</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5270-2024</t>
        </is>
      </c>
      <c r="B1884" s="1" t="n">
        <v>45331</v>
      </c>
      <c r="C1884" s="1" t="n">
        <v>45754</v>
      </c>
      <c r="D1884" t="inlineStr">
        <is>
          <t>JÄMTLANDS LÄN</t>
        </is>
      </c>
      <c r="E1884" t="inlineStr">
        <is>
          <t>BRÄCKE</t>
        </is>
      </c>
      <c r="F1884" t="inlineStr">
        <is>
          <t>SCA</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5367-2024</t>
        </is>
      </c>
      <c r="B1885" s="1" t="n">
        <v>45331</v>
      </c>
      <c r="C1885" s="1" t="n">
        <v>45754</v>
      </c>
      <c r="D1885" t="inlineStr">
        <is>
          <t>JÄMTLANDS LÄN</t>
        </is>
      </c>
      <c r="E1885" t="inlineStr">
        <is>
          <t>BRÄCKE</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5441-2024</t>
        </is>
      </c>
      <c r="B1886" s="1" t="n">
        <v>45331</v>
      </c>
      <c r="C1886" s="1" t="n">
        <v>45754</v>
      </c>
      <c r="D1886" t="inlineStr">
        <is>
          <t>JÄMTLANDS LÄN</t>
        </is>
      </c>
      <c r="E1886" t="inlineStr">
        <is>
          <t>BRÄCKE</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5737-2024</t>
        </is>
      </c>
      <c r="B1887" s="1" t="n">
        <v>45334</v>
      </c>
      <c r="C1887" s="1" t="n">
        <v>45754</v>
      </c>
      <c r="D1887" t="inlineStr">
        <is>
          <t>JÄMTLANDS LÄN</t>
        </is>
      </c>
      <c r="E1887" t="inlineStr">
        <is>
          <t>BRÄCKE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5914-2024</t>
        </is>
      </c>
      <c r="B1888" s="1" t="n">
        <v>45335</v>
      </c>
      <c r="C1888" s="1" t="n">
        <v>45754</v>
      </c>
      <c r="D1888" t="inlineStr">
        <is>
          <t>JÄMTLANDS LÄN</t>
        </is>
      </c>
      <c r="E1888" t="inlineStr">
        <is>
          <t>BRÄCKE</t>
        </is>
      </c>
      <c r="F1888" t="inlineStr">
        <is>
          <t>SCA</t>
        </is>
      </c>
      <c r="G1888" t="n">
        <v>21.2</v>
      </c>
      <c r="H1888" t="n">
        <v>0</v>
      </c>
      <c r="I1888" t="n">
        <v>0</v>
      </c>
      <c r="J1888" t="n">
        <v>0</v>
      </c>
      <c r="K1888" t="n">
        <v>0</v>
      </c>
      <c r="L1888" t="n">
        <v>0</v>
      </c>
      <c r="M1888" t="n">
        <v>0</v>
      </c>
      <c r="N1888" t="n">
        <v>0</v>
      </c>
      <c r="O1888" t="n">
        <v>0</v>
      </c>
      <c r="P1888" t="n">
        <v>0</v>
      </c>
      <c r="Q1888" t="n">
        <v>0</v>
      </c>
      <c r="R1888" s="2" t="inlineStr"/>
    </row>
    <row r="1889" ht="15" customHeight="1">
      <c r="A1889" t="inlineStr">
        <is>
          <t>A 5915-2024</t>
        </is>
      </c>
      <c r="B1889" s="1" t="n">
        <v>45335</v>
      </c>
      <c r="C1889" s="1" t="n">
        <v>45754</v>
      </c>
      <c r="D1889" t="inlineStr">
        <is>
          <t>JÄMTLANDS LÄN</t>
        </is>
      </c>
      <c r="E1889" t="inlineStr">
        <is>
          <t>BRÄCKE</t>
        </is>
      </c>
      <c r="F1889" t="inlineStr">
        <is>
          <t>SCA</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6087-2024</t>
        </is>
      </c>
      <c r="B1890" s="1" t="n">
        <v>45337</v>
      </c>
      <c r="C1890" s="1" t="n">
        <v>45754</v>
      </c>
      <c r="D1890" t="inlineStr">
        <is>
          <t>JÄMTLANDS LÄN</t>
        </is>
      </c>
      <c r="E1890" t="inlineStr">
        <is>
          <t>BRÄCKE</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6086-2024</t>
        </is>
      </c>
      <c r="B1891" s="1" t="n">
        <v>45337</v>
      </c>
      <c r="C1891" s="1" t="n">
        <v>45754</v>
      </c>
      <c r="D1891" t="inlineStr">
        <is>
          <t>JÄMTLANDS LÄN</t>
        </is>
      </c>
      <c r="E1891" t="inlineStr">
        <is>
          <t>BRÄCKE</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6190-2024</t>
        </is>
      </c>
      <c r="B1892" s="1" t="n">
        <v>45337</v>
      </c>
      <c r="C1892" s="1" t="n">
        <v>45754</v>
      </c>
      <c r="D1892" t="inlineStr">
        <is>
          <t>JÄMTLANDS LÄN</t>
        </is>
      </c>
      <c r="E1892" t="inlineStr">
        <is>
          <t>BRÄCKE</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6185-2024</t>
        </is>
      </c>
      <c r="B1893" s="1" t="n">
        <v>45337</v>
      </c>
      <c r="C1893" s="1" t="n">
        <v>45754</v>
      </c>
      <c r="D1893" t="inlineStr">
        <is>
          <t>JÄMTLANDS LÄN</t>
        </is>
      </c>
      <c r="E1893" t="inlineStr">
        <is>
          <t>BRÄCKE</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6362-2024</t>
        </is>
      </c>
      <c r="B1894" s="1" t="n">
        <v>45338</v>
      </c>
      <c r="C1894" s="1" t="n">
        <v>45754</v>
      </c>
      <c r="D1894" t="inlineStr">
        <is>
          <t>JÄMTLANDS LÄN</t>
        </is>
      </c>
      <c r="E1894" t="inlineStr">
        <is>
          <t>BRÄCKE</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6516-2024</t>
        </is>
      </c>
      <c r="B1895" s="1" t="n">
        <v>45341</v>
      </c>
      <c r="C1895" s="1" t="n">
        <v>45754</v>
      </c>
      <c r="D1895" t="inlineStr">
        <is>
          <t>JÄMTLANDS LÄN</t>
        </is>
      </c>
      <c r="E1895" t="inlineStr">
        <is>
          <t>BRÄCKE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6907-2024</t>
        </is>
      </c>
      <c r="B1896" s="1" t="n">
        <v>45342</v>
      </c>
      <c r="C1896" s="1" t="n">
        <v>45754</v>
      </c>
      <c r="D1896" t="inlineStr">
        <is>
          <t>JÄMTLANDS LÄN</t>
        </is>
      </c>
      <c r="E1896" t="inlineStr">
        <is>
          <t>BRÄCKE</t>
        </is>
      </c>
      <c r="F1896" t="inlineStr">
        <is>
          <t>SCA</t>
        </is>
      </c>
      <c r="G1896" t="n">
        <v>11.7</v>
      </c>
      <c r="H1896" t="n">
        <v>0</v>
      </c>
      <c r="I1896" t="n">
        <v>0</v>
      </c>
      <c r="J1896" t="n">
        <v>0</v>
      </c>
      <c r="K1896" t="n">
        <v>0</v>
      </c>
      <c r="L1896" t="n">
        <v>0</v>
      </c>
      <c r="M1896" t="n">
        <v>0</v>
      </c>
      <c r="N1896" t="n">
        <v>0</v>
      </c>
      <c r="O1896" t="n">
        <v>0</v>
      </c>
      <c r="P1896" t="n">
        <v>0</v>
      </c>
      <c r="Q1896" t="n">
        <v>0</v>
      </c>
      <c r="R1896" s="2" t="inlineStr"/>
    </row>
    <row r="1897" ht="15" customHeight="1">
      <c r="A1897" t="inlineStr">
        <is>
          <t>A 7283-2024</t>
        </is>
      </c>
      <c r="B1897" s="1" t="n">
        <v>45344</v>
      </c>
      <c r="C1897" s="1" t="n">
        <v>45754</v>
      </c>
      <c r="D1897" t="inlineStr">
        <is>
          <t>JÄMTLANDS LÄN</t>
        </is>
      </c>
      <c r="E1897" t="inlineStr">
        <is>
          <t>BRÄCKE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7287-2024</t>
        </is>
      </c>
      <c r="B1898" s="1" t="n">
        <v>45344</v>
      </c>
      <c r="C1898" s="1" t="n">
        <v>45754</v>
      </c>
      <c r="D1898" t="inlineStr">
        <is>
          <t>JÄMTLANDS LÄN</t>
        </is>
      </c>
      <c r="E1898" t="inlineStr">
        <is>
          <t>BRÄCKE</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7286-2024</t>
        </is>
      </c>
      <c r="B1899" s="1" t="n">
        <v>45344</v>
      </c>
      <c r="C1899" s="1" t="n">
        <v>45754</v>
      </c>
      <c r="D1899" t="inlineStr">
        <is>
          <t>JÄMTLANDS LÄN</t>
        </is>
      </c>
      <c r="E1899" t="inlineStr">
        <is>
          <t>BRÄCKE</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7434-2024</t>
        </is>
      </c>
      <c r="B1900" s="1" t="n">
        <v>45345</v>
      </c>
      <c r="C1900" s="1" t="n">
        <v>45754</v>
      </c>
      <c r="D1900" t="inlineStr">
        <is>
          <t>JÄMTLANDS LÄN</t>
        </is>
      </c>
      <c r="E1900" t="inlineStr">
        <is>
          <t>BRÄCKE</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7844-2024</t>
        </is>
      </c>
      <c r="B1901" s="1" t="n">
        <v>45350</v>
      </c>
      <c r="C1901" s="1" t="n">
        <v>45754</v>
      </c>
      <c r="D1901" t="inlineStr">
        <is>
          <t>JÄMTLANDS LÄN</t>
        </is>
      </c>
      <c r="E1901" t="inlineStr">
        <is>
          <t>BRÄCKE</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8037-2024</t>
        </is>
      </c>
      <c r="B1902" s="1" t="n">
        <v>45350</v>
      </c>
      <c r="C1902" s="1" t="n">
        <v>45754</v>
      </c>
      <c r="D1902" t="inlineStr">
        <is>
          <t>JÄMTLANDS LÄN</t>
        </is>
      </c>
      <c r="E1902" t="inlineStr">
        <is>
          <t>BRÄCKE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8253-2024</t>
        </is>
      </c>
      <c r="B1903" s="1" t="n">
        <v>45350</v>
      </c>
      <c r="C1903" s="1" t="n">
        <v>45754</v>
      </c>
      <c r="D1903" t="inlineStr">
        <is>
          <t>JÄMTLANDS LÄN</t>
        </is>
      </c>
      <c r="E1903" t="inlineStr">
        <is>
          <t>BRÄCKE</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8242-2024</t>
        </is>
      </c>
      <c r="B1904" s="1" t="n">
        <v>45352</v>
      </c>
      <c r="C1904" s="1" t="n">
        <v>45754</v>
      </c>
      <c r="D1904" t="inlineStr">
        <is>
          <t>JÄMTLANDS LÄN</t>
        </is>
      </c>
      <c r="E1904" t="inlineStr">
        <is>
          <t>BRÄCKE</t>
        </is>
      </c>
      <c r="F1904" t="inlineStr">
        <is>
          <t>SCA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8416-2024</t>
        </is>
      </c>
      <c r="B1905" s="1" t="n">
        <v>45353</v>
      </c>
      <c r="C1905" s="1" t="n">
        <v>45754</v>
      </c>
      <c r="D1905" t="inlineStr">
        <is>
          <t>JÄMTLANDS LÄN</t>
        </is>
      </c>
      <c r="E1905" t="inlineStr">
        <is>
          <t>BRÄCKE</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8415-2024</t>
        </is>
      </c>
      <c r="B1906" s="1" t="n">
        <v>45353</v>
      </c>
      <c r="C1906" s="1" t="n">
        <v>45754</v>
      </c>
      <c r="D1906" t="inlineStr">
        <is>
          <t>JÄMTLANDS LÄN</t>
        </is>
      </c>
      <c r="E1906" t="inlineStr">
        <is>
          <t>BRÄCKE</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8657-2024</t>
        </is>
      </c>
      <c r="B1907" s="1" t="n">
        <v>45356</v>
      </c>
      <c r="C1907" s="1" t="n">
        <v>45754</v>
      </c>
      <c r="D1907" t="inlineStr">
        <is>
          <t>JÄMTLANDS LÄN</t>
        </is>
      </c>
      <c r="E1907" t="inlineStr">
        <is>
          <t>BRÄCKE</t>
        </is>
      </c>
      <c r="F1907" t="inlineStr">
        <is>
          <t>SCA</t>
        </is>
      </c>
      <c r="G1907" t="n">
        <v>35.6</v>
      </c>
      <c r="H1907" t="n">
        <v>0</v>
      </c>
      <c r="I1907" t="n">
        <v>0</v>
      </c>
      <c r="J1907" t="n">
        <v>0</v>
      </c>
      <c r="K1907" t="n">
        <v>0</v>
      </c>
      <c r="L1907" t="n">
        <v>0</v>
      </c>
      <c r="M1907" t="n">
        <v>0</v>
      </c>
      <c r="N1907" t="n">
        <v>0</v>
      </c>
      <c r="O1907" t="n">
        <v>0</v>
      </c>
      <c r="P1907" t="n">
        <v>0</v>
      </c>
      <c r="Q1907" t="n">
        <v>0</v>
      </c>
      <c r="R1907" s="2" t="inlineStr"/>
    </row>
    <row r="1908" ht="15" customHeight="1">
      <c r="A1908" t="inlineStr">
        <is>
          <t>A 8882-2024</t>
        </is>
      </c>
      <c r="B1908" s="1" t="n">
        <v>45357</v>
      </c>
      <c r="C1908" s="1" t="n">
        <v>45754</v>
      </c>
      <c r="D1908" t="inlineStr">
        <is>
          <t>JÄMTLANDS LÄN</t>
        </is>
      </c>
      <c r="E1908" t="inlineStr">
        <is>
          <t>BRÄCKE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9118-2024</t>
        </is>
      </c>
      <c r="B1909" s="1" t="n">
        <v>45358</v>
      </c>
      <c r="C1909" s="1" t="n">
        <v>45754</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9332-2024</t>
        </is>
      </c>
      <c r="B1910" s="1" t="n">
        <v>45359</v>
      </c>
      <c r="C1910" s="1" t="n">
        <v>45754</v>
      </c>
      <c r="D1910" t="inlineStr">
        <is>
          <t>JÄMTLANDS LÄN</t>
        </is>
      </c>
      <c r="E1910" t="inlineStr">
        <is>
          <t>BRÄCKE</t>
        </is>
      </c>
      <c r="F1910" t="inlineStr">
        <is>
          <t>SCA</t>
        </is>
      </c>
      <c r="G1910" t="n">
        <v>30.2</v>
      </c>
      <c r="H1910" t="n">
        <v>0</v>
      </c>
      <c r="I1910" t="n">
        <v>0</v>
      </c>
      <c r="J1910" t="n">
        <v>0</v>
      </c>
      <c r="K1910" t="n">
        <v>0</v>
      </c>
      <c r="L1910" t="n">
        <v>0</v>
      </c>
      <c r="M1910" t="n">
        <v>0</v>
      </c>
      <c r="N1910" t="n">
        <v>0</v>
      </c>
      <c r="O1910" t="n">
        <v>0</v>
      </c>
      <c r="P1910" t="n">
        <v>0</v>
      </c>
      <c r="Q1910" t="n">
        <v>0</v>
      </c>
      <c r="R1910" s="2" t="inlineStr"/>
    </row>
    <row r="1911" ht="15" customHeight="1">
      <c r="A1911" t="inlineStr">
        <is>
          <t>A 9553-2024</t>
        </is>
      </c>
      <c r="B1911" s="1" t="n">
        <v>45360</v>
      </c>
      <c r="C1911" s="1" t="n">
        <v>45754</v>
      </c>
      <c r="D1911" t="inlineStr">
        <is>
          <t>JÄMTLANDS LÄN</t>
        </is>
      </c>
      <c r="E1911" t="inlineStr">
        <is>
          <t>BRÄCKE</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9816-2024</t>
        </is>
      </c>
      <c r="B1912" s="1" t="n">
        <v>45363</v>
      </c>
      <c r="C1912" s="1" t="n">
        <v>45754</v>
      </c>
      <c r="D1912" t="inlineStr">
        <is>
          <t>JÄMTLANDS LÄN</t>
        </is>
      </c>
      <c r="E1912" t="inlineStr">
        <is>
          <t>BRÄCKE</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9821-2024</t>
        </is>
      </c>
      <c r="B1913" s="1" t="n">
        <v>45363</v>
      </c>
      <c r="C1913" s="1" t="n">
        <v>45754</v>
      </c>
      <c r="D1913" t="inlineStr">
        <is>
          <t>JÄMTLANDS LÄN</t>
        </is>
      </c>
      <c r="E1913" t="inlineStr">
        <is>
          <t>BRÄCKE</t>
        </is>
      </c>
      <c r="F1913" t="inlineStr">
        <is>
          <t>SCA</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10037-2024</t>
        </is>
      </c>
      <c r="B1914" s="1" t="n">
        <v>45364</v>
      </c>
      <c r="C1914" s="1" t="n">
        <v>45754</v>
      </c>
      <c r="D1914" t="inlineStr">
        <is>
          <t>JÄMTLANDS LÄN</t>
        </is>
      </c>
      <c r="E1914" t="inlineStr">
        <is>
          <t>BRÄCKE</t>
        </is>
      </c>
      <c r="F1914" t="inlineStr">
        <is>
          <t>SCA</t>
        </is>
      </c>
      <c r="G1914" t="n">
        <v>8.699999999999999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10036-2024</t>
        </is>
      </c>
      <c r="B1915" s="1" t="n">
        <v>45364</v>
      </c>
      <c r="C1915" s="1" t="n">
        <v>45754</v>
      </c>
      <c r="D1915" t="inlineStr">
        <is>
          <t>JÄMTLANDS LÄN</t>
        </is>
      </c>
      <c r="E1915" t="inlineStr">
        <is>
          <t>BRÄCKE</t>
        </is>
      </c>
      <c r="F1915" t="inlineStr">
        <is>
          <t>SCA</t>
        </is>
      </c>
      <c r="G1915" t="n">
        <v>22.6</v>
      </c>
      <c r="H1915" t="n">
        <v>0</v>
      </c>
      <c r="I1915" t="n">
        <v>0</v>
      </c>
      <c r="J1915" t="n">
        <v>0</v>
      </c>
      <c r="K1915" t="n">
        <v>0</v>
      </c>
      <c r="L1915" t="n">
        <v>0</v>
      </c>
      <c r="M1915" t="n">
        <v>0</v>
      </c>
      <c r="N1915" t="n">
        <v>0</v>
      </c>
      <c r="O1915" t="n">
        <v>0</v>
      </c>
      <c r="P1915" t="n">
        <v>0</v>
      </c>
      <c r="Q1915" t="n">
        <v>0</v>
      </c>
      <c r="R1915" s="2" t="inlineStr"/>
    </row>
    <row r="1916" ht="15" customHeight="1">
      <c r="A1916" t="inlineStr">
        <is>
          <t>A 10213-2024</t>
        </is>
      </c>
      <c r="B1916" s="1" t="n">
        <v>45364</v>
      </c>
      <c r="C1916" s="1" t="n">
        <v>45754</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10215-2024</t>
        </is>
      </c>
      <c r="B1917" s="1" t="n">
        <v>45364</v>
      </c>
      <c r="C1917" s="1" t="n">
        <v>45754</v>
      </c>
      <c r="D1917" t="inlineStr">
        <is>
          <t>JÄMTLANDS LÄN</t>
        </is>
      </c>
      <c r="E1917" t="inlineStr">
        <is>
          <t>BRÄCKE</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10558-2024</t>
        </is>
      </c>
      <c r="B1918" s="1" t="n">
        <v>45366</v>
      </c>
      <c r="C1918" s="1" t="n">
        <v>45754</v>
      </c>
      <c r="D1918" t="inlineStr">
        <is>
          <t>JÄMTLANDS LÄN</t>
        </is>
      </c>
      <c r="E1918" t="inlineStr">
        <is>
          <t>BRÄCKE</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10543-2024</t>
        </is>
      </c>
      <c r="B1919" s="1" t="n">
        <v>45366</v>
      </c>
      <c r="C1919" s="1" t="n">
        <v>45754</v>
      </c>
      <c r="D1919" t="inlineStr">
        <is>
          <t>JÄMTLANDS LÄN</t>
        </is>
      </c>
      <c r="E1919" t="inlineStr">
        <is>
          <t>BRÄCKE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10621-2024</t>
        </is>
      </c>
      <c r="B1920" s="1" t="n">
        <v>45367</v>
      </c>
      <c r="C1920" s="1" t="n">
        <v>45754</v>
      </c>
      <c r="D1920" t="inlineStr">
        <is>
          <t>JÄMTLANDS LÄN</t>
        </is>
      </c>
      <c r="E1920" t="inlineStr">
        <is>
          <t>BRÄCKE</t>
        </is>
      </c>
      <c r="F1920" t="inlineStr">
        <is>
          <t>SCA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10855-2024</t>
        </is>
      </c>
      <c r="B1921" s="1" t="n">
        <v>45370</v>
      </c>
      <c r="C1921" s="1" t="n">
        <v>45754</v>
      </c>
      <c r="D1921" t="inlineStr">
        <is>
          <t>JÄMTLANDS LÄN</t>
        </is>
      </c>
      <c r="E1921" t="inlineStr">
        <is>
          <t>BRÄCKE</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10859-2024</t>
        </is>
      </c>
      <c r="B1922" s="1" t="n">
        <v>45370</v>
      </c>
      <c r="C1922" s="1" t="n">
        <v>45754</v>
      </c>
      <c r="D1922" t="inlineStr">
        <is>
          <t>JÄMTLANDS LÄN</t>
        </is>
      </c>
      <c r="E1922" t="inlineStr">
        <is>
          <t>BRÄCKE</t>
        </is>
      </c>
      <c r="F1922" t="inlineStr">
        <is>
          <t>SCA</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10858-2024</t>
        </is>
      </c>
      <c r="B1923" s="1" t="n">
        <v>45370</v>
      </c>
      <c r="C1923" s="1" t="n">
        <v>45754</v>
      </c>
      <c r="D1923" t="inlineStr">
        <is>
          <t>JÄMTLANDS LÄN</t>
        </is>
      </c>
      <c r="E1923" t="inlineStr">
        <is>
          <t>BRÄCKE</t>
        </is>
      </c>
      <c r="F1923" t="inlineStr">
        <is>
          <t>SCA</t>
        </is>
      </c>
      <c r="G1923" t="n">
        <v>15.2</v>
      </c>
      <c r="H1923" t="n">
        <v>0</v>
      </c>
      <c r="I1923" t="n">
        <v>0</v>
      </c>
      <c r="J1923" t="n">
        <v>0</v>
      </c>
      <c r="K1923" t="n">
        <v>0</v>
      </c>
      <c r="L1923" t="n">
        <v>0</v>
      </c>
      <c r="M1923" t="n">
        <v>0</v>
      </c>
      <c r="N1923" t="n">
        <v>0</v>
      </c>
      <c r="O1923" t="n">
        <v>0</v>
      </c>
      <c r="P1923" t="n">
        <v>0</v>
      </c>
      <c r="Q1923" t="n">
        <v>0</v>
      </c>
      <c r="R1923" s="2" t="inlineStr"/>
    </row>
    <row r="1924" ht="15" customHeight="1">
      <c r="A1924" t="inlineStr">
        <is>
          <t>A 10857-2024</t>
        </is>
      </c>
      <c r="B1924" s="1" t="n">
        <v>45370</v>
      </c>
      <c r="C1924" s="1" t="n">
        <v>45754</v>
      </c>
      <c r="D1924" t="inlineStr">
        <is>
          <t>JÄMTLANDS LÄN</t>
        </is>
      </c>
      <c r="E1924" t="inlineStr">
        <is>
          <t>BRÄCKE</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10877-2024</t>
        </is>
      </c>
      <c r="B1925" s="1" t="n">
        <v>45370</v>
      </c>
      <c r="C1925" s="1" t="n">
        <v>45754</v>
      </c>
      <c r="D1925" t="inlineStr">
        <is>
          <t>JÄMTLANDS LÄN</t>
        </is>
      </c>
      <c r="E1925" t="inlineStr">
        <is>
          <t>BRÄCKE</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10856-2024</t>
        </is>
      </c>
      <c r="B1926" s="1" t="n">
        <v>45370</v>
      </c>
      <c r="C1926" s="1" t="n">
        <v>45754</v>
      </c>
      <c r="D1926" t="inlineStr">
        <is>
          <t>JÄMTLANDS LÄN</t>
        </is>
      </c>
      <c r="E1926" t="inlineStr">
        <is>
          <t>BRÄCKE</t>
        </is>
      </c>
      <c r="F1926" t="inlineStr">
        <is>
          <t>SCA</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11084-2024</t>
        </is>
      </c>
      <c r="B1927" s="1" t="n">
        <v>45370</v>
      </c>
      <c r="C1927" s="1" t="n">
        <v>45754</v>
      </c>
      <c r="D1927" t="inlineStr">
        <is>
          <t>JÄMTLANDS LÄN</t>
        </is>
      </c>
      <c r="E1927" t="inlineStr">
        <is>
          <t>BRÄCKE</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11085-2024</t>
        </is>
      </c>
      <c r="B1928" s="1" t="n">
        <v>45370</v>
      </c>
      <c r="C1928" s="1" t="n">
        <v>45754</v>
      </c>
      <c r="D1928" t="inlineStr">
        <is>
          <t>JÄMTLANDS LÄN</t>
        </is>
      </c>
      <c r="E1928" t="inlineStr">
        <is>
          <t>BRÄCKE</t>
        </is>
      </c>
      <c r="F1928" t="inlineStr">
        <is>
          <t>SCA</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11093-2024</t>
        </is>
      </c>
      <c r="B1929" s="1" t="n">
        <v>45370</v>
      </c>
      <c r="C1929" s="1" t="n">
        <v>45754</v>
      </c>
      <c r="D1929" t="inlineStr">
        <is>
          <t>JÄMTLANDS LÄN</t>
        </is>
      </c>
      <c r="E1929" t="inlineStr">
        <is>
          <t>BRÄCKE</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11331-2024</t>
        </is>
      </c>
      <c r="B1930" s="1" t="n">
        <v>45372</v>
      </c>
      <c r="C1930" s="1" t="n">
        <v>45754</v>
      </c>
      <c r="D1930" t="inlineStr">
        <is>
          <t>JÄMTLANDS LÄN</t>
        </is>
      </c>
      <c r="E1930" t="inlineStr">
        <is>
          <t>BRÄCKE</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11336-2024</t>
        </is>
      </c>
      <c r="B1931" s="1" t="n">
        <v>45372</v>
      </c>
      <c r="C1931" s="1" t="n">
        <v>45754</v>
      </c>
      <c r="D1931" t="inlineStr">
        <is>
          <t>JÄMTLANDS LÄN</t>
        </is>
      </c>
      <c r="E1931" t="inlineStr">
        <is>
          <t>BRÄCKE</t>
        </is>
      </c>
      <c r="F1931" t="inlineStr">
        <is>
          <t>SCA</t>
        </is>
      </c>
      <c r="G1931" t="n">
        <v>26.1</v>
      </c>
      <c r="H1931" t="n">
        <v>0</v>
      </c>
      <c r="I1931" t="n">
        <v>0</v>
      </c>
      <c r="J1931" t="n">
        <v>0</v>
      </c>
      <c r="K1931" t="n">
        <v>0</v>
      </c>
      <c r="L1931" t="n">
        <v>0</v>
      </c>
      <c r="M1931" t="n">
        <v>0</v>
      </c>
      <c r="N1931" t="n">
        <v>0</v>
      </c>
      <c r="O1931" t="n">
        <v>0</v>
      </c>
      <c r="P1931" t="n">
        <v>0</v>
      </c>
      <c r="Q1931" t="n">
        <v>0</v>
      </c>
      <c r="R1931" s="2" t="inlineStr"/>
    </row>
    <row r="1932" ht="15" customHeight="1">
      <c r="A1932" t="inlineStr">
        <is>
          <t>A 11337-2024</t>
        </is>
      </c>
      <c r="B1932" s="1" t="n">
        <v>45372</v>
      </c>
      <c r="C1932" s="1" t="n">
        <v>45754</v>
      </c>
      <c r="D1932" t="inlineStr">
        <is>
          <t>JÄMTLANDS LÄN</t>
        </is>
      </c>
      <c r="E1932" t="inlineStr">
        <is>
          <t>BRÄCKE</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11543-2024</t>
        </is>
      </c>
      <c r="B1933" s="1" t="n">
        <v>45372</v>
      </c>
      <c r="C1933" s="1" t="n">
        <v>45754</v>
      </c>
      <c r="D1933" t="inlineStr">
        <is>
          <t>JÄMTLANDS LÄN</t>
        </is>
      </c>
      <c r="E1933" t="inlineStr">
        <is>
          <t>BRÄCKE</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11536-2024</t>
        </is>
      </c>
      <c r="B1934" s="1" t="n">
        <v>45372</v>
      </c>
      <c r="C1934" s="1" t="n">
        <v>45754</v>
      </c>
      <c r="D1934" t="inlineStr">
        <is>
          <t>JÄMTLANDS LÄN</t>
        </is>
      </c>
      <c r="E1934" t="inlineStr">
        <is>
          <t>BRÄCKE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11545-2024</t>
        </is>
      </c>
      <c r="B1935" s="1" t="n">
        <v>45372</v>
      </c>
      <c r="C1935" s="1" t="n">
        <v>45754</v>
      </c>
      <c r="D1935" t="inlineStr">
        <is>
          <t>JÄMTLANDS LÄN</t>
        </is>
      </c>
      <c r="E1935" t="inlineStr">
        <is>
          <t>BRÄCKE</t>
        </is>
      </c>
      <c r="F1935" t="inlineStr">
        <is>
          <t>SCA</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11553-2024</t>
        </is>
      </c>
      <c r="B1936" s="1" t="n">
        <v>45372</v>
      </c>
      <c r="C1936" s="1" t="n">
        <v>45754</v>
      </c>
      <c r="D1936" t="inlineStr">
        <is>
          <t>JÄMTLANDS LÄN</t>
        </is>
      </c>
      <c r="E1936" t="inlineStr">
        <is>
          <t>BRÄCKE</t>
        </is>
      </c>
      <c r="F1936" t="inlineStr">
        <is>
          <t>Naturvårdsverket</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11658-2024</t>
        </is>
      </c>
      <c r="B1937" s="1" t="n">
        <v>45373</v>
      </c>
      <c r="C1937" s="1" t="n">
        <v>45754</v>
      </c>
      <c r="D1937" t="inlineStr">
        <is>
          <t>JÄMTLANDS LÄN</t>
        </is>
      </c>
      <c r="E1937" t="inlineStr">
        <is>
          <t>BRÄCKE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11830-2024</t>
        </is>
      </c>
      <c r="B1938" s="1" t="n">
        <v>45376</v>
      </c>
      <c r="C1938" s="1" t="n">
        <v>45754</v>
      </c>
      <c r="D1938" t="inlineStr">
        <is>
          <t>JÄMTLANDS LÄN</t>
        </is>
      </c>
      <c r="E1938" t="inlineStr">
        <is>
          <t>BRÄCKE</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11993-2024</t>
        </is>
      </c>
      <c r="B1939" s="1" t="n">
        <v>45376</v>
      </c>
      <c r="C1939" s="1" t="n">
        <v>45754</v>
      </c>
      <c r="D1939" t="inlineStr">
        <is>
          <t>JÄMTLANDS LÄN</t>
        </is>
      </c>
      <c r="E1939" t="inlineStr">
        <is>
          <t>BRÄCKE</t>
        </is>
      </c>
      <c r="F1939" t="inlineStr">
        <is>
          <t>SCA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11975-2024</t>
        </is>
      </c>
      <c r="B1940" s="1" t="n">
        <v>45376</v>
      </c>
      <c r="C1940" s="1" t="n">
        <v>45754</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11991-2024</t>
        </is>
      </c>
      <c r="B1941" s="1" t="n">
        <v>45376</v>
      </c>
      <c r="C1941" s="1" t="n">
        <v>45754</v>
      </c>
      <c r="D1941" t="inlineStr">
        <is>
          <t>JÄMTLANDS LÄN</t>
        </is>
      </c>
      <c r="E1941" t="inlineStr">
        <is>
          <t>BRÄCKE</t>
        </is>
      </c>
      <c r="F1941" t="inlineStr">
        <is>
          <t>SCA</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11992-2024</t>
        </is>
      </c>
      <c r="B1942" s="1" t="n">
        <v>45376</v>
      </c>
      <c r="C1942" s="1" t="n">
        <v>45754</v>
      </c>
      <c r="D1942" t="inlineStr">
        <is>
          <t>JÄMTLANDS LÄN</t>
        </is>
      </c>
      <c r="E1942" t="inlineStr">
        <is>
          <t>BRÄCKE</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11974-2024</t>
        </is>
      </c>
      <c r="B1943" s="1" t="n">
        <v>45376</v>
      </c>
      <c r="C1943" s="1" t="n">
        <v>45754</v>
      </c>
      <c r="D1943" t="inlineStr">
        <is>
          <t>JÄMTLANDS LÄN</t>
        </is>
      </c>
      <c r="E1943" t="inlineStr">
        <is>
          <t>BRÄCKE</t>
        </is>
      </c>
      <c r="F1943" t="inlineStr">
        <is>
          <t>SCA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12195-2024</t>
        </is>
      </c>
      <c r="B1944" s="1" t="n">
        <v>45377</v>
      </c>
      <c r="C1944" s="1" t="n">
        <v>45754</v>
      </c>
      <c r="D1944" t="inlineStr">
        <is>
          <t>JÄMTLANDS LÄN</t>
        </is>
      </c>
      <c r="E1944" t="inlineStr">
        <is>
          <t>BRÄCKE</t>
        </is>
      </c>
      <c r="F1944" t="inlineStr">
        <is>
          <t>SCA</t>
        </is>
      </c>
      <c r="G1944" t="n">
        <v>10</v>
      </c>
      <c r="H1944" t="n">
        <v>0</v>
      </c>
      <c r="I1944" t="n">
        <v>0</v>
      </c>
      <c r="J1944" t="n">
        <v>0</v>
      </c>
      <c r="K1944" t="n">
        <v>0</v>
      </c>
      <c r="L1944" t="n">
        <v>0</v>
      </c>
      <c r="M1944" t="n">
        <v>0</v>
      </c>
      <c r="N1944" t="n">
        <v>0</v>
      </c>
      <c r="O1944" t="n">
        <v>0</v>
      </c>
      <c r="P1944" t="n">
        <v>0</v>
      </c>
      <c r="Q1944" t="n">
        <v>0</v>
      </c>
      <c r="R1944" s="2" t="inlineStr"/>
    </row>
    <row r="1945" ht="15" customHeight="1">
      <c r="A1945" t="inlineStr">
        <is>
          <t>A 12183-2024</t>
        </is>
      </c>
      <c r="B1945" s="1" t="n">
        <v>45377</v>
      </c>
      <c r="C1945" s="1" t="n">
        <v>45754</v>
      </c>
      <c r="D1945" t="inlineStr">
        <is>
          <t>JÄMTLANDS LÄN</t>
        </is>
      </c>
      <c r="E1945" t="inlineStr">
        <is>
          <t>BRÄCKE</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12370-2024</t>
        </is>
      </c>
      <c r="B1946" s="1" t="n">
        <v>45378</v>
      </c>
      <c r="C1946" s="1" t="n">
        <v>45754</v>
      </c>
      <c r="D1946" t="inlineStr">
        <is>
          <t>JÄMTLANDS LÄN</t>
        </is>
      </c>
      <c r="E1946" t="inlineStr">
        <is>
          <t>BRÄCKE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12859-2024</t>
        </is>
      </c>
      <c r="B1947" s="1" t="n">
        <v>45385</v>
      </c>
      <c r="C1947" s="1" t="n">
        <v>45754</v>
      </c>
      <c r="D1947" t="inlineStr">
        <is>
          <t>JÄMTLANDS LÄN</t>
        </is>
      </c>
      <c r="E1947" t="inlineStr">
        <is>
          <t>BRÄCKE</t>
        </is>
      </c>
      <c r="F1947" t="inlineStr">
        <is>
          <t>SCA</t>
        </is>
      </c>
      <c r="G1947" t="n">
        <v>16.7</v>
      </c>
      <c r="H1947" t="n">
        <v>0</v>
      </c>
      <c r="I1947" t="n">
        <v>0</v>
      </c>
      <c r="J1947" t="n">
        <v>0</v>
      </c>
      <c r="K1947" t="n">
        <v>0</v>
      </c>
      <c r="L1947" t="n">
        <v>0</v>
      </c>
      <c r="M1947" t="n">
        <v>0</v>
      </c>
      <c r="N1947" t="n">
        <v>0</v>
      </c>
      <c r="O1947" t="n">
        <v>0</v>
      </c>
      <c r="P1947" t="n">
        <v>0</v>
      </c>
      <c r="Q1947" t="n">
        <v>0</v>
      </c>
      <c r="R1947" s="2" t="inlineStr"/>
    </row>
    <row r="1948" ht="15" customHeight="1">
      <c r="A1948" t="inlineStr">
        <is>
          <t>A 12864-2024</t>
        </is>
      </c>
      <c r="B1948" s="1" t="n">
        <v>45385</v>
      </c>
      <c r="C1948" s="1" t="n">
        <v>45754</v>
      </c>
      <c r="D1948" t="inlineStr">
        <is>
          <t>JÄMTLANDS LÄN</t>
        </is>
      </c>
      <c r="E1948" t="inlineStr">
        <is>
          <t>BRÄCKE</t>
        </is>
      </c>
      <c r="F1948" t="inlineStr">
        <is>
          <t>SCA</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12862-2024</t>
        </is>
      </c>
      <c r="B1949" s="1" t="n">
        <v>45385</v>
      </c>
      <c r="C1949" s="1" t="n">
        <v>45754</v>
      </c>
      <c r="D1949" t="inlineStr">
        <is>
          <t>JÄMTLANDS LÄN</t>
        </is>
      </c>
      <c r="E1949" t="inlineStr">
        <is>
          <t>BRÄCKE</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12891-2024</t>
        </is>
      </c>
      <c r="B1950" s="1" t="n">
        <v>45385</v>
      </c>
      <c r="C1950" s="1" t="n">
        <v>45754</v>
      </c>
      <c r="D1950" t="inlineStr">
        <is>
          <t>JÄMTLANDS LÄN</t>
        </is>
      </c>
      <c r="E1950" t="inlineStr">
        <is>
          <t>BRÄCKE</t>
        </is>
      </c>
      <c r="F1950" t="inlineStr">
        <is>
          <t>Kyrkan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12889-2024</t>
        </is>
      </c>
      <c r="B1951" s="1" t="n">
        <v>45385</v>
      </c>
      <c r="C1951" s="1" t="n">
        <v>45754</v>
      </c>
      <c r="D1951" t="inlineStr">
        <is>
          <t>JÄMTLANDS LÄN</t>
        </is>
      </c>
      <c r="E1951" t="inlineStr">
        <is>
          <t>BRÄCKE</t>
        </is>
      </c>
      <c r="F1951" t="inlineStr">
        <is>
          <t>Kyrkan</t>
        </is>
      </c>
      <c r="G1951" t="n">
        <v>12.1</v>
      </c>
      <c r="H1951" t="n">
        <v>0</v>
      </c>
      <c r="I1951" t="n">
        <v>0</v>
      </c>
      <c r="J1951" t="n">
        <v>0</v>
      </c>
      <c r="K1951" t="n">
        <v>0</v>
      </c>
      <c r="L1951" t="n">
        <v>0</v>
      </c>
      <c r="M1951" t="n">
        <v>0</v>
      </c>
      <c r="N1951" t="n">
        <v>0</v>
      </c>
      <c r="O1951" t="n">
        <v>0</v>
      </c>
      <c r="P1951" t="n">
        <v>0</v>
      </c>
      <c r="Q1951" t="n">
        <v>0</v>
      </c>
      <c r="R1951" s="2" t="inlineStr"/>
    </row>
    <row r="1952" ht="15" customHeight="1">
      <c r="A1952" t="inlineStr">
        <is>
          <t>A 13183-2024</t>
        </is>
      </c>
      <c r="B1952" s="1" t="n">
        <v>45386</v>
      </c>
      <c r="C1952" s="1" t="n">
        <v>45754</v>
      </c>
      <c r="D1952" t="inlineStr">
        <is>
          <t>JÄMTLANDS LÄN</t>
        </is>
      </c>
      <c r="E1952" t="inlineStr">
        <is>
          <t>BRÄCKE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13166-2024</t>
        </is>
      </c>
      <c r="B1953" s="1" t="n">
        <v>45386</v>
      </c>
      <c r="C1953" s="1" t="n">
        <v>45754</v>
      </c>
      <c r="D1953" t="inlineStr">
        <is>
          <t>JÄMTLANDS LÄN</t>
        </is>
      </c>
      <c r="E1953" t="inlineStr">
        <is>
          <t>BRÄCKE</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13178-2024</t>
        </is>
      </c>
      <c r="B1954" s="1" t="n">
        <v>45386</v>
      </c>
      <c r="C1954" s="1" t="n">
        <v>45754</v>
      </c>
      <c r="D1954" t="inlineStr">
        <is>
          <t>JÄMTLANDS LÄN</t>
        </is>
      </c>
      <c r="E1954" t="inlineStr">
        <is>
          <t>BRÄCKE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13180-2024</t>
        </is>
      </c>
      <c r="B1955" s="1" t="n">
        <v>45386</v>
      </c>
      <c r="C1955" s="1" t="n">
        <v>45754</v>
      </c>
      <c r="D1955" t="inlineStr">
        <is>
          <t>JÄMTLANDS LÄN</t>
        </is>
      </c>
      <c r="E1955" t="inlineStr">
        <is>
          <t>BRÄCKE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13554-2024</t>
        </is>
      </c>
      <c r="B1956" s="1" t="n">
        <v>45387</v>
      </c>
      <c r="C1956" s="1" t="n">
        <v>45754</v>
      </c>
      <c r="D1956" t="inlineStr">
        <is>
          <t>JÄMTLANDS LÄN</t>
        </is>
      </c>
      <c r="E1956" t="inlineStr">
        <is>
          <t>BRÄCKE</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13668-2024</t>
        </is>
      </c>
      <c r="B1957" s="1" t="n">
        <v>45387</v>
      </c>
      <c r="C1957" s="1" t="n">
        <v>45754</v>
      </c>
      <c r="D1957" t="inlineStr">
        <is>
          <t>JÄMTLANDS LÄN</t>
        </is>
      </c>
      <c r="E1957" t="inlineStr">
        <is>
          <t>BRÄCKE</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13549-2024</t>
        </is>
      </c>
      <c r="B1958" s="1" t="n">
        <v>45387</v>
      </c>
      <c r="C1958" s="1" t="n">
        <v>45754</v>
      </c>
      <c r="D1958" t="inlineStr">
        <is>
          <t>JÄMTLANDS LÄN</t>
        </is>
      </c>
      <c r="E1958" t="inlineStr">
        <is>
          <t>BRÄCKE</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13757-2024</t>
        </is>
      </c>
      <c r="B1959" s="1" t="n">
        <v>45391</v>
      </c>
      <c r="C1959" s="1" t="n">
        <v>45754</v>
      </c>
      <c r="D1959" t="inlineStr">
        <is>
          <t>JÄMTLANDS LÄN</t>
        </is>
      </c>
      <c r="E1959" t="inlineStr">
        <is>
          <t>BRÄCKE</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13762-2024</t>
        </is>
      </c>
      <c r="B1960" s="1" t="n">
        <v>45390</v>
      </c>
      <c r="C1960" s="1" t="n">
        <v>45754</v>
      </c>
      <c r="D1960" t="inlineStr">
        <is>
          <t>JÄMTLANDS LÄN</t>
        </is>
      </c>
      <c r="E1960" t="inlineStr">
        <is>
          <t>BRÄCKE</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13933-2024</t>
        </is>
      </c>
      <c r="B1961" s="1" t="n">
        <v>45392</v>
      </c>
      <c r="C1961" s="1" t="n">
        <v>45754</v>
      </c>
      <c r="D1961" t="inlineStr">
        <is>
          <t>JÄMTLANDS LÄN</t>
        </is>
      </c>
      <c r="E1961" t="inlineStr">
        <is>
          <t>BRÄCKE</t>
        </is>
      </c>
      <c r="F1961" t="inlineStr">
        <is>
          <t>SCA</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13938-2024</t>
        </is>
      </c>
      <c r="B1962" s="1" t="n">
        <v>45392</v>
      </c>
      <c r="C1962" s="1" t="n">
        <v>45754</v>
      </c>
      <c r="D1962" t="inlineStr">
        <is>
          <t>JÄMTLANDS LÄN</t>
        </is>
      </c>
      <c r="E1962" t="inlineStr">
        <is>
          <t>BRÄCKE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13944-2024</t>
        </is>
      </c>
      <c r="B1963" s="1" t="n">
        <v>45392</v>
      </c>
      <c r="C1963" s="1" t="n">
        <v>45754</v>
      </c>
      <c r="D1963" t="inlineStr">
        <is>
          <t>JÄMTLANDS LÄN</t>
        </is>
      </c>
      <c r="E1963" t="inlineStr">
        <is>
          <t>BRÄCKE</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13932-2024</t>
        </is>
      </c>
      <c r="B1964" s="1" t="n">
        <v>45391</v>
      </c>
      <c r="C1964" s="1" t="n">
        <v>45754</v>
      </c>
      <c r="D1964" t="inlineStr">
        <is>
          <t>JÄMTLANDS LÄN</t>
        </is>
      </c>
      <c r="E1964" t="inlineStr">
        <is>
          <t>BRÄCKE</t>
        </is>
      </c>
      <c r="F1964" t="inlineStr">
        <is>
          <t>SCA</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13995-2024</t>
        </is>
      </c>
      <c r="B1965" s="1" t="n">
        <v>45392</v>
      </c>
      <c r="C1965" s="1" t="n">
        <v>45754</v>
      </c>
      <c r="D1965" t="inlineStr">
        <is>
          <t>JÄMTLANDS LÄN</t>
        </is>
      </c>
      <c r="E1965" t="inlineStr">
        <is>
          <t>BRÄCKE</t>
        </is>
      </c>
      <c r="F1965" t="inlineStr">
        <is>
          <t>Kyrkan</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14003-2024</t>
        </is>
      </c>
      <c r="B1966" s="1" t="n">
        <v>45392</v>
      </c>
      <c r="C1966" s="1" t="n">
        <v>45754</v>
      </c>
      <c r="D1966" t="inlineStr">
        <is>
          <t>JÄMTLANDS LÄN</t>
        </is>
      </c>
      <c r="E1966" t="inlineStr">
        <is>
          <t>BRÄCKE</t>
        </is>
      </c>
      <c r="F1966" t="inlineStr">
        <is>
          <t>Kyrkan</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14373-2024</t>
        </is>
      </c>
      <c r="B1967" s="1" t="n">
        <v>45393</v>
      </c>
      <c r="C1967" s="1" t="n">
        <v>45754</v>
      </c>
      <c r="D1967" t="inlineStr">
        <is>
          <t>JÄMTLANDS LÄN</t>
        </is>
      </c>
      <c r="E1967" t="inlineStr">
        <is>
          <t>BRÄCKE</t>
        </is>
      </c>
      <c r="F1967" t="inlineStr">
        <is>
          <t>SCA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14370-2024</t>
        </is>
      </c>
      <c r="B1968" s="1" t="n">
        <v>45394</v>
      </c>
      <c r="C1968" s="1" t="n">
        <v>45754</v>
      </c>
      <c r="D1968" t="inlineStr">
        <is>
          <t>JÄMTLANDS LÄN</t>
        </is>
      </c>
      <c r="E1968" t="inlineStr">
        <is>
          <t>BRÄCKE</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14450-2024</t>
        </is>
      </c>
      <c r="B1969" s="1" t="n">
        <v>45394</v>
      </c>
      <c r="C1969" s="1" t="n">
        <v>45754</v>
      </c>
      <c r="D1969" t="inlineStr">
        <is>
          <t>JÄMTLANDS LÄN</t>
        </is>
      </c>
      <c r="E1969" t="inlineStr">
        <is>
          <t>BRÄCKE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14492-2024</t>
        </is>
      </c>
      <c r="B1970" s="1" t="n">
        <v>45394</v>
      </c>
      <c r="C1970" s="1" t="n">
        <v>45754</v>
      </c>
      <c r="D1970" t="inlineStr">
        <is>
          <t>JÄMTLANDS LÄN</t>
        </is>
      </c>
      <c r="E1970" t="inlineStr">
        <is>
          <t>BRÄCKE</t>
        </is>
      </c>
      <c r="G1970" t="n">
        <v>16.6</v>
      </c>
      <c r="H1970" t="n">
        <v>0</v>
      </c>
      <c r="I1970" t="n">
        <v>0</v>
      </c>
      <c r="J1970" t="n">
        <v>0</v>
      </c>
      <c r="K1970" t="n">
        <v>0</v>
      </c>
      <c r="L1970" t="n">
        <v>0</v>
      </c>
      <c r="M1970" t="n">
        <v>0</v>
      </c>
      <c r="N1970" t="n">
        <v>0</v>
      </c>
      <c r="O1970" t="n">
        <v>0</v>
      </c>
      <c r="P1970" t="n">
        <v>0</v>
      </c>
      <c r="Q1970" t="n">
        <v>0</v>
      </c>
      <c r="R1970" s="2" t="inlineStr"/>
    </row>
    <row r="1971" ht="15" customHeight="1">
      <c r="A1971" t="inlineStr">
        <is>
          <t>A 14503-2024</t>
        </is>
      </c>
      <c r="B1971" s="1" t="n">
        <v>45394</v>
      </c>
      <c r="C1971" s="1" t="n">
        <v>45754</v>
      </c>
      <c r="D1971" t="inlineStr">
        <is>
          <t>JÄMTLANDS LÄN</t>
        </is>
      </c>
      <c r="E1971" t="inlineStr">
        <is>
          <t>BRÄCKE</t>
        </is>
      </c>
      <c r="G1971" t="n">
        <v>15.2</v>
      </c>
      <c r="H1971" t="n">
        <v>0</v>
      </c>
      <c r="I1971" t="n">
        <v>0</v>
      </c>
      <c r="J1971" t="n">
        <v>0</v>
      </c>
      <c r="K1971" t="n">
        <v>0</v>
      </c>
      <c r="L1971" t="n">
        <v>0</v>
      </c>
      <c r="M1971" t="n">
        <v>0</v>
      </c>
      <c r="N1971" t="n">
        <v>0</v>
      </c>
      <c r="O1971" t="n">
        <v>0</v>
      </c>
      <c r="P1971" t="n">
        <v>0</v>
      </c>
      <c r="Q1971" t="n">
        <v>0</v>
      </c>
      <c r="R1971" s="2" t="inlineStr"/>
    </row>
    <row r="1972" ht="15" customHeight="1">
      <c r="A1972" t="inlineStr">
        <is>
          <t>A 14645-2024</t>
        </is>
      </c>
      <c r="B1972" s="1" t="n">
        <v>45397</v>
      </c>
      <c r="C1972" s="1" t="n">
        <v>45754</v>
      </c>
      <c r="D1972" t="inlineStr">
        <is>
          <t>JÄMTLANDS LÄN</t>
        </is>
      </c>
      <c r="E1972" t="inlineStr">
        <is>
          <t>BRÄCKE</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14662-2024</t>
        </is>
      </c>
      <c r="B1973" s="1" t="n">
        <v>45397</v>
      </c>
      <c r="C1973" s="1" t="n">
        <v>45754</v>
      </c>
      <c r="D1973" t="inlineStr">
        <is>
          <t>JÄMTLANDS LÄN</t>
        </is>
      </c>
      <c r="E1973" t="inlineStr">
        <is>
          <t>BRÄCKE</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14654-2024</t>
        </is>
      </c>
      <c r="B1974" s="1" t="n">
        <v>45397</v>
      </c>
      <c r="C1974" s="1" t="n">
        <v>45754</v>
      </c>
      <c r="D1974" t="inlineStr">
        <is>
          <t>JÄMTLANDS LÄN</t>
        </is>
      </c>
      <c r="E1974" t="inlineStr">
        <is>
          <t>BRÄCKE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14664-2024</t>
        </is>
      </c>
      <c r="B1975" s="1" t="n">
        <v>45397</v>
      </c>
      <c r="C1975" s="1" t="n">
        <v>45754</v>
      </c>
      <c r="D1975" t="inlineStr">
        <is>
          <t>JÄMTLANDS LÄN</t>
        </is>
      </c>
      <c r="E1975" t="inlineStr">
        <is>
          <t>BRÄCKE</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14969-2024</t>
        </is>
      </c>
      <c r="B1976" s="1" t="n">
        <v>45399</v>
      </c>
      <c r="C1976" s="1" t="n">
        <v>45754</v>
      </c>
      <c r="D1976" t="inlineStr">
        <is>
          <t>JÄMTLANDS LÄN</t>
        </is>
      </c>
      <c r="E1976" t="inlineStr">
        <is>
          <t>BRÄCKE</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14979-2024</t>
        </is>
      </c>
      <c r="B1977" s="1" t="n">
        <v>45399</v>
      </c>
      <c r="C1977" s="1" t="n">
        <v>45754</v>
      </c>
      <c r="D1977" t="inlineStr">
        <is>
          <t>JÄMTLANDS LÄN</t>
        </is>
      </c>
      <c r="E1977" t="inlineStr">
        <is>
          <t>BRÄCKE</t>
        </is>
      </c>
      <c r="F1977" t="inlineStr">
        <is>
          <t>SCA</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14968-2024</t>
        </is>
      </c>
      <c r="B1978" s="1" t="n">
        <v>45399</v>
      </c>
      <c r="C1978" s="1" t="n">
        <v>45754</v>
      </c>
      <c r="D1978" t="inlineStr">
        <is>
          <t>JÄMTLANDS LÄN</t>
        </is>
      </c>
      <c r="E1978" t="inlineStr">
        <is>
          <t>BRÄCKE</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15145-2024</t>
        </is>
      </c>
      <c r="B1979" s="1" t="n">
        <v>45400</v>
      </c>
      <c r="C1979" s="1" t="n">
        <v>45754</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15149-2024</t>
        </is>
      </c>
      <c r="B1980" s="1" t="n">
        <v>45400</v>
      </c>
      <c r="C1980" s="1" t="n">
        <v>45754</v>
      </c>
      <c r="D1980" t="inlineStr">
        <is>
          <t>JÄMTLANDS LÄN</t>
        </is>
      </c>
      <c r="E1980" t="inlineStr">
        <is>
          <t>BRÄCKE</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15144-2024</t>
        </is>
      </c>
      <c r="B1981" s="1" t="n">
        <v>45400</v>
      </c>
      <c r="C1981" s="1" t="n">
        <v>45754</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15148-2024</t>
        </is>
      </c>
      <c r="B1982" s="1" t="n">
        <v>45400</v>
      </c>
      <c r="C1982" s="1" t="n">
        <v>45754</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15155-2024</t>
        </is>
      </c>
      <c r="B1983" s="1" t="n">
        <v>45400</v>
      </c>
      <c r="C1983" s="1" t="n">
        <v>45754</v>
      </c>
      <c r="D1983" t="inlineStr">
        <is>
          <t>JÄMTLANDS LÄN</t>
        </is>
      </c>
      <c r="E1983" t="inlineStr">
        <is>
          <t>BRÄCKE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15201-2024</t>
        </is>
      </c>
      <c r="B1984" s="1" t="n">
        <v>45400</v>
      </c>
      <c r="C1984" s="1" t="n">
        <v>45754</v>
      </c>
      <c r="D1984" t="inlineStr">
        <is>
          <t>JÄMTLANDS LÄN</t>
        </is>
      </c>
      <c r="E1984" t="inlineStr">
        <is>
          <t>BRÄCKE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16060-2024</t>
        </is>
      </c>
      <c r="B1985" s="1" t="n">
        <v>45406</v>
      </c>
      <c r="C1985" s="1" t="n">
        <v>45754</v>
      </c>
      <c r="D1985" t="inlineStr">
        <is>
          <t>JÄMTLANDS LÄN</t>
        </is>
      </c>
      <c r="E1985" t="inlineStr">
        <is>
          <t>BRÄCKE</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16059-2024</t>
        </is>
      </c>
      <c r="B1986" s="1" t="n">
        <v>45406</v>
      </c>
      <c r="C1986" s="1" t="n">
        <v>45754</v>
      </c>
      <c r="D1986" t="inlineStr">
        <is>
          <t>JÄMTLANDS LÄN</t>
        </is>
      </c>
      <c r="E1986" t="inlineStr">
        <is>
          <t>BRÄCKE</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16158-2024</t>
        </is>
      </c>
      <c r="B1987" s="1" t="n">
        <v>45406</v>
      </c>
      <c r="C1987" s="1" t="n">
        <v>45754</v>
      </c>
      <c r="D1987" t="inlineStr">
        <is>
          <t>JÄMTLANDS LÄN</t>
        </is>
      </c>
      <c r="E1987" t="inlineStr">
        <is>
          <t>BRÄCKE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16196-2024</t>
        </is>
      </c>
      <c r="B1988" s="1" t="n">
        <v>45406</v>
      </c>
      <c r="C1988" s="1" t="n">
        <v>45754</v>
      </c>
      <c r="D1988" t="inlineStr">
        <is>
          <t>JÄMTLANDS LÄN</t>
        </is>
      </c>
      <c r="E1988" t="inlineStr">
        <is>
          <t>BRÄCKE</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16472-2024</t>
        </is>
      </c>
      <c r="B1989" s="1" t="n">
        <v>45408</v>
      </c>
      <c r="C1989" s="1" t="n">
        <v>45754</v>
      </c>
      <c r="D1989" t="inlineStr">
        <is>
          <t>JÄMTLANDS LÄN</t>
        </is>
      </c>
      <c r="E1989" t="inlineStr">
        <is>
          <t>BRÄCKE</t>
        </is>
      </c>
      <c r="F1989" t="inlineStr">
        <is>
          <t>SCA</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16512-2024</t>
        </is>
      </c>
      <c r="B1990" s="1" t="n">
        <v>45408</v>
      </c>
      <c r="C1990" s="1" t="n">
        <v>45754</v>
      </c>
      <c r="D1990" t="inlineStr">
        <is>
          <t>JÄMTLANDS LÄN</t>
        </is>
      </c>
      <c r="E1990" t="inlineStr">
        <is>
          <t>BRÄCKE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16462-2024</t>
        </is>
      </c>
      <c r="B1991" s="1" t="n">
        <v>45408</v>
      </c>
      <c r="C1991" s="1" t="n">
        <v>45754</v>
      </c>
      <c r="D1991" t="inlineStr">
        <is>
          <t>JÄMTLANDS LÄN</t>
        </is>
      </c>
      <c r="E1991" t="inlineStr">
        <is>
          <t>BRÄCKE</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16466-2024</t>
        </is>
      </c>
      <c r="B1992" s="1" t="n">
        <v>45408</v>
      </c>
      <c r="C1992" s="1" t="n">
        <v>45754</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16708-2024</t>
        </is>
      </c>
      <c r="B1993" s="1" t="n">
        <v>45409</v>
      </c>
      <c r="C1993" s="1" t="n">
        <v>45754</v>
      </c>
      <c r="D1993" t="inlineStr">
        <is>
          <t>JÄMTLANDS LÄN</t>
        </is>
      </c>
      <c r="E1993" t="inlineStr">
        <is>
          <t>BRÄCKE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16707-2024</t>
        </is>
      </c>
      <c r="B1994" s="1" t="n">
        <v>45409</v>
      </c>
      <c r="C1994" s="1" t="n">
        <v>45754</v>
      </c>
      <c r="D1994" t="inlineStr">
        <is>
          <t>JÄMTLANDS LÄN</t>
        </is>
      </c>
      <c r="E1994" t="inlineStr">
        <is>
          <t>BRÄCKE</t>
        </is>
      </c>
      <c r="F1994" t="inlineStr">
        <is>
          <t>SCA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17016-2024</t>
        </is>
      </c>
      <c r="B1995" s="1" t="n">
        <v>45411</v>
      </c>
      <c r="C1995" s="1" t="n">
        <v>45754</v>
      </c>
      <c r="D1995" t="inlineStr">
        <is>
          <t>JÄMTLANDS LÄN</t>
        </is>
      </c>
      <c r="E1995" t="inlineStr">
        <is>
          <t>BRÄCKE</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17184-2024</t>
        </is>
      </c>
      <c r="B1996" s="1" t="n">
        <v>45413</v>
      </c>
      <c r="C1996" s="1" t="n">
        <v>45754</v>
      </c>
      <c r="D1996" t="inlineStr">
        <is>
          <t>JÄMTLANDS LÄN</t>
        </is>
      </c>
      <c r="E1996" t="inlineStr">
        <is>
          <t>BRÄCKE</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17183-2024</t>
        </is>
      </c>
      <c r="B1997" s="1" t="n">
        <v>45413</v>
      </c>
      <c r="C1997" s="1" t="n">
        <v>45754</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17182-2024</t>
        </is>
      </c>
      <c r="B1998" s="1" t="n">
        <v>45413</v>
      </c>
      <c r="C1998" s="1" t="n">
        <v>45754</v>
      </c>
      <c r="D1998" t="inlineStr">
        <is>
          <t>JÄMTLANDS LÄN</t>
        </is>
      </c>
      <c r="E1998" t="inlineStr">
        <is>
          <t>BRÄCKE</t>
        </is>
      </c>
      <c r="F1998" t="inlineStr">
        <is>
          <t>SCA</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17174-2024</t>
        </is>
      </c>
      <c r="B1999" s="1" t="n">
        <v>45413</v>
      </c>
      <c r="C1999" s="1" t="n">
        <v>45754</v>
      </c>
      <c r="D1999" t="inlineStr">
        <is>
          <t>JÄMTLANDS LÄN</t>
        </is>
      </c>
      <c r="E1999" t="inlineStr">
        <is>
          <t>BRÄCKE</t>
        </is>
      </c>
      <c r="F1999" t="inlineStr">
        <is>
          <t>SCA</t>
        </is>
      </c>
      <c r="G1999" t="n">
        <v>20.3</v>
      </c>
      <c r="H1999" t="n">
        <v>0</v>
      </c>
      <c r="I1999" t="n">
        <v>0</v>
      </c>
      <c r="J1999" t="n">
        <v>0</v>
      </c>
      <c r="K1999" t="n">
        <v>0</v>
      </c>
      <c r="L1999" t="n">
        <v>0</v>
      </c>
      <c r="M1999" t="n">
        <v>0</v>
      </c>
      <c r="N1999" t="n">
        <v>0</v>
      </c>
      <c r="O1999" t="n">
        <v>0</v>
      </c>
      <c r="P1999" t="n">
        <v>0</v>
      </c>
      <c r="Q1999" t="n">
        <v>0</v>
      </c>
      <c r="R1999" s="2" t="inlineStr"/>
    </row>
    <row r="2000" ht="15" customHeight="1">
      <c r="A2000" t="inlineStr">
        <is>
          <t>A 17420-2024</t>
        </is>
      </c>
      <c r="B2000" s="1" t="n">
        <v>45415</v>
      </c>
      <c r="C2000" s="1" t="n">
        <v>45754</v>
      </c>
      <c r="D2000" t="inlineStr">
        <is>
          <t>JÄMTLANDS LÄN</t>
        </is>
      </c>
      <c r="E2000" t="inlineStr">
        <is>
          <t>BRÄCKE</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17597-2024</t>
        </is>
      </c>
      <c r="B2001" s="1" t="n">
        <v>45416</v>
      </c>
      <c r="C2001" s="1" t="n">
        <v>45754</v>
      </c>
      <c r="D2001" t="inlineStr">
        <is>
          <t>JÄMTLANDS LÄN</t>
        </is>
      </c>
      <c r="E2001" t="inlineStr">
        <is>
          <t>BRÄCKE</t>
        </is>
      </c>
      <c r="F2001" t="inlineStr">
        <is>
          <t>SCA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17592-2024</t>
        </is>
      </c>
      <c r="B2002" s="1" t="n">
        <v>45416</v>
      </c>
      <c r="C2002" s="1" t="n">
        <v>45754</v>
      </c>
      <c r="D2002" t="inlineStr">
        <is>
          <t>JÄMTLANDS LÄN</t>
        </is>
      </c>
      <c r="E2002" t="inlineStr">
        <is>
          <t>BRÄCKE</t>
        </is>
      </c>
      <c r="F2002" t="inlineStr">
        <is>
          <t>SCA</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17809-2024</t>
        </is>
      </c>
      <c r="B2003" s="1" t="n">
        <v>45419</v>
      </c>
      <c r="C2003" s="1" t="n">
        <v>45754</v>
      </c>
      <c r="D2003" t="inlineStr">
        <is>
          <t>JÄMTLANDS LÄN</t>
        </is>
      </c>
      <c r="E2003" t="inlineStr">
        <is>
          <t>BRÄCKE</t>
        </is>
      </c>
      <c r="G2003" t="n">
        <v>21.7</v>
      </c>
      <c r="H2003" t="n">
        <v>0</v>
      </c>
      <c r="I2003" t="n">
        <v>0</v>
      </c>
      <c r="J2003" t="n">
        <v>0</v>
      </c>
      <c r="K2003" t="n">
        <v>0</v>
      </c>
      <c r="L2003" t="n">
        <v>0</v>
      </c>
      <c r="M2003" t="n">
        <v>0</v>
      </c>
      <c r="N2003" t="n">
        <v>0</v>
      </c>
      <c r="O2003" t="n">
        <v>0</v>
      </c>
      <c r="P2003" t="n">
        <v>0</v>
      </c>
      <c r="Q2003" t="n">
        <v>0</v>
      </c>
      <c r="R2003" s="2" t="inlineStr"/>
    </row>
    <row r="2004" ht="15" customHeight="1">
      <c r="A2004" t="inlineStr">
        <is>
          <t>A 17810-2024</t>
        </is>
      </c>
      <c r="B2004" s="1" t="n">
        <v>45419</v>
      </c>
      <c r="C2004" s="1" t="n">
        <v>45754</v>
      </c>
      <c r="D2004" t="inlineStr">
        <is>
          <t>JÄMTLANDS LÄN</t>
        </is>
      </c>
      <c r="E2004" t="inlineStr">
        <is>
          <t>BRÄCKE</t>
        </is>
      </c>
      <c r="G2004" t="n">
        <v>14.4</v>
      </c>
      <c r="H2004" t="n">
        <v>0</v>
      </c>
      <c r="I2004" t="n">
        <v>0</v>
      </c>
      <c r="J2004" t="n">
        <v>0</v>
      </c>
      <c r="K2004" t="n">
        <v>0</v>
      </c>
      <c r="L2004" t="n">
        <v>0</v>
      </c>
      <c r="M2004" t="n">
        <v>0</v>
      </c>
      <c r="N2004" t="n">
        <v>0</v>
      </c>
      <c r="O2004" t="n">
        <v>0</v>
      </c>
      <c r="P2004" t="n">
        <v>0</v>
      </c>
      <c r="Q2004" t="n">
        <v>0</v>
      </c>
      <c r="R2004" s="2" t="inlineStr"/>
    </row>
    <row r="2005" ht="15" customHeight="1">
      <c r="A2005" t="inlineStr">
        <is>
          <t>A 18047-2024</t>
        </is>
      </c>
      <c r="B2005" s="1" t="n">
        <v>45420</v>
      </c>
      <c r="C2005" s="1" t="n">
        <v>45754</v>
      </c>
      <c r="D2005" t="inlineStr">
        <is>
          <t>JÄMTLANDS LÄN</t>
        </is>
      </c>
      <c r="E2005" t="inlineStr">
        <is>
          <t>BRÄCKE</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18600-2024</t>
        </is>
      </c>
      <c r="B2006" s="1" t="n">
        <v>45426</v>
      </c>
      <c r="C2006" s="1" t="n">
        <v>45754</v>
      </c>
      <c r="D2006" t="inlineStr">
        <is>
          <t>JÄMTLANDS LÄN</t>
        </is>
      </c>
      <c r="E2006" t="inlineStr">
        <is>
          <t>BRÄCKE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18640-2024</t>
        </is>
      </c>
      <c r="B2007" s="1" t="n">
        <v>45426</v>
      </c>
      <c r="C2007" s="1" t="n">
        <v>45754</v>
      </c>
      <c r="D2007" t="inlineStr">
        <is>
          <t>JÄMTLANDS LÄN</t>
        </is>
      </c>
      <c r="E2007" t="inlineStr">
        <is>
          <t>BRÄCKE</t>
        </is>
      </c>
      <c r="F2007" t="inlineStr">
        <is>
          <t>SCA</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18637-2024</t>
        </is>
      </c>
      <c r="B2008" s="1" t="n">
        <v>45426</v>
      </c>
      <c r="C2008" s="1" t="n">
        <v>45754</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18641-2024</t>
        </is>
      </c>
      <c r="B2009" s="1" t="n">
        <v>45426</v>
      </c>
      <c r="C2009" s="1" t="n">
        <v>45754</v>
      </c>
      <c r="D2009" t="inlineStr">
        <is>
          <t>JÄMTLANDS LÄN</t>
        </is>
      </c>
      <c r="E2009" t="inlineStr">
        <is>
          <t>BRÄCKE</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18645-2024</t>
        </is>
      </c>
      <c r="B2010" s="1" t="n">
        <v>45426</v>
      </c>
      <c r="C2010" s="1" t="n">
        <v>45754</v>
      </c>
      <c r="D2010" t="inlineStr">
        <is>
          <t>JÄMTLANDS LÄN</t>
        </is>
      </c>
      <c r="E2010" t="inlineStr">
        <is>
          <t>BRÄCKE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18606-2024</t>
        </is>
      </c>
      <c r="B2011" s="1" t="n">
        <v>45426</v>
      </c>
      <c r="C2011" s="1" t="n">
        <v>45754</v>
      </c>
      <c r="D2011" t="inlineStr">
        <is>
          <t>JÄMTLANDS LÄN</t>
        </is>
      </c>
      <c r="E2011" t="inlineStr">
        <is>
          <t>BRÄCKE</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18626-2024</t>
        </is>
      </c>
      <c r="B2012" s="1" t="n">
        <v>45426</v>
      </c>
      <c r="C2012" s="1" t="n">
        <v>45754</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18630-2024</t>
        </is>
      </c>
      <c r="B2013" s="1" t="n">
        <v>45426</v>
      </c>
      <c r="C2013" s="1" t="n">
        <v>45754</v>
      </c>
      <c r="D2013" t="inlineStr">
        <is>
          <t>JÄMTLANDS LÄN</t>
        </is>
      </c>
      <c r="E2013" t="inlineStr">
        <is>
          <t>BRÄCKE</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18760-2024</t>
        </is>
      </c>
      <c r="B2014" s="1" t="n">
        <v>45426</v>
      </c>
      <c r="C2014" s="1" t="n">
        <v>45754</v>
      </c>
      <c r="D2014" t="inlineStr">
        <is>
          <t>JÄMTLANDS LÄN</t>
        </is>
      </c>
      <c r="E2014" t="inlineStr">
        <is>
          <t>BRÄCKE</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18729-2024</t>
        </is>
      </c>
      <c r="B2015" s="1" t="n">
        <v>45426</v>
      </c>
      <c r="C2015" s="1" t="n">
        <v>45754</v>
      </c>
      <c r="D2015" t="inlineStr">
        <is>
          <t>JÄMTLANDS LÄN</t>
        </is>
      </c>
      <c r="E2015" t="inlineStr">
        <is>
          <t>BRÄCKE</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18801-2024</t>
        </is>
      </c>
      <c r="B2016" s="1" t="n">
        <v>45426</v>
      </c>
      <c r="C2016" s="1" t="n">
        <v>45754</v>
      </c>
      <c r="D2016" t="inlineStr">
        <is>
          <t>JÄMTLANDS LÄN</t>
        </is>
      </c>
      <c r="E2016" t="inlineStr">
        <is>
          <t>BRÄCKE</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18755-2024</t>
        </is>
      </c>
      <c r="B2017" s="1" t="n">
        <v>45426</v>
      </c>
      <c r="C2017" s="1" t="n">
        <v>45754</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18877-2024</t>
        </is>
      </c>
      <c r="B2018" s="1" t="n">
        <v>45427</v>
      </c>
      <c r="C2018" s="1" t="n">
        <v>45754</v>
      </c>
      <c r="D2018" t="inlineStr">
        <is>
          <t>JÄMTLANDS LÄN</t>
        </is>
      </c>
      <c r="E2018" t="inlineStr">
        <is>
          <t>BRÄCKE</t>
        </is>
      </c>
      <c r="F2018" t="inlineStr">
        <is>
          <t>SCA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18965-2024</t>
        </is>
      </c>
      <c r="B2019" s="1" t="n">
        <v>45427</v>
      </c>
      <c r="C2019" s="1" t="n">
        <v>45754</v>
      </c>
      <c r="D2019" t="inlineStr">
        <is>
          <t>JÄMTLANDS LÄN</t>
        </is>
      </c>
      <c r="E2019" t="inlineStr">
        <is>
          <t>BRÄCKE</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19291-2024</t>
        </is>
      </c>
      <c r="B2020" s="1" t="n">
        <v>45428</v>
      </c>
      <c r="C2020" s="1" t="n">
        <v>45754</v>
      </c>
      <c r="D2020" t="inlineStr">
        <is>
          <t>JÄMTLANDS LÄN</t>
        </is>
      </c>
      <c r="E2020" t="inlineStr">
        <is>
          <t>BRÄCKE</t>
        </is>
      </c>
      <c r="F2020" t="inlineStr">
        <is>
          <t>Övriga Aktiebolag</t>
        </is>
      </c>
      <c r="G2020" t="n">
        <v>20.8</v>
      </c>
      <c r="H2020" t="n">
        <v>0</v>
      </c>
      <c r="I2020" t="n">
        <v>0</v>
      </c>
      <c r="J2020" t="n">
        <v>0</v>
      </c>
      <c r="K2020" t="n">
        <v>0</v>
      </c>
      <c r="L2020" t="n">
        <v>0</v>
      </c>
      <c r="M2020" t="n">
        <v>0</v>
      </c>
      <c r="N2020" t="n">
        <v>0</v>
      </c>
      <c r="O2020" t="n">
        <v>0</v>
      </c>
      <c r="P2020" t="n">
        <v>0</v>
      </c>
      <c r="Q2020" t="n">
        <v>0</v>
      </c>
      <c r="R2020" s="2" t="inlineStr"/>
    </row>
    <row r="2021" ht="15" customHeight="1">
      <c r="A2021" t="inlineStr">
        <is>
          <t>A 19332-2024</t>
        </is>
      </c>
      <c r="B2021" s="1" t="n">
        <v>45429</v>
      </c>
      <c r="C2021" s="1" t="n">
        <v>45754</v>
      </c>
      <c r="D2021" t="inlineStr">
        <is>
          <t>JÄMTLANDS LÄN</t>
        </is>
      </c>
      <c r="E2021" t="inlineStr">
        <is>
          <t>BRÄCKE</t>
        </is>
      </c>
      <c r="F2021" t="inlineStr">
        <is>
          <t>SCA</t>
        </is>
      </c>
      <c r="G2021" t="n">
        <v>15.9</v>
      </c>
      <c r="H2021" t="n">
        <v>0</v>
      </c>
      <c r="I2021" t="n">
        <v>0</v>
      </c>
      <c r="J2021" t="n">
        <v>0</v>
      </c>
      <c r="K2021" t="n">
        <v>0</v>
      </c>
      <c r="L2021" t="n">
        <v>0</v>
      </c>
      <c r="M2021" t="n">
        <v>0</v>
      </c>
      <c r="N2021" t="n">
        <v>0</v>
      </c>
      <c r="O2021" t="n">
        <v>0</v>
      </c>
      <c r="P2021" t="n">
        <v>0</v>
      </c>
      <c r="Q2021" t="n">
        <v>0</v>
      </c>
      <c r="R2021" s="2" t="inlineStr"/>
    </row>
    <row r="2022" ht="15" customHeight="1">
      <c r="A2022" t="inlineStr">
        <is>
          <t>A 19344-2024</t>
        </is>
      </c>
      <c r="B2022" s="1" t="n">
        <v>45429</v>
      </c>
      <c r="C2022" s="1" t="n">
        <v>45754</v>
      </c>
      <c r="D2022" t="inlineStr">
        <is>
          <t>JÄMTLANDS LÄN</t>
        </is>
      </c>
      <c r="E2022" t="inlineStr">
        <is>
          <t>BRÄCKE</t>
        </is>
      </c>
      <c r="F2022" t="inlineStr">
        <is>
          <t>SCA</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19584-2024</t>
        </is>
      </c>
      <c r="B2023" s="1" t="n">
        <v>45429</v>
      </c>
      <c r="C2023" s="1" t="n">
        <v>45754</v>
      </c>
      <c r="D2023" t="inlineStr">
        <is>
          <t>JÄMTLANDS LÄN</t>
        </is>
      </c>
      <c r="E2023" t="inlineStr">
        <is>
          <t>BRÄCKE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20001-2024</t>
        </is>
      </c>
      <c r="B2024" s="1" t="n">
        <v>45434</v>
      </c>
      <c r="C2024" s="1" t="n">
        <v>45754</v>
      </c>
      <c r="D2024" t="inlineStr">
        <is>
          <t>JÄMTLANDS LÄN</t>
        </is>
      </c>
      <c r="E2024" t="inlineStr">
        <is>
          <t>BRÄCKE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19999-2024</t>
        </is>
      </c>
      <c r="B2025" s="1" t="n">
        <v>45434</v>
      </c>
      <c r="C2025" s="1" t="n">
        <v>45754</v>
      </c>
      <c r="D2025" t="inlineStr">
        <is>
          <t>JÄMTLANDS LÄN</t>
        </is>
      </c>
      <c r="E2025" t="inlineStr">
        <is>
          <t>BRÄCKE</t>
        </is>
      </c>
      <c r="F2025" t="inlineStr">
        <is>
          <t>SCA</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20003-2024</t>
        </is>
      </c>
      <c r="B2026" s="1" t="n">
        <v>45434</v>
      </c>
      <c r="C2026" s="1" t="n">
        <v>45754</v>
      </c>
      <c r="D2026" t="inlineStr">
        <is>
          <t>JÄMTLANDS LÄN</t>
        </is>
      </c>
      <c r="E2026" t="inlineStr">
        <is>
          <t>BRÄCKE</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19996-2024</t>
        </is>
      </c>
      <c r="B2027" s="1" t="n">
        <v>45434</v>
      </c>
      <c r="C2027" s="1" t="n">
        <v>45754</v>
      </c>
      <c r="D2027" t="inlineStr">
        <is>
          <t>JÄMTLANDS LÄN</t>
        </is>
      </c>
      <c r="E2027" t="inlineStr">
        <is>
          <t>BRÄCKE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20000-2024</t>
        </is>
      </c>
      <c r="B2028" s="1" t="n">
        <v>45434</v>
      </c>
      <c r="C2028" s="1" t="n">
        <v>45754</v>
      </c>
      <c r="D2028" t="inlineStr">
        <is>
          <t>JÄMTLANDS LÄN</t>
        </is>
      </c>
      <c r="E2028" t="inlineStr">
        <is>
          <t>BRÄCKE</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20009-2024</t>
        </is>
      </c>
      <c r="B2029" s="1" t="n">
        <v>45434</v>
      </c>
      <c r="C2029" s="1" t="n">
        <v>45754</v>
      </c>
      <c r="D2029" t="inlineStr">
        <is>
          <t>JÄMTLANDS LÄN</t>
        </is>
      </c>
      <c r="E2029" t="inlineStr">
        <is>
          <t>BRÄCKE</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20074-2024</t>
        </is>
      </c>
      <c r="B2030" s="1" t="n">
        <v>45434</v>
      </c>
      <c r="C2030" s="1" t="n">
        <v>45754</v>
      </c>
      <c r="D2030" t="inlineStr">
        <is>
          <t>JÄMTLANDS LÄN</t>
        </is>
      </c>
      <c r="E2030" t="inlineStr">
        <is>
          <t>BRÄCKE</t>
        </is>
      </c>
      <c r="G2030" t="n">
        <v>11.4</v>
      </c>
      <c r="H2030" t="n">
        <v>0</v>
      </c>
      <c r="I2030" t="n">
        <v>0</v>
      </c>
      <c r="J2030" t="n">
        <v>0</v>
      </c>
      <c r="K2030" t="n">
        <v>0</v>
      </c>
      <c r="L2030" t="n">
        <v>0</v>
      </c>
      <c r="M2030" t="n">
        <v>0</v>
      </c>
      <c r="N2030" t="n">
        <v>0</v>
      </c>
      <c r="O2030" t="n">
        <v>0</v>
      </c>
      <c r="P2030" t="n">
        <v>0</v>
      </c>
      <c r="Q2030" t="n">
        <v>0</v>
      </c>
      <c r="R2030" s="2" t="inlineStr"/>
    </row>
    <row r="2031" ht="15" customHeight="1">
      <c r="A2031" t="inlineStr">
        <is>
          <t>A 20261-2024</t>
        </is>
      </c>
      <c r="B2031" s="1" t="n">
        <v>45435</v>
      </c>
      <c r="C2031" s="1" t="n">
        <v>45754</v>
      </c>
      <c r="D2031" t="inlineStr">
        <is>
          <t>JÄMTLANDS LÄN</t>
        </is>
      </c>
      <c r="E2031" t="inlineStr">
        <is>
          <t>BRÄCKE</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20262-2024</t>
        </is>
      </c>
      <c r="B2032" s="1" t="n">
        <v>45435</v>
      </c>
      <c r="C2032" s="1" t="n">
        <v>45754</v>
      </c>
      <c r="D2032" t="inlineStr">
        <is>
          <t>JÄMTLANDS LÄN</t>
        </is>
      </c>
      <c r="E2032" t="inlineStr">
        <is>
          <t>BRÄCKE</t>
        </is>
      </c>
      <c r="F2032" t="inlineStr">
        <is>
          <t>SCA</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20263-2024</t>
        </is>
      </c>
      <c r="B2033" s="1" t="n">
        <v>45435</v>
      </c>
      <c r="C2033" s="1" t="n">
        <v>45754</v>
      </c>
      <c r="D2033" t="inlineStr">
        <is>
          <t>JÄMTLANDS LÄN</t>
        </is>
      </c>
      <c r="E2033" t="inlineStr">
        <is>
          <t>BRÄCKE</t>
        </is>
      </c>
      <c r="F2033" t="inlineStr">
        <is>
          <t>SCA</t>
        </is>
      </c>
      <c r="G2033" t="n">
        <v>22.5</v>
      </c>
      <c r="H2033" t="n">
        <v>0</v>
      </c>
      <c r="I2033" t="n">
        <v>0</v>
      </c>
      <c r="J2033" t="n">
        <v>0</v>
      </c>
      <c r="K2033" t="n">
        <v>0</v>
      </c>
      <c r="L2033" t="n">
        <v>0</v>
      </c>
      <c r="M2033" t="n">
        <v>0</v>
      </c>
      <c r="N2033" t="n">
        <v>0</v>
      </c>
      <c r="O2033" t="n">
        <v>0</v>
      </c>
      <c r="P2033" t="n">
        <v>0</v>
      </c>
      <c r="Q2033" t="n">
        <v>0</v>
      </c>
      <c r="R2033" s="2" t="inlineStr"/>
    </row>
    <row r="2034" ht="15" customHeight="1">
      <c r="A2034" t="inlineStr">
        <is>
          <t>A 20267-2024</t>
        </is>
      </c>
      <c r="B2034" s="1" t="n">
        <v>45435</v>
      </c>
      <c r="C2034" s="1" t="n">
        <v>45754</v>
      </c>
      <c r="D2034" t="inlineStr">
        <is>
          <t>JÄMTLANDS LÄN</t>
        </is>
      </c>
      <c r="E2034" t="inlineStr">
        <is>
          <t>BRÄCKE</t>
        </is>
      </c>
      <c r="F2034" t="inlineStr">
        <is>
          <t>SCA</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20260-2024</t>
        </is>
      </c>
      <c r="B2035" s="1" t="n">
        <v>45435</v>
      </c>
      <c r="C2035" s="1" t="n">
        <v>45754</v>
      </c>
      <c r="D2035" t="inlineStr">
        <is>
          <t>JÄMTLANDS LÄN</t>
        </is>
      </c>
      <c r="E2035" t="inlineStr">
        <is>
          <t>BRÄCKE</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20513-2024</t>
        </is>
      </c>
      <c r="B2036" s="1" t="n">
        <v>45436</v>
      </c>
      <c r="C2036" s="1" t="n">
        <v>45754</v>
      </c>
      <c r="D2036" t="inlineStr">
        <is>
          <t>JÄMTLANDS LÄN</t>
        </is>
      </c>
      <c r="E2036" t="inlineStr">
        <is>
          <t>BRÄCKE</t>
        </is>
      </c>
      <c r="F2036" t="inlineStr">
        <is>
          <t>SCA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20512-2024</t>
        </is>
      </c>
      <c r="B2037" s="1" t="n">
        <v>45436</v>
      </c>
      <c r="C2037" s="1" t="n">
        <v>45754</v>
      </c>
      <c r="D2037" t="inlineStr">
        <is>
          <t>JÄMTLANDS LÄN</t>
        </is>
      </c>
      <c r="E2037" t="inlineStr">
        <is>
          <t>BRÄCKE</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20525-2024</t>
        </is>
      </c>
      <c r="B2038" s="1" t="n">
        <v>45436</v>
      </c>
      <c r="C2038" s="1" t="n">
        <v>45754</v>
      </c>
      <c r="D2038" t="inlineStr">
        <is>
          <t>JÄMTLANDS LÄN</t>
        </is>
      </c>
      <c r="E2038" t="inlineStr">
        <is>
          <t>BRÄCKE</t>
        </is>
      </c>
      <c r="F2038" t="inlineStr">
        <is>
          <t>SCA</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20514-2024</t>
        </is>
      </c>
      <c r="B2039" s="1" t="n">
        <v>45436</v>
      </c>
      <c r="C2039" s="1" t="n">
        <v>45754</v>
      </c>
      <c r="D2039" t="inlineStr">
        <is>
          <t>JÄMTLANDS LÄN</t>
        </is>
      </c>
      <c r="E2039" t="inlineStr">
        <is>
          <t>BRÄCKE</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20760-2024</t>
        </is>
      </c>
      <c r="B2040" s="1" t="n">
        <v>45437</v>
      </c>
      <c r="C2040" s="1" t="n">
        <v>45754</v>
      </c>
      <c r="D2040" t="inlineStr">
        <is>
          <t>JÄMTLANDS LÄN</t>
        </is>
      </c>
      <c r="E2040" t="inlineStr">
        <is>
          <t>BRÄCKE</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20798-2024</t>
        </is>
      </c>
      <c r="B2041" s="1" t="n">
        <v>45439</v>
      </c>
      <c r="C2041" s="1" t="n">
        <v>45754</v>
      </c>
      <c r="D2041" t="inlineStr">
        <is>
          <t>JÄMTLANDS LÄN</t>
        </is>
      </c>
      <c r="E2041" t="inlineStr">
        <is>
          <t>BRÄCKE</t>
        </is>
      </c>
      <c r="F2041" t="inlineStr">
        <is>
          <t>SCA</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21086-2024</t>
        </is>
      </c>
      <c r="B2042" s="1" t="n">
        <v>45440</v>
      </c>
      <c r="C2042" s="1" t="n">
        <v>45754</v>
      </c>
      <c r="D2042" t="inlineStr">
        <is>
          <t>JÄMTLANDS LÄN</t>
        </is>
      </c>
      <c r="E2042" t="inlineStr">
        <is>
          <t>BRÄCKE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21374-2024</t>
        </is>
      </c>
      <c r="B2043" s="1" t="n">
        <v>45441</v>
      </c>
      <c r="C2043" s="1" t="n">
        <v>45754</v>
      </c>
      <c r="D2043" t="inlineStr">
        <is>
          <t>JÄMTLANDS LÄN</t>
        </is>
      </c>
      <c r="E2043" t="inlineStr">
        <is>
          <t>BRÄCKE</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21378-2024</t>
        </is>
      </c>
      <c r="B2044" s="1" t="n">
        <v>45441</v>
      </c>
      <c r="C2044" s="1" t="n">
        <v>45754</v>
      </c>
      <c r="D2044" t="inlineStr">
        <is>
          <t>JÄMTLANDS LÄN</t>
        </is>
      </c>
      <c r="E2044" t="inlineStr">
        <is>
          <t>BRÄCKE</t>
        </is>
      </c>
      <c r="F2044" t="inlineStr">
        <is>
          <t>SCA</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21381-2024</t>
        </is>
      </c>
      <c r="B2045" s="1" t="n">
        <v>45441</v>
      </c>
      <c r="C2045" s="1" t="n">
        <v>45754</v>
      </c>
      <c r="D2045" t="inlineStr">
        <is>
          <t>JÄMTLANDS LÄN</t>
        </is>
      </c>
      <c r="E2045" t="inlineStr">
        <is>
          <t>BRÄCKE</t>
        </is>
      </c>
      <c r="F2045" t="inlineStr">
        <is>
          <t>SCA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21382-2024</t>
        </is>
      </c>
      <c r="B2046" s="1" t="n">
        <v>45441</v>
      </c>
      <c r="C2046" s="1" t="n">
        <v>45754</v>
      </c>
      <c r="D2046" t="inlineStr">
        <is>
          <t>JÄMTLANDS LÄN</t>
        </is>
      </c>
      <c r="E2046" t="inlineStr">
        <is>
          <t>BRÄCKE</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21375-2024</t>
        </is>
      </c>
      <c r="B2047" s="1" t="n">
        <v>45441</v>
      </c>
      <c r="C2047" s="1" t="n">
        <v>45754</v>
      </c>
      <c r="D2047" t="inlineStr">
        <is>
          <t>JÄMTLANDS LÄN</t>
        </is>
      </c>
      <c r="E2047" t="inlineStr">
        <is>
          <t>BRÄCKE</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21379-2024</t>
        </is>
      </c>
      <c r="B2048" s="1" t="n">
        <v>45441</v>
      </c>
      <c r="C2048" s="1" t="n">
        <v>45754</v>
      </c>
      <c r="D2048" t="inlineStr">
        <is>
          <t>JÄMTLANDS LÄN</t>
        </is>
      </c>
      <c r="E2048" t="inlineStr">
        <is>
          <t>BRÄCKE</t>
        </is>
      </c>
      <c r="F2048" t="inlineStr">
        <is>
          <t>SCA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21449-2024</t>
        </is>
      </c>
      <c r="B2049" s="1" t="n">
        <v>45441</v>
      </c>
      <c r="C2049" s="1" t="n">
        <v>45754</v>
      </c>
      <c r="D2049" t="inlineStr">
        <is>
          <t>JÄMTLANDS LÄN</t>
        </is>
      </c>
      <c r="E2049" t="inlineStr">
        <is>
          <t>BRÄCKE</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22116-2024</t>
        </is>
      </c>
      <c r="B2050" s="1" t="n">
        <v>45444</v>
      </c>
      <c r="C2050" s="1" t="n">
        <v>45754</v>
      </c>
      <c r="D2050" t="inlineStr">
        <is>
          <t>JÄMTLANDS LÄN</t>
        </is>
      </c>
      <c r="E2050" t="inlineStr">
        <is>
          <t>BRÄCKE</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22120-2024</t>
        </is>
      </c>
      <c r="B2051" s="1" t="n">
        <v>45444</v>
      </c>
      <c r="C2051" s="1" t="n">
        <v>45754</v>
      </c>
      <c r="D2051" t="inlineStr">
        <is>
          <t>JÄMTLANDS LÄN</t>
        </is>
      </c>
      <c r="E2051" t="inlineStr">
        <is>
          <t>BRÄCKE</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22121-2024</t>
        </is>
      </c>
      <c r="B2052" s="1" t="n">
        <v>45444</v>
      </c>
      <c r="C2052" s="1" t="n">
        <v>45754</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22001-2024</t>
        </is>
      </c>
      <c r="B2053" s="1" t="n">
        <v>45443</v>
      </c>
      <c r="C2053" s="1" t="n">
        <v>45754</v>
      </c>
      <c r="D2053" t="inlineStr">
        <is>
          <t>JÄMTLANDS LÄN</t>
        </is>
      </c>
      <c r="E2053" t="inlineStr">
        <is>
          <t>BRÄCKE</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22160-2024</t>
        </is>
      </c>
      <c r="B2054" s="1" t="n">
        <v>45446</v>
      </c>
      <c r="C2054" s="1" t="n">
        <v>45754</v>
      </c>
      <c r="D2054" t="inlineStr">
        <is>
          <t>JÄMTLANDS LÄN</t>
        </is>
      </c>
      <c r="E2054" t="inlineStr">
        <is>
          <t>BRÄCKE</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22455-2024</t>
        </is>
      </c>
      <c r="B2055" s="1" t="n">
        <v>45447</v>
      </c>
      <c r="C2055" s="1" t="n">
        <v>45754</v>
      </c>
      <c r="D2055" t="inlineStr">
        <is>
          <t>JÄMTLANDS LÄN</t>
        </is>
      </c>
      <c r="E2055" t="inlineStr">
        <is>
          <t>BRÄCKE</t>
        </is>
      </c>
      <c r="F2055" t="inlineStr">
        <is>
          <t>SCA</t>
        </is>
      </c>
      <c r="G2055" t="n">
        <v>13.5</v>
      </c>
      <c r="H2055" t="n">
        <v>0</v>
      </c>
      <c r="I2055" t="n">
        <v>0</v>
      </c>
      <c r="J2055" t="n">
        <v>0</v>
      </c>
      <c r="K2055" t="n">
        <v>0</v>
      </c>
      <c r="L2055" t="n">
        <v>0</v>
      </c>
      <c r="M2055" t="n">
        <v>0</v>
      </c>
      <c r="N2055" t="n">
        <v>0</v>
      </c>
      <c r="O2055" t="n">
        <v>0</v>
      </c>
      <c r="P2055" t="n">
        <v>0</v>
      </c>
      <c r="Q2055" t="n">
        <v>0</v>
      </c>
      <c r="R2055" s="2" t="inlineStr"/>
    </row>
    <row r="2056" ht="15" customHeight="1">
      <c r="A2056" t="inlineStr">
        <is>
          <t>A 22459-2024</t>
        </is>
      </c>
      <c r="B2056" s="1" t="n">
        <v>45447</v>
      </c>
      <c r="C2056" s="1" t="n">
        <v>45754</v>
      </c>
      <c r="D2056" t="inlineStr">
        <is>
          <t>JÄMTLANDS LÄN</t>
        </is>
      </c>
      <c r="E2056" t="inlineStr">
        <is>
          <t>BRÄCKE</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22267-2024</t>
        </is>
      </c>
      <c r="B2057" s="1" t="n">
        <v>45446</v>
      </c>
      <c r="C2057" s="1" t="n">
        <v>45754</v>
      </c>
      <c r="D2057" t="inlineStr">
        <is>
          <t>JÄMTLANDS LÄN</t>
        </is>
      </c>
      <c r="E2057" t="inlineStr">
        <is>
          <t>BRÄCKE</t>
        </is>
      </c>
      <c r="F2057" t="inlineStr">
        <is>
          <t>Övriga Aktiebolag</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22662-2024</t>
        </is>
      </c>
      <c r="B2058" s="1" t="n">
        <v>45448</v>
      </c>
      <c r="C2058" s="1" t="n">
        <v>45754</v>
      </c>
      <c r="D2058" t="inlineStr">
        <is>
          <t>JÄMTLANDS LÄN</t>
        </is>
      </c>
      <c r="E2058" t="inlineStr">
        <is>
          <t>BRÄCKE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22940-2024</t>
        </is>
      </c>
      <c r="B2059" s="1" t="n">
        <v>45449</v>
      </c>
      <c r="C2059" s="1" t="n">
        <v>45754</v>
      </c>
      <c r="D2059" t="inlineStr">
        <is>
          <t>JÄMTLANDS LÄN</t>
        </is>
      </c>
      <c r="E2059" t="inlineStr">
        <is>
          <t>BRÄCKE</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22936-2024</t>
        </is>
      </c>
      <c r="B2060" s="1" t="n">
        <v>45449</v>
      </c>
      <c r="C2060" s="1" t="n">
        <v>45754</v>
      </c>
      <c r="D2060" t="inlineStr">
        <is>
          <t>JÄMTLANDS LÄN</t>
        </is>
      </c>
      <c r="E2060" t="inlineStr">
        <is>
          <t>BRÄCKE</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22937-2024</t>
        </is>
      </c>
      <c r="B2061" s="1" t="n">
        <v>45449</v>
      </c>
      <c r="C2061" s="1" t="n">
        <v>45754</v>
      </c>
      <c r="D2061" t="inlineStr">
        <is>
          <t>JÄMTLANDS LÄN</t>
        </is>
      </c>
      <c r="E2061" t="inlineStr">
        <is>
          <t>BRÄCKE</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22934-2024</t>
        </is>
      </c>
      <c r="B2062" s="1" t="n">
        <v>45449</v>
      </c>
      <c r="C2062" s="1" t="n">
        <v>45754</v>
      </c>
      <c r="D2062" t="inlineStr">
        <is>
          <t>JÄMTLANDS LÄN</t>
        </is>
      </c>
      <c r="E2062" t="inlineStr">
        <is>
          <t>BRÄCKE</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22981-2024</t>
        </is>
      </c>
      <c r="B2063" s="1" t="n">
        <v>45449</v>
      </c>
      <c r="C2063" s="1" t="n">
        <v>45754</v>
      </c>
      <c r="D2063" t="inlineStr">
        <is>
          <t>JÄMTLANDS LÄN</t>
        </is>
      </c>
      <c r="E2063" t="inlineStr">
        <is>
          <t>BRÄCKE</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22980-2024</t>
        </is>
      </c>
      <c r="B2064" s="1" t="n">
        <v>45449</v>
      </c>
      <c r="C2064" s="1" t="n">
        <v>45754</v>
      </c>
      <c r="D2064" t="inlineStr">
        <is>
          <t>JÄMTLANDS LÄN</t>
        </is>
      </c>
      <c r="E2064" t="inlineStr">
        <is>
          <t>BRÄCKE</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22985-2024</t>
        </is>
      </c>
      <c r="B2065" s="1" t="n">
        <v>45450</v>
      </c>
      <c r="C2065" s="1" t="n">
        <v>45754</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22979-2024</t>
        </is>
      </c>
      <c r="B2066" s="1" t="n">
        <v>45449</v>
      </c>
      <c r="C2066" s="1" t="n">
        <v>45754</v>
      </c>
      <c r="D2066" t="inlineStr">
        <is>
          <t>JÄMTLANDS LÄN</t>
        </is>
      </c>
      <c r="E2066" t="inlineStr">
        <is>
          <t>BRÄCKE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23081-2024</t>
        </is>
      </c>
      <c r="B2067" s="1" t="n">
        <v>45450</v>
      </c>
      <c r="C2067" s="1" t="n">
        <v>45754</v>
      </c>
      <c r="D2067" t="inlineStr">
        <is>
          <t>JÄMTLANDS LÄN</t>
        </is>
      </c>
      <c r="E2067" t="inlineStr">
        <is>
          <t>BRÄCKE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23064-2024</t>
        </is>
      </c>
      <c r="B2068" s="1" t="n">
        <v>45450</v>
      </c>
      <c r="C2068" s="1" t="n">
        <v>45754</v>
      </c>
      <c r="D2068" t="inlineStr">
        <is>
          <t>JÄMTLANDS LÄN</t>
        </is>
      </c>
      <c r="E2068" t="inlineStr">
        <is>
          <t>BRÄCKE</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23178-2024</t>
        </is>
      </c>
      <c r="B2069" s="1" t="n">
        <v>45451</v>
      </c>
      <c r="C2069" s="1" t="n">
        <v>45754</v>
      </c>
      <c r="D2069" t="inlineStr">
        <is>
          <t>JÄMTLANDS LÄN</t>
        </is>
      </c>
      <c r="E2069" t="inlineStr">
        <is>
          <t>BRÄCKE</t>
        </is>
      </c>
      <c r="F2069" t="inlineStr">
        <is>
          <t>SCA</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23534-2024</t>
        </is>
      </c>
      <c r="B2070" s="1" t="n">
        <v>45454</v>
      </c>
      <c r="C2070" s="1" t="n">
        <v>45754</v>
      </c>
      <c r="D2070" t="inlineStr">
        <is>
          <t>JÄMTLANDS LÄN</t>
        </is>
      </c>
      <c r="E2070" t="inlineStr">
        <is>
          <t>BRÄCKE</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23640-2024</t>
        </is>
      </c>
      <c r="B2071" s="1" t="n">
        <v>45454</v>
      </c>
      <c r="C2071" s="1" t="n">
        <v>45754</v>
      </c>
      <c r="D2071" t="inlineStr">
        <is>
          <t>JÄMTLANDS LÄN</t>
        </is>
      </c>
      <c r="E2071" t="inlineStr">
        <is>
          <t>BRÄCKE</t>
        </is>
      </c>
      <c r="G2071" t="n">
        <v>19.4</v>
      </c>
      <c r="H2071" t="n">
        <v>0</v>
      </c>
      <c r="I2071" t="n">
        <v>0</v>
      </c>
      <c r="J2071" t="n">
        <v>0</v>
      </c>
      <c r="K2071" t="n">
        <v>0</v>
      </c>
      <c r="L2071" t="n">
        <v>0</v>
      </c>
      <c r="M2071" t="n">
        <v>0</v>
      </c>
      <c r="N2071" t="n">
        <v>0</v>
      </c>
      <c r="O2071" t="n">
        <v>0</v>
      </c>
      <c r="P2071" t="n">
        <v>0</v>
      </c>
      <c r="Q2071" t="n">
        <v>0</v>
      </c>
      <c r="R2071" s="2" t="inlineStr"/>
    </row>
    <row r="2072" ht="15" customHeight="1">
      <c r="A2072" t="inlineStr">
        <is>
          <t>A 23932-2024</t>
        </is>
      </c>
      <c r="B2072" s="1" t="n">
        <v>45456</v>
      </c>
      <c r="C2072" s="1" t="n">
        <v>45754</v>
      </c>
      <c r="D2072" t="inlineStr">
        <is>
          <t>JÄMTLANDS LÄN</t>
        </is>
      </c>
      <c r="E2072" t="inlineStr">
        <is>
          <t>BRÄCKE</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24006-2024</t>
        </is>
      </c>
      <c r="B2073" s="1" t="n">
        <v>45456</v>
      </c>
      <c r="C2073" s="1" t="n">
        <v>45754</v>
      </c>
      <c r="D2073" t="inlineStr">
        <is>
          <t>JÄMTLANDS LÄN</t>
        </is>
      </c>
      <c r="E2073" t="inlineStr">
        <is>
          <t>BRÄCKE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24010-2024</t>
        </is>
      </c>
      <c r="B2074" s="1" t="n">
        <v>45456</v>
      </c>
      <c r="C2074" s="1" t="n">
        <v>45754</v>
      </c>
      <c r="D2074" t="inlineStr">
        <is>
          <t>JÄMTLANDS LÄN</t>
        </is>
      </c>
      <c r="E2074" t="inlineStr">
        <is>
          <t>BRÄCKE</t>
        </is>
      </c>
      <c r="F2074" t="inlineStr">
        <is>
          <t>Övriga Aktiebolag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24062-2024</t>
        </is>
      </c>
      <c r="B2075" s="1" t="n">
        <v>45456</v>
      </c>
      <c r="C2075" s="1" t="n">
        <v>45754</v>
      </c>
      <c r="D2075" t="inlineStr">
        <is>
          <t>JÄMTLANDS LÄN</t>
        </is>
      </c>
      <c r="E2075" t="inlineStr">
        <is>
          <t>BRÄCKE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24026-2024</t>
        </is>
      </c>
      <c r="B2076" s="1" t="n">
        <v>45456</v>
      </c>
      <c r="C2076" s="1" t="n">
        <v>45754</v>
      </c>
      <c r="D2076" t="inlineStr">
        <is>
          <t>JÄMTLANDS LÄN</t>
        </is>
      </c>
      <c r="E2076" t="inlineStr">
        <is>
          <t>BRÄCKE</t>
        </is>
      </c>
      <c r="F2076" t="inlineStr">
        <is>
          <t>Övriga Aktiebolag</t>
        </is>
      </c>
      <c r="G2076" t="n">
        <v>23.7</v>
      </c>
      <c r="H2076" t="n">
        <v>0</v>
      </c>
      <c r="I2076" t="n">
        <v>0</v>
      </c>
      <c r="J2076" t="n">
        <v>0</v>
      </c>
      <c r="K2076" t="n">
        <v>0</v>
      </c>
      <c r="L2076" t="n">
        <v>0</v>
      </c>
      <c r="M2076" t="n">
        <v>0</v>
      </c>
      <c r="N2076" t="n">
        <v>0</v>
      </c>
      <c r="O2076" t="n">
        <v>0</v>
      </c>
      <c r="P2076" t="n">
        <v>0</v>
      </c>
      <c r="Q2076" t="n">
        <v>0</v>
      </c>
      <c r="R2076" s="2" t="inlineStr"/>
    </row>
    <row r="2077" ht="15" customHeight="1">
      <c r="A2077" t="inlineStr">
        <is>
          <t>A 24190-2024</t>
        </is>
      </c>
      <c r="B2077" s="1" t="n">
        <v>45457</v>
      </c>
      <c r="C2077" s="1" t="n">
        <v>45754</v>
      </c>
      <c r="D2077" t="inlineStr">
        <is>
          <t>JÄMTLANDS LÄN</t>
        </is>
      </c>
      <c r="E2077" t="inlineStr">
        <is>
          <t>BRÄCKE</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24200-2024</t>
        </is>
      </c>
      <c r="B2078" s="1" t="n">
        <v>45457</v>
      </c>
      <c r="C2078" s="1" t="n">
        <v>45754</v>
      </c>
      <c r="D2078" t="inlineStr">
        <is>
          <t>JÄMTLANDS LÄN</t>
        </is>
      </c>
      <c r="E2078" t="inlineStr">
        <is>
          <t>BRÄCKE</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24432-2024</t>
        </is>
      </c>
      <c r="B2079" s="1" t="n">
        <v>45458</v>
      </c>
      <c r="C2079" s="1" t="n">
        <v>45754</v>
      </c>
      <c r="D2079" t="inlineStr">
        <is>
          <t>JÄMTLANDS LÄN</t>
        </is>
      </c>
      <c r="E2079" t="inlineStr">
        <is>
          <t>BRÄCKE</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24442-2024</t>
        </is>
      </c>
      <c r="B2080" s="1" t="n">
        <v>45458</v>
      </c>
      <c r="C2080" s="1" t="n">
        <v>45754</v>
      </c>
      <c r="D2080" t="inlineStr">
        <is>
          <t>JÄMTLANDS LÄN</t>
        </is>
      </c>
      <c r="E2080" t="inlineStr">
        <is>
          <t>BRÄCKE</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24307-2024</t>
        </is>
      </c>
      <c r="B2081" s="1" t="n">
        <v>45457</v>
      </c>
      <c r="C2081" s="1" t="n">
        <v>45754</v>
      </c>
      <c r="D2081" t="inlineStr">
        <is>
          <t>JÄMTLANDS LÄN</t>
        </is>
      </c>
      <c r="E2081" t="inlineStr">
        <is>
          <t>BRÄCKE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24499-2024</t>
        </is>
      </c>
      <c r="B2082" s="1" t="n">
        <v>45460</v>
      </c>
      <c r="C2082" s="1" t="n">
        <v>45754</v>
      </c>
      <c r="D2082" t="inlineStr">
        <is>
          <t>JÄMTLANDS LÄN</t>
        </is>
      </c>
      <c r="E2082" t="inlineStr">
        <is>
          <t>BRÄCKE</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24673-2024</t>
        </is>
      </c>
      <c r="B2083" s="1" t="n">
        <v>45460</v>
      </c>
      <c r="C2083" s="1" t="n">
        <v>45754</v>
      </c>
      <c r="D2083" t="inlineStr">
        <is>
          <t>JÄMTLANDS LÄN</t>
        </is>
      </c>
      <c r="E2083" t="inlineStr">
        <is>
          <t>BRÄCKE</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24594-2024</t>
        </is>
      </c>
      <c r="B2084" s="1" t="n">
        <v>45460</v>
      </c>
      <c r="C2084" s="1" t="n">
        <v>45754</v>
      </c>
      <c r="D2084" t="inlineStr">
        <is>
          <t>JÄMTLANDS LÄN</t>
        </is>
      </c>
      <c r="E2084" t="inlineStr">
        <is>
          <t>BRÄCKE</t>
        </is>
      </c>
      <c r="G2084" t="n">
        <v>10.3</v>
      </c>
      <c r="H2084" t="n">
        <v>0</v>
      </c>
      <c r="I2084" t="n">
        <v>0</v>
      </c>
      <c r="J2084" t="n">
        <v>0</v>
      </c>
      <c r="K2084" t="n">
        <v>0</v>
      </c>
      <c r="L2084" t="n">
        <v>0</v>
      </c>
      <c r="M2084" t="n">
        <v>0</v>
      </c>
      <c r="N2084" t="n">
        <v>0</v>
      </c>
      <c r="O2084" t="n">
        <v>0</v>
      </c>
      <c r="P2084" t="n">
        <v>0</v>
      </c>
      <c r="Q2084" t="n">
        <v>0</v>
      </c>
      <c r="R2084" s="2" t="inlineStr"/>
    </row>
    <row r="2085" ht="15" customHeight="1">
      <c r="A2085" t="inlineStr">
        <is>
          <t>A 24878-2024</t>
        </is>
      </c>
      <c r="B2085" s="1" t="n">
        <v>45461</v>
      </c>
      <c r="C2085" s="1" t="n">
        <v>45754</v>
      </c>
      <c r="D2085" t="inlineStr">
        <is>
          <t>JÄMTLANDS LÄN</t>
        </is>
      </c>
      <c r="E2085" t="inlineStr">
        <is>
          <t>BRÄCKE</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24874-2024</t>
        </is>
      </c>
      <c r="B2086" s="1" t="n">
        <v>45461</v>
      </c>
      <c r="C2086" s="1" t="n">
        <v>45754</v>
      </c>
      <c r="D2086" t="inlineStr">
        <is>
          <t>JÄMTLANDS LÄN</t>
        </is>
      </c>
      <c r="E2086" t="inlineStr">
        <is>
          <t>BRÄCKE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25021-2024</t>
        </is>
      </c>
      <c r="B2087" s="1" t="n">
        <v>45462</v>
      </c>
      <c r="C2087" s="1" t="n">
        <v>45754</v>
      </c>
      <c r="D2087" t="inlineStr">
        <is>
          <t>JÄMTLANDS LÄN</t>
        </is>
      </c>
      <c r="E2087" t="inlineStr">
        <is>
          <t>BRÄCKE</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24974-2024</t>
        </is>
      </c>
      <c r="B2088" s="1" t="n">
        <v>45461</v>
      </c>
      <c r="C2088" s="1" t="n">
        <v>45754</v>
      </c>
      <c r="D2088" t="inlineStr">
        <is>
          <t>JÄMTLANDS LÄN</t>
        </is>
      </c>
      <c r="E2088" t="inlineStr">
        <is>
          <t>BRÄCKE</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25372-2024</t>
        </is>
      </c>
      <c r="B2089" s="1" t="n">
        <v>45463</v>
      </c>
      <c r="C2089" s="1" t="n">
        <v>45754</v>
      </c>
      <c r="D2089" t="inlineStr">
        <is>
          <t>JÄMTLANDS LÄN</t>
        </is>
      </c>
      <c r="E2089" t="inlineStr">
        <is>
          <t>BRÄCKE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25413-2024</t>
        </is>
      </c>
      <c r="B2090" s="1" t="n">
        <v>45462</v>
      </c>
      <c r="C2090" s="1" t="n">
        <v>45754</v>
      </c>
      <c r="D2090" t="inlineStr">
        <is>
          <t>JÄMTLANDS LÄN</t>
        </is>
      </c>
      <c r="E2090" t="inlineStr">
        <is>
          <t>BRÄCKE</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25718-2024</t>
        </is>
      </c>
      <c r="B2091" s="1" t="n">
        <v>45464</v>
      </c>
      <c r="C2091" s="1" t="n">
        <v>45754</v>
      </c>
      <c r="D2091" t="inlineStr">
        <is>
          <t>JÄMTLANDS LÄN</t>
        </is>
      </c>
      <c r="E2091" t="inlineStr">
        <is>
          <t>BRÄCKE</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25726-2024</t>
        </is>
      </c>
      <c r="B2092" s="1" t="n">
        <v>45464</v>
      </c>
      <c r="C2092" s="1" t="n">
        <v>45754</v>
      </c>
      <c r="D2092" t="inlineStr">
        <is>
          <t>JÄMTLANDS LÄN</t>
        </is>
      </c>
      <c r="E2092" t="inlineStr">
        <is>
          <t>BRÄCKE</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25934-2024</t>
        </is>
      </c>
      <c r="B2093" s="1" t="n">
        <v>45467</v>
      </c>
      <c r="C2093" s="1" t="n">
        <v>45754</v>
      </c>
      <c r="D2093" t="inlineStr">
        <is>
          <t>JÄMTLANDS LÄN</t>
        </is>
      </c>
      <c r="E2093" t="inlineStr">
        <is>
          <t>BRÄCKE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25890-2024</t>
        </is>
      </c>
      <c r="B2094" s="1" t="n">
        <v>45467</v>
      </c>
      <c r="C2094" s="1" t="n">
        <v>45754</v>
      </c>
      <c r="D2094" t="inlineStr">
        <is>
          <t>JÄMTLANDS LÄN</t>
        </is>
      </c>
      <c r="E2094" t="inlineStr">
        <is>
          <t>BRÄCKE</t>
        </is>
      </c>
      <c r="F2094" t="inlineStr">
        <is>
          <t>Kyrkan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25883-2024</t>
        </is>
      </c>
      <c r="B2095" s="1" t="n">
        <v>45467</v>
      </c>
      <c r="C2095" s="1" t="n">
        <v>45754</v>
      </c>
      <c r="D2095" t="inlineStr">
        <is>
          <t>JÄMTLANDS LÄN</t>
        </is>
      </c>
      <c r="E2095" t="inlineStr">
        <is>
          <t>BRÄCKE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26024-2024</t>
        </is>
      </c>
      <c r="B2096" s="1" t="n">
        <v>45468</v>
      </c>
      <c r="C2096" s="1" t="n">
        <v>45754</v>
      </c>
      <c r="D2096" t="inlineStr">
        <is>
          <t>JÄMTLANDS LÄN</t>
        </is>
      </c>
      <c r="E2096" t="inlineStr">
        <is>
          <t>BRÄCKE</t>
        </is>
      </c>
      <c r="F2096" t="inlineStr">
        <is>
          <t>SCA</t>
        </is>
      </c>
      <c r="G2096" t="n">
        <v>23.3</v>
      </c>
      <c r="H2096" t="n">
        <v>0</v>
      </c>
      <c r="I2096" t="n">
        <v>0</v>
      </c>
      <c r="J2096" t="n">
        <v>0</v>
      </c>
      <c r="K2096" t="n">
        <v>0</v>
      </c>
      <c r="L2096" t="n">
        <v>0</v>
      </c>
      <c r="M2096" t="n">
        <v>0</v>
      </c>
      <c r="N2096" t="n">
        <v>0</v>
      </c>
      <c r="O2096" t="n">
        <v>0</v>
      </c>
      <c r="P2096" t="n">
        <v>0</v>
      </c>
      <c r="Q2096" t="n">
        <v>0</v>
      </c>
      <c r="R2096" s="2" t="inlineStr"/>
    </row>
    <row r="2097" ht="15" customHeight="1">
      <c r="A2097" t="inlineStr">
        <is>
          <t>A 26032-2024</t>
        </is>
      </c>
      <c r="B2097" s="1" t="n">
        <v>45468</v>
      </c>
      <c r="C2097" s="1" t="n">
        <v>45754</v>
      </c>
      <c r="D2097" t="inlineStr">
        <is>
          <t>JÄMTLANDS LÄN</t>
        </is>
      </c>
      <c r="E2097" t="inlineStr">
        <is>
          <t>BRÄCKE</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26025-2024</t>
        </is>
      </c>
      <c r="B2098" s="1" t="n">
        <v>45468</v>
      </c>
      <c r="C2098" s="1" t="n">
        <v>45754</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26029-2024</t>
        </is>
      </c>
      <c r="B2099" s="1" t="n">
        <v>45468</v>
      </c>
      <c r="C2099" s="1" t="n">
        <v>45754</v>
      </c>
      <c r="D2099" t="inlineStr">
        <is>
          <t>JÄMTLANDS LÄN</t>
        </is>
      </c>
      <c r="E2099" t="inlineStr">
        <is>
          <t>BRÄCKE</t>
        </is>
      </c>
      <c r="F2099" t="inlineStr">
        <is>
          <t>SCA</t>
        </is>
      </c>
      <c r="G2099" t="n">
        <v>40.9</v>
      </c>
      <c r="H2099" t="n">
        <v>0</v>
      </c>
      <c r="I2099" t="n">
        <v>0</v>
      </c>
      <c r="J2099" t="n">
        <v>0</v>
      </c>
      <c r="K2099" t="n">
        <v>0</v>
      </c>
      <c r="L2099" t="n">
        <v>0</v>
      </c>
      <c r="M2099" t="n">
        <v>0</v>
      </c>
      <c r="N2099" t="n">
        <v>0</v>
      </c>
      <c r="O2099" t="n">
        <v>0</v>
      </c>
      <c r="P2099" t="n">
        <v>0</v>
      </c>
      <c r="Q2099" t="n">
        <v>0</v>
      </c>
      <c r="R2099" s="2" t="inlineStr"/>
      <c r="U2099">
        <f>HYPERLINK("https://klasma.github.io/Logging_2305/knärot/A 26029-2024 karta knärot.png", "A 26029-2024")</f>
        <v/>
      </c>
      <c r="V2099">
        <f>HYPERLINK("https://klasma.github.io/Logging_2305/klagomål/A 26029-2024 FSC-klagomål.docx", "A 26029-2024")</f>
        <v/>
      </c>
      <c r="W2099">
        <f>HYPERLINK("https://klasma.github.io/Logging_2305/klagomålsmail/A 26029-2024 FSC-klagomål mail.docx", "A 26029-2024")</f>
        <v/>
      </c>
      <c r="X2099">
        <f>HYPERLINK("https://klasma.github.io/Logging_2305/tillsyn/A 26029-2024 tillsynsbegäran.docx", "A 26029-2024")</f>
        <v/>
      </c>
      <c r="Y2099">
        <f>HYPERLINK("https://klasma.github.io/Logging_2305/tillsynsmail/A 26029-2024 tillsynsbegäran mail.docx", "A 26029-2024")</f>
        <v/>
      </c>
    </row>
    <row r="2100" ht="15" customHeight="1">
      <c r="A2100" t="inlineStr">
        <is>
          <t>A 26320-2024</t>
        </is>
      </c>
      <c r="B2100" s="1" t="n">
        <v>45469</v>
      </c>
      <c r="C2100" s="1" t="n">
        <v>45754</v>
      </c>
      <c r="D2100" t="inlineStr">
        <is>
          <t>JÄMTLANDS LÄN</t>
        </is>
      </c>
      <c r="E2100" t="inlineStr">
        <is>
          <t>BRÄCKE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26302-2024</t>
        </is>
      </c>
      <c r="B2101" s="1" t="n">
        <v>45469</v>
      </c>
      <c r="C2101" s="1" t="n">
        <v>45754</v>
      </c>
      <c r="D2101" t="inlineStr">
        <is>
          <t>JÄMTLANDS LÄN</t>
        </is>
      </c>
      <c r="E2101" t="inlineStr">
        <is>
          <t>BRÄCKE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26278-2024</t>
        </is>
      </c>
      <c r="B2102" s="1" t="n">
        <v>45468</v>
      </c>
      <c r="C2102" s="1" t="n">
        <v>45754</v>
      </c>
      <c r="D2102" t="inlineStr">
        <is>
          <t>JÄMTLANDS LÄN</t>
        </is>
      </c>
      <c r="E2102" t="inlineStr">
        <is>
          <t>BRÄCKE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26342-2024</t>
        </is>
      </c>
      <c r="B2103" s="1" t="n">
        <v>45468</v>
      </c>
      <c r="C2103" s="1" t="n">
        <v>45754</v>
      </c>
      <c r="D2103" t="inlineStr">
        <is>
          <t>JÄMTLANDS LÄN</t>
        </is>
      </c>
      <c r="E2103" t="inlineStr">
        <is>
          <t>BRÄCKE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26522-2024</t>
        </is>
      </c>
      <c r="B2104" s="1" t="n">
        <v>45469</v>
      </c>
      <c r="C2104" s="1" t="n">
        <v>45754</v>
      </c>
      <c r="D2104" t="inlineStr">
        <is>
          <t>JÄMTLANDS LÄN</t>
        </is>
      </c>
      <c r="E2104" t="inlineStr">
        <is>
          <t>BRÄCKE</t>
        </is>
      </c>
      <c r="G2104" t="n">
        <v>14.1</v>
      </c>
      <c r="H2104" t="n">
        <v>0</v>
      </c>
      <c r="I2104" t="n">
        <v>0</v>
      </c>
      <c r="J2104" t="n">
        <v>0</v>
      </c>
      <c r="K2104" t="n">
        <v>0</v>
      </c>
      <c r="L2104" t="n">
        <v>0</v>
      </c>
      <c r="M2104" t="n">
        <v>0</v>
      </c>
      <c r="N2104" t="n">
        <v>0</v>
      </c>
      <c r="O2104" t="n">
        <v>0</v>
      </c>
      <c r="P2104" t="n">
        <v>0</v>
      </c>
      <c r="Q2104" t="n">
        <v>0</v>
      </c>
      <c r="R2104" s="2" t="inlineStr"/>
    </row>
    <row r="2105" ht="15" customHeight="1">
      <c r="A2105" t="inlineStr">
        <is>
          <t>A 26658-2024</t>
        </is>
      </c>
      <c r="B2105" s="1" t="n">
        <v>45470</v>
      </c>
      <c r="C2105" s="1" t="n">
        <v>45754</v>
      </c>
      <c r="D2105" t="inlineStr">
        <is>
          <t>JÄMTLANDS LÄN</t>
        </is>
      </c>
      <c r="E2105" t="inlineStr">
        <is>
          <t>BRÄCKE</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26910-2024</t>
        </is>
      </c>
      <c r="B2106" s="1" t="n">
        <v>45470</v>
      </c>
      <c r="C2106" s="1" t="n">
        <v>45754</v>
      </c>
      <c r="D2106" t="inlineStr">
        <is>
          <t>JÄMTLANDS LÄN</t>
        </is>
      </c>
      <c r="E2106" t="inlineStr">
        <is>
          <t>BRÄCKE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26923-2024</t>
        </is>
      </c>
      <c r="B2107" s="1" t="n">
        <v>45471</v>
      </c>
      <c r="C2107" s="1" t="n">
        <v>45754</v>
      </c>
      <c r="D2107" t="inlineStr">
        <is>
          <t>JÄMTLANDS LÄN</t>
        </is>
      </c>
      <c r="E2107" t="inlineStr">
        <is>
          <t>BRÄCKE</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26919-2024</t>
        </is>
      </c>
      <c r="B2108" s="1" t="n">
        <v>45471</v>
      </c>
      <c r="C2108" s="1" t="n">
        <v>45754</v>
      </c>
      <c r="D2108" t="inlineStr">
        <is>
          <t>JÄMTLANDS LÄN</t>
        </is>
      </c>
      <c r="E2108" t="inlineStr">
        <is>
          <t>BRÄCKE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26911-2024</t>
        </is>
      </c>
      <c r="B2109" s="1" t="n">
        <v>45470</v>
      </c>
      <c r="C2109" s="1" t="n">
        <v>45754</v>
      </c>
      <c r="D2109" t="inlineStr">
        <is>
          <t>JÄMTLANDS LÄN</t>
        </is>
      </c>
      <c r="E2109" t="inlineStr">
        <is>
          <t>BRÄCKE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27280-2024</t>
        </is>
      </c>
      <c r="B2110" s="1" t="n">
        <v>45472</v>
      </c>
      <c r="C2110" s="1" t="n">
        <v>45754</v>
      </c>
      <c r="D2110" t="inlineStr">
        <is>
          <t>JÄMTLANDS LÄN</t>
        </is>
      </c>
      <c r="E2110" t="inlineStr">
        <is>
          <t>BRÄCKE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27455-2024</t>
        </is>
      </c>
      <c r="B2111" s="1" t="n">
        <v>45474</v>
      </c>
      <c r="C2111" s="1" t="n">
        <v>45754</v>
      </c>
      <c r="D2111" t="inlineStr">
        <is>
          <t>JÄMTLANDS LÄN</t>
        </is>
      </c>
      <c r="E2111" t="inlineStr">
        <is>
          <t>BRÄCKE</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27460-2024</t>
        </is>
      </c>
      <c r="B2112" s="1" t="n">
        <v>45474</v>
      </c>
      <c r="C2112" s="1" t="n">
        <v>45754</v>
      </c>
      <c r="D2112" t="inlineStr">
        <is>
          <t>JÄMTLANDS LÄN</t>
        </is>
      </c>
      <c r="E2112" t="inlineStr">
        <is>
          <t>BRÄCKE</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27449-2024</t>
        </is>
      </c>
      <c r="B2113" s="1" t="n">
        <v>45474</v>
      </c>
      <c r="C2113" s="1" t="n">
        <v>45754</v>
      </c>
      <c r="D2113" t="inlineStr">
        <is>
          <t>JÄMTLANDS LÄN</t>
        </is>
      </c>
      <c r="E2113" t="inlineStr">
        <is>
          <t>BRÄCKE</t>
        </is>
      </c>
      <c r="G2113" t="n">
        <v>12.4</v>
      </c>
      <c r="H2113" t="n">
        <v>0</v>
      </c>
      <c r="I2113" t="n">
        <v>0</v>
      </c>
      <c r="J2113" t="n">
        <v>0</v>
      </c>
      <c r="K2113" t="n">
        <v>0</v>
      </c>
      <c r="L2113" t="n">
        <v>0</v>
      </c>
      <c r="M2113" t="n">
        <v>0</v>
      </c>
      <c r="N2113" t="n">
        <v>0</v>
      </c>
      <c r="O2113" t="n">
        <v>0</v>
      </c>
      <c r="P2113" t="n">
        <v>0</v>
      </c>
      <c r="Q2113" t="n">
        <v>0</v>
      </c>
      <c r="R2113" s="2" t="inlineStr"/>
    </row>
    <row r="2114" ht="15" customHeight="1">
      <c r="A2114" t="inlineStr">
        <is>
          <t>A 27466-2024</t>
        </is>
      </c>
      <c r="B2114" s="1" t="n">
        <v>45474</v>
      </c>
      <c r="C2114" s="1" t="n">
        <v>45754</v>
      </c>
      <c r="D2114" t="inlineStr">
        <is>
          <t>JÄMTLANDS LÄN</t>
        </is>
      </c>
      <c r="E2114" t="inlineStr">
        <is>
          <t>BRÄCKE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27549-2024</t>
        </is>
      </c>
      <c r="B2115" s="1" t="n">
        <v>45474</v>
      </c>
      <c r="C2115" s="1" t="n">
        <v>45754</v>
      </c>
      <c r="D2115" t="inlineStr">
        <is>
          <t>JÄMTLANDS LÄN</t>
        </is>
      </c>
      <c r="E2115" t="inlineStr">
        <is>
          <t>BRÄCKE</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27926-2024</t>
        </is>
      </c>
      <c r="B2116" s="1" t="n">
        <v>45476</v>
      </c>
      <c r="C2116" s="1" t="n">
        <v>45754</v>
      </c>
      <c r="D2116" t="inlineStr">
        <is>
          <t>JÄMTLANDS LÄN</t>
        </is>
      </c>
      <c r="E2116" t="inlineStr">
        <is>
          <t>BRÄCKE</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27838-2024</t>
        </is>
      </c>
      <c r="B2117" s="1" t="n">
        <v>45475</v>
      </c>
      <c r="C2117" s="1" t="n">
        <v>45754</v>
      </c>
      <c r="D2117" t="inlineStr">
        <is>
          <t>JÄMTLANDS LÄN</t>
        </is>
      </c>
      <c r="E2117" t="inlineStr">
        <is>
          <t>BRÄCKE</t>
        </is>
      </c>
      <c r="F2117" t="inlineStr">
        <is>
          <t>Sveaskog</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27799-2024</t>
        </is>
      </c>
      <c r="B2118" s="1" t="n">
        <v>45475</v>
      </c>
      <c r="C2118" s="1" t="n">
        <v>45754</v>
      </c>
      <c r="D2118" t="inlineStr">
        <is>
          <t>JÄMTLANDS LÄN</t>
        </is>
      </c>
      <c r="E2118" t="inlineStr">
        <is>
          <t>BRÄCKE</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28157-2024</t>
        </is>
      </c>
      <c r="B2119" s="1" t="n">
        <v>45477</v>
      </c>
      <c r="C2119" s="1" t="n">
        <v>45754</v>
      </c>
      <c r="D2119" t="inlineStr">
        <is>
          <t>JÄMTLANDS LÄN</t>
        </is>
      </c>
      <c r="E2119" t="inlineStr">
        <is>
          <t>BRÄCKE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28077-2024</t>
        </is>
      </c>
      <c r="B2120" s="1" t="n">
        <v>45476</v>
      </c>
      <c r="C2120" s="1" t="n">
        <v>45754</v>
      </c>
      <c r="D2120" t="inlineStr">
        <is>
          <t>JÄMTLANDS LÄN</t>
        </is>
      </c>
      <c r="E2120" t="inlineStr">
        <is>
          <t>BRÄCKE</t>
        </is>
      </c>
      <c r="G2120" t="n">
        <v>18.3</v>
      </c>
      <c r="H2120" t="n">
        <v>0</v>
      </c>
      <c r="I2120" t="n">
        <v>0</v>
      </c>
      <c r="J2120" t="n">
        <v>0</v>
      </c>
      <c r="K2120" t="n">
        <v>0</v>
      </c>
      <c r="L2120" t="n">
        <v>0</v>
      </c>
      <c r="M2120" t="n">
        <v>0</v>
      </c>
      <c r="N2120" t="n">
        <v>0</v>
      </c>
      <c r="O2120" t="n">
        <v>0</v>
      </c>
      <c r="P2120" t="n">
        <v>0</v>
      </c>
      <c r="Q2120" t="n">
        <v>0</v>
      </c>
      <c r="R2120" s="2" t="inlineStr"/>
    </row>
    <row r="2121" ht="15" customHeight="1">
      <c r="A2121" t="inlineStr">
        <is>
          <t>A 28635-2024</t>
        </is>
      </c>
      <c r="B2121" s="1" t="n">
        <v>45478</v>
      </c>
      <c r="C2121" s="1" t="n">
        <v>45754</v>
      </c>
      <c r="D2121" t="inlineStr">
        <is>
          <t>JÄMTLANDS LÄN</t>
        </is>
      </c>
      <c r="E2121" t="inlineStr">
        <is>
          <t>BRÄCKE</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28765-2024</t>
        </is>
      </c>
      <c r="B2122" s="1" t="n">
        <v>45478</v>
      </c>
      <c r="C2122" s="1" t="n">
        <v>45754</v>
      </c>
      <c r="D2122" t="inlineStr">
        <is>
          <t>JÄMTLANDS LÄN</t>
        </is>
      </c>
      <c r="E2122" t="inlineStr">
        <is>
          <t>BRÄCKE</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28616-2024</t>
        </is>
      </c>
      <c r="B2123" s="1" t="n">
        <v>45478</v>
      </c>
      <c r="C2123" s="1" t="n">
        <v>45754</v>
      </c>
      <c r="D2123" t="inlineStr">
        <is>
          <t>JÄMTLANDS LÄN</t>
        </is>
      </c>
      <c r="E2123" t="inlineStr">
        <is>
          <t>BRÄCKE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28766-2024</t>
        </is>
      </c>
      <c r="B2124" s="1" t="n">
        <v>45478</v>
      </c>
      <c r="C2124" s="1" t="n">
        <v>45754</v>
      </c>
      <c r="D2124" t="inlineStr">
        <is>
          <t>JÄMTLANDS LÄN</t>
        </is>
      </c>
      <c r="E2124" t="inlineStr">
        <is>
          <t>BRÄCKE</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29028-2024</t>
        </is>
      </c>
      <c r="B2125" s="1" t="n">
        <v>45481</v>
      </c>
      <c r="C2125" s="1" t="n">
        <v>45754</v>
      </c>
      <c r="D2125" t="inlineStr">
        <is>
          <t>JÄMTLANDS LÄN</t>
        </is>
      </c>
      <c r="E2125" t="inlineStr">
        <is>
          <t>BRÄCKE</t>
        </is>
      </c>
      <c r="F2125" t="inlineStr">
        <is>
          <t>Övriga Aktiebolag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29003-2024</t>
        </is>
      </c>
      <c r="B2126" s="1" t="n">
        <v>45481</v>
      </c>
      <c r="C2126" s="1" t="n">
        <v>45754</v>
      </c>
      <c r="D2126" t="inlineStr">
        <is>
          <t>JÄMTLANDS LÄN</t>
        </is>
      </c>
      <c r="E2126" t="inlineStr">
        <is>
          <t>BRÄCKE</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29162-2024</t>
        </is>
      </c>
      <c r="B2127" s="1" t="n">
        <v>45482</v>
      </c>
      <c r="C2127" s="1" t="n">
        <v>45754</v>
      </c>
      <c r="D2127" t="inlineStr">
        <is>
          <t>JÄMTLANDS LÄN</t>
        </is>
      </c>
      <c r="E2127" t="inlineStr">
        <is>
          <t>BRÄCKE</t>
        </is>
      </c>
      <c r="F2127" t="inlineStr">
        <is>
          <t>Övriga Aktiebolag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29203-2024</t>
        </is>
      </c>
      <c r="B2128" s="1" t="n">
        <v>45482</v>
      </c>
      <c r="C2128" s="1" t="n">
        <v>45754</v>
      </c>
      <c r="D2128" t="inlineStr">
        <is>
          <t>JÄMTLANDS LÄN</t>
        </is>
      </c>
      <c r="E2128" t="inlineStr">
        <is>
          <t>BRÄCKE</t>
        </is>
      </c>
      <c r="F2128" t="inlineStr">
        <is>
          <t>Övriga Aktiebolag</t>
        </is>
      </c>
      <c r="G2128" t="n">
        <v>12.6</v>
      </c>
      <c r="H2128" t="n">
        <v>0</v>
      </c>
      <c r="I2128" t="n">
        <v>0</v>
      </c>
      <c r="J2128" t="n">
        <v>0</v>
      </c>
      <c r="K2128" t="n">
        <v>0</v>
      </c>
      <c r="L2128" t="n">
        <v>0</v>
      </c>
      <c r="M2128" t="n">
        <v>0</v>
      </c>
      <c r="N2128" t="n">
        <v>0</v>
      </c>
      <c r="O2128" t="n">
        <v>0</v>
      </c>
      <c r="P2128" t="n">
        <v>0</v>
      </c>
      <c r="Q2128" t="n">
        <v>0</v>
      </c>
      <c r="R2128" s="2" t="inlineStr"/>
    </row>
    <row r="2129" ht="15" customHeight="1">
      <c r="A2129" t="inlineStr">
        <is>
          <t>A 29189-2024</t>
        </is>
      </c>
      <c r="B2129" s="1" t="n">
        <v>45482</v>
      </c>
      <c r="C2129" s="1" t="n">
        <v>45754</v>
      </c>
      <c r="D2129" t="inlineStr">
        <is>
          <t>JÄMTLANDS LÄN</t>
        </is>
      </c>
      <c r="E2129" t="inlineStr">
        <is>
          <t>BRÄCKE</t>
        </is>
      </c>
      <c r="F2129" t="inlineStr">
        <is>
          <t>Övriga Aktiebolag</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29130-2024</t>
        </is>
      </c>
      <c r="B2130" s="1" t="n">
        <v>45482</v>
      </c>
      <c r="C2130" s="1" t="n">
        <v>45754</v>
      </c>
      <c r="D2130" t="inlineStr">
        <is>
          <t>JÄMTLANDS LÄN</t>
        </is>
      </c>
      <c r="E2130" t="inlineStr">
        <is>
          <t>BRÄCKE</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29262-2024</t>
        </is>
      </c>
      <c r="B2131" s="1" t="n">
        <v>45483</v>
      </c>
      <c r="C2131" s="1" t="n">
        <v>45754</v>
      </c>
      <c r="D2131" t="inlineStr">
        <is>
          <t>JÄMTLANDS LÄN</t>
        </is>
      </c>
      <c r="E2131" t="inlineStr">
        <is>
          <t>BRÄCKE</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29409-2024</t>
        </is>
      </c>
      <c r="B2132" s="1" t="n">
        <v>45483</v>
      </c>
      <c r="C2132" s="1" t="n">
        <v>45754</v>
      </c>
      <c r="D2132" t="inlineStr">
        <is>
          <t>JÄMTLANDS LÄN</t>
        </is>
      </c>
      <c r="E2132" t="inlineStr">
        <is>
          <t>BRÄCKE</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29456-2024</t>
        </is>
      </c>
      <c r="B2133" s="1" t="n">
        <v>45484</v>
      </c>
      <c r="C2133" s="1" t="n">
        <v>45754</v>
      </c>
      <c r="D2133" t="inlineStr">
        <is>
          <t>JÄMTLANDS LÄN</t>
        </is>
      </c>
      <c r="E2133" t="inlineStr">
        <is>
          <t>BRÄCKE</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29460-2024</t>
        </is>
      </c>
      <c r="B2134" s="1" t="n">
        <v>45484</v>
      </c>
      <c r="C2134" s="1" t="n">
        <v>45754</v>
      </c>
      <c r="D2134" t="inlineStr">
        <is>
          <t>JÄMTLANDS LÄN</t>
        </is>
      </c>
      <c r="E2134" t="inlineStr">
        <is>
          <t>BRÄCKE</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29348-2024</t>
        </is>
      </c>
      <c r="B2135" s="1" t="n">
        <v>45483</v>
      </c>
      <c r="C2135" s="1" t="n">
        <v>45754</v>
      </c>
      <c r="D2135" t="inlineStr">
        <is>
          <t>JÄMTLANDS LÄN</t>
        </is>
      </c>
      <c r="E2135" t="inlineStr">
        <is>
          <t>BRÄCKE</t>
        </is>
      </c>
      <c r="F2135" t="inlineStr">
        <is>
          <t>Kommuner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29637-2024</t>
        </is>
      </c>
      <c r="B2136" s="1" t="n">
        <v>45484</v>
      </c>
      <c r="C2136" s="1" t="n">
        <v>45754</v>
      </c>
      <c r="D2136" t="inlineStr">
        <is>
          <t>JÄMTLANDS LÄN</t>
        </is>
      </c>
      <c r="E2136" t="inlineStr">
        <is>
          <t>BRÄCKE</t>
        </is>
      </c>
      <c r="F2136" t="inlineStr">
        <is>
          <t>Kommuner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29572-2024</t>
        </is>
      </c>
      <c r="B2137" s="1" t="n">
        <v>45484</v>
      </c>
      <c r="C2137" s="1" t="n">
        <v>45754</v>
      </c>
      <c r="D2137" t="inlineStr">
        <is>
          <t>JÄMTLANDS LÄN</t>
        </is>
      </c>
      <c r="E2137" t="inlineStr">
        <is>
          <t>BRÄCKE</t>
        </is>
      </c>
      <c r="F2137" t="inlineStr">
        <is>
          <t>Övriga Aktiebolag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29638-2024</t>
        </is>
      </c>
      <c r="B2138" s="1" t="n">
        <v>45484</v>
      </c>
      <c r="C2138" s="1" t="n">
        <v>45754</v>
      </c>
      <c r="D2138" t="inlineStr">
        <is>
          <t>JÄMTLANDS LÄN</t>
        </is>
      </c>
      <c r="E2138" t="inlineStr">
        <is>
          <t>BRÄCKE</t>
        </is>
      </c>
      <c r="F2138" t="inlineStr">
        <is>
          <t>Kommuner</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29521-2024</t>
        </is>
      </c>
      <c r="B2139" s="1" t="n">
        <v>45484</v>
      </c>
      <c r="C2139" s="1" t="n">
        <v>45754</v>
      </c>
      <c r="D2139" t="inlineStr">
        <is>
          <t>JÄMTLANDS LÄN</t>
        </is>
      </c>
      <c r="E2139" t="inlineStr">
        <is>
          <t>BRÄCKE</t>
        </is>
      </c>
      <c r="F2139" t="inlineStr">
        <is>
          <t>Övriga Aktiebolag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29493-2024</t>
        </is>
      </c>
      <c r="B2140" s="1" t="n">
        <v>45484</v>
      </c>
      <c r="C2140" s="1" t="n">
        <v>45754</v>
      </c>
      <c r="D2140" t="inlineStr">
        <is>
          <t>JÄMTLANDS LÄN</t>
        </is>
      </c>
      <c r="E2140" t="inlineStr">
        <is>
          <t>BRÄCKE</t>
        </is>
      </c>
      <c r="F2140" t="inlineStr">
        <is>
          <t>Övriga Aktiebolag</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29868-2024</t>
        </is>
      </c>
      <c r="B2141" s="1" t="n">
        <v>45486</v>
      </c>
      <c r="C2141" s="1" t="n">
        <v>45754</v>
      </c>
      <c r="D2141" t="inlineStr">
        <is>
          <t>JÄMTLANDS LÄN</t>
        </is>
      </c>
      <c r="E2141" t="inlineStr">
        <is>
          <t>BRÄCKE</t>
        </is>
      </c>
      <c r="F2141" t="inlineStr">
        <is>
          <t>SCA</t>
        </is>
      </c>
      <c r="G2141" t="n">
        <v>20.1</v>
      </c>
      <c r="H2141" t="n">
        <v>0</v>
      </c>
      <c r="I2141" t="n">
        <v>0</v>
      </c>
      <c r="J2141" t="n">
        <v>0</v>
      </c>
      <c r="K2141" t="n">
        <v>0</v>
      </c>
      <c r="L2141" t="n">
        <v>0</v>
      </c>
      <c r="M2141" t="n">
        <v>0</v>
      </c>
      <c r="N2141" t="n">
        <v>0</v>
      </c>
      <c r="O2141" t="n">
        <v>0</v>
      </c>
      <c r="P2141" t="n">
        <v>0</v>
      </c>
      <c r="Q2141" t="n">
        <v>0</v>
      </c>
      <c r="R2141" s="2" t="inlineStr"/>
    </row>
    <row r="2142" ht="15" customHeight="1">
      <c r="A2142" t="inlineStr">
        <is>
          <t>A 29872-2024</t>
        </is>
      </c>
      <c r="B2142" s="1" t="n">
        <v>45486</v>
      </c>
      <c r="C2142" s="1" t="n">
        <v>45754</v>
      </c>
      <c r="D2142" t="inlineStr">
        <is>
          <t>JÄMTLANDS LÄN</t>
        </is>
      </c>
      <c r="E2142" t="inlineStr">
        <is>
          <t>BRÄCKE</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29873-2024</t>
        </is>
      </c>
      <c r="B2143" s="1" t="n">
        <v>45486</v>
      </c>
      <c r="C2143" s="1" t="n">
        <v>45754</v>
      </c>
      <c r="D2143" t="inlineStr">
        <is>
          <t>JÄMTLANDS LÄN</t>
        </is>
      </c>
      <c r="E2143" t="inlineStr">
        <is>
          <t>BRÄCKE</t>
        </is>
      </c>
      <c r="F2143" t="inlineStr">
        <is>
          <t>SCA</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30038-2024</t>
        </is>
      </c>
      <c r="B2144" s="1" t="n">
        <v>45488</v>
      </c>
      <c r="C2144" s="1" t="n">
        <v>45754</v>
      </c>
      <c r="D2144" t="inlineStr">
        <is>
          <t>JÄMTLANDS LÄN</t>
        </is>
      </c>
      <c r="E2144" t="inlineStr">
        <is>
          <t>BRÄCKE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30287-2024</t>
        </is>
      </c>
      <c r="B2145" s="1" t="n">
        <v>45490</v>
      </c>
      <c r="C2145" s="1" t="n">
        <v>45754</v>
      </c>
      <c r="D2145" t="inlineStr">
        <is>
          <t>JÄMTLANDS LÄN</t>
        </is>
      </c>
      <c r="E2145" t="inlineStr">
        <is>
          <t>BRÄCKE</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30480-2024</t>
        </is>
      </c>
      <c r="B2146" s="1" t="n">
        <v>45492</v>
      </c>
      <c r="C2146" s="1" t="n">
        <v>45754</v>
      </c>
      <c r="D2146" t="inlineStr">
        <is>
          <t>JÄMTLANDS LÄN</t>
        </is>
      </c>
      <c r="E2146" t="inlineStr">
        <is>
          <t>BRÄCKE</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30488-2024</t>
        </is>
      </c>
      <c r="B2147" s="1" t="n">
        <v>45492</v>
      </c>
      <c r="C2147" s="1" t="n">
        <v>45754</v>
      </c>
      <c r="D2147" t="inlineStr">
        <is>
          <t>JÄMTLANDS LÄN</t>
        </is>
      </c>
      <c r="E2147" t="inlineStr">
        <is>
          <t>BRÄCKE</t>
        </is>
      </c>
      <c r="F2147" t="inlineStr">
        <is>
          <t>Naturvårdsverket</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30463-2024</t>
        </is>
      </c>
      <c r="B2148" s="1" t="n">
        <v>45492</v>
      </c>
      <c r="C2148" s="1" t="n">
        <v>45754</v>
      </c>
      <c r="D2148" t="inlineStr">
        <is>
          <t>JÄMTLANDS LÄN</t>
        </is>
      </c>
      <c r="E2148" t="inlineStr">
        <is>
          <t>BRÄCKE</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30487-2024</t>
        </is>
      </c>
      <c r="B2149" s="1" t="n">
        <v>45492</v>
      </c>
      <c r="C2149" s="1" t="n">
        <v>45754</v>
      </c>
      <c r="D2149" t="inlineStr">
        <is>
          <t>JÄMTLANDS LÄN</t>
        </is>
      </c>
      <c r="E2149" t="inlineStr">
        <is>
          <t>BRÄCKE</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30569-2024</t>
        </is>
      </c>
      <c r="B2150" s="1" t="n">
        <v>45493</v>
      </c>
      <c r="C2150" s="1" t="n">
        <v>45754</v>
      </c>
      <c r="D2150" t="inlineStr">
        <is>
          <t>JÄMTLANDS LÄN</t>
        </is>
      </c>
      <c r="E2150" t="inlineStr">
        <is>
          <t>BRÄCKE</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30501-2024</t>
        </is>
      </c>
      <c r="B2151" s="1" t="n">
        <v>45492</v>
      </c>
      <c r="C2151" s="1" t="n">
        <v>45754</v>
      </c>
      <c r="D2151" t="inlineStr">
        <is>
          <t>JÄMTLANDS LÄN</t>
        </is>
      </c>
      <c r="E2151" t="inlineStr">
        <is>
          <t>BRÄCKE</t>
        </is>
      </c>
      <c r="G2151" t="n">
        <v>13.6</v>
      </c>
      <c r="H2151" t="n">
        <v>0</v>
      </c>
      <c r="I2151" t="n">
        <v>0</v>
      </c>
      <c r="J2151" t="n">
        <v>0</v>
      </c>
      <c r="K2151" t="n">
        <v>0</v>
      </c>
      <c r="L2151" t="n">
        <v>0</v>
      </c>
      <c r="M2151" t="n">
        <v>0</v>
      </c>
      <c r="N2151" t="n">
        <v>0</v>
      </c>
      <c r="O2151" t="n">
        <v>0</v>
      </c>
      <c r="P2151" t="n">
        <v>0</v>
      </c>
      <c r="Q2151" t="n">
        <v>0</v>
      </c>
      <c r="R2151" s="2" t="inlineStr"/>
    </row>
    <row r="2152" ht="15" customHeight="1">
      <c r="A2152" t="inlineStr">
        <is>
          <t>A 30661-2024</t>
        </is>
      </c>
      <c r="B2152" s="1" t="n">
        <v>45495</v>
      </c>
      <c r="C2152" s="1" t="n">
        <v>45754</v>
      </c>
      <c r="D2152" t="inlineStr">
        <is>
          <t>JÄMTLANDS LÄN</t>
        </is>
      </c>
      <c r="E2152" t="inlineStr">
        <is>
          <t>BRÄCKE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30685-2024</t>
        </is>
      </c>
      <c r="B2153" s="1" t="n">
        <v>45496</v>
      </c>
      <c r="C2153" s="1" t="n">
        <v>45754</v>
      </c>
      <c r="D2153" t="inlineStr">
        <is>
          <t>JÄMTLANDS LÄN</t>
        </is>
      </c>
      <c r="E2153" t="inlineStr">
        <is>
          <t>BRÄCKE</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30933-2024</t>
        </is>
      </c>
      <c r="B2154" s="1" t="n">
        <v>45498</v>
      </c>
      <c r="C2154" s="1" t="n">
        <v>45754</v>
      </c>
      <c r="D2154" t="inlineStr">
        <is>
          <t>JÄMTLANDS LÄN</t>
        </is>
      </c>
      <c r="E2154" t="inlineStr">
        <is>
          <t>BRÄCKE</t>
        </is>
      </c>
      <c r="G2154" t="n">
        <v>13.8</v>
      </c>
      <c r="H2154" t="n">
        <v>0</v>
      </c>
      <c r="I2154" t="n">
        <v>0</v>
      </c>
      <c r="J2154" t="n">
        <v>0</v>
      </c>
      <c r="K2154" t="n">
        <v>0</v>
      </c>
      <c r="L2154" t="n">
        <v>0</v>
      </c>
      <c r="M2154" t="n">
        <v>0</v>
      </c>
      <c r="N2154" t="n">
        <v>0</v>
      </c>
      <c r="O2154" t="n">
        <v>0</v>
      </c>
      <c r="P2154" t="n">
        <v>0</v>
      </c>
      <c r="Q2154" t="n">
        <v>0</v>
      </c>
      <c r="R2154" s="2" t="inlineStr"/>
    </row>
    <row r="2155" ht="15" customHeight="1">
      <c r="A2155" t="inlineStr">
        <is>
          <t>A 30874-2024</t>
        </is>
      </c>
      <c r="B2155" s="1" t="n">
        <v>45498</v>
      </c>
      <c r="C2155" s="1" t="n">
        <v>45754</v>
      </c>
      <c r="D2155" t="inlineStr">
        <is>
          <t>JÄMTLANDS LÄN</t>
        </is>
      </c>
      <c r="E2155" t="inlineStr">
        <is>
          <t>BRÄCKE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31035-2024</t>
        </is>
      </c>
      <c r="B2156" s="1" t="n">
        <v>45501</v>
      </c>
      <c r="C2156" s="1" t="n">
        <v>45754</v>
      </c>
      <c r="D2156" t="inlineStr">
        <is>
          <t>JÄMTLANDS LÄN</t>
        </is>
      </c>
      <c r="E2156" t="inlineStr">
        <is>
          <t>BRÄCKE</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31468-2024</t>
        </is>
      </c>
      <c r="B2157" s="1" t="n">
        <v>45506</v>
      </c>
      <c r="C2157" s="1" t="n">
        <v>45754</v>
      </c>
      <c r="D2157" t="inlineStr">
        <is>
          <t>JÄMTLANDS LÄN</t>
        </is>
      </c>
      <c r="E2157" t="inlineStr">
        <is>
          <t>BRÄCKE</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31566-2024</t>
        </is>
      </c>
      <c r="B2158" s="1" t="n">
        <v>45506</v>
      </c>
      <c r="C2158" s="1" t="n">
        <v>45754</v>
      </c>
      <c r="D2158" t="inlineStr">
        <is>
          <t>JÄMTLANDS LÄN</t>
        </is>
      </c>
      <c r="E2158" t="inlineStr">
        <is>
          <t>BRÄCKE</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31558-2024</t>
        </is>
      </c>
      <c r="B2159" s="1" t="n">
        <v>45505</v>
      </c>
      <c r="C2159" s="1" t="n">
        <v>45754</v>
      </c>
      <c r="D2159" t="inlineStr">
        <is>
          <t>JÄMTLANDS LÄN</t>
        </is>
      </c>
      <c r="E2159" t="inlineStr">
        <is>
          <t>BRÄCKE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31519-2024</t>
        </is>
      </c>
      <c r="B2160" s="1" t="n">
        <v>45505</v>
      </c>
      <c r="C2160" s="1" t="n">
        <v>45754</v>
      </c>
      <c r="D2160" t="inlineStr">
        <is>
          <t>JÄMTLANDS LÄN</t>
        </is>
      </c>
      <c r="E2160" t="inlineStr">
        <is>
          <t>BRÄCKE</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31525-2024</t>
        </is>
      </c>
      <c r="B2161" s="1" t="n">
        <v>45506</v>
      </c>
      <c r="C2161" s="1" t="n">
        <v>45754</v>
      </c>
      <c r="D2161" t="inlineStr">
        <is>
          <t>JÄMTLANDS LÄN</t>
        </is>
      </c>
      <c r="E2161" t="inlineStr">
        <is>
          <t>BRÄCKE</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31517-2024</t>
        </is>
      </c>
      <c r="B2162" s="1" t="n">
        <v>45505</v>
      </c>
      <c r="C2162" s="1" t="n">
        <v>45754</v>
      </c>
      <c r="D2162" t="inlineStr">
        <is>
          <t>JÄMTLANDS LÄN</t>
        </is>
      </c>
      <c r="E2162" t="inlineStr">
        <is>
          <t>BRÄCKE</t>
        </is>
      </c>
      <c r="F2162" t="inlineStr">
        <is>
          <t>SCA</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31466-2024</t>
        </is>
      </c>
      <c r="B2163" s="1" t="n">
        <v>45506</v>
      </c>
      <c r="C2163" s="1" t="n">
        <v>45754</v>
      </c>
      <c r="D2163" t="inlineStr">
        <is>
          <t>JÄMTLANDS LÄN</t>
        </is>
      </c>
      <c r="E2163" t="inlineStr">
        <is>
          <t>BRÄCKE</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31403-2024</t>
        </is>
      </c>
      <c r="B2164" s="1" t="n">
        <v>45505</v>
      </c>
      <c r="C2164" s="1" t="n">
        <v>45754</v>
      </c>
      <c r="D2164" t="inlineStr">
        <is>
          <t>JÄMTLANDS LÄN</t>
        </is>
      </c>
      <c r="E2164" t="inlineStr">
        <is>
          <t>BRÄCKE</t>
        </is>
      </c>
      <c r="G2164" t="n">
        <v>12.5</v>
      </c>
      <c r="H2164" t="n">
        <v>0</v>
      </c>
      <c r="I2164" t="n">
        <v>0</v>
      </c>
      <c r="J2164" t="n">
        <v>0</v>
      </c>
      <c r="K2164" t="n">
        <v>0</v>
      </c>
      <c r="L2164" t="n">
        <v>0</v>
      </c>
      <c r="M2164" t="n">
        <v>0</v>
      </c>
      <c r="N2164" t="n">
        <v>0</v>
      </c>
      <c r="O2164" t="n">
        <v>0</v>
      </c>
      <c r="P2164" t="n">
        <v>0</v>
      </c>
      <c r="Q2164" t="n">
        <v>0</v>
      </c>
      <c r="R2164" s="2" t="inlineStr"/>
    </row>
    <row r="2165" ht="15" customHeight="1">
      <c r="A2165" t="inlineStr">
        <is>
          <t>A 31567-2024</t>
        </is>
      </c>
      <c r="B2165" s="1" t="n">
        <v>45506</v>
      </c>
      <c r="C2165" s="1" t="n">
        <v>45754</v>
      </c>
      <c r="D2165" t="inlineStr">
        <is>
          <t>JÄMTLANDS LÄN</t>
        </is>
      </c>
      <c r="E2165" t="inlineStr">
        <is>
          <t>BRÄCKE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31508-2024</t>
        </is>
      </c>
      <c r="B2166" s="1" t="n">
        <v>45505</v>
      </c>
      <c r="C2166" s="1" t="n">
        <v>45754</v>
      </c>
      <c r="D2166" t="inlineStr">
        <is>
          <t>JÄMTLANDS LÄN</t>
        </is>
      </c>
      <c r="E2166" t="inlineStr">
        <is>
          <t>BRÄCKE</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31467-2024</t>
        </is>
      </c>
      <c r="B2167" s="1" t="n">
        <v>45506</v>
      </c>
      <c r="C2167" s="1" t="n">
        <v>45754</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31526-2024</t>
        </is>
      </c>
      <c r="B2168" s="1" t="n">
        <v>45506</v>
      </c>
      <c r="C2168" s="1" t="n">
        <v>45754</v>
      </c>
      <c r="D2168" t="inlineStr">
        <is>
          <t>JÄMTLANDS LÄN</t>
        </is>
      </c>
      <c r="E2168" t="inlineStr">
        <is>
          <t>BRÄCKE</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31692-2024</t>
        </is>
      </c>
      <c r="B2169" s="1" t="n">
        <v>45508</v>
      </c>
      <c r="C2169" s="1" t="n">
        <v>45754</v>
      </c>
      <c r="D2169" t="inlineStr">
        <is>
          <t>JÄMTLANDS LÄN</t>
        </is>
      </c>
      <c r="E2169" t="inlineStr">
        <is>
          <t>BRÄCKE</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31713-2024</t>
        </is>
      </c>
      <c r="B2170" s="1" t="n">
        <v>45509</v>
      </c>
      <c r="C2170" s="1" t="n">
        <v>45754</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31745-2024</t>
        </is>
      </c>
      <c r="B2171" s="1" t="n">
        <v>45509</v>
      </c>
      <c r="C2171" s="1" t="n">
        <v>45754</v>
      </c>
      <c r="D2171" t="inlineStr">
        <is>
          <t>JÄMTLANDS LÄN</t>
        </is>
      </c>
      <c r="E2171" t="inlineStr">
        <is>
          <t>BRÄCKE</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31756-2024</t>
        </is>
      </c>
      <c r="B2172" s="1" t="n">
        <v>45509</v>
      </c>
      <c r="C2172" s="1" t="n">
        <v>45754</v>
      </c>
      <c r="D2172" t="inlineStr">
        <is>
          <t>JÄMTLANDS LÄN</t>
        </is>
      </c>
      <c r="E2172" t="inlineStr">
        <is>
          <t>BRÄCKE</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31888-2024</t>
        </is>
      </c>
      <c r="B2173" s="1" t="n">
        <v>45509</v>
      </c>
      <c r="C2173" s="1" t="n">
        <v>45754</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32060-2024</t>
        </is>
      </c>
      <c r="B2174" s="1" t="n">
        <v>45511</v>
      </c>
      <c r="C2174" s="1" t="n">
        <v>45754</v>
      </c>
      <c r="D2174" t="inlineStr">
        <is>
          <t>JÄMTLANDS LÄN</t>
        </is>
      </c>
      <c r="E2174" t="inlineStr">
        <is>
          <t>BRÄCKE</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32440-2024</t>
        </is>
      </c>
      <c r="B2175" s="1" t="n">
        <v>45513</v>
      </c>
      <c r="C2175" s="1" t="n">
        <v>45754</v>
      </c>
      <c r="D2175" t="inlineStr">
        <is>
          <t>JÄMTLANDS LÄN</t>
        </is>
      </c>
      <c r="E2175" t="inlineStr">
        <is>
          <t>BRÄCKE</t>
        </is>
      </c>
      <c r="F2175" t="inlineStr">
        <is>
          <t>SCA</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32429-2024</t>
        </is>
      </c>
      <c r="B2176" s="1" t="n">
        <v>45513</v>
      </c>
      <c r="C2176" s="1" t="n">
        <v>45754</v>
      </c>
      <c r="D2176" t="inlineStr">
        <is>
          <t>JÄMTLANDS LÄN</t>
        </is>
      </c>
      <c r="E2176" t="inlineStr">
        <is>
          <t>BRÄCKE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32636-2024</t>
        </is>
      </c>
      <c r="B2177" s="1" t="n">
        <v>45514</v>
      </c>
      <c r="C2177" s="1" t="n">
        <v>45754</v>
      </c>
      <c r="D2177" t="inlineStr">
        <is>
          <t>JÄMTLANDS LÄN</t>
        </is>
      </c>
      <c r="E2177" t="inlineStr">
        <is>
          <t>BRÄCKE</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32637-2024</t>
        </is>
      </c>
      <c r="B2178" s="1" t="n">
        <v>45514</v>
      </c>
      <c r="C2178" s="1" t="n">
        <v>45754</v>
      </c>
      <c r="D2178" t="inlineStr">
        <is>
          <t>JÄMTLANDS LÄN</t>
        </is>
      </c>
      <c r="E2178" t="inlineStr">
        <is>
          <t>BRÄCKE</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32671-2024</t>
        </is>
      </c>
      <c r="B2179" s="1" t="n">
        <v>45514</v>
      </c>
      <c r="C2179" s="1" t="n">
        <v>45754</v>
      </c>
      <c r="D2179" t="inlineStr">
        <is>
          <t>JÄMTLANDS LÄN</t>
        </is>
      </c>
      <c r="E2179" t="inlineStr">
        <is>
          <t>BRÄCKE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33112-2024</t>
        </is>
      </c>
      <c r="B2180" s="1" t="n">
        <v>45518</v>
      </c>
      <c r="C2180" s="1" t="n">
        <v>45754</v>
      </c>
      <c r="D2180" t="inlineStr">
        <is>
          <t>JÄMTLANDS LÄN</t>
        </is>
      </c>
      <c r="E2180" t="inlineStr">
        <is>
          <t>BRÄCKE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33310-2024</t>
        </is>
      </c>
      <c r="B2181" s="1" t="n">
        <v>45519</v>
      </c>
      <c r="C2181" s="1" t="n">
        <v>45754</v>
      </c>
      <c r="D2181" t="inlineStr">
        <is>
          <t>JÄMTLANDS LÄN</t>
        </is>
      </c>
      <c r="E2181" t="inlineStr">
        <is>
          <t>BRÄCKE</t>
        </is>
      </c>
      <c r="F2181" t="inlineStr">
        <is>
          <t>SCA</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33506-2024</t>
        </is>
      </c>
      <c r="B2182" s="1" t="n">
        <v>45519</v>
      </c>
      <c r="C2182" s="1" t="n">
        <v>45754</v>
      </c>
      <c r="D2182" t="inlineStr">
        <is>
          <t>JÄMTLANDS LÄN</t>
        </is>
      </c>
      <c r="E2182" t="inlineStr">
        <is>
          <t>BRÄCKE</t>
        </is>
      </c>
      <c r="F2182" t="inlineStr">
        <is>
          <t>SCA</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33773-2024</t>
        </is>
      </c>
      <c r="B2183" s="1" t="n">
        <v>45520</v>
      </c>
      <c r="C2183" s="1" t="n">
        <v>45754</v>
      </c>
      <c r="D2183" t="inlineStr">
        <is>
          <t>JÄMTLANDS LÄN</t>
        </is>
      </c>
      <c r="E2183" t="inlineStr">
        <is>
          <t>BRÄCKE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33774-2024</t>
        </is>
      </c>
      <c r="B2184" s="1" t="n">
        <v>45520</v>
      </c>
      <c r="C2184" s="1" t="n">
        <v>45754</v>
      </c>
      <c r="D2184" t="inlineStr">
        <is>
          <t>JÄMTLANDS LÄN</t>
        </is>
      </c>
      <c r="E2184" t="inlineStr">
        <is>
          <t>BRÄCKE</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33960-2024</t>
        </is>
      </c>
      <c r="B2185" s="1" t="n">
        <v>45523</v>
      </c>
      <c r="C2185" s="1" t="n">
        <v>45754</v>
      </c>
      <c r="D2185" t="inlineStr">
        <is>
          <t>JÄMTLANDS LÄN</t>
        </is>
      </c>
      <c r="E2185" t="inlineStr">
        <is>
          <t>BRÄCKE</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34807-2024</t>
        </is>
      </c>
      <c r="B2186" s="1" t="n">
        <v>45526</v>
      </c>
      <c r="C2186" s="1" t="n">
        <v>45754</v>
      </c>
      <c r="D2186" t="inlineStr">
        <is>
          <t>JÄMTLANDS LÄN</t>
        </is>
      </c>
      <c r="E2186" t="inlineStr">
        <is>
          <t>BRÄCKE</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34645-2024</t>
        </is>
      </c>
      <c r="B2187" s="1" t="n">
        <v>45526</v>
      </c>
      <c r="C2187" s="1" t="n">
        <v>45754</v>
      </c>
      <c r="D2187" t="inlineStr">
        <is>
          <t>JÄMTLANDS LÄN</t>
        </is>
      </c>
      <c r="E2187" t="inlineStr">
        <is>
          <t>BRÄCKE</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34647-2024</t>
        </is>
      </c>
      <c r="B2188" s="1" t="n">
        <v>45526</v>
      </c>
      <c r="C2188" s="1" t="n">
        <v>45754</v>
      </c>
      <c r="D2188" t="inlineStr">
        <is>
          <t>JÄMTLANDS LÄN</t>
        </is>
      </c>
      <c r="E2188" t="inlineStr">
        <is>
          <t>BRÄCKE</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34646-2024</t>
        </is>
      </c>
      <c r="B2189" s="1" t="n">
        <v>45526</v>
      </c>
      <c r="C2189" s="1" t="n">
        <v>45754</v>
      </c>
      <c r="D2189" t="inlineStr">
        <is>
          <t>JÄMTLANDS LÄN</t>
        </is>
      </c>
      <c r="E2189" t="inlineStr">
        <is>
          <t>BRÄCKE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35394-2024</t>
        </is>
      </c>
      <c r="B2190" s="1" t="n">
        <v>45531</v>
      </c>
      <c r="C2190" s="1" t="n">
        <v>45754</v>
      </c>
      <c r="D2190" t="inlineStr">
        <is>
          <t>JÄMTLANDS LÄN</t>
        </is>
      </c>
      <c r="E2190" t="inlineStr">
        <is>
          <t>BRÄCKE</t>
        </is>
      </c>
      <c r="F2190" t="inlineStr">
        <is>
          <t>SCA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35398-2024</t>
        </is>
      </c>
      <c r="B2191" s="1" t="n">
        <v>45531</v>
      </c>
      <c r="C2191" s="1" t="n">
        <v>45754</v>
      </c>
      <c r="D2191" t="inlineStr">
        <is>
          <t>JÄMTLANDS LÄN</t>
        </is>
      </c>
      <c r="E2191" t="inlineStr">
        <is>
          <t>BRÄCKE</t>
        </is>
      </c>
      <c r="F2191" t="inlineStr">
        <is>
          <t>SCA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35395-2024</t>
        </is>
      </c>
      <c r="B2192" s="1" t="n">
        <v>45531</v>
      </c>
      <c r="C2192" s="1" t="n">
        <v>45754</v>
      </c>
      <c r="D2192" t="inlineStr">
        <is>
          <t>JÄMTLANDS LÄN</t>
        </is>
      </c>
      <c r="E2192" t="inlineStr">
        <is>
          <t>BRÄCKE</t>
        </is>
      </c>
      <c r="F2192" t="inlineStr">
        <is>
          <t>SCA</t>
        </is>
      </c>
      <c r="G2192" t="n">
        <v>23.2</v>
      </c>
      <c r="H2192" t="n">
        <v>0</v>
      </c>
      <c r="I2192" t="n">
        <v>0</v>
      </c>
      <c r="J2192" t="n">
        <v>0</v>
      </c>
      <c r="K2192" t="n">
        <v>0</v>
      </c>
      <c r="L2192" t="n">
        <v>0</v>
      </c>
      <c r="M2192" t="n">
        <v>0</v>
      </c>
      <c r="N2192" t="n">
        <v>0</v>
      </c>
      <c r="O2192" t="n">
        <v>0</v>
      </c>
      <c r="P2192" t="n">
        <v>0</v>
      </c>
      <c r="Q2192" t="n">
        <v>0</v>
      </c>
      <c r="R2192" s="2" t="inlineStr"/>
    </row>
    <row r="2193" ht="15" customHeight="1">
      <c r="A2193" t="inlineStr">
        <is>
          <t>A 35413-2024</t>
        </is>
      </c>
      <c r="B2193" s="1" t="n">
        <v>45531</v>
      </c>
      <c r="C2193" s="1" t="n">
        <v>45754</v>
      </c>
      <c r="D2193" t="inlineStr">
        <is>
          <t>JÄMTLANDS LÄN</t>
        </is>
      </c>
      <c r="E2193" t="inlineStr">
        <is>
          <t>BRÄCKE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35400-2024</t>
        </is>
      </c>
      <c r="B2194" s="1" t="n">
        <v>45531</v>
      </c>
      <c r="C2194" s="1" t="n">
        <v>45754</v>
      </c>
      <c r="D2194" t="inlineStr">
        <is>
          <t>JÄMTLANDS LÄN</t>
        </is>
      </c>
      <c r="E2194" t="inlineStr">
        <is>
          <t>BRÄCKE</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35428-2024</t>
        </is>
      </c>
      <c r="B2195" s="1" t="n">
        <v>45531</v>
      </c>
      <c r="C2195" s="1" t="n">
        <v>45754</v>
      </c>
      <c r="D2195" t="inlineStr">
        <is>
          <t>JÄMTLANDS LÄN</t>
        </is>
      </c>
      <c r="E2195" t="inlineStr">
        <is>
          <t>BRÄCKE</t>
        </is>
      </c>
      <c r="F2195" t="inlineStr">
        <is>
          <t>SCA</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35903-2024</t>
        </is>
      </c>
      <c r="B2196" s="1" t="n">
        <v>45533</v>
      </c>
      <c r="C2196" s="1" t="n">
        <v>45754</v>
      </c>
      <c r="D2196" t="inlineStr">
        <is>
          <t>JÄMTLANDS LÄN</t>
        </is>
      </c>
      <c r="E2196" t="inlineStr">
        <is>
          <t>BRÄCKE</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36326-2024</t>
        </is>
      </c>
      <c r="B2197" s="1" t="n">
        <v>45534</v>
      </c>
      <c r="C2197" s="1" t="n">
        <v>45754</v>
      </c>
      <c r="D2197" t="inlineStr">
        <is>
          <t>JÄMTLANDS LÄN</t>
        </is>
      </c>
      <c r="E2197" t="inlineStr">
        <is>
          <t>BRÄCKE</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36457-2024</t>
        </is>
      </c>
      <c r="B2198" s="1" t="n">
        <v>45537</v>
      </c>
      <c r="C2198" s="1" t="n">
        <v>45754</v>
      </c>
      <c r="D2198" t="inlineStr">
        <is>
          <t>JÄMTLANDS LÄN</t>
        </is>
      </c>
      <c r="E2198" t="inlineStr">
        <is>
          <t>BRÄCKE</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36549-2024</t>
        </is>
      </c>
      <c r="B2199" s="1" t="n">
        <v>45537</v>
      </c>
      <c r="C2199" s="1" t="n">
        <v>45754</v>
      </c>
      <c r="D2199" t="inlineStr">
        <is>
          <t>JÄMTLANDS LÄN</t>
        </is>
      </c>
      <c r="E2199" t="inlineStr">
        <is>
          <t>BRÄCKE</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36551-2024</t>
        </is>
      </c>
      <c r="B2200" s="1" t="n">
        <v>45537</v>
      </c>
      <c r="C2200" s="1" t="n">
        <v>45754</v>
      </c>
      <c r="D2200" t="inlineStr">
        <is>
          <t>JÄMTLANDS LÄN</t>
        </is>
      </c>
      <c r="E2200" t="inlineStr">
        <is>
          <t>BRÄCKE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37173-2024</t>
        </is>
      </c>
      <c r="B2201" s="1" t="n">
        <v>45539</v>
      </c>
      <c r="C2201" s="1" t="n">
        <v>45754</v>
      </c>
      <c r="D2201" t="inlineStr">
        <is>
          <t>JÄMTLANDS LÄN</t>
        </is>
      </c>
      <c r="E2201" t="inlineStr">
        <is>
          <t>BRÄCKE</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37303-2024</t>
        </is>
      </c>
      <c r="B2202" s="1" t="n">
        <v>45540</v>
      </c>
      <c r="C2202" s="1" t="n">
        <v>45754</v>
      </c>
      <c r="D2202" t="inlineStr">
        <is>
          <t>JÄMTLANDS LÄN</t>
        </is>
      </c>
      <c r="E2202" t="inlineStr">
        <is>
          <t>BRÄCKE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37960-2024</t>
        </is>
      </c>
      <c r="B2203" s="1" t="n">
        <v>45544</v>
      </c>
      <c r="C2203" s="1" t="n">
        <v>45754</v>
      </c>
      <c r="D2203" t="inlineStr">
        <is>
          <t>JÄMTLANDS LÄN</t>
        </is>
      </c>
      <c r="E2203" t="inlineStr">
        <is>
          <t>BRÄCKE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37883-2024</t>
        </is>
      </c>
      <c r="B2204" s="1" t="n">
        <v>45544</v>
      </c>
      <c r="C2204" s="1" t="n">
        <v>45754</v>
      </c>
      <c r="D2204" t="inlineStr">
        <is>
          <t>JÄMTLANDS LÄN</t>
        </is>
      </c>
      <c r="E2204" t="inlineStr">
        <is>
          <t>BRÄCKE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37959-2024</t>
        </is>
      </c>
      <c r="B2205" s="1" t="n">
        <v>45544</v>
      </c>
      <c r="C2205" s="1" t="n">
        <v>45754</v>
      </c>
      <c r="D2205" t="inlineStr">
        <is>
          <t>JÄMTLANDS LÄN</t>
        </is>
      </c>
      <c r="E2205" t="inlineStr">
        <is>
          <t>BRÄCKE</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38007-2024</t>
        </is>
      </c>
      <c r="B2206" s="1" t="n">
        <v>45544</v>
      </c>
      <c r="C2206" s="1" t="n">
        <v>45754</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38162-2024</t>
        </is>
      </c>
      <c r="B2207" s="1" t="n">
        <v>45545</v>
      </c>
      <c r="C2207" s="1" t="n">
        <v>45754</v>
      </c>
      <c r="D2207" t="inlineStr">
        <is>
          <t>JÄMTLANDS LÄN</t>
        </is>
      </c>
      <c r="E2207" t="inlineStr">
        <is>
          <t>BRÄCKE</t>
        </is>
      </c>
      <c r="F2207" t="inlineStr">
        <is>
          <t>SCA</t>
        </is>
      </c>
      <c r="G2207" t="n">
        <v>12.3</v>
      </c>
      <c r="H2207" t="n">
        <v>0</v>
      </c>
      <c r="I2207" t="n">
        <v>0</v>
      </c>
      <c r="J2207" t="n">
        <v>0</v>
      </c>
      <c r="K2207" t="n">
        <v>0</v>
      </c>
      <c r="L2207" t="n">
        <v>0</v>
      </c>
      <c r="M2207" t="n">
        <v>0</v>
      </c>
      <c r="N2207" t="n">
        <v>0</v>
      </c>
      <c r="O2207" t="n">
        <v>0</v>
      </c>
      <c r="P2207" t="n">
        <v>0</v>
      </c>
      <c r="Q2207" t="n">
        <v>0</v>
      </c>
      <c r="R2207" s="2" t="inlineStr"/>
    </row>
    <row r="2208" ht="15" customHeight="1">
      <c r="A2208" t="inlineStr">
        <is>
          <t>A 38105-2024</t>
        </is>
      </c>
      <c r="B2208" s="1" t="n">
        <v>45545</v>
      </c>
      <c r="C2208" s="1" t="n">
        <v>45754</v>
      </c>
      <c r="D2208" t="inlineStr">
        <is>
          <t>JÄMTLANDS LÄN</t>
        </is>
      </c>
      <c r="E2208" t="inlineStr">
        <is>
          <t>BRÄCKE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38164-2024</t>
        </is>
      </c>
      <c r="B2209" s="1" t="n">
        <v>45545</v>
      </c>
      <c r="C2209" s="1" t="n">
        <v>45754</v>
      </c>
      <c r="D2209" t="inlineStr">
        <is>
          <t>JÄMTLANDS LÄN</t>
        </is>
      </c>
      <c r="E2209" t="inlineStr">
        <is>
          <t>BRÄCKE</t>
        </is>
      </c>
      <c r="F2209" t="inlineStr">
        <is>
          <t>SCA</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38302-2024</t>
        </is>
      </c>
      <c r="B2210" s="1" t="n">
        <v>45545</v>
      </c>
      <c r="C2210" s="1" t="n">
        <v>45754</v>
      </c>
      <c r="D2210" t="inlineStr">
        <is>
          <t>JÄMTLANDS LÄN</t>
        </is>
      </c>
      <c r="E2210" t="inlineStr">
        <is>
          <t>BRÄCKE</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38321-2024</t>
        </is>
      </c>
      <c r="B2211" s="1" t="n">
        <v>45545</v>
      </c>
      <c r="C2211" s="1" t="n">
        <v>45754</v>
      </c>
      <c r="D2211" t="inlineStr">
        <is>
          <t>JÄMTLANDS LÄN</t>
        </is>
      </c>
      <c r="E2211" t="inlineStr">
        <is>
          <t>BRÄCKE</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38336-2024</t>
        </is>
      </c>
      <c r="B2212" s="1" t="n">
        <v>45545</v>
      </c>
      <c r="C2212" s="1" t="n">
        <v>45754</v>
      </c>
      <c r="D2212" t="inlineStr">
        <is>
          <t>JÄMTLANDS LÄN</t>
        </is>
      </c>
      <c r="E2212" t="inlineStr">
        <is>
          <t>BRÄCKE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38404-2024</t>
        </is>
      </c>
      <c r="B2213" s="1" t="n">
        <v>45546</v>
      </c>
      <c r="C2213" s="1" t="n">
        <v>45754</v>
      </c>
      <c r="D2213" t="inlineStr">
        <is>
          <t>JÄMTLANDS LÄN</t>
        </is>
      </c>
      <c r="E2213" t="inlineStr">
        <is>
          <t>BRÄCKE</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38401-2024</t>
        </is>
      </c>
      <c r="B2214" s="1" t="n">
        <v>45546</v>
      </c>
      <c r="C2214" s="1" t="n">
        <v>45754</v>
      </c>
      <c r="D2214" t="inlineStr">
        <is>
          <t>JÄMTLANDS LÄN</t>
        </is>
      </c>
      <c r="E2214" t="inlineStr">
        <is>
          <t>BRÄCKE</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38509-2024</t>
        </is>
      </c>
      <c r="B2215" s="1" t="n">
        <v>45546</v>
      </c>
      <c r="C2215" s="1" t="n">
        <v>45754</v>
      </c>
      <c r="D2215" t="inlineStr">
        <is>
          <t>JÄMTLANDS LÄN</t>
        </is>
      </c>
      <c r="E2215" t="inlineStr">
        <is>
          <t>BRÄCKE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38817-2024</t>
        </is>
      </c>
      <c r="B2216" s="1" t="n">
        <v>45547</v>
      </c>
      <c r="C2216" s="1" t="n">
        <v>45754</v>
      </c>
      <c r="D2216" t="inlineStr">
        <is>
          <t>JÄMTLANDS LÄN</t>
        </is>
      </c>
      <c r="E2216" t="inlineStr">
        <is>
          <t>BRÄCKE</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38865-2024</t>
        </is>
      </c>
      <c r="B2217" s="1" t="n">
        <v>45547</v>
      </c>
      <c r="C2217" s="1" t="n">
        <v>45754</v>
      </c>
      <c r="D2217" t="inlineStr">
        <is>
          <t>JÄMTLANDS LÄN</t>
        </is>
      </c>
      <c r="E2217" t="inlineStr">
        <is>
          <t>BRÄCKE</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38862-2024</t>
        </is>
      </c>
      <c r="B2218" s="1" t="n">
        <v>45547</v>
      </c>
      <c r="C2218" s="1" t="n">
        <v>45754</v>
      </c>
      <c r="D2218" t="inlineStr">
        <is>
          <t>JÄMTLANDS LÄN</t>
        </is>
      </c>
      <c r="E2218" t="inlineStr">
        <is>
          <t>BRÄCKE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38943-2024</t>
        </is>
      </c>
      <c r="B2219" s="1" t="n">
        <v>45548</v>
      </c>
      <c r="C2219" s="1" t="n">
        <v>45754</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39122-2024</t>
        </is>
      </c>
      <c r="B2220" s="1" t="n">
        <v>45548</v>
      </c>
      <c r="C2220" s="1" t="n">
        <v>45754</v>
      </c>
      <c r="D2220" t="inlineStr">
        <is>
          <t>JÄMTLANDS LÄN</t>
        </is>
      </c>
      <c r="E2220" t="inlineStr">
        <is>
          <t>BRÄCKE</t>
        </is>
      </c>
      <c r="F2220" t="inlineStr">
        <is>
          <t>SCA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39192-2024</t>
        </is>
      </c>
      <c r="B2221" s="1" t="n">
        <v>45548</v>
      </c>
      <c r="C2221" s="1" t="n">
        <v>45754</v>
      </c>
      <c r="D2221" t="inlineStr">
        <is>
          <t>JÄMTLANDS LÄN</t>
        </is>
      </c>
      <c r="E2221" t="inlineStr">
        <is>
          <t>BRÄCKE</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39281-2024</t>
        </is>
      </c>
      <c r="B2222" s="1" t="n">
        <v>45551</v>
      </c>
      <c r="C2222" s="1" t="n">
        <v>45754</v>
      </c>
      <c r="D2222" t="inlineStr">
        <is>
          <t>JÄMTLANDS LÄN</t>
        </is>
      </c>
      <c r="E2222" t="inlineStr">
        <is>
          <t>BRÄCKE</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39326-2024</t>
        </is>
      </c>
      <c r="B2223" s="1" t="n">
        <v>45551</v>
      </c>
      <c r="C2223" s="1" t="n">
        <v>45754</v>
      </c>
      <c r="D2223" t="inlineStr">
        <is>
          <t>JÄMTLANDS LÄN</t>
        </is>
      </c>
      <c r="E2223" t="inlineStr">
        <is>
          <t>BRÄCKE</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39662-2024</t>
        </is>
      </c>
      <c r="B2224" s="1" t="n">
        <v>45552</v>
      </c>
      <c r="C2224" s="1" t="n">
        <v>45754</v>
      </c>
      <c r="D2224" t="inlineStr">
        <is>
          <t>JÄMTLANDS LÄN</t>
        </is>
      </c>
      <c r="E2224" t="inlineStr">
        <is>
          <t>BRÄCKE</t>
        </is>
      </c>
      <c r="F2224" t="inlineStr">
        <is>
          <t>SCA</t>
        </is>
      </c>
      <c r="G2224" t="n">
        <v>11.3</v>
      </c>
      <c r="H2224" t="n">
        <v>0</v>
      </c>
      <c r="I2224" t="n">
        <v>0</v>
      </c>
      <c r="J2224" t="n">
        <v>0</v>
      </c>
      <c r="K2224" t="n">
        <v>0</v>
      </c>
      <c r="L2224" t="n">
        <v>0</v>
      </c>
      <c r="M2224" t="n">
        <v>0</v>
      </c>
      <c r="N2224" t="n">
        <v>0</v>
      </c>
      <c r="O2224" t="n">
        <v>0</v>
      </c>
      <c r="P2224" t="n">
        <v>0</v>
      </c>
      <c r="Q2224" t="n">
        <v>0</v>
      </c>
      <c r="R2224" s="2" t="inlineStr"/>
    </row>
    <row r="2225" ht="15" customHeight="1">
      <c r="A2225" t="inlineStr">
        <is>
          <t>A 39742-2024</t>
        </is>
      </c>
      <c r="B2225" s="1" t="n">
        <v>45552</v>
      </c>
      <c r="C2225" s="1" t="n">
        <v>45754</v>
      </c>
      <c r="D2225" t="inlineStr">
        <is>
          <t>JÄMTLANDS LÄN</t>
        </is>
      </c>
      <c r="E2225" t="inlineStr">
        <is>
          <t>BRÄCKE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39884-2024</t>
        </is>
      </c>
      <c r="B2226" s="1" t="n">
        <v>45553</v>
      </c>
      <c r="C2226" s="1" t="n">
        <v>45754</v>
      </c>
      <c r="D2226" t="inlineStr">
        <is>
          <t>JÄMTLANDS LÄN</t>
        </is>
      </c>
      <c r="E2226" t="inlineStr">
        <is>
          <t>BRÄCKE</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39945-2024</t>
        </is>
      </c>
      <c r="B2227" s="1" t="n">
        <v>45553</v>
      </c>
      <c r="C2227" s="1" t="n">
        <v>45754</v>
      </c>
      <c r="D2227" t="inlineStr">
        <is>
          <t>JÄMTLANDS LÄN</t>
        </is>
      </c>
      <c r="E2227" t="inlineStr">
        <is>
          <t>BRÄCKE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39885-2024</t>
        </is>
      </c>
      <c r="B2228" s="1" t="n">
        <v>45553</v>
      </c>
      <c r="C2228" s="1" t="n">
        <v>45754</v>
      </c>
      <c r="D2228" t="inlineStr">
        <is>
          <t>JÄMTLANDS LÄN</t>
        </is>
      </c>
      <c r="E2228" t="inlineStr">
        <is>
          <t>BRÄCKE</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39883-2024</t>
        </is>
      </c>
      <c r="B2229" s="1" t="n">
        <v>45553</v>
      </c>
      <c r="C2229" s="1" t="n">
        <v>45754</v>
      </c>
      <c r="D2229" t="inlineStr">
        <is>
          <t>JÄMTLANDS LÄN</t>
        </is>
      </c>
      <c r="E2229" t="inlineStr">
        <is>
          <t>BRÄCKE</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39996-2024</t>
        </is>
      </c>
      <c r="B2230" s="1" t="n">
        <v>45553</v>
      </c>
      <c r="C2230" s="1" t="n">
        <v>45754</v>
      </c>
      <c r="D2230" t="inlineStr">
        <is>
          <t>JÄMTLANDS LÄN</t>
        </is>
      </c>
      <c r="E2230" t="inlineStr">
        <is>
          <t>BRÄCKE</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40218-2024</t>
        </is>
      </c>
      <c r="B2231" s="1" t="n">
        <v>45554</v>
      </c>
      <c r="C2231" s="1" t="n">
        <v>45754</v>
      </c>
      <c r="D2231" t="inlineStr">
        <is>
          <t>JÄMTLANDS LÄN</t>
        </is>
      </c>
      <c r="E2231" t="inlineStr">
        <is>
          <t>BRÄCKE</t>
        </is>
      </c>
      <c r="F2231" t="inlineStr">
        <is>
          <t>SCA</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40343-2024</t>
        </is>
      </c>
      <c r="B2232" s="1" t="n">
        <v>45555</v>
      </c>
      <c r="C2232" s="1" t="n">
        <v>45754</v>
      </c>
      <c r="D2232" t="inlineStr">
        <is>
          <t>JÄMTLANDS LÄN</t>
        </is>
      </c>
      <c r="E2232" t="inlineStr">
        <is>
          <t>BRÄCKE</t>
        </is>
      </c>
      <c r="F2232" t="inlineStr">
        <is>
          <t>SCA</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40387-2024</t>
        </is>
      </c>
      <c r="B2233" s="1" t="n">
        <v>45555</v>
      </c>
      <c r="C2233" s="1" t="n">
        <v>45754</v>
      </c>
      <c r="D2233" t="inlineStr">
        <is>
          <t>JÄMTLANDS LÄN</t>
        </is>
      </c>
      <c r="E2233" t="inlineStr">
        <is>
          <t>BRÄCKE</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40521-2024</t>
        </is>
      </c>
      <c r="B2234" s="1" t="n">
        <v>45555</v>
      </c>
      <c r="C2234" s="1" t="n">
        <v>45754</v>
      </c>
      <c r="D2234" t="inlineStr">
        <is>
          <t>JÄMTLANDS LÄN</t>
        </is>
      </c>
      <c r="E2234" t="inlineStr">
        <is>
          <t>BRÄCKE</t>
        </is>
      </c>
      <c r="F2234" t="inlineStr">
        <is>
          <t>SCA</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40792-2024</t>
        </is>
      </c>
      <c r="B2235" s="1" t="n">
        <v>45558</v>
      </c>
      <c r="C2235" s="1" t="n">
        <v>45754</v>
      </c>
      <c r="D2235" t="inlineStr">
        <is>
          <t>JÄMTLANDS LÄN</t>
        </is>
      </c>
      <c r="E2235" t="inlineStr">
        <is>
          <t>BRÄCKE</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40693-2024</t>
        </is>
      </c>
      <c r="B2236" s="1" t="n">
        <v>45558</v>
      </c>
      <c r="C2236" s="1" t="n">
        <v>45754</v>
      </c>
      <c r="D2236" t="inlineStr">
        <is>
          <t>JÄMTLANDS LÄN</t>
        </is>
      </c>
      <c r="E2236" t="inlineStr">
        <is>
          <t>BRÄCKE</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40791-2024</t>
        </is>
      </c>
      <c r="B2237" s="1" t="n">
        <v>45558</v>
      </c>
      <c r="C2237" s="1" t="n">
        <v>45754</v>
      </c>
      <c r="D2237" t="inlineStr">
        <is>
          <t>JÄMTLANDS LÄN</t>
        </is>
      </c>
      <c r="E2237" t="inlineStr">
        <is>
          <t>BRÄCKE</t>
        </is>
      </c>
      <c r="F2237" t="inlineStr">
        <is>
          <t>SCA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40950-2024</t>
        </is>
      </c>
      <c r="B2238" s="1" t="n">
        <v>45558</v>
      </c>
      <c r="C2238" s="1" t="n">
        <v>45754</v>
      </c>
      <c r="D2238" t="inlineStr">
        <is>
          <t>JÄMTLANDS LÄN</t>
        </is>
      </c>
      <c r="E2238" t="inlineStr">
        <is>
          <t>BRÄCKE</t>
        </is>
      </c>
      <c r="F2238" t="inlineStr">
        <is>
          <t>SCA</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40971-2024</t>
        </is>
      </c>
      <c r="B2239" s="1" t="n">
        <v>45558</v>
      </c>
      <c r="C2239" s="1" t="n">
        <v>45754</v>
      </c>
      <c r="D2239" t="inlineStr">
        <is>
          <t>JÄMTLANDS LÄN</t>
        </is>
      </c>
      <c r="E2239" t="inlineStr">
        <is>
          <t>BRÄCKE</t>
        </is>
      </c>
      <c r="F2239" t="inlineStr">
        <is>
          <t>SCA</t>
        </is>
      </c>
      <c r="G2239" t="n">
        <v>15.9</v>
      </c>
      <c r="H2239" t="n">
        <v>0</v>
      </c>
      <c r="I2239" t="n">
        <v>0</v>
      </c>
      <c r="J2239" t="n">
        <v>0</v>
      </c>
      <c r="K2239" t="n">
        <v>0</v>
      </c>
      <c r="L2239" t="n">
        <v>0</v>
      </c>
      <c r="M2239" t="n">
        <v>0</v>
      </c>
      <c r="N2239" t="n">
        <v>0</v>
      </c>
      <c r="O2239" t="n">
        <v>0</v>
      </c>
      <c r="P2239" t="n">
        <v>0</v>
      </c>
      <c r="Q2239" t="n">
        <v>0</v>
      </c>
      <c r="R2239" s="2" t="inlineStr"/>
    </row>
    <row r="2240" ht="15" customHeight="1">
      <c r="A2240" t="inlineStr">
        <is>
          <t>A 40790-2024</t>
        </is>
      </c>
      <c r="B2240" s="1" t="n">
        <v>45558</v>
      </c>
      <c r="C2240" s="1" t="n">
        <v>45754</v>
      </c>
      <c r="D2240" t="inlineStr">
        <is>
          <t>JÄMTLANDS LÄN</t>
        </is>
      </c>
      <c r="E2240" t="inlineStr">
        <is>
          <t>BRÄCKE</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40951-2024</t>
        </is>
      </c>
      <c r="B2241" s="1" t="n">
        <v>45558</v>
      </c>
      <c r="C2241" s="1" t="n">
        <v>45754</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41313-2024</t>
        </is>
      </c>
      <c r="B2242" s="1" t="n">
        <v>45559</v>
      </c>
      <c r="C2242" s="1" t="n">
        <v>45754</v>
      </c>
      <c r="D2242" t="inlineStr">
        <is>
          <t>JÄMTLANDS LÄN</t>
        </is>
      </c>
      <c r="E2242" t="inlineStr">
        <is>
          <t>BRÄCKE</t>
        </is>
      </c>
      <c r="F2242" t="inlineStr">
        <is>
          <t>SCA</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41311-2024</t>
        </is>
      </c>
      <c r="B2243" s="1" t="n">
        <v>45559</v>
      </c>
      <c r="C2243" s="1" t="n">
        <v>45754</v>
      </c>
      <c r="D2243" t="inlineStr">
        <is>
          <t>JÄMTLANDS LÄN</t>
        </is>
      </c>
      <c r="E2243" t="inlineStr">
        <is>
          <t>BRÄCKE</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41315-2024</t>
        </is>
      </c>
      <c r="B2244" s="1" t="n">
        <v>45559</v>
      </c>
      <c r="C2244" s="1" t="n">
        <v>45754</v>
      </c>
      <c r="D2244" t="inlineStr">
        <is>
          <t>JÄMTLANDS LÄN</t>
        </is>
      </c>
      <c r="E2244" t="inlineStr">
        <is>
          <t>BRÄCKE</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41314-2024</t>
        </is>
      </c>
      <c r="B2245" s="1" t="n">
        <v>45559</v>
      </c>
      <c r="C2245" s="1" t="n">
        <v>45754</v>
      </c>
      <c r="D2245" t="inlineStr">
        <is>
          <t>JÄMTLANDS LÄN</t>
        </is>
      </c>
      <c r="E2245" t="inlineStr">
        <is>
          <t>BRÄCKE</t>
        </is>
      </c>
      <c r="F2245" t="inlineStr">
        <is>
          <t>SCA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41552-2024</t>
        </is>
      </c>
      <c r="B2246" s="1" t="n">
        <v>45560</v>
      </c>
      <c r="C2246" s="1" t="n">
        <v>45754</v>
      </c>
      <c r="D2246" t="inlineStr">
        <is>
          <t>JÄMTLANDS LÄN</t>
        </is>
      </c>
      <c r="E2246" t="inlineStr">
        <is>
          <t>BRÄCKE</t>
        </is>
      </c>
      <c r="F2246" t="inlineStr">
        <is>
          <t>Övriga Aktiebolag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41418-2024</t>
        </is>
      </c>
      <c r="B2247" s="1" t="n">
        <v>45560</v>
      </c>
      <c r="C2247" s="1" t="n">
        <v>45754</v>
      </c>
      <c r="D2247" t="inlineStr">
        <is>
          <t>JÄMTLANDS LÄN</t>
        </is>
      </c>
      <c r="E2247" t="inlineStr">
        <is>
          <t>BRÄCKE</t>
        </is>
      </c>
      <c r="F2247" t="inlineStr">
        <is>
          <t>SCA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41423-2024</t>
        </is>
      </c>
      <c r="B2248" s="1" t="n">
        <v>45560</v>
      </c>
      <c r="C2248" s="1" t="n">
        <v>45754</v>
      </c>
      <c r="D2248" t="inlineStr">
        <is>
          <t>JÄMTLANDS LÄN</t>
        </is>
      </c>
      <c r="E2248" t="inlineStr">
        <is>
          <t>BRÄCKE</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41450-2024</t>
        </is>
      </c>
      <c r="B2249" s="1" t="n">
        <v>45560</v>
      </c>
      <c r="C2249" s="1" t="n">
        <v>45754</v>
      </c>
      <c r="D2249" t="inlineStr">
        <is>
          <t>JÄMTLANDS LÄN</t>
        </is>
      </c>
      <c r="E2249" t="inlineStr">
        <is>
          <t>BRÄCKE</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41424-2024</t>
        </is>
      </c>
      <c r="B2250" s="1" t="n">
        <v>45560</v>
      </c>
      <c r="C2250" s="1" t="n">
        <v>45754</v>
      </c>
      <c r="D2250" t="inlineStr">
        <is>
          <t>JÄMTLANDS LÄN</t>
        </is>
      </c>
      <c r="E2250" t="inlineStr">
        <is>
          <t>BRÄCKE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41706-2024</t>
        </is>
      </c>
      <c r="B2251" s="1" t="n">
        <v>45560</v>
      </c>
      <c r="C2251" s="1" t="n">
        <v>45754</v>
      </c>
      <c r="D2251" t="inlineStr">
        <is>
          <t>JÄMTLANDS LÄN</t>
        </is>
      </c>
      <c r="E2251" t="inlineStr">
        <is>
          <t>BRÄCKE</t>
        </is>
      </c>
      <c r="F2251" t="inlineStr">
        <is>
          <t>SCA</t>
        </is>
      </c>
      <c r="G2251" t="n">
        <v>11.3</v>
      </c>
      <c r="H2251" t="n">
        <v>0</v>
      </c>
      <c r="I2251" t="n">
        <v>0</v>
      </c>
      <c r="J2251" t="n">
        <v>0</v>
      </c>
      <c r="K2251" t="n">
        <v>0</v>
      </c>
      <c r="L2251" t="n">
        <v>0</v>
      </c>
      <c r="M2251" t="n">
        <v>0</v>
      </c>
      <c r="N2251" t="n">
        <v>0</v>
      </c>
      <c r="O2251" t="n">
        <v>0</v>
      </c>
      <c r="P2251" t="n">
        <v>0</v>
      </c>
      <c r="Q2251" t="n">
        <v>0</v>
      </c>
      <c r="R2251" s="2" t="inlineStr"/>
    </row>
    <row r="2252" ht="15" customHeight="1">
      <c r="A2252" t="inlineStr">
        <is>
          <t>A 41773-2024</t>
        </is>
      </c>
      <c r="B2252" s="1" t="n">
        <v>45561</v>
      </c>
      <c r="C2252" s="1" t="n">
        <v>45754</v>
      </c>
      <c r="D2252" t="inlineStr">
        <is>
          <t>JÄMTLANDS LÄN</t>
        </is>
      </c>
      <c r="E2252" t="inlineStr">
        <is>
          <t>BRÄCKE</t>
        </is>
      </c>
      <c r="F2252" t="inlineStr">
        <is>
          <t>SCA</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41831-2024</t>
        </is>
      </c>
      <c r="B2253" s="1" t="n">
        <v>45561</v>
      </c>
      <c r="C2253" s="1" t="n">
        <v>45754</v>
      </c>
      <c r="D2253" t="inlineStr">
        <is>
          <t>JÄMTLANDS LÄN</t>
        </is>
      </c>
      <c r="E2253" t="inlineStr">
        <is>
          <t>BRÄCKE</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41763-2024</t>
        </is>
      </c>
      <c r="B2254" s="1" t="n">
        <v>45561</v>
      </c>
      <c r="C2254" s="1" t="n">
        <v>45754</v>
      </c>
      <c r="D2254" t="inlineStr">
        <is>
          <t>JÄMTLANDS LÄN</t>
        </is>
      </c>
      <c r="E2254" t="inlineStr">
        <is>
          <t>BRÄCKE</t>
        </is>
      </c>
      <c r="F2254" t="inlineStr">
        <is>
          <t>SCA</t>
        </is>
      </c>
      <c r="G2254" t="n">
        <v>13.9</v>
      </c>
      <c r="H2254" t="n">
        <v>0</v>
      </c>
      <c r="I2254" t="n">
        <v>0</v>
      </c>
      <c r="J2254" t="n">
        <v>0</v>
      </c>
      <c r="K2254" t="n">
        <v>0</v>
      </c>
      <c r="L2254" t="n">
        <v>0</v>
      </c>
      <c r="M2254" t="n">
        <v>0</v>
      </c>
      <c r="N2254" t="n">
        <v>0</v>
      </c>
      <c r="O2254" t="n">
        <v>0</v>
      </c>
      <c r="P2254" t="n">
        <v>0</v>
      </c>
      <c r="Q2254" t="n">
        <v>0</v>
      </c>
      <c r="R2254" s="2" t="inlineStr"/>
    </row>
    <row r="2255" ht="15" customHeight="1">
      <c r="A2255" t="inlineStr">
        <is>
          <t>A 41825-2024</t>
        </is>
      </c>
      <c r="B2255" s="1" t="n">
        <v>45561</v>
      </c>
      <c r="C2255" s="1" t="n">
        <v>45754</v>
      </c>
      <c r="D2255" t="inlineStr">
        <is>
          <t>JÄMTLANDS LÄN</t>
        </is>
      </c>
      <c r="E2255" t="inlineStr">
        <is>
          <t>BRÄCKE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41829-2024</t>
        </is>
      </c>
      <c r="B2256" s="1" t="n">
        <v>45561</v>
      </c>
      <c r="C2256" s="1" t="n">
        <v>45754</v>
      </c>
      <c r="D2256" t="inlineStr">
        <is>
          <t>JÄMTLANDS LÄN</t>
        </is>
      </c>
      <c r="E2256" t="inlineStr">
        <is>
          <t>BRÄCKE</t>
        </is>
      </c>
      <c r="F2256" t="inlineStr">
        <is>
          <t>SCA</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41869-2024</t>
        </is>
      </c>
      <c r="B2257" s="1" t="n">
        <v>45561</v>
      </c>
      <c r="C2257" s="1" t="n">
        <v>45754</v>
      </c>
      <c r="D2257" t="inlineStr">
        <is>
          <t>JÄMTLANDS LÄN</t>
        </is>
      </c>
      <c r="E2257" t="inlineStr">
        <is>
          <t>BRÄCKE</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42306-2024</t>
        </is>
      </c>
      <c r="B2258" s="1" t="n">
        <v>45562</v>
      </c>
      <c r="C2258" s="1" t="n">
        <v>45754</v>
      </c>
      <c r="D2258" t="inlineStr">
        <is>
          <t>JÄMTLANDS LÄN</t>
        </is>
      </c>
      <c r="E2258" t="inlineStr">
        <is>
          <t>BRÄCKE</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42091-2024</t>
        </is>
      </c>
      <c r="B2259" s="1" t="n">
        <v>45562</v>
      </c>
      <c r="C2259" s="1" t="n">
        <v>45754</v>
      </c>
      <c r="D2259" t="inlineStr">
        <is>
          <t>JÄMTLANDS LÄN</t>
        </is>
      </c>
      <c r="E2259" t="inlineStr">
        <is>
          <t>BRÄCKE</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42480-2024</t>
        </is>
      </c>
      <c r="B2260" s="1" t="n">
        <v>45565</v>
      </c>
      <c r="C2260" s="1" t="n">
        <v>45754</v>
      </c>
      <c r="D2260" t="inlineStr">
        <is>
          <t>JÄMTLANDS LÄN</t>
        </is>
      </c>
      <c r="E2260" t="inlineStr">
        <is>
          <t>BRÄCKE</t>
        </is>
      </c>
      <c r="F2260" t="inlineStr">
        <is>
          <t>Kyrkan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42719-2024</t>
        </is>
      </c>
      <c r="B2261" s="1" t="n">
        <v>45566</v>
      </c>
      <c r="C2261" s="1" t="n">
        <v>45754</v>
      </c>
      <c r="D2261" t="inlineStr">
        <is>
          <t>JÄMTLANDS LÄN</t>
        </is>
      </c>
      <c r="E2261" t="inlineStr">
        <is>
          <t>BRÄCKE</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42716-2024</t>
        </is>
      </c>
      <c r="B2262" s="1" t="n">
        <v>45566</v>
      </c>
      <c r="C2262" s="1" t="n">
        <v>45754</v>
      </c>
      <c r="D2262" t="inlineStr">
        <is>
          <t>JÄMTLANDS LÄN</t>
        </is>
      </c>
      <c r="E2262" t="inlineStr">
        <is>
          <t>BRÄCKE</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42956-2024</t>
        </is>
      </c>
      <c r="B2263" s="1" t="n">
        <v>45567</v>
      </c>
      <c r="C2263" s="1" t="n">
        <v>45754</v>
      </c>
      <c r="D2263" t="inlineStr">
        <is>
          <t>JÄMTLANDS LÄN</t>
        </is>
      </c>
      <c r="E2263" t="inlineStr">
        <is>
          <t>BRÄCKE</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42952-2024</t>
        </is>
      </c>
      <c r="B2264" s="1" t="n">
        <v>45567</v>
      </c>
      <c r="C2264" s="1" t="n">
        <v>45754</v>
      </c>
      <c r="D2264" t="inlineStr">
        <is>
          <t>JÄMTLANDS LÄN</t>
        </is>
      </c>
      <c r="E2264" t="inlineStr">
        <is>
          <t>BRÄCKE</t>
        </is>
      </c>
      <c r="F2264" t="inlineStr">
        <is>
          <t>SCA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42959-2024</t>
        </is>
      </c>
      <c r="B2265" s="1" t="n">
        <v>45567</v>
      </c>
      <c r="C2265" s="1" t="n">
        <v>45754</v>
      </c>
      <c r="D2265" t="inlineStr">
        <is>
          <t>JÄMTLANDS LÄN</t>
        </is>
      </c>
      <c r="E2265" t="inlineStr">
        <is>
          <t>BRÄCKE</t>
        </is>
      </c>
      <c r="F2265" t="inlineStr">
        <is>
          <t>SCA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43463-2024</t>
        </is>
      </c>
      <c r="B2266" s="1" t="n">
        <v>45568</v>
      </c>
      <c r="C2266" s="1" t="n">
        <v>45754</v>
      </c>
      <c r="D2266" t="inlineStr">
        <is>
          <t>JÄMTLANDS LÄN</t>
        </is>
      </c>
      <c r="E2266" t="inlineStr">
        <is>
          <t>BRÄCKE</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43381-2024</t>
        </is>
      </c>
      <c r="B2267" s="1" t="n">
        <v>45568</v>
      </c>
      <c r="C2267" s="1" t="n">
        <v>45754</v>
      </c>
      <c r="D2267" t="inlineStr">
        <is>
          <t>JÄMTLANDS LÄN</t>
        </is>
      </c>
      <c r="E2267" t="inlineStr">
        <is>
          <t>BRÄCKE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43380-2024</t>
        </is>
      </c>
      <c r="B2268" s="1" t="n">
        <v>45568</v>
      </c>
      <c r="C2268" s="1" t="n">
        <v>45754</v>
      </c>
      <c r="D2268" t="inlineStr">
        <is>
          <t>JÄMTLANDS LÄN</t>
        </is>
      </c>
      <c r="E2268" t="inlineStr">
        <is>
          <t>BRÄCKE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43382-2024</t>
        </is>
      </c>
      <c r="B2269" s="1" t="n">
        <v>45568</v>
      </c>
      <c r="C2269" s="1" t="n">
        <v>45754</v>
      </c>
      <c r="D2269" t="inlineStr">
        <is>
          <t>JÄMTLANDS LÄN</t>
        </is>
      </c>
      <c r="E2269" t="inlineStr">
        <is>
          <t>BRÄCKE</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44082-2024</t>
        </is>
      </c>
      <c r="B2270" s="1" t="n">
        <v>45572</v>
      </c>
      <c r="C2270" s="1" t="n">
        <v>45754</v>
      </c>
      <c r="D2270" t="inlineStr">
        <is>
          <t>JÄMTLANDS LÄN</t>
        </is>
      </c>
      <c r="E2270" t="inlineStr">
        <is>
          <t>BRÄCKE</t>
        </is>
      </c>
      <c r="F2270" t="inlineStr">
        <is>
          <t>SCA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44607-2024</t>
        </is>
      </c>
      <c r="B2271" s="1" t="n">
        <v>45574</v>
      </c>
      <c r="C2271" s="1" t="n">
        <v>45754</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44643-2024</t>
        </is>
      </c>
      <c r="B2272" s="1" t="n">
        <v>45574</v>
      </c>
      <c r="C2272" s="1" t="n">
        <v>45754</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44841-2024</t>
        </is>
      </c>
      <c r="B2273" s="1" t="n">
        <v>45574</v>
      </c>
      <c r="C2273" s="1" t="n">
        <v>45754</v>
      </c>
      <c r="D2273" t="inlineStr">
        <is>
          <t>JÄMTLANDS LÄN</t>
        </is>
      </c>
      <c r="E2273" t="inlineStr">
        <is>
          <t>BRÄCKE</t>
        </is>
      </c>
      <c r="F2273" t="inlineStr">
        <is>
          <t>SCA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44613-2024</t>
        </is>
      </c>
      <c r="B2274" s="1" t="n">
        <v>45574</v>
      </c>
      <c r="C2274" s="1" t="n">
        <v>45754</v>
      </c>
      <c r="D2274" t="inlineStr">
        <is>
          <t>JÄMTLANDS LÄN</t>
        </is>
      </c>
      <c r="E2274" t="inlineStr">
        <is>
          <t>BRÄCKE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44645-2024</t>
        </is>
      </c>
      <c r="B2275" s="1" t="n">
        <v>45574</v>
      </c>
      <c r="C2275" s="1" t="n">
        <v>45754</v>
      </c>
      <c r="D2275" t="inlineStr">
        <is>
          <t>JÄMTLANDS LÄN</t>
        </is>
      </c>
      <c r="E2275" t="inlineStr">
        <is>
          <t>BRÄCKE</t>
        </is>
      </c>
      <c r="F2275" t="inlineStr">
        <is>
          <t>SCA</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45204-2024</t>
        </is>
      </c>
      <c r="B2276" s="1" t="n">
        <v>45575</v>
      </c>
      <c r="C2276" s="1" t="n">
        <v>45754</v>
      </c>
      <c r="D2276" t="inlineStr">
        <is>
          <t>JÄMTLANDS LÄN</t>
        </is>
      </c>
      <c r="E2276" t="inlineStr">
        <is>
          <t>BRÄCKE</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45414-2024</t>
        </is>
      </c>
      <c r="B2277" s="1" t="n">
        <v>45576</v>
      </c>
      <c r="C2277" s="1" t="n">
        <v>45754</v>
      </c>
      <c r="D2277" t="inlineStr">
        <is>
          <t>JÄMTLANDS LÄN</t>
        </is>
      </c>
      <c r="E2277" t="inlineStr">
        <is>
          <t>BRÄCKE</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45375-2024</t>
        </is>
      </c>
      <c r="B2278" s="1" t="n">
        <v>45576</v>
      </c>
      <c r="C2278" s="1" t="n">
        <v>45754</v>
      </c>
      <c r="D2278" t="inlineStr">
        <is>
          <t>JÄMTLANDS LÄN</t>
        </is>
      </c>
      <c r="E2278" t="inlineStr">
        <is>
          <t>BRÄCKE</t>
        </is>
      </c>
      <c r="F2278" t="inlineStr">
        <is>
          <t>Kommuner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45383-2024</t>
        </is>
      </c>
      <c r="B2279" s="1" t="n">
        <v>45576</v>
      </c>
      <c r="C2279" s="1" t="n">
        <v>45754</v>
      </c>
      <c r="D2279" t="inlineStr">
        <is>
          <t>JÄMTLANDS LÄN</t>
        </is>
      </c>
      <c r="E2279" t="inlineStr">
        <is>
          <t>BRÄCKE</t>
        </is>
      </c>
      <c r="F2279" t="inlineStr">
        <is>
          <t>Kommuner</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45387-2024</t>
        </is>
      </c>
      <c r="B2280" s="1" t="n">
        <v>45576</v>
      </c>
      <c r="C2280" s="1" t="n">
        <v>45754</v>
      </c>
      <c r="D2280" t="inlineStr">
        <is>
          <t>JÄMTLANDS LÄN</t>
        </is>
      </c>
      <c r="E2280" t="inlineStr">
        <is>
          <t>BRÄCKE</t>
        </is>
      </c>
      <c r="F2280" t="inlineStr">
        <is>
          <t>Kommuner</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45381-2024</t>
        </is>
      </c>
      <c r="B2281" s="1" t="n">
        <v>45576</v>
      </c>
      <c r="C2281" s="1" t="n">
        <v>45754</v>
      </c>
      <c r="D2281" t="inlineStr">
        <is>
          <t>JÄMTLANDS LÄN</t>
        </is>
      </c>
      <c r="E2281" t="inlineStr">
        <is>
          <t>BRÄCKE</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45758-2024</t>
        </is>
      </c>
      <c r="B2282" s="1" t="n">
        <v>45579</v>
      </c>
      <c r="C2282" s="1" t="n">
        <v>45754</v>
      </c>
      <c r="D2282" t="inlineStr">
        <is>
          <t>JÄMTLANDS LÄN</t>
        </is>
      </c>
      <c r="E2282" t="inlineStr">
        <is>
          <t>BRÄCKE</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45807-2024</t>
        </is>
      </c>
      <c r="B2283" s="1" t="n">
        <v>45579</v>
      </c>
      <c r="C2283" s="1" t="n">
        <v>45754</v>
      </c>
      <c r="D2283" t="inlineStr">
        <is>
          <t>JÄMTLANDS LÄN</t>
        </is>
      </c>
      <c r="E2283" t="inlineStr">
        <is>
          <t>BRÄCKE</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45722-2024</t>
        </is>
      </c>
      <c r="B2284" s="1" t="n">
        <v>45579</v>
      </c>
      <c r="C2284" s="1" t="n">
        <v>45754</v>
      </c>
      <c r="D2284" t="inlineStr">
        <is>
          <t>JÄMTLANDS LÄN</t>
        </is>
      </c>
      <c r="E2284" t="inlineStr">
        <is>
          <t>BRÄCKE</t>
        </is>
      </c>
      <c r="F2284" t="inlineStr">
        <is>
          <t>SCA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45828-2024</t>
        </is>
      </c>
      <c r="B2285" s="1" t="n">
        <v>45579</v>
      </c>
      <c r="C2285" s="1" t="n">
        <v>45754</v>
      </c>
      <c r="D2285" t="inlineStr">
        <is>
          <t>JÄMTLANDS LÄN</t>
        </is>
      </c>
      <c r="E2285" t="inlineStr">
        <is>
          <t>BRÄCKE</t>
        </is>
      </c>
      <c r="G2285" t="n">
        <v>15.5</v>
      </c>
      <c r="H2285" t="n">
        <v>0</v>
      </c>
      <c r="I2285" t="n">
        <v>0</v>
      </c>
      <c r="J2285" t="n">
        <v>0</v>
      </c>
      <c r="K2285" t="n">
        <v>0</v>
      </c>
      <c r="L2285" t="n">
        <v>0</v>
      </c>
      <c r="M2285" t="n">
        <v>0</v>
      </c>
      <c r="N2285" t="n">
        <v>0</v>
      </c>
      <c r="O2285" t="n">
        <v>0</v>
      </c>
      <c r="P2285" t="n">
        <v>0</v>
      </c>
      <c r="Q2285" t="n">
        <v>0</v>
      </c>
      <c r="R2285" s="2" t="inlineStr"/>
    </row>
    <row r="2286" ht="15" customHeight="1">
      <c r="A2286" t="inlineStr">
        <is>
          <t>A 45939-2024</t>
        </is>
      </c>
      <c r="B2286" s="1" t="n">
        <v>45580</v>
      </c>
      <c r="C2286" s="1" t="n">
        <v>45754</v>
      </c>
      <c r="D2286" t="inlineStr">
        <is>
          <t>JÄMTLANDS LÄN</t>
        </is>
      </c>
      <c r="E2286" t="inlineStr">
        <is>
          <t>BRÄCKE</t>
        </is>
      </c>
      <c r="F2286" t="inlineStr">
        <is>
          <t>Naturvårdsverket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45957-2024</t>
        </is>
      </c>
      <c r="B2287" s="1" t="n">
        <v>45580</v>
      </c>
      <c r="C2287" s="1" t="n">
        <v>45754</v>
      </c>
      <c r="D2287" t="inlineStr">
        <is>
          <t>JÄMTLANDS LÄN</t>
        </is>
      </c>
      <c r="E2287" t="inlineStr">
        <is>
          <t>BRÄCKE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45906-2024</t>
        </is>
      </c>
      <c r="B2288" s="1" t="n">
        <v>45580</v>
      </c>
      <c r="C2288" s="1" t="n">
        <v>45754</v>
      </c>
      <c r="D2288" t="inlineStr">
        <is>
          <t>JÄMTLANDS LÄN</t>
        </is>
      </c>
      <c r="E2288" t="inlineStr">
        <is>
          <t>BRÄCKE</t>
        </is>
      </c>
      <c r="G2288" t="n">
        <v>10</v>
      </c>
      <c r="H2288" t="n">
        <v>0</v>
      </c>
      <c r="I2288" t="n">
        <v>0</v>
      </c>
      <c r="J2288" t="n">
        <v>0</v>
      </c>
      <c r="K2288" t="n">
        <v>0</v>
      </c>
      <c r="L2288" t="n">
        <v>0</v>
      </c>
      <c r="M2288" t="n">
        <v>0</v>
      </c>
      <c r="N2288" t="n">
        <v>0</v>
      </c>
      <c r="O2288" t="n">
        <v>0</v>
      </c>
      <c r="P2288" t="n">
        <v>0</v>
      </c>
      <c r="Q2288" t="n">
        <v>0</v>
      </c>
      <c r="R2288" s="2" t="inlineStr"/>
    </row>
    <row r="2289" ht="15" customHeight="1">
      <c r="A2289" t="inlineStr">
        <is>
          <t>A 45974-2024</t>
        </is>
      </c>
      <c r="B2289" s="1" t="n">
        <v>45580</v>
      </c>
      <c r="C2289" s="1" t="n">
        <v>45754</v>
      </c>
      <c r="D2289" t="inlineStr">
        <is>
          <t>JÄMTLANDS LÄN</t>
        </is>
      </c>
      <c r="E2289" t="inlineStr">
        <is>
          <t>BRÄCKE</t>
        </is>
      </c>
      <c r="F2289" t="inlineStr">
        <is>
          <t>Naturvårdsverket</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46595-2024</t>
        </is>
      </c>
      <c r="B2290" s="1" t="n">
        <v>45582</v>
      </c>
      <c r="C2290" s="1" t="n">
        <v>45754</v>
      </c>
      <c r="D2290" t="inlineStr">
        <is>
          <t>JÄMTLANDS LÄN</t>
        </is>
      </c>
      <c r="E2290" t="inlineStr">
        <is>
          <t>BRÄCKE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46713-2024</t>
        </is>
      </c>
      <c r="B2291" s="1" t="n">
        <v>45583</v>
      </c>
      <c r="C2291" s="1" t="n">
        <v>45754</v>
      </c>
      <c r="D2291" t="inlineStr">
        <is>
          <t>JÄMTLANDS LÄN</t>
        </is>
      </c>
      <c r="E2291" t="inlineStr">
        <is>
          <t>BRÄCKE</t>
        </is>
      </c>
      <c r="F2291" t="inlineStr">
        <is>
          <t>SCA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46763-2024</t>
        </is>
      </c>
      <c r="B2292" s="1" t="n">
        <v>45583</v>
      </c>
      <c r="C2292" s="1" t="n">
        <v>45754</v>
      </c>
      <c r="D2292" t="inlineStr">
        <is>
          <t>JÄMTLANDS LÄN</t>
        </is>
      </c>
      <c r="E2292" t="inlineStr">
        <is>
          <t>BRÄCKE</t>
        </is>
      </c>
      <c r="F2292" t="inlineStr">
        <is>
          <t>Naturvårdsverket</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47550-2024</t>
        </is>
      </c>
      <c r="B2293" s="1" t="n">
        <v>45587</v>
      </c>
      <c r="C2293" s="1" t="n">
        <v>45754</v>
      </c>
      <c r="D2293" t="inlineStr">
        <is>
          <t>JÄMTLANDS LÄN</t>
        </is>
      </c>
      <c r="E2293" t="inlineStr">
        <is>
          <t>BRÄCKE</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47747-2024</t>
        </is>
      </c>
      <c r="B2294" s="1" t="n">
        <v>45588</v>
      </c>
      <c r="C2294" s="1" t="n">
        <v>45754</v>
      </c>
      <c r="D2294" t="inlineStr">
        <is>
          <t>JÄMTLANDS LÄN</t>
        </is>
      </c>
      <c r="E2294" t="inlineStr">
        <is>
          <t>BRÄCKE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47748-2024</t>
        </is>
      </c>
      <c r="B2295" s="1" t="n">
        <v>45588</v>
      </c>
      <c r="C2295" s="1" t="n">
        <v>45754</v>
      </c>
      <c r="D2295" t="inlineStr">
        <is>
          <t>JÄMTLANDS LÄN</t>
        </is>
      </c>
      <c r="E2295" t="inlineStr">
        <is>
          <t>BRÄCKE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47729-2024</t>
        </is>
      </c>
      <c r="B2296" s="1" t="n">
        <v>45588</v>
      </c>
      <c r="C2296" s="1" t="n">
        <v>45754</v>
      </c>
      <c r="D2296" t="inlineStr">
        <is>
          <t>JÄMTLANDS LÄN</t>
        </is>
      </c>
      <c r="E2296" t="inlineStr">
        <is>
          <t>BRÄCKE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47746-2024</t>
        </is>
      </c>
      <c r="B2297" s="1" t="n">
        <v>45588</v>
      </c>
      <c r="C2297" s="1" t="n">
        <v>45754</v>
      </c>
      <c r="D2297" t="inlineStr">
        <is>
          <t>JÄMTLANDS LÄN</t>
        </is>
      </c>
      <c r="E2297" t="inlineStr">
        <is>
          <t>BRÄCKE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47845-2024</t>
        </is>
      </c>
      <c r="B2298" s="1" t="n">
        <v>45588</v>
      </c>
      <c r="C2298" s="1" t="n">
        <v>45754</v>
      </c>
      <c r="D2298" t="inlineStr">
        <is>
          <t>JÄMTLANDS LÄN</t>
        </is>
      </c>
      <c r="E2298" t="inlineStr">
        <is>
          <t>BRÄCKE</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47827-2024</t>
        </is>
      </c>
      <c r="B2299" s="1" t="n">
        <v>45588</v>
      </c>
      <c r="C2299" s="1" t="n">
        <v>45754</v>
      </c>
      <c r="D2299" t="inlineStr">
        <is>
          <t>JÄMTLANDS LÄN</t>
        </is>
      </c>
      <c r="E2299" t="inlineStr">
        <is>
          <t>BRÄCKE</t>
        </is>
      </c>
      <c r="G2299" t="n">
        <v>7.8</v>
      </c>
      <c r="H2299" t="n">
        <v>0</v>
      </c>
      <c r="I2299" t="n">
        <v>0</v>
      </c>
      <c r="J2299" t="n">
        <v>0</v>
      </c>
      <c r="K2299" t="n">
        <v>0</v>
      </c>
      <c r="L2299" t="n">
        <v>0</v>
      </c>
      <c r="M2299" t="n">
        <v>0</v>
      </c>
      <c r="N2299" t="n">
        <v>0</v>
      </c>
      <c r="O2299" t="n">
        <v>0</v>
      </c>
      <c r="P2299" t="n">
        <v>0</v>
      </c>
      <c r="Q2299" t="n">
        <v>0</v>
      </c>
      <c r="R2299" s="2" t="inlineStr"/>
    </row>
    <row r="2300" ht="15" customHeight="1">
      <c r="A2300" t="inlineStr">
        <is>
          <t>A 47934-2024</t>
        </is>
      </c>
      <c r="B2300" s="1" t="n">
        <v>45589</v>
      </c>
      <c r="C2300" s="1" t="n">
        <v>45754</v>
      </c>
      <c r="D2300" t="inlineStr">
        <is>
          <t>JÄMTLANDS LÄN</t>
        </is>
      </c>
      <c r="E2300" t="inlineStr">
        <is>
          <t>BRÄCKE</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48211-2024</t>
        </is>
      </c>
      <c r="B2301" s="1" t="n">
        <v>45590</v>
      </c>
      <c r="C2301" s="1" t="n">
        <v>45754</v>
      </c>
      <c r="D2301" t="inlineStr">
        <is>
          <t>JÄMTLANDS LÄN</t>
        </is>
      </c>
      <c r="E2301" t="inlineStr">
        <is>
          <t>BRÄCKE</t>
        </is>
      </c>
      <c r="F2301" t="inlineStr">
        <is>
          <t>SCA</t>
        </is>
      </c>
      <c r="G2301" t="n">
        <v>1.9</v>
      </c>
      <c r="H2301" t="n">
        <v>0</v>
      </c>
      <c r="I2301" t="n">
        <v>0</v>
      </c>
      <c r="J2301" t="n">
        <v>0</v>
      </c>
      <c r="K2301" t="n">
        <v>0</v>
      </c>
      <c r="L2301" t="n">
        <v>0</v>
      </c>
      <c r="M2301" t="n">
        <v>0</v>
      </c>
      <c r="N2301" t="n">
        <v>0</v>
      </c>
      <c r="O2301" t="n">
        <v>0</v>
      </c>
      <c r="P2301" t="n">
        <v>0</v>
      </c>
      <c r="Q2301" t="n">
        <v>0</v>
      </c>
      <c r="R2301" s="2" t="inlineStr"/>
      <c r="U2301">
        <f>HYPERLINK("https://klasma.github.io/Logging_2305/knärot/A 48211-2024 karta knärot.png", "A 48211-2024")</f>
        <v/>
      </c>
      <c r="V2301">
        <f>HYPERLINK("https://klasma.github.io/Logging_2305/klagomål/A 48211-2024 FSC-klagomål.docx", "A 48211-2024")</f>
        <v/>
      </c>
      <c r="W2301">
        <f>HYPERLINK("https://klasma.github.io/Logging_2305/klagomålsmail/A 48211-2024 FSC-klagomål mail.docx", "A 48211-2024")</f>
        <v/>
      </c>
      <c r="X2301">
        <f>HYPERLINK("https://klasma.github.io/Logging_2305/tillsyn/A 48211-2024 tillsynsbegäran.docx", "A 48211-2024")</f>
        <v/>
      </c>
      <c r="Y2301">
        <f>HYPERLINK("https://klasma.github.io/Logging_2305/tillsynsmail/A 48211-2024 tillsynsbegäran mail.docx", "A 48211-2024")</f>
        <v/>
      </c>
    </row>
    <row r="2302" ht="15" customHeight="1">
      <c r="A2302" t="inlineStr">
        <is>
          <t>A 48416-2024</t>
        </is>
      </c>
      <c r="B2302" s="1" t="n">
        <v>45590</v>
      </c>
      <c r="C2302" s="1" t="n">
        <v>45754</v>
      </c>
      <c r="D2302" t="inlineStr">
        <is>
          <t>JÄMTLANDS LÄN</t>
        </is>
      </c>
      <c r="E2302" t="inlineStr">
        <is>
          <t>BRÄCKE</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48342-2024</t>
        </is>
      </c>
      <c r="B2303" s="1" t="n">
        <v>45590</v>
      </c>
      <c r="C2303" s="1" t="n">
        <v>45754</v>
      </c>
      <c r="D2303" t="inlineStr">
        <is>
          <t>JÄMTLANDS LÄN</t>
        </is>
      </c>
      <c r="E2303" t="inlineStr">
        <is>
          <t>BRÄCKE</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48439-2024</t>
        </is>
      </c>
      <c r="B2304" s="1" t="n">
        <v>45590</v>
      </c>
      <c r="C2304" s="1" t="n">
        <v>45754</v>
      </c>
      <c r="D2304" t="inlineStr">
        <is>
          <t>JÄMTLANDS LÄN</t>
        </is>
      </c>
      <c r="E2304" t="inlineStr">
        <is>
          <t>BRÄCKE</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48398-2024</t>
        </is>
      </c>
      <c r="B2305" s="1" t="n">
        <v>45590</v>
      </c>
      <c r="C2305" s="1" t="n">
        <v>45754</v>
      </c>
      <c r="D2305" t="inlineStr">
        <is>
          <t>JÄMTLANDS LÄN</t>
        </is>
      </c>
      <c r="E2305" t="inlineStr">
        <is>
          <t>BRÄCKE</t>
        </is>
      </c>
      <c r="F2305" t="inlineStr">
        <is>
          <t>SCA</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48189-2024</t>
        </is>
      </c>
      <c r="B2306" s="1" t="n">
        <v>45590</v>
      </c>
      <c r="C2306" s="1" t="n">
        <v>45754</v>
      </c>
      <c r="D2306" t="inlineStr">
        <is>
          <t>JÄMTLANDS LÄN</t>
        </is>
      </c>
      <c r="E2306" t="inlineStr">
        <is>
          <t>BRÄCKE</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48440-2024</t>
        </is>
      </c>
      <c r="B2307" s="1" t="n">
        <v>45590</v>
      </c>
      <c r="C2307" s="1" t="n">
        <v>45754</v>
      </c>
      <c r="D2307" t="inlineStr">
        <is>
          <t>JÄMTLANDS LÄN</t>
        </is>
      </c>
      <c r="E2307" t="inlineStr">
        <is>
          <t>BRÄCKE</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48784-2024</t>
        </is>
      </c>
      <c r="B2308" s="1" t="n">
        <v>45593</v>
      </c>
      <c r="C2308" s="1" t="n">
        <v>45754</v>
      </c>
      <c r="D2308" t="inlineStr">
        <is>
          <t>JÄMTLANDS LÄN</t>
        </is>
      </c>
      <c r="E2308" t="inlineStr">
        <is>
          <t>BRÄCKE</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48554-2024</t>
        </is>
      </c>
      <c r="B2309" s="1" t="n">
        <v>45593</v>
      </c>
      <c r="C2309" s="1" t="n">
        <v>45754</v>
      </c>
      <c r="D2309" t="inlineStr">
        <is>
          <t>JÄMTLANDS LÄN</t>
        </is>
      </c>
      <c r="E2309" t="inlineStr">
        <is>
          <t>BRÄCKE</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49032-2024</t>
        </is>
      </c>
      <c r="B2310" s="1" t="n">
        <v>45594</v>
      </c>
      <c r="C2310" s="1" t="n">
        <v>45754</v>
      </c>
      <c r="D2310" t="inlineStr">
        <is>
          <t>JÄMTLANDS LÄN</t>
        </is>
      </c>
      <c r="E2310" t="inlineStr">
        <is>
          <t>BRÄCKE</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49097-2024</t>
        </is>
      </c>
      <c r="B2311" s="1" t="n">
        <v>45594</v>
      </c>
      <c r="C2311" s="1" t="n">
        <v>45754</v>
      </c>
      <c r="D2311" t="inlineStr">
        <is>
          <t>JÄMTLANDS LÄN</t>
        </is>
      </c>
      <c r="E2311" t="inlineStr">
        <is>
          <t>BRÄCKE</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49185-2024</t>
        </is>
      </c>
      <c r="B2312" s="1" t="n">
        <v>45595</v>
      </c>
      <c r="C2312" s="1" t="n">
        <v>45754</v>
      </c>
      <c r="D2312" t="inlineStr">
        <is>
          <t>JÄMTLANDS LÄN</t>
        </is>
      </c>
      <c r="E2312" t="inlineStr">
        <is>
          <t>BRÄCKE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49189-2024</t>
        </is>
      </c>
      <c r="B2313" s="1" t="n">
        <v>45595</v>
      </c>
      <c r="C2313" s="1" t="n">
        <v>45754</v>
      </c>
      <c r="D2313" t="inlineStr">
        <is>
          <t>JÄMTLANDS LÄN</t>
        </is>
      </c>
      <c r="E2313" t="inlineStr">
        <is>
          <t>BRÄCKE</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49339-2024</t>
        </is>
      </c>
      <c r="B2314" s="1" t="n">
        <v>45595</v>
      </c>
      <c r="C2314" s="1" t="n">
        <v>45754</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49338-2024</t>
        </is>
      </c>
      <c r="B2315" s="1" t="n">
        <v>45595</v>
      </c>
      <c r="C2315" s="1" t="n">
        <v>45754</v>
      </c>
      <c r="D2315" t="inlineStr">
        <is>
          <t>JÄMTLANDS LÄN</t>
        </is>
      </c>
      <c r="E2315" t="inlineStr">
        <is>
          <t>BRÄCKE</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49398-2024</t>
        </is>
      </c>
      <c r="B2316" s="1" t="n">
        <v>45595</v>
      </c>
      <c r="C2316" s="1" t="n">
        <v>45754</v>
      </c>
      <c r="D2316" t="inlineStr">
        <is>
          <t>JÄMTLANDS LÄN</t>
        </is>
      </c>
      <c r="E2316" t="inlineStr">
        <is>
          <t>BRÄCKE</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49399-2024</t>
        </is>
      </c>
      <c r="B2317" s="1" t="n">
        <v>45595</v>
      </c>
      <c r="C2317" s="1" t="n">
        <v>45754</v>
      </c>
      <c r="D2317" t="inlineStr">
        <is>
          <t>JÄMTLANDS LÄN</t>
        </is>
      </c>
      <c r="E2317" t="inlineStr">
        <is>
          <t>BRÄCKE</t>
        </is>
      </c>
      <c r="F2317" t="inlineStr">
        <is>
          <t>SCA</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49291-2024</t>
        </is>
      </c>
      <c r="B2318" s="1" t="n">
        <v>45595</v>
      </c>
      <c r="C2318" s="1" t="n">
        <v>45754</v>
      </c>
      <c r="D2318" t="inlineStr">
        <is>
          <t>JÄMTLANDS LÄN</t>
        </is>
      </c>
      <c r="E2318" t="inlineStr">
        <is>
          <t>BRÄCKE</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49400-2024</t>
        </is>
      </c>
      <c r="B2319" s="1" t="n">
        <v>45595</v>
      </c>
      <c r="C2319" s="1" t="n">
        <v>45754</v>
      </c>
      <c r="D2319" t="inlineStr">
        <is>
          <t>JÄMTLANDS LÄN</t>
        </is>
      </c>
      <c r="E2319" t="inlineStr">
        <is>
          <t>BRÄCKE</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49307-2024</t>
        </is>
      </c>
      <c r="B2320" s="1" t="n">
        <v>45595</v>
      </c>
      <c r="C2320" s="1" t="n">
        <v>45754</v>
      </c>
      <c r="D2320" t="inlineStr">
        <is>
          <t>JÄMTLANDS LÄN</t>
        </is>
      </c>
      <c r="E2320" t="inlineStr">
        <is>
          <t>BRÄCKE</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49712-2024</t>
        </is>
      </c>
      <c r="B2321" s="1" t="n">
        <v>45596</v>
      </c>
      <c r="C2321" s="1" t="n">
        <v>45754</v>
      </c>
      <c r="D2321" t="inlineStr">
        <is>
          <t>JÄMTLANDS LÄN</t>
        </is>
      </c>
      <c r="E2321" t="inlineStr">
        <is>
          <t>BRÄCKE</t>
        </is>
      </c>
      <c r="F2321" t="inlineStr">
        <is>
          <t>Naturvårdsverket</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49709-2024</t>
        </is>
      </c>
      <c r="B2322" s="1" t="n">
        <v>45596</v>
      </c>
      <c r="C2322" s="1" t="n">
        <v>45754</v>
      </c>
      <c r="D2322" t="inlineStr">
        <is>
          <t>JÄMTLANDS LÄN</t>
        </is>
      </c>
      <c r="E2322" t="inlineStr">
        <is>
          <t>BRÄCKE</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49721-2024</t>
        </is>
      </c>
      <c r="B2323" s="1" t="n">
        <v>45596</v>
      </c>
      <c r="C2323" s="1" t="n">
        <v>45754</v>
      </c>
      <c r="D2323" t="inlineStr">
        <is>
          <t>JÄMTLANDS LÄN</t>
        </is>
      </c>
      <c r="E2323" t="inlineStr">
        <is>
          <t>BRÄCKE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49526-2024</t>
        </is>
      </c>
      <c r="B2324" s="1" t="n">
        <v>45596</v>
      </c>
      <c r="C2324" s="1" t="n">
        <v>45754</v>
      </c>
      <c r="D2324" t="inlineStr">
        <is>
          <t>JÄMTLANDS LÄN</t>
        </is>
      </c>
      <c r="E2324" t="inlineStr">
        <is>
          <t>BRÄCKE</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49707-2024</t>
        </is>
      </c>
      <c r="B2325" s="1" t="n">
        <v>45596</v>
      </c>
      <c r="C2325" s="1" t="n">
        <v>45754</v>
      </c>
      <c r="D2325" t="inlineStr">
        <is>
          <t>JÄMTLANDS LÄN</t>
        </is>
      </c>
      <c r="E2325" t="inlineStr">
        <is>
          <t>BRÄCKE</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49591-2024</t>
        </is>
      </c>
      <c r="B2326" s="1" t="n">
        <v>45596</v>
      </c>
      <c r="C2326" s="1" t="n">
        <v>45754</v>
      </c>
      <c r="D2326" t="inlineStr">
        <is>
          <t>JÄMTLANDS LÄN</t>
        </is>
      </c>
      <c r="E2326" t="inlineStr">
        <is>
          <t>BRÄCKE</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49527-2024</t>
        </is>
      </c>
      <c r="B2327" s="1" t="n">
        <v>45596</v>
      </c>
      <c r="C2327" s="1" t="n">
        <v>45754</v>
      </c>
      <c r="D2327" t="inlineStr">
        <is>
          <t>JÄMTLANDS LÄN</t>
        </is>
      </c>
      <c r="E2327" t="inlineStr">
        <is>
          <t>BRÄCKE</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49951-2024</t>
        </is>
      </c>
      <c r="B2328" s="1" t="n">
        <v>45597</v>
      </c>
      <c r="C2328" s="1" t="n">
        <v>45754</v>
      </c>
      <c r="D2328" t="inlineStr">
        <is>
          <t>JÄMTLANDS LÄN</t>
        </is>
      </c>
      <c r="E2328" t="inlineStr">
        <is>
          <t>BRÄCKE</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50522-2024</t>
        </is>
      </c>
      <c r="B2329" s="1" t="n">
        <v>45601</v>
      </c>
      <c r="C2329" s="1" t="n">
        <v>45754</v>
      </c>
      <c r="D2329" t="inlineStr">
        <is>
          <t>JÄMTLANDS LÄN</t>
        </is>
      </c>
      <c r="E2329" t="inlineStr">
        <is>
          <t>BRÄCKE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50520-2024</t>
        </is>
      </c>
      <c r="B2330" s="1" t="n">
        <v>45601</v>
      </c>
      <c r="C2330" s="1" t="n">
        <v>45754</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50591-2024</t>
        </is>
      </c>
      <c r="B2331" s="1" t="n">
        <v>45601</v>
      </c>
      <c r="C2331" s="1" t="n">
        <v>45754</v>
      </c>
      <c r="D2331" t="inlineStr">
        <is>
          <t>JÄMTLANDS LÄN</t>
        </is>
      </c>
      <c r="E2331" t="inlineStr">
        <is>
          <t>BRÄCKE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50946-2024</t>
        </is>
      </c>
      <c r="B2332" s="1" t="n">
        <v>45602</v>
      </c>
      <c r="C2332" s="1" t="n">
        <v>45754</v>
      </c>
      <c r="D2332" t="inlineStr">
        <is>
          <t>JÄMTLANDS LÄN</t>
        </is>
      </c>
      <c r="E2332" t="inlineStr">
        <is>
          <t>BRÄCKE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50813-2024</t>
        </is>
      </c>
      <c r="B2333" s="1" t="n">
        <v>45602</v>
      </c>
      <c r="C2333" s="1" t="n">
        <v>45754</v>
      </c>
      <c r="D2333" t="inlineStr">
        <is>
          <t>JÄMTLANDS LÄN</t>
        </is>
      </c>
      <c r="E2333" t="inlineStr">
        <is>
          <t>BRÄCKE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51195-2024</t>
        </is>
      </c>
      <c r="B2334" s="1" t="n">
        <v>45603</v>
      </c>
      <c r="C2334" s="1" t="n">
        <v>45754</v>
      </c>
      <c r="D2334" t="inlineStr">
        <is>
          <t>JÄMTLANDS LÄN</t>
        </is>
      </c>
      <c r="E2334" t="inlineStr">
        <is>
          <t>BRÄCKE</t>
        </is>
      </c>
      <c r="F2334" t="inlineStr">
        <is>
          <t>SCA</t>
        </is>
      </c>
      <c r="G2334" t="n">
        <v>17.4</v>
      </c>
      <c r="H2334" t="n">
        <v>0</v>
      </c>
      <c r="I2334" t="n">
        <v>0</v>
      </c>
      <c r="J2334" t="n">
        <v>0</v>
      </c>
      <c r="K2334" t="n">
        <v>0</v>
      </c>
      <c r="L2334" t="n">
        <v>0</v>
      </c>
      <c r="M2334" t="n">
        <v>0</v>
      </c>
      <c r="N2334" t="n">
        <v>0</v>
      </c>
      <c r="O2334" t="n">
        <v>0</v>
      </c>
      <c r="P2334" t="n">
        <v>0</v>
      </c>
      <c r="Q2334" t="n">
        <v>0</v>
      </c>
      <c r="R2334" s="2" t="inlineStr"/>
    </row>
    <row r="2335" ht="15" customHeight="1">
      <c r="A2335" t="inlineStr">
        <is>
          <t>A 51068-2024</t>
        </is>
      </c>
      <c r="B2335" s="1" t="n">
        <v>45603</v>
      </c>
      <c r="C2335" s="1" t="n">
        <v>45754</v>
      </c>
      <c r="D2335" t="inlineStr">
        <is>
          <t>JÄMTLANDS LÄN</t>
        </is>
      </c>
      <c r="E2335" t="inlineStr">
        <is>
          <t>BRÄCKE</t>
        </is>
      </c>
      <c r="F2335" t="inlineStr">
        <is>
          <t>SCA</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51378-2024</t>
        </is>
      </c>
      <c r="B2336" s="1" t="n">
        <v>45604</v>
      </c>
      <c r="C2336" s="1" t="n">
        <v>45754</v>
      </c>
      <c r="D2336" t="inlineStr">
        <is>
          <t>JÄMTLANDS LÄN</t>
        </is>
      </c>
      <c r="E2336" t="inlineStr">
        <is>
          <t>BRÄCKE</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51416-2024</t>
        </is>
      </c>
      <c r="B2337" s="1" t="n">
        <v>45604</v>
      </c>
      <c r="C2337" s="1" t="n">
        <v>45754</v>
      </c>
      <c r="D2337" t="inlineStr">
        <is>
          <t>JÄMTLANDS LÄN</t>
        </is>
      </c>
      <c r="E2337" t="inlineStr">
        <is>
          <t>BRÄCKE</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51428-2024</t>
        </is>
      </c>
      <c r="B2338" s="1" t="n">
        <v>45604</v>
      </c>
      <c r="C2338" s="1" t="n">
        <v>45754</v>
      </c>
      <c r="D2338" t="inlineStr">
        <is>
          <t>JÄMTLANDS LÄN</t>
        </is>
      </c>
      <c r="E2338" t="inlineStr">
        <is>
          <t>BRÄCKE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51540-2024</t>
        </is>
      </c>
      <c r="B2339" s="1" t="n">
        <v>45604</v>
      </c>
      <c r="C2339" s="1" t="n">
        <v>45754</v>
      </c>
      <c r="D2339" t="inlineStr">
        <is>
          <t>JÄMTLANDS LÄN</t>
        </is>
      </c>
      <c r="E2339" t="inlineStr">
        <is>
          <t>BRÄCKE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51913-2024</t>
        </is>
      </c>
      <c r="B2340" s="1" t="n">
        <v>45607</v>
      </c>
      <c r="C2340" s="1" t="n">
        <v>45754</v>
      </c>
      <c r="D2340" t="inlineStr">
        <is>
          <t>JÄMTLANDS LÄN</t>
        </is>
      </c>
      <c r="E2340" t="inlineStr">
        <is>
          <t>BRÄCKE</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52229-2024</t>
        </is>
      </c>
      <c r="B2341" s="1" t="n">
        <v>45608</v>
      </c>
      <c r="C2341" s="1" t="n">
        <v>45754</v>
      </c>
      <c r="D2341" t="inlineStr">
        <is>
          <t>JÄMTLANDS LÄN</t>
        </is>
      </c>
      <c r="E2341" t="inlineStr">
        <is>
          <t>BRÄCKE</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52227-2024</t>
        </is>
      </c>
      <c r="B2342" s="1" t="n">
        <v>45608</v>
      </c>
      <c r="C2342" s="1" t="n">
        <v>45754</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52529-2024</t>
        </is>
      </c>
      <c r="B2343" s="1" t="n">
        <v>45609</v>
      </c>
      <c r="C2343" s="1" t="n">
        <v>45754</v>
      </c>
      <c r="D2343" t="inlineStr">
        <is>
          <t>JÄMTLANDS LÄN</t>
        </is>
      </c>
      <c r="E2343" t="inlineStr">
        <is>
          <t>BRÄCKE</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52610-2024</t>
        </is>
      </c>
      <c r="B2344" s="1" t="n">
        <v>45609</v>
      </c>
      <c r="C2344" s="1" t="n">
        <v>45754</v>
      </c>
      <c r="D2344" t="inlineStr">
        <is>
          <t>JÄMTLANDS LÄN</t>
        </is>
      </c>
      <c r="E2344" t="inlineStr">
        <is>
          <t>BRÄCKE</t>
        </is>
      </c>
      <c r="G2344" t="n">
        <v>16.7</v>
      </c>
      <c r="H2344" t="n">
        <v>0</v>
      </c>
      <c r="I2344" t="n">
        <v>0</v>
      </c>
      <c r="J2344" t="n">
        <v>0</v>
      </c>
      <c r="K2344" t="n">
        <v>0</v>
      </c>
      <c r="L2344" t="n">
        <v>0</v>
      </c>
      <c r="M2344" t="n">
        <v>0</v>
      </c>
      <c r="N2344" t="n">
        <v>0</v>
      </c>
      <c r="O2344" t="n">
        <v>0</v>
      </c>
      <c r="P2344" t="n">
        <v>0</v>
      </c>
      <c r="Q2344" t="n">
        <v>0</v>
      </c>
      <c r="R2344" s="2" t="inlineStr"/>
    </row>
    <row r="2345" ht="15" customHeight="1">
      <c r="A2345" t="inlineStr">
        <is>
          <t>A 53152-2024</t>
        </is>
      </c>
      <c r="B2345" s="1" t="n">
        <v>45611</v>
      </c>
      <c r="C2345" s="1" t="n">
        <v>45754</v>
      </c>
      <c r="D2345" t="inlineStr">
        <is>
          <t>JÄMTLANDS LÄN</t>
        </is>
      </c>
      <c r="E2345" t="inlineStr">
        <is>
          <t>BRÄCKE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53016-2024</t>
        </is>
      </c>
      <c r="B2346" s="1" t="n">
        <v>45611</v>
      </c>
      <c r="C2346" s="1" t="n">
        <v>45754</v>
      </c>
      <c r="D2346" t="inlineStr">
        <is>
          <t>JÄMTLANDS LÄN</t>
        </is>
      </c>
      <c r="E2346" t="inlineStr">
        <is>
          <t>BRÄCKE</t>
        </is>
      </c>
      <c r="F2346" t="inlineStr">
        <is>
          <t>SCA</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53200-2024</t>
        </is>
      </c>
      <c r="B2347" s="1" t="n">
        <v>45612</v>
      </c>
      <c r="C2347" s="1" t="n">
        <v>45754</v>
      </c>
      <c r="D2347" t="inlineStr">
        <is>
          <t>JÄMTLANDS LÄN</t>
        </is>
      </c>
      <c r="E2347" t="inlineStr">
        <is>
          <t>BRÄCKE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53273-2024</t>
        </is>
      </c>
      <c r="B2348" s="1" t="n">
        <v>45614</v>
      </c>
      <c r="C2348" s="1" t="n">
        <v>45754</v>
      </c>
      <c r="D2348" t="inlineStr">
        <is>
          <t>JÄMTLANDS LÄN</t>
        </is>
      </c>
      <c r="E2348" t="inlineStr">
        <is>
          <t>BRÄCKE</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53578-2024</t>
        </is>
      </c>
      <c r="B2349" s="1" t="n">
        <v>45614</v>
      </c>
      <c r="C2349" s="1" t="n">
        <v>45754</v>
      </c>
      <c r="D2349" t="inlineStr">
        <is>
          <t>JÄMTLANDS LÄN</t>
        </is>
      </c>
      <c r="E2349" t="inlineStr">
        <is>
          <t>BRÄCKE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53608-2024</t>
        </is>
      </c>
      <c r="B2350" s="1" t="n">
        <v>45614</v>
      </c>
      <c r="C2350" s="1" t="n">
        <v>45754</v>
      </c>
      <c r="D2350" t="inlineStr">
        <is>
          <t>JÄMTLANDS LÄN</t>
        </is>
      </c>
      <c r="E2350" t="inlineStr">
        <is>
          <t>BRÄCKE</t>
        </is>
      </c>
      <c r="F2350" t="inlineStr">
        <is>
          <t>SCA</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53560-2024</t>
        </is>
      </c>
      <c r="B2351" s="1" t="n">
        <v>45614</v>
      </c>
      <c r="C2351" s="1" t="n">
        <v>45754</v>
      </c>
      <c r="D2351" t="inlineStr">
        <is>
          <t>JÄMTLANDS LÄN</t>
        </is>
      </c>
      <c r="E2351" t="inlineStr">
        <is>
          <t>BRÄCKE</t>
        </is>
      </c>
      <c r="F2351" t="inlineStr">
        <is>
          <t>SCA</t>
        </is>
      </c>
      <c r="G2351" t="n">
        <v>22.1</v>
      </c>
      <c r="H2351" t="n">
        <v>0</v>
      </c>
      <c r="I2351" t="n">
        <v>0</v>
      </c>
      <c r="J2351" t="n">
        <v>0</v>
      </c>
      <c r="K2351" t="n">
        <v>0</v>
      </c>
      <c r="L2351" t="n">
        <v>0</v>
      </c>
      <c r="M2351" t="n">
        <v>0</v>
      </c>
      <c r="N2351" t="n">
        <v>0</v>
      </c>
      <c r="O2351" t="n">
        <v>0</v>
      </c>
      <c r="P2351" t="n">
        <v>0</v>
      </c>
      <c r="Q2351" t="n">
        <v>0</v>
      </c>
      <c r="R2351" s="2" t="inlineStr"/>
    </row>
    <row r="2352" ht="15" customHeight="1">
      <c r="A2352" t="inlineStr">
        <is>
          <t>A 53604-2024</t>
        </is>
      </c>
      <c r="B2352" s="1" t="n">
        <v>45614</v>
      </c>
      <c r="C2352" s="1" t="n">
        <v>45754</v>
      </c>
      <c r="D2352" t="inlineStr">
        <is>
          <t>JÄMTLANDS LÄN</t>
        </is>
      </c>
      <c r="E2352" t="inlineStr">
        <is>
          <t>BRÄCKE</t>
        </is>
      </c>
      <c r="F2352" t="inlineStr">
        <is>
          <t>SCA</t>
        </is>
      </c>
      <c r="G2352" t="n">
        <v>10.1</v>
      </c>
      <c r="H2352" t="n">
        <v>0</v>
      </c>
      <c r="I2352" t="n">
        <v>0</v>
      </c>
      <c r="J2352" t="n">
        <v>0</v>
      </c>
      <c r="K2352" t="n">
        <v>0</v>
      </c>
      <c r="L2352" t="n">
        <v>0</v>
      </c>
      <c r="M2352" t="n">
        <v>0</v>
      </c>
      <c r="N2352" t="n">
        <v>0</v>
      </c>
      <c r="O2352" t="n">
        <v>0</v>
      </c>
      <c r="P2352" t="n">
        <v>0</v>
      </c>
      <c r="Q2352" t="n">
        <v>0</v>
      </c>
      <c r="R2352" s="2" t="inlineStr"/>
    </row>
    <row r="2353" ht="15" customHeight="1">
      <c r="A2353" t="inlineStr">
        <is>
          <t>A 53260-2024</t>
        </is>
      </c>
      <c r="B2353" s="1" t="n">
        <v>45614</v>
      </c>
      <c r="C2353" s="1" t="n">
        <v>45754</v>
      </c>
      <c r="D2353" t="inlineStr">
        <is>
          <t>JÄMTLANDS LÄN</t>
        </is>
      </c>
      <c r="E2353" t="inlineStr">
        <is>
          <t>BRÄCKE</t>
        </is>
      </c>
      <c r="F2353" t="inlineStr">
        <is>
          <t>SCA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53696-2024</t>
        </is>
      </c>
      <c r="B2354" s="1" t="n">
        <v>45615</v>
      </c>
      <c r="C2354" s="1" t="n">
        <v>45754</v>
      </c>
      <c r="D2354" t="inlineStr">
        <is>
          <t>JÄMTLANDS LÄN</t>
        </is>
      </c>
      <c r="E2354" t="inlineStr">
        <is>
          <t>BRÄCKE</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53724-2024</t>
        </is>
      </c>
      <c r="B2355" s="1" t="n">
        <v>45615</v>
      </c>
      <c r="C2355" s="1" t="n">
        <v>45754</v>
      </c>
      <c r="D2355" t="inlineStr">
        <is>
          <t>JÄMTLANDS LÄN</t>
        </is>
      </c>
      <c r="E2355" t="inlineStr">
        <is>
          <t>BRÄCKE</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53806-2024</t>
        </is>
      </c>
      <c r="B2356" s="1" t="n">
        <v>45615</v>
      </c>
      <c r="C2356" s="1" t="n">
        <v>45754</v>
      </c>
      <c r="D2356" t="inlineStr">
        <is>
          <t>JÄMTLANDS LÄN</t>
        </is>
      </c>
      <c r="E2356" t="inlineStr">
        <is>
          <t>BRÄCKE</t>
        </is>
      </c>
      <c r="F2356" t="inlineStr">
        <is>
          <t>SCA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54479-2024</t>
        </is>
      </c>
      <c r="B2357" s="1" t="n">
        <v>45617</v>
      </c>
      <c r="C2357" s="1" t="n">
        <v>45754</v>
      </c>
      <c r="D2357" t="inlineStr">
        <is>
          <t>JÄMTLANDS LÄN</t>
        </is>
      </c>
      <c r="E2357" t="inlineStr">
        <is>
          <t>BRÄCKE</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54863-2024</t>
        </is>
      </c>
      <c r="B2358" s="1" t="n">
        <v>45618</v>
      </c>
      <c r="C2358" s="1" t="n">
        <v>45754</v>
      </c>
      <c r="D2358" t="inlineStr">
        <is>
          <t>JÄMTLANDS LÄN</t>
        </is>
      </c>
      <c r="E2358" t="inlineStr">
        <is>
          <t>BRÄCKE</t>
        </is>
      </c>
      <c r="F2358" t="inlineStr">
        <is>
          <t>SCA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54865-2024</t>
        </is>
      </c>
      <c r="B2359" s="1" t="n">
        <v>45618</v>
      </c>
      <c r="C2359" s="1" t="n">
        <v>45754</v>
      </c>
      <c r="D2359" t="inlineStr">
        <is>
          <t>JÄMTLANDS LÄN</t>
        </is>
      </c>
      <c r="E2359" t="inlineStr">
        <is>
          <t>BRÄCKE</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55247-2024</t>
        </is>
      </c>
      <c r="B2360" s="1" t="n">
        <v>45621</v>
      </c>
      <c r="C2360" s="1" t="n">
        <v>45754</v>
      </c>
      <c r="D2360" t="inlineStr">
        <is>
          <t>JÄMTLANDS LÄN</t>
        </is>
      </c>
      <c r="E2360" t="inlineStr">
        <is>
          <t>BRÄCKE</t>
        </is>
      </c>
      <c r="F2360" t="inlineStr">
        <is>
          <t>SCA</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55221-2024</t>
        </is>
      </c>
      <c r="B2361" s="1" t="n">
        <v>45621</v>
      </c>
      <c r="C2361" s="1" t="n">
        <v>45754</v>
      </c>
      <c r="D2361" t="inlineStr">
        <is>
          <t>JÄMTLANDS LÄN</t>
        </is>
      </c>
      <c r="E2361" t="inlineStr">
        <is>
          <t>BRÄCKE</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55436-2024</t>
        </is>
      </c>
      <c r="B2362" s="1" t="n">
        <v>45622</v>
      </c>
      <c r="C2362" s="1" t="n">
        <v>45754</v>
      </c>
      <c r="D2362" t="inlineStr">
        <is>
          <t>JÄMTLANDS LÄN</t>
        </is>
      </c>
      <c r="E2362" t="inlineStr">
        <is>
          <t>BRÄCKE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55506-2024</t>
        </is>
      </c>
      <c r="B2363" s="1" t="n">
        <v>45622</v>
      </c>
      <c r="C2363" s="1" t="n">
        <v>45754</v>
      </c>
      <c r="D2363" t="inlineStr">
        <is>
          <t>JÄMTLANDS LÄN</t>
        </is>
      </c>
      <c r="E2363" t="inlineStr">
        <is>
          <t>BRÄCKE</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55478-2024</t>
        </is>
      </c>
      <c r="B2364" s="1" t="n">
        <v>45622</v>
      </c>
      <c r="C2364" s="1" t="n">
        <v>45754</v>
      </c>
      <c r="D2364" t="inlineStr">
        <is>
          <t>JÄMTLANDS LÄN</t>
        </is>
      </c>
      <c r="E2364" t="inlineStr">
        <is>
          <t>BRÄCKE</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55621-2024</t>
        </is>
      </c>
      <c r="B2365" s="1" t="n">
        <v>45622</v>
      </c>
      <c r="C2365" s="1" t="n">
        <v>45754</v>
      </c>
      <c r="D2365" t="inlineStr">
        <is>
          <t>JÄMTLANDS LÄN</t>
        </is>
      </c>
      <c r="E2365" t="inlineStr">
        <is>
          <t>BRÄCKE</t>
        </is>
      </c>
      <c r="F2365" t="inlineStr">
        <is>
          <t>SCA</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55468-2024</t>
        </is>
      </c>
      <c r="B2366" s="1" t="n">
        <v>45622</v>
      </c>
      <c r="C2366" s="1" t="n">
        <v>45754</v>
      </c>
      <c r="D2366" t="inlineStr">
        <is>
          <t>JÄMTLANDS LÄN</t>
        </is>
      </c>
      <c r="E2366" t="inlineStr">
        <is>
          <t>BRÄCKE</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55791-2024</t>
        </is>
      </c>
      <c r="B2367" s="1" t="n">
        <v>45623</v>
      </c>
      <c r="C2367" s="1" t="n">
        <v>45754</v>
      </c>
      <c r="D2367" t="inlineStr">
        <is>
          <t>JÄMTLANDS LÄN</t>
        </is>
      </c>
      <c r="E2367" t="inlineStr">
        <is>
          <t>BRÄCKE</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55977-2024</t>
        </is>
      </c>
      <c r="B2368" s="1" t="n">
        <v>45623</v>
      </c>
      <c r="C2368" s="1" t="n">
        <v>45754</v>
      </c>
      <c r="D2368" t="inlineStr">
        <is>
          <t>JÄMTLANDS LÄN</t>
        </is>
      </c>
      <c r="E2368" t="inlineStr">
        <is>
          <t>BRÄCKE</t>
        </is>
      </c>
      <c r="F2368" t="inlineStr">
        <is>
          <t>SCA</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55976-2024</t>
        </is>
      </c>
      <c r="B2369" s="1" t="n">
        <v>45623</v>
      </c>
      <c r="C2369" s="1" t="n">
        <v>45754</v>
      </c>
      <c r="D2369" t="inlineStr">
        <is>
          <t>JÄMTLANDS LÄN</t>
        </is>
      </c>
      <c r="E2369" t="inlineStr">
        <is>
          <t>BRÄCKE</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55997-2024</t>
        </is>
      </c>
      <c r="B2370" s="1" t="n">
        <v>45623</v>
      </c>
      <c r="C2370" s="1" t="n">
        <v>45754</v>
      </c>
      <c r="D2370" t="inlineStr">
        <is>
          <t>JÄMTLANDS LÄN</t>
        </is>
      </c>
      <c r="E2370" t="inlineStr">
        <is>
          <t>BRÄCKE</t>
        </is>
      </c>
      <c r="F2370" t="inlineStr">
        <is>
          <t>SCA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56235-2024</t>
        </is>
      </c>
      <c r="B2371" s="1" t="n">
        <v>45624</v>
      </c>
      <c r="C2371" s="1" t="n">
        <v>45754</v>
      </c>
      <c r="D2371" t="inlineStr">
        <is>
          <t>JÄMTLANDS LÄN</t>
        </is>
      </c>
      <c r="E2371" t="inlineStr">
        <is>
          <t>BRÄCKE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56047-2024</t>
        </is>
      </c>
      <c r="B2372" s="1" t="n">
        <v>45624</v>
      </c>
      <c r="C2372" s="1" t="n">
        <v>45754</v>
      </c>
      <c r="D2372" t="inlineStr">
        <is>
          <t>JÄMTLANDS LÄN</t>
        </is>
      </c>
      <c r="E2372" t="inlineStr">
        <is>
          <t>BRÄCKE</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56429-2024</t>
        </is>
      </c>
      <c r="B2373" s="1" t="n">
        <v>45625</v>
      </c>
      <c r="C2373" s="1" t="n">
        <v>45754</v>
      </c>
      <c r="D2373" t="inlineStr">
        <is>
          <t>JÄMTLANDS LÄN</t>
        </is>
      </c>
      <c r="E2373" t="inlineStr">
        <is>
          <t>BRÄCKE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56493-2024</t>
        </is>
      </c>
      <c r="B2374" s="1" t="n">
        <v>45625</v>
      </c>
      <c r="C2374" s="1" t="n">
        <v>45754</v>
      </c>
      <c r="D2374" t="inlineStr">
        <is>
          <t>JÄMTLANDS LÄN</t>
        </is>
      </c>
      <c r="E2374" t="inlineStr">
        <is>
          <t>BRÄCKE</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56505-2024</t>
        </is>
      </c>
      <c r="B2375" s="1" t="n">
        <v>45625</v>
      </c>
      <c r="C2375" s="1" t="n">
        <v>45754</v>
      </c>
      <c r="D2375" t="inlineStr">
        <is>
          <t>JÄMTLANDS LÄN</t>
        </is>
      </c>
      <c r="E2375" t="inlineStr">
        <is>
          <t>BRÄCKE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56372-2024</t>
        </is>
      </c>
      <c r="B2376" s="1" t="n">
        <v>45625</v>
      </c>
      <c r="C2376" s="1" t="n">
        <v>45754</v>
      </c>
      <c r="D2376" t="inlineStr">
        <is>
          <t>JÄMTLANDS LÄN</t>
        </is>
      </c>
      <c r="E2376" t="inlineStr">
        <is>
          <t>BRÄCKE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56432-2024</t>
        </is>
      </c>
      <c r="B2377" s="1" t="n">
        <v>45625</v>
      </c>
      <c r="C2377" s="1" t="n">
        <v>45754</v>
      </c>
      <c r="D2377" t="inlineStr">
        <is>
          <t>JÄMTLANDS LÄN</t>
        </is>
      </c>
      <c r="E2377" t="inlineStr">
        <is>
          <t>BRÄCKE</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56491-2024</t>
        </is>
      </c>
      <c r="B2378" s="1" t="n">
        <v>45625</v>
      </c>
      <c r="C2378" s="1" t="n">
        <v>45754</v>
      </c>
      <c r="D2378" t="inlineStr">
        <is>
          <t>JÄMTLANDS LÄN</t>
        </is>
      </c>
      <c r="E2378" t="inlineStr">
        <is>
          <t>BRÄCKE</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56963-2024</t>
        </is>
      </c>
      <c r="B2379" s="1" t="n">
        <v>45628</v>
      </c>
      <c r="C2379" s="1" t="n">
        <v>45754</v>
      </c>
      <c r="D2379" t="inlineStr">
        <is>
          <t>JÄMTLANDS LÄN</t>
        </is>
      </c>
      <c r="E2379" t="inlineStr">
        <is>
          <t>BRÄCKE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57066-2024</t>
        </is>
      </c>
      <c r="B2380" s="1" t="n">
        <v>45629</v>
      </c>
      <c r="C2380" s="1" t="n">
        <v>45754</v>
      </c>
      <c r="D2380" t="inlineStr">
        <is>
          <t>JÄMTLANDS LÄN</t>
        </is>
      </c>
      <c r="E2380" t="inlineStr">
        <is>
          <t>BRÄCKE</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57070-2024</t>
        </is>
      </c>
      <c r="B2381" s="1" t="n">
        <v>45629</v>
      </c>
      <c r="C2381" s="1" t="n">
        <v>45754</v>
      </c>
      <c r="D2381" t="inlineStr">
        <is>
          <t>JÄMTLANDS LÄN</t>
        </is>
      </c>
      <c r="E2381" t="inlineStr">
        <is>
          <t>BRÄCKE</t>
        </is>
      </c>
      <c r="F2381" t="inlineStr">
        <is>
          <t>SCA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57088-2024</t>
        </is>
      </c>
      <c r="B2382" s="1" t="n">
        <v>45629</v>
      </c>
      <c r="C2382" s="1" t="n">
        <v>45754</v>
      </c>
      <c r="D2382" t="inlineStr">
        <is>
          <t>JÄMTLANDS LÄN</t>
        </is>
      </c>
      <c r="E2382" t="inlineStr">
        <is>
          <t>BRÄCKE</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57096-2024</t>
        </is>
      </c>
      <c r="B2383" s="1" t="n">
        <v>45629</v>
      </c>
      <c r="C2383" s="1" t="n">
        <v>45754</v>
      </c>
      <c r="D2383" t="inlineStr">
        <is>
          <t>JÄMTLANDS LÄN</t>
        </is>
      </c>
      <c r="E2383" t="inlineStr">
        <is>
          <t>BRÄCKE</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57121-2024</t>
        </is>
      </c>
      <c r="B2384" s="1" t="n">
        <v>45629</v>
      </c>
      <c r="C2384" s="1" t="n">
        <v>45754</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57069-2024</t>
        </is>
      </c>
      <c r="B2385" s="1" t="n">
        <v>45629</v>
      </c>
      <c r="C2385" s="1" t="n">
        <v>45754</v>
      </c>
      <c r="D2385" t="inlineStr">
        <is>
          <t>JÄMTLANDS LÄN</t>
        </is>
      </c>
      <c r="E2385" t="inlineStr">
        <is>
          <t>BRÄCKE</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57184-2024</t>
        </is>
      </c>
      <c r="B2386" s="1" t="n">
        <v>45629</v>
      </c>
      <c r="C2386" s="1" t="n">
        <v>45754</v>
      </c>
      <c r="D2386" t="inlineStr">
        <is>
          <t>JÄMTLANDS LÄN</t>
        </is>
      </c>
      <c r="E2386" t="inlineStr">
        <is>
          <t>BRÄCKE</t>
        </is>
      </c>
      <c r="G2386" t="n">
        <v>12.5</v>
      </c>
      <c r="H2386" t="n">
        <v>0</v>
      </c>
      <c r="I2386" t="n">
        <v>0</v>
      </c>
      <c r="J2386" t="n">
        <v>0</v>
      </c>
      <c r="K2386" t="n">
        <v>0</v>
      </c>
      <c r="L2386" t="n">
        <v>0</v>
      </c>
      <c r="M2386" t="n">
        <v>0</v>
      </c>
      <c r="N2386" t="n">
        <v>0</v>
      </c>
      <c r="O2386" t="n">
        <v>0</v>
      </c>
      <c r="P2386" t="n">
        <v>0</v>
      </c>
      <c r="Q2386" t="n">
        <v>0</v>
      </c>
      <c r="R2386" s="2" t="inlineStr"/>
    </row>
    <row r="2387" ht="15" customHeight="1">
      <c r="A2387" t="inlineStr">
        <is>
          <t>A 57473-2024</t>
        </is>
      </c>
      <c r="B2387" s="1" t="n">
        <v>45630</v>
      </c>
      <c r="C2387" s="1" t="n">
        <v>45754</v>
      </c>
      <c r="D2387" t="inlineStr">
        <is>
          <t>JÄMTLANDS LÄN</t>
        </is>
      </c>
      <c r="E2387" t="inlineStr">
        <is>
          <t>BRÄCKE</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57605-2024</t>
        </is>
      </c>
      <c r="B2388" s="1" t="n">
        <v>45630</v>
      </c>
      <c r="C2388" s="1" t="n">
        <v>45754</v>
      </c>
      <c r="D2388" t="inlineStr">
        <is>
          <t>JÄMTLANDS LÄN</t>
        </is>
      </c>
      <c r="E2388" t="inlineStr">
        <is>
          <t>BRÄCKE</t>
        </is>
      </c>
      <c r="F2388" t="inlineStr">
        <is>
          <t>SCA</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57586-2024</t>
        </is>
      </c>
      <c r="B2389" s="1" t="n">
        <v>45630</v>
      </c>
      <c r="C2389" s="1" t="n">
        <v>45754</v>
      </c>
      <c r="D2389" t="inlineStr">
        <is>
          <t>JÄMTLANDS LÄN</t>
        </is>
      </c>
      <c r="E2389" t="inlineStr">
        <is>
          <t>BRÄCKE</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57590-2024</t>
        </is>
      </c>
      <c r="B2390" s="1" t="n">
        <v>45630</v>
      </c>
      <c r="C2390" s="1" t="n">
        <v>45754</v>
      </c>
      <c r="D2390" t="inlineStr">
        <is>
          <t>JÄMTLANDS LÄN</t>
        </is>
      </c>
      <c r="E2390" t="inlineStr">
        <is>
          <t>BRÄCKE</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57610-2024</t>
        </is>
      </c>
      <c r="B2391" s="1" t="n">
        <v>45630</v>
      </c>
      <c r="C2391" s="1" t="n">
        <v>45754</v>
      </c>
      <c r="D2391" t="inlineStr">
        <is>
          <t>JÄMTLANDS LÄN</t>
        </is>
      </c>
      <c r="E2391" t="inlineStr">
        <is>
          <t>BRÄCKE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57615-2024</t>
        </is>
      </c>
      <c r="B2392" s="1" t="n">
        <v>45630</v>
      </c>
      <c r="C2392" s="1" t="n">
        <v>45754</v>
      </c>
      <c r="D2392" t="inlineStr">
        <is>
          <t>JÄMTLANDS LÄN</t>
        </is>
      </c>
      <c r="E2392" t="inlineStr">
        <is>
          <t>BRÄCKE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57623-2024</t>
        </is>
      </c>
      <c r="B2393" s="1" t="n">
        <v>45630</v>
      </c>
      <c r="C2393" s="1" t="n">
        <v>45754</v>
      </c>
      <c r="D2393" t="inlineStr">
        <is>
          <t>JÄMTLANDS LÄN</t>
        </is>
      </c>
      <c r="E2393" t="inlineStr">
        <is>
          <t>BRÄCKE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57973-2024</t>
        </is>
      </c>
      <c r="B2394" s="1" t="n">
        <v>45631</v>
      </c>
      <c r="C2394" s="1" t="n">
        <v>45754</v>
      </c>
      <c r="D2394" t="inlineStr">
        <is>
          <t>JÄMTLANDS LÄN</t>
        </is>
      </c>
      <c r="E2394" t="inlineStr">
        <is>
          <t>BRÄCKE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58086-2024</t>
        </is>
      </c>
      <c r="B2395" s="1" t="n">
        <v>45632</v>
      </c>
      <c r="C2395" s="1" t="n">
        <v>45754</v>
      </c>
      <c r="D2395" t="inlineStr">
        <is>
          <t>JÄMTLANDS LÄN</t>
        </is>
      </c>
      <c r="E2395" t="inlineStr">
        <is>
          <t>BRÄCKE</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58369-2024</t>
        </is>
      </c>
      <c r="B2396" s="1" t="n">
        <v>45632</v>
      </c>
      <c r="C2396" s="1" t="n">
        <v>45754</v>
      </c>
      <c r="D2396" t="inlineStr">
        <is>
          <t>JÄMTLANDS LÄN</t>
        </is>
      </c>
      <c r="E2396" t="inlineStr">
        <is>
          <t>BRÄCKE</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58449-2024</t>
        </is>
      </c>
      <c r="B2397" s="1" t="n">
        <v>45635</v>
      </c>
      <c r="C2397" s="1" t="n">
        <v>45754</v>
      </c>
      <c r="D2397" t="inlineStr">
        <is>
          <t>JÄMTLANDS LÄN</t>
        </is>
      </c>
      <c r="E2397" t="inlineStr">
        <is>
          <t>BRÄCKE</t>
        </is>
      </c>
      <c r="F2397" t="inlineStr">
        <is>
          <t>SCA</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58537-2024</t>
        </is>
      </c>
      <c r="B2398" s="1" t="n">
        <v>45635</v>
      </c>
      <c r="C2398" s="1" t="n">
        <v>45754</v>
      </c>
      <c r="D2398" t="inlineStr">
        <is>
          <t>JÄMTLANDS LÄN</t>
        </is>
      </c>
      <c r="E2398" t="inlineStr">
        <is>
          <t>BRÄCKE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58491-2024</t>
        </is>
      </c>
      <c r="B2399" s="1" t="n">
        <v>45635</v>
      </c>
      <c r="C2399" s="1" t="n">
        <v>45754</v>
      </c>
      <c r="D2399" t="inlineStr">
        <is>
          <t>JÄMTLANDS LÄN</t>
        </is>
      </c>
      <c r="E2399" t="inlineStr">
        <is>
          <t>BRÄCKE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59059-2024</t>
        </is>
      </c>
      <c r="B2400" s="1" t="n">
        <v>45636</v>
      </c>
      <c r="C2400" s="1" t="n">
        <v>45754</v>
      </c>
      <c r="D2400" t="inlineStr">
        <is>
          <t>JÄMTLANDS LÄN</t>
        </is>
      </c>
      <c r="E2400" t="inlineStr">
        <is>
          <t>BRÄCKE</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58903-2024</t>
        </is>
      </c>
      <c r="B2401" s="1" t="n">
        <v>45636</v>
      </c>
      <c r="C2401" s="1" t="n">
        <v>45754</v>
      </c>
      <c r="D2401" t="inlineStr">
        <is>
          <t>JÄMTLANDS LÄN</t>
        </is>
      </c>
      <c r="E2401" t="inlineStr">
        <is>
          <t>BRÄCKE</t>
        </is>
      </c>
      <c r="F2401" t="inlineStr">
        <is>
          <t>Övriga Aktiebolag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58848-2024</t>
        </is>
      </c>
      <c r="B2402" s="1" t="n">
        <v>45636</v>
      </c>
      <c r="C2402" s="1" t="n">
        <v>45754</v>
      </c>
      <c r="D2402" t="inlineStr">
        <is>
          <t>JÄMTLANDS LÄN</t>
        </is>
      </c>
      <c r="E2402" t="inlineStr">
        <is>
          <t>BRÄCKE</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59008-2024</t>
        </is>
      </c>
      <c r="B2403" s="1" t="n">
        <v>45636</v>
      </c>
      <c r="C2403" s="1" t="n">
        <v>45754</v>
      </c>
      <c r="D2403" t="inlineStr">
        <is>
          <t>JÄMTLANDS LÄN</t>
        </is>
      </c>
      <c r="E2403" t="inlineStr">
        <is>
          <t>BRÄCKE</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59021-2024</t>
        </is>
      </c>
      <c r="B2404" s="1" t="n">
        <v>45636</v>
      </c>
      <c r="C2404" s="1" t="n">
        <v>45754</v>
      </c>
      <c r="D2404" t="inlineStr">
        <is>
          <t>JÄMTLANDS LÄN</t>
        </is>
      </c>
      <c r="E2404" t="inlineStr">
        <is>
          <t>BRÄCKE</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59245-2024</t>
        </is>
      </c>
      <c r="B2405" s="1" t="n">
        <v>45637</v>
      </c>
      <c r="C2405" s="1" t="n">
        <v>45754</v>
      </c>
      <c r="D2405" t="inlineStr">
        <is>
          <t>JÄMTLANDS LÄN</t>
        </is>
      </c>
      <c r="E2405" t="inlineStr">
        <is>
          <t>BRÄCKE</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59746-2024</t>
        </is>
      </c>
      <c r="B2406" s="1" t="n">
        <v>45638</v>
      </c>
      <c r="C2406" s="1" t="n">
        <v>45754</v>
      </c>
      <c r="D2406" t="inlineStr">
        <is>
          <t>JÄMTLANDS LÄN</t>
        </is>
      </c>
      <c r="E2406" t="inlineStr">
        <is>
          <t>BRÄCKE</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59774-2024</t>
        </is>
      </c>
      <c r="B2407" s="1" t="n">
        <v>45639</v>
      </c>
      <c r="C2407" s="1" t="n">
        <v>45754</v>
      </c>
      <c r="D2407" t="inlineStr">
        <is>
          <t>JÄMTLANDS LÄN</t>
        </is>
      </c>
      <c r="E2407" t="inlineStr">
        <is>
          <t>BRÄCKE</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59846-2024</t>
        </is>
      </c>
      <c r="B2408" s="1" t="n">
        <v>45639</v>
      </c>
      <c r="C2408" s="1" t="n">
        <v>45754</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59760-2024</t>
        </is>
      </c>
      <c r="B2409" s="1" t="n">
        <v>45639</v>
      </c>
      <c r="C2409" s="1" t="n">
        <v>45754</v>
      </c>
      <c r="D2409" t="inlineStr">
        <is>
          <t>JÄMTLANDS LÄN</t>
        </is>
      </c>
      <c r="E2409" t="inlineStr">
        <is>
          <t>BRÄCKE</t>
        </is>
      </c>
      <c r="F2409" t="inlineStr">
        <is>
          <t>SCA</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59650-2024</t>
        </is>
      </c>
      <c r="B2410" s="1" t="n">
        <v>45639</v>
      </c>
      <c r="C2410" s="1" t="n">
        <v>45754</v>
      </c>
      <c r="D2410" t="inlineStr">
        <is>
          <t>JÄMTLANDS LÄN</t>
        </is>
      </c>
      <c r="E2410" t="inlineStr">
        <is>
          <t>BRÄCKE</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60150-2024</t>
        </is>
      </c>
      <c r="B2411" s="1" t="n">
        <v>45639</v>
      </c>
      <c r="C2411" s="1" t="n">
        <v>45754</v>
      </c>
      <c r="D2411" t="inlineStr">
        <is>
          <t>JÄMTLANDS LÄN</t>
        </is>
      </c>
      <c r="E2411" t="inlineStr">
        <is>
          <t>BRÄCKE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59763-2024</t>
        </is>
      </c>
      <c r="B2412" s="1" t="n">
        <v>45639</v>
      </c>
      <c r="C2412" s="1" t="n">
        <v>45754</v>
      </c>
      <c r="D2412" t="inlineStr">
        <is>
          <t>JÄMTLANDS LÄN</t>
        </is>
      </c>
      <c r="E2412" t="inlineStr">
        <is>
          <t>BRÄCKE</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60196-2024</t>
        </is>
      </c>
      <c r="B2413" s="1" t="n">
        <v>45642</v>
      </c>
      <c r="C2413" s="1" t="n">
        <v>45754</v>
      </c>
      <c r="D2413" t="inlineStr">
        <is>
          <t>JÄMTLANDS LÄN</t>
        </is>
      </c>
      <c r="E2413" t="inlineStr">
        <is>
          <t>BRÄCKE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60182-2024</t>
        </is>
      </c>
      <c r="B2414" s="1" t="n">
        <v>45642</v>
      </c>
      <c r="C2414" s="1" t="n">
        <v>45754</v>
      </c>
      <c r="D2414" t="inlineStr">
        <is>
          <t>JÄMTLANDS LÄN</t>
        </is>
      </c>
      <c r="E2414" t="inlineStr">
        <is>
          <t>BRÄCKE</t>
        </is>
      </c>
      <c r="G2414" t="n">
        <v>12.1</v>
      </c>
      <c r="H2414" t="n">
        <v>0</v>
      </c>
      <c r="I2414" t="n">
        <v>0</v>
      </c>
      <c r="J2414" t="n">
        <v>0</v>
      </c>
      <c r="K2414" t="n">
        <v>0</v>
      </c>
      <c r="L2414" t="n">
        <v>0</v>
      </c>
      <c r="M2414" t="n">
        <v>0</v>
      </c>
      <c r="N2414" t="n">
        <v>0</v>
      </c>
      <c r="O2414" t="n">
        <v>0</v>
      </c>
      <c r="P2414" t="n">
        <v>0</v>
      </c>
      <c r="Q2414" t="n">
        <v>0</v>
      </c>
      <c r="R2414" s="2" t="inlineStr"/>
    </row>
    <row r="2415" ht="15" customHeight="1">
      <c r="A2415" t="inlineStr">
        <is>
          <t>A 60474-2024</t>
        </is>
      </c>
      <c r="B2415" s="1" t="n">
        <v>45643</v>
      </c>
      <c r="C2415" s="1" t="n">
        <v>45754</v>
      </c>
      <c r="D2415" t="inlineStr">
        <is>
          <t>JÄMTLANDS LÄN</t>
        </is>
      </c>
      <c r="E2415" t="inlineStr">
        <is>
          <t>BRÄCKE</t>
        </is>
      </c>
      <c r="G2415" t="n">
        <v>10.8</v>
      </c>
      <c r="H2415" t="n">
        <v>0</v>
      </c>
      <c r="I2415" t="n">
        <v>0</v>
      </c>
      <c r="J2415" t="n">
        <v>0</v>
      </c>
      <c r="K2415" t="n">
        <v>0</v>
      </c>
      <c r="L2415" t="n">
        <v>0</v>
      </c>
      <c r="M2415" t="n">
        <v>0</v>
      </c>
      <c r="N2415" t="n">
        <v>0</v>
      </c>
      <c r="O2415" t="n">
        <v>0</v>
      </c>
      <c r="P2415" t="n">
        <v>0</v>
      </c>
      <c r="Q2415" t="n">
        <v>0</v>
      </c>
      <c r="R2415" s="2" t="inlineStr"/>
    </row>
    <row r="2416" ht="15" customHeight="1">
      <c r="A2416" t="inlineStr">
        <is>
          <t>A 60666-2024</t>
        </is>
      </c>
      <c r="B2416" s="1" t="n">
        <v>45644</v>
      </c>
      <c r="C2416" s="1" t="n">
        <v>45754</v>
      </c>
      <c r="D2416" t="inlineStr">
        <is>
          <t>JÄMTLANDS LÄN</t>
        </is>
      </c>
      <c r="E2416" t="inlineStr">
        <is>
          <t>BRÄCKE</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60654-2024</t>
        </is>
      </c>
      <c r="B2417" s="1" t="n">
        <v>45644</v>
      </c>
      <c r="C2417" s="1" t="n">
        <v>45754</v>
      </c>
      <c r="D2417" t="inlineStr">
        <is>
          <t>JÄMTLANDS LÄN</t>
        </is>
      </c>
      <c r="E2417" t="inlineStr">
        <is>
          <t>BRÄCKE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60659-2024</t>
        </is>
      </c>
      <c r="B2418" s="1" t="n">
        <v>45644</v>
      </c>
      <c r="C2418" s="1" t="n">
        <v>45754</v>
      </c>
      <c r="D2418" t="inlineStr">
        <is>
          <t>JÄMTLANDS LÄN</t>
        </is>
      </c>
      <c r="E2418" t="inlineStr">
        <is>
          <t>BRÄCKE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61079-2024</t>
        </is>
      </c>
      <c r="B2419" s="1" t="n">
        <v>45645</v>
      </c>
      <c r="C2419" s="1" t="n">
        <v>45754</v>
      </c>
      <c r="D2419" t="inlineStr">
        <is>
          <t>JÄMTLANDS LÄN</t>
        </is>
      </c>
      <c r="E2419" t="inlineStr">
        <is>
          <t>BRÄCKE</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61362-2024</t>
        </is>
      </c>
      <c r="B2420" s="1" t="n">
        <v>45646</v>
      </c>
      <c r="C2420" s="1" t="n">
        <v>45754</v>
      </c>
      <c r="D2420" t="inlineStr">
        <is>
          <t>JÄMTLANDS LÄN</t>
        </is>
      </c>
      <c r="E2420" t="inlineStr">
        <is>
          <t>BRÄCKE</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61466-2024</t>
        </is>
      </c>
      <c r="B2421" s="1" t="n">
        <v>45646</v>
      </c>
      <c r="C2421" s="1" t="n">
        <v>45754</v>
      </c>
      <c r="D2421" t="inlineStr">
        <is>
          <t>JÄMTLANDS LÄN</t>
        </is>
      </c>
      <c r="E2421" t="inlineStr">
        <is>
          <t>BRÄCKE</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61483-2024</t>
        </is>
      </c>
      <c r="B2422" s="1" t="n">
        <v>45646</v>
      </c>
      <c r="C2422" s="1" t="n">
        <v>45754</v>
      </c>
      <c r="D2422" t="inlineStr">
        <is>
          <t>JÄMTLANDS LÄN</t>
        </is>
      </c>
      <c r="E2422" t="inlineStr">
        <is>
          <t>BRÄCKE</t>
        </is>
      </c>
      <c r="F2422" t="inlineStr">
        <is>
          <t>Övriga Aktiebolag</t>
        </is>
      </c>
      <c r="G2422" t="n">
        <v>13.8</v>
      </c>
      <c r="H2422" t="n">
        <v>0</v>
      </c>
      <c r="I2422" t="n">
        <v>0</v>
      </c>
      <c r="J2422" t="n">
        <v>0</v>
      </c>
      <c r="K2422" t="n">
        <v>0</v>
      </c>
      <c r="L2422" t="n">
        <v>0</v>
      </c>
      <c r="M2422" t="n">
        <v>0</v>
      </c>
      <c r="N2422" t="n">
        <v>0</v>
      </c>
      <c r="O2422" t="n">
        <v>0</v>
      </c>
      <c r="P2422" t="n">
        <v>0</v>
      </c>
      <c r="Q2422" t="n">
        <v>0</v>
      </c>
      <c r="R2422" s="2" t="inlineStr"/>
    </row>
    <row r="2423" ht="15" customHeight="1">
      <c r="A2423" t="inlineStr">
        <is>
          <t>A 61914-2024</t>
        </is>
      </c>
      <c r="B2423" s="1" t="n">
        <v>45653</v>
      </c>
      <c r="C2423" s="1" t="n">
        <v>45754</v>
      </c>
      <c r="D2423" t="inlineStr">
        <is>
          <t>JÄMTLANDS LÄN</t>
        </is>
      </c>
      <c r="E2423" t="inlineStr">
        <is>
          <t>BRÄCKE</t>
        </is>
      </c>
      <c r="F2423" t="inlineStr">
        <is>
          <t>SCA</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61973-2024</t>
        </is>
      </c>
      <c r="B2424" s="1" t="n">
        <v>45653</v>
      </c>
      <c r="C2424" s="1" t="n">
        <v>45754</v>
      </c>
      <c r="D2424" t="inlineStr">
        <is>
          <t>JÄMTLANDS LÄN</t>
        </is>
      </c>
      <c r="E2424" t="inlineStr">
        <is>
          <t>BRÄCKE</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62102-2024</t>
        </is>
      </c>
      <c r="B2425" s="1" t="n">
        <v>45656</v>
      </c>
      <c r="C2425" s="1" t="n">
        <v>45754</v>
      </c>
      <c r="D2425" t="inlineStr">
        <is>
          <t>JÄMTLANDS LÄN</t>
        </is>
      </c>
      <c r="E2425" t="inlineStr">
        <is>
          <t>BRÄCKE</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103-2025</t>
        </is>
      </c>
      <c r="B2426" s="1" t="n">
        <v>45659</v>
      </c>
      <c r="C2426" s="1" t="n">
        <v>45754</v>
      </c>
      <c r="D2426" t="inlineStr">
        <is>
          <t>JÄMTLANDS LÄN</t>
        </is>
      </c>
      <c r="E2426" t="inlineStr">
        <is>
          <t>BRÄCKE</t>
        </is>
      </c>
      <c r="F2426" t="inlineStr">
        <is>
          <t>SCA</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172-2025</t>
        </is>
      </c>
      <c r="B2427" s="1" t="n">
        <v>45659</v>
      </c>
      <c r="C2427" s="1" t="n">
        <v>45754</v>
      </c>
      <c r="D2427" t="inlineStr">
        <is>
          <t>JÄMTLANDS LÄN</t>
        </is>
      </c>
      <c r="E2427" t="inlineStr">
        <is>
          <t>BRÄCKE</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104-2025</t>
        </is>
      </c>
      <c r="B2428" s="1" t="n">
        <v>45659</v>
      </c>
      <c r="C2428" s="1" t="n">
        <v>45754</v>
      </c>
      <c r="D2428" t="inlineStr">
        <is>
          <t>JÄMTLANDS LÄN</t>
        </is>
      </c>
      <c r="E2428" t="inlineStr">
        <is>
          <t>BRÄCKE</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278-2025</t>
        </is>
      </c>
      <c r="B2429" s="1" t="n">
        <v>45660</v>
      </c>
      <c r="C2429" s="1" t="n">
        <v>45754</v>
      </c>
      <c r="D2429" t="inlineStr">
        <is>
          <t>JÄMTLANDS LÄN</t>
        </is>
      </c>
      <c r="E2429" t="inlineStr">
        <is>
          <t>BRÄCKE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231-2025</t>
        </is>
      </c>
      <c r="B2430" s="1" t="n">
        <v>45660</v>
      </c>
      <c r="C2430" s="1" t="n">
        <v>45754</v>
      </c>
      <c r="D2430" t="inlineStr">
        <is>
          <t>JÄMTLANDS LÄN</t>
        </is>
      </c>
      <c r="E2430" t="inlineStr">
        <is>
          <t>BRÄCKE</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285-2025</t>
        </is>
      </c>
      <c r="B2431" s="1" t="n">
        <v>45660</v>
      </c>
      <c r="C2431" s="1" t="n">
        <v>45754</v>
      </c>
      <c r="D2431" t="inlineStr">
        <is>
          <t>JÄMTLANDS LÄN</t>
        </is>
      </c>
      <c r="E2431" t="inlineStr">
        <is>
          <t>BRÄCKE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427-2025</t>
        </is>
      </c>
      <c r="B2432" s="1" t="n">
        <v>45664</v>
      </c>
      <c r="C2432" s="1" t="n">
        <v>45754</v>
      </c>
      <c r="D2432" t="inlineStr">
        <is>
          <t>JÄMTLANDS LÄN</t>
        </is>
      </c>
      <c r="E2432" t="inlineStr">
        <is>
          <t>BRÄCKE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506-2025</t>
        </is>
      </c>
      <c r="B2433" s="1" t="n">
        <v>45664</v>
      </c>
      <c r="C2433" s="1" t="n">
        <v>45754</v>
      </c>
      <c r="D2433" t="inlineStr">
        <is>
          <t>JÄMTLANDS LÄN</t>
        </is>
      </c>
      <c r="E2433" t="inlineStr">
        <is>
          <t>BRÄCKE</t>
        </is>
      </c>
      <c r="F2433" t="inlineStr">
        <is>
          <t>SCA</t>
        </is>
      </c>
      <c r="G2433" t="n">
        <v>9.1</v>
      </c>
      <c r="H2433" t="n">
        <v>0</v>
      </c>
      <c r="I2433" t="n">
        <v>0</v>
      </c>
      <c r="J2433" t="n">
        <v>0</v>
      </c>
      <c r="K2433" t="n">
        <v>0</v>
      </c>
      <c r="L2433" t="n">
        <v>0</v>
      </c>
      <c r="M2433" t="n">
        <v>0</v>
      </c>
      <c r="N2433" t="n">
        <v>0</v>
      </c>
      <c r="O2433" t="n">
        <v>0</v>
      </c>
      <c r="P2433" t="n">
        <v>0</v>
      </c>
      <c r="Q2433" t="n">
        <v>0</v>
      </c>
      <c r="R2433" s="2" t="inlineStr"/>
    </row>
    <row r="2434" ht="15" customHeight="1">
      <c r="A2434" t="inlineStr">
        <is>
          <t>A 782-2025</t>
        </is>
      </c>
      <c r="B2434" s="1" t="n">
        <v>45665</v>
      </c>
      <c r="C2434" s="1" t="n">
        <v>45754</v>
      </c>
      <c r="D2434" t="inlineStr">
        <is>
          <t>JÄMTLANDS LÄN</t>
        </is>
      </c>
      <c r="E2434" t="inlineStr">
        <is>
          <t>BRÄCKE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783-2025</t>
        </is>
      </c>
      <c r="B2435" s="1" t="n">
        <v>45665</v>
      </c>
      <c r="C2435" s="1" t="n">
        <v>45754</v>
      </c>
      <c r="D2435" t="inlineStr">
        <is>
          <t>JÄMTLANDS LÄN</t>
        </is>
      </c>
      <c r="E2435" t="inlineStr">
        <is>
          <t>BRÄCKE</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1127-2025</t>
        </is>
      </c>
      <c r="B2436" s="1" t="n">
        <v>45666</v>
      </c>
      <c r="C2436" s="1" t="n">
        <v>45754</v>
      </c>
      <c r="D2436" t="inlineStr">
        <is>
          <t>JÄMTLANDS LÄN</t>
        </is>
      </c>
      <c r="E2436" t="inlineStr">
        <is>
          <t>BRÄCKE</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1079-2025</t>
        </is>
      </c>
      <c r="B2437" s="1" t="n">
        <v>45666</v>
      </c>
      <c r="C2437" s="1" t="n">
        <v>45754</v>
      </c>
      <c r="D2437" t="inlineStr">
        <is>
          <t>JÄMTLANDS LÄN</t>
        </is>
      </c>
      <c r="E2437" t="inlineStr">
        <is>
          <t>BRÄCKE</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1080-2025</t>
        </is>
      </c>
      <c r="B2438" s="1" t="n">
        <v>45666</v>
      </c>
      <c r="C2438" s="1" t="n">
        <v>45754</v>
      </c>
      <c r="D2438" t="inlineStr">
        <is>
          <t>JÄMTLANDS LÄN</t>
        </is>
      </c>
      <c r="E2438" t="inlineStr">
        <is>
          <t>BRÄCKE</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1174-2025</t>
        </is>
      </c>
      <c r="B2439" s="1" t="n">
        <v>45667</v>
      </c>
      <c r="C2439" s="1" t="n">
        <v>45754</v>
      </c>
      <c r="D2439" t="inlineStr">
        <is>
          <t>JÄMTLANDS LÄN</t>
        </is>
      </c>
      <c r="E2439" t="inlineStr">
        <is>
          <t>BRÄCKE</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1347-2025</t>
        </is>
      </c>
      <c r="B2440" s="1" t="n">
        <v>45667</v>
      </c>
      <c r="C2440" s="1" t="n">
        <v>45754</v>
      </c>
      <c r="D2440" t="inlineStr">
        <is>
          <t>JÄMTLANDS LÄN</t>
        </is>
      </c>
      <c r="E2440" t="inlineStr">
        <is>
          <t>BRÄCKE</t>
        </is>
      </c>
      <c r="F2440" t="inlineStr">
        <is>
          <t>SCA</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1504-2025</t>
        </is>
      </c>
      <c r="B2441" s="1" t="n">
        <v>45670</v>
      </c>
      <c r="C2441" s="1" t="n">
        <v>45754</v>
      </c>
      <c r="D2441" t="inlineStr">
        <is>
          <t>JÄMTLANDS LÄN</t>
        </is>
      </c>
      <c r="E2441" t="inlineStr">
        <is>
          <t>BRÄCKE</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1672-2025</t>
        </is>
      </c>
      <c r="B2442" s="1" t="n">
        <v>45670</v>
      </c>
      <c r="C2442" s="1" t="n">
        <v>45754</v>
      </c>
      <c r="D2442" t="inlineStr">
        <is>
          <t>JÄMTLANDS LÄN</t>
        </is>
      </c>
      <c r="E2442" t="inlineStr">
        <is>
          <t>BRÄCKE</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1914-2025</t>
        </is>
      </c>
      <c r="B2443" s="1" t="n">
        <v>45671</v>
      </c>
      <c r="C2443" s="1" t="n">
        <v>45754</v>
      </c>
      <c r="D2443" t="inlineStr">
        <is>
          <t>JÄMTLANDS LÄN</t>
        </is>
      </c>
      <c r="E2443" t="inlineStr">
        <is>
          <t>BRÄCKE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2179-2025</t>
        </is>
      </c>
      <c r="B2444" s="1" t="n">
        <v>45673</v>
      </c>
      <c r="C2444" s="1" t="n">
        <v>45754</v>
      </c>
      <c r="D2444" t="inlineStr">
        <is>
          <t>JÄMTLANDS LÄN</t>
        </is>
      </c>
      <c r="E2444" t="inlineStr">
        <is>
          <t>BRÄCKE</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2197-2025</t>
        </is>
      </c>
      <c r="B2445" s="1" t="n">
        <v>45673</v>
      </c>
      <c r="C2445" s="1" t="n">
        <v>45754</v>
      </c>
      <c r="D2445" t="inlineStr">
        <is>
          <t>JÄMTLANDS LÄN</t>
        </is>
      </c>
      <c r="E2445" t="inlineStr">
        <is>
          <t>BRÄCKE</t>
        </is>
      </c>
      <c r="F2445" t="inlineStr">
        <is>
          <t>SCA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2245-2025</t>
        </is>
      </c>
      <c r="B2446" s="1" t="n">
        <v>45673</v>
      </c>
      <c r="C2446" s="1" t="n">
        <v>45754</v>
      </c>
      <c r="D2446" t="inlineStr">
        <is>
          <t>JÄMTLANDS LÄN</t>
        </is>
      </c>
      <c r="E2446" t="inlineStr">
        <is>
          <t>BRÄCKE</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2484-2025</t>
        </is>
      </c>
      <c r="B2447" s="1" t="n">
        <v>45673</v>
      </c>
      <c r="C2447" s="1" t="n">
        <v>45754</v>
      </c>
      <c r="D2447" t="inlineStr">
        <is>
          <t>JÄMTLANDS LÄN</t>
        </is>
      </c>
      <c r="E2447" t="inlineStr">
        <is>
          <t>BRÄCKE</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2483-2025</t>
        </is>
      </c>
      <c r="B2448" s="1" t="n">
        <v>45673</v>
      </c>
      <c r="C2448" s="1" t="n">
        <v>45754</v>
      </c>
      <c r="D2448" t="inlineStr">
        <is>
          <t>JÄMTLANDS LÄN</t>
        </is>
      </c>
      <c r="E2448" t="inlineStr">
        <is>
          <t>BRÄCKE</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2511-2025</t>
        </is>
      </c>
      <c r="B2449" s="1" t="n">
        <v>45674</v>
      </c>
      <c r="C2449" s="1" t="n">
        <v>45754</v>
      </c>
      <c r="D2449" t="inlineStr">
        <is>
          <t>JÄMTLANDS LÄN</t>
        </is>
      </c>
      <c r="E2449" t="inlineStr">
        <is>
          <t>BRÄCKE</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2498-2025</t>
        </is>
      </c>
      <c r="B2450" s="1" t="n">
        <v>45674</v>
      </c>
      <c r="C2450" s="1" t="n">
        <v>45754</v>
      </c>
      <c r="D2450" t="inlineStr">
        <is>
          <t>JÄMTLANDS LÄN</t>
        </is>
      </c>
      <c r="E2450" t="inlineStr">
        <is>
          <t>BRÄCKE</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2432-2025</t>
        </is>
      </c>
      <c r="B2451" s="1" t="n">
        <v>45674</v>
      </c>
      <c r="C2451" s="1" t="n">
        <v>45754</v>
      </c>
      <c r="D2451" t="inlineStr">
        <is>
          <t>JÄMTLANDS LÄN</t>
        </is>
      </c>
      <c r="E2451" t="inlineStr">
        <is>
          <t>BRÄCKE</t>
        </is>
      </c>
      <c r="F2451" t="inlineStr">
        <is>
          <t>SCA</t>
        </is>
      </c>
      <c r="G2451" t="n">
        <v>16.1</v>
      </c>
      <c r="H2451" t="n">
        <v>0</v>
      </c>
      <c r="I2451" t="n">
        <v>0</v>
      </c>
      <c r="J2451" t="n">
        <v>0</v>
      </c>
      <c r="K2451" t="n">
        <v>0</v>
      </c>
      <c r="L2451" t="n">
        <v>0</v>
      </c>
      <c r="M2451" t="n">
        <v>0</v>
      </c>
      <c r="N2451" t="n">
        <v>0</v>
      </c>
      <c r="O2451" t="n">
        <v>0</v>
      </c>
      <c r="P2451" t="n">
        <v>0</v>
      </c>
      <c r="Q2451" t="n">
        <v>0</v>
      </c>
      <c r="R2451" s="2" t="inlineStr"/>
    </row>
    <row r="2452" ht="15" customHeight="1">
      <c r="A2452" t="inlineStr">
        <is>
          <t>A 2581-2025</t>
        </is>
      </c>
      <c r="B2452" s="1" t="n">
        <v>45674</v>
      </c>
      <c r="C2452" s="1" t="n">
        <v>45754</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2540-2025</t>
        </is>
      </c>
      <c r="B2453" s="1" t="n">
        <v>45674</v>
      </c>
      <c r="C2453" s="1" t="n">
        <v>45754</v>
      </c>
      <c r="D2453" t="inlineStr">
        <is>
          <t>JÄMTLANDS LÄN</t>
        </is>
      </c>
      <c r="E2453" t="inlineStr">
        <is>
          <t>BRÄCKE</t>
        </is>
      </c>
      <c r="F2453" t="inlineStr">
        <is>
          <t>SCA</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2508-2025</t>
        </is>
      </c>
      <c r="B2454" s="1" t="n">
        <v>45674</v>
      </c>
      <c r="C2454" s="1" t="n">
        <v>45754</v>
      </c>
      <c r="D2454" t="inlineStr">
        <is>
          <t>JÄMTLANDS LÄN</t>
        </is>
      </c>
      <c r="E2454" t="inlineStr">
        <is>
          <t>BRÄCKE</t>
        </is>
      </c>
      <c r="F2454" t="inlineStr">
        <is>
          <t>SCA</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2774-2025</t>
        </is>
      </c>
      <c r="B2455" s="1" t="n">
        <v>45677</v>
      </c>
      <c r="C2455" s="1" t="n">
        <v>45754</v>
      </c>
      <c r="D2455" t="inlineStr">
        <is>
          <t>JÄMTLANDS LÄN</t>
        </is>
      </c>
      <c r="E2455" t="inlineStr">
        <is>
          <t>BRÄCKE</t>
        </is>
      </c>
      <c r="F2455" t="inlineStr">
        <is>
          <t>SCA</t>
        </is>
      </c>
      <c r="G2455" t="n">
        <v>11.4</v>
      </c>
      <c r="H2455" t="n">
        <v>0</v>
      </c>
      <c r="I2455" t="n">
        <v>0</v>
      </c>
      <c r="J2455" t="n">
        <v>0</v>
      </c>
      <c r="K2455" t="n">
        <v>0</v>
      </c>
      <c r="L2455" t="n">
        <v>0</v>
      </c>
      <c r="M2455" t="n">
        <v>0</v>
      </c>
      <c r="N2455" t="n">
        <v>0</v>
      </c>
      <c r="O2455" t="n">
        <v>0</v>
      </c>
      <c r="P2455" t="n">
        <v>0</v>
      </c>
      <c r="Q2455" t="n">
        <v>0</v>
      </c>
      <c r="R2455" s="2" t="inlineStr"/>
    </row>
    <row r="2456" ht="15" customHeight="1">
      <c r="A2456" t="inlineStr">
        <is>
          <t>A 2960-2025</t>
        </is>
      </c>
      <c r="B2456" s="1" t="n">
        <v>45678</v>
      </c>
      <c r="C2456" s="1" t="n">
        <v>45754</v>
      </c>
      <c r="D2456" t="inlineStr">
        <is>
          <t>JÄMTLANDS LÄN</t>
        </is>
      </c>
      <c r="E2456" t="inlineStr">
        <is>
          <t>BRÄCKE</t>
        </is>
      </c>
      <c r="F2456" t="inlineStr">
        <is>
          <t>SCA</t>
        </is>
      </c>
      <c r="G2456" t="n">
        <v>12.5</v>
      </c>
      <c r="H2456" t="n">
        <v>0</v>
      </c>
      <c r="I2456" t="n">
        <v>0</v>
      </c>
      <c r="J2456" t="n">
        <v>0</v>
      </c>
      <c r="K2456" t="n">
        <v>0</v>
      </c>
      <c r="L2456" t="n">
        <v>0</v>
      </c>
      <c r="M2456" t="n">
        <v>0</v>
      </c>
      <c r="N2456" t="n">
        <v>0</v>
      </c>
      <c r="O2456" t="n">
        <v>0</v>
      </c>
      <c r="P2456" t="n">
        <v>0</v>
      </c>
      <c r="Q2456" t="n">
        <v>0</v>
      </c>
      <c r="R2456" s="2" t="inlineStr"/>
    </row>
    <row r="2457" ht="15" customHeight="1">
      <c r="A2457" t="inlineStr">
        <is>
          <t>A 2923-2025</t>
        </is>
      </c>
      <c r="B2457" s="1" t="n">
        <v>45678</v>
      </c>
      <c r="C2457" s="1" t="n">
        <v>45754</v>
      </c>
      <c r="D2457" t="inlineStr">
        <is>
          <t>JÄMTLANDS LÄN</t>
        </is>
      </c>
      <c r="E2457" t="inlineStr">
        <is>
          <t>BRÄCKE</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3331-2025</t>
        </is>
      </c>
      <c r="B2458" s="1" t="n">
        <v>45679</v>
      </c>
      <c r="C2458" s="1" t="n">
        <v>45754</v>
      </c>
      <c r="D2458" t="inlineStr">
        <is>
          <t>JÄMTLANDS LÄN</t>
        </is>
      </c>
      <c r="E2458" t="inlineStr">
        <is>
          <t>BRÄCKE</t>
        </is>
      </c>
      <c r="F2458" t="inlineStr">
        <is>
          <t>SCA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3247-2025</t>
        </is>
      </c>
      <c r="B2459" s="1" t="n">
        <v>45679</v>
      </c>
      <c r="C2459" s="1" t="n">
        <v>45754</v>
      </c>
      <c r="D2459" t="inlineStr">
        <is>
          <t>JÄMTLANDS LÄN</t>
        </is>
      </c>
      <c r="E2459" t="inlineStr">
        <is>
          <t>BRÄCKE</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3254-2025</t>
        </is>
      </c>
      <c r="B2460" s="1" t="n">
        <v>45679</v>
      </c>
      <c r="C2460" s="1" t="n">
        <v>45754</v>
      </c>
      <c r="D2460" t="inlineStr">
        <is>
          <t>JÄMTLANDS LÄN</t>
        </is>
      </c>
      <c r="E2460" t="inlineStr">
        <is>
          <t>BRÄCKE</t>
        </is>
      </c>
      <c r="F2460" t="inlineStr">
        <is>
          <t>SCA</t>
        </is>
      </c>
      <c r="G2460" t="n">
        <v>14.7</v>
      </c>
      <c r="H2460" t="n">
        <v>0</v>
      </c>
      <c r="I2460" t="n">
        <v>0</v>
      </c>
      <c r="J2460" t="n">
        <v>0</v>
      </c>
      <c r="K2460" t="n">
        <v>0</v>
      </c>
      <c r="L2460" t="n">
        <v>0</v>
      </c>
      <c r="M2460" t="n">
        <v>0</v>
      </c>
      <c r="N2460" t="n">
        <v>0</v>
      </c>
      <c r="O2460" t="n">
        <v>0</v>
      </c>
      <c r="P2460" t="n">
        <v>0</v>
      </c>
      <c r="Q2460" t="n">
        <v>0</v>
      </c>
      <c r="R2460" s="2" t="inlineStr"/>
    </row>
    <row r="2461" ht="15" customHeight="1">
      <c r="A2461" t="inlineStr">
        <is>
          <t>A 3249-2025</t>
        </is>
      </c>
      <c r="B2461" s="1" t="n">
        <v>45679</v>
      </c>
      <c r="C2461" s="1" t="n">
        <v>45754</v>
      </c>
      <c r="D2461" t="inlineStr">
        <is>
          <t>JÄMTLANDS LÄN</t>
        </is>
      </c>
      <c r="E2461" t="inlineStr">
        <is>
          <t>BRÄCKE</t>
        </is>
      </c>
      <c r="F2461" t="inlineStr">
        <is>
          <t>SCA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3248-2025</t>
        </is>
      </c>
      <c r="B2462" s="1" t="n">
        <v>45679</v>
      </c>
      <c r="C2462" s="1" t="n">
        <v>45754</v>
      </c>
      <c r="D2462" t="inlineStr">
        <is>
          <t>JÄMTLANDS LÄN</t>
        </is>
      </c>
      <c r="E2462" t="inlineStr">
        <is>
          <t>BRÄCKE</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3476-2025</t>
        </is>
      </c>
      <c r="B2463" s="1" t="n">
        <v>45680</v>
      </c>
      <c r="C2463" s="1" t="n">
        <v>45754</v>
      </c>
      <c r="D2463" t="inlineStr">
        <is>
          <t>JÄMTLANDS LÄN</t>
        </is>
      </c>
      <c r="E2463" t="inlineStr">
        <is>
          <t>BRÄCKE</t>
        </is>
      </c>
      <c r="F2463" t="inlineStr">
        <is>
          <t>SCA</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3560-2025</t>
        </is>
      </c>
      <c r="B2464" s="1" t="n">
        <v>45680</v>
      </c>
      <c r="C2464" s="1" t="n">
        <v>45754</v>
      </c>
      <c r="D2464" t="inlineStr">
        <is>
          <t>JÄMTLANDS LÄN</t>
        </is>
      </c>
      <c r="E2464" t="inlineStr">
        <is>
          <t>BRÄCKE</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3787-2025</t>
        </is>
      </c>
      <c r="B2465" s="1" t="n">
        <v>45681</v>
      </c>
      <c r="C2465" s="1" t="n">
        <v>45754</v>
      </c>
      <c r="D2465" t="inlineStr">
        <is>
          <t>JÄMTLANDS LÄN</t>
        </is>
      </c>
      <c r="E2465" t="inlineStr">
        <is>
          <t>BRÄCKE</t>
        </is>
      </c>
      <c r="F2465" t="inlineStr">
        <is>
          <t>SCA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3823-2025</t>
        </is>
      </c>
      <c r="B2466" s="1" t="n">
        <v>45681</v>
      </c>
      <c r="C2466" s="1" t="n">
        <v>45754</v>
      </c>
      <c r="D2466" t="inlineStr">
        <is>
          <t>JÄMTLANDS LÄN</t>
        </is>
      </c>
      <c r="E2466" t="inlineStr">
        <is>
          <t>BRÄCKE</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3785-2025</t>
        </is>
      </c>
      <c r="B2467" s="1" t="n">
        <v>45681</v>
      </c>
      <c r="C2467" s="1" t="n">
        <v>45754</v>
      </c>
      <c r="D2467" t="inlineStr">
        <is>
          <t>JÄMTLANDS LÄN</t>
        </is>
      </c>
      <c r="E2467" t="inlineStr">
        <is>
          <t>BRÄCKE</t>
        </is>
      </c>
      <c r="F2467" t="inlineStr">
        <is>
          <t>SCA</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3789-2025</t>
        </is>
      </c>
      <c r="B2468" s="1" t="n">
        <v>45681</v>
      </c>
      <c r="C2468" s="1" t="n">
        <v>45754</v>
      </c>
      <c r="D2468" t="inlineStr">
        <is>
          <t>JÄMTLANDS LÄN</t>
        </is>
      </c>
      <c r="E2468" t="inlineStr">
        <is>
          <t>BRÄCKE</t>
        </is>
      </c>
      <c r="F2468" t="inlineStr">
        <is>
          <t>SCA</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3824-2025</t>
        </is>
      </c>
      <c r="B2469" s="1" t="n">
        <v>45681</v>
      </c>
      <c r="C2469" s="1" t="n">
        <v>45754</v>
      </c>
      <c r="D2469" t="inlineStr">
        <is>
          <t>JÄMTLANDS LÄN</t>
        </is>
      </c>
      <c r="E2469" t="inlineStr">
        <is>
          <t>BRÄCKE</t>
        </is>
      </c>
      <c r="F2469" t="inlineStr">
        <is>
          <t>SCA</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3741-2025</t>
        </is>
      </c>
      <c r="B2470" s="1" t="n">
        <v>45681</v>
      </c>
      <c r="C2470" s="1" t="n">
        <v>45754</v>
      </c>
      <c r="D2470" t="inlineStr">
        <is>
          <t>JÄMTLANDS LÄN</t>
        </is>
      </c>
      <c r="E2470" t="inlineStr">
        <is>
          <t>BRÄCKE</t>
        </is>
      </c>
      <c r="F2470" t="inlineStr">
        <is>
          <t>SCA</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3737-2025</t>
        </is>
      </c>
      <c r="B2471" s="1" t="n">
        <v>45681</v>
      </c>
      <c r="C2471" s="1" t="n">
        <v>45754</v>
      </c>
      <c r="D2471" t="inlineStr">
        <is>
          <t>JÄMTLANDS LÄN</t>
        </is>
      </c>
      <c r="E2471" t="inlineStr">
        <is>
          <t>BRÄCKE</t>
        </is>
      </c>
      <c r="F2471" t="inlineStr">
        <is>
          <t>SCA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3652-2025</t>
        </is>
      </c>
      <c r="B2472" s="1" t="n">
        <v>45681</v>
      </c>
      <c r="C2472" s="1" t="n">
        <v>45754</v>
      </c>
      <c r="D2472" t="inlineStr">
        <is>
          <t>JÄMTLANDS LÄN</t>
        </is>
      </c>
      <c r="E2472" t="inlineStr">
        <is>
          <t>BRÄCKE</t>
        </is>
      </c>
      <c r="F2472" t="inlineStr">
        <is>
          <t>SCA</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3788-2025</t>
        </is>
      </c>
      <c r="B2473" s="1" t="n">
        <v>45681</v>
      </c>
      <c r="C2473" s="1" t="n">
        <v>45754</v>
      </c>
      <c r="D2473" t="inlineStr">
        <is>
          <t>JÄMTLANDS LÄN</t>
        </is>
      </c>
      <c r="E2473" t="inlineStr">
        <is>
          <t>BRÄCKE</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3697-2025</t>
        </is>
      </c>
      <c r="B2474" s="1" t="n">
        <v>45681</v>
      </c>
      <c r="C2474" s="1" t="n">
        <v>45754</v>
      </c>
      <c r="D2474" t="inlineStr">
        <is>
          <t>JÄMTLANDS LÄN</t>
        </is>
      </c>
      <c r="E2474" t="inlineStr">
        <is>
          <t>BRÄCKE</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3603-2025</t>
        </is>
      </c>
      <c r="B2475" s="1" t="n">
        <v>45681</v>
      </c>
      <c r="C2475" s="1" t="n">
        <v>45754</v>
      </c>
      <c r="D2475" t="inlineStr">
        <is>
          <t>JÄMTLANDS LÄN</t>
        </is>
      </c>
      <c r="E2475" t="inlineStr">
        <is>
          <t>BRÄCKE</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3841-2025</t>
        </is>
      </c>
      <c r="B2476" s="1" t="n">
        <v>45683</v>
      </c>
      <c r="C2476" s="1" t="n">
        <v>45754</v>
      </c>
      <c r="D2476" t="inlineStr">
        <is>
          <t>JÄMTLANDS LÄN</t>
        </is>
      </c>
      <c r="E2476" t="inlineStr">
        <is>
          <t>BRÄCKE</t>
        </is>
      </c>
      <c r="F2476" t="inlineStr">
        <is>
          <t>SCA</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3863-2025</t>
        </is>
      </c>
      <c r="B2477" s="1" t="n">
        <v>45684</v>
      </c>
      <c r="C2477" s="1" t="n">
        <v>45754</v>
      </c>
      <c r="D2477" t="inlineStr">
        <is>
          <t>JÄMTLANDS LÄN</t>
        </is>
      </c>
      <c r="E2477" t="inlineStr">
        <is>
          <t>BRÄCKE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3907-2025</t>
        </is>
      </c>
      <c r="B2478" s="1" t="n">
        <v>45684</v>
      </c>
      <c r="C2478" s="1" t="n">
        <v>45754</v>
      </c>
      <c r="D2478" t="inlineStr">
        <is>
          <t>JÄMTLANDS LÄN</t>
        </is>
      </c>
      <c r="E2478" t="inlineStr">
        <is>
          <t>BRÄCKE</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3862-2025</t>
        </is>
      </c>
      <c r="B2479" s="1" t="n">
        <v>45684</v>
      </c>
      <c r="C2479" s="1" t="n">
        <v>45754</v>
      </c>
      <c r="D2479" t="inlineStr">
        <is>
          <t>JÄMTLANDS LÄN</t>
        </is>
      </c>
      <c r="E2479" t="inlineStr">
        <is>
          <t>BRÄCKE</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3866-2025</t>
        </is>
      </c>
      <c r="B2480" s="1" t="n">
        <v>45684</v>
      </c>
      <c r="C2480" s="1" t="n">
        <v>45754</v>
      </c>
      <c r="D2480" t="inlineStr">
        <is>
          <t>JÄMTLANDS LÄN</t>
        </is>
      </c>
      <c r="E2480" t="inlineStr">
        <is>
          <t>BRÄCKE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3969-2025</t>
        </is>
      </c>
      <c r="B2481" s="1" t="n">
        <v>45684</v>
      </c>
      <c r="C2481" s="1" t="n">
        <v>45754</v>
      </c>
      <c r="D2481" t="inlineStr">
        <is>
          <t>JÄMTLANDS LÄN</t>
        </is>
      </c>
      <c r="E2481" t="inlineStr">
        <is>
          <t>BRÄCKE</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3865-2025</t>
        </is>
      </c>
      <c r="B2482" s="1" t="n">
        <v>45684</v>
      </c>
      <c r="C2482" s="1" t="n">
        <v>45754</v>
      </c>
      <c r="D2482" t="inlineStr">
        <is>
          <t>JÄMTLANDS LÄN</t>
        </is>
      </c>
      <c r="E2482" t="inlineStr">
        <is>
          <t>BRÄCKE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3955-2025</t>
        </is>
      </c>
      <c r="B2483" s="1" t="n">
        <v>45684</v>
      </c>
      <c r="C2483" s="1" t="n">
        <v>45754</v>
      </c>
      <c r="D2483" t="inlineStr">
        <is>
          <t>JÄMTLANDS LÄN</t>
        </is>
      </c>
      <c r="E2483" t="inlineStr">
        <is>
          <t>BRÄCKE</t>
        </is>
      </c>
      <c r="G2483" t="n">
        <v>14.7</v>
      </c>
      <c r="H2483" t="n">
        <v>0</v>
      </c>
      <c r="I2483" t="n">
        <v>0</v>
      </c>
      <c r="J2483" t="n">
        <v>0</v>
      </c>
      <c r="K2483" t="n">
        <v>0</v>
      </c>
      <c r="L2483" t="n">
        <v>0</v>
      </c>
      <c r="M2483" t="n">
        <v>0</v>
      </c>
      <c r="N2483" t="n">
        <v>0</v>
      </c>
      <c r="O2483" t="n">
        <v>0</v>
      </c>
      <c r="P2483" t="n">
        <v>0</v>
      </c>
      <c r="Q2483" t="n">
        <v>0</v>
      </c>
      <c r="R2483" s="2" t="inlineStr"/>
    </row>
    <row r="2484" ht="15" customHeight="1">
      <c r="A2484" t="inlineStr">
        <is>
          <t>A 4122-2025</t>
        </is>
      </c>
      <c r="B2484" s="1" t="n">
        <v>45685</v>
      </c>
      <c r="C2484" s="1" t="n">
        <v>45754</v>
      </c>
      <c r="D2484" t="inlineStr">
        <is>
          <t>JÄMTLANDS LÄN</t>
        </is>
      </c>
      <c r="E2484" t="inlineStr">
        <is>
          <t>BRÄCKE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4130-2025</t>
        </is>
      </c>
      <c r="B2485" s="1" t="n">
        <v>45685</v>
      </c>
      <c r="C2485" s="1" t="n">
        <v>45754</v>
      </c>
      <c r="D2485" t="inlineStr">
        <is>
          <t>JÄMTLANDS LÄN</t>
        </is>
      </c>
      <c r="E2485" t="inlineStr">
        <is>
          <t>BRÄCKE</t>
        </is>
      </c>
      <c r="F2485" t="inlineStr">
        <is>
          <t>SCA</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4121-2025</t>
        </is>
      </c>
      <c r="B2486" s="1" t="n">
        <v>45685</v>
      </c>
      <c r="C2486" s="1" t="n">
        <v>45754</v>
      </c>
      <c r="D2486" t="inlineStr">
        <is>
          <t>JÄMTLANDS LÄN</t>
        </is>
      </c>
      <c r="E2486" t="inlineStr">
        <is>
          <t>BRÄCKE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4123-2025</t>
        </is>
      </c>
      <c r="B2487" s="1" t="n">
        <v>45685</v>
      </c>
      <c r="C2487" s="1" t="n">
        <v>45754</v>
      </c>
      <c r="D2487" t="inlineStr">
        <is>
          <t>JÄMTLANDS LÄN</t>
        </is>
      </c>
      <c r="E2487" t="inlineStr">
        <is>
          <t>BRÄCKE</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4132-2025</t>
        </is>
      </c>
      <c r="B2488" s="1" t="n">
        <v>45685</v>
      </c>
      <c r="C2488" s="1" t="n">
        <v>45754</v>
      </c>
      <c r="D2488" t="inlineStr">
        <is>
          <t>JÄMTLANDS LÄN</t>
        </is>
      </c>
      <c r="E2488" t="inlineStr">
        <is>
          <t>BRÄCKE</t>
        </is>
      </c>
      <c r="F2488" t="inlineStr">
        <is>
          <t>SCA</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4424-2025</t>
        </is>
      </c>
      <c r="B2489" s="1" t="n">
        <v>45686</v>
      </c>
      <c r="C2489" s="1" t="n">
        <v>45754</v>
      </c>
      <c r="D2489" t="inlineStr">
        <is>
          <t>JÄMTLANDS LÄN</t>
        </is>
      </c>
      <c r="E2489" t="inlineStr">
        <is>
          <t>BRÄCKE</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4904-2025</t>
        </is>
      </c>
      <c r="B2490" s="1" t="n">
        <v>45688</v>
      </c>
      <c r="C2490" s="1" t="n">
        <v>45754</v>
      </c>
      <c r="D2490" t="inlineStr">
        <is>
          <t>JÄMTLANDS LÄN</t>
        </is>
      </c>
      <c r="E2490" t="inlineStr">
        <is>
          <t>BRÄCKE</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4911-2025</t>
        </is>
      </c>
      <c r="B2491" s="1" t="n">
        <v>45688</v>
      </c>
      <c r="C2491" s="1" t="n">
        <v>45754</v>
      </c>
      <c r="D2491" t="inlineStr">
        <is>
          <t>JÄMTLANDS LÄN</t>
        </is>
      </c>
      <c r="E2491" t="inlineStr">
        <is>
          <t>BRÄCKE</t>
        </is>
      </c>
      <c r="F2491" t="inlineStr">
        <is>
          <t>SCA</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4842-2025</t>
        </is>
      </c>
      <c r="B2492" s="1" t="n">
        <v>45688</v>
      </c>
      <c r="C2492" s="1" t="n">
        <v>45754</v>
      </c>
      <c r="D2492" t="inlineStr">
        <is>
          <t>JÄMTLANDS LÄN</t>
        </is>
      </c>
      <c r="E2492" t="inlineStr">
        <is>
          <t>BRÄCKE</t>
        </is>
      </c>
      <c r="F2492" t="inlineStr">
        <is>
          <t>SCA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4882-2025</t>
        </is>
      </c>
      <c r="B2493" s="1" t="n">
        <v>45688</v>
      </c>
      <c r="C2493" s="1" t="n">
        <v>45754</v>
      </c>
      <c r="D2493" t="inlineStr">
        <is>
          <t>JÄMTLANDS LÄN</t>
        </is>
      </c>
      <c r="E2493" t="inlineStr">
        <is>
          <t>BRÄCKE</t>
        </is>
      </c>
      <c r="F2493" t="inlineStr">
        <is>
          <t>SCA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4902-2025</t>
        </is>
      </c>
      <c r="B2494" s="1" t="n">
        <v>45688</v>
      </c>
      <c r="C2494" s="1" t="n">
        <v>45754</v>
      </c>
      <c r="D2494" t="inlineStr">
        <is>
          <t>JÄMTLANDS LÄN</t>
        </is>
      </c>
      <c r="E2494" t="inlineStr">
        <is>
          <t>BRÄCKE</t>
        </is>
      </c>
      <c r="F2494" t="inlineStr">
        <is>
          <t>SCA</t>
        </is>
      </c>
      <c r="G2494" t="n">
        <v>17.1</v>
      </c>
      <c r="H2494" t="n">
        <v>0</v>
      </c>
      <c r="I2494" t="n">
        <v>0</v>
      </c>
      <c r="J2494" t="n">
        <v>0</v>
      </c>
      <c r="K2494" t="n">
        <v>0</v>
      </c>
      <c r="L2494" t="n">
        <v>0</v>
      </c>
      <c r="M2494" t="n">
        <v>0</v>
      </c>
      <c r="N2494" t="n">
        <v>0</v>
      </c>
      <c r="O2494" t="n">
        <v>0</v>
      </c>
      <c r="P2494" t="n">
        <v>0</v>
      </c>
      <c r="Q2494" t="n">
        <v>0</v>
      </c>
      <c r="R2494" s="2" t="inlineStr"/>
    </row>
    <row r="2495" ht="15" customHeight="1">
      <c r="A2495" t="inlineStr">
        <is>
          <t>A 4914-2025</t>
        </is>
      </c>
      <c r="B2495" s="1" t="n">
        <v>45688</v>
      </c>
      <c r="C2495" s="1" t="n">
        <v>45754</v>
      </c>
      <c r="D2495" t="inlineStr">
        <is>
          <t>JÄMTLANDS LÄN</t>
        </is>
      </c>
      <c r="E2495" t="inlineStr">
        <is>
          <t>BRÄCKE</t>
        </is>
      </c>
      <c r="F2495" t="inlineStr">
        <is>
          <t>SCA</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4939-2025</t>
        </is>
      </c>
      <c r="B2496" s="1" t="n">
        <v>45688</v>
      </c>
      <c r="C2496" s="1" t="n">
        <v>45754</v>
      </c>
      <c r="D2496" t="inlineStr">
        <is>
          <t>JÄMTLANDS LÄN</t>
        </is>
      </c>
      <c r="E2496" t="inlineStr">
        <is>
          <t>BRÄCKE</t>
        </is>
      </c>
      <c r="F2496" t="inlineStr">
        <is>
          <t>Naturvårdsverket</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4841-2025</t>
        </is>
      </c>
      <c r="B2497" s="1" t="n">
        <v>45688</v>
      </c>
      <c r="C2497" s="1" t="n">
        <v>45754</v>
      </c>
      <c r="D2497" t="inlineStr">
        <is>
          <t>JÄMTLANDS LÄN</t>
        </is>
      </c>
      <c r="E2497" t="inlineStr">
        <is>
          <t>BRÄCKE</t>
        </is>
      </c>
      <c r="F2497" t="inlineStr">
        <is>
          <t>SCA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4845-2025</t>
        </is>
      </c>
      <c r="B2498" s="1" t="n">
        <v>45688</v>
      </c>
      <c r="C2498" s="1" t="n">
        <v>45754</v>
      </c>
      <c r="D2498" t="inlineStr">
        <is>
          <t>JÄMTLANDS LÄN</t>
        </is>
      </c>
      <c r="E2498" t="inlineStr">
        <is>
          <t>BRÄCKE</t>
        </is>
      </c>
      <c r="F2498" t="inlineStr">
        <is>
          <t>SCA</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4857-2025</t>
        </is>
      </c>
      <c r="B2499" s="1" t="n">
        <v>45688</v>
      </c>
      <c r="C2499" s="1" t="n">
        <v>45754</v>
      </c>
      <c r="D2499" t="inlineStr">
        <is>
          <t>JÄMTLANDS LÄN</t>
        </is>
      </c>
      <c r="E2499" t="inlineStr">
        <is>
          <t>BRÄCKE</t>
        </is>
      </c>
      <c r="F2499" t="inlineStr">
        <is>
          <t>SCA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4861-2025</t>
        </is>
      </c>
      <c r="B2500" s="1" t="n">
        <v>45688</v>
      </c>
      <c r="C2500" s="1" t="n">
        <v>45754</v>
      </c>
      <c r="D2500" t="inlineStr">
        <is>
          <t>JÄMTLANDS LÄN</t>
        </is>
      </c>
      <c r="E2500" t="inlineStr">
        <is>
          <t>BRÄCKE</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4869-2025</t>
        </is>
      </c>
      <c r="B2501" s="1" t="n">
        <v>45688</v>
      </c>
      <c r="C2501" s="1" t="n">
        <v>45754</v>
      </c>
      <c r="D2501" t="inlineStr">
        <is>
          <t>JÄMTLANDS LÄN</t>
        </is>
      </c>
      <c r="E2501" t="inlineStr">
        <is>
          <t>BRÄCKE</t>
        </is>
      </c>
      <c r="F2501" t="inlineStr">
        <is>
          <t>SCA</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4877-2025</t>
        </is>
      </c>
      <c r="B2502" s="1" t="n">
        <v>45688</v>
      </c>
      <c r="C2502" s="1" t="n">
        <v>45754</v>
      </c>
      <c r="D2502" t="inlineStr">
        <is>
          <t>JÄMTLANDS LÄN</t>
        </is>
      </c>
      <c r="E2502" t="inlineStr">
        <is>
          <t>BRÄCKE</t>
        </is>
      </c>
      <c r="F2502" t="inlineStr">
        <is>
          <t>SCA</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4893-2025</t>
        </is>
      </c>
      <c r="B2503" s="1" t="n">
        <v>45688</v>
      </c>
      <c r="C2503" s="1" t="n">
        <v>45754</v>
      </c>
      <c r="D2503" t="inlineStr">
        <is>
          <t>JÄMTLANDS LÄN</t>
        </is>
      </c>
      <c r="E2503" t="inlineStr">
        <is>
          <t>BRÄCKE</t>
        </is>
      </c>
      <c r="F2503" t="inlineStr">
        <is>
          <t>SCA</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4915-2025</t>
        </is>
      </c>
      <c r="B2504" s="1" t="n">
        <v>45688</v>
      </c>
      <c r="C2504" s="1" t="n">
        <v>45754</v>
      </c>
      <c r="D2504" t="inlineStr">
        <is>
          <t>JÄMTLANDS LÄN</t>
        </is>
      </c>
      <c r="E2504" t="inlineStr">
        <is>
          <t>BRÄCKE</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4887-2025</t>
        </is>
      </c>
      <c r="B2505" s="1" t="n">
        <v>45688</v>
      </c>
      <c r="C2505" s="1" t="n">
        <v>45754</v>
      </c>
      <c r="D2505" t="inlineStr">
        <is>
          <t>JÄMTLANDS LÄN</t>
        </is>
      </c>
      <c r="E2505" t="inlineStr">
        <is>
          <t>BRÄCKE</t>
        </is>
      </c>
      <c r="F2505" t="inlineStr">
        <is>
          <t>SCA</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4867-2025</t>
        </is>
      </c>
      <c r="B2506" s="1" t="n">
        <v>45688</v>
      </c>
      <c r="C2506" s="1" t="n">
        <v>45754</v>
      </c>
      <c r="D2506" t="inlineStr">
        <is>
          <t>JÄMTLANDS LÄN</t>
        </is>
      </c>
      <c r="E2506" t="inlineStr">
        <is>
          <t>BRÄCKE</t>
        </is>
      </c>
      <c r="F2506" t="inlineStr">
        <is>
          <t>SCA</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4847-2025</t>
        </is>
      </c>
      <c r="B2507" s="1" t="n">
        <v>45688</v>
      </c>
      <c r="C2507" s="1" t="n">
        <v>45754</v>
      </c>
      <c r="D2507" t="inlineStr">
        <is>
          <t>JÄMTLANDS LÄN</t>
        </is>
      </c>
      <c r="E2507" t="inlineStr">
        <is>
          <t>BRÄCKE</t>
        </is>
      </c>
      <c r="F2507" t="inlineStr">
        <is>
          <t>SCA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4884-2025</t>
        </is>
      </c>
      <c r="B2508" s="1" t="n">
        <v>45688</v>
      </c>
      <c r="C2508" s="1" t="n">
        <v>45754</v>
      </c>
      <c r="D2508" t="inlineStr">
        <is>
          <t>JÄMTLANDS LÄN</t>
        </is>
      </c>
      <c r="E2508" t="inlineStr">
        <is>
          <t>BRÄCKE</t>
        </is>
      </c>
      <c r="F2508" t="inlineStr">
        <is>
          <t>SCA</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4876-2025</t>
        </is>
      </c>
      <c r="B2509" s="1" t="n">
        <v>45688</v>
      </c>
      <c r="C2509" s="1" t="n">
        <v>45754</v>
      </c>
      <c r="D2509" t="inlineStr">
        <is>
          <t>JÄMTLANDS LÄN</t>
        </is>
      </c>
      <c r="E2509" t="inlineStr">
        <is>
          <t>BRÄCKE</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4848-2025</t>
        </is>
      </c>
      <c r="B2510" s="1" t="n">
        <v>45688</v>
      </c>
      <c r="C2510" s="1" t="n">
        <v>45754</v>
      </c>
      <c r="D2510" t="inlineStr">
        <is>
          <t>JÄMTLANDS LÄN</t>
        </is>
      </c>
      <c r="E2510" t="inlineStr">
        <is>
          <t>BRÄCKE</t>
        </is>
      </c>
      <c r="F2510" t="inlineStr">
        <is>
          <t>SCA</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4844-2025</t>
        </is>
      </c>
      <c r="B2511" s="1" t="n">
        <v>45688</v>
      </c>
      <c r="C2511" s="1" t="n">
        <v>45754</v>
      </c>
      <c r="D2511" t="inlineStr">
        <is>
          <t>JÄMTLANDS LÄN</t>
        </is>
      </c>
      <c r="E2511" t="inlineStr">
        <is>
          <t>BRÄCKE</t>
        </is>
      </c>
      <c r="F2511" t="inlineStr">
        <is>
          <t>SCA</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4836-2025</t>
        </is>
      </c>
      <c r="B2512" s="1" t="n">
        <v>45688</v>
      </c>
      <c r="C2512" s="1" t="n">
        <v>45754</v>
      </c>
      <c r="D2512" t="inlineStr">
        <is>
          <t>JÄMTLANDS LÄN</t>
        </is>
      </c>
      <c r="E2512" t="inlineStr">
        <is>
          <t>BRÄCKE</t>
        </is>
      </c>
      <c r="F2512" t="inlineStr">
        <is>
          <t>SCA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5096-2025</t>
        </is>
      </c>
      <c r="B2513" s="1" t="n">
        <v>45691</v>
      </c>
      <c r="C2513" s="1" t="n">
        <v>45754</v>
      </c>
      <c r="D2513" t="inlineStr">
        <is>
          <t>JÄMTLANDS LÄN</t>
        </is>
      </c>
      <c r="E2513" t="inlineStr">
        <is>
          <t>BRÄCKE</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5097-2025</t>
        </is>
      </c>
      <c r="B2514" s="1" t="n">
        <v>45691</v>
      </c>
      <c r="C2514" s="1" t="n">
        <v>45754</v>
      </c>
      <c r="D2514" t="inlineStr">
        <is>
          <t>JÄMTLANDS LÄN</t>
        </is>
      </c>
      <c r="E2514" t="inlineStr">
        <is>
          <t>BRÄCKE</t>
        </is>
      </c>
      <c r="F2514" t="inlineStr">
        <is>
          <t>SCA</t>
        </is>
      </c>
      <c r="G2514" t="n">
        <v>41.5</v>
      </c>
      <c r="H2514" t="n">
        <v>0</v>
      </c>
      <c r="I2514" t="n">
        <v>0</v>
      </c>
      <c r="J2514" t="n">
        <v>0</v>
      </c>
      <c r="K2514" t="n">
        <v>0</v>
      </c>
      <c r="L2514" t="n">
        <v>0</v>
      </c>
      <c r="M2514" t="n">
        <v>0</v>
      </c>
      <c r="N2514" t="n">
        <v>0</v>
      </c>
      <c r="O2514" t="n">
        <v>0</v>
      </c>
      <c r="P2514" t="n">
        <v>0</v>
      </c>
      <c r="Q2514" t="n">
        <v>0</v>
      </c>
      <c r="R2514" s="2" t="inlineStr"/>
    </row>
    <row r="2515" ht="15" customHeight="1">
      <c r="A2515" t="inlineStr">
        <is>
          <t>A 5005-2025</t>
        </is>
      </c>
      <c r="B2515" s="1" t="n">
        <v>45691</v>
      </c>
      <c r="C2515" s="1" t="n">
        <v>45754</v>
      </c>
      <c r="D2515" t="inlineStr">
        <is>
          <t>JÄMTLANDS LÄN</t>
        </is>
      </c>
      <c r="E2515" t="inlineStr">
        <is>
          <t>BRÄCKE</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5070-2025</t>
        </is>
      </c>
      <c r="B2516" s="1" t="n">
        <v>45691</v>
      </c>
      <c r="C2516" s="1" t="n">
        <v>45754</v>
      </c>
      <c r="D2516" t="inlineStr">
        <is>
          <t>JÄMTLANDS LÄN</t>
        </is>
      </c>
      <c r="E2516" t="inlineStr">
        <is>
          <t>BRÄCKE</t>
        </is>
      </c>
      <c r="F2516" t="inlineStr">
        <is>
          <t>SCA</t>
        </is>
      </c>
      <c r="G2516" t="n">
        <v>21.5</v>
      </c>
      <c r="H2516" t="n">
        <v>0</v>
      </c>
      <c r="I2516" t="n">
        <v>0</v>
      </c>
      <c r="J2516" t="n">
        <v>0</v>
      </c>
      <c r="K2516" t="n">
        <v>0</v>
      </c>
      <c r="L2516" t="n">
        <v>0</v>
      </c>
      <c r="M2516" t="n">
        <v>0</v>
      </c>
      <c r="N2516" t="n">
        <v>0</v>
      </c>
      <c r="O2516" t="n">
        <v>0</v>
      </c>
      <c r="P2516" t="n">
        <v>0</v>
      </c>
      <c r="Q2516" t="n">
        <v>0</v>
      </c>
      <c r="R2516" s="2" t="inlineStr"/>
    </row>
    <row r="2517" ht="15" customHeight="1">
      <c r="A2517" t="inlineStr">
        <is>
          <t>A 5169-2025</t>
        </is>
      </c>
      <c r="B2517" s="1" t="n">
        <v>45691</v>
      </c>
      <c r="C2517" s="1" t="n">
        <v>45754</v>
      </c>
      <c r="D2517" t="inlineStr">
        <is>
          <t>JÄMTLANDS LÄN</t>
        </is>
      </c>
      <c r="E2517" t="inlineStr">
        <is>
          <t>BRÄCKE</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5167-2025</t>
        </is>
      </c>
      <c r="B2518" s="1" t="n">
        <v>45691</v>
      </c>
      <c r="C2518" s="1" t="n">
        <v>45754</v>
      </c>
      <c r="D2518" t="inlineStr">
        <is>
          <t>JÄMTLANDS LÄN</t>
        </is>
      </c>
      <c r="E2518" t="inlineStr">
        <is>
          <t>BRÄCKE</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5340-2025</t>
        </is>
      </c>
      <c r="B2519" s="1" t="n">
        <v>45692</v>
      </c>
      <c r="C2519" s="1" t="n">
        <v>45754</v>
      </c>
      <c r="D2519" t="inlineStr">
        <is>
          <t>JÄMTLANDS LÄN</t>
        </is>
      </c>
      <c r="E2519" t="inlineStr">
        <is>
          <t>BRÄCKE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5250-2025</t>
        </is>
      </c>
      <c r="B2520" s="1" t="n">
        <v>45692</v>
      </c>
      <c r="C2520" s="1" t="n">
        <v>45754</v>
      </c>
      <c r="D2520" t="inlineStr">
        <is>
          <t>JÄMTLANDS LÄN</t>
        </is>
      </c>
      <c r="E2520" t="inlineStr">
        <is>
          <t>BRÄCKE</t>
        </is>
      </c>
      <c r="F2520" t="inlineStr">
        <is>
          <t>SCA</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5482-2025</t>
        </is>
      </c>
      <c r="B2521" s="1" t="n">
        <v>45693</v>
      </c>
      <c r="C2521" s="1" t="n">
        <v>45754</v>
      </c>
      <c r="D2521" t="inlineStr">
        <is>
          <t>JÄMTLANDS LÄN</t>
        </is>
      </c>
      <c r="E2521" t="inlineStr">
        <is>
          <t>BRÄCKE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5490-2025</t>
        </is>
      </c>
      <c r="B2522" s="1" t="n">
        <v>45693</v>
      </c>
      <c r="C2522" s="1" t="n">
        <v>45754</v>
      </c>
      <c r="D2522" t="inlineStr">
        <is>
          <t>JÄMTLANDS LÄN</t>
        </is>
      </c>
      <c r="E2522" t="inlineStr">
        <is>
          <t>BRÄCKE</t>
        </is>
      </c>
      <c r="F2522" t="inlineStr">
        <is>
          <t>SCA</t>
        </is>
      </c>
      <c r="G2522" t="n">
        <v>9.800000000000001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5525-2025</t>
        </is>
      </c>
      <c r="B2523" s="1" t="n">
        <v>45693</v>
      </c>
      <c r="C2523" s="1" t="n">
        <v>45754</v>
      </c>
      <c r="D2523" t="inlineStr">
        <is>
          <t>JÄMTLANDS LÄN</t>
        </is>
      </c>
      <c r="E2523" t="inlineStr">
        <is>
          <t>BRÄCKE</t>
        </is>
      </c>
      <c r="F2523" t="inlineStr">
        <is>
          <t>SCA</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5618-2025</t>
        </is>
      </c>
      <c r="B2524" s="1" t="n">
        <v>45693</v>
      </c>
      <c r="C2524" s="1" t="n">
        <v>45754</v>
      </c>
      <c r="D2524" t="inlineStr">
        <is>
          <t>JÄMTLANDS LÄN</t>
        </is>
      </c>
      <c r="E2524" t="inlineStr">
        <is>
          <t>BRÄCKE</t>
        </is>
      </c>
      <c r="F2524" t="inlineStr">
        <is>
          <t>SCA</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5621-2025</t>
        </is>
      </c>
      <c r="B2525" s="1" t="n">
        <v>45693</v>
      </c>
      <c r="C2525" s="1" t="n">
        <v>45754</v>
      </c>
      <c r="D2525" t="inlineStr">
        <is>
          <t>JÄMTLANDS LÄN</t>
        </is>
      </c>
      <c r="E2525" t="inlineStr">
        <is>
          <t>BRÄCKE</t>
        </is>
      </c>
      <c r="F2525" t="inlineStr">
        <is>
          <t>SCA</t>
        </is>
      </c>
      <c r="G2525" t="n">
        <v>8.4</v>
      </c>
      <c r="H2525" t="n">
        <v>0</v>
      </c>
      <c r="I2525" t="n">
        <v>0</v>
      </c>
      <c r="J2525" t="n">
        <v>0</v>
      </c>
      <c r="K2525" t="n">
        <v>0</v>
      </c>
      <c r="L2525" t="n">
        <v>0</v>
      </c>
      <c r="M2525" t="n">
        <v>0</v>
      </c>
      <c r="N2525" t="n">
        <v>0</v>
      </c>
      <c r="O2525" t="n">
        <v>0</v>
      </c>
      <c r="P2525" t="n">
        <v>0</v>
      </c>
      <c r="Q2525" t="n">
        <v>0</v>
      </c>
      <c r="R2525" s="2" t="inlineStr"/>
    </row>
    <row r="2526" ht="15" customHeight="1">
      <c r="A2526" t="inlineStr">
        <is>
          <t>A 5483-2025</t>
        </is>
      </c>
      <c r="B2526" s="1" t="n">
        <v>45693</v>
      </c>
      <c r="C2526" s="1" t="n">
        <v>45754</v>
      </c>
      <c r="D2526" t="inlineStr">
        <is>
          <t>JÄMTLANDS LÄN</t>
        </is>
      </c>
      <c r="E2526" t="inlineStr">
        <is>
          <t>BRÄCKE</t>
        </is>
      </c>
      <c r="F2526" t="inlineStr">
        <is>
          <t>SCA</t>
        </is>
      </c>
      <c r="G2526" t="n">
        <v>20.5</v>
      </c>
      <c r="H2526" t="n">
        <v>0</v>
      </c>
      <c r="I2526" t="n">
        <v>0</v>
      </c>
      <c r="J2526" t="n">
        <v>0</v>
      </c>
      <c r="K2526" t="n">
        <v>0</v>
      </c>
      <c r="L2526" t="n">
        <v>0</v>
      </c>
      <c r="M2526" t="n">
        <v>0</v>
      </c>
      <c r="N2526" t="n">
        <v>0</v>
      </c>
      <c r="O2526" t="n">
        <v>0</v>
      </c>
      <c r="P2526" t="n">
        <v>0</v>
      </c>
      <c r="Q2526" t="n">
        <v>0</v>
      </c>
      <c r="R2526" s="2" t="inlineStr"/>
    </row>
    <row r="2527" ht="15" customHeight="1">
      <c r="A2527" t="inlineStr">
        <is>
          <t>A 5536-2025</t>
        </is>
      </c>
      <c r="B2527" s="1" t="n">
        <v>45693</v>
      </c>
      <c r="C2527" s="1" t="n">
        <v>45754</v>
      </c>
      <c r="D2527" t="inlineStr">
        <is>
          <t>JÄMTLANDS LÄN</t>
        </is>
      </c>
      <c r="E2527" t="inlineStr">
        <is>
          <t>BRÄCKE</t>
        </is>
      </c>
      <c r="F2527" t="inlineStr">
        <is>
          <t>SCA</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5527-2025</t>
        </is>
      </c>
      <c r="B2528" s="1" t="n">
        <v>45693</v>
      </c>
      <c r="C2528" s="1" t="n">
        <v>45754</v>
      </c>
      <c r="D2528" t="inlineStr">
        <is>
          <t>JÄMTLANDS LÄN</t>
        </is>
      </c>
      <c r="E2528" t="inlineStr">
        <is>
          <t>BRÄCKE</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5537-2025</t>
        </is>
      </c>
      <c r="B2529" s="1" t="n">
        <v>45693</v>
      </c>
      <c r="C2529" s="1" t="n">
        <v>45754</v>
      </c>
      <c r="D2529" t="inlineStr">
        <is>
          <t>JÄMTLANDS LÄN</t>
        </is>
      </c>
      <c r="E2529" t="inlineStr">
        <is>
          <t>BRÄCKE</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5516-2025</t>
        </is>
      </c>
      <c r="B2530" s="1" t="n">
        <v>45693</v>
      </c>
      <c r="C2530" s="1" t="n">
        <v>45754</v>
      </c>
      <c r="D2530" t="inlineStr">
        <is>
          <t>JÄMTLANDS LÄN</t>
        </is>
      </c>
      <c r="E2530" t="inlineStr">
        <is>
          <t>BRÄCKE</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5682-2025</t>
        </is>
      </c>
      <c r="B2531" s="1" t="n">
        <v>45694</v>
      </c>
      <c r="C2531" s="1" t="n">
        <v>45754</v>
      </c>
      <c r="D2531" t="inlineStr">
        <is>
          <t>JÄMTLANDS LÄN</t>
        </is>
      </c>
      <c r="E2531" t="inlineStr">
        <is>
          <t>BRÄCKE</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5777-2025</t>
        </is>
      </c>
      <c r="B2532" s="1" t="n">
        <v>45694</v>
      </c>
      <c r="C2532" s="1" t="n">
        <v>45754</v>
      </c>
      <c r="D2532" t="inlineStr">
        <is>
          <t>JÄMTLANDS LÄN</t>
        </is>
      </c>
      <c r="E2532" t="inlineStr">
        <is>
          <t>BRÄCKE</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5933-2025</t>
        </is>
      </c>
      <c r="B2533" s="1" t="n">
        <v>45695</v>
      </c>
      <c r="C2533" s="1" t="n">
        <v>45754</v>
      </c>
      <c r="D2533" t="inlineStr">
        <is>
          <t>JÄMTLANDS LÄN</t>
        </is>
      </c>
      <c r="E2533" t="inlineStr">
        <is>
          <t>BRÄCKE</t>
        </is>
      </c>
      <c r="F2533" t="inlineStr">
        <is>
          <t>SCA</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5855-2025</t>
        </is>
      </c>
      <c r="B2534" s="1" t="n">
        <v>45695</v>
      </c>
      <c r="C2534" s="1" t="n">
        <v>45754</v>
      </c>
      <c r="D2534" t="inlineStr">
        <is>
          <t>JÄMTLANDS LÄN</t>
        </is>
      </c>
      <c r="E2534" t="inlineStr">
        <is>
          <t>BRÄCKE</t>
        </is>
      </c>
      <c r="F2534" t="inlineStr">
        <is>
          <t>SCA</t>
        </is>
      </c>
      <c r="G2534" t="n">
        <v>2.4</v>
      </c>
      <c r="H2534" t="n">
        <v>0</v>
      </c>
      <c r="I2534" t="n">
        <v>0</v>
      </c>
      <c r="J2534" t="n">
        <v>0</v>
      </c>
      <c r="K2534" t="n">
        <v>0</v>
      </c>
      <c r="L2534" t="n">
        <v>0</v>
      </c>
      <c r="M2534" t="n">
        <v>0</v>
      </c>
      <c r="N2534" t="n">
        <v>0</v>
      </c>
      <c r="O2534" t="n">
        <v>0</v>
      </c>
      <c r="P2534" t="n">
        <v>0</v>
      </c>
      <c r="Q2534" t="n">
        <v>0</v>
      </c>
      <c r="R2534" s="2" t="inlineStr"/>
      <c r="U2534">
        <f>HYPERLINK("https://klasma.github.io/Logging_2305/knärot/A 5855-2025 karta knärot.png", "A 5855-2025")</f>
        <v/>
      </c>
      <c r="V2534">
        <f>HYPERLINK("https://klasma.github.io/Logging_2305/klagomål/A 5855-2025 FSC-klagomål.docx", "A 5855-2025")</f>
        <v/>
      </c>
      <c r="W2534">
        <f>HYPERLINK("https://klasma.github.io/Logging_2305/klagomålsmail/A 5855-2025 FSC-klagomål mail.docx", "A 5855-2025")</f>
        <v/>
      </c>
      <c r="X2534">
        <f>HYPERLINK("https://klasma.github.io/Logging_2305/tillsyn/A 5855-2025 tillsynsbegäran.docx", "A 5855-2025")</f>
        <v/>
      </c>
      <c r="Y2534">
        <f>HYPERLINK("https://klasma.github.io/Logging_2305/tillsynsmail/A 5855-2025 tillsynsbegäran mail.docx", "A 5855-2025")</f>
        <v/>
      </c>
    </row>
    <row r="2535" ht="15" customHeight="1">
      <c r="A2535" t="inlineStr">
        <is>
          <t>A 6258-2025</t>
        </is>
      </c>
      <c r="B2535" s="1" t="n">
        <v>45698</v>
      </c>
      <c r="C2535" s="1" t="n">
        <v>45754</v>
      </c>
      <c r="D2535" t="inlineStr">
        <is>
          <t>JÄMTLANDS LÄN</t>
        </is>
      </c>
      <c r="E2535" t="inlineStr">
        <is>
          <t>BRÄCKE</t>
        </is>
      </c>
      <c r="F2535" t="inlineStr">
        <is>
          <t>SCA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6291-2025</t>
        </is>
      </c>
      <c r="B2536" s="1" t="n">
        <v>45698</v>
      </c>
      <c r="C2536" s="1" t="n">
        <v>45754</v>
      </c>
      <c r="D2536" t="inlineStr">
        <is>
          <t>JÄMTLANDS LÄN</t>
        </is>
      </c>
      <c r="E2536" t="inlineStr">
        <is>
          <t>BRÄCKE</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6213-2025</t>
        </is>
      </c>
      <c r="B2537" s="1" t="n">
        <v>45698</v>
      </c>
      <c r="C2537" s="1" t="n">
        <v>45754</v>
      </c>
      <c r="D2537" t="inlineStr">
        <is>
          <t>JÄMTLANDS LÄN</t>
        </is>
      </c>
      <c r="E2537" t="inlineStr">
        <is>
          <t>BRÄCKE</t>
        </is>
      </c>
      <c r="F2537" t="inlineStr">
        <is>
          <t>SCA</t>
        </is>
      </c>
      <c r="G2537" t="n">
        <v>11.4</v>
      </c>
      <c r="H2537" t="n">
        <v>0</v>
      </c>
      <c r="I2537" t="n">
        <v>0</v>
      </c>
      <c r="J2537" t="n">
        <v>0</v>
      </c>
      <c r="K2537" t="n">
        <v>0</v>
      </c>
      <c r="L2537" t="n">
        <v>0</v>
      </c>
      <c r="M2537" t="n">
        <v>0</v>
      </c>
      <c r="N2537" t="n">
        <v>0</v>
      </c>
      <c r="O2537" t="n">
        <v>0</v>
      </c>
      <c r="P2537" t="n">
        <v>0</v>
      </c>
      <c r="Q2537" t="n">
        <v>0</v>
      </c>
      <c r="R2537" s="2" t="inlineStr"/>
    </row>
    <row r="2538" ht="15" customHeight="1">
      <c r="A2538" t="inlineStr">
        <is>
          <t>A 6378-2025</t>
        </is>
      </c>
      <c r="B2538" s="1" t="n">
        <v>45699</v>
      </c>
      <c r="C2538" s="1" t="n">
        <v>45754</v>
      </c>
      <c r="D2538" t="inlineStr">
        <is>
          <t>JÄMTLANDS LÄN</t>
        </is>
      </c>
      <c r="E2538" t="inlineStr">
        <is>
          <t>BRÄCKE</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6377-2025</t>
        </is>
      </c>
      <c r="B2539" s="1" t="n">
        <v>45699</v>
      </c>
      <c r="C2539" s="1" t="n">
        <v>45754</v>
      </c>
      <c r="D2539" t="inlineStr">
        <is>
          <t>JÄMTLANDS LÄN</t>
        </is>
      </c>
      <c r="E2539" t="inlineStr">
        <is>
          <t>BRÄCKE</t>
        </is>
      </c>
      <c r="F2539" t="inlineStr">
        <is>
          <t>SCA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6416-2025</t>
        </is>
      </c>
      <c r="B2540" s="1" t="n">
        <v>45699</v>
      </c>
      <c r="C2540" s="1" t="n">
        <v>45754</v>
      </c>
      <c r="D2540" t="inlineStr">
        <is>
          <t>JÄMTLANDS LÄN</t>
        </is>
      </c>
      <c r="E2540" t="inlineStr">
        <is>
          <t>BRÄCKE</t>
        </is>
      </c>
      <c r="F2540" t="inlineStr">
        <is>
          <t>SCA</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6788-2025</t>
        </is>
      </c>
      <c r="B2541" s="1" t="n">
        <v>45700</v>
      </c>
      <c r="C2541" s="1" t="n">
        <v>45754</v>
      </c>
      <c r="D2541" t="inlineStr">
        <is>
          <t>JÄMTLANDS LÄN</t>
        </is>
      </c>
      <c r="E2541" t="inlineStr">
        <is>
          <t>BRÄCKE</t>
        </is>
      </c>
      <c r="F2541" t="inlineStr">
        <is>
          <t>SCA</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6786-2025</t>
        </is>
      </c>
      <c r="B2542" s="1" t="n">
        <v>45700</v>
      </c>
      <c r="C2542" s="1" t="n">
        <v>45754</v>
      </c>
      <c r="D2542" t="inlineStr">
        <is>
          <t>JÄMTLANDS LÄN</t>
        </is>
      </c>
      <c r="E2542" t="inlineStr">
        <is>
          <t>BRÄCKE</t>
        </is>
      </c>
      <c r="F2542" t="inlineStr">
        <is>
          <t>SCA</t>
        </is>
      </c>
      <c r="G2542" t="n">
        <v>10.5</v>
      </c>
      <c r="H2542" t="n">
        <v>0</v>
      </c>
      <c r="I2542" t="n">
        <v>0</v>
      </c>
      <c r="J2542" t="n">
        <v>0</v>
      </c>
      <c r="K2542" t="n">
        <v>0</v>
      </c>
      <c r="L2542" t="n">
        <v>0</v>
      </c>
      <c r="M2542" t="n">
        <v>0</v>
      </c>
      <c r="N2542" t="n">
        <v>0</v>
      </c>
      <c r="O2542" t="n">
        <v>0</v>
      </c>
      <c r="P2542" t="n">
        <v>0</v>
      </c>
      <c r="Q2542" t="n">
        <v>0</v>
      </c>
      <c r="R2542" s="2" t="inlineStr"/>
    </row>
    <row r="2543" ht="15" customHeight="1">
      <c r="A2543" t="inlineStr">
        <is>
          <t>A 6813-2025</t>
        </is>
      </c>
      <c r="B2543" s="1" t="n">
        <v>45700</v>
      </c>
      <c r="C2543" s="1" t="n">
        <v>45754</v>
      </c>
      <c r="D2543" t="inlineStr">
        <is>
          <t>JÄMTLANDS LÄN</t>
        </is>
      </c>
      <c r="E2543" t="inlineStr">
        <is>
          <t>BRÄCKE</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6707-2025</t>
        </is>
      </c>
      <c r="B2544" s="1" t="n">
        <v>45700</v>
      </c>
      <c r="C2544" s="1" t="n">
        <v>45754</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6626-2025</t>
        </is>
      </c>
      <c r="B2545" s="1" t="n">
        <v>45700</v>
      </c>
      <c r="C2545" s="1" t="n">
        <v>45754</v>
      </c>
      <c r="D2545" t="inlineStr">
        <is>
          <t>JÄMTLANDS LÄN</t>
        </is>
      </c>
      <c r="E2545" t="inlineStr">
        <is>
          <t>BRÄCKE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6622-2025</t>
        </is>
      </c>
      <c r="B2546" s="1" t="n">
        <v>45700</v>
      </c>
      <c r="C2546" s="1" t="n">
        <v>45754</v>
      </c>
      <c r="D2546" t="inlineStr">
        <is>
          <t>JÄMTLANDS LÄN</t>
        </is>
      </c>
      <c r="E2546" t="inlineStr">
        <is>
          <t>BRÄCKE</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6878-2025</t>
        </is>
      </c>
      <c r="B2547" s="1" t="n">
        <v>45701</v>
      </c>
      <c r="C2547" s="1" t="n">
        <v>45754</v>
      </c>
      <c r="D2547" t="inlineStr">
        <is>
          <t>JÄMTLANDS LÄN</t>
        </is>
      </c>
      <c r="E2547" t="inlineStr">
        <is>
          <t>BRÄCKE</t>
        </is>
      </c>
      <c r="G2547" t="n">
        <v>16.2</v>
      </c>
      <c r="H2547" t="n">
        <v>0</v>
      </c>
      <c r="I2547" t="n">
        <v>0</v>
      </c>
      <c r="J2547" t="n">
        <v>0</v>
      </c>
      <c r="K2547" t="n">
        <v>0</v>
      </c>
      <c r="L2547" t="n">
        <v>0</v>
      </c>
      <c r="M2547" t="n">
        <v>0</v>
      </c>
      <c r="N2547" t="n">
        <v>0</v>
      </c>
      <c r="O2547" t="n">
        <v>0</v>
      </c>
      <c r="P2547" t="n">
        <v>0</v>
      </c>
      <c r="Q2547" t="n">
        <v>0</v>
      </c>
      <c r="R2547" s="2" t="inlineStr"/>
    </row>
    <row r="2548" ht="15" customHeight="1">
      <c r="A2548" t="inlineStr">
        <is>
          <t>A 7301-2025</t>
        </is>
      </c>
      <c r="B2548" s="1" t="n">
        <v>45702</v>
      </c>
      <c r="C2548" s="1" t="n">
        <v>45754</v>
      </c>
      <c r="D2548" t="inlineStr">
        <is>
          <t>JÄMTLANDS LÄN</t>
        </is>
      </c>
      <c r="E2548" t="inlineStr">
        <is>
          <t>BRÄCKE</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7123-2025</t>
        </is>
      </c>
      <c r="B2549" s="1" t="n">
        <v>45702</v>
      </c>
      <c r="C2549" s="1" t="n">
        <v>45754</v>
      </c>
      <c r="D2549" t="inlineStr">
        <is>
          <t>JÄMTLANDS LÄN</t>
        </is>
      </c>
      <c r="E2549" t="inlineStr">
        <is>
          <t>BRÄCKE</t>
        </is>
      </c>
      <c r="F2549" t="inlineStr">
        <is>
          <t>SCA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7230-2025</t>
        </is>
      </c>
      <c r="B2550" s="1" t="n">
        <v>45702</v>
      </c>
      <c r="C2550" s="1" t="n">
        <v>45754</v>
      </c>
      <c r="D2550" t="inlineStr">
        <is>
          <t>JÄMTLANDS LÄN</t>
        </is>
      </c>
      <c r="E2550" t="inlineStr">
        <is>
          <t>BRÄCKE</t>
        </is>
      </c>
      <c r="F2550" t="inlineStr">
        <is>
          <t>SCA</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7588-2025</t>
        </is>
      </c>
      <c r="B2551" s="1" t="n">
        <v>45705</v>
      </c>
      <c r="C2551" s="1" t="n">
        <v>45754</v>
      </c>
      <c r="D2551" t="inlineStr">
        <is>
          <t>JÄMTLANDS LÄN</t>
        </is>
      </c>
      <c r="E2551" t="inlineStr">
        <is>
          <t>BRÄCKE</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7443-2025</t>
        </is>
      </c>
      <c r="B2552" s="1" t="n">
        <v>45705</v>
      </c>
      <c r="C2552" s="1" t="n">
        <v>45754</v>
      </c>
      <c r="D2552" t="inlineStr">
        <is>
          <t>JÄMTLANDS LÄN</t>
        </is>
      </c>
      <c r="E2552" t="inlineStr">
        <is>
          <t>BRÄCKE</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7396-2025</t>
        </is>
      </c>
      <c r="B2553" s="1" t="n">
        <v>45705</v>
      </c>
      <c r="C2553" s="1" t="n">
        <v>45754</v>
      </c>
      <c r="D2553" t="inlineStr">
        <is>
          <t>JÄMTLANDS LÄN</t>
        </is>
      </c>
      <c r="E2553" t="inlineStr">
        <is>
          <t>BRÄCKE</t>
        </is>
      </c>
      <c r="F2553" t="inlineStr">
        <is>
          <t>SCA</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7512-2025</t>
        </is>
      </c>
      <c r="B2554" s="1" t="n">
        <v>45705</v>
      </c>
      <c r="C2554" s="1" t="n">
        <v>45754</v>
      </c>
      <c r="D2554" t="inlineStr">
        <is>
          <t>JÄMTLANDS LÄN</t>
        </is>
      </c>
      <c r="E2554" t="inlineStr">
        <is>
          <t>BRÄCKE</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7757-2025</t>
        </is>
      </c>
      <c r="B2555" s="1" t="n">
        <v>45706</v>
      </c>
      <c r="C2555" s="1" t="n">
        <v>45754</v>
      </c>
      <c r="D2555" t="inlineStr">
        <is>
          <t>JÄMTLANDS LÄN</t>
        </is>
      </c>
      <c r="E2555" t="inlineStr">
        <is>
          <t>BRÄCKE</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7756-2025</t>
        </is>
      </c>
      <c r="B2556" s="1" t="n">
        <v>45706</v>
      </c>
      <c r="C2556" s="1" t="n">
        <v>45754</v>
      </c>
      <c r="D2556" t="inlineStr">
        <is>
          <t>JÄMTLANDS LÄN</t>
        </is>
      </c>
      <c r="E2556" t="inlineStr">
        <is>
          <t>BRÄCKE</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7765-2025</t>
        </is>
      </c>
      <c r="B2557" s="1" t="n">
        <v>45706</v>
      </c>
      <c r="C2557" s="1" t="n">
        <v>45754</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7686-2025</t>
        </is>
      </c>
      <c r="B2558" s="1" t="n">
        <v>45706</v>
      </c>
      <c r="C2558" s="1" t="n">
        <v>45754</v>
      </c>
      <c r="D2558" t="inlineStr">
        <is>
          <t>JÄMTLANDS LÄN</t>
        </is>
      </c>
      <c r="E2558" t="inlineStr">
        <is>
          <t>BRÄCKE</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7735-2025</t>
        </is>
      </c>
      <c r="B2559" s="1" t="n">
        <v>45706</v>
      </c>
      <c r="C2559" s="1" t="n">
        <v>45754</v>
      </c>
      <c r="D2559" t="inlineStr">
        <is>
          <t>JÄMTLANDS LÄN</t>
        </is>
      </c>
      <c r="E2559" t="inlineStr">
        <is>
          <t>BRÄCKE</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8004-2025</t>
        </is>
      </c>
      <c r="B2560" s="1" t="n">
        <v>45707</v>
      </c>
      <c r="C2560" s="1" t="n">
        <v>45754</v>
      </c>
      <c r="D2560" t="inlineStr">
        <is>
          <t>JÄMTLANDS LÄN</t>
        </is>
      </c>
      <c r="E2560" t="inlineStr">
        <is>
          <t>BRÄCKE</t>
        </is>
      </c>
      <c r="F2560" t="inlineStr">
        <is>
          <t>SCA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7944-2025</t>
        </is>
      </c>
      <c r="B2561" s="1" t="n">
        <v>45707</v>
      </c>
      <c r="C2561" s="1" t="n">
        <v>45754</v>
      </c>
      <c r="D2561" t="inlineStr">
        <is>
          <t>JÄMTLANDS LÄN</t>
        </is>
      </c>
      <c r="E2561" t="inlineStr">
        <is>
          <t>BRÄCKE</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7943-2025</t>
        </is>
      </c>
      <c r="B2562" s="1" t="n">
        <v>45707</v>
      </c>
      <c r="C2562" s="1" t="n">
        <v>45754</v>
      </c>
      <c r="D2562" t="inlineStr">
        <is>
          <t>JÄMTLANDS LÄN</t>
        </is>
      </c>
      <c r="E2562" t="inlineStr">
        <is>
          <t>BRÄCKE</t>
        </is>
      </c>
      <c r="F2562" t="inlineStr">
        <is>
          <t>SCA</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8312-2025</t>
        </is>
      </c>
      <c r="B2563" s="1" t="n">
        <v>45708</v>
      </c>
      <c r="C2563" s="1" t="n">
        <v>45754</v>
      </c>
      <c r="D2563" t="inlineStr">
        <is>
          <t>JÄMTLANDS LÄN</t>
        </is>
      </c>
      <c r="E2563" t="inlineStr">
        <is>
          <t>BRÄCKE</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8258-2025</t>
        </is>
      </c>
      <c r="B2564" s="1" t="n">
        <v>45708</v>
      </c>
      <c r="C2564" s="1" t="n">
        <v>45754</v>
      </c>
      <c r="D2564" t="inlineStr">
        <is>
          <t>JÄMTLANDS LÄN</t>
        </is>
      </c>
      <c r="E2564" t="inlineStr">
        <is>
          <t>BRÄCKE</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8311-2025</t>
        </is>
      </c>
      <c r="B2565" s="1" t="n">
        <v>45708</v>
      </c>
      <c r="C2565" s="1" t="n">
        <v>45754</v>
      </c>
      <c r="D2565" t="inlineStr">
        <is>
          <t>JÄMTLANDS LÄN</t>
        </is>
      </c>
      <c r="E2565" t="inlineStr">
        <is>
          <t>BRÄCKE</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8386-2025</t>
        </is>
      </c>
      <c r="B2566" s="1" t="n">
        <v>45709</v>
      </c>
      <c r="C2566" s="1" t="n">
        <v>45754</v>
      </c>
      <c r="D2566" t="inlineStr">
        <is>
          <t>JÄMTLANDS LÄN</t>
        </is>
      </c>
      <c r="E2566" t="inlineStr">
        <is>
          <t>BRÄCKE</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8507-2025</t>
        </is>
      </c>
      <c r="B2567" s="1" t="n">
        <v>45709</v>
      </c>
      <c r="C2567" s="1" t="n">
        <v>45754</v>
      </c>
      <c r="D2567" t="inlineStr">
        <is>
          <t>JÄMTLANDS LÄN</t>
        </is>
      </c>
      <c r="E2567" t="inlineStr">
        <is>
          <t>BRÄCKE</t>
        </is>
      </c>
      <c r="F2567" t="inlineStr">
        <is>
          <t>SCA</t>
        </is>
      </c>
      <c r="G2567" t="n">
        <v>30.9</v>
      </c>
      <c r="H2567" t="n">
        <v>0</v>
      </c>
      <c r="I2567" t="n">
        <v>0</v>
      </c>
      <c r="J2567" t="n">
        <v>0</v>
      </c>
      <c r="K2567" t="n">
        <v>0</v>
      </c>
      <c r="L2567" t="n">
        <v>0</v>
      </c>
      <c r="M2567" t="n">
        <v>0</v>
      </c>
      <c r="N2567" t="n">
        <v>0</v>
      </c>
      <c r="O2567" t="n">
        <v>0</v>
      </c>
      <c r="P2567" t="n">
        <v>0</v>
      </c>
      <c r="Q2567" t="n">
        <v>0</v>
      </c>
      <c r="R2567" s="2" t="inlineStr"/>
    </row>
    <row r="2568" ht="15" customHeight="1">
      <c r="A2568" t="inlineStr">
        <is>
          <t>A 8777-2025</t>
        </is>
      </c>
      <c r="B2568" s="1" t="n">
        <v>45712</v>
      </c>
      <c r="C2568" s="1" t="n">
        <v>45754</v>
      </c>
      <c r="D2568" t="inlineStr">
        <is>
          <t>JÄMTLANDS LÄN</t>
        </is>
      </c>
      <c r="E2568" t="inlineStr">
        <is>
          <t>BRÄCKE</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8757-2025</t>
        </is>
      </c>
      <c r="B2569" s="1" t="n">
        <v>45712</v>
      </c>
      <c r="C2569" s="1" t="n">
        <v>45754</v>
      </c>
      <c r="D2569" t="inlineStr">
        <is>
          <t>JÄMTLANDS LÄN</t>
        </is>
      </c>
      <c r="E2569" t="inlineStr">
        <is>
          <t>BRÄCKE</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8739-2025</t>
        </is>
      </c>
      <c r="B2570" s="1" t="n">
        <v>45712</v>
      </c>
      <c r="C2570" s="1" t="n">
        <v>45754</v>
      </c>
      <c r="D2570" t="inlineStr">
        <is>
          <t>JÄMTLANDS LÄN</t>
        </is>
      </c>
      <c r="E2570" t="inlineStr">
        <is>
          <t>BRÄCKE</t>
        </is>
      </c>
      <c r="F2570" t="inlineStr">
        <is>
          <t>SCA</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8730-2025</t>
        </is>
      </c>
      <c r="B2571" s="1" t="n">
        <v>45712</v>
      </c>
      <c r="C2571" s="1" t="n">
        <v>45754</v>
      </c>
      <c r="D2571" t="inlineStr">
        <is>
          <t>JÄMTLANDS LÄN</t>
        </is>
      </c>
      <c r="E2571" t="inlineStr">
        <is>
          <t>BRÄCKE</t>
        </is>
      </c>
      <c r="F2571" t="inlineStr">
        <is>
          <t>SCA</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8780-2025</t>
        </is>
      </c>
      <c r="B2572" s="1" t="n">
        <v>45712</v>
      </c>
      <c r="C2572" s="1" t="n">
        <v>45754</v>
      </c>
      <c r="D2572" t="inlineStr">
        <is>
          <t>JÄMTLANDS LÄN</t>
        </is>
      </c>
      <c r="E2572" t="inlineStr">
        <is>
          <t>BRÄCKE</t>
        </is>
      </c>
      <c r="F2572" t="inlineStr">
        <is>
          <t>SCA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8891-2025</t>
        </is>
      </c>
      <c r="B2573" s="1" t="n">
        <v>45713</v>
      </c>
      <c r="C2573" s="1" t="n">
        <v>45754</v>
      </c>
      <c r="D2573" t="inlineStr">
        <is>
          <t>JÄMTLANDS LÄN</t>
        </is>
      </c>
      <c r="E2573" t="inlineStr">
        <is>
          <t>BRÄCKE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9091-2025</t>
        </is>
      </c>
      <c r="B2574" s="1" t="n">
        <v>45713</v>
      </c>
      <c r="C2574" s="1" t="n">
        <v>45754</v>
      </c>
      <c r="D2574" t="inlineStr">
        <is>
          <t>JÄMTLANDS LÄN</t>
        </is>
      </c>
      <c r="E2574" t="inlineStr">
        <is>
          <t>BRÄCKE</t>
        </is>
      </c>
      <c r="F2574" t="inlineStr">
        <is>
          <t>SCA</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8853-2025</t>
        </is>
      </c>
      <c r="B2575" s="1" t="n">
        <v>45713</v>
      </c>
      <c r="C2575" s="1" t="n">
        <v>45754</v>
      </c>
      <c r="D2575" t="inlineStr">
        <is>
          <t>JÄMTLANDS LÄN</t>
        </is>
      </c>
      <c r="E2575" t="inlineStr">
        <is>
          <t>BRÄCKE</t>
        </is>
      </c>
      <c r="F2575" t="inlineStr">
        <is>
          <t>SCA</t>
        </is>
      </c>
      <c r="G2575" t="n">
        <v>15.7</v>
      </c>
      <c r="H2575" t="n">
        <v>0</v>
      </c>
      <c r="I2575" t="n">
        <v>0</v>
      </c>
      <c r="J2575" t="n">
        <v>0</v>
      </c>
      <c r="K2575" t="n">
        <v>0</v>
      </c>
      <c r="L2575" t="n">
        <v>0</v>
      </c>
      <c r="M2575" t="n">
        <v>0</v>
      </c>
      <c r="N2575" t="n">
        <v>0</v>
      </c>
      <c r="O2575" t="n">
        <v>0</v>
      </c>
      <c r="P2575" t="n">
        <v>0</v>
      </c>
      <c r="Q2575" t="n">
        <v>0</v>
      </c>
      <c r="R2575" s="2" t="inlineStr"/>
    </row>
    <row r="2576" ht="15" customHeight="1">
      <c r="A2576" t="inlineStr">
        <is>
          <t>A 8885-2025</t>
        </is>
      </c>
      <c r="B2576" s="1" t="n">
        <v>45713</v>
      </c>
      <c r="C2576" s="1" t="n">
        <v>45754</v>
      </c>
      <c r="D2576" t="inlineStr">
        <is>
          <t>JÄMTLANDS LÄN</t>
        </is>
      </c>
      <c r="E2576" t="inlineStr">
        <is>
          <t>BRÄCKE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8890-2025</t>
        </is>
      </c>
      <c r="B2577" s="1" t="n">
        <v>45713</v>
      </c>
      <c r="C2577" s="1" t="n">
        <v>45754</v>
      </c>
      <c r="D2577" t="inlineStr">
        <is>
          <t>JÄMTLANDS LÄN</t>
        </is>
      </c>
      <c r="E2577" t="inlineStr">
        <is>
          <t>BRÄCKE</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9150-2025</t>
        </is>
      </c>
      <c r="B2578" s="1" t="n">
        <v>45714</v>
      </c>
      <c r="C2578" s="1" t="n">
        <v>45754</v>
      </c>
      <c r="D2578" t="inlineStr">
        <is>
          <t>JÄMTLANDS LÄN</t>
        </is>
      </c>
      <c r="E2578" t="inlineStr">
        <is>
          <t>BRÄCKE</t>
        </is>
      </c>
      <c r="F2578" t="inlineStr">
        <is>
          <t>SCA</t>
        </is>
      </c>
      <c r="G2578" t="n">
        <v>29.6</v>
      </c>
      <c r="H2578" t="n">
        <v>0</v>
      </c>
      <c r="I2578" t="n">
        <v>0</v>
      </c>
      <c r="J2578" t="n">
        <v>0</v>
      </c>
      <c r="K2578" t="n">
        <v>0</v>
      </c>
      <c r="L2578" t="n">
        <v>0</v>
      </c>
      <c r="M2578" t="n">
        <v>0</v>
      </c>
      <c r="N2578" t="n">
        <v>0</v>
      </c>
      <c r="O2578" t="n">
        <v>0</v>
      </c>
      <c r="P2578" t="n">
        <v>0</v>
      </c>
      <c r="Q2578" t="n">
        <v>0</v>
      </c>
      <c r="R2578" s="2" t="inlineStr"/>
    </row>
    <row r="2579" ht="15" customHeight="1">
      <c r="A2579" t="inlineStr">
        <is>
          <t>A 9434-2025</t>
        </is>
      </c>
      <c r="B2579" s="1" t="n">
        <v>45715</v>
      </c>
      <c r="C2579" s="1" t="n">
        <v>45754</v>
      </c>
      <c r="D2579" t="inlineStr">
        <is>
          <t>JÄMTLANDS LÄN</t>
        </is>
      </c>
      <c r="E2579" t="inlineStr">
        <is>
          <t>BRÄCKE</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9467-2025</t>
        </is>
      </c>
      <c r="B2580" s="1" t="n">
        <v>45715</v>
      </c>
      <c r="C2580" s="1" t="n">
        <v>45754</v>
      </c>
      <c r="D2580" t="inlineStr">
        <is>
          <t>JÄMTLANDS LÄN</t>
        </is>
      </c>
      <c r="E2580" t="inlineStr">
        <is>
          <t>BRÄCKE</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9565-2025</t>
        </is>
      </c>
      <c r="B2581" s="1" t="n">
        <v>45715</v>
      </c>
      <c r="C2581" s="1" t="n">
        <v>45754</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9386-2025</t>
        </is>
      </c>
      <c r="B2582" s="1" t="n">
        <v>45715</v>
      </c>
      <c r="C2582" s="1" t="n">
        <v>45754</v>
      </c>
      <c r="D2582" t="inlineStr">
        <is>
          <t>JÄMTLANDS LÄN</t>
        </is>
      </c>
      <c r="E2582" t="inlineStr">
        <is>
          <t>BRÄCKE</t>
        </is>
      </c>
      <c r="F2582" t="inlineStr">
        <is>
          <t>SCA</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9387-2025</t>
        </is>
      </c>
      <c r="B2583" s="1" t="n">
        <v>45715</v>
      </c>
      <c r="C2583" s="1" t="n">
        <v>45754</v>
      </c>
      <c r="D2583" t="inlineStr">
        <is>
          <t>JÄMTLANDS LÄN</t>
        </is>
      </c>
      <c r="E2583" t="inlineStr">
        <is>
          <t>BRÄCKE</t>
        </is>
      </c>
      <c r="F2583" t="inlineStr">
        <is>
          <t>SCA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9438-2025</t>
        </is>
      </c>
      <c r="B2584" s="1" t="n">
        <v>45715</v>
      </c>
      <c r="C2584" s="1" t="n">
        <v>45754</v>
      </c>
      <c r="D2584" t="inlineStr">
        <is>
          <t>JÄMTLANDS LÄN</t>
        </is>
      </c>
      <c r="E2584" t="inlineStr">
        <is>
          <t>BRÄCKE</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9381-2025</t>
        </is>
      </c>
      <c r="B2585" s="1" t="n">
        <v>45715</v>
      </c>
      <c r="C2585" s="1" t="n">
        <v>45754</v>
      </c>
      <c r="D2585" t="inlineStr">
        <is>
          <t>JÄMTLANDS LÄN</t>
        </is>
      </c>
      <c r="E2585" t="inlineStr">
        <is>
          <t>BRÄCKE</t>
        </is>
      </c>
      <c r="F2585" t="inlineStr">
        <is>
          <t>SCA</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9468-2025</t>
        </is>
      </c>
      <c r="B2586" s="1" t="n">
        <v>45715</v>
      </c>
      <c r="C2586" s="1" t="n">
        <v>45754</v>
      </c>
      <c r="D2586" t="inlineStr">
        <is>
          <t>JÄMTLANDS LÄN</t>
        </is>
      </c>
      <c r="E2586" t="inlineStr">
        <is>
          <t>BRÄCKE</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9505-2025</t>
        </is>
      </c>
      <c r="B2587" s="1" t="n">
        <v>45715</v>
      </c>
      <c r="C2587" s="1" t="n">
        <v>45754</v>
      </c>
      <c r="D2587" t="inlineStr">
        <is>
          <t>JÄMTLANDS LÄN</t>
        </is>
      </c>
      <c r="E2587" t="inlineStr">
        <is>
          <t>BRÄCKE</t>
        </is>
      </c>
      <c r="F2587" t="inlineStr">
        <is>
          <t>SCA</t>
        </is>
      </c>
      <c r="G2587" t="n">
        <v>11.7</v>
      </c>
      <c r="H2587" t="n">
        <v>0</v>
      </c>
      <c r="I2587" t="n">
        <v>0</v>
      </c>
      <c r="J2587" t="n">
        <v>0</v>
      </c>
      <c r="K2587" t="n">
        <v>0</v>
      </c>
      <c r="L2587" t="n">
        <v>0</v>
      </c>
      <c r="M2587" t="n">
        <v>0</v>
      </c>
      <c r="N2587" t="n">
        <v>0</v>
      </c>
      <c r="O2587" t="n">
        <v>0</v>
      </c>
      <c r="P2587" t="n">
        <v>0</v>
      </c>
      <c r="Q2587" t="n">
        <v>0</v>
      </c>
      <c r="R2587" s="2" t="inlineStr"/>
    </row>
    <row r="2588" ht="15" customHeight="1">
      <c r="A2588" t="inlineStr">
        <is>
          <t>A 9743-2025</t>
        </is>
      </c>
      <c r="B2588" s="1" t="n">
        <v>45716</v>
      </c>
      <c r="C2588" s="1" t="n">
        <v>45754</v>
      </c>
      <c r="D2588" t="inlineStr">
        <is>
          <t>JÄMTLANDS LÄN</t>
        </is>
      </c>
      <c r="E2588" t="inlineStr">
        <is>
          <t>BRÄCKE</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9824-2025</t>
        </is>
      </c>
      <c r="B2589" s="1" t="n">
        <v>45716</v>
      </c>
      <c r="C2589" s="1" t="n">
        <v>45754</v>
      </c>
      <c r="D2589" t="inlineStr">
        <is>
          <t>JÄMTLANDS LÄN</t>
        </is>
      </c>
      <c r="E2589" t="inlineStr">
        <is>
          <t>BRÄCKE</t>
        </is>
      </c>
      <c r="F2589" t="inlineStr">
        <is>
          <t>SCA</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9707-2025</t>
        </is>
      </c>
      <c r="B2590" s="1" t="n">
        <v>45716</v>
      </c>
      <c r="C2590" s="1" t="n">
        <v>45754</v>
      </c>
      <c r="D2590" t="inlineStr">
        <is>
          <t>JÄMTLANDS LÄN</t>
        </is>
      </c>
      <c r="E2590" t="inlineStr">
        <is>
          <t>BRÄCKE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9706-2025</t>
        </is>
      </c>
      <c r="B2591" s="1" t="n">
        <v>45716</v>
      </c>
      <c r="C2591" s="1" t="n">
        <v>45754</v>
      </c>
      <c r="D2591" t="inlineStr">
        <is>
          <t>JÄMTLANDS LÄN</t>
        </is>
      </c>
      <c r="E2591" t="inlineStr">
        <is>
          <t>BRÄCKE</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10103-2025</t>
        </is>
      </c>
      <c r="B2592" s="1" t="n">
        <v>45719</v>
      </c>
      <c r="C2592" s="1" t="n">
        <v>45754</v>
      </c>
      <c r="D2592" t="inlineStr">
        <is>
          <t>JÄMTLANDS LÄN</t>
        </is>
      </c>
      <c r="E2592" t="inlineStr">
        <is>
          <t>BRÄCKE</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10088-2025</t>
        </is>
      </c>
      <c r="B2593" s="1" t="n">
        <v>45719</v>
      </c>
      <c r="C2593" s="1" t="n">
        <v>45754</v>
      </c>
      <c r="D2593" t="inlineStr">
        <is>
          <t>JÄMTLANDS LÄN</t>
        </is>
      </c>
      <c r="E2593" t="inlineStr">
        <is>
          <t>BRÄCKE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9952-2025</t>
        </is>
      </c>
      <c r="B2594" s="1" t="n">
        <v>45719</v>
      </c>
      <c r="C2594" s="1" t="n">
        <v>45754</v>
      </c>
      <c r="D2594" t="inlineStr">
        <is>
          <t>JÄMTLANDS LÄN</t>
        </is>
      </c>
      <c r="E2594" t="inlineStr">
        <is>
          <t>BRÄCKE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10215-2025</t>
        </is>
      </c>
      <c r="B2595" s="1" t="n">
        <v>45720</v>
      </c>
      <c r="C2595" s="1" t="n">
        <v>45754</v>
      </c>
      <c r="D2595" t="inlineStr">
        <is>
          <t>JÄMTLANDS LÄN</t>
        </is>
      </c>
      <c r="E2595" t="inlineStr">
        <is>
          <t>BRÄCKE</t>
        </is>
      </c>
      <c r="G2595" t="n">
        <v>18.9</v>
      </c>
      <c r="H2595" t="n">
        <v>0</v>
      </c>
      <c r="I2595" t="n">
        <v>0</v>
      </c>
      <c r="J2595" t="n">
        <v>0</v>
      </c>
      <c r="K2595" t="n">
        <v>0</v>
      </c>
      <c r="L2595" t="n">
        <v>0</v>
      </c>
      <c r="M2595" t="n">
        <v>0</v>
      </c>
      <c r="N2595" t="n">
        <v>0</v>
      </c>
      <c r="O2595" t="n">
        <v>0</v>
      </c>
      <c r="P2595" t="n">
        <v>0</v>
      </c>
      <c r="Q2595" t="n">
        <v>0</v>
      </c>
      <c r="R2595" s="2" t="inlineStr"/>
    </row>
    <row r="2596" ht="15" customHeight="1">
      <c r="A2596" t="inlineStr">
        <is>
          <t>A 10110-2025</t>
        </is>
      </c>
      <c r="B2596" s="1" t="n">
        <v>45719</v>
      </c>
      <c r="C2596" s="1" t="n">
        <v>45754</v>
      </c>
      <c r="D2596" t="inlineStr">
        <is>
          <t>JÄMTLANDS LÄN</t>
        </is>
      </c>
      <c r="E2596" t="inlineStr">
        <is>
          <t>BRÄCKE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9969-2025</t>
        </is>
      </c>
      <c r="B2597" s="1" t="n">
        <v>45719</v>
      </c>
      <c r="C2597" s="1" t="n">
        <v>45754</v>
      </c>
      <c r="D2597" t="inlineStr">
        <is>
          <t>JÄMTLANDS LÄN</t>
        </is>
      </c>
      <c r="E2597" t="inlineStr">
        <is>
          <t>BRÄCKE</t>
        </is>
      </c>
      <c r="F2597" t="inlineStr">
        <is>
          <t>SCA</t>
        </is>
      </c>
      <c r="G2597" t="n">
        <v>18.9</v>
      </c>
      <c r="H2597" t="n">
        <v>0</v>
      </c>
      <c r="I2597" t="n">
        <v>0</v>
      </c>
      <c r="J2597" t="n">
        <v>0</v>
      </c>
      <c r="K2597" t="n">
        <v>0</v>
      </c>
      <c r="L2597" t="n">
        <v>0</v>
      </c>
      <c r="M2597" t="n">
        <v>0</v>
      </c>
      <c r="N2597" t="n">
        <v>0</v>
      </c>
      <c r="O2597" t="n">
        <v>0</v>
      </c>
      <c r="P2597" t="n">
        <v>0</v>
      </c>
      <c r="Q2597" t="n">
        <v>0</v>
      </c>
      <c r="R2597" s="2" t="inlineStr"/>
    </row>
    <row r="2598" ht="15" customHeight="1">
      <c r="A2598" t="inlineStr">
        <is>
          <t>A 9970-2025</t>
        </is>
      </c>
      <c r="B2598" s="1" t="n">
        <v>45719</v>
      </c>
      <c r="C2598" s="1" t="n">
        <v>45754</v>
      </c>
      <c r="D2598" t="inlineStr">
        <is>
          <t>JÄMTLANDS LÄN</t>
        </is>
      </c>
      <c r="E2598" t="inlineStr">
        <is>
          <t>BRÄCKE</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9996-2025</t>
        </is>
      </c>
      <c r="B2599" s="1" t="n">
        <v>45719</v>
      </c>
      <c r="C2599" s="1" t="n">
        <v>45754</v>
      </c>
      <c r="D2599" t="inlineStr">
        <is>
          <t>JÄMTLANDS LÄN</t>
        </is>
      </c>
      <c r="E2599" t="inlineStr">
        <is>
          <t>BRÄCKE</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10106-2025</t>
        </is>
      </c>
      <c r="B2600" s="1" t="n">
        <v>45719</v>
      </c>
      <c r="C2600" s="1" t="n">
        <v>45754</v>
      </c>
      <c r="D2600" t="inlineStr">
        <is>
          <t>JÄMTLANDS LÄN</t>
        </is>
      </c>
      <c r="E2600" t="inlineStr">
        <is>
          <t>BRÄCKE</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10308-2025</t>
        </is>
      </c>
      <c r="B2601" s="1" t="n">
        <v>45720</v>
      </c>
      <c r="C2601" s="1" t="n">
        <v>45754</v>
      </c>
      <c r="D2601" t="inlineStr">
        <is>
          <t>JÄMTLANDS LÄN</t>
        </is>
      </c>
      <c r="E2601" t="inlineStr">
        <is>
          <t>BRÄCKE</t>
        </is>
      </c>
      <c r="F2601" t="inlineStr">
        <is>
          <t>SCA</t>
        </is>
      </c>
      <c r="G2601" t="n">
        <v>24.3</v>
      </c>
      <c r="H2601" t="n">
        <v>0</v>
      </c>
      <c r="I2601" t="n">
        <v>0</v>
      </c>
      <c r="J2601" t="n">
        <v>0</v>
      </c>
      <c r="K2601" t="n">
        <v>0</v>
      </c>
      <c r="L2601" t="n">
        <v>0</v>
      </c>
      <c r="M2601" t="n">
        <v>0</v>
      </c>
      <c r="N2601" t="n">
        <v>0</v>
      </c>
      <c r="O2601" t="n">
        <v>0</v>
      </c>
      <c r="P2601" t="n">
        <v>0</v>
      </c>
      <c r="Q2601" t="n">
        <v>0</v>
      </c>
      <c r="R2601" s="2" t="inlineStr"/>
    </row>
    <row r="2602" ht="15" customHeight="1">
      <c r="A2602" t="inlineStr">
        <is>
          <t>A 10337-2025</t>
        </is>
      </c>
      <c r="B2602" s="1" t="n">
        <v>45720</v>
      </c>
      <c r="C2602" s="1" t="n">
        <v>45754</v>
      </c>
      <c r="D2602" t="inlineStr">
        <is>
          <t>JÄMTLANDS LÄN</t>
        </is>
      </c>
      <c r="E2602" t="inlineStr">
        <is>
          <t>BRÄCKE</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10340-2025</t>
        </is>
      </c>
      <c r="B2603" s="1" t="n">
        <v>45720</v>
      </c>
      <c r="C2603" s="1" t="n">
        <v>45754</v>
      </c>
      <c r="D2603" t="inlineStr">
        <is>
          <t>JÄMTLANDS LÄN</t>
        </is>
      </c>
      <c r="E2603" t="inlineStr">
        <is>
          <t>BRÄCKE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10369-2025</t>
        </is>
      </c>
      <c r="B2604" s="1" t="n">
        <v>45720</v>
      </c>
      <c r="C2604" s="1" t="n">
        <v>45754</v>
      </c>
      <c r="D2604" t="inlineStr">
        <is>
          <t>JÄMTLANDS LÄN</t>
        </is>
      </c>
      <c r="E2604" t="inlineStr">
        <is>
          <t>BRÄCKE</t>
        </is>
      </c>
      <c r="F2604" t="inlineStr">
        <is>
          <t>SCA</t>
        </is>
      </c>
      <c r="G2604" t="n">
        <v>7.8</v>
      </c>
      <c r="H2604" t="n">
        <v>0</v>
      </c>
      <c r="I2604" t="n">
        <v>0</v>
      </c>
      <c r="J2604" t="n">
        <v>0</v>
      </c>
      <c r="K2604" t="n">
        <v>0</v>
      </c>
      <c r="L2604" t="n">
        <v>0</v>
      </c>
      <c r="M2604" t="n">
        <v>0</v>
      </c>
      <c r="N2604" t="n">
        <v>0</v>
      </c>
      <c r="O2604" t="n">
        <v>0</v>
      </c>
      <c r="P2604" t="n">
        <v>0</v>
      </c>
      <c r="Q2604" t="n">
        <v>0</v>
      </c>
      <c r="R2604" s="2" t="inlineStr"/>
    </row>
    <row r="2605" ht="15" customHeight="1">
      <c r="A2605" t="inlineStr">
        <is>
          <t>A 10370-2025</t>
        </is>
      </c>
      <c r="B2605" s="1" t="n">
        <v>45720</v>
      </c>
      <c r="C2605" s="1" t="n">
        <v>45754</v>
      </c>
      <c r="D2605" t="inlineStr">
        <is>
          <t>JÄMTLANDS LÄN</t>
        </is>
      </c>
      <c r="E2605" t="inlineStr">
        <is>
          <t>BRÄCKE</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10371-2025</t>
        </is>
      </c>
      <c r="B2606" s="1" t="n">
        <v>45720</v>
      </c>
      <c r="C2606" s="1" t="n">
        <v>45754</v>
      </c>
      <c r="D2606" t="inlineStr">
        <is>
          <t>JÄMTLANDS LÄN</t>
        </is>
      </c>
      <c r="E2606" t="inlineStr">
        <is>
          <t>BRÄCKE</t>
        </is>
      </c>
      <c r="F2606" t="inlineStr">
        <is>
          <t>SCA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10510-2025</t>
        </is>
      </c>
      <c r="B2607" s="1" t="n">
        <v>45721</v>
      </c>
      <c r="C2607" s="1" t="n">
        <v>45754</v>
      </c>
      <c r="D2607" t="inlineStr">
        <is>
          <t>JÄMTLANDS LÄN</t>
        </is>
      </c>
      <c r="E2607" t="inlineStr">
        <is>
          <t>BRÄCKE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10486-2025</t>
        </is>
      </c>
      <c r="B2608" s="1" t="n">
        <v>45721</v>
      </c>
      <c r="C2608" s="1" t="n">
        <v>45754</v>
      </c>
      <c r="D2608" t="inlineStr">
        <is>
          <t>JÄMTLANDS LÄN</t>
        </is>
      </c>
      <c r="E2608" t="inlineStr">
        <is>
          <t>BRÄCKE</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10606-2025</t>
        </is>
      </c>
      <c r="B2609" s="1" t="n">
        <v>45721</v>
      </c>
      <c r="C2609" s="1" t="n">
        <v>45754</v>
      </c>
      <c r="D2609" t="inlineStr">
        <is>
          <t>JÄMTLANDS LÄN</t>
        </is>
      </c>
      <c r="E2609" t="inlineStr">
        <is>
          <t>BRÄCKE</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10883-2025</t>
        </is>
      </c>
      <c r="B2610" s="1" t="n">
        <v>45722</v>
      </c>
      <c r="C2610" s="1" t="n">
        <v>45754</v>
      </c>
      <c r="D2610" t="inlineStr">
        <is>
          <t>JÄMTLANDS LÄN</t>
        </is>
      </c>
      <c r="E2610" t="inlineStr">
        <is>
          <t>BRÄCKE</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10769-2025</t>
        </is>
      </c>
      <c r="B2611" s="1" t="n">
        <v>45722</v>
      </c>
      <c r="C2611" s="1" t="n">
        <v>45754</v>
      </c>
      <c r="D2611" t="inlineStr">
        <is>
          <t>JÄMTLANDS LÄN</t>
        </is>
      </c>
      <c r="E2611" t="inlineStr">
        <is>
          <t>BRÄCKE</t>
        </is>
      </c>
      <c r="F2611" t="inlineStr">
        <is>
          <t>SCA</t>
        </is>
      </c>
      <c r="G2611" t="n">
        <v>18.7</v>
      </c>
      <c r="H2611" t="n">
        <v>0</v>
      </c>
      <c r="I2611" t="n">
        <v>0</v>
      </c>
      <c r="J2611" t="n">
        <v>0</v>
      </c>
      <c r="K2611" t="n">
        <v>0</v>
      </c>
      <c r="L2611" t="n">
        <v>0</v>
      </c>
      <c r="M2611" t="n">
        <v>0</v>
      </c>
      <c r="N2611" t="n">
        <v>0</v>
      </c>
      <c r="O2611" t="n">
        <v>0</v>
      </c>
      <c r="P2611" t="n">
        <v>0</v>
      </c>
      <c r="Q2611" t="n">
        <v>0</v>
      </c>
      <c r="R2611" s="2" t="inlineStr"/>
    </row>
    <row r="2612" ht="15" customHeight="1">
      <c r="A2612" t="inlineStr">
        <is>
          <t>A 10799-2025</t>
        </is>
      </c>
      <c r="B2612" s="1" t="n">
        <v>45722</v>
      </c>
      <c r="C2612" s="1" t="n">
        <v>45754</v>
      </c>
      <c r="D2612" t="inlineStr">
        <is>
          <t>JÄMTLANDS LÄN</t>
        </is>
      </c>
      <c r="E2612" t="inlineStr">
        <is>
          <t>BRÄCKE</t>
        </is>
      </c>
      <c r="F2612" t="inlineStr">
        <is>
          <t>Naturvårdsverket</t>
        </is>
      </c>
      <c r="G2612" t="n">
        <v>12.7</v>
      </c>
      <c r="H2612" t="n">
        <v>0</v>
      </c>
      <c r="I2612" t="n">
        <v>0</v>
      </c>
      <c r="J2612" t="n">
        <v>0</v>
      </c>
      <c r="K2612" t="n">
        <v>0</v>
      </c>
      <c r="L2612" t="n">
        <v>0</v>
      </c>
      <c r="M2612" t="n">
        <v>0</v>
      </c>
      <c r="N2612" t="n">
        <v>0</v>
      </c>
      <c r="O2612" t="n">
        <v>0</v>
      </c>
      <c r="P2612" t="n">
        <v>0</v>
      </c>
      <c r="Q2612" t="n">
        <v>0</v>
      </c>
      <c r="R2612" s="2" t="inlineStr"/>
    </row>
    <row r="2613" ht="15" customHeight="1">
      <c r="A2613" t="inlineStr">
        <is>
          <t>A 11024-2025</t>
        </is>
      </c>
      <c r="B2613" s="1" t="n">
        <v>45723</v>
      </c>
      <c r="C2613" s="1" t="n">
        <v>45754</v>
      </c>
      <c r="D2613" t="inlineStr">
        <is>
          <t>JÄMTLANDS LÄN</t>
        </is>
      </c>
      <c r="E2613" t="inlineStr">
        <is>
          <t>BRÄCKE</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11089-2025</t>
        </is>
      </c>
      <c r="B2614" s="1" t="n">
        <v>45723</v>
      </c>
      <c r="C2614" s="1" t="n">
        <v>45754</v>
      </c>
      <c r="D2614" t="inlineStr">
        <is>
          <t>JÄMTLANDS LÄN</t>
        </is>
      </c>
      <c r="E2614" t="inlineStr">
        <is>
          <t>BRÄCKE</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11310-2025</t>
        </is>
      </c>
      <c r="B2615" s="1" t="n">
        <v>45726</v>
      </c>
      <c r="C2615" s="1" t="n">
        <v>45754</v>
      </c>
      <c r="D2615" t="inlineStr">
        <is>
          <t>JÄMTLANDS LÄN</t>
        </is>
      </c>
      <c r="E2615" t="inlineStr">
        <is>
          <t>BRÄCKE</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11438-2025</t>
        </is>
      </c>
      <c r="B2616" s="1" t="n">
        <v>45726</v>
      </c>
      <c r="C2616" s="1" t="n">
        <v>45754</v>
      </c>
      <c r="D2616" t="inlineStr">
        <is>
          <t>JÄMTLANDS LÄN</t>
        </is>
      </c>
      <c r="E2616" t="inlineStr">
        <is>
          <t>BRÄCKE</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11236-2025</t>
        </is>
      </c>
      <c r="B2617" s="1" t="n">
        <v>45726</v>
      </c>
      <c r="C2617" s="1" t="n">
        <v>45754</v>
      </c>
      <c r="D2617" t="inlineStr">
        <is>
          <t>JÄMTLANDS LÄN</t>
        </is>
      </c>
      <c r="E2617" t="inlineStr">
        <is>
          <t>BRÄCKE</t>
        </is>
      </c>
      <c r="F2617" t="inlineStr">
        <is>
          <t>SCA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11309-2025</t>
        </is>
      </c>
      <c r="B2618" s="1" t="n">
        <v>45726</v>
      </c>
      <c r="C2618" s="1" t="n">
        <v>45754</v>
      </c>
      <c r="D2618" t="inlineStr">
        <is>
          <t>JÄMTLANDS LÄN</t>
        </is>
      </c>
      <c r="E2618" t="inlineStr">
        <is>
          <t>BRÄCKE</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11371-2025</t>
        </is>
      </c>
      <c r="B2619" s="1" t="n">
        <v>45726</v>
      </c>
      <c r="C2619" s="1" t="n">
        <v>45754</v>
      </c>
      <c r="D2619" t="inlineStr">
        <is>
          <t>JÄMTLANDS LÄN</t>
        </is>
      </c>
      <c r="E2619" t="inlineStr">
        <is>
          <t>BRÄCKE</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11699-2025</t>
        </is>
      </c>
      <c r="B2620" s="1" t="n">
        <v>45727</v>
      </c>
      <c r="C2620" s="1" t="n">
        <v>45754</v>
      </c>
      <c r="D2620" t="inlineStr">
        <is>
          <t>JÄMTLANDS LÄN</t>
        </is>
      </c>
      <c r="E2620" t="inlineStr">
        <is>
          <t>BRÄCKE</t>
        </is>
      </c>
      <c r="F2620" t="inlineStr">
        <is>
          <t>SCA</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11545-2025</t>
        </is>
      </c>
      <c r="B2621" s="1" t="n">
        <v>45727</v>
      </c>
      <c r="C2621" s="1" t="n">
        <v>45754</v>
      </c>
      <c r="D2621" t="inlineStr">
        <is>
          <t>JÄMTLANDS LÄN</t>
        </is>
      </c>
      <c r="E2621" t="inlineStr">
        <is>
          <t>BRÄCKE</t>
        </is>
      </c>
      <c r="F2621" t="inlineStr">
        <is>
          <t>SCA</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11657-2025</t>
        </is>
      </c>
      <c r="B2622" s="1" t="n">
        <v>45727</v>
      </c>
      <c r="C2622" s="1" t="n">
        <v>45754</v>
      </c>
      <c r="D2622" t="inlineStr">
        <is>
          <t>JÄMTLANDS LÄN</t>
        </is>
      </c>
      <c r="E2622" t="inlineStr">
        <is>
          <t>BRÄCKE</t>
        </is>
      </c>
      <c r="F2622" t="inlineStr">
        <is>
          <t>SCA</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11586-2025</t>
        </is>
      </c>
      <c r="B2623" s="1" t="n">
        <v>45727</v>
      </c>
      <c r="C2623" s="1" t="n">
        <v>45754</v>
      </c>
      <c r="D2623" t="inlineStr">
        <is>
          <t>JÄMTLANDS LÄN</t>
        </is>
      </c>
      <c r="E2623" t="inlineStr">
        <is>
          <t>BRÄCKE</t>
        </is>
      </c>
      <c r="F2623" t="inlineStr">
        <is>
          <t>SCA</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11550-2025</t>
        </is>
      </c>
      <c r="B2624" s="1" t="n">
        <v>45727</v>
      </c>
      <c r="C2624" s="1" t="n">
        <v>45754</v>
      </c>
      <c r="D2624" t="inlineStr">
        <is>
          <t>JÄMTLANDS LÄN</t>
        </is>
      </c>
      <c r="E2624" t="inlineStr">
        <is>
          <t>BRÄCKE</t>
        </is>
      </c>
      <c r="F2624" t="inlineStr">
        <is>
          <t>Naturvårdsverket</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11784-2025</t>
        </is>
      </c>
      <c r="B2625" s="1" t="n">
        <v>45727</v>
      </c>
      <c r="C2625" s="1" t="n">
        <v>45754</v>
      </c>
      <c r="D2625" t="inlineStr">
        <is>
          <t>JÄMTLANDS LÄN</t>
        </is>
      </c>
      <c r="E2625" t="inlineStr">
        <is>
          <t>BRÄCKE</t>
        </is>
      </c>
      <c r="F2625" t="inlineStr">
        <is>
          <t>SCA</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12042-2025</t>
        </is>
      </c>
      <c r="B2626" s="1" t="n">
        <v>45728</v>
      </c>
      <c r="C2626" s="1" t="n">
        <v>45754</v>
      </c>
      <c r="D2626" t="inlineStr">
        <is>
          <t>JÄMTLANDS LÄN</t>
        </is>
      </c>
      <c r="E2626" t="inlineStr">
        <is>
          <t>BRÄCKE</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12004-2025</t>
        </is>
      </c>
      <c r="B2627" s="1" t="n">
        <v>45728</v>
      </c>
      <c r="C2627" s="1" t="n">
        <v>45754</v>
      </c>
      <c r="D2627" t="inlineStr">
        <is>
          <t>JÄMTLANDS LÄN</t>
        </is>
      </c>
      <c r="E2627" t="inlineStr">
        <is>
          <t>BRÄCKE</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12039-2025</t>
        </is>
      </c>
      <c r="B2628" s="1" t="n">
        <v>45728</v>
      </c>
      <c r="C2628" s="1" t="n">
        <v>45754</v>
      </c>
      <c r="D2628" t="inlineStr">
        <is>
          <t>JÄMTLANDS LÄN</t>
        </is>
      </c>
      <c r="E2628" t="inlineStr">
        <is>
          <t>BRÄCKE</t>
        </is>
      </c>
      <c r="F2628" t="inlineStr">
        <is>
          <t>Naturvårdsverket</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12285-2025</t>
        </is>
      </c>
      <c r="B2629" s="1" t="n">
        <v>45729</v>
      </c>
      <c r="C2629" s="1" t="n">
        <v>45754</v>
      </c>
      <c r="D2629" t="inlineStr">
        <is>
          <t>JÄMTLANDS LÄN</t>
        </is>
      </c>
      <c r="E2629" t="inlineStr">
        <is>
          <t>BRÄCKE</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12264-2025</t>
        </is>
      </c>
      <c r="B2630" s="1" t="n">
        <v>45729</v>
      </c>
      <c r="C2630" s="1" t="n">
        <v>45754</v>
      </c>
      <c r="D2630" t="inlineStr">
        <is>
          <t>JÄMTLANDS LÄN</t>
        </is>
      </c>
      <c r="E2630" t="inlineStr">
        <is>
          <t>BRÄCKE</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12524-2025</t>
        </is>
      </c>
      <c r="B2631" s="1" t="n">
        <v>45730</v>
      </c>
      <c r="C2631" s="1" t="n">
        <v>45754</v>
      </c>
      <c r="D2631" t="inlineStr">
        <is>
          <t>JÄMTLANDS LÄN</t>
        </is>
      </c>
      <c r="E2631" t="inlineStr">
        <is>
          <t>BRÄCKE</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12525-2025</t>
        </is>
      </c>
      <c r="B2632" s="1" t="n">
        <v>45730</v>
      </c>
      <c r="C2632" s="1" t="n">
        <v>45754</v>
      </c>
      <c r="D2632" t="inlineStr">
        <is>
          <t>JÄMTLANDS LÄN</t>
        </is>
      </c>
      <c r="E2632" t="inlineStr">
        <is>
          <t>BRÄCKE</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12344-2025</t>
        </is>
      </c>
      <c r="B2633" s="1" t="n">
        <v>45730</v>
      </c>
      <c r="C2633" s="1" t="n">
        <v>45754</v>
      </c>
      <c r="D2633" t="inlineStr">
        <is>
          <t>JÄMTLANDS LÄN</t>
        </is>
      </c>
      <c r="E2633" t="inlineStr">
        <is>
          <t>BRÄCKE</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12452-2025</t>
        </is>
      </c>
      <c r="B2634" s="1" t="n">
        <v>45730</v>
      </c>
      <c r="C2634" s="1" t="n">
        <v>45754</v>
      </c>
      <c r="D2634" t="inlineStr">
        <is>
          <t>JÄMTLANDS LÄN</t>
        </is>
      </c>
      <c r="E2634" t="inlineStr">
        <is>
          <t>BRÄCKE</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12552-2025</t>
        </is>
      </c>
      <c r="B2635" s="1" t="n">
        <v>45731</v>
      </c>
      <c r="C2635" s="1" t="n">
        <v>45754</v>
      </c>
      <c r="D2635" t="inlineStr">
        <is>
          <t>JÄMTLANDS LÄN</t>
        </is>
      </c>
      <c r="E2635" t="inlineStr">
        <is>
          <t>BRÄCKE</t>
        </is>
      </c>
      <c r="F2635" t="inlineStr">
        <is>
          <t>SCA</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12553-2025</t>
        </is>
      </c>
      <c r="B2636" s="1" t="n">
        <v>45731</v>
      </c>
      <c r="C2636" s="1" t="n">
        <v>45754</v>
      </c>
      <c r="D2636" t="inlineStr">
        <is>
          <t>JÄMTLANDS LÄN</t>
        </is>
      </c>
      <c r="E2636" t="inlineStr">
        <is>
          <t>BRÄCKE</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12640-2025</t>
        </is>
      </c>
      <c r="B2637" s="1" t="n">
        <v>45733</v>
      </c>
      <c r="C2637" s="1" t="n">
        <v>45754</v>
      </c>
      <c r="D2637" t="inlineStr">
        <is>
          <t>JÄMTLANDS LÄN</t>
        </is>
      </c>
      <c r="E2637" t="inlineStr">
        <is>
          <t>BRÄCKE</t>
        </is>
      </c>
      <c r="F2637" t="inlineStr">
        <is>
          <t>SCA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12705-2025</t>
        </is>
      </c>
      <c r="B2638" s="1" t="n">
        <v>45733</v>
      </c>
      <c r="C2638" s="1" t="n">
        <v>45754</v>
      </c>
      <c r="D2638" t="inlineStr">
        <is>
          <t>JÄMTLANDS LÄN</t>
        </is>
      </c>
      <c r="E2638" t="inlineStr">
        <is>
          <t>BRÄCKE</t>
        </is>
      </c>
      <c r="F2638" t="inlineStr">
        <is>
          <t>SCA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12732-2025</t>
        </is>
      </c>
      <c r="B2639" s="1" t="n">
        <v>45733</v>
      </c>
      <c r="C2639" s="1" t="n">
        <v>45754</v>
      </c>
      <c r="D2639" t="inlineStr">
        <is>
          <t>JÄMTLANDS LÄN</t>
        </is>
      </c>
      <c r="E2639" t="inlineStr">
        <is>
          <t>BRÄCKE</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12762-2025</t>
        </is>
      </c>
      <c r="B2640" s="1" t="n">
        <v>45733</v>
      </c>
      <c r="C2640" s="1" t="n">
        <v>45754</v>
      </c>
      <c r="D2640" t="inlineStr">
        <is>
          <t>JÄMTLANDS LÄN</t>
        </is>
      </c>
      <c r="E2640" t="inlineStr">
        <is>
          <t>BRÄCKE</t>
        </is>
      </c>
      <c r="F2640" t="inlineStr">
        <is>
          <t>SCA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12722-2025</t>
        </is>
      </c>
      <c r="B2641" s="1" t="n">
        <v>45733</v>
      </c>
      <c r="C2641" s="1" t="n">
        <v>45754</v>
      </c>
      <c r="D2641" t="inlineStr">
        <is>
          <t>JÄMTLANDS LÄN</t>
        </is>
      </c>
      <c r="E2641" t="inlineStr">
        <is>
          <t>BRÄCKE</t>
        </is>
      </c>
      <c r="F2641" t="inlineStr">
        <is>
          <t>SCA</t>
        </is>
      </c>
      <c r="G2641" t="n">
        <v>10.3</v>
      </c>
      <c r="H2641" t="n">
        <v>0</v>
      </c>
      <c r="I2641" t="n">
        <v>0</v>
      </c>
      <c r="J2641" t="n">
        <v>0</v>
      </c>
      <c r="K2641" t="n">
        <v>0</v>
      </c>
      <c r="L2641" t="n">
        <v>0</v>
      </c>
      <c r="M2641" t="n">
        <v>0</v>
      </c>
      <c r="N2641" t="n">
        <v>0</v>
      </c>
      <c r="O2641" t="n">
        <v>0</v>
      </c>
      <c r="P2641" t="n">
        <v>0</v>
      </c>
      <c r="Q2641" t="n">
        <v>0</v>
      </c>
      <c r="R2641" s="2" t="inlineStr"/>
    </row>
    <row r="2642" ht="15" customHeight="1">
      <c r="A2642" t="inlineStr">
        <is>
          <t>A 13069-2025</t>
        </is>
      </c>
      <c r="B2642" s="1" t="n">
        <v>45734</v>
      </c>
      <c r="C2642" s="1" t="n">
        <v>45754</v>
      </c>
      <c r="D2642" t="inlineStr">
        <is>
          <t>JÄMTLANDS LÄN</t>
        </is>
      </c>
      <c r="E2642" t="inlineStr">
        <is>
          <t>BRÄCKE</t>
        </is>
      </c>
      <c r="F2642" t="inlineStr">
        <is>
          <t>SCA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13095-2025</t>
        </is>
      </c>
      <c r="B2643" s="1" t="n">
        <v>45734</v>
      </c>
      <c r="C2643" s="1" t="n">
        <v>45754</v>
      </c>
      <c r="D2643" t="inlineStr">
        <is>
          <t>JÄMTLANDS LÄN</t>
        </is>
      </c>
      <c r="E2643" t="inlineStr">
        <is>
          <t>BRÄCKE</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13300-2025</t>
        </is>
      </c>
      <c r="B2644" s="1" t="n">
        <v>45735</v>
      </c>
      <c r="C2644" s="1" t="n">
        <v>45754</v>
      </c>
      <c r="D2644" t="inlineStr">
        <is>
          <t>JÄMTLANDS LÄN</t>
        </is>
      </c>
      <c r="E2644" t="inlineStr">
        <is>
          <t>BRÄCKE</t>
        </is>
      </c>
      <c r="F2644" t="inlineStr">
        <is>
          <t>SCA</t>
        </is>
      </c>
      <c r="G2644" t="n">
        <v>3.2</v>
      </c>
      <c r="H2644" t="n">
        <v>0</v>
      </c>
      <c r="I2644" t="n">
        <v>0</v>
      </c>
      <c r="J2644" t="n">
        <v>0</v>
      </c>
      <c r="K2644" t="n">
        <v>0</v>
      </c>
      <c r="L2644" t="n">
        <v>0</v>
      </c>
      <c r="M2644" t="n">
        <v>0</v>
      </c>
      <c r="N2644" t="n">
        <v>0</v>
      </c>
      <c r="O2644" t="n">
        <v>0</v>
      </c>
      <c r="P2644" t="n">
        <v>0</v>
      </c>
      <c r="Q2644" t="n">
        <v>0</v>
      </c>
      <c r="R2644" s="2" t="inlineStr"/>
      <c r="U2644">
        <f>HYPERLINK("https://klasma.github.io/Logging_232305/knärot/A 13300-2025 karta knärot.png", "A 13300-2025")</f>
        <v/>
      </c>
      <c r="V2644">
        <f>HYPERLINK("https://klasma.github.io/Logging_232305/klagomål/A 13300-2025 FSC-klagomål.docx", "A 13300-2025")</f>
        <v/>
      </c>
      <c r="W2644">
        <f>HYPERLINK("https://klasma.github.io/Logging_232305/klagomålsmail/A 13300-2025 FSC-klagomål mail.docx", "A 13300-2025")</f>
        <v/>
      </c>
      <c r="X2644">
        <f>HYPERLINK("https://klasma.github.io/Logging_232305/tillsyn/A 13300-2025 tillsynsbegäran.docx", "A 13300-2025")</f>
        <v/>
      </c>
      <c r="Y2644">
        <f>HYPERLINK("https://klasma.github.io/Logging_232305/tillsynsmail/A 13300-2025 tillsynsbegäran mail.docx", "A 13300-2025")</f>
        <v/>
      </c>
    </row>
    <row r="2645" ht="15" customHeight="1">
      <c r="A2645" t="inlineStr">
        <is>
          <t>A 13351-2025</t>
        </is>
      </c>
      <c r="B2645" s="1" t="n">
        <v>45735</v>
      </c>
      <c r="C2645" s="1" t="n">
        <v>45754</v>
      </c>
      <c r="D2645" t="inlineStr">
        <is>
          <t>JÄMTLANDS LÄN</t>
        </is>
      </c>
      <c r="E2645" t="inlineStr">
        <is>
          <t>BRÄCKE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13356-2025</t>
        </is>
      </c>
      <c r="B2646" s="1" t="n">
        <v>45735</v>
      </c>
      <c r="C2646" s="1" t="n">
        <v>45754</v>
      </c>
      <c r="D2646" t="inlineStr">
        <is>
          <t>JÄMTLANDS LÄN</t>
        </is>
      </c>
      <c r="E2646" t="inlineStr">
        <is>
          <t>BRÄCKE</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13167-2025</t>
        </is>
      </c>
      <c r="B2647" s="1" t="n">
        <v>45735</v>
      </c>
      <c r="C2647" s="1" t="n">
        <v>45754</v>
      </c>
      <c r="D2647" t="inlineStr">
        <is>
          <t>JÄMTLANDS LÄN</t>
        </is>
      </c>
      <c r="E2647" t="inlineStr">
        <is>
          <t>BRÄCKE</t>
        </is>
      </c>
      <c r="F2647" t="inlineStr">
        <is>
          <t>SCA</t>
        </is>
      </c>
      <c r="G2647" t="n">
        <v>11.9</v>
      </c>
      <c r="H2647" t="n">
        <v>0</v>
      </c>
      <c r="I2647" t="n">
        <v>0</v>
      </c>
      <c r="J2647" t="n">
        <v>0</v>
      </c>
      <c r="K2647" t="n">
        <v>0</v>
      </c>
      <c r="L2647" t="n">
        <v>0</v>
      </c>
      <c r="M2647" t="n">
        <v>0</v>
      </c>
      <c r="N2647" t="n">
        <v>0</v>
      </c>
      <c r="O2647" t="n">
        <v>0</v>
      </c>
      <c r="P2647" t="n">
        <v>0</v>
      </c>
      <c r="Q2647" t="n">
        <v>0</v>
      </c>
      <c r="R2647" s="2" t="inlineStr"/>
    </row>
    <row r="2648" ht="15" customHeight="1">
      <c r="A2648" t="inlineStr">
        <is>
          <t>A 13165-2025</t>
        </is>
      </c>
      <c r="B2648" s="1" t="n">
        <v>45735</v>
      </c>
      <c r="C2648" s="1" t="n">
        <v>45754</v>
      </c>
      <c r="D2648" t="inlineStr">
        <is>
          <t>JÄMTLANDS LÄN</t>
        </is>
      </c>
      <c r="E2648" t="inlineStr">
        <is>
          <t>BRÄCKE</t>
        </is>
      </c>
      <c r="F2648" t="inlineStr">
        <is>
          <t>SCA</t>
        </is>
      </c>
      <c r="G2648" t="n">
        <v>9.1</v>
      </c>
      <c r="H2648" t="n">
        <v>0</v>
      </c>
      <c r="I2648" t="n">
        <v>0</v>
      </c>
      <c r="J2648" t="n">
        <v>0</v>
      </c>
      <c r="K2648" t="n">
        <v>0</v>
      </c>
      <c r="L2648" t="n">
        <v>0</v>
      </c>
      <c r="M2648" t="n">
        <v>0</v>
      </c>
      <c r="N2648" t="n">
        <v>0</v>
      </c>
      <c r="O2648" t="n">
        <v>0</v>
      </c>
      <c r="P2648" t="n">
        <v>0</v>
      </c>
      <c r="Q2648" t="n">
        <v>0</v>
      </c>
      <c r="R2648" s="2" t="inlineStr"/>
    </row>
    <row r="2649" ht="15" customHeight="1">
      <c r="A2649" t="inlineStr">
        <is>
          <t>A 13249-2025</t>
        </is>
      </c>
      <c r="B2649" s="1" t="n">
        <v>45735</v>
      </c>
      <c r="C2649" s="1" t="n">
        <v>45754</v>
      </c>
      <c r="D2649" t="inlineStr">
        <is>
          <t>JÄMTLANDS LÄN</t>
        </is>
      </c>
      <c r="E2649" t="inlineStr">
        <is>
          <t>BRÄCKE</t>
        </is>
      </c>
      <c r="F2649" t="inlineStr">
        <is>
          <t>SCA</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13326-2025</t>
        </is>
      </c>
      <c r="B2650" s="1" t="n">
        <v>45735</v>
      </c>
      <c r="C2650" s="1" t="n">
        <v>45754</v>
      </c>
      <c r="D2650" t="inlineStr">
        <is>
          <t>JÄMTLANDS LÄN</t>
        </is>
      </c>
      <c r="E2650" t="inlineStr">
        <is>
          <t>BRÄCKE</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13621-2025</t>
        </is>
      </c>
      <c r="B2651" s="1" t="n">
        <v>45736</v>
      </c>
      <c r="C2651" s="1" t="n">
        <v>45754</v>
      </c>
      <c r="D2651" t="inlineStr">
        <is>
          <t>JÄMTLANDS LÄN</t>
        </is>
      </c>
      <c r="E2651" t="inlineStr">
        <is>
          <t>BRÄCKE</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13906-2025</t>
        </is>
      </c>
      <c r="B2652" s="1" t="n">
        <v>45737</v>
      </c>
      <c r="C2652" s="1" t="n">
        <v>45754</v>
      </c>
      <c r="D2652" t="inlineStr">
        <is>
          <t>JÄMTLANDS LÄN</t>
        </is>
      </c>
      <c r="E2652" t="inlineStr">
        <is>
          <t>BRÄCKE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14289-2025</t>
        </is>
      </c>
      <c r="B2653" s="1" t="n">
        <v>45740</v>
      </c>
      <c r="C2653" s="1" t="n">
        <v>45754</v>
      </c>
      <c r="D2653" t="inlineStr">
        <is>
          <t>JÄMTLANDS LÄN</t>
        </is>
      </c>
      <c r="E2653" t="inlineStr">
        <is>
          <t>BRÄCKE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14290-2025</t>
        </is>
      </c>
      <c r="B2654" s="1" t="n">
        <v>45740</v>
      </c>
      <c r="C2654" s="1" t="n">
        <v>45754</v>
      </c>
      <c r="D2654" t="inlineStr">
        <is>
          <t>JÄMTLANDS LÄN</t>
        </is>
      </c>
      <c r="E2654" t="inlineStr">
        <is>
          <t>BRÄCKE</t>
        </is>
      </c>
      <c r="F2654" t="inlineStr">
        <is>
          <t>SCA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14266-2025</t>
        </is>
      </c>
      <c r="B2655" s="1" t="n">
        <v>45740</v>
      </c>
      <c r="C2655" s="1" t="n">
        <v>45754</v>
      </c>
      <c r="D2655" t="inlineStr">
        <is>
          <t>JÄMTLANDS LÄN</t>
        </is>
      </c>
      <c r="E2655" t="inlineStr">
        <is>
          <t>BRÄCKE</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14124-2025</t>
        </is>
      </c>
      <c r="B2656" s="1" t="n">
        <v>45740</v>
      </c>
      <c r="C2656" s="1" t="n">
        <v>45754</v>
      </c>
      <c r="D2656" t="inlineStr">
        <is>
          <t>JÄMTLANDS LÄN</t>
        </is>
      </c>
      <c r="E2656" t="inlineStr">
        <is>
          <t>BRÄCKE</t>
        </is>
      </c>
      <c r="F2656" t="inlineStr">
        <is>
          <t>SCA</t>
        </is>
      </c>
      <c r="G2656" t="n">
        <v>18.7</v>
      </c>
      <c r="H2656" t="n">
        <v>0</v>
      </c>
      <c r="I2656" t="n">
        <v>0</v>
      </c>
      <c r="J2656" t="n">
        <v>0</v>
      </c>
      <c r="K2656" t="n">
        <v>0</v>
      </c>
      <c r="L2656" t="n">
        <v>0</v>
      </c>
      <c r="M2656" t="n">
        <v>0</v>
      </c>
      <c r="N2656" t="n">
        <v>0</v>
      </c>
      <c r="O2656" t="n">
        <v>0</v>
      </c>
      <c r="P2656" t="n">
        <v>0</v>
      </c>
      <c r="Q2656" t="n">
        <v>0</v>
      </c>
      <c r="R2656" s="2" t="inlineStr"/>
    </row>
    <row r="2657" ht="15" customHeight="1">
      <c r="A2657" t="inlineStr">
        <is>
          <t>A 14281-2025</t>
        </is>
      </c>
      <c r="B2657" s="1" t="n">
        <v>45740</v>
      </c>
      <c r="C2657" s="1" t="n">
        <v>45754</v>
      </c>
      <c r="D2657" t="inlineStr">
        <is>
          <t>JÄMTLANDS LÄN</t>
        </is>
      </c>
      <c r="E2657" t="inlineStr">
        <is>
          <t>BRÄCKE</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14474-2025</t>
        </is>
      </c>
      <c r="B2658" s="1" t="n">
        <v>45741</v>
      </c>
      <c r="C2658" s="1" t="n">
        <v>45754</v>
      </c>
      <c r="D2658" t="inlineStr">
        <is>
          <t>JÄMTLANDS LÄN</t>
        </is>
      </c>
      <c r="E2658" t="inlineStr">
        <is>
          <t>BRÄCKE</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14510-2025</t>
        </is>
      </c>
      <c r="B2659" s="1" t="n">
        <v>45741</v>
      </c>
      <c r="C2659" s="1" t="n">
        <v>45754</v>
      </c>
      <c r="D2659" t="inlineStr">
        <is>
          <t>JÄMTLANDS LÄN</t>
        </is>
      </c>
      <c r="E2659" t="inlineStr">
        <is>
          <t>BRÄCKE</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14485-2025</t>
        </is>
      </c>
      <c r="B2660" s="1" t="n">
        <v>45741</v>
      </c>
      <c r="C2660" s="1" t="n">
        <v>45754</v>
      </c>
      <c r="D2660" t="inlineStr">
        <is>
          <t>JÄMTLANDS LÄN</t>
        </is>
      </c>
      <c r="E2660" t="inlineStr">
        <is>
          <t>BRÄCKE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14511-2025</t>
        </is>
      </c>
      <c r="B2661" s="1" t="n">
        <v>45741</v>
      </c>
      <c r="C2661" s="1" t="n">
        <v>45754</v>
      </c>
      <c r="D2661" t="inlineStr">
        <is>
          <t>JÄMTLANDS LÄN</t>
        </is>
      </c>
      <c r="E2661" t="inlineStr">
        <is>
          <t>BRÄCKE</t>
        </is>
      </c>
      <c r="F2661" t="inlineStr">
        <is>
          <t>SCA</t>
        </is>
      </c>
      <c r="G2661" t="n">
        <v>19.5</v>
      </c>
      <c r="H2661" t="n">
        <v>0</v>
      </c>
      <c r="I2661" t="n">
        <v>0</v>
      </c>
      <c r="J2661" t="n">
        <v>0</v>
      </c>
      <c r="K2661" t="n">
        <v>0</v>
      </c>
      <c r="L2661" t="n">
        <v>0</v>
      </c>
      <c r="M2661" t="n">
        <v>0</v>
      </c>
      <c r="N2661" t="n">
        <v>0</v>
      </c>
      <c r="O2661" t="n">
        <v>0</v>
      </c>
      <c r="P2661" t="n">
        <v>0</v>
      </c>
      <c r="Q2661" t="n">
        <v>0</v>
      </c>
      <c r="R2661" s="2" t="inlineStr"/>
    </row>
    <row r="2662" ht="15" customHeight="1">
      <c r="A2662" t="inlineStr">
        <is>
          <t>A 14601-2025</t>
        </is>
      </c>
      <c r="B2662" s="1" t="n">
        <v>45742</v>
      </c>
      <c r="C2662" s="1" t="n">
        <v>45754</v>
      </c>
      <c r="D2662" t="inlineStr">
        <is>
          <t>JÄMTLANDS LÄN</t>
        </is>
      </c>
      <c r="E2662" t="inlineStr">
        <is>
          <t>BRÄCKE</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14607-2025</t>
        </is>
      </c>
      <c r="B2663" s="1" t="n">
        <v>45742</v>
      </c>
      <c r="C2663" s="1" t="n">
        <v>45754</v>
      </c>
      <c r="D2663" t="inlineStr">
        <is>
          <t>JÄMTLANDS LÄN</t>
        </is>
      </c>
      <c r="E2663" t="inlineStr">
        <is>
          <t>BRÄCKE</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14630-2025</t>
        </is>
      </c>
      <c r="B2664" s="1" t="n">
        <v>45742</v>
      </c>
      <c r="C2664" s="1" t="n">
        <v>45754</v>
      </c>
      <c r="D2664" t="inlineStr">
        <is>
          <t>JÄMTLANDS LÄN</t>
        </is>
      </c>
      <c r="E2664" t="inlineStr">
        <is>
          <t>BRÄCKE</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14844-2025</t>
        </is>
      </c>
      <c r="B2665" s="1" t="n">
        <v>45743</v>
      </c>
      <c r="C2665" s="1" t="n">
        <v>45754</v>
      </c>
      <c r="D2665" t="inlineStr">
        <is>
          <t>JÄMTLANDS LÄN</t>
        </is>
      </c>
      <c r="E2665" t="inlineStr">
        <is>
          <t>BRÄCKE</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14838-2025</t>
        </is>
      </c>
      <c r="B2666" s="1" t="n">
        <v>45743</v>
      </c>
      <c r="C2666" s="1" t="n">
        <v>45754</v>
      </c>
      <c r="D2666" t="inlineStr">
        <is>
          <t>JÄMTLANDS LÄN</t>
        </is>
      </c>
      <c r="E2666" t="inlineStr">
        <is>
          <t>BRÄCKE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15261-2025</t>
        </is>
      </c>
      <c r="B2667" s="1" t="n">
        <v>45744</v>
      </c>
      <c r="C2667" s="1" t="n">
        <v>45754</v>
      </c>
      <c r="D2667" t="inlineStr">
        <is>
          <t>JÄMTLANDS LÄN</t>
        </is>
      </c>
      <c r="E2667" t="inlineStr">
        <is>
          <t>BRÄCKE</t>
        </is>
      </c>
      <c r="F2667" t="inlineStr">
        <is>
          <t>SCA</t>
        </is>
      </c>
      <c r="G2667" t="n">
        <v>9</v>
      </c>
      <c r="H2667" t="n">
        <v>0</v>
      </c>
      <c r="I2667" t="n">
        <v>0</v>
      </c>
      <c r="J2667" t="n">
        <v>0</v>
      </c>
      <c r="K2667" t="n">
        <v>0</v>
      </c>
      <c r="L2667" t="n">
        <v>0</v>
      </c>
      <c r="M2667" t="n">
        <v>0</v>
      </c>
      <c r="N2667" t="n">
        <v>0</v>
      </c>
      <c r="O2667" t="n">
        <v>0</v>
      </c>
      <c r="P2667" t="n">
        <v>0</v>
      </c>
      <c r="Q2667" t="n">
        <v>0</v>
      </c>
      <c r="R2667" s="2" t="inlineStr"/>
    </row>
    <row r="2668" ht="15" customHeight="1">
      <c r="A2668" t="inlineStr">
        <is>
          <t>A 15166-2025</t>
        </is>
      </c>
      <c r="B2668" s="1" t="n">
        <v>45744</v>
      </c>
      <c r="C2668" s="1" t="n">
        <v>45754</v>
      </c>
      <c r="D2668" t="inlineStr">
        <is>
          <t>JÄMTLANDS LÄN</t>
        </is>
      </c>
      <c r="E2668" t="inlineStr">
        <is>
          <t>BRÄCKE</t>
        </is>
      </c>
      <c r="F2668" t="inlineStr">
        <is>
          <t>SCA</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15243-2025</t>
        </is>
      </c>
      <c r="B2669" s="1" t="n">
        <v>45744</v>
      </c>
      <c r="C2669" s="1" t="n">
        <v>45754</v>
      </c>
      <c r="D2669" t="inlineStr">
        <is>
          <t>JÄMTLANDS LÄN</t>
        </is>
      </c>
      <c r="E2669" t="inlineStr">
        <is>
          <t>BRÄCKE</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15262-2025</t>
        </is>
      </c>
      <c r="B2670" s="1" t="n">
        <v>45744</v>
      </c>
      <c r="C2670" s="1" t="n">
        <v>45754</v>
      </c>
      <c r="D2670" t="inlineStr">
        <is>
          <t>JÄMTLANDS LÄN</t>
        </is>
      </c>
      <c r="E2670" t="inlineStr">
        <is>
          <t>BRÄCKE</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15423-2025</t>
        </is>
      </c>
      <c r="B2671" s="1" t="n">
        <v>45747</v>
      </c>
      <c r="C2671" s="1" t="n">
        <v>45754</v>
      </c>
      <c r="D2671" t="inlineStr">
        <is>
          <t>JÄMTLANDS LÄN</t>
        </is>
      </c>
      <c r="E2671" t="inlineStr">
        <is>
          <t>BRÄCKE</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15721-2025</t>
        </is>
      </c>
      <c r="B2672" s="1" t="n">
        <v>45748</v>
      </c>
      <c r="C2672" s="1" t="n">
        <v>45754</v>
      </c>
      <c r="D2672" t="inlineStr">
        <is>
          <t>JÄMTLANDS LÄN</t>
        </is>
      </c>
      <c r="E2672" t="inlineStr">
        <is>
          <t>BRÄCKE</t>
        </is>
      </c>
      <c r="F2672" t="inlineStr">
        <is>
          <t>SCA</t>
        </is>
      </c>
      <c r="G2672" t="n">
        <v>22.8</v>
      </c>
      <c r="H2672" t="n">
        <v>0</v>
      </c>
      <c r="I2672" t="n">
        <v>0</v>
      </c>
      <c r="J2672" t="n">
        <v>0</v>
      </c>
      <c r="K2672" t="n">
        <v>0</v>
      </c>
      <c r="L2672" t="n">
        <v>0</v>
      </c>
      <c r="M2672" t="n">
        <v>0</v>
      </c>
      <c r="N2672" t="n">
        <v>0</v>
      </c>
      <c r="O2672" t="n">
        <v>0</v>
      </c>
      <c r="P2672" t="n">
        <v>0</v>
      </c>
      <c r="Q2672" t="n">
        <v>0</v>
      </c>
      <c r="R2672" s="2" t="inlineStr"/>
    </row>
    <row r="2673" ht="15" customHeight="1">
      <c r="A2673" t="inlineStr">
        <is>
          <t>A 15794-2025</t>
        </is>
      </c>
      <c r="B2673" s="1" t="n">
        <v>45748</v>
      </c>
      <c r="C2673" s="1" t="n">
        <v>45754</v>
      </c>
      <c r="D2673" t="inlineStr">
        <is>
          <t>JÄMTLANDS LÄN</t>
        </is>
      </c>
      <c r="E2673" t="inlineStr">
        <is>
          <t>BRÄCKE</t>
        </is>
      </c>
      <c r="F2673" t="inlineStr">
        <is>
          <t>SCA</t>
        </is>
      </c>
      <c r="G2673" t="n">
        <v>21.6</v>
      </c>
      <c r="H2673" t="n">
        <v>0</v>
      </c>
      <c r="I2673" t="n">
        <v>0</v>
      </c>
      <c r="J2673" t="n">
        <v>0</v>
      </c>
      <c r="K2673" t="n">
        <v>0</v>
      </c>
      <c r="L2673" t="n">
        <v>0</v>
      </c>
      <c r="M2673" t="n">
        <v>0</v>
      </c>
      <c r="N2673" t="n">
        <v>0</v>
      </c>
      <c r="O2673" t="n">
        <v>0</v>
      </c>
      <c r="P2673" t="n">
        <v>0</v>
      </c>
      <c r="Q2673" t="n">
        <v>0</v>
      </c>
      <c r="R2673" s="2" t="inlineStr"/>
    </row>
    <row r="2674" ht="15" customHeight="1">
      <c r="A2674" t="inlineStr">
        <is>
          <t>A 15779-2025</t>
        </is>
      </c>
      <c r="B2674" s="1" t="n">
        <v>45748</v>
      </c>
      <c r="C2674" s="1" t="n">
        <v>45754</v>
      </c>
      <c r="D2674" t="inlineStr">
        <is>
          <t>JÄMTLANDS LÄN</t>
        </is>
      </c>
      <c r="E2674" t="inlineStr">
        <is>
          <t>BRÄCKE</t>
        </is>
      </c>
      <c r="F2674" t="inlineStr">
        <is>
          <t>SCA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15710-2025</t>
        </is>
      </c>
      <c r="B2675" s="1" t="n">
        <v>45748</v>
      </c>
      <c r="C2675" s="1" t="n">
        <v>45754</v>
      </c>
      <c r="D2675" t="inlineStr">
        <is>
          <t>JÄMTLANDS LÄN</t>
        </is>
      </c>
      <c r="E2675" t="inlineStr">
        <is>
          <t>BRÄCKE</t>
        </is>
      </c>
      <c r="F2675" t="inlineStr">
        <is>
          <t>SCA</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15944-2025</t>
        </is>
      </c>
      <c r="B2676" s="1" t="n">
        <v>45749</v>
      </c>
      <c r="C2676" s="1" t="n">
        <v>45754</v>
      </c>
      <c r="D2676" t="inlineStr">
        <is>
          <t>JÄMTLANDS LÄN</t>
        </is>
      </c>
      <c r="E2676" t="inlineStr">
        <is>
          <t>BRÄCKE</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16322-2025</t>
        </is>
      </c>
      <c r="B2677" s="1" t="n">
        <v>45751</v>
      </c>
      <c r="C2677" s="1" t="n">
        <v>45754</v>
      </c>
      <c r="D2677" t="inlineStr">
        <is>
          <t>JÄMTLANDS LÄN</t>
        </is>
      </c>
      <c r="E2677" t="inlineStr">
        <is>
          <t>BRÄCKE</t>
        </is>
      </c>
      <c r="F2677" t="inlineStr">
        <is>
          <t>SCA</t>
        </is>
      </c>
      <c r="G2677" t="n">
        <v>2.1</v>
      </c>
      <c r="H2677" t="n">
        <v>0</v>
      </c>
      <c r="I2677" t="n">
        <v>0</v>
      </c>
      <c r="J2677" t="n">
        <v>0</v>
      </c>
      <c r="K2677" t="n">
        <v>0</v>
      </c>
      <c r="L2677" t="n">
        <v>0</v>
      </c>
      <c r="M2677" t="n">
        <v>0</v>
      </c>
      <c r="N2677" t="n">
        <v>0</v>
      </c>
      <c r="O2677" t="n">
        <v>0</v>
      </c>
      <c r="P2677" t="n">
        <v>0</v>
      </c>
      <c r="Q2677" t="n">
        <v>0</v>
      </c>
      <c r="R2677" s="2" t="inlineStr"/>
    </row>
    <row r="2678">
      <c r="A2678" t="inlineStr">
        <is>
          <t>A 16317-2025</t>
        </is>
      </c>
      <c r="B2678" s="1" t="n">
        <v>45751</v>
      </c>
      <c r="C2678" s="1" t="n">
        <v>45754</v>
      </c>
      <c r="D2678" t="inlineStr">
        <is>
          <t>JÄMTLANDS LÄN</t>
        </is>
      </c>
      <c r="E2678" t="inlineStr">
        <is>
          <t>BRÄCKE</t>
        </is>
      </c>
      <c r="F2678" t="inlineStr">
        <is>
          <t>SCA</t>
        </is>
      </c>
      <c r="G2678" t="n">
        <v>1.5</v>
      </c>
      <c r="H2678" t="n">
        <v>0</v>
      </c>
      <c r="I2678" t="n">
        <v>0</v>
      </c>
      <c r="J2678" t="n">
        <v>0</v>
      </c>
      <c r="K2678" t="n">
        <v>0</v>
      </c>
      <c r="L2678" t="n">
        <v>0</v>
      </c>
      <c r="M2678" t="n">
        <v>0</v>
      </c>
      <c r="N2678" t="n">
        <v>0</v>
      </c>
      <c r="O2678" t="n">
        <v>0</v>
      </c>
      <c r="P2678" t="n">
        <v>0</v>
      </c>
      <c r="Q2678" t="n">
        <v>0</v>
      </c>
      <c r="R2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2025-04-07T16:47:47Z</dcterms:created>
  <dcterms:modified xmlns:dcterms="http://purl.org/dc/terms/" xmlns:xsi="http://www.w3.org/2001/XMLSchema-instance" xsi:type="dcterms:W3CDTF">2025-04-07T16:47:50Z</dcterms:modified>
</cp:coreProperties>
</file>