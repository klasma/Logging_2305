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45507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45507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45507</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45507</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45507</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45507</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45507</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45507</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45507</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22554-2024</t>
        </is>
      </c>
      <c r="B11" s="1" t="n">
        <v>45447</v>
      </c>
      <c r="C11" s="1" t="n">
        <v>45507</v>
      </c>
      <c r="D11" t="inlineStr">
        <is>
          <t>JÄMTLANDS LÄN</t>
        </is>
      </c>
      <c r="E11" t="inlineStr">
        <is>
          <t>BRÄCKE</t>
        </is>
      </c>
      <c r="G11" t="n">
        <v>11.8</v>
      </c>
      <c r="H11" t="n">
        <v>2</v>
      </c>
      <c r="I11" t="n">
        <v>2</v>
      </c>
      <c r="J11" t="n">
        <v>9</v>
      </c>
      <c r="K11" t="n">
        <v>3</v>
      </c>
      <c r="L11" t="n">
        <v>0</v>
      </c>
      <c r="M11" t="n">
        <v>0</v>
      </c>
      <c r="N11" t="n">
        <v>0</v>
      </c>
      <c r="O11" t="n">
        <v>12</v>
      </c>
      <c r="P11" t="n">
        <v>3</v>
      </c>
      <c r="Q11" t="n">
        <v>14</v>
      </c>
      <c r="R11" s="2" t="inlineStr">
        <is>
          <t>Knärot
Ostticka
Rynkskinn
Brunpudrad nållav
Gammelgransskål
Garnlav
Granticka
Lunglav
Tretåig hackspett
Ullticka
Vedtrappmossa
Vitgrynig nållav
Norrlandslav
Vedticka</t>
        </is>
      </c>
      <c r="S11">
        <f>HYPERLINK("https://klasma.github.io/Logging_2305/artfynd/A 22554-2024 artfynd.xlsx", "A 22554-2024")</f>
        <v/>
      </c>
      <c r="T11">
        <f>HYPERLINK("https://klasma.github.io/Logging_2305/kartor/A 22554-2024 karta.png", "A 22554-2024")</f>
        <v/>
      </c>
      <c r="U11">
        <f>HYPERLINK("https://klasma.github.io/Logging_2305/knärot/A 22554-2024 karta knärot.png", "A 22554-2024")</f>
        <v/>
      </c>
      <c r="V11">
        <f>HYPERLINK("https://klasma.github.io/Logging_2305/klagomål/A 22554-2024 FSC-klagomål.docx", "A 22554-2024")</f>
        <v/>
      </c>
      <c r="W11">
        <f>HYPERLINK("https://klasma.github.io/Logging_2305/klagomålsmail/A 22554-2024 FSC-klagomål mail.docx", "A 22554-2024")</f>
        <v/>
      </c>
      <c r="X11">
        <f>HYPERLINK("https://klasma.github.io/Logging_2305/tillsyn/A 22554-2024 tillsynsbegäran.docx", "A 22554-2024")</f>
        <v/>
      </c>
      <c r="Y11">
        <f>HYPERLINK("https://klasma.github.io/Logging_2305/tillsynsmail/A 22554-2024 tillsynsbegäran mail.docx", "A 22554-2024")</f>
        <v/>
      </c>
      <c r="Z11">
        <f>HYPERLINK("https://klasma.github.io/Logging_2305/fåglar/A 22554-2024 prioriterade fågelarter.docx", "A 22554-2024")</f>
        <v/>
      </c>
    </row>
    <row r="12" ht="15" customHeight="1">
      <c r="A12" t="inlineStr">
        <is>
          <t>A 23037-2021</t>
        </is>
      </c>
      <c r="B12" s="1" t="n">
        <v>44328</v>
      </c>
      <c r="C12" s="1" t="n">
        <v>45507</v>
      </c>
      <c r="D12" t="inlineStr">
        <is>
          <t>JÄMTLANDS LÄN</t>
        </is>
      </c>
      <c r="E12" t="inlineStr">
        <is>
          <t>BRÄCKE</t>
        </is>
      </c>
      <c r="F12" t="inlineStr">
        <is>
          <t>SCA</t>
        </is>
      </c>
      <c r="G12" t="n">
        <v>7.1</v>
      </c>
      <c r="H12" t="n">
        <v>2</v>
      </c>
      <c r="I12" t="n">
        <v>1</v>
      </c>
      <c r="J12" t="n">
        <v>7</v>
      </c>
      <c r="K12" t="n">
        <v>4</v>
      </c>
      <c r="L12" t="n">
        <v>0</v>
      </c>
      <c r="M12" t="n">
        <v>0</v>
      </c>
      <c r="N12" t="n">
        <v>0</v>
      </c>
      <c r="O12" t="n">
        <v>11</v>
      </c>
      <c r="P12" t="n">
        <v>4</v>
      </c>
      <c r="Q12" t="n">
        <v>13</v>
      </c>
      <c r="R12" s="2" t="inlineStr">
        <is>
          <t>Fläckporing
Gräddporing
Knärot
Rynkskinn
Dvärgbägarlav
Kolflarnlav
Mörk kolflarnlav
Nordtagging
Ullticka
Vedflamlav
Vedskivlav
Vedticka
Revlummer</t>
        </is>
      </c>
      <c r="S12">
        <f>HYPERLINK("https://klasma.github.io/Logging_2305/artfynd/A 23037-2021 artfynd.xlsx", "A 23037-2021")</f>
        <v/>
      </c>
      <c r="T12">
        <f>HYPERLINK("https://klasma.github.io/Logging_2305/kartor/A 23037-2021 karta.png", "A 23037-2021")</f>
        <v/>
      </c>
      <c r="U12">
        <f>HYPERLINK("https://klasma.github.io/Logging_2305/knärot/A 23037-2021 karta knärot.png", "A 23037-2021")</f>
        <v/>
      </c>
      <c r="V12">
        <f>HYPERLINK("https://klasma.github.io/Logging_2305/klagomål/A 23037-2021 FSC-klagomål.docx", "A 23037-2021")</f>
        <v/>
      </c>
      <c r="W12">
        <f>HYPERLINK("https://klasma.github.io/Logging_2305/klagomålsmail/A 23037-2021 FSC-klagomål mail.docx", "A 23037-2021")</f>
        <v/>
      </c>
      <c r="X12">
        <f>HYPERLINK("https://klasma.github.io/Logging_2305/tillsyn/A 23037-2021 tillsynsbegäran.docx", "A 23037-2021")</f>
        <v/>
      </c>
      <c r="Y12">
        <f>HYPERLINK("https://klasma.github.io/Logging_2305/tillsynsmail/A 23037-2021 tillsynsbegäran mail.docx", "A 23037-2021")</f>
        <v/>
      </c>
    </row>
    <row r="13" ht="15" customHeight="1">
      <c r="A13" t="inlineStr">
        <is>
          <t>A 4221-2023</t>
        </is>
      </c>
      <c r="B13" s="1" t="n">
        <v>44951</v>
      </c>
      <c r="C13" s="1" t="n">
        <v>45507</v>
      </c>
      <c r="D13" t="inlineStr">
        <is>
          <t>JÄMTLANDS LÄN</t>
        </is>
      </c>
      <c r="E13" t="inlineStr">
        <is>
          <t>BRÄCKE</t>
        </is>
      </c>
      <c r="G13" t="n">
        <v>2.9</v>
      </c>
      <c r="H13" t="n">
        <v>3</v>
      </c>
      <c r="I13" t="n">
        <v>3</v>
      </c>
      <c r="J13" t="n">
        <v>5</v>
      </c>
      <c r="K13" t="n">
        <v>3</v>
      </c>
      <c r="L13" t="n">
        <v>0</v>
      </c>
      <c r="M13" t="n">
        <v>0</v>
      </c>
      <c r="N13" t="n">
        <v>0</v>
      </c>
      <c r="O13" t="n">
        <v>8</v>
      </c>
      <c r="P13" t="n">
        <v>3</v>
      </c>
      <c r="Q13" t="n">
        <v>12</v>
      </c>
      <c r="R13" s="2" t="inlineStr">
        <is>
          <t>Doftticka
Knärot
Tajgataggsvamp
Garnlav
Koralltaggsvamp
Lunglav
Stiftgelélav
Ullticka
Bårdlav
Luddlav
Vedticka
Nattviol</t>
        </is>
      </c>
      <c r="S13">
        <f>HYPERLINK("https://klasma.github.io/Logging_2305/artfynd/A 4221-2023 artfynd.xlsx", "A 4221-2023")</f>
        <v/>
      </c>
      <c r="T13">
        <f>HYPERLINK("https://klasma.github.io/Logging_2305/kartor/A 4221-2023 karta.png", "A 4221-2023")</f>
        <v/>
      </c>
      <c r="U13">
        <f>HYPERLINK("https://klasma.github.io/Logging_2305/knärot/A 4221-2023 karta knärot.png", "A 4221-2023")</f>
        <v/>
      </c>
      <c r="V13">
        <f>HYPERLINK("https://klasma.github.io/Logging_2305/klagomål/A 4221-2023 FSC-klagomål.docx", "A 4221-2023")</f>
        <v/>
      </c>
      <c r="W13">
        <f>HYPERLINK("https://klasma.github.io/Logging_2305/klagomålsmail/A 4221-2023 FSC-klagomål mail.docx", "A 4221-2023")</f>
        <v/>
      </c>
      <c r="X13">
        <f>HYPERLINK("https://klasma.github.io/Logging_2305/tillsyn/A 4221-2023 tillsynsbegäran.docx", "A 4221-2023")</f>
        <v/>
      </c>
      <c r="Y13">
        <f>HYPERLINK("https://klasma.github.io/Logging_2305/tillsynsmail/A 4221-2023 tillsynsbegäran mail.docx", "A 4221-2023")</f>
        <v/>
      </c>
    </row>
    <row r="14" ht="15" customHeight="1">
      <c r="A14" t="inlineStr">
        <is>
          <t>A 29943-2023</t>
        </is>
      </c>
      <c r="B14" s="1" t="n">
        <v>45107</v>
      </c>
      <c r="C14" s="1" t="n">
        <v>45507</v>
      </c>
      <c r="D14" t="inlineStr">
        <is>
          <t>JÄMTLANDS LÄN</t>
        </is>
      </c>
      <c r="E14" t="inlineStr">
        <is>
          <t>BRÄCKE</t>
        </is>
      </c>
      <c r="G14" t="n">
        <v>12.2</v>
      </c>
      <c r="H14" t="n">
        <v>1</v>
      </c>
      <c r="I14" t="n">
        <v>4</v>
      </c>
      <c r="J14" t="n">
        <v>7</v>
      </c>
      <c r="K14" t="n">
        <v>1</v>
      </c>
      <c r="L14" t="n">
        <v>0</v>
      </c>
      <c r="M14" t="n">
        <v>0</v>
      </c>
      <c r="N14" t="n">
        <v>0</v>
      </c>
      <c r="O14" t="n">
        <v>8</v>
      </c>
      <c r="P14" t="n">
        <v>1</v>
      </c>
      <c r="Q14" t="n">
        <v>12</v>
      </c>
      <c r="R14" s="2" t="inlineStr">
        <is>
          <t>Lateritticka
Dvärgbägarlav
Garnlav
Grantaggsvamp
Granticka
Lunglav
Tretåig hackspett
Ullticka
Barkticka
Bårdlav
Stuplav
Vedticka</t>
        </is>
      </c>
      <c r="S14">
        <f>HYPERLINK("https://klasma.github.io/Logging_2305/artfynd/A 29943-2023 artfynd.xlsx", "A 29943-2023")</f>
        <v/>
      </c>
      <c r="T14">
        <f>HYPERLINK("https://klasma.github.io/Logging_2305/kartor/A 29943-2023 karta.png", "A 29943-2023")</f>
        <v/>
      </c>
      <c r="V14">
        <f>HYPERLINK("https://klasma.github.io/Logging_2305/klagomål/A 29943-2023 FSC-klagomål.docx", "A 29943-2023")</f>
        <v/>
      </c>
      <c r="W14">
        <f>HYPERLINK("https://klasma.github.io/Logging_2305/klagomålsmail/A 29943-2023 FSC-klagomål mail.docx", "A 29943-2023")</f>
        <v/>
      </c>
      <c r="X14">
        <f>HYPERLINK("https://klasma.github.io/Logging_2305/tillsyn/A 29943-2023 tillsynsbegäran.docx", "A 29943-2023")</f>
        <v/>
      </c>
      <c r="Y14">
        <f>HYPERLINK("https://klasma.github.io/Logging_2305/tillsynsmail/A 29943-2023 tillsynsbegäran mail.docx", "A 29943-2023")</f>
        <v/>
      </c>
      <c r="Z14">
        <f>HYPERLINK("https://klasma.github.io/Logging_2305/fåglar/A 29943-2023 prioriterade fågelarter.docx", "A 29943-2023")</f>
        <v/>
      </c>
    </row>
    <row r="15" ht="15" customHeight="1">
      <c r="A15" t="inlineStr">
        <is>
          <t>A 51806-2023</t>
        </is>
      </c>
      <c r="B15" s="1" t="n">
        <v>45222</v>
      </c>
      <c r="C15" s="1" t="n">
        <v>45507</v>
      </c>
      <c r="D15" t="inlineStr">
        <is>
          <t>JÄMTLANDS LÄN</t>
        </is>
      </c>
      <c r="E15" t="inlineStr">
        <is>
          <t>BRÄCKE</t>
        </is>
      </c>
      <c r="F15" t="inlineStr">
        <is>
          <t>Naturvårdsverket</t>
        </is>
      </c>
      <c r="G15" t="n">
        <v>21</v>
      </c>
      <c r="H15" t="n">
        <v>3</v>
      </c>
      <c r="I15" t="n">
        <v>3</v>
      </c>
      <c r="J15" t="n">
        <v>8</v>
      </c>
      <c r="K15" t="n">
        <v>1</v>
      </c>
      <c r="L15" t="n">
        <v>0</v>
      </c>
      <c r="M15" t="n">
        <v>0</v>
      </c>
      <c r="N15" t="n">
        <v>0</v>
      </c>
      <c r="O15" t="n">
        <v>9</v>
      </c>
      <c r="P15" t="n">
        <v>1</v>
      </c>
      <c r="Q15" t="n">
        <v>12</v>
      </c>
      <c r="R15" s="2" t="inlineStr">
        <is>
          <t>Ringlav
Dvärgbägarlav
Fiskmås
Garnlav
Kolflarnlav
Lunglav
Mörk kolflarnlav
Vedskivlav
Ärtsångare
Dropptaggsvamp
Plattlummer
Stuplav</t>
        </is>
      </c>
      <c r="S15">
        <f>HYPERLINK("https://klasma.github.io/Logging_2305/artfynd/A 51806-2023 artfynd.xlsx", "A 51806-2023")</f>
        <v/>
      </c>
      <c r="T15">
        <f>HYPERLINK("https://klasma.github.io/Logging_2305/kartor/A 51806-2023 karta.png", "A 51806-2023")</f>
        <v/>
      </c>
      <c r="V15">
        <f>HYPERLINK("https://klasma.github.io/Logging_2305/klagomål/A 51806-2023 FSC-klagomål.docx", "A 51806-2023")</f>
        <v/>
      </c>
      <c r="W15">
        <f>HYPERLINK("https://klasma.github.io/Logging_2305/klagomålsmail/A 51806-2023 FSC-klagomål mail.docx", "A 51806-2023")</f>
        <v/>
      </c>
      <c r="X15">
        <f>HYPERLINK("https://klasma.github.io/Logging_2305/tillsyn/A 51806-2023 tillsynsbegäran.docx", "A 51806-2023")</f>
        <v/>
      </c>
      <c r="Y15">
        <f>HYPERLINK("https://klasma.github.io/Logging_2305/tillsynsmail/A 51806-2023 tillsynsbegäran mail.docx", "A 51806-2023")</f>
        <v/>
      </c>
      <c r="Z15">
        <f>HYPERLINK("https://klasma.github.io/Logging_2305/fåglar/A 51806-2023 prioriterade fågelarter.docx", "A 51806-2023")</f>
        <v/>
      </c>
    </row>
    <row r="16" ht="15" customHeight="1">
      <c r="A16" t="inlineStr">
        <is>
          <t>A 40056-2020</t>
        </is>
      </c>
      <c r="B16" s="1" t="n">
        <v>44067</v>
      </c>
      <c r="C16" s="1" t="n">
        <v>45507</v>
      </c>
      <c r="D16" t="inlineStr">
        <is>
          <t>JÄMTLANDS LÄN</t>
        </is>
      </c>
      <c r="E16" t="inlineStr">
        <is>
          <t>BRÄCKE</t>
        </is>
      </c>
      <c r="G16" t="n">
        <v>20.8</v>
      </c>
      <c r="H16" t="n">
        <v>2</v>
      </c>
      <c r="I16" t="n">
        <v>3</v>
      </c>
      <c r="J16" t="n">
        <v>5</v>
      </c>
      <c r="K16" t="n">
        <v>3</v>
      </c>
      <c r="L16" t="n">
        <v>0</v>
      </c>
      <c r="M16" t="n">
        <v>0</v>
      </c>
      <c r="N16" t="n">
        <v>0</v>
      </c>
      <c r="O16" t="n">
        <v>8</v>
      </c>
      <c r="P16" t="n">
        <v>3</v>
      </c>
      <c r="Q16" t="n">
        <v>11</v>
      </c>
      <c r="R16" s="2" t="inlineStr">
        <is>
          <t>Doftticka
Knärot
Läderlappslav
Garnlav
Lunglav
Skrovellav
Småflikig brosklav
Vedtrappmossa
Bårdlav
Gytterlav
Stuplav</t>
        </is>
      </c>
      <c r="S16">
        <f>HYPERLINK("https://klasma.github.io/Logging_2305/artfynd/A 40056-2020 artfynd.xlsx", "A 40056-2020")</f>
        <v/>
      </c>
      <c r="T16">
        <f>HYPERLINK("https://klasma.github.io/Logging_2305/kartor/A 40056-2020 karta.png", "A 40056-2020")</f>
        <v/>
      </c>
      <c r="U16">
        <f>HYPERLINK("https://klasma.github.io/Logging_2305/knärot/A 40056-2020 karta knärot.png", "A 40056-2020")</f>
        <v/>
      </c>
      <c r="V16">
        <f>HYPERLINK("https://klasma.github.io/Logging_2305/klagomål/A 40056-2020 FSC-klagomål.docx", "A 40056-2020")</f>
        <v/>
      </c>
      <c r="W16">
        <f>HYPERLINK("https://klasma.github.io/Logging_2305/klagomålsmail/A 40056-2020 FSC-klagomål mail.docx", "A 40056-2020")</f>
        <v/>
      </c>
      <c r="X16">
        <f>HYPERLINK("https://klasma.github.io/Logging_2305/tillsyn/A 40056-2020 tillsynsbegäran.docx", "A 40056-2020")</f>
        <v/>
      </c>
      <c r="Y16">
        <f>HYPERLINK("https://klasma.github.io/Logging_2305/tillsynsmail/A 40056-2020 tillsynsbegäran mail.docx", "A 40056-2020")</f>
        <v/>
      </c>
    </row>
    <row r="17" ht="15" customHeight="1">
      <c r="A17" t="inlineStr">
        <is>
          <t>A 46328-2022</t>
        </is>
      </c>
      <c r="B17" s="1" t="n">
        <v>44847</v>
      </c>
      <c r="C17" s="1" t="n">
        <v>45507</v>
      </c>
      <c r="D17" t="inlineStr">
        <is>
          <t>JÄMTLANDS LÄN</t>
        </is>
      </c>
      <c r="E17" t="inlineStr">
        <is>
          <t>BRÄCKE</t>
        </is>
      </c>
      <c r="F17" t="inlineStr">
        <is>
          <t>SCA</t>
        </is>
      </c>
      <c r="G17" t="n">
        <v>17.7</v>
      </c>
      <c r="H17" t="n">
        <v>2</v>
      </c>
      <c r="I17" t="n">
        <v>3</v>
      </c>
      <c r="J17" t="n">
        <v>7</v>
      </c>
      <c r="K17" t="n">
        <v>1</v>
      </c>
      <c r="L17" t="n">
        <v>0</v>
      </c>
      <c r="M17" t="n">
        <v>0</v>
      </c>
      <c r="N17" t="n">
        <v>0</v>
      </c>
      <c r="O17" t="n">
        <v>8</v>
      </c>
      <c r="P17" t="n">
        <v>1</v>
      </c>
      <c r="Q17" t="n">
        <v>11</v>
      </c>
      <c r="R17" s="2" t="inlineStr">
        <is>
          <t>Doftticka
Garnlav
Lunglav
Skrovellav
Tallticka
Tretåig hackspett
Ullticka
Äggvaxskivling
Fjällig taggsvamp s.str.
Skarp dropptaggsvamp
Svavelriska</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58080-2023</t>
        </is>
      </c>
      <c r="B18" s="1" t="n">
        <v>45248</v>
      </c>
      <c r="C18" s="1" t="n">
        <v>45507</v>
      </c>
      <c r="D18" t="inlineStr">
        <is>
          <t>JÄMTLANDS LÄN</t>
        </is>
      </c>
      <c r="E18" t="inlineStr">
        <is>
          <t>BRÄCKE</t>
        </is>
      </c>
      <c r="F18" t="inlineStr">
        <is>
          <t>SCA</t>
        </is>
      </c>
      <c r="G18" t="n">
        <v>19.5</v>
      </c>
      <c r="H18" t="n">
        <v>2</v>
      </c>
      <c r="I18" t="n">
        <v>4</v>
      </c>
      <c r="J18" t="n">
        <v>4</v>
      </c>
      <c r="K18" t="n">
        <v>3</v>
      </c>
      <c r="L18" t="n">
        <v>0</v>
      </c>
      <c r="M18" t="n">
        <v>0</v>
      </c>
      <c r="N18" t="n">
        <v>0</v>
      </c>
      <c r="O18" t="n">
        <v>7</v>
      </c>
      <c r="P18" t="n">
        <v>3</v>
      </c>
      <c r="Q18" t="n">
        <v>11</v>
      </c>
      <c r="R18" s="2" t="inlineStr">
        <is>
          <t>Blackticka
Doftticka
Knärot
Granticka
Lunglav
Skrovellav
Vedtrappmossa
Bårdlav
Luddlav
Skinnlav
Stuplav</t>
        </is>
      </c>
      <c r="S18">
        <f>HYPERLINK("https://klasma.github.io/Logging_2305/artfynd/A 58080-2023 artfynd.xlsx", "A 58080-2023")</f>
        <v/>
      </c>
      <c r="T18">
        <f>HYPERLINK("https://klasma.github.io/Logging_2305/kartor/A 58080-2023 karta.png", "A 58080-2023")</f>
        <v/>
      </c>
      <c r="U18">
        <f>HYPERLINK("https://klasma.github.io/Logging_2305/knärot/A 58080-2023 karta knärot.png", "A 58080-2023")</f>
        <v/>
      </c>
      <c r="V18">
        <f>HYPERLINK("https://klasma.github.io/Logging_2305/klagomål/A 58080-2023 FSC-klagomål.docx", "A 58080-2023")</f>
        <v/>
      </c>
      <c r="W18">
        <f>HYPERLINK("https://klasma.github.io/Logging_2305/klagomålsmail/A 58080-2023 FSC-klagomål mail.docx", "A 58080-2023")</f>
        <v/>
      </c>
      <c r="X18">
        <f>HYPERLINK("https://klasma.github.io/Logging_2305/tillsyn/A 58080-2023 tillsynsbegäran.docx", "A 58080-2023")</f>
        <v/>
      </c>
      <c r="Y18">
        <f>HYPERLINK("https://klasma.github.io/Logging_2305/tillsynsmail/A 58080-2023 tillsynsbegäran mail.docx", "A 58080-2023")</f>
        <v/>
      </c>
    </row>
    <row r="19" ht="15" customHeight="1">
      <c r="A19" t="inlineStr">
        <is>
          <t>A 19337-2024</t>
        </is>
      </c>
      <c r="B19" s="1" t="n">
        <v>45429</v>
      </c>
      <c r="C19" s="1" t="n">
        <v>45507</v>
      </c>
      <c r="D19" t="inlineStr">
        <is>
          <t>JÄMTLANDS LÄN</t>
        </is>
      </c>
      <c r="E19" t="inlineStr">
        <is>
          <t>BRÄCKE</t>
        </is>
      </c>
      <c r="F19" t="inlineStr">
        <is>
          <t>SCA</t>
        </is>
      </c>
      <c r="G19" t="n">
        <v>6</v>
      </c>
      <c r="H19" t="n">
        <v>3</v>
      </c>
      <c r="I19" t="n">
        <v>5</v>
      </c>
      <c r="J19" t="n">
        <v>5</v>
      </c>
      <c r="K19" t="n">
        <v>0</v>
      </c>
      <c r="L19" t="n">
        <v>0</v>
      </c>
      <c r="M19" t="n">
        <v>0</v>
      </c>
      <c r="N19" t="n">
        <v>0</v>
      </c>
      <c r="O19" t="n">
        <v>5</v>
      </c>
      <c r="P19" t="n">
        <v>0</v>
      </c>
      <c r="Q19" t="n">
        <v>11</v>
      </c>
      <c r="R19" s="2" t="inlineStr">
        <is>
          <t>Gammelgransskål
Granticka
Spillkråka
Ullticka
Vedtrappmossa
Guckusko
Kransrams
Svavelriska
Tibast
Underviol
Blåsippa</t>
        </is>
      </c>
      <c r="S19">
        <f>HYPERLINK("https://klasma.github.io/Logging_2305/artfynd/A 19337-2024 artfynd.xlsx", "A 19337-2024")</f>
        <v/>
      </c>
      <c r="T19">
        <f>HYPERLINK("https://klasma.github.io/Logging_2305/kartor/A 19337-2024 karta.png", "A 19337-2024")</f>
        <v/>
      </c>
      <c r="V19">
        <f>HYPERLINK("https://klasma.github.io/Logging_2305/klagomål/A 19337-2024 FSC-klagomål.docx", "A 19337-2024")</f>
        <v/>
      </c>
      <c r="W19">
        <f>HYPERLINK("https://klasma.github.io/Logging_2305/klagomålsmail/A 19337-2024 FSC-klagomål mail.docx", "A 19337-2024")</f>
        <v/>
      </c>
      <c r="X19">
        <f>HYPERLINK("https://klasma.github.io/Logging_2305/tillsyn/A 19337-2024 tillsynsbegäran.docx", "A 19337-2024")</f>
        <v/>
      </c>
      <c r="Y19">
        <f>HYPERLINK("https://klasma.github.io/Logging_2305/tillsynsmail/A 19337-2024 tillsynsbegäran mail.docx", "A 19337-2024")</f>
        <v/>
      </c>
      <c r="Z19">
        <f>HYPERLINK("https://klasma.github.io/Logging_2305/fåglar/A 19337-2024 prioriterade fågelarter.docx", "A 19337-2024")</f>
        <v/>
      </c>
    </row>
    <row r="20" ht="15" customHeight="1">
      <c r="A20" t="inlineStr">
        <is>
          <t>A 36371-2022</t>
        </is>
      </c>
      <c r="B20" s="1" t="n">
        <v>44803</v>
      </c>
      <c r="C20" s="1" t="n">
        <v>45507</v>
      </c>
      <c r="D20" t="inlineStr">
        <is>
          <t>JÄMTLANDS LÄN</t>
        </is>
      </c>
      <c r="E20" t="inlineStr">
        <is>
          <t>BRÄCKE</t>
        </is>
      </c>
      <c r="F20" t="inlineStr">
        <is>
          <t>SCA</t>
        </is>
      </c>
      <c r="G20" t="n">
        <v>33.6</v>
      </c>
      <c r="H20" t="n">
        <v>2</v>
      </c>
      <c r="I20" t="n">
        <v>2</v>
      </c>
      <c r="J20" t="n">
        <v>5</v>
      </c>
      <c r="K20" t="n">
        <v>3</v>
      </c>
      <c r="L20" t="n">
        <v>0</v>
      </c>
      <c r="M20" t="n">
        <v>0</v>
      </c>
      <c r="N20" t="n">
        <v>0</v>
      </c>
      <c r="O20" t="n">
        <v>8</v>
      </c>
      <c r="P20" t="n">
        <v>3</v>
      </c>
      <c r="Q20" t="n">
        <v>10</v>
      </c>
      <c r="R20" s="2" t="inlineStr">
        <is>
          <t>Borsttagging
Knärot
Rynkskinn
Kolflarnlav
Lunglav
Rosenticka
Talltita
Ullticka
Stor aspticka
Vedticka</t>
        </is>
      </c>
      <c r="S20">
        <f>HYPERLINK("https://klasma.github.io/Logging_2305/artfynd/A 36371-2022 artfynd.xlsx", "A 36371-2022")</f>
        <v/>
      </c>
      <c r="T20">
        <f>HYPERLINK("https://klasma.github.io/Logging_2305/kartor/A 36371-2022 karta.png", "A 36371-2022")</f>
        <v/>
      </c>
      <c r="U20">
        <f>HYPERLINK("https://klasma.github.io/Logging_2305/knärot/A 36371-2022 karta knärot.png", "A 36371-2022")</f>
        <v/>
      </c>
      <c r="V20">
        <f>HYPERLINK("https://klasma.github.io/Logging_2305/klagomål/A 36371-2022 FSC-klagomål.docx", "A 36371-2022")</f>
        <v/>
      </c>
      <c r="W20">
        <f>HYPERLINK("https://klasma.github.io/Logging_2305/klagomålsmail/A 36371-2022 FSC-klagomål mail.docx", "A 36371-2022")</f>
        <v/>
      </c>
      <c r="X20">
        <f>HYPERLINK("https://klasma.github.io/Logging_2305/tillsyn/A 36371-2022 tillsynsbegäran.docx", "A 36371-2022")</f>
        <v/>
      </c>
      <c r="Y20">
        <f>HYPERLINK("https://klasma.github.io/Logging_2305/tillsynsmail/A 36371-2022 tillsynsbegäran mail.docx", "A 36371-2022")</f>
        <v/>
      </c>
      <c r="Z20">
        <f>HYPERLINK("https://klasma.github.io/Logging_2305/fåglar/A 36371-2022 prioriterade fågelarter.docx", "A 36371-2022")</f>
        <v/>
      </c>
    </row>
    <row r="21" ht="15" customHeight="1">
      <c r="A21" t="inlineStr">
        <is>
          <t>A 62112-2023</t>
        </is>
      </c>
      <c r="B21" s="1" t="n">
        <v>45266</v>
      </c>
      <c r="C21" s="1" t="n">
        <v>45507</v>
      </c>
      <c r="D21" t="inlineStr">
        <is>
          <t>JÄMTLANDS LÄN</t>
        </is>
      </c>
      <c r="E21" t="inlineStr">
        <is>
          <t>BRÄCKE</t>
        </is>
      </c>
      <c r="F21" t="inlineStr">
        <is>
          <t>Naturvårdsverket</t>
        </is>
      </c>
      <c r="G21" t="n">
        <v>6.2</v>
      </c>
      <c r="H21" t="n">
        <v>0</v>
      </c>
      <c r="I21" t="n">
        <v>2</v>
      </c>
      <c r="J21" t="n">
        <v>7</v>
      </c>
      <c r="K21" t="n">
        <v>1</v>
      </c>
      <c r="L21" t="n">
        <v>0</v>
      </c>
      <c r="M21" t="n">
        <v>0</v>
      </c>
      <c r="N21" t="n">
        <v>0</v>
      </c>
      <c r="O21" t="n">
        <v>8</v>
      </c>
      <c r="P21" t="n">
        <v>1</v>
      </c>
      <c r="Q21" t="n">
        <v>10</v>
      </c>
      <c r="R21" s="2" t="inlineStr">
        <is>
          <t>Rynkskinn
Garnlav
Kolflarnlav
Lunglav
Mörk kolflarnlav
Ullticka
Vedskivlav
Vitplätt
Bårdlav
Vedticka</t>
        </is>
      </c>
      <c r="S21">
        <f>HYPERLINK("https://klasma.github.io/Logging_2305/artfynd/A 62112-2023 artfynd.xlsx", "A 62112-2023")</f>
        <v/>
      </c>
      <c r="T21">
        <f>HYPERLINK("https://klasma.github.io/Logging_2305/kartor/A 62112-2023 karta.png", "A 62112-2023")</f>
        <v/>
      </c>
      <c r="V21">
        <f>HYPERLINK("https://klasma.github.io/Logging_2305/klagomål/A 62112-2023 FSC-klagomål.docx", "A 62112-2023")</f>
        <v/>
      </c>
      <c r="W21">
        <f>HYPERLINK("https://klasma.github.io/Logging_2305/klagomålsmail/A 62112-2023 FSC-klagomål mail.docx", "A 62112-2023")</f>
        <v/>
      </c>
      <c r="X21">
        <f>HYPERLINK("https://klasma.github.io/Logging_2305/tillsyn/A 62112-2023 tillsynsbegäran.docx", "A 62112-2023")</f>
        <v/>
      </c>
      <c r="Y21">
        <f>HYPERLINK("https://klasma.github.io/Logging_2305/tillsynsmail/A 62112-2023 tillsynsbegäran mail.docx", "A 62112-2023")</f>
        <v/>
      </c>
    </row>
    <row r="22" ht="15" customHeight="1">
      <c r="A22" t="inlineStr">
        <is>
          <t>A 12587-2024</t>
        </is>
      </c>
      <c r="B22" s="1" t="n">
        <v>45379</v>
      </c>
      <c r="C22" s="1" t="n">
        <v>45507</v>
      </c>
      <c r="D22" t="inlineStr">
        <is>
          <t>JÄMTLANDS LÄN</t>
        </is>
      </c>
      <c r="E22" t="inlineStr">
        <is>
          <t>BRÄCKE</t>
        </is>
      </c>
      <c r="F22" t="inlineStr">
        <is>
          <t>SCA</t>
        </is>
      </c>
      <c r="G22" t="n">
        <v>7.3</v>
      </c>
      <c r="H22" t="n">
        <v>0</v>
      </c>
      <c r="I22" t="n">
        <v>2</v>
      </c>
      <c r="J22" t="n">
        <v>8</v>
      </c>
      <c r="K22" t="n">
        <v>0</v>
      </c>
      <c r="L22" t="n">
        <v>0</v>
      </c>
      <c r="M22" t="n">
        <v>0</v>
      </c>
      <c r="N22" t="n">
        <v>0</v>
      </c>
      <c r="O22" t="n">
        <v>8</v>
      </c>
      <c r="P22" t="n">
        <v>0</v>
      </c>
      <c r="Q22" t="n">
        <v>10</v>
      </c>
      <c r="R22" s="2" t="inlineStr">
        <is>
          <t>Dvärgbägarlav
Lunglav
Mörk kolflarnlav
Tallticka
Vaddporing
Vedflamlav
Vedskivlav
Vitplätt
Bårdlav
Dropptaggsvamp</t>
        </is>
      </c>
      <c r="S22">
        <f>HYPERLINK("https://klasma.github.io/Logging_2305/artfynd/A 12587-2024 artfynd.xlsx", "A 12587-2024")</f>
        <v/>
      </c>
      <c r="T22">
        <f>HYPERLINK("https://klasma.github.io/Logging_2305/kartor/A 12587-2024 karta.png", "A 12587-2024")</f>
        <v/>
      </c>
      <c r="V22">
        <f>HYPERLINK("https://klasma.github.io/Logging_2305/klagomål/A 12587-2024 FSC-klagomål.docx", "A 12587-2024")</f>
        <v/>
      </c>
      <c r="W22">
        <f>HYPERLINK("https://klasma.github.io/Logging_2305/klagomålsmail/A 12587-2024 FSC-klagomål mail.docx", "A 12587-2024")</f>
        <v/>
      </c>
      <c r="X22">
        <f>HYPERLINK("https://klasma.github.io/Logging_2305/tillsyn/A 12587-2024 tillsynsbegäran.docx", "A 12587-2024")</f>
        <v/>
      </c>
      <c r="Y22">
        <f>HYPERLINK("https://klasma.github.io/Logging_2305/tillsynsmail/A 12587-2024 tillsynsbegäran mail.docx", "A 12587-2024")</f>
        <v/>
      </c>
    </row>
    <row r="23" ht="15" customHeight="1">
      <c r="A23" t="inlineStr">
        <is>
          <t>A 20092-2024</t>
        </is>
      </c>
      <c r="B23" s="1" t="n">
        <v>45434</v>
      </c>
      <c r="C23" s="1" t="n">
        <v>45507</v>
      </c>
      <c r="D23" t="inlineStr">
        <is>
          <t>JÄMTLANDS LÄN</t>
        </is>
      </c>
      <c r="E23" t="inlineStr">
        <is>
          <t>BRÄCKE</t>
        </is>
      </c>
      <c r="G23" t="n">
        <v>32.4</v>
      </c>
      <c r="H23" t="n">
        <v>1</v>
      </c>
      <c r="I23" t="n">
        <v>3</v>
      </c>
      <c r="J23" t="n">
        <v>7</v>
      </c>
      <c r="K23" t="n">
        <v>0</v>
      </c>
      <c r="L23" t="n">
        <v>0</v>
      </c>
      <c r="M23" t="n">
        <v>0</v>
      </c>
      <c r="N23" t="n">
        <v>0</v>
      </c>
      <c r="O23" t="n">
        <v>7</v>
      </c>
      <c r="P23" t="n">
        <v>0</v>
      </c>
      <c r="Q23" t="n">
        <v>10</v>
      </c>
      <c r="R23" s="2" t="inlineStr">
        <is>
          <t>Blanksvart spiklav
Dvärgbägarlav
Mörk kolflarnlav
Reliktbock
Tallticka
Tretåig hackspett
Vedflamlav
Dropptaggsvamp
Skinnlav
Sotlav</t>
        </is>
      </c>
      <c r="S23">
        <f>HYPERLINK("https://klasma.github.io/Logging_2305/artfynd/A 20092-2024 artfynd.xlsx", "A 20092-2024")</f>
        <v/>
      </c>
      <c r="T23">
        <f>HYPERLINK("https://klasma.github.io/Logging_2305/kartor/A 20092-2024 karta.png", "A 20092-2024")</f>
        <v/>
      </c>
      <c r="V23">
        <f>HYPERLINK("https://klasma.github.io/Logging_2305/klagomål/A 20092-2024 FSC-klagomål.docx", "A 20092-2024")</f>
        <v/>
      </c>
      <c r="W23">
        <f>HYPERLINK("https://klasma.github.io/Logging_2305/klagomålsmail/A 20092-2024 FSC-klagomål mail.docx", "A 20092-2024")</f>
        <v/>
      </c>
      <c r="X23">
        <f>HYPERLINK("https://klasma.github.io/Logging_2305/tillsyn/A 20092-2024 tillsynsbegäran.docx", "A 20092-2024")</f>
        <v/>
      </c>
      <c r="Y23">
        <f>HYPERLINK("https://klasma.github.io/Logging_2305/tillsynsmail/A 20092-2024 tillsynsbegäran mail.docx", "A 20092-2024")</f>
        <v/>
      </c>
      <c r="Z23">
        <f>HYPERLINK("https://klasma.github.io/Logging_2305/fåglar/A 20092-2024 prioriterade fågelarter.docx", "A 20092-2024")</f>
        <v/>
      </c>
    </row>
    <row r="24" ht="15" customHeight="1">
      <c r="A24" t="inlineStr">
        <is>
          <t>A 22507-2024</t>
        </is>
      </c>
      <c r="B24" s="1" t="n">
        <v>45447</v>
      </c>
      <c r="C24" s="1" t="n">
        <v>45507</v>
      </c>
      <c r="D24" t="inlineStr">
        <is>
          <t>JÄMTLANDS LÄN</t>
        </is>
      </c>
      <c r="E24" t="inlineStr">
        <is>
          <t>BRÄCKE</t>
        </is>
      </c>
      <c r="G24" t="n">
        <v>8.9</v>
      </c>
      <c r="H24" t="n">
        <v>4</v>
      </c>
      <c r="I24" t="n">
        <v>2</v>
      </c>
      <c r="J24" t="n">
        <v>5</v>
      </c>
      <c r="K24" t="n">
        <v>1</v>
      </c>
      <c r="L24" t="n">
        <v>0</v>
      </c>
      <c r="M24" t="n">
        <v>0</v>
      </c>
      <c r="N24" t="n">
        <v>0</v>
      </c>
      <c r="O24" t="n">
        <v>6</v>
      </c>
      <c r="P24" t="n">
        <v>1</v>
      </c>
      <c r="Q24" t="n">
        <v>10</v>
      </c>
      <c r="R24" s="2" t="inlineStr">
        <is>
          <t>Knärot
Gammelgransskål
Rosenticka
Tallticka
Ullticka
Vedtrappmossa
Grönpyrola
Spindelblomster
Fläcknycklar
Revlummer</t>
        </is>
      </c>
      <c r="S24">
        <f>HYPERLINK("https://klasma.github.io/Logging_2305/artfynd/A 22507-2024 artfynd.xlsx", "A 22507-2024")</f>
        <v/>
      </c>
      <c r="T24">
        <f>HYPERLINK("https://klasma.github.io/Logging_2305/kartor/A 22507-2024 karta.png", "A 22507-2024")</f>
        <v/>
      </c>
      <c r="U24">
        <f>HYPERLINK("https://klasma.github.io/Logging_2305/knärot/A 22507-2024 karta knärot.png", "A 22507-2024")</f>
        <v/>
      </c>
      <c r="V24">
        <f>HYPERLINK("https://klasma.github.io/Logging_2305/klagomål/A 22507-2024 FSC-klagomål.docx", "A 22507-2024")</f>
        <v/>
      </c>
      <c r="W24">
        <f>HYPERLINK("https://klasma.github.io/Logging_2305/klagomålsmail/A 22507-2024 FSC-klagomål mail.docx", "A 22507-2024")</f>
        <v/>
      </c>
      <c r="X24">
        <f>HYPERLINK("https://klasma.github.io/Logging_2305/tillsyn/A 22507-2024 tillsynsbegäran.docx", "A 22507-2024")</f>
        <v/>
      </c>
      <c r="Y24">
        <f>HYPERLINK("https://klasma.github.io/Logging_2305/tillsynsmail/A 22507-2024 tillsynsbegäran mail.docx", "A 22507-2024")</f>
        <v/>
      </c>
    </row>
    <row r="25" ht="15" customHeight="1">
      <c r="A25" t="inlineStr">
        <is>
          <t>A 42078-2019</t>
        </is>
      </c>
      <c r="B25" s="1" t="n">
        <v>43700</v>
      </c>
      <c r="C25" s="1" t="n">
        <v>45507</v>
      </c>
      <c r="D25" t="inlineStr">
        <is>
          <t>JÄMTLANDS LÄN</t>
        </is>
      </c>
      <c r="E25" t="inlineStr">
        <is>
          <t>BRÄCKE</t>
        </is>
      </c>
      <c r="F25" t="inlineStr">
        <is>
          <t>SCA</t>
        </is>
      </c>
      <c r="G25" t="n">
        <v>10.4</v>
      </c>
      <c r="H25" t="n">
        <v>1</v>
      </c>
      <c r="I25" t="n">
        <v>2</v>
      </c>
      <c r="J25" t="n">
        <v>6</v>
      </c>
      <c r="K25" t="n">
        <v>1</v>
      </c>
      <c r="L25" t="n">
        <v>0</v>
      </c>
      <c r="M25" t="n">
        <v>0</v>
      </c>
      <c r="N25" t="n">
        <v>0</v>
      </c>
      <c r="O25" t="n">
        <v>7</v>
      </c>
      <c r="P25" t="n">
        <v>1</v>
      </c>
      <c r="Q25" t="n">
        <v>9</v>
      </c>
      <c r="R25" s="2" t="inlineStr">
        <is>
          <t>Knärot
Garnlav
Granticka
Gränsticka
Lunglav
Stjärntagging
Ullticka
Skuggblåslav
Vedticka</t>
        </is>
      </c>
      <c r="S25">
        <f>HYPERLINK("https://klasma.github.io/Logging_2305/artfynd/A 42078-2019 artfynd.xlsx", "A 42078-2019")</f>
        <v/>
      </c>
      <c r="T25">
        <f>HYPERLINK("https://klasma.github.io/Logging_2305/kartor/A 42078-2019 karta.png", "A 42078-2019")</f>
        <v/>
      </c>
      <c r="U25">
        <f>HYPERLINK("https://klasma.github.io/Logging_2305/knärot/A 42078-2019 karta knärot.png", "A 42078-2019")</f>
        <v/>
      </c>
      <c r="V25">
        <f>HYPERLINK("https://klasma.github.io/Logging_2305/klagomål/A 42078-2019 FSC-klagomål.docx", "A 42078-2019")</f>
        <v/>
      </c>
      <c r="W25">
        <f>HYPERLINK("https://klasma.github.io/Logging_2305/klagomålsmail/A 42078-2019 FSC-klagomål mail.docx", "A 42078-2019")</f>
        <v/>
      </c>
      <c r="X25">
        <f>HYPERLINK("https://klasma.github.io/Logging_2305/tillsyn/A 42078-2019 tillsynsbegäran.docx", "A 42078-2019")</f>
        <v/>
      </c>
      <c r="Y25">
        <f>HYPERLINK("https://klasma.github.io/Logging_2305/tillsynsmail/A 42078-2019 tillsynsbegäran mail.docx", "A 42078-2019")</f>
        <v/>
      </c>
    </row>
    <row r="26" ht="15" customHeight="1">
      <c r="A26" t="inlineStr">
        <is>
          <t>A 51070-2019</t>
        </is>
      </c>
      <c r="B26" s="1" t="n">
        <v>43739</v>
      </c>
      <c r="C26" s="1" t="n">
        <v>45507</v>
      </c>
      <c r="D26" t="inlineStr">
        <is>
          <t>JÄMTLANDS LÄN</t>
        </is>
      </c>
      <c r="E26" t="inlineStr">
        <is>
          <t>BRÄCKE</t>
        </is>
      </c>
      <c r="F26" t="inlineStr">
        <is>
          <t>Övriga Aktiebolag</t>
        </is>
      </c>
      <c r="G26" t="n">
        <v>10.6</v>
      </c>
      <c r="H26" t="n">
        <v>0</v>
      </c>
      <c r="I26" t="n">
        <v>4</v>
      </c>
      <c r="J26" t="n">
        <v>5</v>
      </c>
      <c r="K26" t="n">
        <v>0</v>
      </c>
      <c r="L26" t="n">
        <v>0</v>
      </c>
      <c r="M26" t="n">
        <v>0</v>
      </c>
      <c r="N26" t="n">
        <v>0</v>
      </c>
      <c r="O26" t="n">
        <v>5</v>
      </c>
      <c r="P26" t="n">
        <v>0</v>
      </c>
      <c r="Q26" t="n">
        <v>9</v>
      </c>
      <c r="R26" s="2" t="inlineStr">
        <is>
          <t>Granticka
Grynig filtlav
Lunglav
Olivbrun gytterlav
Skrovellav
Bårdlav
Nordlig fjädermossa
Skuggblåslav
Stor aspticka</t>
        </is>
      </c>
      <c r="S26">
        <f>HYPERLINK("https://klasma.github.io/Logging_2305/artfynd/A 51070-2019 artfynd.xlsx", "A 51070-2019")</f>
        <v/>
      </c>
      <c r="T26">
        <f>HYPERLINK("https://klasma.github.io/Logging_2305/kartor/A 51070-2019 karta.png", "A 51070-2019")</f>
        <v/>
      </c>
      <c r="V26">
        <f>HYPERLINK("https://klasma.github.io/Logging_2305/klagomål/A 51070-2019 FSC-klagomål.docx", "A 51070-2019")</f>
        <v/>
      </c>
      <c r="W26">
        <f>HYPERLINK("https://klasma.github.io/Logging_2305/klagomålsmail/A 51070-2019 FSC-klagomål mail.docx", "A 51070-2019")</f>
        <v/>
      </c>
      <c r="X26">
        <f>HYPERLINK("https://klasma.github.io/Logging_2305/tillsyn/A 51070-2019 tillsynsbegäran.docx", "A 51070-2019")</f>
        <v/>
      </c>
      <c r="Y26">
        <f>HYPERLINK("https://klasma.github.io/Logging_2305/tillsynsmail/A 51070-2019 tillsynsbegäran mail.docx", "A 51070-2019")</f>
        <v/>
      </c>
    </row>
    <row r="27" ht="15" customHeight="1">
      <c r="A27" t="inlineStr">
        <is>
          <t>A 7435-2022</t>
        </is>
      </c>
      <c r="B27" s="1" t="n">
        <v>44606</v>
      </c>
      <c r="C27" s="1" t="n">
        <v>45507</v>
      </c>
      <c r="D27" t="inlineStr">
        <is>
          <t>JÄMTLANDS LÄN</t>
        </is>
      </c>
      <c r="E27" t="inlineStr">
        <is>
          <t>BRÄCKE</t>
        </is>
      </c>
      <c r="G27" t="n">
        <v>14.7</v>
      </c>
      <c r="H27" t="n">
        <v>0</v>
      </c>
      <c r="I27" t="n">
        <v>5</v>
      </c>
      <c r="J27" t="n">
        <v>4</v>
      </c>
      <c r="K27" t="n">
        <v>0</v>
      </c>
      <c r="L27" t="n">
        <v>0</v>
      </c>
      <c r="M27" t="n">
        <v>0</v>
      </c>
      <c r="N27" t="n">
        <v>0</v>
      </c>
      <c r="O27" t="n">
        <v>4</v>
      </c>
      <c r="P27" t="n">
        <v>0</v>
      </c>
      <c r="Q27" t="n">
        <v>9</v>
      </c>
      <c r="R27" s="2" t="inlineStr">
        <is>
          <t>Garnlav
Granticka
Lunglav
Skrovellav
Bårdlav
Dropptaggsvamp
Rödgul trumpetsvamp
Skinnlav
Stuplav</t>
        </is>
      </c>
      <c r="S27">
        <f>HYPERLINK("https://klasma.github.io/Logging_2305/artfynd/A 7435-2022 artfynd.xlsx", "A 7435-2022")</f>
        <v/>
      </c>
      <c r="T27">
        <f>HYPERLINK("https://klasma.github.io/Logging_2305/kartor/A 7435-2022 karta.png", "A 7435-2022")</f>
        <v/>
      </c>
      <c r="U27">
        <f>HYPERLINK("https://klasma.github.io/Logging_2305/knärot/A 7435-2022 karta knärot.png", "A 7435-2022")</f>
        <v/>
      </c>
      <c r="V27">
        <f>HYPERLINK("https://klasma.github.io/Logging_2305/klagomål/A 7435-2022 FSC-klagomål.docx", "A 7435-2022")</f>
        <v/>
      </c>
      <c r="W27">
        <f>HYPERLINK("https://klasma.github.io/Logging_2305/klagomålsmail/A 7435-2022 FSC-klagomål mail.docx", "A 7435-2022")</f>
        <v/>
      </c>
      <c r="X27">
        <f>HYPERLINK("https://klasma.github.io/Logging_2305/tillsyn/A 7435-2022 tillsynsbegäran.docx", "A 7435-2022")</f>
        <v/>
      </c>
      <c r="Y27">
        <f>HYPERLINK("https://klasma.github.io/Logging_2305/tillsynsmail/A 7435-2022 tillsynsbegäran mail.docx", "A 7435-2022")</f>
        <v/>
      </c>
    </row>
    <row r="28" ht="15" customHeight="1">
      <c r="A28" t="inlineStr">
        <is>
          <t>A 29332-2023</t>
        </is>
      </c>
      <c r="B28" s="1" t="n">
        <v>45105</v>
      </c>
      <c r="C28" s="1" t="n">
        <v>45507</v>
      </c>
      <c r="D28" t="inlineStr">
        <is>
          <t>JÄMTLANDS LÄN</t>
        </is>
      </c>
      <c r="E28" t="inlineStr">
        <is>
          <t>BRÄCKE</t>
        </is>
      </c>
      <c r="F28" t="inlineStr">
        <is>
          <t>SCA</t>
        </is>
      </c>
      <c r="G28" t="n">
        <v>11</v>
      </c>
      <c r="H28" t="n">
        <v>0</v>
      </c>
      <c r="I28" t="n">
        <v>4</v>
      </c>
      <c r="J28" t="n">
        <v>4</v>
      </c>
      <c r="K28" t="n">
        <v>1</v>
      </c>
      <c r="L28" t="n">
        <v>0</v>
      </c>
      <c r="M28" t="n">
        <v>0</v>
      </c>
      <c r="N28" t="n">
        <v>0</v>
      </c>
      <c r="O28" t="n">
        <v>5</v>
      </c>
      <c r="P28" t="n">
        <v>1</v>
      </c>
      <c r="Q28" t="n">
        <v>9</v>
      </c>
      <c r="R28" s="2" t="inlineStr">
        <is>
          <t>Gräddporing
Dvärgbägarlav
Lunglav
Skrovellav
Ullticka
Dropptaggsvamp
Korallblylav
Kransrams
Underviol</t>
        </is>
      </c>
      <c r="S28">
        <f>HYPERLINK("https://klasma.github.io/Logging_2305/artfynd/A 29332-2023 artfynd.xlsx", "A 29332-2023")</f>
        <v/>
      </c>
      <c r="T28">
        <f>HYPERLINK("https://klasma.github.io/Logging_2305/kartor/A 29332-2023 karta.png", "A 29332-2023")</f>
        <v/>
      </c>
      <c r="V28">
        <f>HYPERLINK("https://klasma.github.io/Logging_2305/klagomål/A 29332-2023 FSC-klagomål.docx", "A 29332-2023")</f>
        <v/>
      </c>
      <c r="W28">
        <f>HYPERLINK("https://klasma.github.io/Logging_2305/klagomålsmail/A 29332-2023 FSC-klagomål mail.docx", "A 29332-2023")</f>
        <v/>
      </c>
      <c r="X28">
        <f>HYPERLINK("https://klasma.github.io/Logging_2305/tillsyn/A 29332-2023 tillsynsbegäran.docx", "A 29332-2023")</f>
        <v/>
      </c>
      <c r="Y28">
        <f>HYPERLINK("https://klasma.github.io/Logging_2305/tillsynsmail/A 29332-2023 tillsynsbegäran mail.docx", "A 29332-2023")</f>
        <v/>
      </c>
    </row>
    <row r="29" ht="15" customHeight="1">
      <c r="A29" t="inlineStr">
        <is>
          <t>A 43979-2023</t>
        </is>
      </c>
      <c r="B29" s="1" t="n">
        <v>45187</v>
      </c>
      <c r="C29" s="1" t="n">
        <v>45507</v>
      </c>
      <c r="D29" t="inlineStr">
        <is>
          <t>JÄMTLANDS LÄN</t>
        </is>
      </c>
      <c r="E29" t="inlineStr">
        <is>
          <t>BRÄCKE</t>
        </is>
      </c>
      <c r="F29" t="inlineStr">
        <is>
          <t>SCA</t>
        </is>
      </c>
      <c r="G29" t="n">
        <v>6</v>
      </c>
      <c r="H29" t="n">
        <v>2</v>
      </c>
      <c r="I29" t="n">
        <v>1</v>
      </c>
      <c r="J29" t="n">
        <v>6</v>
      </c>
      <c r="K29" t="n">
        <v>1</v>
      </c>
      <c r="L29" t="n">
        <v>0</v>
      </c>
      <c r="M29" t="n">
        <v>0</v>
      </c>
      <c r="N29" t="n">
        <v>0</v>
      </c>
      <c r="O29" t="n">
        <v>7</v>
      </c>
      <c r="P29" t="n">
        <v>1</v>
      </c>
      <c r="Q29" t="n">
        <v>9</v>
      </c>
      <c r="R29" s="2" t="inlineStr">
        <is>
          <t>Knärot
Gammelgransskål
Garnlav
Kolflarnlav
Mörk kolflarnlav
Rosenticka
Vedskivlav
Mörk husmossa
Revlummer</t>
        </is>
      </c>
      <c r="S29">
        <f>HYPERLINK("https://klasma.github.io/Logging_2305/artfynd/A 43979-2023 artfynd.xlsx", "A 43979-2023")</f>
        <v/>
      </c>
      <c r="T29">
        <f>HYPERLINK("https://klasma.github.io/Logging_2305/kartor/A 43979-2023 karta.png", "A 43979-2023")</f>
        <v/>
      </c>
      <c r="U29">
        <f>HYPERLINK("https://klasma.github.io/Logging_2305/knärot/A 43979-2023 karta knärot.png", "A 43979-2023")</f>
        <v/>
      </c>
      <c r="V29">
        <f>HYPERLINK("https://klasma.github.io/Logging_2305/klagomål/A 43979-2023 FSC-klagomål.docx", "A 43979-2023")</f>
        <v/>
      </c>
      <c r="W29">
        <f>HYPERLINK("https://klasma.github.io/Logging_2305/klagomålsmail/A 43979-2023 FSC-klagomål mail.docx", "A 43979-2023")</f>
        <v/>
      </c>
      <c r="X29">
        <f>HYPERLINK("https://klasma.github.io/Logging_2305/tillsyn/A 43979-2023 tillsynsbegäran.docx", "A 43979-2023")</f>
        <v/>
      </c>
      <c r="Y29">
        <f>HYPERLINK("https://klasma.github.io/Logging_2305/tillsynsmail/A 43979-2023 tillsynsbegäran mail.docx", "A 43979-2023")</f>
        <v/>
      </c>
    </row>
    <row r="30" ht="15" customHeight="1">
      <c r="A30" t="inlineStr">
        <is>
          <t>A 11982-2024</t>
        </is>
      </c>
      <c r="B30" s="1" t="n">
        <v>45376</v>
      </c>
      <c r="C30" s="1" t="n">
        <v>45507</v>
      </c>
      <c r="D30" t="inlineStr">
        <is>
          <t>JÄMTLANDS LÄN</t>
        </is>
      </c>
      <c r="E30" t="inlineStr">
        <is>
          <t>BRÄCKE</t>
        </is>
      </c>
      <c r="F30" t="inlineStr">
        <is>
          <t>SCA</t>
        </is>
      </c>
      <c r="G30" t="n">
        <v>2.6</v>
      </c>
      <c r="H30" t="n">
        <v>1</v>
      </c>
      <c r="I30" t="n">
        <v>4</v>
      </c>
      <c r="J30" t="n">
        <v>4</v>
      </c>
      <c r="K30" t="n">
        <v>0</v>
      </c>
      <c r="L30" t="n">
        <v>0</v>
      </c>
      <c r="M30" t="n">
        <v>0</v>
      </c>
      <c r="N30" t="n">
        <v>0</v>
      </c>
      <c r="O30" t="n">
        <v>4</v>
      </c>
      <c r="P30" t="n">
        <v>0</v>
      </c>
      <c r="Q30" t="n">
        <v>9</v>
      </c>
      <c r="R30" s="2" t="inlineStr">
        <is>
          <t>Gränsticka
Lunglav
Ullticka
Vedtrappmossa
Luddlav
Skinnlav
Stuplav
Vedticka
Revlummer</t>
        </is>
      </c>
      <c r="S30">
        <f>HYPERLINK("https://klasma.github.io/Logging_2305/artfynd/A 11982-2024 artfynd.xlsx", "A 11982-2024")</f>
        <v/>
      </c>
      <c r="T30">
        <f>HYPERLINK("https://klasma.github.io/Logging_2305/kartor/A 11982-2024 karta.png", "A 11982-2024")</f>
        <v/>
      </c>
      <c r="V30">
        <f>HYPERLINK("https://klasma.github.io/Logging_2305/klagomål/A 11982-2024 FSC-klagomål.docx", "A 11982-2024")</f>
        <v/>
      </c>
      <c r="W30">
        <f>HYPERLINK("https://klasma.github.io/Logging_2305/klagomålsmail/A 11982-2024 FSC-klagomål mail.docx", "A 11982-2024")</f>
        <v/>
      </c>
      <c r="X30">
        <f>HYPERLINK("https://klasma.github.io/Logging_2305/tillsyn/A 11982-2024 tillsynsbegäran.docx", "A 11982-2024")</f>
        <v/>
      </c>
      <c r="Y30">
        <f>HYPERLINK("https://klasma.github.io/Logging_2305/tillsynsmail/A 11982-2024 tillsynsbegäran mail.docx", "A 11982-2024")</f>
        <v/>
      </c>
    </row>
    <row r="31" ht="15" customHeight="1">
      <c r="A31" t="inlineStr">
        <is>
          <t>A 30780-2024</t>
        </is>
      </c>
      <c r="B31" s="1" t="n">
        <v>45497</v>
      </c>
      <c r="C31" s="1" t="n">
        <v>45507</v>
      </c>
      <c r="D31" t="inlineStr">
        <is>
          <t>JÄMTLANDS LÄN</t>
        </is>
      </c>
      <c r="E31" t="inlineStr">
        <is>
          <t>BRÄCKE</t>
        </is>
      </c>
      <c r="F31" t="inlineStr">
        <is>
          <t>Naturvårdsverket</t>
        </is>
      </c>
      <c r="G31" t="n">
        <v>10.2</v>
      </c>
      <c r="H31" t="n">
        <v>3</v>
      </c>
      <c r="I31" t="n">
        <v>5</v>
      </c>
      <c r="J31" t="n">
        <v>3</v>
      </c>
      <c r="K31" t="n">
        <v>0</v>
      </c>
      <c r="L31" t="n">
        <v>0</v>
      </c>
      <c r="M31" t="n">
        <v>0</v>
      </c>
      <c r="N31" t="n">
        <v>0</v>
      </c>
      <c r="O31" t="n">
        <v>3</v>
      </c>
      <c r="P31" t="n">
        <v>0</v>
      </c>
      <c r="Q31" t="n">
        <v>9</v>
      </c>
      <c r="R31" s="2" t="inlineStr">
        <is>
          <t>Garnlav
Lunglav
Skrovellav
Diskvaxskivling
Guckusko
Plattlummer
Rödgul trumpetsvamp
Skinnlav
Fläcknycklar</t>
        </is>
      </c>
      <c r="S31">
        <f>HYPERLINK("https://klasma.github.io/Logging_2305/artfynd/A 30780-2024 artfynd.xlsx", "A 30780-2024")</f>
        <v/>
      </c>
      <c r="T31">
        <f>HYPERLINK("https://klasma.github.io/Logging_2305/kartor/A 30780-2024 karta.png", "A 30780-2024")</f>
        <v/>
      </c>
      <c r="V31">
        <f>HYPERLINK("https://klasma.github.io/Logging_2305/klagomål/A 30780-2024 FSC-klagomål.docx", "A 30780-2024")</f>
        <v/>
      </c>
      <c r="W31">
        <f>HYPERLINK("https://klasma.github.io/Logging_2305/klagomålsmail/A 30780-2024 FSC-klagomål mail.docx", "A 30780-2024")</f>
        <v/>
      </c>
      <c r="X31">
        <f>HYPERLINK("https://klasma.github.io/Logging_2305/tillsyn/A 30780-2024 tillsynsbegäran.docx", "A 30780-2024")</f>
        <v/>
      </c>
      <c r="Y31">
        <f>HYPERLINK("https://klasma.github.io/Logging_2305/tillsynsmail/A 30780-2024 tillsynsbegäran mail.docx", "A 30780-2024")</f>
        <v/>
      </c>
    </row>
    <row r="32" ht="15" customHeight="1">
      <c r="A32" t="inlineStr">
        <is>
          <t>A 31505-2024</t>
        </is>
      </c>
      <c r="B32" s="1" t="n">
        <v>45506</v>
      </c>
      <c r="C32" s="1" t="n">
        <v>45507</v>
      </c>
      <c r="D32" t="inlineStr">
        <is>
          <t>JÄMTLANDS LÄN</t>
        </is>
      </c>
      <c r="E32" t="inlineStr">
        <is>
          <t>BRÄCKE</t>
        </is>
      </c>
      <c r="F32" t="inlineStr">
        <is>
          <t>SCA</t>
        </is>
      </c>
      <c r="G32" t="n">
        <v>4.3</v>
      </c>
      <c r="H32" t="n">
        <v>0</v>
      </c>
      <c r="I32" t="n">
        <v>2</v>
      </c>
      <c r="J32" t="n">
        <v>7</v>
      </c>
      <c r="K32" t="n">
        <v>0</v>
      </c>
      <c r="L32" t="n">
        <v>0</v>
      </c>
      <c r="M32" t="n">
        <v>0</v>
      </c>
      <c r="N32" t="n">
        <v>0</v>
      </c>
      <c r="O32" t="n">
        <v>7</v>
      </c>
      <c r="P32" t="n">
        <v>0</v>
      </c>
      <c r="Q32" t="n">
        <v>9</v>
      </c>
      <c r="R32" s="2" t="inlineStr">
        <is>
          <t>Dvärgbägarlav
Kolflarnlav
Lunglav
Mörk kolflarnlav
Skrovellav
Vedskivlav
Vitgrynig nållav
Gulnål
Skarp dropptaggsvamp</t>
        </is>
      </c>
      <c r="S32">
        <f>HYPERLINK("https://klasma.github.io/Logging_2305/artfynd/A 31505-2024 artfynd.xlsx", "A 31505-2024")</f>
        <v/>
      </c>
      <c r="T32">
        <f>HYPERLINK("https://klasma.github.io/Logging_2305/kartor/A 31505-2024 karta.png", "A 31505-2024")</f>
        <v/>
      </c>
      <c r="V32">
        <f>HYPERLINK("https://klasma.github.io/Logging_2305/klagomål/A 31505-2024 FSC-klagomål.docx", "A 31505-2024")</f>
        <v/>
      </c>
      <c r="W32">
        <f>HYPERLINK("https://klasma.github.io/Logging_2305/klagomålsmail/A 31505-2024 FSC-klagomål mail.docx", "A 31505-2024")</f>
        <v/>
      </c>
      <c r="X32">
        <f>HYPERLINK("https://klasma.github.io/Logging_2305/tillsyn/A 31505-2024 tillsynsbegäran.docx", "A 31505-2024")</f>
        <v/>
      </c>
      <c r="Y32">
        <f>HYPERLINK("https://klasma.github.io/Logging_2305/tillsynsmail/A 31505-2024 tillsynsbegäran mail.docx", "A 31505-2024")</f>
        <v/>
      </c>
    </row>
    <row r="33" ht="15" customHeight="1">
      <c r="A33" t="inlineStr">
        <is>
          <t>A 70806-2021</t>
        </is>
      </c>
      <c r="B33" s="1" t="n">
        <v>44537</v>
      </c>
      <c r="C33" s="1" t="n">
        <v>45507</v>
      </c>
      <c r="D33" t="inlineStr">
        <is>
          <t>JÄMTLANDS LÄN</t>
        </is>
      </c>
      <c r="E33" t="inlineStr">
        <is>
          <t>BRÄCKE</t>
        </is>
      </c>
      <c r="G33" t="n">
        <v>3.9</v>
      </c>
      <c r="H33" t="n">
        <v>2</v>
      </c>
      <c r="I33" t="n">
        <v>2</v>
      </c>
      <c r="J33" t="n">
        <v>5</v>
      </c>
      <c r="K33" t="n">
        <v>1</v>
      </c>
      <c r="L33" t="n">
        <v>0</v>
      </c>
      <c r="M33" t="n">
        <v>0</v>
      </c>
      <c r="N33" t="n">
        <v>0</v>
      </c>
      <c r="O33" t="n">
        <v>6</v>
      </c>
      <c r="P33" t="n">
        <v>1</v>
      </c>
      <c r="Q33" t="n">
        <v>8</v>
      </c>
      <c r="R33" s="2" t="inlineStr">
        <is>
          <t>Knärot
Garnlav
Lunglav
Tretåig hackspett
Ullticka
Vedskivlav
Luddlav
Vanlig flatbagge</t>
        </is>
      </c>
      <c r="S33">
        <f>HYPERLINK("https://klasma.github.io/Logging_2305/artfynd/A 70806-2021 artfynd.xlsx", "A 70806-2021")</f>
        <v/>
      </c>
      <c r="T33">
        <f>HYPERLINK("https://klasma.github.io/Logging_2305/kartor/A 70806-2021 karta.png", "A 70806-2021")</f>
        <v/>
      </c>
      <c r="U33">
        <f>HYPERLINK("https://klasma.github.io/Logging_2305/knärot/A 70806-2021 karta knärot.png", "A 70806-2021")</f>
        <v/>
      </c>
      <c r="V33">
        <f>HYPERLINK("https://klasma.github.io/Logging_2305/klagomål/A 70806-2021 FSC-klagomål.docx", "A 70806-2021")</f>
        <v/>
      </c>
      <c r="W33">
        <f>HYPERLINK("https://klasma.github.io/Logging_2305/klagomålsmail/A 70806-2021 FSC-klagomål mail.docx", "A 70806-2021")</f>
        <v/>
      </c>
      <c r="X33">
        <f>HYPERLINK("https://klasma.github.io/Logging_2305/tillsyn/A 70806-2021 tillsynsbegäran.docx", "A 70806-2021")</f>
        <v/>
      </c>
      <c r="Y33">
        <f>HYPERLINK("https://klasma.github.io/Logging_2305/tillsynsmail/A 70806-2021 tillsynsbegäran mail.docx", "A 70806-2021")</f>
        <v/>
      </c>
      <c r="Z33">
        <f>HYPERLINK("https://klasma.github.io/Logging_2305/fåglar/A 70806-2021 prioriterade fågelarter.docx", "A 70806-2021")</f>
        <v/>
      </c>
    </row>
    <row r="34" ht="15" customHeight="1">
      <c r="A34" t="inlineStr">
        <is>
          <t>A 51037-2023</t>
        </is>
      </c>
      <c r="B34" s="1" t="n">
        <v>45218</v>
      </c>
      <c r="C34" s="1" t="n">
        <v>45507</v>
      </c>
      <c r="D34" t="inlineStr">
        <is>
          <t>JÄMTLANDS LÄN</t>
        </is>
      </c>
      <c r="E34" t="inlineStr">
        <is>
          <t>BRÄCKE</t>
        </is>
      </c>
      <c r="G34" t="n">
        <v>6.8</v>
      </c>
      <c r="H34" t="n">
        <v>1</v>
      </c>
      <c r="I34" t="n">
        <v>4</v>
      </c>
      <c r="J34" t="n">
        <v>3</v>
      </c>
      <c r="K34" t="n">
        <v>1</v>
      </c>
      <c r="L34" t="n">
        <v>0</v>
      </c>
      <c r="M34" t="n">
        <v>0</v>
      </c>
      <c r="N34" t="n">
        <v>0</v>
      </c>
      <c r="O34" t="n">
        <v>4</v>
      </c>
      <c r="P34" t="n">
        <v>1</v>
      </c>
      <c r="Q34" t="n">
        <v>8</v>
      </c>
      <c r="R34" s="2" t="inlineStr">
        <is>
          <t>Doftticka
Kolflarnlav
Lunglav
Skrovellav
Bårdlav
Gytterlav
Luddlav
Stuplav</t>
        </is>
      </c>
      <c r="S34">
        <f>HYPERLINK("https://klasma.github.io/Logging_2305/artfynd/A 51037-2023 artfynd.xlsx", "A 51037-2023")</f>
        <v/>
      </c>
      <c r="T34">
        <f>HYPERLINK("https://klasma.github.io/Logging_2305/kartor/A 51037-2023 karta.png", "A 51037-2023")</f>
        <v/>
      </c>
      <c r="V34">
        <f>HYPERLINK("https://klasma.github.io/Logging_2305/klagomål/A 51037-2023 FSC-klagomål.docx", "A 51037-2023")</f>
        <v/>
      </c>
      <c r="W34">
        <f>HYPERLINK("https://klasma.github.io/Logging_2305/klagomålsmail/A 51037-2023 FSC-klagomål mail.docx", "A 51037-2023")</f>
        <v/>
      </c>
      <c r="X34">
        <f>HYPERLINK("https://klasma.github.io/Logging_2305/tillsyn/A 51037-2023 tillsynsbegäran.docx", "A 51037-2023")</f>
        <v/>
      </c>
      <c r="Y34">
        <f>HYPERLINK("https://klasma.github.io/Logging_2305/tillsynsmail/A 51037-2023 tillsynsbegäran mail.docx", "A 51037-2023")</f>
        <v/>
      </c>
    </row>
    <row r="35" ht="15" customHeight="1">
      <c r="A35" t="inlineStr">
        <is>
          <t>A 51820-2023</t>
        </is>
      </c>
      <c r="B35" s="1" t="n">
        <v>45223</v>
      </c>
      <c r="C35" s="1" t="n">
        <v>45507</v>
      </c>
      <c r="D35" t="inlineStr">
        <is>
          <t>JÄMTLANDS LÄN</t>
        </is>
      </c>
      <c r="E35" t="inlineStr">
        <is>
          <t>BRÄCKE</t>
        </is>
      </c>
      <c r="F35" t="inlineStr">
        <is>
          <t>SCA</t>
        </is>
      </c>
      <c r="G35" t="n">
        <v>3.4</v>
      </c>
      <c r="H35" t="n">
        <v>1</v>
      </c>
      <c r="I35" t="n">
        <v>2</v>
      </c>
      <c r="J35" t="n">
        <v>6</v>
      </c>
      <c r="K35" t="n">
        <v>0</v>
      </c>
      <c r="L35" t="n">
        <v>0</v>
      </c>
      <c r="M35" t="n">
        <v>0</v>
      </c>
      <c r="N35" t="n">
        <v>0</v>
      </c>
      <c r="O35" t="n">
        <v>6</v>
      </c>
      <c r="P35" t="n">
        <v>0</v>
      </c>
      <c r="Q35" t="n">
        <v>8</v>
      </c>
      <c r="R35" s="2" t="inlineStr">
        <is>
          <t>Granticka
Rosenticka
Tretåig hackspett
Ullticka
Vedtrappmossa
Vitgrynig nållav
Gulnål
Vedticka</t>
        </is>
      </c>
      <c r="S35">
        <f>HYPERLINK("https://klasma.github.io/Logging_2305/artfynd/A 51820-2023 artfynd.xlsx", "A 51820-2023")</f>
        <v/>
      </c>
      <c r="T35">
        <f>HYPERLINK("https://klasma.github.io/Logging_2305/kartor/A 51820-2023 karta.png", "A 51820-2023")</f>
        <v/>
      </c>
      <c r="V35">
        <f>HYPERLINK("https://klasma.github.io/Logging_2305/klagomål/A 51820-2023 FSC-klagomål.docx", "A 51820-2023")</f>
        <v/>
      </c>
      <c r="W35">
        <f>HYPERLINK("https://klasma.github.io/Logging_2305/klagomålsmail/A 51820-2023 FSC-klagomål mail.docx", "A 51820-2023")</f>
        <v/>
      </c>
      <c r="X35">
        <f>HYPERLINK("https://klasma.github.io/Logging_2305/tillsyn/A 51820-2023 tillsynsbegäran.docx", "A 51820-2023")</f>
        <v/>
      </c>
      <c r="Y35">
        <f>HYPERLINK("https://klasma.github.io/Logging_2305/tillsynsmail/A 51820-2023 tillsynsbegäran mail.docx", "A 51820-2023")</f>
        <v/>
      </c>
      <c r="Z35">
        <f>HYPERLINK("https://klasma.github.io/Logging_2305/fåglar/A 51820-2023 prioriterade fågelarter.docx", "A 51820-2023")</f>
        <v/>
      </c>
    </row>
    <row r="36" ht="15" customHeight="1">
      <c r="A36" t="inlineStr">
        <is>
          <t>A 51805-2023</t>
        </is>
      </c>
      <c r="B36" s="1" t="n">
        <v>45222</v>
      </c>
      <c r="C36" s="1" t="n">
        <v>45507</v>
      </c>
      <c r="D36" t="inlineStr">
        <is>
          <t>JÄMTLANDS LÄN</t>
        </is>
      </c>
      <c r="E36" t="inlineStr">
        <is>
          <t>BRÄCKE</t>
        </is>
      </c>
      <c r="F36" t="inlineStr">
        <is>
          <t>Naturvårdsverket</t>
        </is>
      </c>
      <c r="G36" t="n">
        <v>4</v>
      </c>
      <c r="H36" t="n">
        <v>1</v>
      </c>
      <c r="I36" t="n">
        <v>2</v>
      </c>
      <c r="J36" t="n">
        <v>5</v>
      </c>
      <c r="K36" t="n">
        <v>1</v>
      </c>
      <c r="L36" t="n">
        <v>0</v>
      </c>
      <c r="M36" t="n">
        <v>0</v>
      </c>
      <c r="N36" t="n">
        <v>0</v>
      </c>
      <c r="O36" t="n">
        <v>6</v>
      </c>
      <c r="P36" t="n">
        <v>1</v>
      </c>
      <c r="Q36" t="n">
        <v>8</v>
      </c>
      <c r="R36" s="2" t="inlineStr">
        <is>
          <t>Knärot
Dvärgbägarlav
Lunglav
Mörk kolflarnlav
Vedflamlav
Vedskivlav
Dropptaggsvamp
Skinnlav</t>
        </is>
      </c>
      <c r="S36">
        <f>HYPERLINK("https://klasma.github.io/Logging_2305/artfynd/A 51805-2023 artfynd.xlsx", "A 51805-2023")</f>
        <v/>
      </c>
      <c r="T36">
        <f>HYPERLINK("https://klasma.github.io/Logging_2305/kartor/A 51805-2023 karta.png", "A 51805-2023")</f>
        <v/>
      </c>
      <c r="U36">
        <f>HYPERLINK("https://klasma.github.io/Logging_2305/knärot/A 51805-2023 karta knärot.png", "A 51805-2023")</f>
        <v/>
      </c>
      <c r="V36">
        <f>HYPERLINK("https://klasma.github.io/Logging_2305/klagomål/A 51805-2023 FSC-klagomål.docx", "A 51805-2023")</f>
        <v/>
      </c>
      <c r="W36">
        <f>HYPERLINK("https://klasma.github.io/Logging_2305/klagomålsmail/A 51805-2023 FSC-klagomål mail.docx", "A 51805-2023")</f>
        <v/>
      </c>
      <c r="X36">
        <f>HYPERLINK("https://klasma.github.io/Logging_2305/tillsyn/A 51805-2023 tillsynsbegäran.docx", "A 51805-2023")</f>
        <v/>
      </c>
      <c r="Y36">
        <f>HYPERLINK("https://klasma.github.io/Logging_2305/tillsynsmail/A 51805-2023 tillsynsbegäran mail.docx", "A 51805-2023")</f>
        <v/>
      </c>
    </row>
    <row r="37" ht="15" customHeight="1">
      <c r="A37" t="inlineStr">
        <is>
          <t>A 51819-2023</t>
        </is>
      </c>
      <c r="B37" s="1" t="n">
        <v>45223</v>
      </c>
      <c r="C37" s="1" t="n">
        <v>45507</v>
      </c>
      <c r="D37" t="inlineStr">
        <is>
          <t>JÄMTLANDS LÄN</t>
        </is>
      </c>
      <c r="E37" t="inlineStr">
        <is>
          <t>BRÄCKE</t>
        </is>
      </c>
      <c r="F37" t="inlineStr">
        <is>
          <t>SCA</t>
        </is>
      </c>
      <c r="G37" t="n">
        <v>3.9</v>
      </c>
      <c r="H37" t="n">
        <v>0</v>
      </c>
      <c r="I37" t="n">
        <v>4</v>
      </c>
      <c r="J37" t="n">
        <v>3</v>
      </c>
      <c r="K37" t="n">
        <v>1</v>
      </c>
      <c r="L37" t="n">
        <v>0</v>
      </c>
      <c r="M37" t="n">
        <v>0</v>
      </c>
      <c r="N37" t="n">
        <v>0</v>
      </c>
      <c r="O37" t="n">
        <v>4</v>
      </c>
      <c r="P37" t="n">
        <v>1</v>
      </c>
      <c r="Q37" t="n">
        <v>8</v>
      </c>
      <c r="R37" s="2" t="inlineStr">
        <is>
          <t>Smalskaftslav
Lunglav
Skrovellav
Ullticka
Bårdlav
Korallblylav
Luddlav
Stuplav</t>
        </is>
      </c>
      <c r="S37">
        <f>HYPERLINK("https://klasma.github.io/Logging_2305/artfynd/A 51819-2023 artfynd.xlsx", "A 51819-2023")</f>
        <v/>
      </c>
      <c r="T37">
        <f>HYPERLINK("https://klasma.github.io/Logging_2305/kartor/A 51819-2023 karta.png", "A 51819-2023")</f>
        <v/>
      </c>
      <c r="V37">
        <f>HYPERLINK("https://klasma.github.io/Logging_2305/klagomål/A 51819-2023 FSC-klagomål.docx", "A 51819-2023")</f>
        <v/>
      </c>
      <c r="W37">
        <f>HYPERLINK("https://klasma.github.io/Logging_2305/klagomålsmail/A 51819-2023 FSC-klagomål mail.docx", "A 51819-2023")</f>
        <v/>
      </c>
      <c r="X37">
        <f>HYPERLINK("https://klasma.github.io/Logging_2305/tillsyn/A 51819-2023 tillsynsbegäran.docx", "A 51819-2023")</f>
        <v/>
      </c>
      <c r="Y37">
        <f>HYPERLINK("https://klasma.github.io/Logging_2305/tillsynsmail/A 51819-2023 tillsynsbegäran mail.docx", "A 51819-2023")</f>
        <v/>
      </c>
    </row>
    <row r="38" ht="15" customHeight="1">
      <c r="A38" t="inlineStr">
        <is>
          <t>A 17851-2019</t>
        </is>
      </c>
      <c r="B38" s="1" t="n">
        <v>43556</v>
      </c>
      <c r="C38" s="1" t="n">
        <v>45507</v>
      </c>
      <c r="D38" t="inlineStr">
        <is>
          <t>JÄMTLANDS LÄN</t>
        </is>
      </c>
      <c r="E38" t="inlineStr">
        <is>
          <t>BRÄCKE</t>
        </is>
      </c>
      <c r="G38" t="n">
        <v>17.5</v>
      </c>
      <c r="H38" t="n">
        <v>1</v>
      </c>
      <c r="I38" t="n">
        <v>3</v>
      </c>
      <c r="J38" t="n">
        <v>3</v>
      </c>
      <c r="K38" t="n">
        <v>1</v>
      </c>
      <c r="L38" t="n">
        <v>0</v>
      </c>
      <c r="M38" t="n">
        <v>0</v>
      </c>
      <c r="N38" t="n">
        <v>0</v>
      </c>
      <c r="O38" t="n">
        <v>4</v>
      </c>
      <c r="P38" t="n">
        <v>1</v>
      </c>
      <c r="Q38" t="n">
        <v>7</v>
      </c>
      <c r="R38" s="2" t="inlineStr">
        <is>
          <t>Knärot
Garnlav
Lunglav
Skrovellav
Skarp dropptaggsvamp
Skinnlav
Stuplav</t>
        </is>
      </c>
      <c r="S38">
        <f>HYPERLINK("https://klasma.github.io/Logging_2305/artfynd/A 17851-2019 artfynd.xlsx", "A 17851-2019")</f>
        <v/>
      </c>
      <c r="T38">
        <f>HYPERLINK("https://klasma.github.io/Logging_2305/kartor/A 17851-2019 karta.png", "A 17851-2019")</f>
        <v/>
      </c>
      <c r="U38">
        <f>HYPERLINK("https://klasma.github.io/Logging_2305/knärot/A 17851-2019 karta knärot.png", "A 17851-2019")</f>
        <v/>
      </c>
      <c r="V38">
        <f>HYPERLINK("https://klasma.github.io/Logging_2305/klagomål/A 17851-2019 FSC-klagomål.docx", "A 17851-2019")</f>
        <v/>
      </c>
      <c r="W38">
        <f>HYPERLINK("https://klasma.github.io/Logging_2305/klagomålsmail/A 17851-2019 FSC-klagomål mail.docx", "A 17851-2019")</f>
        <v/>
      </c>
      <c r="X38">
        <f>HYPERLINK("https://klasma.github.io/Logging_2305/tillsyn/A 17851-2019 tillsynsbegäran.docx", "A 17851-2019")</f>
        <v/>
      </c>
      <c r="Y38">
        <f>HYPERLINK("https://klasma.github.io/Logging_2305/tillsynsmail/A 17851-2019 tillsynsbegäran mail.docx", "A 17851-2019")</f>
        <v/>
      </c>
    </row>
    <row r="39" ht="15" customHeight="1">
      <c r="A39" t="inlineStr">
        <is>
          <t>A 26637-2019</t>
        </is>
      </c>
      <c r="B39" s="1" t="n">
        <v>43612</v>
      </c>
      <c r="C39" s="1" t="n">
        <v>45507</v>
      </c>
      <c r="D39" t="inlineStr">
        <is>
          <t>JÄMTLANDS LÄN</t>
        </is>
      </c>
      <c r="E39" t="inlineStr">
        <is>
          <t>BRÄCKE</t>
        </is>
      </c>
      <c r="G39" t="n">
        <v>17.5</v>
      </c>
      <c r="H39" t="n">
        <v>1</v>
      </c>
      <c r="I39" t="n">
        <v>3</v>
      </c>
      <c r="J39" t="n">
        <v>3</v>
      </c>
      <c r="K39" t="n">
        <v>1</v>
      </c>
      <c r="L39" t="n">
        <v>0</v>
      </c>
      <c r="M39" t="n">
        <v>0</v>
      </c>
      <c r="N39" t="n">
        <v>0</v>
      </c>
      <c r="O39" t="n">
        <v>4</v>
      </c>
      <c r="P39" t="n">
        <v>1</v>
      </c>
      <c r="Q39" t="n">
        <v>7</v>
      </c>
      <c r="R39" s="2" t="inlineStr">
        <is>
          <t>Knärot
Garnlav
Lunglav
Skrovellav
Skarp dropptaggsvamp
Skinnlav
Stuplav</t>
        </is>
      </c>
      <c r="S39">
        <f>HYPERLINK("https://klasma.github.io/Logging_2305/artfynd/A 26637-2019 artfynd.xlsx", "A 26637-2019")</f>
        <v/>
      </c>
      <c r="T39">
        <f>HYPERLINK("https://klasma.github.io/Logging_2305/kartor/A 26637-2019 karta.png", "A 26637-2019")</f>
        <v/>
      </c>
      <c r="U39">
        <f>HYPERLINK("https://klasma.github.io/Logging_2305/knärot/A 26637-2019 karta knärot.png", "A 26637-2019")</f>
        <v/>
      </c>
      <c r="V39">
        <f>HYPERLINK("https://klasma.github.io/Logging_2305/klagomål/A 26637-2019 FSC-klagomål.docx", "A 26637-2019")</f>
        <v/>
      </c>
      <c r="W39">
        <f>HYPERLINK("https://klasma.github.io/Logging_2305/klagomålsmail/A 26637-2019 FSC-klagomål mail.docx", "A 26637-2019")</f>
        <v/>
      </c>
      <c r="X39">
        <f>HYPERLINK("https://klasma.github.io/Logging_2305/tillsyn/A 26637-2019 tillsynsbegäran.docx", "A 26637-2019")</f>
        <v/>
      </c>
      <c r="Y39">
        <f>HYPERLINK("https://klasma.github.io/Logging_2305/tillsynsmail/A 26637-2019 tillsynsbegäran mail.docx", "A 26637-2019")</f>
        <v/>
      </c>
    </row>
    <row r="40" ht="15" customHeight="1">
      <c r="A40" t="inlineStr">
        <is>
          <t>A 50583-2019</t>
        </is>
      </c>
      <c r="B40" s="1" t="n">
        <v>43735</v>
      </c>
      <c r="C40" s="1" t="n">
        <v>45507</v>
      </c>
      <c r="D40" t="inlineStr">
        <is>
          <t>JÄMTLANDS LÄN</t>
        </is>
      </c>
      <c r="E40" t="inlineStr">
        <is>
          <t>BRÄCKE</t>
        </is>
      </c>
      <c r="F40" t="inlineStr">
        <is>
          <t>SCA</t>
        </is>
      </c>
      <c r="G40" t="n">
        <v>15.2</v>
      </c>
      <c r="H40" t="n">
        <v>0</v>
      </c>
      <c r="I40" t="n">
        <v>3</v>
      </c>
      <c r="J40" t="n">
        <v>4</v>
      </c>
      <c r="K40" t="n">
        <v>0</v>
      </c>
      <c r="L40" t="n">
        <v>0</v>
      </c>
      <c r="M40" t="n">
        <v>0</v>
      </c>
      <c r="N40" t="n">
        <v>0</v>
      </c>
      <c r="O40" t="n">
        <v>4</v>
      </c>
      <c r="P40" t="n">
        <v>0</v>
      </c>
      <c r="Q40" t="n">
        <v>7</v>
      </c>
      <c r="R40" s="2" t="inlineStr">
        <is>
          <t>Garnlav
Gränsticka
Lunglav
Skrovellav
Korallblylav
Skinnlav
Stuplav</t>
        </is>
      </c>
      <c r="S40">
        <f>HYPERLINK("https://klasma.github.io/Logging_2305/artfynd/A 50583-2019 artfynd.xlsx", "A 50583-2019")</f>
        <v/>
      </c>
      <c r="T40">
        <f>HYPERLINK("https://klasma.github.io/Logging_2305/kartor/A 50583-2019 karta.png", "A 50583-2019")</f>
        <v/>
      </c>
      <c r="V40">
        <f>HYPERLINK("https://klasma.github.io/Logging_2305/klagomål/A 50583-2019 FSC-klagomål.docx", "A 50583-2019")</f>
        <v/>
      </c>
      <c r="W40">
        <f>HYPERLINK("https://klasma.github.io/Logging_2305/klagomålsmail/A 50583-2019 FSC-klagomål mail.docx", "A 50583-2019")</f>
        <v/>
      </c>
      <c r="X40">
        <f>HYPERLINK("https://klasma.github.io/Logging_2305/tillsyn/A 50583-2019 tillsynsbegäran.docx", "A 50583-2019")</f>
        <v/>
      </c>
      <c r="Y40">
        <f>HYPERLINK("https://klasma.github.io/Logging_2305/tillsynsmail/A 50583-2019 tillsynsbegäran mail.docx", "A 50583-2019")</f>
        <v/>
      </c>
    </row>
    <row r="41" ht="15" customHeight="1">
      <c r="A41" t="inlineStr">
        <is>
          <t>A 40386-2020</t>
        </is>
      </c>
      <c r="B41" s="1" t="n">
        <v>44068</v>
      </c>
      <c r="C41" s="1" t="n">
        <v>45507</v>
      </c>
      <c r="D41" t="inlineStr">
        <is>
          <t>JÄMTLANDS LÄN</t>
        </is>
      </c>
      <c r="E41" t="inlineStr">
        <is>
          <t>BRÄCKE</t>
        </is>
      </c>
      <c r="F41" t="inlineStr">
        <is>
          <t>SCA</t>
        </is>
      </c>
      <c r="G41" t="n">
        <v>1.5</v>
      </c>
      <c r="H41" t="n">
        <v>0</v>
      </c>
      <c r="I41" t="n">
        <v>1</v>
      </c>
      <c r="J41" t="n">
        <v>4</v>
      </c>
      <c r="K41" t="n">
        <v>2</v>
      </c>
      <c r="L41" t="n">
        <v>0</v>
      </c>
      <c r="M41" t="n">
        <v>0</v>
      </c>
      <c r="N41" t="n">
        <v>0</v>
      </c>
      <c r="O41" t="n">
        <v>6</v>
      </c>
      <c r="P41" t="n">
        <v>2</v>
      </c>
      <c r="Q41" t="n">
        <v>7</v>
      </c>
      <c r="R41" s="2" t="inlineStr">
        <is>
          <t>Gyllenspindling
Lammticka
Blekspindling agg.
Mjölsvärting
Persiljespindling
Svartvit taggsvamp
Barrfagerspindling</t>
        </is>
      </c>
      <c r="S41">
        <f>HYPERLINK("https://klasma.github.io/Logging_2305/artfynd/A 40386-2020 artfynd.xlsx", "A 40386-2020")</f>
        <v/>
      </c>
      <c r="T41">
        <f>HYPERLINK("https://klasma.github.io/Logging_2305/kartor/A 40386-2020 karta.png", "A 40386-2020")</f>
        <v/>
      </c>
      <c r="V41">
        <f>HYPERLINK("https://klasma.github.io/Logging_2305/klagomål/A 40386-2020 FSC-klagomål.docx", "A 40386-2020")</f>
        <v/>
      </c>
      <c r="W41">
        <f>HYPERLINK("https://klasma.github.io/Logging_2305/klagomålsmail/A 40386-2020 FSC-klagomål mail.docx", "A 40386-2020")</f>
        <v/>
      </c>
      <c r="X41">
        <f>HYPERLINK("https://klasma.github.io/Logging_2305/tillsyn/A 40386-2020 tillsynsbegäran.docx", "A 40386-2020")</f>
        <v/>
      </c>
      <c r="Y41">
        <f>HYPERLINK("https://klasma.github.io/Logging_2305/tillsynsmail/A 40386-2020 tillsynsbegäran mail.docx", "A 40386-2020")</f>
        <v/>
      </c>
    </row>
    <row r="42" ht="15" customHeight="1">
      <c r="A42" t="inlineStr">
        <is>
          <t>A 57162-2022</t>
        </is>
      </c>
      <c r="B42" s="1" t="n">
        <v>44895</v>
      </c>
      <c r="C42" s="1" t="n">
        <v>45507</v>
      </c>
      <c r="D42" t="inlineStr">
        <is>
          <t>JÄMTLANDS LÄN</t>
        </is>
      </c>
      <c r="E42" t="inlineStr">
        <is>
          <t>BRÄCKE</t>
        </is>
      </c>
      <c r="F42" t="inlineStr">
        <is>
          <t>Övriga Aktiebolag</t>
        </is>
      </c>
      <c r="G42" t="n">
        <v>5.3</v>
      </c>
      <c r="H42" t="n">
        <v>3</v>
      </c>
      <c r="I42" t="n">
        <v>4</v>
      </c>
      <c r="J42" t="n">
        <v>1</v>
      </c>
      <c r="K42" t="n">
        <v>1</v>
      </c>
      <c r="L42" t="n">
        <v>0</v>
      </c>
      <c r="M42" t="n">
        <v>0</v>
      </c>
      <c r="N42" t="n">
        <v>0</v>
      </c>
      <c r="O42" t="n">
        <v>2</v>
      </c>
      <c r="P42" t="n">
        <v>1</v>
      </c>
      <c r="Q42" t="n">
        <v>7</v>
      </c>
      <c r="R42" s="2" t="inlineStr">
        <is>
          <t>Lammticka
Dofttaggsvamp
Finbräken
Guckusko
Tvåblad
Vårärt
Blåsippa</t>
        </is>
      </c>
      <c r="S42">
        <f>HYPERLINK("https://klasma.github.io/Logging_2305/artfynd/A 57162-2022 artfynd.xlsx", "A 57162-2022")</f>
        <v/>
      </c>
      <c r="T42">
        <f>HYPERLINK("https://klasma.github.io/Logging_2305/kartor/A 57162-2022 karta.png", "A 57162-2022")</f>
        <v/>
      </c>
      <c r="V42">
        <f>HYPERLINK("https://klasma.github.io/Logging_2305/klagomål/A 57162-2022 FSC-klagomål.docx", "A 57162-2022")</f>
        <v/>
      </c>
      <c r="W42">
        <f>HYPERLINK("https://klasma.github.io/Logging_2305/klagomålsmail/A 57162-2022 FSC-klagomål mail.docx", "A 57162-2022")</f>
        <v/>
      </c>
      <c r="X42">
        <f>HYPERLINK("https://klasma.github.io/Logging_2305/tillsyn/A 57162-2022 tillsynsbegäran.docx", "A 57162-2022")</f>
        <v/>
      </c>
      <c r="Y42">
        <f>HYPERLINK("https://klasma.github.io/Logging_2305/tillsynsmail/A 57162-2022 tillsynsbegäran mail.docx", "A 57162-2022")</f>
        <v/>
      </c>
    </row>
    <row r="43" ht="15" customHeight="1">
      <c r="A43" t="inlineStr">
        <is>
          <t>A 4232-2023</t>
        </is>
      </c>
      <c r="B43" s="1" t="n">
        <v>44951</v>
      </c>
      <c r="C43" s="1" t="n">
        <v>45507</v>
      </c>
      <c r="D43" t="inlineStr">
        <is>
          <t>JÄMTLANDS LÄN</t>
        </is>
      </c>
      <c r="E43" t="inlineStr">
        <is>
          <t>BRÄCKE</t>
        </is>
      </c>
      <c r="G43" t="n">
        <v>12.6</v>
      </c>
      <c r="H43" t="n">
        <v>1</v>
      </c>
      <c r="I43" t="n">
        <v>2</v>
      </c>
      <c r="J43" t="n">
        <v>4</v>
      </c>
      <c r="K43" t="n">
        <v>1</v>
      </c>
      <c r="L43" t="n">
        <v>0</v>
      </c>
      <c r="M43" t="n">
        <v>0</v>
      </c>
      <c r="N43" t="n">
        <v>0</v>
      </c>
      <c r="O43" t="n">
        <v>5</v>
      </c>
      <c r="P43" t="n">
        <v>1</v>
      </c>
      <c r="Q43" t="n">
        <v>7</v>
      </c>
      <c r="R43" s="2" t="inlineStr">
        <is>
          <t>Gräddporing
Garnlav
Kolflarnlav
Lunglav
Mörk kolflarnlav
Dropptaggsvamp
Plattlummer</t>
        </is>
      </c>
      <c r="S43">
        <f>HYPERLINK("https://klasma.github.io/Logging_2305/artfynd/A 4232-2023 artfynd.xlsx", "A 4232-2023")</f>
        <v/>
      </c>
      <c r="T43">
        <f>HYPERLINK("https://klasma.github.io/Logging_2305/kartor/A 4232-2023 karta.png", "A 4232-2023")</f>
        <v/>
      </c>
      <c r="U43">
        <f>HYPERLINK("https://klasma.github.io/Logging_2305/knärot/A 4232-2023 karta knärot.png", "A 4232-2023")</f>
        <v/>
      </c>
      <c r="V43">
        <f>HYPERLINK("https://klasma.github.io/Logging_2305/klagomål/A 4232-2023 FSC-klagomål.docx", "A 4232-2023")</f>
        <v/>
      </c>
      <c r="W43">
        <f>HYPERLINK("https://klasma.github.io/Logging_2305/klagomålsmail/A 4232-2023 FSC-klagomål mail.docx", "A 4232-2023")</f>
        <v/>
      </c>
      <c r="X43">
        <f>HYPERLINK("https://klasma.github.io/Logging_2305/tillsyn/A 4232-2023 tillsynsbegäran.docx", "A 4232-2023")</f>
        <v/>
      </c>
      <c r="Y43">
        <f>HYPERLINK("https://klasma.github.io/Logging_2305/tillsynsmail/A 4232-2023 tillsynsbegäran mail.docx", "A 4232-2023")</f>
        <v/>
      </c>
    </row>
    <row r="44" ht="15" customHeight="1">
      <c r="A44" t="inlineStr">
        <is>
          <t>A 20601-2023</t>
        </is>
      </c>
      <c r="B44" s="1" t="n">
        <v>45057</v>
      </c>
      <c r="C44" s="1" t="n">
        <v>45507</v>
      </c>
      <c r="D44" t="inlineStr">
        <is>
          <t>JÄMTLANDS LÄN</t>
        </is>
      </c>
      <c r="E44" t="inlineStr">
        <is>
          <t>BRÄCKE</t>
        </is>
      </c>
      <c r="F44" t="inlineStr">
        <is>
          <t>SCA</t>
        </is>
      </c>
      <c r="G44" t="n">
        <v>7.9</v>
      </c>
      <c r="H44" t="n">
        <v>0</v>
      </c>
      <c r="I44" t="n">
        <v>2</v>
      </c>
      <c r="J44" t="n">
        <v>1</v>
      </c>
      <c r="K44" t="n">
        <v>4</v>
      </c>
      <c r="L44" t="n">
        <v>0</v>
      </c>
      <c r="M44" t="n">
        <v>0</v>
      </c>
      <c r="N44" t="n">
        <v>0</v>
      </c>
      <c r="O44" t="n">
        <v>5</v>
      </c>
      <c r="P44" t="n">
        <v>4</v>
      </c>
      <c r="Q44" t="n">
        <v>7</v>
      </c>
      <c r="R44" s="2" t="inlineStr">
        <is>
          <t>Goliatmusseron
Lammticka
Strandviol
Tallgråticka
Skrovlig taggsvamp
Skarp dropptaggsvamp
Tallfingersvamp</t>
        </is>
      </c>
      <c r="S44">
        <f>HYPERLINK("https://klasma.github.io/Logging_2305/artfynd/A 20601-2023 artfynd.xlsx", "A 20601-2023")</f>
        <v/>
      </c>
      <c r="T44">
        <f>HYPERLINK("https://klasma.github.io/Logging_2305/kartor/A 20601-2023 karta.png", "A 20601-2023")</f>
        <v/>
      </c>
      <c r="V44">
        <f>HYPERLINK("https://klasma.github.io/Logging_2305/klagomål/A 20601-2023 FSC-klagomål.docx", "A 20601-2023")</f>
        <v/>
      </c>
      <c r="W44">
        <f>HYPERLINK("https://klasma.github.io/Logging_2305/klagomålsmail/A 20601-2023 FSC-klagomål mail.docx", "A 20601-2023")</f>
        <v/>
      </c>
      <c r="X44">
        <f>HYPERLINK("https://klasma.github.io/Logging_2305/tillsyn/A 20601-2023 tillsynsbegäran.docx", "A 20601-2023")</f>
        <v/>
      </c>
      <c r="Y44">
        <f>HYPERLINK("https://klasma.github.io/Logging_2305/tillsynsmail/A 20601-2023 tillsynsbegäran mail.docx", "A 20601-2023")</f>
        <v/>
      </c>
    </row>
    <row r="45" ht="15" customHeight="1">
      <c r="A45" t="inlineStr">
        <is>
          <t>A 54050-2023</t>
        </is>
      </c>
      <c r="B45" s="1" t="n">
        <v>45231</v>
      </c>
      <c r="C45" s="1" t="n">
        <v>45507</v>
      </c>
      <c r="D45" t="inlineStr">
        <is>
          <t>JÄMTLANDS LÄN</t>
        </is>
      </c>
      <c r="E45" t="inlineStr">
        <is>
          <t>BRÄCKE</t>
        </is>
      </c>
      <c r="F45" t="inlineStr">
        <is>
          <t>SCA</t>
        </is>
      </c>
      <c r="G45" t="n">
        <v>11.3</v>
      </c>
      <c r="H45" t="n">
        <v>0</v>
      </c>
      <c r="I45" t="n">
        <v>3</v>
      </c>
      <c r="J45" t="n">
        <v>4</v>
      </c>
      <c r="K45" t="n">
        <v>0</v>
      </c>
      <c r="L45" t="n">
        <v>0</v>
      </c>
      <c r="M45" t="n">
        <v>0</v>
      </c>
      <c r="N45" t="n">
        <v>0</v>
      </c>
      <c r="O45" t="n">
        <v>4</v>
      </c>
      <c r="P45" t="n">
        <v>0</v>
      </c>
      <c r="Q45" t="n">
        <v>7</v>
      </c>
      <c r="R45" s="2" t="inlineStr">
        <is>
          <t>Dvärgbägarlav
Nordtagging
Skrovlig taggsvamp
Tallriska
Dropptaggsvamp
Skarp dropptaggsvamp
Vedticka</t>
        </is>
      </c>
      <c r="S45">
        <f>HYPERLINK("https://klasma.github.io/Logging_2305/artfynd/A 54050-2023 artfynd.xlsx", "A 54050-2023")</f>
        <v/>
      </c>
      <c r="T45">
        <f>HYPERLINK("https://klasma.github.io/Logging_2305/kartor/A 54050-2023 karta.png", "A 54050-2023")</f>
        <v/>
      </c>
      <c r="V45">
        <f>HYPERLINK("https://klasma.github.io/Logging_2305/klagomål/A 54050-2023 FSC-klagomål.docx", "A 54050-2023")</f>
        <v/>
      </c>
      <c r="W45">
        <f>HYPERLINK("https://klasma.github.io/Logging_2305/klagomålsmail/A 54050-2023 FSC-klagomål mail.docx", "A 54050-2023")</f>
        <v/>
      </c>
      <c r="X45">
        <f>HYPERLINK("https://klasma.github.io/Logging_2305/tillsyn/A 54050-2023 tillsynsbegäran.docx", "A 54050-2023")</f>
        <v/>
      </c>
      <c r="Y45">
        <f>HYPERLINK("https://klasma.github.io/Logging_2305/tillsynsmail/A 54050-2023 tillsynsbegäran mail.docx", "A 54050-2023")</f>
        <v/>
      </c>
    </row>
    <row r="46" ht="15" customHeight="1">
      <c r="A46" t="inlineStr">
        <is>
          <t>A 29094-2024</t>
        </is>
      </c>
      <c r="B46" s="1" t="n">
        <v>45482</v>
      </c>
      <c r="C46" s="1" t="n">
        <v>45507</v>
      </c>
      <c r="D46" t="inlineStr">
        <is>
          <t>JÄMTLANDS LÄN</t>
        </is>
      </c>
      <c r="E46" t="inlineStr">
        <is>
          <t>BRÄCKE</t>
        </is>
      </c>
      <c r="F46" t="inlineStr">
        <is>
          <t>Naturvårdsverket</t>
        </is>
      </c>
      <c r="G46" t="n">
        <v>12.5</v>
      </c>
      <c r="H46" t="n">
        <v>0</v>
      </c>
      <c r="I46" t="n">
        <v>0</v>
      </c>
      <c r="J46" t="n">
        <v>6</v>
      </c>
      <c r="K46" t="n">
        <v>1</v>
      </c>
      <c r="L46" t="n">
        <v>0</v>
      </c>
      <c r="M46" t="n">
        <v>0</v>
      </c>
      <c r="N46" t="n">
        <v>0</v>
      </c>
      <c r="O46" t="n">
        <v>7</v>
      </c>
      <c r="P46" t="n">
        <v>1</v>
      </c>
      <c r="Q46" t="n">
        <v>7</v>
      </c>
      <c r="R46" s="2" t="inlineStr">
        <is>
          <t>Gräddporing
Gammelgransskål
Garnlav
Vaddporing
Vedskivlav
Violettgrå tagellav
Vitgrynig nållav</t>
        </is>
      </c>
      <c r="S46">
        <f>HYPERLINK("https://klasma.github.io/Logging_2305/artfynd/A 29094-2024 artfynd.xlsx", "A 29094-2024")</f>
        <v/>
      </c>
      <c r="T46">
        <f>HYPERLINK("https://klasma.github.io/Logging_2305/kartor/A 29094-2024 karta.png", "A 29094-2024")</f>
        <v/>
      </c>
      <c r="V46">
        <f>HYPERLINK("https://klasma.github.io/Logging_2305/klagomål/A 29094-2024 FSC-klagomål.docx", "A 29094-2024")</f>
        <v/>
      </c>
      <c r="W46">
        <f>HYPERLINK("https://klasma.github.io/Logging_2305/klagomålsmail/A 29094-2024 FSC-klagomål mail.docx", "A 29094-2024")</f>
        <v/>
      </c>
      <c r="X46">
        <f>HYPERLINK("https://klasma.github.io/Logging_2305/tillsyn/A 29094-2024 tillsynsbegäran.docx", "A 29094-2024")</f>
        <v/>
      </c>
      <c r="Y46">
        <f>HYPERLINK("https://klasma.github.io/Logging_2305/tillsynsmail/A 29094-2024 tillsynsbegäran mail.docx", "A 29094-2024")</f>
        <v/>
      </c>
    </row>
    <row r="47" ht="15" customHeight="1">
      <c r="A47" t="inlineStr">
        <is>
          <t>A 64062-2020</t>
        </is>
      </c>
      <c r="B47" s="1" t="n">
        <v>44167</v>
      </c>
      <c r="C47" s="1" t="n">
        <v>45507</v>
      </c>
      <c r="D47" t="inlineStr">
        <is>
          <t>JÄMTLANDS LÄN</t>
        </is>
      </c>
      <c r="E47" t="inlineStr">
        <is>
          <t>BRÄCKE</t>
        </is>
      </c>
      <c r="F47" t="inlineStr">
        <is>
          <t>Övriga Aktiebolag</t>
        </is>
      </c>
      <c r="G47" t="n">
        <v>14</v>
      </c>
      <c r="H47" t="n">
        <v>3</v>
      </c>
      <c r="I47" t="n">
        <v>4</v>
      </c>
      <c r="J47" t="n">
        <v>1</v>
      </c>
      <c r="K47" t="n">
        <v>0</v>
      </c>
      <c r="L47" t="n">
        <v>0</v>
      </c>
      <c r="M47" t="n">
        <v>0</v>
      </c>
      <c r="N47" t="n">
        <v>0</v>
      </c>
      <c r="O47" t="n">
        <v>1</v>
      </c>
      <c r="P47" t="n">
        <v>0</v>
      </c>
      <c r="Q47" t="n">
        <v>6</v>
      </c>
      <c r="R47" s="2" t="inlineStr">
        <is>
          <t>Garnlav
Gräsull
Guckusko
Tvåblad
Vågbandad barkbock
Fläcknycklar</t>
        </is>
      </c>
      <c r="S47">
        <f>HYPERLINK("https://klasma.github.io/Logging_2305/artfynd/A 64062-2020 artfynd.xlsx", "A 64062-2020")</f>
        <v/>
      </c>
      <c r="T47">
        <f>HYPERLINK("https://klasma.github.io/Logging_2305/kartor/A 64062-2020 karta.png", "A 64062-2020")</f>
        <v/>
      </c>
      <c r="U47">
        <f>HYPERLINK("https://klasma.github.io/Logging_2305/knärot/A 64062-2020 karta knärot.png", "A 64062-2020")</f>
        <v/>
      </c>
      <c r="V47">
        <f>HYPERLINK("https://klasma.github.io/Logging_2305/klagomål/A 64062-2020 FSC-klagomål.docx", "A 64062-2020")</f>
        <v/>
      </c>
      <c r="W47">
        <f>HYPERLINK("https://klasma.github.io/Logging_2305/klagomålsmail/A 64062-2020 FSC-klagomål mail.docx", "A 64062-2020")</f>
        <v/>
      </c>
      <c r="X47">
        <f>HYPERLINK("https://klasma.github.io/Logging_2305/tillsyn/A 64062-2020 tillsynsbegäran.docx", "A 64062-2020")</f>
        <v/>
      </c>
      <c r="Y47">
        <f>HYPERLINK("https://klasma.github.io/Logging_2305/tillsynsmail/A 64062-2020 tillsynsbegäran mail.docx", "A 64062-2020")</f>
        <v/>
      </c>
    </row>
    <row r="48" ht="15" customHeight="1">
      <c r="A48" t="inlineStr">
        <is>
          <t>A 28599-2021</t>
        </is>
      </c>
      <c r="B48" s="1" t="n">
        <v>44356</v>
      </c>
      <c r="C48" s="1" t="n">
        <v>45507</v>
      </c>
      <c r="D48" t="inlineStr">
        <is>
          <t>JÄMTLANDS LÄN</t>
        </is>
      </c>
      <c r="E48" t="inlineStr">
        <is>
          <t>BRÄCKE</t>
        </is>
      </c>
      <c r="F48" t="inlineStr">
        <is>
          <t>SCA</t>
        </is>
      </c>
      <c r="G48" t="n">
        <v>14.6</v>
      </c>
      <c r="H48" t="n">
        <v>1</v>
      </c>
      <c r="I48" t="n">
        <v>2</v>
      </c>
      <c r="J48" t="n">
        <v>3</v>
      </c>
      <c r="K48" t="n">
        <v>1</v>
      </c>
      <c r="L48" t="n">
        <v>0</v>
      </c>
      <c r="M48" t="n">
        <v>0</v>
      </c>
      <c r="N48" t="n">
        <v>0</v>
      </c>
      <c r="O48" t="n">
        <v>4</v>
      </c>
      <c r="P48" t="n">
        <v>1</v>
      </c>
      <c r="Q48" t="n">
        <v>6</v>
      </c>
      <c r="R48" s="2" t="inlineStr">
        <is>
          <t>Doftticka
Garnlav
Lunglav
Äggvaxskivling
Fjällig taggsvamp s.str.
Skarp dropptaggsvamp</t>
        </is>
      </c>
      <c r="S48">
        <f>HYPERLINK("https://klasma.github.io/Logging_2305/artfynd/A 28599-2021 artfynd.xlsx", "A 28599-2021")</f>
        <v/>
      </c>
      <c r="T48">
        <f>HYPERLINK("https://klasma.github.io/Logging_2305/kartor/A 28599-2021 karta.png", "A 28599-2021")</f>
        <v/>
      </c>
      <c r="V48">
        <f>HYPERLINK("https://klasma.github.io/Logging_2305/klagomål/A 28599-2021 FSC-klagomål.docx", "A 28599-2021")</f>
        <v/>
      </c>
      <c r="W48">
        <f>HYPERLINK("https://klasma.github.io/Logging_2305/klagomålsmail/A 28599-2021 FSC-klagomål mail.docx", "A 28599-2021")</f>
        <v/>
      </c>
      <c r="X48">
        <f>HYPERLINK("https://klasma.github.io/Logging_2305/tillsyn/A 28599-2021 tillsynsbegäran.docx", "A 28599-2021")</f>
        <v/>
      </c>
      <c r="Y48">
        <f>HYPERLINK("https://klasma.github.io/Logging_2305/tillsynsmail/A 28599-2021 tillsynsbegäran mail.docx", "A 28599-2021")</f>
        <v/>
      </c>
    </row>
    <row r="49" ht="15" customHeight="1">
      <c r="A49" t="inlineStr">
        <is>
          <t>A 49540-2022</t>
        </is>
      </c>
      <c r="B49" s="1" t="n">
        <v>44861</v>
      </c>
      <c r="C49" s="1" t="n">
        <v>45507</v>
      </c>
      <c r="D49" t="inlineStr">
        <is>
          <t>JÄMTLANDS LÄN</t>
        </is>
      </c>
      <c r="E49" t="inlineStr">
        <is>
          <t>BRÄCKE</t>
        </is>
      </c>
      <c r="F49" t="inlineStr">
        <is>
          <t>SCA</t>
        </is>
      </c>
      <c r="G49" t="n">
        <v>10.5</v>
      </c>
      <c r="H49" t="n">
        <v>2</v>
      </c>
      <c r="I49" t="n">
        <v>0</v>
      </c>
      <c r="J49" t="n">
        <v>4</v>
      </c>
      <c r="K49" t="n">
        <v>2</v>
      </c>
      <c r="L49" t="n">
        <v>0</v>
      </c>
      <c r="M49" t="n">
        <v>0</v>
      </c>
      <c r="N49" t="n">
        <v>0</v>
      </c>
      <c r="O49" t="n">
        <v>6</v>
      </c>
      <c r="P49" t="n">
        <v>2</v>
      </c>
      <c r="Q49" t="n">
        <v>6</v>
      </c>
      <c r="R49" s="2" t="inlineStr">
        <is>
          <t>Knärot
Rynkskinn
Rosenticka
Talltita
Ullticka
Äggvaxskivling</t>
        </is>
      </c>
      <c r="S49">
        <f>HYPERLINK("https://klasma.github.io/Logging_2305/artfynd/A 49540-2022 artfynd.xlsx", "A 49540-2022")</f>
        <v/>
      </c>
      <c r="T49">
        <f>HYPERLINK("https://klasma.github.io/Logging_2305/kartor/A 49540-2022 karta.png", "A 49540-2022")</f>
        <v/>
      </c>
      <c r="U49">
        <f>HYPERLINK("https://klasma.github.io/Logging_2305/knärot/A 49540-2022 karta knärot.png", "A 49540-2022")</f>
        <v/>
      </c>
      <c r="V49">
        <f>HYPERLINK("https://klasma.github.io/Logging_2305/klagomål/A 49540-2022 FSC-klagomål.docx", "A 49540-2022")</f>
        <v/>
      </c>
      <c r="W49">
        <f>HYPERLINK("https://klasma.github.io/Logging_2305/klagomålsmail/A 49540-2022 FSC-klagomål mail.docx", "A 49540-2022")</f>
        <v/>
      </c>
      <c r="X49">
        <f>HYPERLINK("https://klasma.github.io/Logging_2305/tillsyn/A 49540-2022 tillsynsbegäran.docx", "A 49540-2022")</f>
        <v/>
      </c>
      <c r="Y49">
        <f>HYPERLINK("https://klasma.github.io/Logging_2305/tillsynsmail/A 49540-2022 tillsynsbegäran mail.docx", "A 49540-2022")</f>
        <v/>
      </c>
      <c r="Z49">
        <f>HYPERLINK("https://klasma.github.io/Logging_2305/fåglar/A 49540-2022 prioriterade fågelarter.docx", "A 49540-2022")</f>
        <v/>
      </c>
    </row>
    <row r="50" ht="15" customHeight="1">
      <c r="A50" t="inlineStr">
        <is>
          <t>A 39807-2023</t>
        </is>
      </c>
      <c r="B50" s="1" t="n">
        <v>45168</v>
      </c>
      <c r="C50" s="1" t="n">
        <v>45507</v>
      </c>
      <c r="D50" t="inlineStr">
        <is>
          <t>JÄMTLANDS LÄN</t>
        </is>
      </c>
      <c r="E50" t="inlineStr">
        <is>
          <t>BRÄCKE</t>
        </is>
      </c>
      <c r="F50" t="inlineStr">
        <is>
          <t>SCA</t>
        </is>
      </c>
      <c r="G50" t="n">
        <v>8.1</v>
      </c>
      <c r="H50" t="n">
        <v>1</v>
      </c>
      <c r="I50" t="n">
        <v>2</v>
      </c>
      <c r="J50" t="n">
        <v>3</v>
      </c>
      <c r="K50" t="n">
        <v>1</v>
      </c>
      <c r="L50" t="n">
        <v>0</v>
      </c>
      <c r="M50" t="n">
        <v>0</v>
      </c>
      <c r="N50" t="n">
        <v>0</v>
      </c>
      <c r="O50" t="n">
        <v>4</v>
      </c>
      <c r="P50" t="n">
        <v>1</v>
      </c>
      <c r="Q50" t="n">
        <v>6</v>
      </c>
      <c r="R50" s="2" t="inlineStr">
        <is>
          <t>Knärot
Gammelgransskål
Lunglav
Skrovellav
Bårdlav
Stor aspticka</t>
        </is>
      </c>
      <c r="S50">
        <f>HYPERLINK("https://klasma.github.io/Logging_2305/artfynd/A 39807-2023 artfynd.xlsx", "A 39807-2023")</f>
        <v/>
      </c>
      <c r="T50">
        <f>HYPERLINK("https://klasma.github.io/Logging_2305/kartor/A 39807-2023 karta.png", "A 39807-2023")</f>
        <v/>
      </c>
      <c r="U50">
        <f>HYPERLINK("https://klasma.github.io/Logging_2305/knärot/A 39807-2023 karta knärot.png", "A 39807-2023")</f>
        <v/>
      </c>
      <c r="V50">
        <f>HYPERLINK("https://klasma.github.io/Logging_2305/klagomål/A 39807-2023 FSC-klagomål.docx", "A 39807-2023")</f>
        <v/>
      </c>
      <c r="W50">
        <f>HYPERLINK("https://klasma.github.io/Logging_2305/klagomålsmail/A 39807-2023 FSC-klagomål mail.docx", "A 39807-2023")</f>
        <v/>
      </c>
      <c r="X50">
        <f>HYPERLINK("https://klasma.github.io/Logging_2305/tillsyn/A 39807-2023 tillsynsbegäran.docx", "A 39807-2023")</f>
        <v/>
      </c>
      <c r="Y50">
        <f>HYPERLINK("https://klasma.github.io/Logging_2305/tillsynsmail/A 39807-2023 tillsynsbegäran mail.docx", "A 39807-2023")</f>
        <v/>
      </c>
    </row>
    <row r="51" ht="15" customHeight="1">
      <c r="A51" t="inlineStr">
        <is>
          <t>A 43131-2023</t>
        </is>
      </c>
      <c r="B51" s="1" t="n">
        <v>45182</v>
      </c>
      <c r="C51" s="1" t="n">
        <v>45507</v>
      </c>
      <c r="D51" t="inlineStr">
        <is>
          <t>JÄMTLANDS LÄN</t>
        </is>
      </c>
      <c r="E51" t="inlineStr">
        <is>
          <t>BRÄCKE</t>
        </is>
      </c>
      <c r="F51" t="inlineStr">
        <is>
          <t>SCA</t>
        </is>
      </c>
      <c r="G51" t="n">
        <v>22.1</v>
      </c>
      <c r="H51" t="n">
        <v>1</v>
      </c>
      <c r="I51" t="n">
        <v>1</v>
      </c>
      <c r="J51" t="n">
        <v>4</v>
      </c>
      <c r="K51" t="n">
        <v>1</v>
      </c>
      <c r="L51" t="n">
        <v>0</v>
      </c>
      <c r="M51" t="n">
        <v>0</v>
      </c>
      <c r="N51" t="n">
        <v>0</v>
      </c>
      <c r="O51" t="n">
        <v>5</v>
      </c>
      <c r="P51" t="n">
        <v>1</v>
      </c>
      <c r="Q51" t="n">
        <v>6</v>
      </c>
      <c r="R51" s="2" t="inlineStr">
        <is>
          <t>Knärot
Granticka
Gränsticka
Lunglav
Skrovellav
Korallblylav</t>
        </is>
      </c>
      <c r="S51">
        <f>HYPERLINK("https://klasma.github.io/Logging_2305/artfynd/A 43131-2023 artfynd.xlsx", "A 43131-2023")</f>
        <v/>
      </c>
      <c r="T51">
        <f>HYPERLINK("https://klasma.github.io/Logging_2305/kartor/A 43131-2023 karta.png", "A 43131-2023")</f>
        <v/>
      </c>
      <c r="U51">
        <f>HYPERLINK("https://klasma.github.io/Logging_2305/knärot/A 43131-2023 karta knärot.png", "A 43131-2023")</f>
        <v/>
      </c>
      <c r="V51">
        <f>HYPERLINK("https://klasma.github.io/Logging_2305/klagomål/A 43131-2023 FSC-klagomål.docx", "A 43131-2023")</f>
        <v/>
      </c>
      <c r="W51">
        <f>HYPERLINK("https://klasma.github.io/Logging_2305/klagomålsmail/A 43131-2023 FSC-klagomål mail.docx", "A 43131-2023")</f>
        <v/>
      </c>
      <c r="X51">
        <f>HYPERLINK("https://klasma.github.io/Logging_2305/tillsyn/A 43131-2023 tillsynsbegäran.docx", "A 43131-2023")</f>
        <v/>
      </c>
      <c r="Y51">
        <f>HYPERLINK("https://klasma.github.io/Logging_2305/tillsynsmail/A 43131-2023 tillsynsbegäran mail.docx", "A 43131-2023")</f>
        <v/>
      </c>
    </row>
    <row r="52" ht="15" customHeight="1">
      <c r="A52" t="inlineStr">
        <is>
          <t>A 43989-2023</t>
        </is>
      </c>
      <c r="B52" s="1" t="n">
        <v>45187</v>
      </c>
      <c r="C52" s="1" t="n">
        <v>45507</v>
      </c>
      <c r="D52" t="inlineStr">
        <is>
          <t>JÄMTLANDS LÄN</t>
        </is>
      </c>
      <c r="E52" t="inlineStr">
        <is>
          <t>BRÄCKE</t>
        </is>
      </c>
      <c r="F52" t="inlineStr">
        <is>
          <t>SCA</t>
        </is>
      </c>
      <c r="G52" t="n">
        <v>6.1</v>
      </c>
      <c r="H52" t="n">
        <v>5</v>
      </c>
      <c r="I52" t="n">
        <v>2</v>
      </c>
      <c r="J52" t="n">
        <v>2</v>
      </c>
      <c r="K52" t="n">
        <v>0</v>
      </c>
      <c r="L52" t="n">
        <v>0</v>
      </c>
      <c r="M52" t="n">
        <v>0</v>
      </c>
      <c r="N52" t="n">
        <v>0</v>
      </c>
      <c r="O52" t="n">
        <v>2</v>
      </c>
      <c r="P52" t="n">
        <v>0</v>
      </c>
      <c r="Q52" t="n">
        <v>6</v>
      </c>
      <c r="R52" s="2" t="inlineStr">
        <is>
          <t>Brunklöver
Rödvingetrast
Plattlummer
Spindelblomster
Fläcknycklar
Revlummer</t>
        </is>
      </c>
      <c r="S52">
        <f>HYPERLINK("https://klasma.github.io/Logging_2305/artfynd/A 43989-2023 artfynd.xlsx", "A 43989-2023")</f>
        <v/>
      </c>
      <c r="T52">
        <f>HYPERLINK("https://klasma.github.io/Logging_2305/kartor/A 43989-2023 karta.png", "A 43989-2023")</f>
        <v/>
      </c>
      <c r="V52">
        <f>HYPERLINK("https://klasma.github.io/Logging_2305/klagomål/A 43989-2023 FSC-klagomål.docx", "A 43989-2023")</f>
        <v/>
      </c>
      <c r="W52">
        <f>HYPERLINK("https://klasma.github.io/Logging_2305/klagomålsmail/A 43989-2023 FSC-klagomål mail.docx", "A 43989-2023")</f>
        <v/>
      </c>
      <c r="X52">
        <f>HYPERLINK("https://klasma.github.io/Logging_2305/tillsyn/A 43989-2023 tillsynsbegäran.docx", "A 43989-2023")</f>
        <v/>
      </c>
      <c r="Y52">
        <f>HYPERLINK("https://klasma.github.io/Logging_2305/tillsynsmail/A 43989-2023 tillsynsbegäran mail.docx", "A 43989-2023")</f>
        <v/>
      </c>
      <c r="Z52">
        <f>HYPERLINK("https://klasma.github.io/Logging_2305/fåglar/A 43989-2023 prioriterade fågelarter.docx", "A 43989-2023")</f>
        <v/>
      </c>
    </row>
    <row r="53" ht="15" customHeight="1">
      <c r="A53" t="inlineStr">
        <is>
          <t>A 13548-2024</t>
        </is>
      </c>
      <c r="B53" s="1" t="n">
        <v>45388</v>
      </c>
      <c r="C53" s="1" t="n">
        <v>45507</v>
      </c>
      <c r="D53" t="inlineStr">
        <is>
          <t>JÄMTLANDS LÄN</t>
        </is>
      </c>
      <c r="E53" t="inlineStr">
        <is>
          <t>BRÄCKE</t>
        </is>
      </c>
      <c r="F53" t="inlineStr">
        <is>
          <t>SCA</t>
        </is>
      </c>
      <c r="G53" t="n">
        <v>1.3</v>
      </c>
      <c r="H53" t="n">
        <v>0</v>
      </c>
      <c r="I53" t="n">
        <v>2</v>
      </c>
      <c r="J53" t="n">
        <v>4</v>
      </c>
      <c r="K53" t="n">
        <v>0</v>
      </c>
      <c r="L53" t="n">
        <v>0</v>
      </c>
      <c r="M53" t="n">
        <v>0</v>
      </c>
      <c r="N53" t="n">
        <v>0</v>
      </c>
      <c r="O53" t="n">
        <v>4</v>
      </c>
      <c r="P53" t="n">
        <v>0</v>
      </c>
      <c r="Q53" t="n">
        <v>6</v>
      </c>
      <c r="R53" s="2" t="inlineStr">
        <is>
          <t>Blå taggsvamp
Dvärgbägarlav
Kolflarnlav
Motaggsvamp
Skinnlav
Vedticka</t>
        </is>
      </c>
      <c r="S53">
        <f>HYPERLINK("https://klasma.github.io/Logging_2305/artfynd/A 13548-2024 artfynd.xlsx", "A 13548-2024")</f>
        <v/>
      </c>
      <c r="T53">
        <f>HYPERLINK("https://klasma.github.io/Logging_2305/kartor/A 13548-2024 karta.png", "A 13548-2024")</f>
        <v/>
      </c>
      <c r="V53">
        <f>HYPERLINK("https://klasma.github.io/Logging_2305/klagomål/A 13548-2024 FSC-klagomål.docx", "A 13548-2024")</f>
        <v/>
      </c>
      <c r="W53">
        <f>HYPERLINK("https://klasma.github.io/Logging_2305/klagomålsmail/A 13548-2024 FSC-klagomål mail.docx", "A 13548-2024")</f>
        <v/>
      </c>
      <c r="X53">
        <f>HYPERLINK("https://klasma.github.io/Logging_2305/tillsyn/A 13548-2024 tillsynsbegäran.docx", "A 13548-2024")</f>
        <v/>
      </c>
      <c r="Y53">
        <f>HYPERLINK("https://klasma.github.io/Logging_2305/tillsynsmail/A 13548-2024 tillsynsbegäran mail.docx", "A 13548-2024")</f>
        <v/>
      </c>
    </row>
    <row r="54" ht="15" customHeight="1">
      <c r="A54" t="inlineStr">
        <is>
          <t>A 14576-2024</t>
        </is>
      </c>
      <c r="B54" s="1" t="n">
        <v>45395</v>
      </c>
      <c r="C54" s="1" t="n">
        <v>45507</v>
      </c>
      <c r="D54" t="inlineStr">
        <is>
          <t>JÄMTLANDS LÄN</t>
        </is>
      </c>
      <c r="E54" t="inlineStr">
        <is>
          <t>BRÄCKE</t>
        </is>
      </c>
      <c r="F54" t="inlineStr">
        <is>
          <t>SCA</t>
        </is>
      </c>
      <c r="G54" t="n">
        <v>2.1</v>
      </c>
      <c r="H54" t="n">
        <v>0</v>
      </c>
      <c r="I54" t="n">
        <v>3</v>
      </c>
      <c r="J54" t="n">
        <v>3</v>
      </c>
      <c r="K54" t="n">
        <v>0</v>
      </c>
      <c r="L54" t="n">
        <v>0</v>
      </c>
      <c r="M54" t="n">
        <v>0</v>
      </c>
      <c r="N54" t="n">
        <v>0</v>
      </c>
      <c r="O54" t="n">
        <v>3</v>
      </c>
      <c r="P54" t="n">
        <v>0</v>
      </c>
      <c r="Q54" t="n">
        <v>6</v>
      </c>
      <c r="R54" s="2" t="inlineStr">
        <is>
          <t>Lunglav
Skrovellav
Ullticka
Korallblylav
Skinnlav
Stuplav</t>
        </is>
      </c>
      <c r="S54">
        <f>HYPERLINK("https://klasma.github.io/Logging_2305/artfynd/A 14576-2024 artfynd.xlsx", "A 14576-2024")</f>
        <v/>
      </c>
      <c r="T54">
        <f>HYPERLINK("https://klasma.github.io/Logging_2305/kartor/A 14576-2024 karta.png", "A 14576-2024")</f>
        <v/>
      </c>
      <c r="V54">
        <f>HYPERLINK("https://klasma.github.io/Logging_2305/klagomål/A 14576-2024 FSC-klagomål.docx", "A 14576-2024")</f>
        <v/>
      </c>
      <c r="W54">
        <f>HYPERLINK("https://klasma.github.io/Logging_2305/klagomålsmail/A 14576-2024 FSC-klagomål mail.docx", "A 14576-2024")</f>
        <v/>
      </c>
      <c r="X54">
        <f>HYPERLINK("https://klasma.github.io/Logging_2305/tillsyn/A 14576-2024 tillsynsbegäran.docx", "A 14576-2024")</f>
        <v/>
      </c>
      <c r="Y54">
        <f>HYPERLINK("https://klasma.github.io/Logging_2305/tillsynsmail/A 14576-2024 tillsynsbegäran mail.docx", "A 14576-2024")</f>
        <v/>
      </c>
    </row>
    <row r="55" ht="15" customHeight="1">
      <c r="A55" t="inlineStr">
        <is>
          <t>A 29244-2024</t>
        </is>
      </c>
      <c r="B55" s="1" t="n">
        <v>45483</v>
      </c>
      <c r="C55" s="1" t="n">
        <v>45507</v>
      </c>
      <c r="D55" t="inlineStr">
        <is>
          <t>JÄMTLANDS LÄN</t>
        </is>
      </c>
      <c r="E55" t="inlineStr">
        <is>
          <t>BRÄCKE</t>
        </is>
      </c>
      <c r="F55" t="inlineStr">
        <is>
          <t>SCA</t>
        </is>
      </c>
      <c r="G55" t="n">
        <v>7.5</v>
      </c>
      <c r="H55" t="n">
        <v>0</v>
      </c>
      <c r="I55" t="n">
        <v>1</v>
      </c>
      <c r="J55" t="n">
        <v>5</v>
      </c>
      <c r="K55" t="n">
        <v>0</v>
      </c>
      <c r="L55" t="n">
        <v>0</v>
      </c>
      <c r="M55" t="n">
        <v>0</v>
      </c>
      <c r="N55" t="n">
        <v>0</v>
      </c>
      <c r="O55" t="n">
        <v>5</v>
      </c>
      <c r="P55" t="n">
        <v>0</v>
      </c>
      <c r="Q55" t="n">
        <v>6</v>
      </c>
      <c r="R55" s="2" t="inlineStr">
        <is>
          <t>Garnlav
Kolflarnlav
Lunglav
Mörk kolflarnlav
Vedskivlav
Korallblylav</t>
        </is>
      </c>
      <c r="S55">
        <f>HYPERLINK("https://klasma.github.io/Logging_2305/artfynd/A 29244-2024 artfynd.xlsx", "A 29244-2024")</f>
        <v/>
      </c>
      <c r="T55">
        <f>HYPERLINK("https://klasma.github.io/Logging_2305/kartor/A 29244-2024 karta.png", "A 29244-2024")</f>
        <v/>
      </c>
      <c r="V55">
        <f>HYPERLINK("https://klasma.github.io/Logging_2305/klagomål/A 29244-2024 FSC-klagomål.docx", "A 29244-2024")</f>
        <v/>
      </c>
      <c r="W55">
        <f>HYPERLINK("https://klasma.github.io/Logging_2305/klagomålsmail/A 29244-2024 FSC-klagomål mail.docx", "A 29244-2024")</f>
        <v/>
      </c>
      <c r="X55">
        <f>HYPERLINK("https://klasma.github.io/Logging_2305/tillsyn/A 29244-2024 tillsynsbegäran.docx", "A 29244-2024")</f>
        <v/>
      </c>
      <c r="Y55">
        <f>HYPERLINK("https://klasma.github.io/Logging_2305/tillsynsmail/A 29244-2024 tillsynsbegäran mail.docx", "A 29244-2024")</f>
        <v/>
      </c>
    </row>
    <row r="56" ht="15" customHeight="1">
      <c r="A56" t="inlineStr">
        <is>
          <t>A 29464-2024</t>
        </is>
      </c>
      <c r="B56" s="1" t="n">
        <v>45484</v>
      </c>
      <c r="C56" s="1" t="n">
        <v>45507</v>
      </c>
      <c r="D56" t="inlineStr">
        <is>
          <t>JÄMTLANDS LÄN</t>
        </is>
      </c>
      <c r="E56" t="inlineStr">
        <is>
          <t>BRÄCKE</t>
        </is>
      </c>
      <c r="F56" t="inlineStr">
        <is>
          <t>SCA</t>
        </is>
      </c>
      <c r="G56" t="n">
        <v>4</v>
      </c>
      <c r="H56" t="n">
        <v>0</v>
      </c>
      <c r="I56" t="n">
        <v>1</v>
      </c>
      <c r="J56" t="n">
        <v>5</v>
      </c>
      <c r="K56" t="n">
        <v>0</v>
      </c>
      <c r="L56" t="n">
        <v>0</v>
      </c>
      <c r="M56" t="n">
        <v>0</v>
      </c>
      <c r="N56" t="n">
        <v>0</v>
      </c>
      <c r="O56" t="n">
        <v>5</v>
      </c>
      <c r="P56" t="n">
        <v>0</v>
      </c>
      <c r="Q56" t="n">
        <v>6</v>
      </c>
      <c r="R56" s="2" t="inlineStr">
        <is>
          <t>Gammelgransskål
Garnlav
Granticka
Kolflarnlav
Lunglav
Stuplav</t>
        </is>
      </c>
      <c r="S56">
        <f>HYPERLINK("https://klasma.github.io/Logging_2305/artfynd/A 29464-2024 artfynd.xlsx", "A 29464-2024")</f>
        <v/>
      </c>
      <c r="T56">
        <f>HYPERLINK("https://klasma.github.io/Logging_2305/kartor/A 29464-2024 karta.png", "A 29464-2024")</f>
        <v/>
      </c>
      <c r="V56">
        <f>HYPERLINK("https://klasma.github.io/Logging_2305/klagomål/A 29464-2024 FSC-klagomål.docx", "A 29464-2024")</f>
        <v/>
      </c>
      <c r="W56">
        <f>HYPERLINK("https://klasma.github.io/Logging_2305/klagomålsmail/A 29464-2024 FSC-klagomål mail.docx", "A 29464-2024")</f>
        <v/>
      </c>
      <c r="X56">
        <f>HYPERLINK("https://klasma.github.io/Logging_2305/tillsyn/A 29464-2024 tillsynsbegäran.docx", "A 29464-2024")</f>
        <v/>
      </c>
      <c r="Y56">
        <f>HYPERLINK("https://klasma.github.io/Logging_2305/tillsynsmail/A 29464-2024 tillsynsbegäran mail.docx", "A 29464-2024")</f>
        <v/>
      </c>
    </row>
    <row r="57" ht="15" customHeight="1">
      <c r="A57" t="inlineStr">
        <is>
          <t>A 56104-2019</t>
        </is>
      </c>
      <c r="B57" s="1" t="n">
        <v>43759</v>
      </c>
      <c r="C57" s="1" t="n">
        <v>45507</v>
      </c>
      <c r="D57" t="inlineStr">
        <is>
          <t>JÄMTLANDS LÄN</t>
        </is>
      </c>
      <c r="E57" t="inlineStr">
        <is>
          <t>BRÄCKE</t>
        </is>
      </c>
      <c r="F57" t="inlineStr">
        <is>
          <t>Kyrkan</t>
        </is>
      </c>
      <c r="G57" t="n">
        <v>17.6</v>
      </c>
      <c r="H57" t="n">
        <v>2</v>
      </c>
      <c r="I57" t="n">
        <v>1</v>
      </c>
      <c r="J57" t="n">
        <v>3</v>
      </c>
      <c r="K57" t="n">
        <v>1</v>
      </c>
      <c r="L57" t="n">
        <v>0</v>
      </c>
      <c r="M57" t="n">
        <v>0</v>
      </c>
      <c r="N57" t="n">
        <v>0</v>
      </c>
      <c r="O57" t="n">
        <v>4</v>
      </c>
      <c r="P57" t="n">
        <v>1</v>
      </c>
      <c r="Q57" t="n">
        <v>5</v>
      </c>
      <c r="R57" s="2" t="inlineStr">
        <is>
          <t>Doftticka
Lunglav
Veckticka
Vedtrappmossa
Tvåblad</t>
        </is>
      </c>
      <c r="S57">
        <f>HYPERLINK("https://klasma.github.io/Logging_2305/artfynd/A 56104-2019 artfynd.xlsx", "A 56104-2019")</f>
        <v/>
      </c>
      <c r="T57">
        <f>HYPERLINK("https://klasma.github.io/Logging_2305/kartor/A 56104-2019 karta.png", "A 56104-2019")</f>
        <v/>
      </c>
      <c r="V57">
        <f>HYPERLINK("https://klasma.github.io/Logging_2305/klagomål/A 56104-2019 FSC-klagomål.docx", "A 56104-2019")</f>
        <v/>
      </c>
      <c r="W57">
        <f>HYPERLINK("https://klasma.github.io/Logging_2305/klagomålsmail/A 56104-2019 FSC-klagomål mail.docx", "A 56104-2019")</f>
        <v/>
      </c>
      <c r="X57">
        <f>HYPERLINK("https://klasma.github.io/Logging_2305/tillsyn/A 56104-2019 tillsynsbegäran.docx", "A 56104-2019")</f>
        <v/>
      </c>
      <c r="Y57">
        <f>HYPERLINK("https://klasma.github.io/Logging_2305/tillsynsmail/A 56104-2019 tillsynsbegäran mail.docx", "A 56104-2019")</f>
        <v/>
      </c>
    </row>
    <row r="58" ht="15" customHeight="1">
      <c r="A58" t="inlineStr">
        <is>
          <t>A 12142-2020</t>
        </is>
      </c>
      <c r="B58" s="1" t="n">
        <v>43895</v>
      </c>
      <c r="C58" s="1" t="n">
        <v>45507</v>
      </c>
      <c r="D58" t="inlineStr">
        <is>
          <t>JÄMTLANDS LÄN</t>
        </is>
      </c>
      <c r="E58" t="inlineStr">
        <is>
          <t>BRÄCKE</t>
        </is>
      </c>
      <c r="G58" t="n">
        <v>3.2</v>
      </c>
      <c r="H58" t="n">
        <v>1</v>
      </c>
      <c r="I58" t="n">
        <v>1</v>
      </c>
      <c r="J58" t="n">
        <v>2</v>
      </c>
      <c r="K58" t="n">
        <v>2</v>
      </c>
      <c r="L58" t="n">
        <v>0</v>
      </c>
      <c r="M58" t="n">
        <v>0</v>
      </c>
      <c r="N58" t="n">
        <v>0</v>
      </c>
      <c r="O58" t="n">
        <v>4</v>
      </c>
      <c r="P58" t="n">
        <v>2</v>
      </c>
      <c r="Q58" t="n">
        <v>5</v>
      </c>
      <c r="R58" s="2" t="inlineStr">
        <is>
          <t>Fläckporing
Knärot
Dvärgbägarlav
Kortskaftad ärgspik
Dvärgtufs</t>
        </is>
      </c>
      <c r="S58">
        <f>HYPERLINK("https://klasma.github.io/Logging_2305/artfynd/A 12142-2020 artfynd.xlsx", "A 12142-2020")</f>
        <v/>
      </c>
      <c r="T58">
        <f>HYPERLINK("https://klasma.github.io/Logging_2305/kartor/A 12142-2020 karta.png", "A 12142-2020")</f>
        <v/>
      </c>
      <c r="U58">
        <f>HYPERLINK("https://klasma.github.io/Logging_2305/knärot/A 12142-2020 karta knärot.png", "A 12142-2020")</f>
        <v/>
      </c>
      <c r="V58">
        <f>HYPERLINK("https://klasma.github.io/Logging_2305/klagomål/A 12142-2020 FSC-klagomål.docx", "A 12142-2020")</f>
        <v/>
      </c>
      <c r="W58">
        <f>HYPERLINK("https://klasma.github.io/Logging_2305/klagomålsmail/A 12142-2020 FSC-klagomål mail.docx", "A 12142-2020")</f>
        <v/>
      </c>
      <c r="X58">
        <f>HYPERLINK("https://klasma.github.io/Logging_2305/tillsyn/A 12142-2020 tillsynsbegäran.docx", "A 12142-2020")</f>
        <v/>
      </c>
      <c r="Y58">
        <f>HYPERLINK("https://klasma.github.io/Logging_2305/tillsynsmail/A 12142-2020 tillsynsbegäran mail.docx", "A 12142-2020")</f>
        <v/>
      </c>
    </row>
    <row r="59" ht="15" customHeight="1">
      <c r="A59" t="inlineStr">
        <is>
          <t>A 41174-2022</t>
        </is>
      </c>
      <c r="B59" s="1" t="n">
        <v>44825</v>
      </c>
      <c r="C59" s="1" t="n">
        <v>45507</v>
      </c>
      <c r="D59" t="inlineStr">
        <is>
          <t>JÄMTLANDS LÄN</t>
        </is>
      </c>
      <c r="E59" t="inlineStr">
        <is>
          <t>BRÄCKE</t>
        </is>
      </c>
      <c r="F59" t="inlineStr">
        <is>
          <t>SCA</t>
        </is>
      </c>
      <c r="G59" t="n">
        <v>16.5</v>
      </c>
      <c r="H59" t="n">
        <v>1</v>
      </c>
      <c r="I59" t="n">
        <v>1</v>
      </c>
      <c r="J59" t="n">
        <v>2</v>
      </c>
      <c r="K59" t="n">
        <v>2</v>
      </c>
      <c r="L59" t="n">
        <v>0</v>
      </c>
      <c r="M59" t="n">
        <v>0</v>
      </c>
      <c r="N59" t="n">
        <v>0</v>
      </c>
      <c r="O59" t="n">
        <v>4</v>
      </c>
      <c r="P59" t="n">
        <v>2</v>
      </c>
      <c r="Q59" t="n">
        <v>5</v>
      </c>
      <c r="R59" s="2" t="inlineStr">
        <is>
          <t>Doftticka
Gräddporing
Lunglav
Skrovellav
Skarp dropptaggsvamp</t>
        </is>
      </c>
      <c r="S59">
        <f>HYPERLINK("https://klasma.github.io/Logging_2305/artfynd/A 41174-2022 artfynd.xlsx", "A 41174-2022")</f>
        <v/>
      </c>
      <c r="T59">
        <f>HYPERLINK("https://klasma.github.io/Logging_2305/kartor/A 41174-2022 karta.png", "A 41174-2022")</f>
        <v/>
      </c>
      <c r="V59">
        <f>HYPERLINK("https://klasma.github.io/Logging_2305/klagomål/A 41174-2022 FSC-klagomål.docx", "A 41174-2022")</f>
        <v/>
      </c>
      <c r="W59">
        <f>HYPERLINK("https://klasma.github.io/Logging_2305/klagomålsmail/A 41174-2022 FSC-klagomål mail.docx", "A 41174-2022")</f>
        <v/>
      </c>
      <c r="X59">
        <f>HYPERLINK("https://klasma.github.io/Logging_2305/tillsyn/A 41174-2022 tillsynsbegäran.docx", "A 41174-2022")</f>
        <v/>
      </c>
      <c r="Y59">
        <f>HYPERLINK("https://klasma.github.io/Logging_2305/tillsynsmail/A 41174-2022 tillsynsbegäran mail.docx", "A 41174-2022")</f>
        <v/>
      </c>
    </row>
    <row r="60" ht="15" customHeight="1">
      <c r="A60" t="inlineStr">
        <is>
          <t>A 58511-2022</t>
        </is>
      </c>
      <c r="B60" s="1" t="n">
        <v>44902</v>
      </c>
      <c r="C60" s="1" t="n">
        <v>45507</v>
      </c>
      <c r="D60" t="inlineStr">
        <is>
          <t>JÄMTLANDS LÄN</t>
        </is>
      </c>
      <c r="E60" t="inlineStr">
        <is>
          <t>BRÄCKE</t>
        </is>
      </c>
      <c r="G60" t="n">
        <v>5.4</v>
      </c>
      <c r="H60" t="n">
        <v>1</v>
      </c>
      <c r="I60" t="n">
        <v>0</v>
      </c>
      <c r="J60" t="n">
        <v>4</v>
      </c>
      <c r="K60" t="n">
        <v>1</v>
      </c>
      <c r="L60" t="n">
        <v>0</v>
      </c>
      <c r="M60" t="n">
        <v>0</v>
      </c>
      <c r="N60" t="n">
        <v>0</v>
      </c>
      <c r="O60" t="n">
        <v>5</v>
      </c>
      <c r="P60" t="n">
        <v>1</v>
      </c>
      <c r="Q60" t="n">
        <v>5</v>
      </c>
      <c r="R60" s="2" t="inlineStr">
        <is>
          <t>Rotfingersvamp
Dvärgbägarlav
Orange taggsvamp
Skrovlig taggsvamp
Talltita</t>
        </is>
      </c>
      <c r="S60">
        <f>HYPERLINK("https://klasma.github.io/Logging_2305/artfynd/A 58511-2022 artfynd.xlsx", "A 58511-2022")</f>
        <v/>
      </c>
      <c r="T60">
        <f>HYPERLINK("https://klasma.github.io/Logging_2305/kartor/A 58511-2022 karta.png", "A 58511-2022")</f>
        <v/>
      </c>
      <c r="V60">
        <f>HYPERLINK("https://klasma.github.io/Logging_2305/klagomål/A 58511-2022 FSC-klagomål.docx", "A 58511-2022")</f>
        <v/>
      </c>
      <c r="W60">
        <f>HYPERLINK("https://klasma.github.io/Logging_2305/klagomålsmail/A 58511-2022 FSC-klagomål mail.docx", "A 58511-2022")</f>
        <v/>
      </c>
      <c r="X60">
        <f>HYPERLINK("https://klasma.github.io/Logging_2305/tillsyn/A 58511-2022 tillsynsbegäran.docx", "A 58511-2022")</f>
        <v/>
      </c>
      <c r="Y60">
        <f>HYPERLINK("https://klasma.github.io/Logging_2305/tillsynsmail/A 58511-2022 tillsynsbegäran mail.docx", "A 58511-2022")</f>
        <v/>
      </c>
      <c r="Z60">
        <f>HYPERLINK("https://klasma.github.io/Logging_2305/fåglar/A 58511-2022 prioriterade fågelarter.docx", "A 58511-2022")</f>
        <v/>
      </c>
    </row>
    <row r="61" ht="15" customHeight="1">
      <c r="A61" t="inlineStr">
        <is>
          <t>A 51425-2023</t>
        </is>
      </c>
      <c r="B61" s="1" t="n">
        <v>45220</v>
      </c>
      <c r="C61" s="1" t="n">
        <v>45507</v>
      </c>
      <c r="D61" t="inlineStr">
        <is>
          <t>JÄMTLANDS LÄN</t>
        </is>
      </c>
      <c r="E61" t="inlineStr">
        <is>
          <t>BRÄCKE</t>
        </is>
      </c>
      <c r="F61" t="inlineStr">
        <is>
          <t>SCA</t>
        </is>
      </c>
      <c r="G61" t="n">
        <v>7.6</v>
      </c>
      <c r="H61" t="n">
        <v>0</v>
      </c>
      <c r="I61" t="n">
        <v>2</v>
      </c>
      <c r="J61" t="n">
        <v>3</v>
      </c>
      <c r="K61" t="n">
        <v>0</v>
      </c>
      <c r="L61" t="n">
        <v>0</v>
      </c>
      <c r="M61" t="n">
        <v>0</v>
      </c>
      <c r="N61" t="n">
        <v>0</v>
      </c>
      <c r="O61" t="n">
        <v>3</v>
      </c>
      <c r="P61" t="n">
        <v>0</v>
      </c>
      <c r="Q61" t="n">
        <v>5</v>
      </c>
      <c r="R61" s="2" t="inlineStr">
        <is>
          <t>Garnlav
Lunglav
Skrovlig taggsvamp
Skinnlav
Stuplav</t>
        </is>
      </c>
      <c r="S61">
        <f>HYPERLINK("https://klasma.github.io/Logging_2305/artfynd/A 51425-2023 artfynd.xlsx", "A 51425-2023")</f>
        <v/>
      </c>
      <c r="T61">
        <f>HYPERLINK("https://klasma.github.io/Logging_2305/kartor/A 51425-2023 karta.png", "A 51425-2023")</f>
        <v/>
      </c>
      <c r="V61">
        <f>HYPERLINK("https://klasma.github.io/Logging_2305/klagomål/A 51425-2023 FSC-klagomål.docx", "A 51425-2023")</f>
        <v/>
      </c>
      <c r="W61">
        <f>HYPERLINK("https://klasma.github.io/Logging_2305/klagomålsmail/A 51425-2023 FSC-klagomål mail.docx", "A 51425-2023")</f>
        <v/>
      </c>
      <c r="X61">
        <f>HYPERLINK("https://klasma.github.io/Logging_2305/tillsyn/A 51425-2023 tillsynsbegäran.docx", "A 51425-2023")</f>
        <v/>
      </c>
      <c r="Y61">
        <f>HYPERLINK("https://klasma.github.io/Logging_2305/tillsynsmail/A 51425-2023 tillsynsbegäran mail.docx", "A 51425-2023")</f>
        <v/>
      </c>
    </row>
    <row r="62" ht="15" customHeight="1">
      <c r="A62" t="inlineStr">
        <is>
          <t>A 54134-2023</t>
        </is>
      </c>
      <c r="B62" s="1" t="n">
        <v>45225</v>
      </c>
      <c r="C62" s="1" t="n">
        <v>45507</v>
      </c>
      <c r="D62" t="inlineStr">
        <is>
          <t>JÄMTLANDS LÄN</t>
        </is>
      </c>
      <c r="E62" t="inlineStr">
        <is>
          <t>BRÄCKE</t>
        </is>
      </c>
      <c r="G62" t="n">
        <v>4.4</v>
      </c>
      <c r="H62" t="n">
        <v>1</v>
      </c>
      <c r="I62" t="n">
        <v>2</v>
      </c>
      <c r="J62" t="n">
        <v>2</v>
      </c>
      <c r="K62" t="n">
        <v>0</v>
      </c>
      <c r="L62" t="n">
        <v>0</v>
      </c>
      <c r="M62" t="n">
        <v>0</v>
      </c>
      <c r="N62" t="n">
        <v>0</v>
      </c>
      <c r="O62" t="n">
        <v>2</v>
      </c>
      <c r="P62" t="n">
        <v>0</v>
      </c>
      <c r="Q62" t="n">
        <v>5</v>
      </c>
      <c r="R62" s="2" t="inlineStr">
        <is>
          <t>Garnlav
Lunglav
Vårärt
Ögonpyrola
Blåsippa</t>
        </is>
      </c>
      <c r="S62">
        <f>HYPERLINK("https://klasma.github.io/Logging_2305/artfynd/A 54134-2023 artfynd.xlsx", "A 54134-2023")</f>
        <v/>
      </c>
      <c r="T62">
        <f>HYPERLINK("https://klasma.github.io/Logging_2305/kartor/A 54134-2023 karta.png", "A 54134-2023")</f>
        <v/>
      </c>
      <c r="V62">
        <f>HYPERLINK("https://klasma.github.io/Logging_2305/klagomål/A 54134-2023 FSC-klagomål.docx", "A 54134-2023")</f>
        <v/>
      </c>
      <c r="W62">
        <f>HYPERLINK("https://klasma.github.io/Logging_2305/klagomålsmail/A 54134-2023 FSC-klagomål mail.docx", "A 54134-2023")</f>
        <v/>
      </c>
      <c r="X62">
        <f>HYPERLINK("https://klasma.github.io/Logging_2305/tillsyn/A 54134-2023 tillsynsbegäran.docx", "A 54134-2023")</f>
        <v/>
      </c>
      <c r="Y62">
        <f>HYPERLINK("https://klasma.github.io/Logging_2305/tillsynsmail/A 54134-2023 tillsynsbegäran mail.docx", "A 54134-2023")</f>
        <v/>
      </c>
    </row>
    <row r="63" ht="15" customHeight="1">
      <c r="A63" t="inlineStr">
        <is>
          <t>A 62113-2023</t>
        </is>
      </c>
      <c r="B63" s="1" t="n">
        <v>45266</v>
      </c>
      <c r="C63" s="1" t="n">
        <v>45507</v>
      </c>
      <c r="D63" t="inlineStr">
        <is>
          <t>JÄMTLANDS LÄN</t>
        </is>
      </c>
      <c r="E63" t="inlineStr">
        <is>
          <t>BRÄCKE</t>
        </is>
      </c>
      <c r="F63" t="inlineStr">
        <is>
          <t>Naturvårdsverket</t>
        </is>
      </c>
      <c r="G63" t="n">
        <v>4.5</v>
      </c>
      <c r="H63" t="n">
        <v>0</v>
      </c>
      <c r="I63" t="n">
        <v>1</v>
      </c>
      <c r="J63" t="n">
        <v>3</v>
      </c>
      <c r="K63" t="n">
        <v>1</v>
      </c>
      <c r="L63" t="n">
        <v>0</v>
      </c>
      <c r="M63" t="n">
        <v>0</v>
      </c>
      <c r="N63" t="n">
        <v>0</v>
      </c>
      <c r="O63" t="n">
        <v>4</v>
      </c>
      <c r="P63" t="n">
        <v>1</v>
      </c>
      <c r="Q63" t="n">
        <v>5</v>
      </c>
      <c r="R63" s="2" t="inlineStr">
        <is>
          <t>Smalfotad taggsvamp
Blå taggsvamp
Orange taggsvamp
Skrovlig 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23729-2024</t>
        </is>
      </c>
      <c r="B64" s="1" t="n">
        <v>45455</v>
      </c>
      <c r="C64" s="1" t="n">
        <v>45507</v>
      </c>
      <c r="D64" t="inlineStr">
        <is>
          <t>JÄMTLANDS LÄN</t>
        </is>
      </c>
      <c r="E64" t="inlineStr">
        <is>
          <t>BRÄCKE</t>
        </is>
      </c>
      <c r="F64" t="inlineStr">
        <is>
          <t>SCA</t>
        </is>
      </c>
      <c r="G64" t="n">
        <v>7.6</v>
      </c>
      <c r="H64" t="n">
        <v>1</v>
      </c>
      <c r="I64" t="n">
        <v>2</v>
      </c>
      <c r="J64" t="n">
        <v>2</v>
      </c>
      <c r="K64" t="n">
        <v>1</v>
      </c>
      <c r="L64" t="n">
        <v>0</v>
      </c>
      <c r="M64" t="n">
        <v>0</v>
      </c>
      <c r="N64" t="n">
        <v>0</v>
      </c>
      <c r="O64" t="n">
        <v>3</v>
      </c>
      <c r="P64" t="n">
        <v>1</v>
      </c>
      <c r="Q64" t="n">
        <v>5</v>
      </c>
      <c r="R64" s="2" t="inlineStr">
        <is>
          <t>Doftticka
Blanksvart spiklav
Kolflarnlav
Bårdlav
Stuplav</t>
        </is>
      </c>
      <c r="S64">
        <f>HYPERLINK("https://klasma.github.io/Logging_2305/artfynd/A 23729-2024 artfynd.xlsx", "A 23729-2024")</f>
        <v/>
      </c>
      <c r="T64">
        <f>HYPERLINK("https://klasma.github.io/Logging_2305/kartor/A 23729-2024 karta.png", "A 23729-2024")</f>
        <v/>
      </c>
      <c r="V64">
        <f>HYPERLINK("https://klasma.github.io/Logging_2305/klagomål/A 23729-2024 FSC-klagomål.docx", "A 23729-2024")</f>
        <v/>
      </c>
      <c r="W64">
        <f>HYPERLINK("https://klasma.github.io/Logging_2305/klagomålsmail/A 23729-2024 FSC-klagomål mail.docx", "A 23729-2024")</f>
        <v/>
      </c>
      <c r="X64">
        <f>HYPERLINK("https://klasma.github.io/Logging_2305/tillsyn/A 23729-2024 tillsynsbegäran.docx", "A 23729-2024")</f>
        <v/>
      </c>
      <c r="Y64">
        <f>HYPERLINK("https://klasma.github.io/Logging_2305/tillsynsmail/A 23729-2024 tillsynsbegäran mail.docx", "A 23729-2024")</f>
        <v/>
      </c>
    </row>
    <row r="65" ht="15" customHeight="1">
      <c r="A65" t="inlineStr">
        <is>
          <t>A 42079-2019</t>
        </is>
      </c>
      <c r="B65" s="1" t="n">
        <v>43700</v>
      </c>
      <c r="C65" s="1" t="n">
        <v>45507</v>
      </c>
      <c r="D65" t="inlineStr">
        <is>
          <t>JÄMTLANDS LÄN</t>
        </is>
      </c>
      <c r="E65" t="inlineStr">
        <is>
          <t>BRÄCKE</t>
        </is>
      </c>
      <c r="F65" t="inlineStr">
        <is>
          <t>SCA</t>
        </is>
      </c>
      <c r="G65" t="n">
        <v>6.3</v>
      </c>
      <c r="H65" t="n">
        <v>1</v>
      </c>
      <c r="I65" t="n">
        <v>1</v>
      </c>
      <c r="J65" t="n">
        <v>3</v>
      </c>
      <c r="K65" t="n">
        <v>0</v>
      </c>
      <c r="L65" t="n">
        <v>0</v>
      </c>
      <c r="M65" t="n">
        <v>0</v>
      </c>
      <c r="N65" t="n">
        <v>0</v>
      </c>
      <c r="O65" t="n">
        <v>3</v>
      </c>
      <c r="P65" t="n">
        <v>0</v>
      </c>
      <c r="Q65" t="n">
        <v>4</v>
      </c>
      <c r="R65" s="2" t="inlineStr">
        <is>
          <t>Garnlav
Lunglav
Tretåig hackspett
Korallblylav</t>
        </is>
      </c>
      <c r="S65">
        <f>HYPERLINK("https://klasma.github.io/Logging_2305/artfynd/A 42079-2019 artfynd.xlsx", "A 42079-2019")</f>
        <v/>
      </c>
      <c r="T65">
        <f>HYPERLINK("https://klasma.github.io/Logging_2305/kartor/A 42079-2019 karta.png", "A 42079-2019")</f>
        <v/>
      </c>
      <c r="V65">
        <f>HYPERLINK("https://klasma.github.io/Logging_2305/klagomål/A 42079-2019 FSC-klagomål.docx", "A 42079-2019")</f>
        <v/>
      </c>
      <c r="W65">
        <f>HYPERLINK("https://klasma.github.io/Logging_2305/klagomålsmail/A 42079-2019 FSC-klagomål mail.docx", "A 42079-2019")</f>
        <v/>
      </c>
      <c r="X65">
        <f>HYPERLINK("https://klasma.github.io/Logging_2305/tillsyn/A 42079-2019 tillsynsbegäran.docx", "A 42079-2019")</f>
        <v/>
      </c>
      <c r="Y65">
        <f>HYPERLINK("https://klasma.github.io/Logging_2305/tillsynsmail/A 42079-2019 tillsynsbegäran mail.docx", "A 42079-2019")</f>
        <v/>
      </c>
      <c r="Z65">
        <f>HYPERLINK("https://klasma.github.io/Logging_2305/fåglar/A 42079-2019 prioriterade fågelarter.docx", "A 42079-2019")</f>
        <v/>
      </c>
    </row>
    <row r="66" ht="15" customHeight="1">
      <c r="A66" t="inlineStr">
        <is>
          <t>A 24547-2020</t>
        </is>
      </c>
      <c r="B66" s="1" t="n">
        <v>43977</v>
      </c>
      <c r="C66" s="1" t="n">
        <v>45507</v>
      </c>
      <c r="D66" t="inlineStr">
        <is>
          <t>JÄMTLANDS LÄN</t>
        </is>
      </c>
      <c r="E66" t="inlineStr">
        <is>
          <t>BRÄCKE</t>
        </is>
      </c>
      <c r="G66" t="n">
        <v>5.2</v>
      </c>
      <c r="H66" t="n">
        <v>3</v>
      </c>
      <c r="I66" t="n">
        <v>1</v>
      </c>
      <c r="J66" t="n">
        <v>2</v>
      </c>
      <c r="K66" t="n">
        <v>1</v>
      </c>
      <c r="L66" t="n">
        <v>0</v>
      </c>
      <c r="M66" t="n">
        <v>0</v>
      </c>
      <c r="N66" t="n">
        <v>0</v>
      </c>
      <c r="O66" t="n">
        <v>3</v>
      </c>
      <c r="P66" t="n">
        <v>1</v>
      </c>
      <c r="Q66" t="n">
        <v>4</v>
      </c>
      <c r="R66" s="2" t="inlineStr">
        <is>
          <t>Knärot
Lunglav
Spillkråka
Korallrot</t>
        </is>
      </c>
      <c r="S66">
        <f>HYPERLINK("https://klasma.github.io/Logging_2305/artfynd/A 24547-2020 artfynd.xlsx", "A 24547-2020")</f>
        <v/>
      </c>
      <c r="T66">
        <f>HYPERLINK("https://klasma.github.io/Logging_2305/kartor/A 24547-2020 karta.png", "A 24547-2020")</f>
        <v/>
      </c>
      <c r="U66">
        <f>HYPERLINK("https://klasma.github.io/Logging_2305/knärot/A 24547-2020 karta knärot.png", "A 24547-2020")</f>
        <v/>
      </c>
      <c r="V66">
        <f>HYPERLINK("https://klasma.github.io/Logging_2305/klagomål/A 24547-2020 FSC-klagomål.docx", "A 24547-2020")</f>
        <v/>
      </c>
      <c r="W66">
        <f>HYPERLINK("https://klasma.github.io/Logging_2305/klagomålsmail/A 24547-2020 FSC-klagomål mail.docx", "A 24547-2020")</f>
        <v/>
      </c>
      <c r="X66">
        <f>HYPERLINK("https://klasma.github.io/Logging_2305/tillsyn/A 24547-2020 tillsynsbegäran.docx", "A 24547-2020")</f>
        <v/>
      </c>
      <c r="Y66">
        <f>HYPERLINK("https://klasma.github.io/Logging_2305/tillsynsmail/A 24547-2020 tillsynsbegäran mail.docx", "A 24547-2020")</f>
        <v/>
      </c>
      <c r="Z66">
        <f>HYPERLINK("https://klasma.github.io/Logging_2305/fåglar/A 24547-2020 prioriterade fågelarter.docx", "A 24547-2020")</f>
        <v/>
      </c>
    </row>
    <row r="67" ht="15" customHeight="1">
      <c r="A67" t="inlineStr">
        <is>
          <t>A 24562-2020</t>
        </is>
      </c>
      <c r="B67" s="1" t="n">
        <v>43977</v>
      </c>
      <c r="C67" s="1" t="n">
        <v>45507</v>
      </c>
      <c r="D67" t="inlineStr">
        <is>
          <t>JÄMTLANDS LÄN</t>
        </is>
      </c>
      <c r="E67" t="inlineStr">
        <is>
          <t>BRÄCKE</t>
        </is>
      </c>
      <c r="G67" t="n">
        <v>14.6</v>
      </c>
      <c r="H67" t="n">
        <v>1</v>
      </c>
      <c r="I67" t="n">
        <v>1</v>
      </c>
      <c r="J67" t="n">
        <v>2</v>
      </c>
      <c r="K67" t="n">
        <v>1</v>
      </c>
      <c r="L67" t="n">
        <v>0</v>
      </c>
      <c r="M67" t="n">
        <v>0</v>
      </c>
      <c r="N67" t="n">
        <v>0</v>
      </c>
      <c r="O67" t="n">
        <v>3</v>
      </c>
      <c r="P67" t="n">
        <v>1</v>
      </c>
      <c r="Q67" t="n">
        <v>4</v>
      </c>
      <c r="R67" s="2" t="inlineStr">
        <is>
          <t>Knärot
Lunglav
Ullticka
Stuplav</t>
        </is>
      </c>
      <c r="S67">
        <f>HYPERLINK("https://klasma.github.io/Logging_2305/artfynd/A 24562-2020 artfynd.xlsx", "A 24562-2020")</f>
        <v/>
      </c>
      <c r="T67">
        <f>HYPERLINK("https://klasma.github.io/Logging_2305/kartor/A 24562-2020 karta.png", "A 24562-2020")</f>
        <v/>
      </c>
      <c r="U67">
        <f>HYPERLINK("https://klasma.github.io/Logging_2305/knärot/A 24562-2020 karta knärot.png", "A 24562-2020")</f>
        <v/>
      </c>
      <c r="V67">
        <f>HYPERLINK("https://klasma.github.io/Logging_2305/klagomål/A 24562-2020 FSC-klagomål.docx", "A 24562-2020")</f>
        <v/>
      </c>
      <c r="W67">
        <f>HYPERLINK("https://klasma.github.io/Logging_2305/klagomålsmail/A 24562-2020 FSC-klagomål mail.docx", "A 24562-2020")</f>
        <v/>
      </c>
      <c r="X67">
        <f>HYPERLINK("https://klasma.github.io/Logging_2305/tillsyn/A 24562-2020 tillsynsbegäran.docx", "A 24562-2020")</f>
        <v/>
      </c>
      <c r="Y67">
        <f>HYPERLINK("https://klasma.github.io/Logging_2305/tillsynsmail/A 24562-2020 tillsynsbegäran mail.docx", "A 24562-2020")</f>
        <v/>
      </c>
    </row>
    <row r="68" ht="15" customHeight="1">
      <c r="A68" t="inlineStr">
        <is>
          <t>A 39056-2020</t>
        </is>
      </c>
      <c r="B68" s="1" t="n">
        <v>44062</v>
      </c>
      <c r="C68" s="1" t="n">
        <v>45507</v>
      </c>
      <c r="D68" t="inlineStr">
        <is>
          <t>JÄMTLANDS LÄN</t>
        </is>
      </c>
      <c r="E68" t="inlineStr">
        <is>
          <t>BRÄCKE</t>
        </is>
      </c>
      <c r="F68" t="inlineStr">
        <is>
          <t>SCA</t>
        </is>
      </c>
      <c r="G68" t="n">
        <v>3.3</v>
      </c>
      <c r="H68" t="n">
        <v>1</v>
      </c>
      <c r="I68" t="n">
        <v>0</v>
      </c>
      <c r="J68" t="n">
        <v>4</v>
      </c>
      <c r="K68" t="n">
        <v>0</v>
      </c>
      <c r="L68" t="n">
        <v>0</v>
      </c>
      <c r="M68" t="n">
        <v>0</v>
      </c>
      <c r="N68" t="n">
        <v>0</v>
      </c>
      <c r="O68" t="n">
        <v>4</v>
      </c>
      <c r="P68" t="n">
        <v>0</v>
      </c>
      <c r="Q68" t="n">
        <v>4</v>
      </c>
      <c r="R68" s="2" t="inlineStr">
        <is>
          <t>Blå taggsvamp
Garnlav
Kolflarnlav
Tretåig hackspett</t>
        </is>
      </c>
      <c r="S68">
        <f>HYPERLINK("https://klasma.github.io/Logging_2305/artfynd/A 39056-2020 artfynd.xlsx", "A 39056-2020")</f>
        <v/>
      </c>
      <c r="T68">
        <f>HYPERLINK("https://klasma.github.io/Logging_2305/kartor/A 39056-2020 karta.png", "A 39056-2020")</f>
        <v/>
      </c>
      <c r="V68">
        <f>HYPERLINK("https://klasma.github.io/Logging_2305/klagomål/A 39056-2020 FSC-klagomål.docx", "A 39056-2020")</f>
        <v/>
      </c>
      <c r="W68">
        <f>HYPERLINK("https://klasma.github.io/Logging_2305/klagomålsmail/A 39056-2020 FSC-klagomål mail.docx", "A 39056-2020")</f>
        <v/>
      </c>
      <c r="X68">
        <f>HYPERLINK("https://klasma.github.io/Logging_2305/tillsyn/A 39056-2020 tillsynsbegäran.docx", "A 39056-2020")</f>
        <v/>
      </c>
      <c r="Y68">
        <f>HYPERLINK("https://klasma.github.io/Logging_2305/tillsynsmail/A 39056-2020 tillsynsbegäran mail.docx", "A 39056-2020")</f>
        <v/>
      </c>
      <c r="Z68">
        <f>HYPERLINK("https://klasma.github.io/Logging_2305/fåglar/A 39056-2020 prioriterade fågelarter.docx", "A 39056-2020")</f>
        <v/>
      </c>
    </row>
    <row r="69" ht="15" customHeight="1">
      <c r="A69" t="inlineStr">
        <is>
          <t>A 26672-2021</t>
        </is>
      </c>
      <c r="B69" s="1" t="n">
        <v>44348</v>
      </c>
      <c r="C69" s="1" t="n">
        <v>45507</v>
      </c>
      <c r="D69" t="inlineStr">
        <is>
          <t>JÄMTLANDS LÄN</t>
        </is>
      </c>
      <c r="E69" t="inlineStr">
        <is>
          <t>BRÄCKE</t>
        </is>
      </c>
      <c r="F69" t="inlineStr">
        <is>
          <t>SCA</t>
        </is>
      </c>
      <c r="G69" t="n">
        <v>9.4</v>
      </c>
      <c r="H69" t="n">
        <v>1</v>
      </c>
      <c r="I69" t="n">
        <v>1</v>
      </c>
      <c r="J69" t="n">
        <v>2</v>
      </c>
      <c r="K69" t="n">
        <v>0</v>
      </c>
      <c r="L69" t="n">
        <v>0</v>
      </c>
      <c r="M69" t="n">
        <v>0</v>
      </c>
      <c r="N69" t="n">
        <v>0</v>
      </c>
      <c r="O69" t="n">
        <v>2</v>
      </c>
      <c r="P69" t="n">
        <v>0</v>
      </c>
      <c r="Q69" t="n">
        <v>4</v>
      </c>
      <c r="R69" s="2" t="inlineStr">
        <is>
          <t>Lunglav
Vedtrappmossa
Stuplav
Revlummer</t>
        </is>
      </c>
      <c r="S69">
        <f>HYPERLINK("https://klasma.github.io/Logging_2305/artfynd/A 26672-2021 artfynd.xlsx", "A 26672-2021")</f>
        <v/>
      </c>
      <c r="T69">
        <f>HYPERLINK("https://klasma.github.io/Logging_2305/kartor/A 26672-2021 karta.png", "A 26672-2021")</f>
        <v/>
      </c>
      <c r="V69">
        <f>HYPERLINK("https://klasma.github.io/Logging_2305/klagomål/A 26672-2021 FSC-klagomål.docx", "A 26672-2021")</f>
        <v/>
      </c>
      <c r="W69">
        <f>HYPERLINK("https://klasma.github.io/Logging_2305/klagomålsmail/A 26672-2021 FSC-klagomål mail.docx", "A 26672-2021")</f>
        <v/>
      </c>
      <c r="X69">
        <f>HYPERLINK("https://klasma.github.io/Logging_2305/tillsyn/A 26672-2021 tillsynsbegäran.docx", "A 26672-2021")</f>
        <v/>
      </c>
      <c r="Y69">
        <f>HYPERLINK("https://klasma.github.io/Logging_2305/tillsynsmail/A 26672-2021 tillsynsbegäran mail.docx", "A 26672-2021")</f>
        <v/>
      </c>
    </row>
    <row r="70" ht="15" customHeight="1">
      <c r="A70" t="inlineStr">
        <is>
          <t>A 36820-2021</t>
        </is>
      </c>
      <c r="B70" s="1" t="n">
        <v>44392</v>
      </c>
      <c r="C70" s="1" t="n">
        <v>45507</v>
      </c>
      <c r="D70" t="inlineStr">
        <is>
          <t>JÄMTLANDS LÄN</t>
        </is>
      </c>
      <c r="E70" t="inlineStr">
        <is>
          <t>BRÄCKE</t>
        </is>
      </c>
      <c r="F70" t="inlineStr">
        <is>
          <t>SCA</t>
        </is>
      </c>
      <c r="G70" t="n">
        <v>2.4</v>
      </c>
      <c r="H70" t="n">
        <v>1</v>
      </c>
      <c r="I70" t="n">
        <v>0</v>
      </c>
      <c r="J70" t="n">
        <v>3</v>
      </c>
      <c r="K70" t="n">
        <v>1</v>
      </c>
      <c r="L70" t="n">
        <v>0</v>
      </c>
      <c r="M70" t="n">
        <v>0</v>
      </c>
      <c r="N70" t="n">
        <v>0</v>
      </c>
      <c r="O70" t="n">
        <v>4</v>
      </c>
      <c r="P70" t="n">
        <v>1</v>
      </c>
      <c r="Q70" t="n">
        <v>4</v>
      </c>
      <c r="R70" s="2" t="inlineStr">
        <is>
          <t>Knärot
Lunglav
Skrovellav
Vitgrynig nållav</t>
        </is>
      </c>
      <c r="S70">
        <f>HYPERLINK("https://klasma.github.io/Logging_2305/artfynd/A 36820-2021 artfynd.xlsx", "A 36820-2021")</f>
        <v/>
      </c>
      <c r="T70">
        <f>HYPERLINK("https://klasma.github.io/Logging_2305/kartor/A 36820-2021 karta.png", "A 36820-2021")</f>
        <v/>
      </c>
      <c r="U70">
        <f>HYPERLINK("https://klasma.github.io/Logging_2305/knärot/A 36820-2021 karta knärot.png", "A 36820-2021")</f>
        <v/>
      </c>
      <c r="V70">
        <f>HYPERLINK("https://klasma.github.io/Logging_2305/klagomål/A 36820-2021 FSC-klagomål.docx", "A 36820-2021")</f>
        <v/>
      </c>
      <c r="W70">
        <f>HYPERLINK("https://klasma.github.io/Logging_2305/klagomålsmail/A 36820-2021 FSC-klagomål mail.docx", "A 36820-2021")</f>
        <v/>
      </c>
      <c r="X70">
        <f>HYPERLINK("https://klasma.github.io/Logging_2305/tillsyn/A 36820-2021 tillsynsbegäran.docx", "A 36820-2021")</f>
        <v/>
      </c>
      <c r="Y70">
        <f>HYPERLINK("https://klasma.github.io/Logging_2305/tillsynsmail/A 36820-2021 tillsynsbegäran mail.docx", "A 36820-2021")</f>
        <v/>
      </c>
    </row>
    <row r="71" ht="15" customHeight="1">
      <c r="A71" t="inlineStr">
        <is>
          <t>A 37958-2021</t>
        </is>
      </c>
      <c r="B71" s="1" t="n">
        <v>44403</v>
      </c>
      <c r="C71" s="1" t="n">
        <v>45507</v>
      </c>
      <c r="D71" t="inlineStr">
        <is>
          <t>JÄMTLANDS LÄN</t>
        </is>
      </c>
      <c r="E71" t="inlineStr">
        <is>
          <t>BRÄCKE</t>
        </is>
      </c>
      <c r="F71" t="inlineStr">
        <is>
          <t>SCA</t>
        </is>
      </c>
      <c r="G71" t="n">
        <v>3.5</v>
      </c>
      <c r="H71" t="n">
        <v>0</v>
      </c>
      <c r="I71" t="n">
        <v>0</v>
      </c>
      <c r="J71" t="n">
        <v>4</v>
      </c>
      <c r="K71" t="n">
        <v>0</v>
      </c>
      <c r="L71" t="n">
        <v>0</v>
      </c>
      <c r="M71" t="n">
        <v>0</v>
      </c>
      <c r="N71" t="n">
        <v>0</v>
      </c>
      <c r="O71" t="n">
        <v>4</v>
      </c>
      <c r="P71" t="n">
        <v>0</v>
      </c>
      <c r="Q71" t="n">
        <v>4</v>
      </c>
      <c r="R71" s="2" t="inlineStr">
        <is>
          <t>Dvärgbägarlav
Kolflarnlav
Lunglav
Vedtrappmossa</t>
        </is>
      </c>
      <c r="S71">
        <f>HYPERLINK("https://klasma.github.io/Logging_2305/artfynd/A 37958-2021 artfynd.xlsx", "A 37958-2021")</f>
        <v/>
      </c>
      <c r="T71">
        <f>HYPERLINK("https://klasma.github.io/Logging_2305/kartor/A 37958-2021 karta.png", "A 37958-2021")</f>
        <v/>
      </c>
      <c r="V71">
        <f>HYPERLINK("https://klasma.github.io/Logging_2305/klagomål/A 37958-2021 FSC-klagomål.docx", "A 37958-2021")</f>
        <v/>
      </c>
      <c r="W71">
        <f>HYPERLINK("https://klasma.github.io/Logging_2305/klagomålsmail/A 37958-2021 FSC-klagomål mail.docx", "A 37958-2021")</f>
        <v/>
      </c>
      <c r="X71">
        <f>HYPERLINK("https://klasma.github.io/Logging_2305/tillsyn/A 37958-2021 tillsynsbegäran.docx", "A 37958-2021")</f>
        <v/>
      </c>
      <c r="Y71">
        <f>HYPERLINK("https://klasma.github.io/Logging_2305/tillsynsmail/A 37958-2021 tillsynsbegäran mail.docx", "A 37958-2021")</f>
        <v/>
      </c>
    </row>
    <row r="72" ht="15" customHeight="1">
      <c r="A72" t="inlineStr">
        <is>
          <t>A 33928-2022</t>
        </is>
      </c>
      <c r="B72" s="1" t="n">
        <v>44790</v>
      </c>
      <c r="C72" s="1" t="n">
        <v>45507</v>
      </c>
      <c r="D72" t="inlineStr">
        <is>
          <t>JÄMTLANDS LÄN</t>
        </is>
      </c>
      <c r="E72" t="inlineStr">
        <is>
          <t>BRÄCKE</t>
        </is>
      </c>
      <c r="G72" t="n">
        <v>5.3</v>
      </c>
      <c r="H72" t="n">
        <v>3</v>
      </c>
      <c r="I72" t="n">
        <v>3</v>
      </c>
      <c r="J72" t="n">
        <v>0</v>
      </c>
      <c r="K72" t="n">
        <v>0</v>
      </c>
      <c r="L72" t="n">
        <v>0</v>
      </c>
      <c r="M72" t="n">
        <v>0</v>
      </c>
      <c r="N72" t="n">
        <v>0</v>
      </c>
      <c r="O72" t="n">
        <v>0</v>
      </c>
      <c r="P72" t="n">
        <v>0</v>
      </c>
      <c r="Q72" t="n">
        <v>4</v>
      </c>
      <c r="R72" s="2" t="inlineStr">
        <is>
          <t>Gräsull
Korallrot
Tvåblad
Dactylorhiza incarnata subsp. incarnata</t>
        </is>
      </c>
      <c r="S72">
        <f>HYPERLINK("https://klasma.github.io/Logging_2305/artfynd/A 33928-2022 artfynd.xlsx", "A 33928-2022")</f>
        <v/>
      </c>
      <c r="T72">
        <f>HYPERLINK("https://klasma.github.io/Logging_2305/kartor/A 33928-2022 karta.png", "A 33928-2022")</f>
        <v/>
      </c>
      <c r="V72">
        <f>HYPERLINK("https://klasma.github.io/Logging_2305/klagomål/A 33928-2022 FSC-klagomål.docx", "A 33928-2022")</f>
        <v/>
      </c>
      <c r="W72">
        <f>HYPERLINK("https://klasma.github.io/Logging_2305/klagomålsmail/A 33928-2022 FSC-klagomål mail.docx", "A 33928-2022")</f>
        <v/>
      </c>
      <c r="X72">
        <f>HYPERLINK("https://klasma.github.io/Logging_2305/tillsyn/A 33928-2022 tillsynsbegäran.docx", "A 33928-2022")</f>
        <v/>
      </c>
      <c r="Y72">
        <f>HYPERLINK("https://klasma.github.io/Logging_2305/tillsynsmail/A 33928-2022 tillsynsbegäran mail.docx", "A 33928-2022")</f>
        <v/>
      </c>
    </row>
    <row r="73" ht="15" customHeight="1">
      <c r="A73" t="inlineStr">
        <is>
          <t>A 40400-2023</t>
        </is>
      </c>
      <c r="B73" s="1" t="n">
        <v>45169</v>
      </c>
      <c r="C73" s="1" t="n">
        <v>45507</v>
      </c>
      <c r="D73" t="inlineStr">
        <is>
          <t>JÄMTLANDS LÄN</t>
        </is>
      </c>
      <c r="E73" t="inlineStr">
        <is>
          <t>BRÄCKE</t>
        </is>
      </c>
      <c r="F73" t="inlineStr">
        <is>
          <t>SCA</t>
        </is>
      </c>
      <c r="G73" t="n">
        <v>4.5</v>
      </c>
      <c r="H73" t="n">
        <v>0</v>
      </c>
      <c r="I73" t="n">
        <v>0</v>
      </c>
      <c r="J73" t="n">
        <v>2</v>
      </c>
      <c r="K73" t="n">
        <v>2</v>
      </c>
      <c r="L73" t="n">
        <v>0</v>
      </c>
      <c r="M73" t="n">
        <v>0</v>
      </c>
      <c r="N73" t="n">
        <v>0</v>
      </c>
      <c r="O73" t="n">
        <v>4</v>
      </c>
      <c r="P73" t="n">
        <v>2</v>
      </c>
      <c r="Q73" t="n">
        <v>4</v>
      </c>
      <c r="R73" s="2" t="inlineStr">
        <is>
          <t>Gräddporing
Ulltickeporing
Kolflarnlav
Ullticka</t>
        </is>
      </c>
      <c r="S73">
        <f>HYPERLINK("https://klasma.github.io/Logging_2305/artfynd/A 40400-2023 artfynd.xlsx", "A 40400-2023")</f>
        <v/>
      </c>
      <c r="T73">
        <f>HYPERLINK("https://klasma.github.io/Logging_2305/kartor/A 40400-2023 karta.png", "A 40400-2023")</f>
        <v/>
      </c>
      <c r="V73">
        <f>HYPERLINK("https://klasma.github.io/Logging_2305/klagomål/A 40400-2023 FSC-klagomål.docx", "A 40400-2023")</f>
        <v/>
      </c>
      <c r="W73">
        <f>HYPERLINK("https://klasma.github.io/Logging_2305/klagomålsmail/A 40400-2023 FSC-klagomål mail.docx", "A 40400-2023")</f>
        <v/>
      </c>
      <c r="X73">
        <f>HYPERLINK("https://klasma.github.io/Logging_2305/tillsyn/A 40400-2023 tillsynsbegäran.docx", "A 40400-2023")</f>
        <v/>
      </c>
      <c r="Y73">
        <f>HYPERLINK("https://klasma.github.io/Logging_2305/tillsynsmail/A 40400-2023 tillsynsbegäran mail.docx", "A 40400-2023")</f>
        <v/>
      </c>
    </row>
    <row r="74" ht="15" customHeight="1">
      <c r="A74" t="inlineStr">
        <is>
          <t>A 43415-2023</t>
        </is>
      </c>
      <c r="B74" s="1" t="n">
        <v>45183</v>
      </c>
      <c r="C74" s="1" t="n">
        <v>45507</v>
      </c>
      <c r="D74" t="inlineStr">
        <is>
          <t>JÄMTLANDS LÄN</t>
        </is>
      </c>
      <c r="E74" t="inlineStr">
        <is>
          <t>BRÄCKE</t>
        </is>
      </c>
      <c r="F74" t="inlineStr">
        <is>
          <t>Naturvårdsverket</t>
        </is>
      </c>
      <c r="G74" t="n">
        <v>27</v>
      </c>
      <c r="H74" t="n">
        <v>1</v>
      </c>
      <c r="I74" t="n">
        <v>0</v>
      </c>
      <c r="J74" t="n">
        <v>3</v>
      </c>
      <c r="K74" t="n">
        <v>1</v>
      </c>
      <c r="L74" t="n">
        <v>0</v>
      </c>
      <c r="M74" t="n">
        <v>0</v>
      </c>
      <c r="N74" t="n">
        <v>0</v>
      </c>
      <c r="O74" t="n">
        <v>4</v>
      </c>
      <c r="P74" t="n">
        <v>1</v>
      </c>
      <c r="Q74" t="n">
        <v>4</v>
      </c>
      <c r="R74" s="2" t="inlineStr">
        <is>
          <t>Doftticka
Lunglav
Ullticka
Vedtrappmossa</t>
        </is>
      </c>
      <c r="S74">
        <f>HYPERLINK("https://klasma.github.io/Logging_2305/artfynd/A 43415-2023 artfynd.xlsx", "A 43415-2023")</f>
        <v/>
      </c>
      <c r="T74">
        <f>HYPERLINK("https://klasma.github.io/Logging_2305/kartor/A 43415-2023 karta.png", "A 43415-2023")</f>
        <v/>
      </c>
      <c r="V74">
        <f>HYPERLINK("https://klasma.github.io/Logging_2305/klagomål/A 43415-2023 FSC-klagomål.docx", "A 43415-2023")</f>
        <v/>
      </c>
      <c r="W74">
        <f>HYPERLINK("https://klasma.github.io/Logging_2305/klagomålsmail/A 43415-2023 FSC-klagomål mail.docx", "A 43415-2023")</f>
        <v/>
      </c>
      <c r="X74">
        <f>HYPERLINK("https://klasma.github.io/Logging_2305/tillsyn/A 43415-2023 tillsynsbegäran.docx", "A 43415-2023")</f>
        <v/>
      </c>
      <c r="Y74">
        <f>HYPERLINK("https://klasma.github.io/Logging_2305/tillsynsmail/A 43415-2023 tillsynsbegäran mail.docx", "A 43415-2023")</f>
        <v/>
      </c>
    </row>
    <row r="75" ht="15" customHeight="1">
      <c r="A75" t="inlineStr">
        <is>
          <t>A 43620-2023</t>
        </is>
      </c>
      <c r="B75" s="1" t="n">
        <v>45184</v>
      </c>
      <c r="C75" s="1" t="n">
        <v>45507</v>
      </c>
      <c r="D75" t="inlineStr">
        <is>
          <t>JÄMTLANDS LÄN</t>
        </is>
      </c>
      <c r="E75" t="inlineStr">
        <is>
          <t>BRÄCKE</t>
        </is>
      </c>
      <c r="G75" t="n">
        <v>17.8</v>
      </c>
      <c r="H75" t="n">
        <v>0</v>
      </c>
      <c r="I75" t="n">
        <v>2</v>
      </c>
      <c r="J75" t="n">
        <v>2</v>
      </c>
      <c r="K75" t="n">
        <v>0</v>
      </c>
      <c r="L75" t="n">
        <v>0</v>
      </c>
      <c r="M75" t="n">
        <v>0</v>
      </c>
      <c r="N75" t="n">
        <v>0</v>
      </c>
      <c r="O75" t="n">
        <v>2</v>
      </c>
      <c r="P75" t="n">
        <v>0</v>
      </c>
      <c r="Q75" t="n">
        <v>4</v>
      </c>
      <c r="R75" s="2" t="inlineStr">
        <is>
          <t>Lunglav
Skrovellav
Bårdlav
Skinnlav</t>
        </is>
      </c>
      <c r="S75">
        <f>HYPERLINK("https://klasma.github.io/Logging_2305/artfynd/A 43620-2023 artfynd.xlsx", "A 43620-2023")</f>
        <v/>
      </c>
      <c r="T75">
        <f>HYPERLINK("https://klasma.github.io/Logging_2305/kartor/A 43620-2023 karta.png", "A 43620-2023")</f>
        <v/>
      </c>
      <c r="V75">
        <f>HYPERLINK("https://klasma.github.io/Logging_2305/klagomål/A 43620-2023 FSC-klagomål.docx", "A 43620-2023")</f>
        <v/>
      </c>
      <c r="W75">
        <f>HYPERLINK("https://klasma.github.io/Logging_2305/klagomålsmail/A 43620-2023 FSC-klagomål mail.docx", "A 43620-2023")</f>
        <v/>
      </c>
      <c r="X75">
        <f>HYPERLINK("https://klasma.github.io/Logging_2305/tillsyn/A 43620-2023 tillsynsbegäran.docx", "A 43620-2023")</f>
        <v/>
      </c>
      <c r="Y75">
        <f>HYPERLINK("https://klasma.github.io/Logging_2305/tillsynsmail/A 43620-2023 tillsynsbegäran mail.docx", "A 43620-2023")</f>
        <v/>
      </c>
    </row>
    <row r="76" ht="15" customHeight="1">
      <c r="A76" t="inlineStr">
        <is>
          <t>A 47172-2023</t>
        </is>
      </c>
      <c r="B76" s="1" t="n">
        <v>45201</v>
      </c>
      <c r="C76" s="1" t="n">
        <v>45507</v>
      </c>
      <c r="D76" t="inlineStr">
        <is>
          <t>JÄMTLANDS LÄN</t>
        </is>
      </c>
      <c r="E76" t="inlineStr">
        <is>
          <t>BRÄCKE</t>
        </is>
      </c>
      <c r="F76" t="inlineStr">
        <is>
          <t>SCA</t>
        </is>
      </c>
      <c r="G76" t="n">
        <v>3.5</v>
      </c>
      <c r="H76" t="n">
        <v>0</v>
      </c>
      <c r="I76" t="n">
        <v>2</v>
      </c>
      <c r="J76" t="n">
        <v>2</v>
      </c>
      <c r="K76" t="n">
        <v>0</v>
      </c>
      <c r="L76" t="n">
        <v>0</v>
      </c>
      <c r="M76" t="n">
        <v>0</v>
      </c>
      <c r="N76" t="n">
        <v>0</v>
      </c>
      <c r="O76" t="n">
        <v>2</v>
      </c>
      <c r="P76" t="n">
        <v>0</v>
      </c>
      <c r="Q76" t="n">
        <v>4</v>
      </c>
      <c r="R76" s="2" t="inlineStr">
        <is>
          <t>Flattoppad klubbsvamp
Lunglav
Bårdlav
Stuplav</t>
        </is>
      </c>
      <c r="S76">
        <f>HYPERLINK("https://klasma.github.io/Logging_2305/artfynd/A 47172-2023 artfynd.xlsx", "A 47172-2023")</f>
        <v/>
      </c>
      <c r="T76">
        <f>HYPERLINK("https://klasma.github.io/Logging_2305/kartor/A 47172-2023 karta.png", "A 47172-2023")</f>
        <v/>
      </c>
      <c r="V76">
        <f>HYPERLINK("https://klasma.github.io/Logging_2305/klagomål/A 47172-2023 FSC-klagomål.docx", "A 47172-2023")</f>
        <v/>
      </c>
      <c r="W76">
        <f>HYPERLINK("https://klasma.github.io/Logging_2305/klagomålsmail/A 47172-2023 FSC-klagomål mail.docx", "A 47172-2023")</f>
        <v/>
      </c>
      <c r="X76">
        <f>HYPERLINK("https://klasma.github.io/Logging_2305/tillsyn/A 47172-2023 tillsynsbegäran.docx", "A 47172-2023")</f>
        <v/>
      </c>
      <c r="Y76">
        <f>HYPERLINK("https://klasma.github.io/Logging_2305/tillsynsmail/A 47172-2023 tillsynsbegäran mail.docx", "A 47172-2023")</f>
        <v/>
      </c>
    </row>
    <row r="77" ht="15" customHeight="1">
      <c r="A77" t="inlineStr">
        <is>
          <t>A 47499-2023</t>
        </is>
      </c>
      <c r="B77" s="1" t="n">
        <v>45202</v>
      </c>
      <c r="C77" s="1" t="n">
        <v>45507</v>
      </c>
      <c r="D77" t="inlineStr">
        <is>
          <t>JÄMTLANDS LÄN</t>
        </is>
      </c>
      <c r="E77" t="inlineStr">
        <is>
          <t>BRÄCKE</t>
        </is>
      </c>
      <c r="F77" t="inlineStr">
        <is>
          <t>SCA</t>
        </is>
      </c>
      <c r="G77" t="n">
        <v>8.1</v>
      </c>
      <c r="H77" t="n">
        <v>2</v>
      </c>
      <c r="I77" t="n">
        <v>2</v>
      </c>
      <c r="J77" t="n">
        <v>2</v>
      </c>
      <c r="K77" t="n">
        <v>0</v>
      </c>
      <c r="L77" t="n">
        <v>0</v>
      </c>
      <c r="M77" t="n">
        <v>0</v>
      </c>
      <c r="N77" t="n">
        <v>0</v>
      </c>
      <c r="O77" t="n">
        <v>2</v>
      </c>
      <c r="P77" t="n">
        <v>0</v>
      </c>
      <c r="Q77" t="n">
        <v>4</v>
      </c>
      <c r="R77" s="2" t="inlineStr">
        <is>
          <t>Garnlav
Lunglav
Korallrot
Lappranunkel</t>
        </is>
      </c>
      <c r="S77">
        <f>HYPERLINK("https://klasma.github.io/Logging_2305/artfynd/A 47499-2023 artfynd.xlsx", "A 47499-2023")</f>
        <v/>
      </c>
      <c r="T77">
        <f>HYPERLINK("https://klasma.github.io/Logging_2305/kartor/A 47499-2023 karta.png", "A 47499-2023")</f>
        <v/>
      </c>
      <c r="V77">
        <f>HYPERLINK("https://klasma.github.io/Logging_2305/klagomål/A 47499-2023 FSC-klagomål.docx", "A 47499-2023")</f>
        <v/>
      </c>
      <c r="W77">
        <f>HYPERLINK("https://klasma.github.io/Logging_2305/klagomålsmail/A 47499-2023 FSC-klagomål mail.docx", "A 47499-2023")</f>
        <v/>
      </c>
      <c r="X77">
        <f>HYPERLINK("https://klasma.github.io/Logging_2305/tillsyn/A 47499-2023 tillsynsbegäran.docx", "A 47499-2023")</f>
        <v/>
      </c>
      <c r="Y77">
        <f>HYPERLINK("https://klasma.github.io/Logging_2305/tillsynsmail/A 47499-2023 tillsynsbegäran mail.docx", "A 47499-2023")</f>
        <v/>
      </c>
    </row>
    <row r="78" ht="15" customHeight="1">
      <c r="A78" t="inlineStr">
        <is>
          <t>A 48431-2023</t>
        </is>
      </c>
      <c r="B78" s="1" t="n">
        <v>45205</v>
      </c>
      <c r="C78" s="1" t="n">
        <v>45507</v>
      </c>
      <c r="D78" t="inlineStr">
        <is>
          <t>JÄMTLANDS LÄN</t>
        </is>
      </c>
      <c r="E78" t="inlineStr">
        <is>
          <t>BRÄCKE</t>
        </is>
      </c>
      <c r="F78" t="inlineStr">
        <is>
          <t>SCA</t>
        </is>
      </c>
      <c r="G78" t="n">
        <v>8.1</v>
      </c>
      <c r="H78" t="n">
        <v>0</v>
      </c>
      <c r="I78" t="n">
        <v>3</v>
      </c>
      <c r="J78" t="n">
        <v>1</v>
      </c>
      <c r="K78" t="n">
        <v>0</v>
      </c>
      <c r="L78" t="n">
        <v>0</v>
      </c>
      <c r="M78" t="n">
        <v>0</v>
      </c>
      <c r="N78" t="n">
        <v>0</v>
      </c>
      <c r="O78" t="n">
        <v>1</v>
      </c>
      <c r="P78" t="n">
        <v>0</v>
      </c>
      <c r="Q78" t="n">
        <v>4</v>
      </c>
      <c r="R78" s="2" t="inlineStr">
        <is>
          <t>Tallticka
Gytterlav
Korallblylav
Stuplav</t>
        </is>
      </c>
      <c r="S78">
        <f>HYPERLINK("https://klasma.github.io/Logging_2305/artfynd/A 48431-2023 artfynd.xlsx", "A 48431-2023")</f>
        <v/>
      </c>
      <c r="T78">
        <f>HYPERLINK("https://klasma.github.io/Logging_2305/kartor/A 48431-2023 karta.png", "A 48431-2023")</f>
        <v/>
      </c>
      <c r="V78">
        <f>HYPERLINK("https://klasma.github.io/Logging_2305/klagomål/A 48431-2023 FSC-klagomål.docx", "A 48431-2023")</f>
        <v/>
      </c>
      <c r="W78">
        <f>HYPERLINK("https://klasma.github.io/Logging_2305/klagomålsmail/A 48431-2023 FSC-klagomål mail.docx", "A 48431-2023")</f>
        <v/>
      </c>
      <c r="X78">
        <f>HYPERLINK("https://klasma.github.io/Logging_2305/tillsyn/A 48431-2023 tillsynsbegäran.docx", "A 48431-2023")</f>
        <v/>
      </c>
      <c r="Y78">
        <f>HYPERLINK("https://klasma.github.io/Logging_2305/tillsynsmail/A 48431-2023 tillsynsbegäran mail.docx", "A 48431-2023")</f>
        <v/>
      </c>
    </row>
    <row r="79" ht="15" customHeight="1">
      <c r="A79" t="inlineStr">
        <is>
          <t>A 48479-2023</t>
        </is>
      </c>
      <c r="B79" s="1" t="n">
        <v>45206</v>
      </c>
      <c r="C79" s="1" t="n">
        <v>45507</v>
      </c>
      <c r="D79" t="inlineStr">
        <is>
          <t>JÄMTLANDS LÄN</t>
        </is>
      </c>
      <c r="E79" t="inlineStr">
        <is>
          <t>BRÄCKE</t>
        </is>
      </c>
      <c r="F79" t="inlineStr">
        <is>
          <t>SCA</t>
        </is>
      </c>
      <c r="G79" t="n">
        <v>8.1</v>
      </c>
      <c r="H79" t="n">
        <v>0</v>
      </c>
      <c r="I79" t="n">
        <v>3</v>
      </c>
      <c r="J79" t="n">
        <v>1</v>
      </c>
      <c r="K79" t="n">
        <v>0</v>
      </c>
      <c r="L79" t="n">
        <v>0</v>
      </c>
      <c r="M79" t="n">
        <v>0</v>
      </c>
      <c r="N79" t="n">
        <v>0</v>
      </c>
      <c r="O79" t="n">
        <v>1</v>
      </c>
      <c r="P79" t="n">
        <v>0</v>
      </c>
      <c r="Q79" t="n">
        <v>4</v>
      </c>
      <c r="R79" s="2" t="inlineStr">
        <is>
          <t>Tallticka
Gytterlav
Korallblylav
Stuplav</t>
        </is>
      </c>
      <c r="S79">
        <f>HYPERLINK("https://klasma.github.io/Logging_2305/artfynd/A 48479-2023 artfynd.xlsx", "A 48479-2023")</f>
        <v/>
      </c>
      <c r="T79">
        <f>HYPERLINK("https://klasma.github.io/Logging_2305/kartor/A 48479-2023 karta.png", "A 48479-2023")</f>
        <v/>
      </c>
      <c r="V79">
        <f>HYPERLINK("https://klasma.github.io/Logging_2305/klagomål/A 48479-2023 FSC-klagomål.docx", "A 48479-2023")</f>
        <v/>
      </c>
      <c r="W79">
        <f>HYPERLINK("https://klasma.github.io/Logging_2305/klagomålsmail/A 48479-2023 FSC-klagomål mail.docx", "A 48479-2023")</f>
        <v/>
      </c>
      <c r="X79">
        <f>HYPERLINK("https://klasma.github.io/Logging_2305/tillsyn/A 48479-2023 tillsynsbegäran.docx", "A 48479-2023")</f>
        <v/>
      </c>
      <c r="Y79">
        <f>HYPERLINK("https://klasma.github.io/Logging_2305/tillsynsmail/A 48479-2023 tillsynsbegäran mail.docx", "A 48479-2023")</f>
        <v/>
      </c>
    </row>
    <row r="80" ht="15" customHeight="1">
      <c r="A80" t="inlineStr">
        <is>
          <t>A 48508-2023</t>
        </is>
      </c>
      <c r="B80" s="1" t="n">
        <v>45207</v>
      </c>
      <c r="C80" s="1" t="n">
        <v>45507</v>
      </c>
      <c r="D80" t="inlineStr">
        <is>
          <t>JÄMTLANDS LÄN</t>
        </is>
      </c>
      <c r="E80" t="inlineStr">
        <is>
          <t>BRÄCKE</t>
        </is>
      </c>
      <c r="F80" t="inlineStr">
        <is>
          <t>SCA</t>
        </is>
      </c>
      <c r="G80" t="n">
        <v>5.1</v>
      </c>
      <c r="H80" t="n">
        <v>1</v>
      </c>
      <c r="I80" t="n">
        <v>1</v>
      </c>
      <c r="J80" t="n">
        <v>3</v>
      </c>
      <c r="K80" t="n">
        <v>0</v>
      </c>
      <c r="L80" t="n">
        <v>0</v>
      </c>
      <c r="M80" t="n">
        <v>0</v>
      </c>
      <c r="N80" t="n">
        <v>0</v>
      </c>
      <c r="O80" t="n">
        <v>3</v>
      </c>
      <c r="P80" t="n">
        <v>0</v>
      </c>
      <c r="Q80" t="n">
        <v>4</v>
      </c>
      <c r="R80" s="2" t="inlineStr">
        <is>
          <t>Garnlav
Lunglav
Tretåig hackspett
Stuplav</t>
        </is>
      </c>
      <c r="S80">
        <f>HYPERLINK("https://klasma.github.io/Logging_2305/artfynd/A 48508-2023 artfynd.xlsx", "A 48508-2023")</f>
        <v/>
      </c>
      <c r="T80">
        <f>HYPERLINK("https://klasma.github.io/Logging_2305/kartor/A 48508-2023 karta.png", "A 48508-2023")</f>
        <v/>
      </c>
      <c r="V80">
        <f>HYPERLINK("https://klasma.github.io/Logging_2305/klagomål/A 48508-2023 FSC-klagomål.docx", "A 48508-2023")</f>
        <v/>
      </c>
      <c r="W80">
        <f>HYPERLINK("https://klasma.github.io/Logging_2305/klagomålsmail/A 48508-2023 FSC-klagomål mail.docx", "A 48508-2023")</f>
        <v/>
      </c>
      <c r="X80">
        <f>HYPERLINK("https://klasma.github.io/Logging_2305/tillsyn/A 48508-2023 tillsynsbegäran.docx", "A 48508-2023")</f>
        <v/>
      </c>
      <c r="Y80">
        <f>HYPERLINK("https://klasma.github.io/Logging_2305/tillsynsmail/A 48508-2023 tillsynsbegäran mail.docx", "A 48508-2023")</f>
        <v/>
      </c>
      <c r="Z80">
        <f>HYPERLINK("https://klasma.github.io/Logging_2305/fåglar/A 48508-2023 prioriterade fågelarter.docx", "A 48508-2023")</f>
        <v/>
      </c>
    </row>
    <row r="81" ht="15" customHeight="1">
      <c r="A81" t="inlineStr">
        <is>
          <t>A 57079-2023</t>
        </is>
      </c>
      <c r="B81" s="1" t="n">
        <v>45245</v>
      </c>
      <c r="C81" s="1" t="n">
        <v>45507</v>
      </c>
      <c r="D81" t="inlineStr">
        <is>
          <t>JÄMTLANDS LÄN</t>
        </is>
      </c>
      <c r="E81" t="inlineStr">
        <is>
          <t>BRÄCKE</t>
        </is>
      </c>
      <c r="F81" t="inlineStr">
        <is>
          <t>SCA</t>
        </is>
      </c>
      <c r="G81" t="n">
        <v>9.9</v>
      </c>
      <c r="H81" t="n">
        <v>0</v>
      </c>
      <c r="I81" t="n">
        <v>2</v>
      </c>
      <c r="J81" t="n">
        <v>2</v>
      </c>
      <c r="K81" t="n">
        <v>0</v>
      </c>
      <c r="L81" t="n">
        <v>0</v>
      </c>
      <c r="M81" t="n">
        <v>0</v>
      </c>
      <c r="N81" t="n">
        <v>0</v>
      </c>
      <c r="O81" t="n">
        <v>2</v>
      </c>
      <c r="P81" t="n">
        <v>0</v>
      </c>
      <c r="Q81" t="n">
        <v>4</v>
      </c>
      <c r="R81" s="2" t="inlineStr">
        <is>
          <t>Garnlav
Lunglav
Korallblylav
Skinnlav</t>
        </is>
      </c>
      <c r="S81">
        <f>HYPERLINK("https://klasma.github.io/Logging_2305/artfynd/A 57079-2023 artfynd.xlsx", "A 57079-2023")</f>
        <v/>
      </c>
      <c r="T81">
        <f>HYPERLINK("https://klasma.github.io/Logging_2305/kartor/A 57079-2023 karta.png", "A 57079-2023")</f>
        <v/>
      </c>
      <c r="V81">
        <f>HYPERLINK("https://klasma.github.io/Logging_2305/klagomål/A 57079-2023 FSC-klagomål.docx", "A 57079-2023")</f>
        <v/>
      </c>
      <c r="W81">
        <f>HYPERLINK("https://klasma.github.io/Logging_2305/klagomålsmail/A 57079-2023 FSC-klagomål mail.docx", "A 57079-2023")</f>
        <v/>
      </c>
      <c r="X81">
        <f>HYPERLINK("https://klasma.github.io/Logging_2305/tillsyn/A 57079-2023 tillsynsbegäran.docx", "A 57079-2023")</f>
        <v/>
      </c>
      <c r="Y81">
        <f>HYPERLINK("https://klasma.github.io/Logging_2305/tillsynsmail/A 57079-2023 tillsynsbegäran mail.docx", "A 57079-2023")</f>
        <v/>
      </c>
    </row>
    <row r="82" ht="15" customHeight="1">
      <c r="A82" t="inlineStr">
        <is>
          <t>A 64032-2023</t>
        </is>
      </c>
      <c r="B82" s="1" t="n">
        <v>45278</v>
      </c>
      <c r="C82" s="1" t="n">
        <v>45507</v>
      </c>
      <c r="D82" t="inlineStr">
        <is>
          <t>JÄMTLANDS LÄN</t>
        </is>
      </c>
      <c r="E82" t="inlineStr">
        <is>
          <t>BRÄCKE</t>
        </is>
      </c>
      <c r="F82" t="inlineStr">
        <is>
          <t>SCA</t>
        </is>
      </c>
      <c r="G82" t="n">
        <v>3.1</v>
      </c>
      <c r="H82" t="n">
        <v>0</v>
      </c>
      <c r="I82" t="n">
        <v>1</v>
      </c>
      <c r="J82" t="n">
        <v>3</v>
      </c>
      <c r="K82" t="n">
        <v>0</v>
      </c>
      <c r="L82" t="n">
        <v>0</v>
      </c>
      <c r="M82" t="n">
        <v>0</v>
      </c>
      <c r="N82" t="n">
        <v>0</v>
      </c>
      <c r="O82" t="n">
        <v>3</v>
      </c>
      <c r="P82" t="n">
        <v>0</v>
      </c>
      <c r="Q82" t="n">
        <v>4</v>
      </c>
      <c r="R82" s="2" t="inlineStr">
        <is>
          <t>Garnlav
Kolflarnlav
Lunglav
Skinnlav</t>
        </is>
      </c>
      <c r="S82">
        <f>HYPERLINK("https://klasma.github.io/Logging_2305/artfynd/A 64032-2023 artfynd.xlsx", "A 64032-2023")</f>
        <v/>
      </c>
      <c r="T82">
        <f>HYPERLINK("https://klasma.github.io/Logging_2305/kartor/A 64032-2023 karta.png", "A 64032-2023")</f>
        <v/>
      </c>
      <c r="V82">
        <f>HYPERLINK("https://klasma.github.io/Logging_2305/klagomål/A 64032-2023 FSC-klagomål.docx", "A 64032-2023")</f>
        <v/>
      </c>
      <c r="W82">
        <f>HYPERLINK("https://klasma.github.io/Logging_2305/klagomålsmail/A 64032-2023 FSC-klagomål mail.docx", "A 64032-2023")</f>
        <v/>
      </c>
      <c r="X82">
        <f>HYPERLINK("https://klasma.github.io/Logging_2305/tillsyn/A 64032-2023 tillsynsbegäran.docx", "A 64032-2023")</f>
        <v/>
      </c>
      <c r="Y82">
        <f>HYPERLINK("https://klasma.github.io/Logging_2305/tillsynsmail/A 64032-2023 tillsynsbegäran mail.docx", "A 64032-2023")</f>
        <v/>
      </c>
    </row>
    <row r="83" ht="15" customHeight="1">
      <c r="A83" t="inlineStr">
        <is>
          <t>A 12863-2024</t>
        </is>
      </c>
      <c r="B83" s="1" t="n">
        <v>45385</v>
      </c>
      <c r="C83" s="1" t="n">
        <v>45507</v>
      </c>
      <c r="D83" t="inlineStr">
        <is>
          <t>JÄMTLANDS LÄN</t>
        </is>
      </c>
      <c r="E83" t="inlineStr">
        <is>
          <t>BRÄCKE</t>
        </is>
      </c>
      <c r="F83" t="inlineStr">
        <is>
          <t>SCA</t>
        </is>
      </c>
      <c r="G83" t="n">
        <v>10.2</v>
      </c>
      <c r="H83" t="n">
        <v>0</v>
      </c>
      <c r="I83" t="n">
        <v>1</v>
      </c>
      <c r="J83" t="n">
        <v>2</v>
      </c>
      <c r="K83" t="n">
        <v>1</v>
      </c>
      <c r="L83" t="n">
        <v>0</v>
      </c>
      <c r="M83" t="n">
        <v>0</v>
      </c>
      <c r="N83" t="n">
        <v>0</v>
      </c>
      <c r="O83" t="n">
        <v>3</v>
      </c>
      <c r="P83" t="n">
        <v>1</v>
      </c>
      <c r="Q83" t="n">
        <v>4</v>
      </c>
      <c r="R83" s="2" t="inlineStr">
        <is>
          <t>Gräddporing
Dvärgbägarlav
Skrovellav
Dropptaggsvamp</t>
        </is>
      </c>
      <c r="S83">
        <f>HYPERLINK("https://klasma.github.io/Logging_2305/artfynd/A 12863-2024 artfynd.xlsx", "A 12863-2024")</f>
        <v/>
      </c>
      <c r="T83">
        <f>HYPERLINK("https://klasma.github.io/Logging_2305/kartor/A 12863-2024 karta.png", "A 12863-2024")</f>
        <v/>
      </c>
      <c r="V83">
        <f>HYPERLINK("https://klasma.github.io/Logging_2305/klagomål/A 12863-2024 FSC-klagomål.docx", "A 12863-2024")</f>
        <v/>
      </c>
      <c r="W83">
        <f>HYPERLINK("https://klasma.github.io/Logging_2305/klagomålsmail/A 12863-2024 FSC-klagomål mail.docx", "A 12863-2024")</f>
        <v/>
      </c>
      <c r="X83">
        <f>HYPERLINK("https://klasma.github.io/Logging_2305/tillsyn/A 12863-2024 tillsynsbegäran.docx", "A 12863-2024")</f>
        <v/>
      </c>
      <c r="Y83">
        <f>HYPERLINK("https://klasma.github.io/Logging_2305/tillsynsmail/A 12863-2024 tillsynsbegäran mail.docx", "A 12863-2024")</f>
        <v/>
      </c>
    </row>
    <row r="84" ht="15" customHeight="1">
      <c r="A84" t="inlineStr">
        <is>
          <t>A 26956-2024</t>
        </is>
      </c>
      <c r="B84" s="1" t="n">
        <v>45471</v>
      </c>
      <c r="C84" s="1" t="n">
        <v>45507</v>
      </c>
      <c r="D84" t="inlineStr">
        <is>
          <t>JÄMTLANDS LÄN</t>
        </is>
      </c>
      <c r="E84" t="inlineStr">
        <is>
          <t>BRÄCKE</t>
        </is>
      </c>
      <c r="F84" t="inlineStr">
        <is>
          <t>SCA</t>
        </is>
      </c>
      <c r="G84" t="n">
        <v>5.7</v>
      </c>
      <c r="H84" t="n">
        <v>4</v>
      </c>
      <c r="I84" t="n">
        <v>0</v>
      </c>
      <c r="J84" t="n">
        <v>3</v>
      </c>
      <c r="K84" t="n">
        <v>1</v>
      </c>
      <c r="L84" t="n">
        <v>0</v>
      </c>
      <c r="M84" t="n">
        <v>0</v>
      </c>
      <c r="N84" t="n">
        <v>0</v>
      </c>
      <c r="O84" t="n">
        <v>4</v>
      </c>
      <c r="P84" t="n">
        <v>1</v>
      </c>
      <c r="Q84" t="n">
        <v>4</v>
      </c>
      <c r="R84" s="2" t="inlineStr">
        <is>
          <t>Tallbit
Mindre hackspett
Spillkråka
Talltita</t>
        </is>
      </c>
      <c r="S84">
        <f>HYPERLINK("https://klasma.github.io/Logging_2305/artfynd/A 26956-2024 artfynd.xlsx", "A 26956-2024")</f>
        <v/>
      </c>
      <c r="T84">
        <f>HYPERLINK("https://klasma.github.io/Logging_2305/kartor/A 26956-2024 karta.png",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40405-2020</t>
        </is>
      </c>
      <c r="B85" s="1" t="n">
        <v>44068</v>
      </c>
      <c r="C85" s="1" t="n">
        <v>45507</v>
      </c>
      <c r="D85" t="inlineStr">
        <is>
          <t>JÄMTLANDS LÄN</t>
        </is>
      </c>
      <c r="E85" t="inlineStr">
        <is>
          <t>BRÄCKE</t>
        </is>
      </c>
      <c r="F85" t="inlineStr">
        <is>
          <t>SCA</t>
        </is>
      </c>
      <c r="G85" t="n">
        <v>1</v>
      </c>
      <c r="H85" t="n">
        <v>0</v>
      </c>
      <c r="I85" t="n">
        <v>0</v>
      </c>
      <c r="J85" t="n">
        <v>2</v>
      </c>
      <c r="K85" t="n">
        <v>1</v>
      </c>
      <c r="L85" t="n">
        <v>0</v>
      </c>
      <c r="M85" t="n">
        <v>0</v>
      </c>
      <c r="N85" t="n">
        <v>0</v>
      </c>
      <c r="O85" t="n">
        <v>3</v>
      </c>
      <c r="P85" t="n">
        <v>1</v>
      </c>
      <c r="Q85" t="n">
        <v>3</v>
      </c>
      <c r="R85" s="2" t="inlineStr">
        <is>
          <t>Tvillingspindling
Flattoppad klubbsvamp
Persiljespindling</t>
        </is>
      </c>
      <c r="S85">
        <f>HYPERLINK("https://klasma.github.io/Logging_2305/artfynd/A 40405-2020 artfynd.xlsx", "A 40405-2020")</f>
        <v/>
      </c>
      <c r="T85">
        <f>HYPERLINK("https://klasma.github.io/Logging_2305/kartor/A 40405-2020 karta.png", "A 40405-2020")</f>
        <v/>
      </c>
      <c r="V85">
        <f>HYPERLINK("https://klasma.github.io/Logging_2305/klagomål/A 40405-2020 FSC-klagomål.docx", "A 40405-2020")</f>
        <v/>
      </c>
      <c r="W85">
        <f>HYPERLINK("https://klasma.github.io/Logging_2305/klagomålsmail/A 40405-2020 FSC-klagomål mail.docx", "A 40405-2020")</f>
        <v/>
      </c>
      <c r="X85">
        <f>HYPERLINK("https://klasma.github.io/Logging_2305/tillsyn/A 40405-2020 tillsynsbegäran.docx", "A 40405-2020")</f>
        <v/>
      </c>
      <c r="Y85">
        <f>HYPERLINK("https://klasma.github.io/Logging_2305/tillsynsmail/A 40405-2020 tillsynsbegäran mail.docx", "A 40405-2020")</f>
        <v/>
      </c>
    </row>
    <row r="86" ht="15" customHeight="1">
      <c r="A86" t="inlineStr">
        <is>
          <t>A 26102-2021</t>
        </is>
      </c>
      <c r="B86" s="1" t="n">
        <v>44344</v>
      </c>
      <c r="C86" s="1" t="n">
        <v>45507</v>
      </c>
      <c r="D86" t="inlineStr">
        <is>
          <t>JÄMTLANDS LÄN</t>
        </is>
      </c>
      <c r="E86" t="inlineStr">
        <is>
          <t>BRÄCKE</t>
        </is>
      </c>
      <c r="F86" t="inlineStr">
        <is>
          <t>SCA</t>
        </is>
      </c>
      <c r="G86" t="n">
        <v>21.3</v>
      </c>
      <c r="H86" t="n">
        <v>1</v>
      </c>
      <c r="I86" t="n">
        <v>1</v>
      </c>
      <c r="J86" t="n">
        <v>1</v>
      </c>
      <c r="K86" t="n">
        <v>0</v>
      </c>
      <c r="L86" t="n">
        <v>0</v>
      </c>
      <c r="M86" t="n">
        <v>0</v>
      </c>
      <c r="N86" t="n">
        <v>0</v>
      </c>
      <c r="O86" t="n">
        <v>1</v>
      </c>
      <c r="P86" t="n">
        <v>0</v>
      </c>
      <c r="Q86" t="n">
        <v>3</v>
      </c>
      <c r="R86" s="2" t="inlineStr">
        <is>
          <t>Lunglav
Ögonpyrola
Revlummer</t>
        </is>
      </c>
      <c r="S86">
        <f>HYPERLINK("https://klasma.github.io/Logging_2305/artfynd/A 26102-2021 artfynd.xlsx", "A 26102-2021")</f>
        <v/>
      </c>
      <c r="T86">
        <f>HYPERLINK("https://klasma.github.io/Logging_2305/kartor/A 26102-2021 karta.png", "A 26102-2021")</f>
        <v/>
      </c>
      <c r="V86">
        <f>HYPERLINK("https://klasma.github.io/Logging_2305/klagomål/A 26102-2021 FSC-klagomål.docx", "A 26102-2021")</f>
        <v/>
      </c>
      <c r="W86">
        <f>HYPERLINK("https://klasma.github.io/Logging_2305/klagomålsmail/A 26102-2021 FSC-klagomål mail.docx", "A 26102-2021")</f>
        <v/>
      </c>
      <c r="X86">
        <f>HYPERLINK("https://klasma.github.io/Logging_2305/tillsyn/A 26102-2021 tillsynsbegäran.docx", "A 26102-2021")</f>
        <v/>
      </c>
      <c r="Y86">
        <f>HYPERLINK("https://klasma.github.io/Logging_2305/tillsynsmail/A 26102-2021 tillsynsbegäran mail.docx", "A 26102-2021")</f>
        <v/>
      </c>
    </row>
    <row r="87" ht="15" customHeight="1">
      <c r="A87" t="inlineStr">
        <is>
          <t>A 37061-2021</t>
        </is>
      </c>
      <c r="B87" s="1" t="n">
        <v>44393</v>
      </c>
      <c r="C87" s="1" t="n">
        <v>45507</v>
      </c>
      <c r="D87" t="inlineStr">
        <is>
          <t>JÄMTLANDS LÄN</t>
        </is>
      </c>
      <c r="E87" t="inlineStr">
        <is>
          <t>BRÄCKE</t>
        </is>
      </c>
      <c r="F87" t="inlineStr">
        <is>
          <t>SCA</t>
        </is>
      </c>
      <c r="G87" t="n">
        <v>3.4</v>
      </c>
      <c r="H87" t="n">
        <v>1</v>
      </c>
      <c r="I87" t="n">
        <v>1</v>
      </c>
      <c r="J87" t="n">
        <v>1</v>
      </c>
      <c r="K87" t="n">
        <v>1</v>
      </c>
      <c r="L87" t="n">
        <v>0</v>
      </c>
      <c r="M87" t="n">
        <v>0</v>
      </c>
      <c r="N87" t="n">
        <v>0</v>
      </c>
      <c r="O87" t="n">
        <v>2</v>
      </c>
      <c r="P87" t="n">
        <v>1</v>
      </c>
      <c r="Q87" t="n">
        <v>3</v>
      </c>
      <c r="R87" s="2" t="inlineStr">
        <is>
          <t>Knärot
Lunglav
Stuplav</t>
        </is>
      </c>
      <c r="S87">
        <f>HYPERLINK("https://klasma.github.io/Logging_2305/artfynd/A 37061-2021 artfynd.xlsx", "A 37061-2021")</f>
        <v/>
      </c>
      <c r="T87">
        <f>HYPERLINK("https://klasma.github.io/Logging_2305/kartor/A 37061-2021 karta.png", "A 37061-2021")</f>
        <v/>
      </c>
      <c r="U87">
        <f>HYPERLINK("https://klasma.github.io/Logging_2305/knärot/A 37061-2021 karta knärot.png", "A 37061-2021")</f>
        <v/>
      </c>
      <c r="V87">
        <f>HYPERLINK("https://klasma.github.io/Logging_2305/klagomål/A 37061-2021 FSC-klagomål.docx", "A 37061-2021")</f>
        <v/>
      </c>
      <c r="W87">
        <f>HYPERLINK("https://klasma.github.io/Logging_2305/klagomålsmail/A 37061-2021 FSC-klagomål mail.docx", "A 37061-2021")</f>
        <v/>
      </c>
      <c r="X87">
        <f>HYPERLINK("https://klasma.github.io/Logging_2305/tillsyn/A 37061-2021 tillsynsbegäran.docx", "A 37061-2021")</f>
        <v/>
      </c>
      <c r="Y87">
        <f>HYPERLINK("https://klasma.github.io/Logging_2305/tillsynsmail/A 37061-2021 tillsynsbegäran mail.docx", "A 37061-2021")</f>
        <v/>
      </c>
    </row>
    <row r="88" ht="15" customHeight="1">
      <c r="A88" t="inlineStr">
        <is>
          <t>A 56222-2021</t>
        </is>
      </c>
      <c r="B88" s="1" t="n">
        <v>44477</v>
      </c>
      <c r="C88" s="1" t="n">
        <v>45507</v>
      </c>
      <c r="D88" t="inlineStr">
        <is>
          <t>JÄMTLANDS LÄN</t>
        </is>
      </c>
      <c r="E88" t="inlineStr">
        <is>
          <t>BRÄCKE</t>
        </is>
      </c>
      <c r="F88" t="inlineStr">
        <is>
          <t>SCA</t>
        </is>
      </c>
      <c r="G88" t="n">
        <v>1.8</v>
      </c>
      <c r="H88" t="n">
        <v>0</v>
      </c>
      <c r="I88" t="n">
        <v>0</v>
      </c>
      <c r="J88" t="n">
        <v>3</v>
      </c>
      <c r="K88" t="n">
        <v>0</v>
      </c>
      <c r="L88" t="n">
        <v>0</v>
      </c>
      <c r="M88" t="n">
        <v>0</v>
      </c>
      <c r="N88" t="n">
        <v>0</v>
      </c>
      <c r="O88" t="n">
        <v>3</v>
      </c>
      <c r="P88" t="n">
        <v>0</v>
      </c>
      <c r="Q88" t="n">
        <v>3</v>
      </c>
      <c r="R88" s="2" t="inlineStr">
        <is>
          <t>Gammelgransskål
Granticka
Ullticka</t>
        </is>
      </c>
      <c r="S88">
        <f>HYPERLINK("https://klasma.github.io/Logging_2305/artfynd/A 56222-2021 artfynd.xlsx", "A 56222-2021")</f>
        <v/>
      </c>
      <c r="T88">
        <f>HYPERLINK("https://klasma.github.io/Logging_2305/kartor/A 56222-2021 karta.png", "A 56222-2021")</f>
        <v/>
      </c>
      <c r="V88">
        <f>HYPERLINK("https://klasma.github.io/Logging_2305/klagomål/A 56222-2021 FSC-klagomål.docx", "A 56222-2021")</f>
        <v/>
      </c>
      <c r="W88">
        <f>HYPERLINK("https://klasma.github.io/Logging_2305/klagomålsmail/A 56222-2021 FSC-klagomål mail.docx", "A 56222-2021")</f>
        <v/>
      </c>
      <c r="X88">
        <f>HYPERLINK("https://klasma.github.io/Logging_2305/tillsyn/A 56222-2021 tillsynsbegäran.docx", "A 56222-2021")</f>
        <v/>
      </c>
      <c r="Y88">
        <f>HYPERLINK("https://klasma.github.io/Logging_2305/tillsynsmail/A 56222-2021 tillsynsbegäran mail.docx", "A 56222-2021")</f>
        <v/>
      </c>
    </row>
    <row r="89" ht="15" customHeight="1">
      <c r="A89" t="inlineStr">
        <is>
          <t>A 4180-2022</t>
        </is>
      </c>
      <c r="B89" s="1" t="n">
        <v>44588</v>
      </c>
      <c r="C89" s="1" t="n">
        <v>45507</v>
      </c>
      <c r="D89" t="inlineStr">
        <is>
          <t>JÄMTLANDS LÄN</t>
        </is>
      </c>
      <c r="E89" t="inlineStr">
        <is>
          <t>BRÄCKE</t>
        </is>
      </c>
      <c r="G89" t="n">
        <v>6.1</v>
      </c>
      <c r="H89" t="n">
        <v>2</v>
      </c>
      <c r="I89" t="n">
        <v>1</v>
      </c>
      <c r="J89" t="n">
        <v>1</v>
      </c>
      <c r="K89" t="n">
        <v>1</v>
      </c>
      <c r="L89" t="n">
        <v>0</v>
      </c>
      <c r="M89" t="n">
        <v>0</v>
      </c>
      <c r="N89" t="n">
        <v>0</v>
      </c>
      <c r="O89" t="n">
        <v>2</v>
      </c>
      <c r="P89" t="n">
        <v>1</v>
      </c>
      <c r="Q89" t="n">
        <v>3</v>
      </c>
      <c r="R89" s="2" t="inlineStr">
        <is>
          <t>Knärot
Skogsfru
Ögonpyrola</t>
        </is>
      </c>
      <c r="S89">
        <f>HYPERLINK("https://klasma.github.io/Logging_2305/artfynd/A 4180-2022 artfynd.xlsx", "A 4180-2022")</f>
        <v/>
      </c>
      <c r="T89">
        <f>HYPERLINK("https://klasma.github.io/Logging_2305/kartor/A 4180-2022 karta.png", "A 4180-2022")</f>
        <v/>
      </c>
      <c r="U89">
        <f>HYPERLINK("https://klasma.github.io/Logging_2305/knärot/A 4180-2022 karta knärot.png", "A 4180-2022")</f>
        <v/>
      </c>
      <c r="V89">
        <f>HYPERLINK("https://klasma.github.io/Logging_2305/klagomål/A 4180-2022 FSC-klagomål.docx", "A 4180-2022")</f>
        <v/>
      </c>
      <c r="W89">
        <f>HYPERLINK("https://klasma.github.io/Logging_2305/klagomålsmail/A 4180-2022 FSC-klagomål mail.docx", "A 4180-2022")</f>
        <v/>
      </c>
      <c r="X89">
        <f>HYPERLINK("https://klasma.github.io/Logging_2305/tillsyn/A 4180-2022 tillsynsbegäran.docx", "A 4180-2022")</f>
        <v/>
      </c>
      <c r="Y89">
        <f>HYPERLINK("https://klasma.github.io/Logging_2305/tillsynsmail/A 4180-2022 tillsynsbegäran mail.docx", "A 4180-2022")</f>
        <v/>
      </c>
    </row>
    <row r="90" ht="15" customHeight="1">
      <c r="A90" t="inlineStr">
        <is>
          <t>A 11002-2022</t>
        </is>
      </c>
      <c r="B90" s="1" t="n">
        <v>44628</v>
      </c>
      <c r="C90" s="1" t="n">
        <v>45507</v>
      </c>
      <c r="D90" t="inlineStr">
        <is>
          <t>JÄMTLANDS LÄN</t>
        </is>
      </c>
      <c r="E90" t="inlineStr">
        <is>
          <t>BRÄCKE</t>
        </is>
      </c>
      <c r="G90" t="n">
        <v>8.5</v>
      </c>
      <c r="H90" t="n">
        <v>0</v>
      </c>
      <c r="I90" t="n">
        <v>1</v>
      </c>
      <c r="J90" t="n">
        <v>1</v>
      </c>
      <c r="K90" t="n">
        <v>1</v>
      </c>
      <c r="L90" t="n">
        <v>0</v>
      </c>
      <c r="M90" t="n">
        <v>0</v>
      </c>
      <c r="N90" t="n">
        <v>0</v>
      </c>
      <c r="O90" t="n">
        <v>2</v>
      </c>
      <c r="P90" t="n">
        <v>1</v>
      </c>
      <c r="Q90" t="n">
        <v>3</v>
      </c>
      <c r="R90" s="2" t="inlineStr">
        <is>
          <t>Rynkskinn
Vitgrynig nållav
Svavelriska</t>
        </is>
      </c>
      <c r="S90">
        <f>HYPERLINK("https://klasma.github.io/Logging_2305/artfynd/A 11002-2022 artfynd.xlsx", "A 11002-2022")</f>
        <v/>
      </c>
      <c r="T90">
        <f>HYPERLINK("https://klasma.github.io/Logging_2305/kartor/A 11002-2022 karta.png", "A 11002-2022")</f>
        <v/>
      </c>
      <c r="V90">
        <f>HYPERLINK("https://klasma.github.io/Logging_2305/klagomål/A 11002-2022 FSC-klagomål.docx", "A 11002-2022")</f>
        <v/>
      </c>
      <c r="W90">
        <f>HYPERLINK("https://klasma.github.io/Logging_2305/klagomålsmail/A 11002-2022 FSC-klagomål mail.docx", "A 11002-2022")</f>
        <v/>
      </c>
      <c r="X90">
        <f>HYPERLINK("https://klasma.github.io/Logging_2305/tillsyn/A 11002-2022 tillsynsbegäran.docx", "A 11002-2022")</f>
        <v/>
      </c>
      <c r="Y90">
        <f>HYPERLINK("https://klasma.github.io/Logging_2305/tillsynsmail/A 11002-2022 tillsynsbegäran mail.docx", "A 11002-2022")</f>
        <v/>
      </c>
    </row>
    <row r="91" ht="15" customHeight="1">
      <c r="A91" t="inlineStr">
        <is>
          <t>A 44428-2022</t>
        </is>
      </c>
      <c r="B91" s="1" t="n">
        <v>44839</v>
      </c>
      <c r="C91" s="1" t="n">
        <v>45507</v>
      </c>
      <c r="D91" t="inlineStr">
        <is>
          <t>JÄMTLANDS LÄN</t>
        </is>
      </c>
      <c r="E91" t="inlineStr">
        <is>
          <t>BRÄCKE</t>
        </is>
      </c>
      <c r="F91" t="inlineStr">
        <is>
          <t>SCA</t>
        </is>
      </c>
      <c r="G91" t="n">
        <v>4.3</v>
      </c>
      <c r="H91" t="n">
        <v>0</v>
      </c>
      <c r="I91" t="n">
        <v>2</v>
      </c>
      <c r="J91" t="n">
        <v>1</v>
      </c>
      <c r="K91" t="n">
        <v>0</v>
      </c>
      <c r="L91" t="n">
        <v>0</v>
      </c>
      <c r="M91" t="n">
        <v>0</v>
      </c>
      <c r="N91" t="n">
        <v>0</v>
      </c>
      <c r="O91" t="n">
        <v>1</v>
      </c>
      <c r="P91" t="n">
        <v>0</v>
      </c>
      <c r="Q91" t="n">
        <v>3</v>
      </c>
      <c r="R91" s="2" t="inlineStr">
        <is>
          <t>Motaggsvamp
Dropptaggsvamp
Skinnlav</t>
        </is>
      </c>
      <c r="S91">
        <f>HYPERLINK("https://klasma.github.io/Logging_2305/artfynd/A 44428-2022 artfynd.xlsx", "A 44428-2022")</f>
        <v/>
      </c>
      <c r="T91">
        <f>HYPERLINK("https://klasma.github.io/Logging_2305/kartor/A 44428-2022 karta.png", "A 44428-2022")</f>
        <v/>
      </c>
      <c r="V91">
        <f>HYPERLINK("https://klasma.github.io/Logging_2305/klagomål/A 44428-2022 FSC-klagomål.docx", "A 44428-2022")</f>
        <v/>
      </c>
      <c r="W91">
        <f>HYPERLINK("https://klasma.github.io/Logging_2305/klagomålsmail/A 44428-2022 FSC-klagomål mail.docx", "A 44428-2022")</f>
        <v/>
      </c>
      <c r="X91">
        <f>HYPERLINK("https://klasma.github.io/Logging_2305/tillsyn/A 44428-2022 tillsynsbegäran.docx", "A 44428-2022")</f>
        <v/>
      </c>
      <c r="Y91">
        <f>HYPERLINK("https://klasma.github.io/Logging_2305/tillsynsmail/A 44428-2022 tillsynsbegäran mail.docx", "A 44428-2022")</f>
        <v/>
      </c>
    </row>
    <row r="92" ht="15" customHeight="1">
      <c r="A92" t="inlineStr">
        <is>
          <t>A 53284-2022</t>
        </is>
      </c>
      <c r="B92" s="1" t="n">
        <v>44876</v>
      </c>
      <c r="C92" s="1" t="n">
        <v>45507</v>
      </c>
      <c r="D92" t="inlineStr">
        <is>
          <t>JÄMTLANDS LÄN</t>
        </is>
      </c>
      <c r="E92" t="inlineStr">
        <is>
          <t>BRÄCKE</t>
        </is>
      </c>
      <c r="F92" t="inlineStr">
        <is>
          <t>SCA</t>
        </is>
      </c>
      <c r="G92" t="n">
        <v>10.3</v>
      </c>
      <c r="H92" t="n">
        <v>0</v>
      </c>
      <c r="I92" t="n">
        <v>0</v>
      </c>
      <c r="J92" t="n">
        <v>3</v>
      </c>
      <c r="K92" t="n">
        <v>0</v>
      </c>
      <c r="L92" t="n">
        <v>0</v>
      </c>
      <c r="M92" t="n">
        <v>0</v>
      </c>
      <c r="N92" t="n">
        <v>0</v>
      </c>
      <c r="O92" t="n">
        <v>3</v>
      </c>
      <c r="P92" t="n">
        <v>0</v>
      </c>
      <c r="Q92" t="n">
        <v>3</v>
      </c>
      <c r="R92" s="2" t="inlineStr">
        <is>
          <t>Blanksvart spiklav
Dvärgbägarlav
Kolflarnlav</t>
        </is>
      </c>
      <c r="S92">
        <f>HYPERLINK("https://klasma.github.io/Logging_2305/artfynd/A 53284-2022 artfynd.xlsx", "A 53284-2022")</f>
        <v/>
      </c>
      <c r="T92">
        <f>HYPERLINK("https://klasma.github.io/Logging_2305/kartor/A 53284-2022 karta.png", "A 53284-2022")</f>
        <v/>
      </c>
      <c r="V92">
        <f>HYPERLINK("https://klasma.github.io/Logging_2305/klagomål/A 53284-2022 FSC-klagomål.docx", "A 53284-2022")</f>
        <v/>
      </c>
      <c r="W92">
        <f>HYPERLINK("https://klasma.github.io/Logging_2305/klagomålsmail/A 53284-2022 FSC-klagomål mail.docx", "A 53284-2022")</f>
        <v/>
      </c>
      <c r="X92">
        <f>HYPERLINK("https://klasma.github.io/Logging_2305/tillsyn/A 53284-2022 tillsynsbegäran.docx", "A 53284-2022")</f>
        <v/>
      </c>
      <c r="Y92">
        <f>HYPERLINK("https://klasma.github.io/Logging_2305/tillsynsmail/A 53284-2022 tillsynsbegäran mail.docx", "A 53284-2022")</f>
        <v/>
      </c>
    </row>
    <row r="93" ht="15" customHeight="1">
      <c r="A93" t="inlineStr">
        <is>
          <t>A 32725-2023</t>
        </is>
      </c>
      <c r="B93" s="1" t="n">
        <v>45121</v>
      </c>
      <c r="C93" s="1" t="n">
        <v>45507</v>
      </c>
      <c r="D93" t="inlineStr">
        <is>
          <t>JÄMTLANDS LÄN</t>
        </is>
      </c>
      <c r="E93" t="inlineStr">
        <is>
          <t>BRÄCKE</t>
        </is>
      </c>
      <c r="F93" t="inlineStr">
        <is>
          <t>SCA</t>
        </is>
      </c>
      <c r="G93" t="n">
        <v>10.9</v>
      </c>
      <c r="H93" t="n">
        <v>1</v>
      </c>
      <c r="I93" t="n">
        <v>0</v>
      </c>
      <c r="J93" t="n">
        <v>3</v>
      </c>
      <c r="K93" t="n">
        <v>0</v>
      </c>
      <c r="L93" t="n">
        <v>0</v>
      </c>
      <c r="M93" t="n">
        <v>0</v>
      </c>
      <c r="N93" t="n">
        <v>0</v>
      </c>
      <c r="O93" t="n">
        <v>3</v>
      </c>
      <c r="P93" t="n">
        <v>0</v>
      </c>
      <c r="Q93" t="n">
        <v>3</v>
      </c>
      <c r="R93" s="2" t="inlineStr">
        <is>
          <t>Doftskinn
Garnlav
Tretåig hackspett</t>
        </is>
      </c>
      <c r="S93">
        <f>HYPERLINK("https://klasma.github.io/Logging_2305/artfynd/A 32725-2023 artfynd.xlsx", "A 32725-2023")</f>
        <v/>
      </c>
      <c r="T93">
        <f>HYPERLINK("https://klasma.github.io/Logging_2305/kartor/A 32725-2023 karta.png", "A 32725-2023")</f>
        <v/>
      </c>
      <c r="V93">
        <f>HYPERLINK("https://klasma.github.io/Logging_2305/klagomål/A 32725-2023 FSC-klagomål.docx", "A 32725-2023")</f>
        <v/>
      </c>
      <c r="W93">
        <f>HYPERLINK("https://klasma.github.io/Logging_2305/klagomålsmail/A 32725-2023 FSC-klagomål mail.docx", "A 32725-2023")</f>
        <v/>
      </c>
      <c r="X93">
        <f>HYPERLINK("https://klasma.github.io/Logging_2305/tillsyn/A 32725-2023 tillsynsbegäran.docx", "A 32725-2023")</f>
        <v/>
      </c>
      <c r="Y93">
        <f>HYPERLINK("https://klasma.github.io/Logging_2305/tillsynsmail/A 32725-2023 tillsynsbegäran mail.docx", "A 32725-2023")</f>
        <v/>
      </c>
      <c r="Z93">
        <f>HYPERLINK("https://klasma.github.io/Logging_2305/fåglar/A 32725-2023 prioriterade fågelarter.docx", "A 32725-2023")</f>
        <v/>
      </c>
    </row>
    <row r="94" ht="15" customHeight="1">
      <c r="A94" t="inlineStr">
        <is>
          <t>A 40406-2023</t>
        </is>
      </c>
      <c r="B94" s="1" t="n">
        <v>45169</v>
      </c>
      <c r="C94" s="1" t="n">
        <v>45507</v>
      </c>
      <c r="D94" t="inlineStr">
        <is>
          <t>JÄMTLANDS LÄN</t>
        </is>
      </c>
      <c r="E94" t="inlineStr">
        <is>
          <t>BRÄCKE</t>
        </is>
      </c>
      <c r="G94" t="n">
        <v>8.1</v>
      </c>
      <c r="H94" t="n">
        <v>0</v>
      </c>
      <c r="I94" t="n">
        <v>2</v>
      </c>
      <c r="J94" t="n">
        <v>0</v>
      </c>
      <c r="K94" t="n">
        <v>1</v>
      </c>
      <c r="L94" t="n">
        <v>0</v>
      </c>
      <c r="M94" t="n">
        <v>0</v>
      </c>
      <c r="N94" t="n">
        <v>0</v>
      </c>
      <c r="O94" t="n">
        <v>1</v>
      </c>
      <c r="P94" t="n">
        <v>1</v>
      </c>
      <c r="Q94" t="n">
        <v>3</v>
      </c>
      <c r="R94" s="2" t="inlineStr">
        <is>
          <t>Gräddporing
Dropptaggsvamp
Gräsull</t>
        </is>
      </c>
      <c r="S94">
        <f>HYPERLINK("https://klasma.github.io/Logging_2305/artfynd/A 40406-2023 artfynd.xlsx", "A 40406-2023")</f>
        <v/>
      </c>
      <c r="T94">
        <f>HYPERLINK("https://klasma.github.io/Logging_2305/kartor/A 40406-2023 karta.png", "A 40406-2023")</f>
        <v/>
      </c>
      <c r="V94">
        <f>HYPERLINK("https://klasma.github.io/Logging_2305/klagomål/A 40406-2023 FSC-klagomål.docx", "A 40406-2023")</f>
        <v/>
      </c>
      <c r="W94">
        <f>HYPERLINK("https://klasma.github.io/Logging_2305/klagomålsmail/A 40406-2023 FSC-klagomål mail.docx", "A 40406-2023")</f>
        <v/>
      </c>
      <c r="X94">
        <f>HYPERLINK("https://klasma.github.io/Logging_2305/tillsyn/A 40406-2023 tillsynsbegäran.docx", "A 40406-2023")</f>
        <v/>
      </c>
      <c r="Y94">
        <f>HYPERLINK("https://klasma.github.io/Logging_2305/tillsynsmail/A 40406-2023 tillsynsbegäran mail.docx", "A 40406-2023")</f>
        <v/>
      </c>
    </row>
    <row r="95" ht="15" customHeight="1">
      <c r="A95" t="inlineStr">
        <is>
          <t>A 40827-2023</t>
        </is>
      </c>
      <c r="B95" s="1" t="n">
        <v>45171</v>
      </c>
      <c r="C95" s="1" t="n">
        <v>45507</v>
      </c>
      <c r="D95" t="inlineStr">
        <is>
          <t>JÄMTLANDS LÄN</t>
        </is>
      </c>
      <c r="E95" t="inlineStr">
        <is>
          <t>BRÄCKE</t>
        </is>
      </c>
      <c r="G95" t="n">
        <v>16.7</v>
      </c>
      <c r="H95" t="n">
        <v>2</v>
      </c>
      <c r="I95" t="n">
        <v>1</v>
      </c>
      <c r="J95" t="n">
        <v>1</v>
      </c>
      <c r="K95" t="n">
        <v>0</v>
      </c>
      <c r="L95" t="n">
        <v>0</v>
      </c>
      <c r="M95" t="n">
        <v>0</v>
      </c>
      <c r="N95" t="n">
        <v>0</v>
      </c>
      <c r="O95" t="n">
        <v>1</v>
      </c>
      <c r="P95" t="n">
        <v>0</v>
      </c>
      <c r="Q95" t="n">
        <v>3</v>
      </c>
      <c r="R95" s="2" t="inlineStr">
        <is>
          <t>Brunklöver
Plattlummer
Revlummer</t>
        </is>
      </c>
      <c r="S95">
        <f>HYPERLINK("https://klasma.github.io/Logging_2305/artfynd/A 40827-2023 artfynd.xlsx", "A 40827-2023")</f>
        <v/>
      </c>
      <c r="T95">
        <f>HYPERLINK("https://klasma.github.io/Logging_2305/kartor/A 40827-2023 karta.png", "A 40827-2023")</f>
        <v/>
      </c>
      <c r="V95">
        <f>HYPERLINK("https://klasma.github.io/Logging_2305/klagomål/A 40827-2023 FSC-klagomål.docx", "A 40827-2023")</f>
        <v/>
      </c>
      <c r="W95">
        <f>HYPERLINK("https://klasma.github.io/Logging_2305/klagomålsmail/A 40827-2023 FSC-klagomål mail.docx", "A 40827-2023")</f>
        <v/>
      </c>
      <c r="X95">
        <f>HYPERLINK("https://klasma.github.io/Logging_2305/tillsyn/A 40827-2023 tillsynsbegäran.docx", "A 40827-2023")</f>
        <v/>
      </c>
      <c r="Y95">
        <f>HYPERLINK("https://klasma.github.io/Logging_2305/tillsynsmail/A 40827-2023 tillsynsbegäran mail.docx", "A 40827-2023")</f>
        <v/>
      </c>
    </row>
    <row r="96" ht="15" customHeight="1">
      <c r="A96" t="inlineStr">
        <is>
          <t>A 41648-2023</t>
        </is>
      </c>
      <c r="B96" s="1" t="n">
        <v>45175</v>
      </c>
      <c r="C96" s="1" t="n">
        <v>45507</v>
      </c>
      <c r="D96" t="inlineStr">
        <is>
          <t>JÄMTLANDS LÄN</t>
        </is>
      </c>
      <c r="E96" t="inlineStr">
        <is>
          <t>BRÄCKE</t>
        </is>
      </c>
      <c r="F96" t="inlineStr">
        <is>
          <t>SCA</t>
        </is>
      </c>
      <c r="G96" t="n">
        <v>6.7</v>
      </c>
      <c r="H96" t="n">
        <v>2</v>
      </c>
      <c r="I96" t="n">
        <v>1</v>
      </c>
      <c r="J96" t="n">
        <v>1</v>
      </c>
      <c r="K96" t="n">
        <v>1</v>
      </c>
      <c r="L96" t="n">
        <v>0</v>
      </c>
      <c r="M96" t="n">
        <v>0</v>
      </c>
      <c r="N96" t="n">
        <v>0</v>
      </c>
      <c r="O96" t="n">
        <v>2</v>
      </c>
      <c r="P96" t="n">
        <v>1</v>
      </c>
      <c r="Q96" t="n">
        <v>3</v>
      </c>
      <c r="R96" s="2" t="inlineStr">
        <is>
          <t>Knärot
Flattoppad klubbsvamp
Spindelblomster</t>
        </is>
      </c>
      <c r="S96">
        <f>HYPERLINK("https://klasma.github.io/Logging_2305/artfynd/A 41648-2023 artfynd.xlsx", "A 41648-2023")</f>
        <v/>
      </c>
      <c r="T96">
        <f>HYPERLINK("https://klasma.github.io/Logging_2305/kartor/A 41648-2023 karta.png", "A 41648-2023")</f>
        <v/>
      </c>
      <c r="U96">
        <f>HYPERLINK("https://klasma.github.io/Logging_2305/knärot/A 41648-2023 karta knärot.png", "A 41648-2023")</f>
        <v/>
      </c>
      <c r="V96">
        <f>HYPERLINK("https://klasma.github.io/Logging_2305/klagomål/A 41648-2023 FSC-klagomål.docx", "A 41648-2023")</f>
        <v/>
      </c>
      <c r="W96">
        <f>HYPERLINK("https://klasma.github.io/Logging_2305/klagomålsmail/A 41648-2023 FSC-klagomål mail.docx", "A 41648-2023")</f>
        <v/>
      </c>
      <c r="X96">
        <f>HYPERLINK("https://klasma.github.io/Logging_2305/tillsyn/A 41648-2023 tillsynsbegäran.docx", "A 41648-2023")</f>
        <v/>
      </c>
      <c r="Y96">
        <f>HYPERLINK("https://klasma.github.io/Logging_2305/tillsynsmail/A 41648-2023 tillsynsbegäran mail.docx", "A 41648-2023")</f>
        <v/>
      </c>
    </row>
    <row r="97" ht="15" customHeight="1">
      <c r="A97" t="inlineStr">
        <is>
          <t>A 48067-2023</t>
        </is>
      </c>
      <c r="B97" s="1" t="n">
        <v>45204</v>
      </c>
      <c r="C97" s="1" t="n">
        <v>45507</v>
      </c>
      <c r="D97" t="inlineStr">
        <is>
          <t>JÄMTLANDS LÄN</t>
        </is>
      </c>
      <c r="E97" t="inlineStr">
        <is>
          <t>BRÄCKE</t>
        </is>
      </c>
      <c r="F97" t="inlineStr">
        <is>
          <t>SCA</t>
        </is>
      </c>
      <c r="G97" t="n">
        <v>1.2</v>
      </c>
      <c r="H97" t="n">
        <v>0</v>
      </c>
      <c r="I97" t="n">
        <v>2</v>
      </c>
      <c r="J97" t="n">
        <v>1</v>
      </c>
      <c r="K97" t="n">
        <v>0</v>
      </c>
      <c r="L97" t="n">
        <v>0</v>
      </c>
      <c r="M97" t="n">
        <v>0</v>
      </c>
      <c r="N97" t="n">
        <v>0</v>
      </c>
      <c r="O97" t="n">
        <v>1</v>
      </c>
      <c r="P97" t="n">
        <v>0</v>
      </c>
      <c r="Q97" t="n">
        <v>3</v>
      </c>
      <c r="R97" s="2" t="inlineStr">
        <is>
          <t>Lunglav
Gytterlav
Korallblylav</t>
        </is>
      </c>
      <c r="S97">
        <f>HYPERLINK("https://klasma.github.io/Logging_2305/artfynd/A 48067-2023 artfynd.xlsx", "A 48067-2023")</f>
        <v/>
      </c>
      <c r="T97">
        <f>HYPERLINK("https://klasma.github.io/Logging_2305/kartor/A 48067-2023 karta.png", "A 48067-2023")</f>
        <v/>
      </c>
      <c r="V97">
        <f>HYPERLINK("https://klasma.github.io/Logging_2305/klagomål/A 48067-2023 FSC-klagomål.docx", "A 48067-2023")</f>
        <v/>
      </c>
      <c r="W97">
        <f>HYPERLINK("https://klasma.github.io/Logging_2305/klagomålsmail/A 48067-2023 FSC-klagomål mail.docx", "A 48067-2023")</f>
        <v/>
      </c>
      <c r="X97">
        <f>HYPERLINK("https://klasma.github.io/Logging_2305/tillsyn/A 48067-2023 tillsynsbegäran.docx", "A 48067-2023")</f>
        <v/>
      </c>
      <c r="Y97">
        <f>HYPERLINK("https://klasma.github.io/Logging_2305/tillsynsmail/A 48067-2023 tillsynsbegäran mail.docx", "A 48067-2023")</f>
        <v/>
      </c>
    </row>
    <row r="98" ht="15" customHeight="1">
      <c r="A98" t="inlineStr">
        <is>
          <t>A 49336-2023</t>
        </is>
      </c>
      <c r="B98" s="1" t="n">
        <v>45210</v>
      </c>
      <c r="C98" s="1" t="n">
        <v>45507</v>
      </c>
      <c r="D98" t="inlineStr">
        <is>
          <t>JÄMTLANDS LÄN</t>
        </is>
      </c>
      <c r="E98" t="inlineStr">
        <is>
          <t>BRÄCKE</t>
        </is>
      </c>
      <c r="F98" t="inlineStr">
        <is>
          <t>SCA</t>
        </is>
      </c>
      <c r="G98" t="n">
        <v>3.5</v>
      </c>
      <c r="H98" t="n">
        <v>2</v>
      </c>
      <c r="I98" t="n">
        <v>1</v>
      </c>
      <c r="J98" t="n">
        <v>1</v>
      </c>
      <c r="K98" t="n">
        <v>1</v>
      </c>
      <c r="L98" t="n">
        <v>0</v>
      </c>
      <c r="M98" t="n">
        <v>0</v>
      </c>
      <c r="N98" t="n">
        <v>0</v>
      </c>
      <c r="O98" t="n">
        <v>2</v>
      </c>
      <c r="P98" t="n">
        <v>1</v>
      </c>
      <c r="Q98" t="n">
        <v>3</v>
      </c>
      <c r="R98" s="2" t="inlineStr">
        <is>
          <t>Knärot
Ullticka
Grönkulla</t>
        </is>
      </c>
      <c r="S98">
        <f>HYPERLINK("https://klasma.github.io/Logging_2305/artfynd/A 49336-2023 artfynd.xlsx", "A 49336-2023")</f>
        <v/>
      </c>
      <c r="T98">
        <f>HYPERLINK("https://klasma.github.io/Logging_2305/kartor/A 49336-2023 karta.png", "A 49336-2023")</f>
        <v/>
      </c>
      <c r="U98">
        <f>HYPERLINK("https://klasma.github.io/Logging_2305/knärot/A 49336-2023 karta knärot.png", "A 49336-2023")</f>
        <v/>
      </c>
      <c r="V98">
        <f>HYPERLINK("https://klasma.github.io/Logging_2305/klagomål/A 49336-2023 FSC-klagomål.docx", "A 49336-2023")</f>
        <v/>
      </c>
      <c r="W98">
        <f>HYPERLINK("https://klasma.github.io/Logging_2305/klagomålsmail/A 49336-2023 FSC-klagomål mail.docx", "A 49336-2023")</f>
        <v/>
      </c>
      <c r="X98">
        <f>HYPERLINK("https://klasma.github.io/Logging_2305/tillsyn/A 49336-2023 tillsynsbegäran.docx", "A 49336-2023")</f>
        <v/>
      </c>
      <c r="Y98">
        <f>HYPERLINK("https://klasma.github.io/Logging_2305/tillsynsmail/A 49336-2023 tillsynsbegäran mail.docx", "A 49336-2023")</f>
        <v/>
      </c>
    </row>
    <row r="99" ht="15" customHeight="1">
      <c r="A99" t="inlineStr">
        <is>
          <t>A 1279-2024</t>
        </is>
      </c>
      <c r="B99" s="1" t="n">
        <v>45302</v>
      </c>
      <c r="C99" s="1" t="n">
        <v>45507</v>
      </c>
      <c r="D99" t="inlineStr">
        <is>
          <t>JÄMTLANDS LÄN</t>
        </is>
      </c>
      <c r="E99" t="inlineStr">
        <is>
          <t>BRÄCKE</t>
        </is>
      </c>
      <c r="F99" t="inlineStr">
        <is>
          <t>SCA</t>
        </is>
      </c>
      <c r="G99" t="n">
        <v>16.1</v>
      </c>
      <c r="H99" t="n">
        <v>1</v>
      </c>
      <c r="I99" t="n">
        <v>0</v>
      </c>
      <c r="J99" t="n">
        <v>2</v>
      </c>
      <c r="K99" t="n">
        <v>1</v>
      </c>
      <c r="L99" t="n">
        <v>0</v>
      </c>
      <c r="M99" t="n">
        <v>0</v>
      </c>
      <c r="N99" t="n">
        <v>0</v>
      </c>
      <c r="O99" t="n">
        <v>3</v>
      </c>
      <c r="P99" t="n">
        <v>1</v>
      </c>
      <c r="Q99" t="n">
        <v>3</v>
      </c>
      <c r="R99" s="2" t="inlineStr">
        <is>
          <t>Åsstarr
Månlåsbräken
Smålom</t>
        </is>
      </c>
      <c r="S99">
        <f>HYPERLINK("https://klasma.github.io/Logging_2305/artfynd/A 1279-2024 artfynd.xlsx", "A 1279-2024")</f>
        <v/>
      </c>
      <c r="T99">
        <f>HYPERLINK("https://klasma.github.io/Logging_2305/kartor/A 1279-2024 karta.png", "A 1279-2024")</f>
        <v/>
      </c>
      <c r="V99">
        <f>HYPERLINK("https://klasma.github.io/Logging_2305/klagomål/A 1279-2024 FSC-klagomål.docx", "A 1279-2024")</f>
        <v/>
      </c>
      <c r="W99">
        <f>HYPERLINK("https://klasma.github.io/Logging_2305/klagomålsmail/A 1279-2024 FSC-klagomål mail.docx", "A 1279-2024")</f>
        <v/>
      </c>
      <c r="X99">
        <f>HYPERLINK("https://klasma.github.io/Logging_2305/tillsyn/A 1279-2024 tillsynsbegäran.docx", "A 1279-2024")</f>
        <v/>
      </c>
      <c r="Y99">
        <f>HYPERLINK("https://klasma.github.io/Logging_2305/tillsynsmail/A 1279-2024 tillsynsbegäran mail.docx", "A 1279-2024")</f>
        <v/>
      </c>
      <c r="Z99">
        <f>HYPERLINK("https://klasma.github.io/Logging_2305/fåglar/A 1279-2024 prioriterade fågelarter.docx", "A 1279-2024")</f>
        <v/>
      </c>
    </row>
    <row r="100" ht="15" customHeight="1">
      <c r="A100" t="inlineStr">
        <is>
          <t>A 2061-2024</t>
        </is>
      </c>
      <c r="B100" s="1" t="n">
        <v>45308</v>
      </c>
      <c r="C100" s="1" t="n">
        <v>45507</v>
      </c>
      <c r="D100" t="inlineStr">
        <is>
          <t>JÄMTLANDS LÄN</t>
        </is>
      </c>
      <c r="E100" t="inlineStr">
        <is>
          <t>BRÄCKE</t>
        </is>
      </c>
      <c r="F100" t="inlineStr">
        <is>
          <t>SCA</t>
        </is>
      </c>
      <c r="G100" t="n">
        <v>3.5</v>
      </c>
      <c r="H100" t="n">
        <v>0</v>
      </c>
      <c r="I100" t="n">
        <v>1</v>
      </c>
      <c r="J100" t="n">
        <v>2</v>
      </c>
      <c r="K100" t="n">
        <v>0</v>
      </c>
      <c r="L100" t="n">
        <v>0</v>
      </c>
      <c r="M100" t="n">
        <v>0</v>
      </c>
      <c r="N100" t="n">
        <v>0</v>
      </c>
      <c r="O100" t="n">
        <v>2</v>
      </c>
      <c r="P100" t="n">
        <v>0</v>
      </c>
      <c r="Q100" t="n">
        <v>3</v>
      </c>
      <c r="R100" s="2" t="inlineStr">
        <is>
          <t>Lunglav
Stiftgelélav
Skinnlav</t>
        </is>
      </c>
      <c r="S100">
        <f>HYPERLINK("https://klasma.github.io/Logging_2305/artfynd/A 2061-2024 artfynd.xlsx", "A 2061-2024")</f>
        <v/>
      </c>
      <c r="T100">
        <f>HYPERLINK("https://klasma.github.io/Logging_2305/kartor/A 2061-2024 karta.png", "A 2061-2024")</f>
        <v/>
      </c>
      <c r="V100">
        <f>HYPERLINK("https://klasma.github.io/Logging_2305/klagomål/A 2061-2024 FSC-klagomål.docx", "A 2061-2024")</f>
        <v/>
      </c>
      <c r="W100">
        <f>HYPERLINK("https://klasma.github.io/Logging_2305/klagomålsmail/A 2061-2024 FSC-klagomål mail.docx", "A 2061-2024")</f>
        <v/>
      </c>
      <c r="X100">
        <f>HYPERLINK("https://klasma.github.io/Logging_2305/tillsyn/A 2061-2024 tillsynsbegäran.docx", "A 2061-2024")</f>
        <v/>
      </c>
      <c r="Y100">
        <f>HYPERLINK("https://klasma.github.io/Logging_2305/tillsynsmail/A 2061-2024 tillsynsbegäran mail.docx", "A 2061-2024")</f>
        <v/>
      </c>
    </row>
    <row r="101" ht="15" customHeight="1">
      <c r="A101" t="inlineStr">
        <is>
          <t>A 19336-2024</t>
        </is>
      </c>
      <c r="B101" s="1" t="n">
        <v>45429</v>
      </c>
      <c r="C101" s="1" t="n">
        <v>45507</v>
      </c>
      <c r="D101" t="inlineStr">
        <is>
          <t>JÄMTLANDS LÄN</t>
        </is>
      </c>
      <c r="E101" t="inlineStr">
        <is>
          <t>BRÄCKE</t>
        </is>
      </c>
      <c r="F101" t="inlineStr">
        <is>
          <t>SCA</t>
        </is>
      </c>
      <c r="G101" t="n">
        <v>5.8</v>
      </c>
      <c r="H101" t="n">
        <v>1</v>
      </c>
      <c r="I101" t="n">
        <v>0</v>
      </c>
      <c r="J101" t="n">
        <v>3</v>
      </c>
      <c r="K101" t="n">
        <v>0</v>
      </c>
      <c r="L101" t="n">
        <v>0</v>
      </c>
      <c r="M101" t="n">
        <v>0</v>
      </c>
      <c r="N101" t="n">
        <v>0</v>
      </c>
      <c r="O101" t="n">
        <v>3</v>
      </c>
      <c r="P101" t="n">
        <v>0</v>
      </c>
      <c r="Q101" t="n">
        <v>3</v>
      </c>
      <c r="R101" s="2" t="inlineStr">
        <is>
          <t>Granticka
Lunglav
Spillkråka</t>
        </is>
      </c>
      <c r="S101">
        <f>HYPERLINK("https://klasma.github.io/Logging_2305/artfynd/A 19336-2024 artfynd.xlsx", "A 19336-2024")</f>
        <v/>
      </c>
      <c r="T101">
        <f>HYPERLINK("https://klasma.github.io/Logging_2305/kartor/A 19336-2024 karta.png", "A 19336-2024")</f>
        <v/>
      </c>
      <c r="V101">
        <f>HYPERLINK("https://klasma.github.io/Logging_2305/klagomål/A 19336-2024 FSC-klagomål.docx", "A 19336-2024")</f>
        <v/>
      </c>
      <c r="W101">
        <f>HYPERLINK("https://klasma.github.io/Logging_2305/klagomålsmail/A 19336-2024 FSC-klagomål mail.docx", "A 19336-2024")</f>
        <v/>
      </c>
      <c r="X101">
        <f>HYPERLINK("https://klasma.github.io/Logging_2305/tillsyn/A 19336-2024 tillsynsbegäran.docx", "A 19336-2024")</f>
        <v/>
      </c>
      <c r="Y101">
        <f>HYPERLINK("https://klasma.github.io/Logging_2305/tillsynsmail/A 19336-2024 tillsynsbegäran mail.docx", "A 19336-2024")</f>
        <v/>
      </c>
      <c r="Z101">
        <f>HYPERLINK("https://klasma.github.io/Logging_2305/fåglar/A 19336-2024 prioriterade fågelarter.docx", "A 19336-2024")</f>
        <v/>
      </c>
    </row>
    <row r="102" ht="15" customHeight="1">
      <c r="A102" t="inlineStr">
        <is>
          <t>A 21851-2024</t>
        </is>
      </c>
      <c r="B102" s="1" t="n">
        <v>45443</v>
      </c>
      <c r="C102" s="1" t="n">
        <v>45507</v>
      </c>
      <c r="D102" t="inlineStr">
        <is>
          <t>JÄMTLANDS LÄN</t>
        </is>
      </c>
      <c r="E102" t="inlineStr">
        <is>
          <t>BRÄCKE</t>
        </is>
      </c>
      <c r="F102" t="inlineStr">
        <is>
          <t>SCA</t>
        </is>
      </c>
      <c r="G102" t="n">
        <v>5</v>
      </c>
      <c r="H102" t="n">
        <v>0</v>
      </c>
      <c r="I102" t="n">
        <v>0</v>
      </c>
      <c r="J102" t="n">
        <v>2</v>
      </c>
      <c r="K102" t="n">
        <v>1</v>
      </c>
      <c r="L102" t="n">
        <v>0</v>
      </c>
      <c r="M102" t="n">
        <v>0</v>
      </c>
      <c r="N102" t="n">
        <v>0</v>
      </c>
      <c r="O102" t="n">
        <v>3</v>
      </c>
      <c r="P102" t="n">
        <v>1</v>
      </c>
      <c r="Q102" t="n">
        <v>3</v>
      </c>
      <c r="R102" s="2" t="inlineStr">
        <is>
          <t>Gräddporing
Dvärgbägarlav
Vaddporing</t>
        </is>
      </c>
      <c r="S102">
        <f>HYPERLINK("https://klasma.github.io/Logging_2305/artfynd/A 21851-2024 artfynd.xlsx", "A 21851-2024")</f>
        <v/>
      </c>
      <c r="T102">
        <f>HYPERLINK("https://klasma.github.io/Logging_2305/kartor/A 21851-2024 karta.png", "A 21851-2024")</f>
        <v/>
      </c>
      <c r="V102">
        <f>HYPERLINK("https://klasma.github.io/Logging_2305/klagomål/A 21851-2024 FSC-klagomål.docx", "A 21851-2024")</f>
        <v/>
      </c>
      <c r="W102">
        <f>HYPERLINK("https://klasma.github.io/Logging_2305/klagomålsmail/A 21851-2024 FSC-klagomål mail.docx", "A 21851-2024")</f>
        <v/>
      </c>
      <c r="X102">
        <f>HYPERLINK("https://klasma.github.io/Logging_2305/tillsyn/A 21851-2024 tillsynsbegäran.docx", "A 21851-2024")</f>
        <v/>
      </c>
      <c r="Y102">
        <f>HYPERLINK("https://klasma.github.io/Logging_2305/tillsynsmail/A 21851-2024 tillsynsbegäran mail.docx", "A 21851-2024")</f>
        <v/>
      </c>
    </row>
    <row r="103" ht="15" customHeight="1">
      <c r="A103" t="inlineStr">
        <is>
          <t>A 25717-2024</t>
        </is>
      </c>
      <c r="B103" s="1" t="n">
        <v>45464</v>
      </c>
      <c r="C103" s="1" t="n">
        <v>45507</v>
      </c>
      <c r="D103" t="inlineStr">
        <is>
          <t>JÄMTLANDS LÄN</t>
        </is>
      </c>
      <c r="E103" t="inlineStr">
        <is>
          <t>BRÄCKE</t>
        </is>
      </c>
      <c r="G103" t="n">
        <v>2.9</v>
      </c>
      <c r="H103" t="n">
        <v>1</v>
      </c>
      <c r="I103" t="n">
        <v>1</v>
      </c>
      <c r="J103" t="n">
        <v>1</v>
      </c>
      <c r="K103" t="n">
        <v>1</v>
      </c>
      <c r="L103" t="n">
        <v>0</v>
      </c>
      <c r="M103" t="n">
        <v>0</v>
      </c>
      <c r="N103" t="n">
        <v>0</v>
      </c>
      <c r="O103" t="n">
        <v>2</v>
      </c>
      <c r="P103" t="n">
        <v>1</v>
      </c>
      <c r="Q103" t="n">
        <v>3</v>
      </c>
      <c r="R103" s="2" t="inlineStr">
        <is>
          <t>Knärot
Lunglav
Skinnlav</t>
        </is>
      </c>
      <c r="S103">
        <f>HYPERLINK("https://klasma.github.io/Logging_2305/artfynd/A 25717-2024 artfynd.xlsx", "A 25717-2024")</f>
        <v/>
      </c>
      <c r="T103">
        <f>HYPERLINK("https://klasma.github.io/Logging_2305/kartor/A 25717-2024 karta.png", "A 25717-2024")</f>
        <v/>
      </c>
      <c r="U103">
        <f>HYPERLINK("https://klasma.github.io/Logging_2305/knärot/A 25717-2024 karta knärot.png", "A 25717-2024")</f>
        <v/>
      </c>
      <c r="V103">
        <f>HYPERLINK("https://klasma.github.io/Logging_2305/klagomål/A 25717-2024 FSC-klagomål.docx", "A 25717-2024")</f>
        <v/>
      </c>
      <c r="W103">
        <f>HYPERLINK("https://klasma.github.io/Logging_2305/klagomålsmail/A 25717-2024 FSC-klagomål mail.docx", "A 25717-2024")</f>
        <v/>
      </c>
      <c r="X103">
        <f>HYPERLINK("https://klasma.github.io/Logging_2305/tillsyn/A 25717-2024 tillsynsbegäran.docx", "A 25717-2024")</f>
        <v/>
      </c>
      <c r="Y103">
        <f>HYPERLINK("https://klasma.github.io/Logging_2305/tillsynsmail/A 25717-2024 tillsynsbegäran mail.docx", "A 25717-2024")</f>
        <v/>
      </c>
    </row>
    <row r="104" ht="15" customHeight="1">
      <c r="A104" t="inlineStr">
        <is>
          <t>A 29689-2024</t>
        </is>
      </c>
      <c r="B104" s="1" t="n">
        <v>45485</v>
      </c>
      <c r="C104" s="1" t="n">
        <v>45507</v>
      </c>
      <c r="D104" t="inlineStr">
        <is>
          <t>JÄMTLANDS LÄN</t>
        </is>
      </c>
      <c r="E104" t="inlineStr">
        <is>
          <t>BRÄCKE</t>
        </is>
      </c>
      <c r="F104" t="inlineStr">
        <is>
          <t>SCA</t>
        </is>
      </c>
      <c r="G104" t="n">
        <v>6.3</v>
      </c>
      <c r="H104" t="n">
        <v>0</v>
      </c>
      <c r="I104" t="n">
        <v>1</v>
      </c>
      <c r="J104" t="n">
        <v>2</v>
      </c>
      <c r="K104" t="n">
        <v>0</v>
      </c>
      <c r="L104" t="n">
        <v>0</v>
      </c>
      <c r="M104" t="n">
        <v>0</v>
      </c>
      <c r="N104" t="n">
        <v>0</v>
      </c>
      <c r="O104" t="n">
        <v>2</v>
      </c>
      <c r="P104" t="n">
        <v>0</v>
      </c>
      <c r="Q104" t="n">
        <v>3</v>
      </c>
      <c r="R104" s="2" t="inlineStr">
        <is>
          <t>Garnlav
Granticka
Vedticka</t>
        </is>
      </c>
      <c r="S104">
        <f>HYPERLINK("https://klasma.github.io/Logging_2305/artfynd/A 29689-2024 artfynd.xlsx", "A 29689-2024")</f>
        <v/>
      </c>
      <c r="T104">
        <f>HYPERLINK("https://klasma.github.io/Logging_2305/kartor/A 29689-2024 karta.png", "A 29689-2024")</f>
        <v/>
      </c>
      <c r="V104">
        <f>HYPERLINK("https://klasma.github.io/Logging_2305/klagomål/A 29689-2024 FSC-klagomål.docx", "A 29689-2024")</f>
        <v/>
      </c>
      <c r="W104">
        <f>HYPERLINK("https://klasma.github.io/Logging_2305/klagomålsmail/A 29689-2024 FSC-klagomål mail.docx", "A 29689-2024")</f>
        <v/>
      </c>
      <c r="X104">
        <f>HYPERLINK("https://klasma.github.io/Logging_2305/tillsyn/A 29689-2024 tillsynsbegäran.docx", "A 29689-2024")</f>
        <v/>
      </c>
      <c r="Y104">
        <f>HYPERLINK("https://klasma.github.io/Logging_2305/tillsynsmail/A 29689-2024 tillsynsbegäran mail.docx", "A 29689-2024")</f>
        <v/>
      </c>
    </row>
    <row r="105" ht="15" customHeight="1">
      <c r="A105" t="inlineStr">
        <is>
          <t>A 29690-2024</t>
        </is>
      </c>
      <c r="B105" s="1" t="n">
        <v>45485</v>
      </c>
      <c r="C105" s="1" t="n">
        <v>45507</v>
      </c>
      <c r="D105" t="inlineStr">
        <is>
          <t>JÄMTLANDS LÄN</t>
        </is>
      </c>
      <c r="E105" t="inlineStr">
        <is>
          <t>BRÄCKE</t>
        </is>
      </c>
      <c r="F105" t="inlineStr">
        <is>
          <t>SCA</t>
        </is>
      </c>
      <c r="G105" t="n">
        <v>12.7</v>
      </c>
      <c r="H105" t="n">
        <v>0</v>
      </c>
      <c r="I105" t="n">
        <v>1</v>
      </c>
      <c r="J105" t="n">
        <v>2</v>
      </c>
      <c r="K105" t="n">
        <v>0</v>
      </c>
      <c r="L105" t="n">
        <v>0</v>
      </c>
      <c r="M105" t="n">
        <v>0</v>
      </c>
      <c r="N105" t="n">
        <v>0</v>
      </c>
      <c r="O105" t="n">
        <v>2</v>
      </c>
      <c r="P105" t="n">
        <v>0</v>
      </c>
      <c r="Q105" t="n">
        <v>3</v>
      </c>
      <c r="R105" s="2" t="inlineStr">
        <is>
          <t>Garnlav
Granticka
Vedticka</t>
        </is>
      </c>
      <c r="S105">
        <f>HYPERLINK("https://klasma.github.io/Logging_2305/artfynd/A 29690-2024 artfynd.xlsx", "A 29690-2024")</f>
        <v/>
      </c>
      <c r="T105">
        <f>HYPERLINK("https://klasma.github.io/Logging_2305/kartor/A 29690-2024 karta.png", "A 29690-2024")</f>
        <v/>
      </c>
      <c r="V105">
        <f>HYPERLINK("https://klasma.github.io/Logging_2305/klagomål/A 29690-2024 FSC-klagomål.docx", "A 29690-2024")</f>
        <v/>
      </c>
      <c r="W105">
        <f>HYPERLINK("https://klasma.github.io/Logging_2305/klagomålsmail/A 29690-2024 FSC-klagomål mail.docx", "A 29690-2024")</f>
        <v/>
      </c>
      <c r="X105">
        <f>HYPERLINK("https://klasma.github.io/Logging_2305/tillsyn/A 29690-2024 tillsynsbegäran.docx", "A 29690-2024")</f>
        <v/>
      </c>
      <c r="Y105">
        <f>HYPERLINK("https://klasma.github.io/Logging_2305/tillsynsmail/A 29690-2024 tillsynsbegäran mail.docx", "A 29690-2024")</f>
        <v/>
      </c>
    </row>
    <row r="106" ht="15" customHeight="1">
      <c r="A106" t="inlineStr">
        <is>
          <t>A 30989-2024</t>
        </is>
      </c>
      <c r="B106" s="1" t="n">
        <v>45499</v>
      </c>
      <c r="C106" s="1" t="n">
        <v>45507</v>
      </c>
      <c r="D106" t="inlineStr">
        <is>
          <t>JÄMTLANDS LÄN</t>
        </is>
      </c>
      <c r="E106" t="inlineStr">
        <is>
          <t>BRÄCKE</t>
        </is>
      </c>
      <c r="F106" t="inlineStr">
        <is>
          <t>Sveaskog</t>
        </is>
      </c>
      <c r="G106" t="n">
        <v>2.5</v>
      </c>
      <c r="H106" t="n">
        <v>1</v>
      </c>
      <c r="I106" t="n">
        <v>1</v>
      </c>
      <c r="J106" t="n">
        <v>2</v>
      </c>
      <c r="K106" t="n">
        <v>0</v>
      </c>
      <c r="L106" t="n">
        <v>0</v>
      </c>
      <c r="M106" t="n">
        <v>0</v>
      </c>
      <c r="N106" t="n">
        <v>0</v>
      </c>
      <c r="O106" t="n">
        <v>2</v>
      </c>
      <c r="P106" t="n">
        <v>0</v>
      </c>
      <c r="Q106" t="n">
        <v>3</v>
      </c>
      <c r="R106" s="2" t="inlineStr">
        <is>
          <t>Lunglav
Skrovellav
Tvåblad</t>
        </is>
      </c>
      <c r="S106">
        <f>HYPERLINK("https://klasma.github.io/Logging_2305/artfynd/A 30989-2024 artfynd.xlsx", "A 30989-2024")</f>
        <v/>
      </c>
      <c r="T106">
        <f>HYPERLINK("https://klasma.github.io/Logging_2305/kartor/A 30989-2024 karta.png", "A 30989-2024")</f>
        <v/>
      </c>
      <c r="V106">
        <f>HYPERLINK("https://klasma.github.io/Logging_2305/klagomål/A 30989-2024 FSC-klagomål.docx", "A 30989-2024")</f>
        <v/>
      </c>
      <c r="W106">
        <f>HYPERLINK("https://klasma.github.io/Logging_2305/klagomålsmail/A 30989-2024 FSC-klagomål mail.docx", "A 30989-2024")</f>
        <v/>
      </c>
      <c r="X106">
        <f>HYPERLINK("https://klasma.github.io/Logging_2305/tillsyn/A 30989-2024 tillsynsbegäran.docx", "A 30989-2024")</f>
        <v/>
      </c>
      <c r="Y106">
        <f>HYPERLINK("https://klasma.github.io/Logging_2305/tillsynsmail/A 30989-2024 tillsynsbegäran mail.docx", "A 30989-2024")</f>
        <v/>
      </c>
    </row>
    <row r="107" ht="15" customHeight="1">
      <c r="A107" t="inlineStr">
        <is>
          <t>A 28341-2019</t>
        </is>
      </c>
      <c r="B107" s="1" t="n">
        <v>43623</v>
      </c>
      <c r="C107" s="1" t="n">
        <v>45507</v>
      </c>
      <c r="D107" t="inlineStr">
        <is>
          <t>JÄMTLANDS LÄN</t>
        </is>
      </c>
      <c r="E107" t="inlineStr">
        <is>
          <t>BRÄCKE</t>
        </is>
      </c>
      <c r="F107" t="inlineStr">
        <is>
          <t>SCA</t>
        </is>
      </c>
      <c r="G107" t="n">
        <v>5.4</v>
      </c>
      <c r="H107" t="n">
        <v>0</v>
      </c>
      <c r="I107" t="n">
        <v>1</v>
      </c>
      <c r="J107" t="n">
        <v>0</v>
      </c>
      <c r="K107" t="n">
        <v>1</v>
      </c>
      <c r="L107" t="n">
        <v>0</v>
      </c>
      <c r="M107" t="n">
        <v>0</v>
      </c>
      <c r="N107" t="n">
        <v>0</v>
      </c>
      <c r="O107" t="n">
        <v>1</v>
      </c>
      <c r="P107" t="n">
        <v>1</v>
      </c>
      <c r="Q107" t="n">
        <v>2</v>
      </c>
      <c r="R107" s="2" t="inlineStr">
        <is>
          <t>Liten hornflikmossa
Stor aspticka</t>
        </is>
      </c>
      <c r="S107">
        <f>HYPERLINK("https://klasma.github.io/Logging_2305/artfynd/A 28341-2019 artfynd.xlsx", "A 28341-2019")</f>
        <v/>
      </c>
      <c r="T107">
        <f>HYPERLINK("https://klasma.github.io/Logging_2305/kartor/A 28341-2019 karta.png", "A 28341-2019")</f>
        <v/>
      </c>
      <c r="V107">
        <f>HYPERLINK("https://klasma.github.io/Logging_2305/klagomål/A 28341-2019 FSC-klagomål.docx", "A 28341-2019")</f>
        <v/>
      </c>
      <c r="W107">
        <f>HYPERLINK("https://klasma.github.io/Logging_2305/klagomålsmail/A 28341-2019 FSC-klagomål mail.docx", "A 28341-2019")</f>
        <v/>
      </c>
      <c r="X107">
        <f>HYPERLINK("https://klasma.github.io/Logging_2305/tillsyn/A 28341-2019 tillsynsbegäran.docx", "A 28341-2019")</f>
        <v/>
      </c>
      <c r="Y107">
        <f>HYPERLINK("https://klasma.github.io/Logging_2305/tillsynsmail/A 28341-2019 tillsynsbegäran mail.docx", "A 28341-2019")</f>
        <v/>
      </c>
    </row>
    <row r="108" ht="15" customHeight="1">
      <c r="A108" t="inlineStr">
        <is>
          <t>A 48992-2019</t>
        </is>
      </c>
      <c r="B108" s="1" t="n">
        <v>43729</v>
      </c>
      <c r="C108" s="1" t="n">
        <v>45507</v>
      </c>
      <c r="D108" t="inlineStr">
        <is>
          <t>JÄMTLANDS LÄN</t>
        </is>
      </c>
      <c r="E108" t="inlineStr">
        <is>
          <t>BRÄCKE</t>
        </is>
      </c>
      <c r="F108" t="inlineStr">
        <is>
          <t>SCA</t>
        </is>
      </c>
      <c r="G108" t="n">
        <v>7.2</v>
      </c>
      <c r="H108" t="n">
        <v>0</v>
      </c>
      <c r="I108" t="n">
        <v>1</v>
      </c>
      <c r="J108" t="n">
        <v>0</v>
      </c>
      <c r="K108" t="n">
        <v>0</v>
      </c>
      <c r="L108" t="n">
        <v>1</v>
      </c>
      <c r="M108" t="n">
        <v>0</v>
      </c>
      <c r="N108" t="n">
        <v>0</v>
      </c>
      <c r="O108" t="n">
        <v>1</v>
      </c>
      <c r="P108" t="n">
        <v>1</v>
      </c>
      <c r="Q108" t="n">
        <v>2</v>
      </c>
      <c r="R108" s="2" t="inlineStr">
        <is>
          <t>Trolldruvemätare
Svart trolldruva</t>
        </is>
      </c>
      <c r="S108">
        <f>HYPERLINK("https://klasma.github.io/Logging_2305/artfynd/A 48992-2019 artfynd.xlsx", "A 48992-2019")</f>
        <v/>
      </c>
      <c r="T108">
        <f>HYPERLINK("https://klasma.github.io/Logging_2305/kartor/A 48992-2019 karta.png", "A 48992-2019")</f>
        <v/>
      </c>
      <c r="V108">
        <f>HYPERLINK("https://klasma.github.io/Logging_2305/klagomål/A 48992-2019 FSC-klagomål.docx", "A 48992-2019")</f>
        <v/>
      </c>
      <c r="W108">
        <f>HYPERLINK("https://klasma.github.io/Logging_2305/klagomålsmail/A 48992-2019 FSC-klagomål mail.docx", "A 48992-2019")</f>
        <v/>
      </c>
      <c r="X108">
        <f>HYPERLINK("https://klasma.github.io/Logging_2305/tillsyn/A 48992-2019 tillsynsbegäran.docx", "A 48992-2019")</f>
        <v/>
      </c>
      <c r="Y108">
        <f>HYPERLINK("https://klasma.github.io/Logging_2305/tillsynsmail/A 48992-2019 tillsynsbegäran mail.docx", "A 48992-2019")</f>
        <v/>
      </c>
    </row>
    <row r="109" ht="15" customHeight="1">
      <c r="A109" t="inlineStr">
        <is>
          <t>A 59325-2019</t>
        </is>
      </c>
      <c r="B109" s="1" t="n">
        <v>43775</v>
      </c>
      <c r="C109" s="1" t="n">
        <v>45507</v>
      </c>
      <c r="D109" t="inlineStr">
        <is>
          <t>JÄMTLANDS LÄN</t>
        </is>
      </c>
      <c r="E109" t="inlineStr">
        <is>
          <t>BRÄCKE</t>
        </is>
      </c>
      <c r="G109" t="n">
        <v>2.3</v>
      </c>
      <c r="H109" t="n">
        <v>0</v>
      </c>
      <c r="I109" t="n">
        <v>0</v>
      </c>
      <c r="J109" t="n">
        <v>2</v>
      </c>
      <c r="K109" t="n">
        <v>0</v>
      </c>
      <c r="L109" t="n">
        <v>0</v>
      </c>
      <c r="M109" t="n">
        <v>0</v>
      </c>
      <c r="N109" t="n">
        <v>0</v>
      </c>
      <c r="O109" t="n">
        <v>2</v>
      </c>
      <c r="P109" t="n">
        <v>0</v>
      </c>
      <c r="Q109" t="n">
        <v>2</v>
      </c>
      <c r="R109" s="2" t="inlineStr">
        <is>
          <t>Dvärgbägarlav
Vedskivlav</t>
        </is>
      </c>
      <c r="S109">
        <f>HYPERLINK("https://klasma.github.io/Logging_2305/artfynd/A 59325-2019 artfynd.xlsx", "A 59325-2019")</f>
        <v/>
      </c>
      <c r="T109">
        <f>HYPERLINK("https://klasma.github.io/Logging_2305/kartor/A 59325-2019 karta.png", "A 59325-2019")</f>
        <v/>
      </c>
      <c r="V109">
        <f>HYPERLINK("https://klasma.github.io/Logging_2305/klagomål/A 59325-2019 FSC-klagomål.docx", "A 59325-2019")</f>
        <v/>
      </c>
      <c r="W109">
        <f>HYPERLINK("https://klasma.github.io/Logging_2305/klagomålsmail/A 59325-2019 FSC-klagomål mail.docx", "A 59325-2019")</f>
        <v/>
      </c>
      <c r="X109">
        <f>HYPERLINK("https://klasma.github.io/Logging_2305/tillsyn/A 59325-2019 tillsynsbegäran.docx", "A 59325-2019")</f>
        <v/>
      </c>
      <c r="Y109">
        <f>HYPERLINK("https://klasma.github.io/Logging_2305/tillsynsmail/A 59325-2019 tillsynsbegäran mail.docx", "A 59325-2019")</f>
        <v/>
      </c>
    </row>
    <row r="110" ht="15" customHeight="1">
      <c r="A110" t="inlineStr">
        <is>
          <t>A 64471-2019</t>
        </is>
      </c>
      <c r="B110" s="1" t="n">
        <v>43797</v>
      </c>
      <c r="C110" s="1" t="n">
        <v>45507</v>
      </c>
      <c r="D110" t="inlineStr">
        <is>
          <t>JÄMTLANDS LÄN</t>
        </is>
      </c>
      <c r="E110" t="inlineStr">
        <is>
          <t>BRÄCKE</t>
        </is>
      </c>
      <c r="F110" t="inlineStr">
        <is>
          <t>SCA</t>
        </is>
      </c>
      <c r="G110" t="n">
        <v>6.4</v>
      </c>
      <c r="H110" t="n">
        <v>1</v>
      </c>
      <c r="I110" t="n">
        <v>1</v>
      </c>
      <c r="J110" t="n">
        <v>1</v>
      </c>
      <c r="K110" t="n">
        <v>0</v>
      </c>
      <c r="L110" t="n">
        <v>0</v>
      </c>
      <c r="M110" t="n">
        <v>0</v>
      </c>
      <c r="N110" t="n">
        <v>0</v>
      </c>
      <c r="O110" t="n">
        <v>1</v>
      </c>
      <c r="P110" t="n">
        <v>0</v>
      </c>
      <c r="Q110" t="n">
        <v>2</v>
      </c>
      <c r="R110" s="2" t="inlineStr">
        <is>
          <t>Garnlav
Korallrot</t>
        </is>
      </c>
      <c r="S110">
        <f>HYPERLINK("https://klasma.github.io/Logging_2305/artfynd/A 64471-2019 artfynd.xlsx", "A 64471-2019")</f>
        <v/>
      </c>
      <c r="T110">
        <f>HYPERLINK("https://klasma.github.io/Logging_2305/kartor/A 64471-2019 karta.png", "A 64471-2019")</f>
        <v/>
      </c>
      <c r="V110">
        <f>HYPERLINK("https://klasma.github.io/Logging_2305/klagomål/A 64471-2019 FSC-klagomål.docx", "A 64471-2019")</f>
        <v/>
      </c>
      <c r="W110">
        <f>HYPERLINK("https://klasma.github.io/Logging_2305/klagomålsmail/A 64471-2019 FSC-klagomål mail.docx", "A 64471-2019")</f>
        <v/>
      </c>
      <c r="X110">
        <f>HYPERLINK("https://klasma.github.io/Logging_2305/tillsyn/A 64471-2019 tillsynsbegäran.docx", "A 64471-2019")</f>
        <v/>
      </c>
      <c r="Y110">
        <f>HYPERLINK("https://klasma.github.io/Logging_2305/tillsynsmail/A 64471-2019 tillsynsbegäran mail.docx", "A 64471-2019")</f>
        <v/>
      </c>
    </row>
    <row r="111" ht="15" customHeight="1">
      <c r="A111" t="inlineStr">
        <is>
          <t>A 33664-2020</t>
        </is>
      </c>
      <c r="B111" s="1" t="n">
        <v>44026</v>
      </c>
      <c r="C111" s="1" t="n">
        <v>45507</v>
      </c>
      <c r="D111" t="inlineStr">
        <is>
          <t>JÄMTLANDS LÄN</t>
        </is>
      </c>
      <c r="E111" t="inlineStr">
        <is>
          <t>BRÄCKE</t>
        </is>
      </c>
      <c r="G111" t="n">
        <v>6.3</v>
      </c>
      <c r="H111" t="n">
        <v>0</v>
      </c>
      <c r="I111" t="n">
        <v>0</v>
      </c>
      <c r="J111" t="n">
        <v>2</v>
      </c>
      <c r="K111" t="n">
        <v>0</v>
      </c>
      <c r="L111" t="n">
        <v>0</v>
      </c>
      <c r="M111" t="n">
        <v>0</v>
      </c>
      <c r="N111" t="n">
        <v>0</v>
      </c>
      <c r="O111" t="n">
        <v>2</v>
      </c>
      <c r="P111" t="n">
        <v>0</v>
      </c>
      <c r="Q111" t="n">
        <v>2</v>
      </c>
      <c r="R111" s="2" t="inlineStr">
        <is>
          <t>Lunglav
Skrovellav</t>
        </is>
      </c>
      <c r="S111">
        <f>HYPERLINK("https://klasma.github.io/Logging_2305/artfynd/A 33664-2020 artfynd.xlsx", "A 33664-2020")</f>
        <v/>
      </c>
      <c r="T111">
        <f>HYPERLINK("https://klasma.github.io/Logging_2305/kartor/A 33664-2020 karta.png", "A 33664-2020")</f>
        <v/>
      </c>
      <c r="U111">
        <f>HYPERLINK("https://klasma.github.io/Logging_2305/knärot/A 33664-2020 karta knärot.png", "A 33664-2020")</f>
        <v/>
      </c>
      <c r="V111">
        <f>HYPERLINK("https://klasma.github.io/Logging_2305/klagomål/A 33664-2020 FSC-klagomål.docx", "A 33664-2020")</f>
        <v/>
      </c>
      <c r="W111">
        <f>HYPERLINK("https://klasma.github.io/Logging_2305/klagomålsmail/A 33664-2020 FSC-klagomål mail.docx", "A 33664-2020")</f>
        <v/>
      </c>
      <c r="X111">
        <f>HYPERLINK("https://klasma.github.io/Logging_2305/tillsyn/A 33664-2020 tillsynsbegäran.docx", "A 33664-2020")</f>
        <v/>
      </c>
      <c r="Y111">
        <f>HYPERLINK("https://klasma.github.io/Logging_2305/tillsynsmail/A 33664-2020 tillsynsbegäran mail.docx", "A 33664-2020")</f>
        <v/>
      </c>
    </row>
    <row r="112" ht="15" customHeight="1">
      <c r="A112" t="inlineStr">
        <is>
          <t>A 38458-2020</t>
        </is>
      </c>
      <c r="B112" s="1" t="n">
        <v>44060</v>
      </c>
      <c r="C112" s="1" t="n">
        <v>45507</v>
      </c>
      <c r="D112" t="inlineStr">
        <is>
          <t>JÄMTLANDS LÄN</t>
        </is>
      </c>
      <c r="E112" t="inlineStr">
        <is>
          <t>BRÄCKE</t>
        </is>
      </c>
      <c r="G112" t="n">
        <v>5.4</v>
      </c>
      <c r="H112" t="n">
        <v>0</v>
      </c>
      <c r="I112" t="n">
        <v>1</v>
      </c>
      <c r="J112" t="n">
        <v>1</v>
      </c>
      <c r="K112" t="n">
        <v>0</v>
      </c>
      <c r="L112" t="n">
        <v>0</v>
      </c>
      <c r="M112" t="n">
        <v>0</v>
      </c>
      <c r="N112" t="n">
        <v>0</v>
      </c>
      <c r="O112" t="n">
        <v>1</v>
      </c>
      <c r="P112" t="n">
        <v>0</v>
      </c>
      <c r="Q112" t="n">
        <v>2</v>
      </c>
      <c r="R112" s="2" t="inlineStr">
        <is>
          <t>Lunglav
Luddlav</t>
        </is>
      </c>
      <c r="S112">
        <f>HYPERLINK("https://klasma.github.io/Logging_2305/artfynd/A 38458-2020 artfynd.xlsx", "A 38458-2020")</f>
        <v/>
      </c>
      <c r="T112">
        <f>HYPERLINK("https://klasma.github.io/Logging_2305/kartor/A 38458-2020 karta.png", "A 38458-2020")</f>
        <v/>
      </c>
      <c r="V112">
        <f>HYPERLINK("https://klasma.github.io/Logging_2305/klagomål/A 38458-2020 FSC-klagomål.docx", "A 38458-2020")</f>
        <v/>
      </c>
      <c r="W112">
        <f>HYPERLINK("https://klasma.github.io/Logging_2305/klagomålsmail/A 38458-2020 FSC-klagomål mail.docx", "A 38458-2020")</f>
        <v/>
      </c>
      <c r="X112">
        <f>HYPERLINK("https://klasma.github.io/Logging_2305/tillsyn/A 38458-2020 tillsynsbegäran.docx", "A 38458-2020")</f>
        <v/>
      </c>
      <c r="Y112">
        <f>HYPERLINK("https://klasma.github.io/Logging_2305/tillsynsmail/A 38458-2020 tillsynsbegäran mail.docx", "A 38458-2020")</f>
        <v/>
      </c>
    </row>
    <row r="113" ht="15" customHeight="1">
      <c r="A113" t="inlineStr">
        <is>
          <t>A 25696-2021</t>
        </is>
      </c>
      <c r="B113" s="1" t="n">
        <v>44343</v>
      </c>
      <c r="C113" s="1" t="n">
        <v>45507</v>
      </c>
      <c r="D113" t="inlineStr">
        <is>
          <t>JÄMTLANDS LÄN</t>
        </is>
      </c>
      <c r="E113" t="inlineStr">
        <is>
          <t>BRÄCKE</t>
        </is>
      </c>
      <c r="G113" t="n">
        <v>13.4</v>
      </c>
      <c r="H113" t="n">
        <v>0</v>
      </c>
      <c r="I113" t="n">
        <v>0</v>
      </c>
      <c r="J113" t="n">
        <v>2</v>
      </c>
      <c r="K113" t="n">
        <v>0</v>
      </c>
      <c r="L113" t="n">
        <v>0</v>
      </c>
      <c r="M113" t="n">
        <v>0</v>
      </c>
      <c r="N113" t="n">
        <v>0</v>
      </c>
      <c r="O113" t="n">
        <v>2</v>
      </c>
      <c r="P113" t="n">
        <v>0</v>
      </c>
      <c r="Q113" t="n">
        <v>2</v>
      </c>
      <c r="R113" s="2" t="inlineStr">
        <is>
          <t>Rosenticka
Ullticka</t>
        </is>
      </c>
      <c r="S113">
        <f>HYPERLINK("https://klasma.github.io/Logging_2305/artfynd/A 25696-2021 artfynd.xlsx", "A 25696-2021")</f>
        <v/>
      </c>
      <c r="T113">
        <f>HYPERLINK("https://klasma.github.io/Logging_2305/kartor/A 25696-2021 karta.png", "A 25696-2021")</f>
        <v/>
      </c>
      <c r="V113">
        <f>HYPERLINK("https://klasma.github.io/Logging_2305/klagomål/A 25696-2021 FSC-klagomål.docx", "A 25696-2021")</f>
        <v/>
      </c>
      <c r="W113">
        <f>HYPERLINK("https://klasma.github.io/Logging_2305/klagomålsmail/A 25696-2021 FSC-klagomål mail.docx", "A 25696-2021")</f>
        <v/>
      </c>
      <c r="X113">
        <f>HYPERLINK("https://klasma.github.io/Logging_2305/tillsyn/A 25696-2021 tillsynsbegäran.docx", "A 25696-2021")</f>
        <v/>
      </c>
      <c r="Y113">
        <f>HYPERLINK("https://klasma.github.io/Logging_2305/tillsynsmail/A 25696-2021 tillsynsbegäran mail.docx", "A 25696-2021")</f>
        <v/>
      </c>
    </row>
    <row r="114" ht="15" customHeight="1">
      <c r="A114" t="inlineStr">
        <is>
          <t>A 28601-2021</t>
        </is>
      </c>
      <c r="B114" s="1" t="n">
        <v>44356</v>
      </c>
      <c r="C114" s="1" t="n">
        <v>45507</v>
      </c>
      <c r="D114" t="inlineStr">
        <is>
          <t>JÄMTLANDS LÄN</t>
        </is>
      </c>
      <c r="E114" t="inlineStr">
        <is>
          <t>BRÄCKE</t>
        </is>
      </c>
      <c r="F114" t="inlineStr">
        <is>
          <t>SCA</t>
        </is>
      </c>
      <c r="G114" t="n">
        <v>6.3</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36456-2021</t>
        </is>
      </c>
      <c r="B115" s="1" t="n">
        <v>44390</v>
      </c>
      <c r="C115" s="1" t="n">
        <v>45507</v>
      </c>
      <c r="D115" t="inlineStr">
        <is>
          <t>JÄMTLANDS LÄN</t>
        </is>
      </c>
      <c r="E115" t="inlineStr">
        <is>
          <t>BRÄCKE</t>
        </is>
      </c>
      <c r="F115" t="inlineStr">
        <is>
          <t>SCA</t>
        </is>
      </c>
      <c r="G115" t="n">
        <v>2.7</v>
      </c>
      <c r="H115" t="n">
        <v>0</v>
      </c>
      <c r="I115" t="n">
        <v>0</v>
      </c>
      <c r="J115" t="n">
        <v>2</v>
      </c>
      <c r="K115" t="n">
        <v>0</v>
      </c>
      <c r="L115" t="n">
        <v>0</v>
      </c>
      <c r="M115" t="n">
        <v>0</v>
      </c>
      <c r="N115" t="n">
        <v>0</v>
      </c>
      <c r="O115" t="n">
        <v>2</v>
      </c>
      <c r="P115" t="n">
        <v>0</v>
      </c>
      <c r="Q115" t="n">
        <v>2</v>
      </c>
      <c r="R115" s="2" t="inlineStr">
        <is>
          <t>Garnlav
Kolflarnlav</t>
        </is>
      </c>
      <c r="S115">
        <f>HYPERLINK("https://klasma.github.io/Logging_2305/artfynd/A 36456-2021 artfynd.xlsx", "A 36456-2021")</f>
        <v/>
      </c>
      <c r="T115">
        <f>HYPERLINK("https://klasma.github.io/Logging_2305/kartor/A 36456-2021 karta.png", "A 36456-2021")</f>
        <v/>
      </c>
      <c r="V115">
        <f>HYPERLINK("https://klasma.github.io/Logging_2305/klagomål/A 36456-2021 FSC-klagomål.docx", "A 36456-2021")</f>
        <v/>
      </c>
      <c r="W115">
        <f>HYPERLINK("https://klasma.github.io/Logging_2305/klagomålsmail/A 36456-2021 FSC-klagomål mail.docx", "A 36456-2021")</f>
        <v/>
      </c>
      <c r="X115">
        <f>HYPERLINK("https://klasma.github.io/Logging_2305/tillsyn/A 36456-2021 tillsynsbegäran.docx", "A 36456-2021")</f>
        <v/>
      </c>
      <c r="Y115">
        <f>HYPERLINK("https://klasma.github.io/Logging_2305/tillsynsmail/A 36456-2021 tillsynsbegäran mail.docx", "A 36456-2021")</f>
        <v/>
      </c>
    </row>
    <row r="116" ht="15" customHeight="1">
      <c r="A116" t="inlineStr">
        <is>
          <t>A 39172-2021</t>
        </is>
      </c>
      <c r="B116" s="1" t="n">
        <v>44412</v>
      </c>
      <c r="C116" s="1" t="n">
        <v>45507</v>
      </c>
      <c r="D116" t="inlineStr">
        <is>
          <t>JÄMTLANDS LÄN</t>
        </is>
      </c>
      <c r="E116" t="inlineStr">
        <is>
          <t>BRÄCKE</t>
        </is>
      </c>
      <c r="F116" t="inlineStr">
        <is>
          <t>SCA</t>
        </is>
      </c>
      <c r="G116" t="n">
        <v>9</v>
      </c>
      <c r="H116" t="n">
        <v>0</v>
      </c>
      <c r="I116" t="n">
        <v>1</v>
      </c>
      <c r="J116" t="n">
        <v>1</v>
      </c>
      <c r="K116" t="n">
        <v>0</v>
      </c>
      <c r="L116" t="n">
        <v>0</v>
      </c>
      <c r="M116" t="n">
        <v>0</v>
      </c>
      <c r="N116" t="n">
        <v>0</v>
      </c>
      <c r="O116" t="n">
        <v>1</v>
      </c>
      <c r="P116" t="n">
        <v>0</v>
      </c>
      <c r="Q116" t="n">
        <v>2</v>
      </c>
      <c r="R116" s="2" t="inlineStr">
        <is>
          <t>Lunglav
Bårdlav</t>
        </is>
      </c>
      <c r="S116">
        <f>HYPERLINK("https://klasma.github.io/Logging_2305/artfynd/A 39172-2021 artfynd.xlsx", "A 39172-2021")</f>
        <v/>
      </c>
      <c r="T116">
        <f>HYPERLINK("https://klasma.github.io/Logging_2305/kartor/A 39172-2021 karta.png", "A 39172-2021")</f>
        <v/>
      </c>
      <c r="V116">
        <f>HYPERLINK("https://klasma.github.io/Logging_2305/klagomål/A 39172-2021 FSC-klagomål.docx", "A 39172-2021")</f>
        <v/>
      </c>
      <c r="W116">
        <f>HYPERLINK("https://klasma.github.io/Logging_2305/klagomålsmail/A 39172-2021 FSC-klagomål mail.docx", "A 39172-2021")</f>
        <v/>
      </c>
      <c r="X116">
        <f>HYPERLINK("https://klasma.github.io/Logging_2305/tillsyn/A 39172-2021 tillsynsbegäran.docx", "A 39172-2021")</f>
        <v/>
      </c>
      <c r="Y116">
        <f>HYPERLINK("https://klasma.github.io/Logging_2305/tillsynsmail/A 39172-2021 tillsynsbegäran mail.docx", "A 39172-2021")</f>
        <v/>
      </c>
    </row>
    <row r="117" ht="15" customHeight="1">
      <c r="A117" t="inlineStr">
        <is>
          <t>A 59324-2021</t>
        </is>
      </c>
      <c r="B117" s="1" t="n">
        <v>44490</v>
      </c>
      <c r="C117" s="1" t="n">
        <v>45507</v>
      </c>
      <c r="D117" t="inlineStr">
        <is>
          <t>JÄMTLANDS LÄN</t>
        </is>
      </c>
      <c r="E117" t="inlineStr">
        <is>
          <t>BRÄCKE</t>
        </is>
      </c>
      <c r="F117" t="inlineStr">
        <is>
          <t>SCA</t>
        </is>
      </c>
      <c r="G117" t="n">
        <v>8.6</v>
      </c>
      <c r="H117" t="n">
        <v>0</v>
      </c>
      <c r="I117" t="n">
        <v>0</v>
      </c>
      <c r="J117" t="n">
        <v>2</v>
      </c>
      <c r="K117" t="n">
        <v>0</v>
      </c>
      <c r="L117" t="n">
        <v>0</v>
      </c>
      <c r="M117" t="n">
        <v>0</v>
      </c>
      <c r="N117" t="n">
        <v>0</v>
      </c>
      <c r="O117" t="n">
        <v>2</v>
      </c>
      <c r="P117" t="n">
        <v>0</v>
      </c>
      <c r="Q117" t="n">
        <v>2</v>
      </c>
      <c r="R117" s="2" t="inlineStr">
        <is>
          <t>Ullticka
Veckticka</t>
        </is>
      </c>
      <c r="S117">
        <f>HYPERLINK("https://klasma.github.io/Logging_2305/artfynd/A 59324-2021 artfynd.xlsx", "A 59324-2021")</f>
        <v/>
      </c>
      <c r="T117">
        <f>HYPERLINK("https://klasma.github.io/Logging_2305/kartor/A 59324-2021 karta.png", "A 59324-2021")</f>
        <v/>
      </c>
      <c r="V117">
        <f>HYPERLINK("https://klasma.github.io/Logging_2305/klagomål/A 59324-2021 FSC-klagomål.docx", "A 59324-2021")</f>
        <v/>
      </c>
      <c r="W117">
        <f>HYPERLINK("https://klasma.github.io/Logging_2305/klagomålsmail/A 59324-2021 FSC-klagomål mail.docx", "A 59324-2021")</f>
        <v/>
      </c>
      <c r="X117">
        <f>HYPERLINK("https://klasma.github.io/Logging_2305/tillsyn/A 59324-2021 tillsynsbegäran.docx", "A 59324-2021")</f>
        <v/>
      </c>
      <c r="Y117">
        <f>HYPERLINK("https://klasma.github.io/Logging_2305/tillsynsmail/A 59324-2021 tillsynsbegäran mail.docx", "A 59324-2021")</f>
        <v/>
      </c>
    </row>
    <row r="118" ht="15" customHeight="1">
      <c r="A118" t="inlineStr">
        <is>
          <t>A 61465-2021</t>
        </is>
      </c>
      <c r="B118" s="1" t="n">
        <v>44500</v>
      </c>
      <c r="C118" s="1" t="n">
        <v>45507</v>
      </c>
      <c r="D118" t="inlineStr">
        <is>
          <t>JÄMTLANDS LÄN</t>
        </is>
      </c>
      <c r="E118" t="inlineStr">
        <is>
          <t>BRÄCKE</t>
        </is>
      </c>
      <c r="F118" t="inlineStr">
        <is>
          <t>SCA</t>
        </is>
      </c>
      <c r="G118" t="n">
        <v>2.8</v>
      </c>
      <c r="H118" t="n">
        <v>0</v>
      </c>
      <c r="I118" t="n">
        <v>0</v>
      </c>
      <c r="J118" t="n">
        <v>2</v>
      </c>
      <c r="K118" t="n">
        <v>0</v>
      </c>
      <c r="L118" t="n">
        <v>0</v>
      </c>
      <c r="M118" t="n">
        <v>0</v>
      </c>
      <c r="N118" t="n">
        <v>0</v>
      </c>
      <c r="O118" t="n">
        <v>2</v>
      </c>
      <c r="P118" t="n">
        <v>0</v>
      </c>
      <c r="Q118" t="n">
        <v>2</v>
      </c>
      <c r="R118" s="2" t="inlineStr">
        <is>
          <t>Garnlav
Lunglav</t>
        </is>
      </c>
      <c r="S118">
        <f>HYPERLINK("https://klasma.github.io/Logging_2305/artfynd/A 61465-2021 artfynd.xlsx", "A 61465-2021")</f>
        <v/>
      </c>
      <c r="T118">
        <f>HYPERLINK("https://klasma.github.io/Logging_2305/kartor/A 61465-2021 karta.png", "A 61465-2021")</f>
        <v/>
      </c>
      <c r="V118">
        <f>HYPERLINK("https://klasma.github.io/Logging_2305/klagomål/A 61465-2021 FSC-klagomål.docx", "A 61465-2021")</f>
        <v/>
      </c>
      <c r="W118">
        <f>HYPERLINK("https://klasma.github.io/Logging_2305/klagomålsmail/A 61465-2021 FSC-klagomål mail.docx", "A 61465-2021")</f>
        <v/>
      </c>
      <c r="X118">
        <f>HYPERLINK("https://klasma.github.io/Logging_2305/tillsyn/A 61465-2021 tillsynsbegäran.docx", "A 61465-2021")</f>
        <v/>
      </c>
      <c r="Y118">
        <f>HYPERLINK("https://klasma.github.io/Logging_2305/tillsynsmail/A 61465-2021 tillsynsbegäran mail.docx", "A 61465-2021")</f>
        <v/>
      </c>
    </row>
    <row r="119" ht="15" customHeight="1">
      <c r="A119" t="inlineStr">
        <is>
          <t>A 3913-2022</t>
        </is>
      </c>
      <c r="B119" s="1" t="n">
        <v>44587</v>
      </c>
      <c r="C119" s="1" t="n">
        <v>45507</v>
      </c>
      <c r="D119" t="inlineStr">
        <is>
          <t>JÄMTLANDS LÄN</t>
        </is>
      </c>
      <c r="E119" t="inlineStr">
        <is>
          <t>BRÄCKE</t>
        </is>
      </c>
      <c r="G119" t="n">
        <v>0.9</v>
      </c>
      <c r="H119" t="n">
        <v>1</v>
      </c>
      <c r="I119" t="n">
        <v>1</v>
      </c>
      <c r="J119" t="n">
        <v>1</v>
      </c>
      <c r="K119" t="n">
        <v>0</v>
      </c>
      <c r="L119" t="n">
        <v>0</v>
      </c>
      <c r="M119" t="n">
        <v>0</v>
      </c>
      <c r="N119" t="n">
        <v>0</v>
      </c>
      <c r="O119" t="n">
        <v>1</v>
      </c>
      <c r="P119" t="n">
        <v>0</v>
      </c>
      <c r="Q119" t="n">
        <v>2</v>
      </c>
      <c r="R119" s="2" t="inlineStr">
        <is>
          <t>Skogsfru
Ögonpyrola</t>
        </is>
      </c>
      <c r="S119">
        <f>HYPERLINK("https://klasma.github.io/Logging_2305/artfynd/A 3913-2022 artfynd.xlsx", "A 3913-2022")</f>
        <v/>
      </c>
      <c r="T119">
        <f>HYPERLINK("https://klasma.github.io/Logging_2305/kartor/A 3913-2022 karta.png", "A 3913-2022")</f>
        <v/>
      </c>
      <c r="U119">
        <f>HYPERLINK("https://klasma.github.io/Logging_2305/knärot/A 3913-2022 karta knärot.png", "A 3913-2022")</f>
        <v/>
      </c>
      <c r="V119">
        <f>HYPERLINK("https://klasma.github.io/Logging_2305/klagomål/A 3913-2022 FSC-klagomål.docx", "A 3913-2022")</f>
        <v/>
      </c>
      <c r="W119">
        <f>HYPERLINK("https://klasma.github.io/Logging_2305/klagomålsmail/A 3913-2022 FSC-klagomål mail.docx", "A 3913-2022")</f>
        <v/>
      </c>
      <c r="X119">
        <f>HYPERLINK("https://klasma.github.io/Logging_2305/tillsyn/A 3913-2022 tillsynsbegäran.docx", "A 3913-2022")</f>
        <v/>
      </c>
      <c r="Y119">
        <f>HYPERLINK("https://klasma.github.io/Logging_2305/tillsynsmail/A 3913-2022 tillsynsbegäran mail.docx", "A 3913-2022")</f>
        <v/>
      </c>
    </row>
    <row r="120" ht="15" customHeight="1">
      <c r="A120" t="inlineStr">
        <is>
          <t>A 27944-2022</t>
        </is>
      </c>
      <c r="B120" s="1" t="n">
        <v>44743</v>
      </c>
      <c r="C120" s="1" t="n">
        <v>45507</v>
      </c>
      <c r="D120" t="inlineStr">
        <is>
          <t>JÄMTLANDS LÄN</t>
        </is>
      </c>
      <c r="E120" t="inlineStr">
        <is>
          <t>BRÄCKE</t>
        </is>
      </c>
      <c r="F120" t="inlineStr">
        <is>
          <t>SCA</t>
        </is>
      </c>
      <c r="G120" t="n">
        <v>3</v>
      </c>
      <c r="H120" t="n">
        <v>0</v>
      </c>
      <c r="I120" t="n">
        <v>0</v>
      </c>
      <c r="J120" t="n">
        <v>2</v>
      </c>
      <c r="K120" t="n">
        <v>0</v>
      </c>
      <c r="L120" t="n">
        <v>0</v>
      </c>
      <c r="M120" t="n">
        <v>0</v>
      </c>
      <c r="N120" t="n">
        <v>0</v>
      </c>
      <c r="O120" t="n">
        <v>2</v>
      </c>
      <c r="P120" t="n">
        <v>0</v>
      </c>
      <c r="Q120" t="n">
        <v>2</v>
      </c>
      <c r="R120" s="2" t="inlineStr">
        <is>
          <t>Lunglav
Skrovellav</t>
        </is>
      </c>
      <c r="S120">
        <f>HYPERLINK("https://klasma.github.io/Logging_2305/artfynd/A 27944-2022 artfynd.xlsx", "A 27944-2022")</f>
        <v/>
      </c>
      <c r="T120">
        <f>HYPERLINK("https://klasma.github.io/Logging_2305/kartor/A 27944-2022 karta.png", "A 27944-2022")</f>
        <v/>
      </c>
      <c r="V120">
        <f>HYPERLINK("https://klasma.github.io/Logging_2305/klagomål/A 27944-2022 FSC-klagomål.docx", "A 27944-2022")</f>
        <v/>
      </c>
      <c r="W120">
        <f>HYPERLINK("https://klasma.github.io/Logging_2305/klagomålsmail/A 27944-2022 FSC-klagomål mail.docx", "A 27944-2022")</f>
        <v/>
      </c>
      <c r="X120">
        <f>HYPERLINK("https://klasma.github.io/Logging_2305/tillsyn/A 27944-2022 tillsynsbegäran.docx", "A 27944-2022")</f>
        <v/>
      </c>
      <c r="Y120">
        <f>HYPERLINK("https://klasma.github.io/Logging_2305/tillsynsmail/A 27944-2022 tillsynsbegäran mail.docx", "A 27944-2022")</f>
        <v/>
      </c>
    </row>
    <row r="121" ht="15" customHeight="1">
      <c r="A121" t="inlineStr">
        <is>
          <t>A 30607-2022</t>
        </is>
      </c>
      <c r="B121" s="1" t="n">
        <v>44762</v>
      </c>
      <c r="C121" s="1" t="n">
        <v>45507</v>
      </c>
      <c r="D121" t="inlineStr">
        <is>
          <t>JÄMTLANDS LÄN</t>
        </is>
      </c>
      <c r="E121" t="inlineStr">
        <is>
          <t>BRÄCKE</t>
        </is>
      </c>
      <c r="F121" t="inlineStr">
        <is>
          <t>SCA</t>
        </is>
      </c>
      <c r="G121" t="n">
        <v>1</v>
      </c>
      <c r="H121" t="n">
        <v>0</v>
      </c>
      <c r="I121" t="n">
        <v>0</v>
      </c>
      <c r="J121" t="n">
        <v>2</v>
      </c>
      <c r="K121" t="n">
        <v>0</v>
      </c>
      <c r="L121" t="n">
        <v>0</v>
      </c>
      <c r="M121" t="n">
        <v>0</v>
      </c>
      <c r="N121" t="n">
        <v>0</v>
      </c>
      <c r="O121" t="n">
        <v>2</v>
      </c>
      <c r="P121" t="n">
        <v>0</v>
      </c>
      <c r="Q121" t="n">
        <v>2</v>
      </c>
      <c r="R121" s="2" t="inlineStr">
        <is>
          <t>Bredbrämad bastardsvärmare
Brunklöver</t>
        </is>
      </c>
      <c r="S121">
        <f>HYPERLINK("https://klasma.github.io/Logging_2305/artfynd/A 30607-2022 artfynd.xlsx", "A 30607-2022")</f>
        <v/>
      </c>
      <c r="T121">
        <f>HYPERLINK("https://klasma.github.io/Logging_2305/kartor/A 30607-2022 karta.png", "A 30607-2022")</f>
        <v/>
      </c>
      <c r="V121">
        <f>HYPERLINK("https://klasma.github.io/Logging_2305/klagomål/A 30607-2022 FSC-klagomål.docx", "A 30607-2022")</f>
        <v/>
      </c>
      <c r="W121">
        <f>HYPERLINK("https://klasma.github.io/Logging_2305/klagomålsmail/A 30607-2022 FSC-klagomål mail.docx", "A 30607-2022")</f>
        <v/>
      </c>
      <c r="X121">
        <f>HYPERLINK("https://klasma.github.io/Logging_2305/tillsyn/A 30607-2022 tillsynsbegäran.docx", "A 30607-2022")</f>
        <v/>
      </c>
      <c r="Y121">
        <f>HYPERLINK("https://klasma.github.io/Logging_2305/tillsynsmail/A 30607-2022 tillsynsbegäran mail.docx", "A 30607-2022")</f>
        <v/>
      </c>
    </row>
    <row r="122" ht="15" customHeight="1">
      <c r="A122" t="inlineStr">
        <is>
          <t>A 31455-2022</t>
        </is>
      </c>
      <c r="B122" s="1" t="n">
        <v>44774</v>
      </c>
      <c r="C122" s="1" t="n">
        <v>45507</v>
      </c>
      <c r="D122" t="inlineStr">
        <is>
          <t>JÄMTLANDS LÄN</t>
        </is>
      </c>
      <c r="E122" t="inlineStr">
        <is>
          <t>BRÄCKE</t>
        </is>
      </c>
      <c r="F122" t="inlineStr">
        <is>
          <t>SCA</t>
        </is>
      </c>
      <c r="G122" t="n">
        <v>5.5</v>
      </c>
      <c r="H122" t="n">
        <v>1</v>
      </c>
      <c r="I122" t="n">
        <v>0</v>
      </c>
      <c r="J122" t="n">
        <v>1</v>
      </c>
      <c r="K122" t="n">
        <v>0</v>
      </c>
      <c r="L122" t="n">
        <v>0</v>
      </c>
      <c r="M122" t="n">
        <v>0</v>
      </c>
      <c r="N122" t="n">
        <v>0</v>
      </c>
      <c r="O122" t="n">
        <v>1</v>
      </c>
      <c r="P122" t="n">
        <v>0</v>
      </c>
      <c r="Q122" t="n">
        <v>2</v>
      </c>
      <c r="R122" s="2" t="inlineStr">
        <is>
          <t>Lunglav
Revlummer</t>
        </is>
      </c>
      <c r="S122">
        <f>HYPERLINK("https://klasma.github.io/Logging_2305/artfynd/A 31455-2022 artfynd.xlsx", "A 31455-2022")</f>
        <v/>
      </c>
      <c r="T122">
        <f>HYPERLINK("https://klasma.github.io/Logging_2305/kartor/A 31455-2022 karta.png", "A 31455-2022")</f>
        <v/>
      </c>
      <c r="V122">
        <f>HYPERLINK("https://klasma.github.io/Logging_2305/klagomål/A 31455-2022 FSC-klagomål.docx", "A 31455-2022")</f>
        <v/>
      </c>
      <c r="W122">
        <f>HYPERLINK("https://klasma.github.io/Logging_2305/klagomålsmail/A 31455-2022 FSC-klagomål mail.docx", "A 31455-2022")</f>
        <v/>
      </c>
      <c r="X122">
        <f>HYPERLINK("https://klasma.github.io/Logging_2305/tillsyn/A 31455-2022 tillsynsbegäran.docx", "A 31455-2022")</f>
        <v/>
      </c>
      <c r="Y122">
        <f>HYPERLINK("https://klasma.github.io/Logging_2305/tillsynsmail/A 31455-2022 tillsynsbegäran mail.docx", "A 31455-2022")</f>
        <v/>
      </c>
    </row>
    <row r="123" ht="15" customHeight="1">
      <c r="A123" t="inlineStr">
        <is>
          <t>A 32507-2022</t>
        </is>
      </c>
      <c r="B123" s="1" t="n">
        <v>44782</v>
      </c>
      <c r="C123" s="1" t="n">
        <v>45507</v>
      </c>
      <c r="D123" t="inlineStr">
        <is>
          <t>JÄMTLANDS LÄN</t>
        </is>
      </c>
      <c r="E123" t="inlineStr">
        <is>
          <t>BRÄCKE</t>
        </is>
      </c>
      <c r="G123" t="n">
        <v>5.8</v>
      </c>
      <c r="H123" t="n">
        <v>1</v>
      </c>
      <c r="I123" t="n">
        <v>0</v>
      </c>
      <c r="J123" t="n">
        <v>1</v>
      </c>
      <c r="K123" t="n">
        <v>1</v>
      </c>
      <c r="L123" t="n">
        <v>0</v>
      </c>
      <c r="M123" t="n">
        <v>0</v>
      </c>
      <c r="N123" t="n">
        <v>0</v>
      </c>
      <c r="O123" t="n">
        <v>2</v>
      </c>
      <c r="P123" t="n">
        <v>1</v>
      </c>
      <c r="Q123" t="n">
        <v>2</v>
      </c>
      <c r="R123" s="2" t="inlineStr">
        <is>
          <t>Knärot
Ullticka</t>
        </is>
      </c>
      <c r="S123">
        <f>HYPERLINK("https://klasma.github.io/Logging_2305/artfynd/A 32507-2022 artfynd.xlsx", "A 32507-2022")</f>
        <v/>
      </c>
      <c r="T123">
        <f>HYPERLINK("https://klasma.github.io/Logging_2305/kartor/A 32507-2022 karta.png", "A 32507-2022")</f>
        <v/>
      </c>
      <c r="U123">
        <f>HYPERLINK("https://klasma.github.io/Logging_2305/knärot/A 32507-2022 karta knärot.png", "A 32507-2022")</f>
        <v/>
      </c>
      <c r="V123">
        <f>HYPERLINK("https://klasma.github.io/Logging_2305/klagomål/A 32507-2022 FSC-klagomål.docx", "A 32507-2022")</f>
        <v/>
      </c>
      <c r="W123">
        <f>HYPERLINK("https://klasma.github.io/Logging_2305/klagomålsmail/A 32507-2022 FSC-klagomål mail.docx", "A 32507-2022")</f>
        <v/>
      </c>
      <c r="X123">
        <f>HYPERLINK("https://klasma.github.io/Logging_2305/tillsyn/A 32507-2022 tillsynsbegäran.docx", "A 32507-2022")</f>
        <v/>
      </c>
      <c r="Y123">
        <f>HYPERLINK("https://klasma.github.io/Logging_2305/tillsynsmail/A 32507-2022 tillsynsbegäran mail.docx", "A 32507-2022")</f>
        <v/>
      </c>
    </row>
    <row r="124" ht="15" customHeight="1">
      <c r="A124" t="inlineStr">
        <is>
          <t>A 42291-2022</t>
        </is>
      </c>
      <c r="B124" s="1" t="n">
        <v>44830</v>
      </c>
      <c r="C124" s="1" t="n">
        <v>45507</v>
      </c>
      <c r="D124" t="inlineStr">
        <is>
          <t>JÄMTLANDS LÄN</t>
        </is>
      </c>
      <c r="E124" t="inlineStr">
        <is>
          <t>BRÄCKE</t>
        </is>
      </c>
      <c r="F124" t="inlineStr">
        <is>
          <t>SCA</t>
        </is>
      </c>
      <c r="G124" t="n">
        <v>4</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42291-2022 artfynd.xlsx", "A 42291-2022")</f>
        <v/>
      </c>
      <c r="T124">
        <f>HYPERLINK("https://klasma.github.io/Logging_2305/kartor/A 42291-2022 karta.png", "A 42291-2022")</f>
        <v/>
      </c>
      <c r="V124">
        <f>HYPERLINK("https://klasma.github.io/Logging_2305/klagomål/A 42291-2022 FSC-klagomål.docx", "A 42291-2022")</f>
        <v/>
      </c>
      <c r="W124">
        <f>HYPERLINK("https://klasma.github.io/Logging_2305/klagomålsmail/A 42291-2022 FSC-klagomål mail.docx", "A 42291-2022")</f>
        <v/>
      </c>
      <c r="X124">
        <f>HYPERLINK("https://klasma.github.io/Logging_2305/tillsyn/A 42291-2022 tillsynsbegäran.docx", "A 42291-2022")</f>
        <v/>
      </c>
      <c r="Y124">
        <f>HYPERLINK("https://klasma.github.io/Logging_2305/tillsynsmail/A 42291-2022 tillsynsbegäran mail.docx", "A 42291-2022")</f>
        <v/>
      </c>
    </row>
    <row r="125" ht="15" customHeight="1">
      <c r="A125" t="inlineStr">
        <is>
          <t>A 43141-2022</t>
        </is>
      </c>
      <c r="B125" s="1" t="n">
        <v>44833</v>
      </c>
      <c r="C125" s="1" t="n">
        <v>45507</v>
      </c>
      <c r="D125" t="inlineStr">
        <is>
          <t>JÄMTLANDS LÄN</t>
        </is>
      </c>
      <c r="E125" t="inlineStr">
        <is>
          <t>BRÄCKE</t>
        </is>
      </c>
      <c r="F125" t="inlineStr">
        <is>
          <t>SCA</t>
        </is>
      </c>
      <c r="G125" t="n">
        <v>2</v>
      </c>
      <c r="H125" t="n">
        <v>1</v>
      </c>
      <c r="I125" t="n">
        <v>0</v>
      </c>
      <c r="J125" t="n">
        <v>0</v>
      </c>
      <c r="K125" t="n">
        <v>2</v>
      </c>
      <c r="L125" t="n">
        <v>0</v>
      </c>
      <c r="M125" t="n">
        <v>0</v>
      </c>
      <c r="N125" t="n">
        <v>0</v>
      </c>
      <c r="O125" t="n">
        <v>2</v>
      </c>
      <c r="P125" t="n">
        <v>2</v>
      </c>
      <c r="Q125" t="n">
        <v>2</v>
      </c>
      <c r="R125" s="2" t="inlineStr">
        <is>
          <t>Frösöstarr
Knärot</t>
        </is>
      </c>
      <c r="S125">
        <f>HYPERLINK("https://klasma.github.io/Logging_2305/artfynd/A 43141-2022 artfynd.xlsx", "A 43141-2022")</f>
        <v/>
      </c>
      <c r="T125">
        <f>HYPERLINK("https://klasma.github.io/Logging_2305/kartor/A 43141-2022 karta.png", "A 43141-2022")</f>
        <v/>
      </c>
      <c r="U125">
        <f>HYPERLINK("https://klasma.github.io/Logging_2305/knärot/A 43141-2022 karta knärot.png", "A 43141-2022")</f>
        <v/>
      </c>
      <c r="V125">
        <f>HYPERLINK("https://klasma.github.io/Logging_2305/klagomål/A 43141-2022 FSC-klagomål.docx", "A 43141-2022")</f>
        <v/>
      </c>
      <c r="W125">
        <f>HYPERLINK("https://klasma.github.io/Logging_2305/klagomålsmail/A 43141-2022 FSC-klagomål mail.docx", "A 43141-2022")</f>
        <v/>
      </c>
      <c r="X125">
        <f>HYPERLINK("https://klasma.github.io/Logging_2305/tillsyn/A 43141-2022 tillsynsbegäran.docx", "A 43141-2022")</f>
        <v/>
      </c>
      <c r="Y125">
        <f>HYPERLINK("https://klasma.github.io/Logging_2305/tillsynsmail/A 43141-2022 tillsynsbegäran mail.docx", "A 43141-2022")</f>
        <v/>
      </c>
    </row>
    <row r="126" ht="15" customHeight="1">
      <c r="A126" t="inlineStr">
        <is>
          <t>A 48930-2022</t>
        </is>
      </c>
      <c r="B126" s="1" t="n">
        <v>44859</v>
      </c>
      <c r="C126" s="1" t="n">
        <v>45507</v>
      </c>
      <c r="D126" t="inlineStr">
        <is>
          <t>JÄMTLANDS LÄN</t>
        </is>
      </c>
      <c r="E126" t="inlineStr">
        <is>
          <t>BRÄCKE</t>
        </is>
      </c>
      <c r="F126" t="inlineStr">
        <is>
          <t>SCA</t>
        </is>
      </c>
      <c r="G126" t="n">
        <v>1.2</v>
      </c>
      <c r="H126" t="n">
        <v>0</v>
      </c>
      <c r="I126" t="n">
        <v>1</v>
      </c>
      <c r="J126" t="n">
        <v>1</v>
      </c>
      <c r="K126" t="n">
        <v>0</v>
      </c>
      <c r="L126" t="n">
        <v>0</v>
      </c>
      <c r="M126" t="n">
        <v>0</v>
      </c>
      <c r="N126" t="n">
        <v>0</v>
      </c>
      <c r="O126" t="n">
        <v>1</v>
      </c>
      <c r="P126" t="n">
        <v>0</v>
      </c>
      <c r="Q126" t="n">
        <v>2</v>
      </c>
      <c r="R126" s="2" t="inlineStr">
        <is>
          <t>Lunglav
Luddlav</t>
        </is>
      </c>
      <c r="S126">
        <f>HYPERLINK("https://klasma.github.io/Logging_2305/artfynd/A 48930-2022 artfynd.xlsx", "A 48930-2022")</f>
        <v/>
      </c>
      <c r="T126">
        <f>HYPERLINK("https://klasma.github.io/Logging_2305/kartor/A 48930-2022 karta.png", "A 48930-2022")</f>
        <v/>
      </c>
      <c r="V126">
        <f>HYPERLINK("https://klasma.github.io/Logging_2305/klagomål/A 48930-2022 FSC-klagomål.docx", "A 48930-2022")</f>
        <v/>
      </c>
      <c r="W126">
        <f>HYPERLINK("https://klasma.github.io/Logging_2305/klagomålsmail/A 48930-2022 FSC-klagomål mail.docx", "A 48930-2022")</f>
        <v/>
      </c>
      <c r="X126">
        <f>HYPERLINK("https://klasma.github.io/Logging_2305/tillsyn/A 48930-2022 tillsynsbegäran.docx", "A 48930-2022")</f>
        <v/>
      </c>
      <c r="Y126">
        <f>HYPERLINK("https://klasma.github.io/Logging_2305/tillsynsmail/A 48930-2022 tillsynsbegäran mail.docx", "A 48930-2022")</f>
        <v/>
      </c>
    </row>
    <row r="127" ht="15" customHeight="1">
      <c r="A127" t="inlineStr">
        <is>
          <t>A 50328-2022</t>
        </is>
      </c>
      <c r="B127" s="1" t="n">
        <v>44865</v>
      </c>
      <c r="C127" s="1" t="n">
        <v>45507</v>
      </c>
      <c r="D127" t="inlineStr">
        <is>
          <t>JÄMTLANDS LÄN</t>
        </is>
      </c>
      <c r="E127" t="inlineStr">
        <is>
          <t>BRÄCKE</t>
        </is>
      </c>
      <c r="F127" t="inlineStr">
        <is>
          <t>SCA</t>
        </is>
      </c>
      <c r="G127" t="n">
        <v>1.6</v>
      </c>
      <c r="H127" t="n">
        <v>0</v>
      </c>
      <c r="I127" t="n">
        <v>0</v>
      </c>
      <c r="J127" t="n">
        <v>2</v>
      </c>
      <c r="K127" t="n">
        <v>0</v>
      </c>
      <c r="L127" t="n">
        <v>0</v>
      </c>
      <c r="M127" t="n">
        <v>0</v>
      </c>
      <c r="N127" t="n">
        <v>0</v>
      </c>
      <c r="O127" t="n">
        <v>2</v>
      </c>
      <c r="P127" t="n">
        <v>0</v>
      </c>
      <c r="Q127" t="n">
        <v>2</v>
      </c>
      <c r="R127" s="2" t="inlineStr">
        <is>
          <t>Ullticka
Vitgrynig nållav</t>
        </is>
      </c>
      <c r="S127">
        <f>HYPERLINK("https://klasma.github.io/Logging_2305/artfynd/A 50328-2022 artfynd.xlsx", "A 50328-2022")</f>
        <v/>
      </c>
      <c r="T127">
        <f>HYPERLINK("https://klasma.github.io/Logging_2305/kartor/A 50328-2022 karta.png", "A 50328-2022")</f>
        <v/>
      </c>
      <c r="V127">
        <f>HYPERLINK("https://klasma.github.io/Logging_2305/klagomål/A 50328-2022 FSC-klagomål.docx", "A 50328-2022")</f>
        <v/>
      </c>
      <c r="W127">
        <f>HYPERLINK("https://klasma.github.io/Logging_2305/klagomålsmail/A 50328-2022 FSC-klagomål mail.docx", "A 50328-2022")</f>
        <v/>
      </c>
      <c r="X127">
        <f>HYPERLINK("https://klasma.github.io/Logging_2305/tillsyn/A 50328-2022 tillsynsbegäran.docx", "A 50328-2022")</f>
        <v/>
      </c>
      <c r="Y127">
        <f>HYPERLINK("https://klasma.github.io/Logging_2305/tillsynsmail/A 50328-2022 tillsynsbegäran mail.docx", "A 50328-2022")</f>
        <v/>
      </c>
    </row>
    <row r="128" ht="15" customHeight="1">
      <c r="A128" t="inlineStr">
        <is>
          <t>A 50336-2022</t>
        </is>
      </c>
      <c r="B128" s="1" t="n">
        <v>44865</v>
      </c>
      <c r="C128" s="1" t="n">
        <v>45507</v>
      </c>
      <c r="D128" t="inlineStr">
        <is>
          <t>JÄMTLANDS LÄN</t>
        </is>
      </c>
      <c r="E128" t="inlineStr">
        <is>
          <t>BRÄCKE</t>
        </is>
      </c>
      <c r="F128" t="inlineStr">
        <is>
          <t>SCA</t>
        </is>
      </c>
      <c r="G128" t="n">
        <v>1.8</v>
      </c>
      <c r="H128" t="n">
        <v>1</v>
      </c>
      <c r="I128" t="n">
        <v>0</v>
      </c>
      <c r="J128" t="n">
        <v>0</v>
      </c>
      <c r="K128" t="n">
        <v>2</v>
      </c>
      <c r="L128" t="n">
        <v>0</v>
      </c>
      <c r="M128" t="n">
        <v>0</v>
      </c>
      <c r="N128" t="n">
        <v>0</v>
      </c>
      <c r="O128" t="n">
        <v>2</v>
      </c>
      <c r="P128" t="n">
        <v>2</v>
      </c>
      <c r="Q128" t="n">
        <v>2</v>
      </c>
      <c r="R128" s="2" t="inlineStr">
        <is>
          <t>Gräddporing
Knärot</t>
        </is>
      </c>
      <c r="S128">
        <f>HYPERLINK("https://klasma.github.io/Logging_2305/artfynd/A 50336-2022 artfynd.xlsx", "A 50336-2022")</f>
        <v/>
      </c>
      <c r="T128">
        <f>HYPERLINK("https://klasma.github.io/Logging_2305/kartor/A 50336-2022 karta.png", "A 50336-2022")</f>
        <v/>
      </c>
      <c r="U128">
        <f>HYPERLINK("https://klasma.github.io/Logging_2305/knärot/A 50336-2022 karta knärot.png", "A 50336-2022")</f>
        <v/>
      </c>
      <c r="V128">
        <f>HYPERLINK("https://klasma.github.io/Logging_2305/klagomål/A 50336-2022 FSC-klagomål.docx", "A 50336-2022")</f>
        <v/>
      </c>
      <c r="W128">
        <f>HYPERLINK("https://klasma.github.io/Logging_2305/klagomålsmail/A 50336-2022 FSC-klagomål mail.docx", "A 50336-2022")</f>
        <v/>
      </c>
      <c r="X128">
        <f>HYPERLINK("https://klasma.github.io/Logging_2305/tillsyn/A 50336-2022 tillsynsbegäran.docx", "A 50336-2022")</f>
        <v/>
      </c>
      <c r="Y128">
        <f>HYPERLINK("https://klasma.github.io/Logging_2305/tillsynsmail/A 50336-2022 tillsynsbegäran mail.docx", "A 50336-2022")</f>
        <v/>
      </c>
    </row>
    <row r="129" ht="15" customHeight="1">
      <c r="A129" t="inlineStr">
        <is>
          <t>A 54624-2022</t>
        </is>
      </c>
      <c r="B129" s="1" t="n">
        <v>44883</v>
      </c>
      <c r="C129" s="1" t="n">
        <v>45507</v>
      </c>
      <c r="D129" t="inlineStr">
        <is>
          <t>JÄMTLANDS LÄN</t>
        </is>
      </c>
      <c r="E129" t="inlineStr">
        <is>
          <t>BRÄCKE</t>
        </is>
      </c>
      <c r="G129" t="n">
        <v>3.9</v>
      </c>
      <c r="H129" t="n">
        <v>0</v>
      </c>
      <c r="I129" t="n">
        <v>0</v>
      </c>
      <c r="J129" t="n">
        <v>2</v>
      </c>
      <c r="K129" t="n">
        <v>0</v>
      </c>
      <c r="L129" t="n">
        <v>0</v>
      </c>
      <c r="M129" t="n">
        <v>0</v>
      </c>
      <c r="N129" t="n">
        <v>0</v>
      </c>
      <c r="O129" t="n">
        <v>2</v>
      </c>
      <c r="P129" t="n">
        <v>0</v>
      </c>
      <c r="Q129" t="n">
        <v>2</v>
      </c>
      <c r="R129" s="2" t="inlineStr">
        <is>
          <t>Granticka
Lunglav</t>
        </is>
      </c>
      <c r="S129">
        <f>HYPERLINK("https://klasma.github.io/Logging_2305/artfynd/A 54624-2022 artfynd.xlsx", "A 54624-2022")</f>
        <v/>
      </c>
      <c r="T129">
        <f>HYPERLINK("https://klasma.github.io/Logging_2305/kartor/A 54624-2022 karta.png", "A 54624-2022")</f>
        <v/>
      </c>
      <c r="V129">
        <f>HYPERLINK("https://klasma.github.io/Logging_2305/klagomål/A 54624-2022 FSC-klagomål.docx", "A 54624-2022")</f>
        <v/>
      </c>
      <c r="W129">
        <f>HYPERLINK("https://klasma.github.io/Logging_2305/klagomålsmail/A 54624-2022 FSC-klagomål mail.docx", "A 54624-2022")</f>
        <v/>
      </c>
      <c r="X129">
        <f>HYPERLINK("https://klasma.github.io/Logging_2305/tillsyn/A 54624-2022 tillsynsbegäran.docx", "A 54624-2022")</f>
        <v/>
      </c>
      <c r="Y129">
        <f>HYPERLINK("https://klasma.github.io/Logging_2305/tillsynsmail/A 54624-2022 tillsynsbegäran mail.docx", "A 54624-2022")</f>
        <v/>
      </c>
    </row>
    <row r="130" ht="15" customHeight="1">
      <c r="A130" t="inlineStr">
        <is>
          <t>A 58169-2022</t>
        </is>
      </c>
      <c r="B130" s="1" t="n">
        <v>44900</v>
      </c>
      <c r="C130" s="1" t="n">
        <v>45507</v>
      </c>
      <c r="D130" t="inlineStr">
        <is>
          <t>JÄMTLANDS LÄN</t>
        </is>
      </c>
      <c r="E130" t="inlineStr">
        <is>
          <t>BRÄCKE</t>
        </is>
      </c>
      <c r="F130" t="inlineStr">
        <is>
          <t>SCA</t>
        </is>
      </c>
      <c r="G130" t="n">
        <v>9.300000000000001</v>
      </c>
      <c r="H130" t="n">
        <v>1</v>
      </c>
      <c r="I130" t="n">
        <v>0</v>
      </c>
      <c r="J130" t="n">
        <v>2</v>
      </c>
      <c r="K130" t="n">
        <v>0</v>
      </c>
      <c r="L130" t="n">
        <v>0</v>
      </c>
      <c r="M130" t="n">
        <v>0</v>
      </c>
      <c r="N130" t="n">
        <v>0</v>
      </c>
      <c r="O130" t="n">
        <v>2</v>
      </c>
      <c r="P130" t="n">
        <v>0</v>
      </c>
      <c r="Q130" t="n">
        <v>2</v>
      </c>
      <c r="R130" s="2" t="inlineStr">
        <is>
          <t>Garnlav
Talltita</t>
        </is>
      </c>
      <c r="S130">
        <f>HYPERLINK("https://klasma.github.io/Logging_2305/artfynd/A 58169-2022 artfynd.xlsx", "A 58169-2022")</f>
        <v/>
      </c>
      <c r="T130">
        <f>HYPERLINK("https://klasma.github.io/Logging_2305/kartor/A 58169-2022 karta.png", "A 58169-2022")</f>
        <v/>
      </c>
      <c r="V130">
        <f>HYPERLINK("https://klasma.github.io/Logging_2305/klagomål/A 58169-2022 FSC-klagomål.docx", "A 58169-2022")</f>
        <v/>
      </c>
      <c r="W130">
        <f>HYPERLINK("https://klasma.github.io/Logging_2305/klagomålsmail/A 58169-2022 FSC-klagomål mail.docx", "A 58169-2022")</f>
        <v/>
      </c>
      <c r="X130">
        <f>HYPERLINK("https://klasma.github.io/Logging_2305/tillsyn/A 58169-2022 tillsynsbegäran.docx", "A 58169-2022")</f>
        <v/>
      </c>
      <c r="Y130">
        <f>HYPERLINK("https://klasma.github.io/Logging_2305/tillsynsmail/A 58169-2022 tillsynsbegäran mail.docx", "A 58169-2022")</f>
        <v/>
      </c>
      <c r="Z130">
        <f>HYPERLINK("https://klasma.github.io/Logging_2305/fåglar/A 58169-2022 prioriterade fågelarter.docx", "A 58169-2022")</f>
        <v/>
      </c>
    </row>
    <row r="131" ht="15" customHeight="1">
      <c r="A131" t="inlineStr">
        <is>
          <t>A 3029-2023</t>
        </is>
      </c>
      <c r="B131" s="1" t="n">
        <v>44945</v>
      </c>
      <c r="C131" s="1" t="n">
        <v>45507</v>
      </c>
      <c r="D131" t="inlineStr">
        <is>
          <t>JÄMTLANDS LÄN</t>
        </is>
      </c>
      <c r="E131" t="inlineStr">
        <is>
          <t>BRÄCKE</t>
        </is>
      </c>
      <c r="F131" t="inlineStr">
        <is>
          <t>SCA</t>
        </is>
      </c>
      <c r="G131" t="n">
        <v>2.3</v>
      </c>
      <c r="H131" t="n">
        <v>0</v>
      </c>
      <c r="I131" t="n">
        <v>0</v>
      </c>
      <c r="J131" t="n">
        <v>2</v>
      </c>
      <c r="K131" t="n">
        <v>0</v>
      </c>
      <c r="L131" t="n">
        <v>0</v>
      </c>
      <c r="M131" t="n">
        <v>0</v>
      </c>
      <c r="N131" t="n">
        <v>0</v>
      </c>
      <c r="O131" t="n">
        <v>2</v>
      </c>
      <c r="P131" t="n">
        <v>0</v>
      </c>
      <c r="Q131" t="n">
        <v>2</v>
      </c>
      <c r="R131" s="2" t="inlineStr">
        <is>
          <t>Garnlav
Lunglav</t>
        </is>
      </c>
      <c r="S131">
        <f>HYPERLINK("https://klasma.github.io/Logging_2305/artfynd/A 3029-2023 artfynd.xlsx", "A 3029-2023")</f>
        <v/>
      </c>
      <c r="T131">
        <f>HYPERLINK("https://klasma.github.io/Logging_2305/kartor/A 3029-2023 karta.png", "A 3029-2023")</f>
        <v/>
      </c>
      <c r="V131">
        <f>HYPERLINK("https://klasma.github.io/Logging_2305/klagomål/A 3029-2023 FSC-klagomål.docx", "A 3029-2023")</f>
        <v/>
      </c>
      <c r="W131">
        <f>HYPERLINK("https://klasma.github.io/Logging_2305/klagomålsmail/A 3029-2023 FSC-klagomål mail.docx", "A 3029-2023")</f>
        <v/>
      </c>
      <c r="X131">
        <f>HYPERLINK("https://klasma.github.io/Logging_2305/tillsyn/A 3029-2023 tillsynsbegäran.docx", "A 3029-2023")</f>
        <v/>
      </c>
      <c r="Y131">
        <f>HYPERLINK("https://klasma.github.io/Logging_2305/tillsynsmail/A 3029-2023 tillsynsbegäran mail.docx", "A 3029-2023")</f>
        <v/>
      </c>
    </row>
    <row r="132" ht="15" customHeight="1">
      <c r="A132" t="inlineStr">
        <is>
          <t>A 8673-2023</t>
        </is>
      </c>
      <c r="B132" s="1" t="n">
        <v>44977</v>
      </c>
      <c r="C132" s="1" t="n">
        <v>45507</v>
      </c>
      <c r="D132" t="inlineStr">
        <is>
          <t>JÄMTLANDS LÄN</t>
        </is>
      </c>
      <c r="E132" t="inlineStr">
        <is>
          <t>BRÄCKE</t>
        </is>
      </c>
      <c r="G132" t="n">
        <v>11.6</v>
      </c>
      <c r="H132" t="n">
        <v>0</v>
      </c>
      <c r="I132" t="n">
        <v>1</v>
      </c>
      <c r="J132" t="n">
        <v>1</v>
      </c>
      <c r="K132" t="n">
        <v>0</v>
      </c>
      <c r="L132" t="n">
        <v>0</v>
      </c>
      <c r="M132" t="n">
        <v>0</v>
      </c>
      <c r="N132" t="n">
        <v>0</v>
      </c>
      <c r="O132" t="n">
        <v>1</v>
      </c>
      <c r="P132" t="n">
        <v>0</v>
      </c>
      <c r="Q132" t="n">
        <v>2</v>
      </c>
      <c r="R132" s="2" t="inlineStr">
        <is>
          <t>Ullticka
Dropptaggsvamp</t>
        </is>
      </c>
      <c r="S132">
        <f>HYPERLINK("https://klasma.github.io/Logging_2305/artfynd/A 8673-2023 artfynd.xlsx", "A 8673-2023")</f>
        <v/>
      </c>
      <c r="T132">
        <f>HYPERLINK("https://klasma.github.io/Logging_2305/kartor/A 8673-2023 karta.png", "A 8673-2023")</f>
        <v/>
      </c>
      <c r="V132">
        <f>HYPERLINK("https://klasma.github.io/Logging_2305/klagomål/A 8673-2023 FSC-klagomål.docx", "A 8673-2023")</f>
        <v/>
      </c>
      <c r="W132">
        <f>HYPERLINK("https://klasma.github.io/Logging_2305/klagomålsmail/A 8673-2023 FSC-klagomål mail.docx", "A 8673-2023")</f>
        <v/>
      </c>
      <c r="X132">
        <f>HYPERLINK("https://klasma.github.io/Logging_2305/tillsyn/A 8673-2023 tillsynsbegäran.docx", "A 8673-2023")</f>
        <v/>
      </c>
      <c r="Y132">
        <f>HYPERLINK("https://klasma.github.io/Logging_2305/tillsynsmail/A 8673-2023 tillsynsbegäran mail.docx", "A 8673-2023")</f>
        <v/>
      </c>
    </row>
    <row r="133" ht="15" customHeight="1">
      <c r="A133" t="inlineStr">
        <is>
          <t>A 18165-2023</t>
        </is>
      </c>
      <c r="B133" s="1" t="n">
        <v>45041</v>
      </c>
      <c r="C133" s="1" t="n">
        <v>45507</v>
      </c>
      <c r="D133" t="inlineStr">
        <is>
          <t>JÄMTLANDS LÄN</t>
        </is>
      </c>
      <c r="E133" t="inlineStr">
        <is>
          <t>BRÄCKE</t>
        </is>
      </c>
      <c r="F133" t="inlineStr">
        <is>
          <t>SCA</t>
        </is>
      </c>
      <c r="G133" t="n">
        <v>9.6</v>
      </c>
      <c r="H133" t="n">
        <v>1</v>
      </c>
      <c r="I133" t="n">
        <v>0</v>
      </c>
      <c r="J133" t="n">
        <v>2</v>
      </c>
      <c r="K133" t="n">
        <v>0</v>
      </c>
      <c r="L133" t="n">
        <v>0</v>
      </c>
      <c r="M133" t="n">
        <v>0</v>
      </c>
      <c r="N133" t="n">
        <v>0</v>
      </c>
      <c r="O133" t="n">
        <v>2</v>
      </c>
      <c r="P133" t="n">
        <v>0</v>
      </c>
      <c r="Q133" t="n">
        <v>2</v>
      </c>
      <c r="R133" s="2" t="inlineStr">
        <is>
          <t>Garnlav
Spillkråka</t>
        </is>
      </c>
      <c r="S133">
        <f>HYPERLINK("https://klasma.github.io/Logging_2305/artfynd/A 18165-2023 artfynd.xlsx", "A 18165-2023")</f>
        <v/>
      </c>
      <c r="T133">
        <f>HYPERLINK("https://klasma.github.io/Logging_2305/kartor/A 18165-2023 karta.png", "A 18165-2023")</f>
        <v/>
      </c>
      <c r="V133">
        <f>HYPERLINK("https://klasma.github.io/Logging_2305/klagomål/A 18165-2023 FSC-klagomål.docx", "A 18165-2023")</f>
        <v/>
      </c>
      <c r="W133">
        <f>HYPERLINK("https://klasma.github.io/Logging_2305/klagomålsmail/A 18165-2023 FSC-klagomål mail.docx", "A 18165-2023")</f>
        <v/>
      </c>
      <c r="X133">
        <f>HYPERLINK("https://klasma.github.io/Logging_2305/tillsyn/A 18165-2023 tillsynsbegäran.docx", "A 18165-2023")</f>
        <v/>
      </c>
      <c r="Y133">
        <f>HYPERLINK("https://klasma.github.io/Logging_2305/tillsynsmail/A 18165-2023 tillsynsbegäran mail.docx", "A 18165-2023")</f>
        <v/>
      </c>
      <c r="Z133">
        <f>HYPERLINK("https://klasma.github.io/Logging_2305/fåglar/A 18165-2023 prioriterade fågelarter.docx", "A 18165-2023")</f>
        <v/>
      </c>
    </row>
    <row r="134" ht="15" customHeight="1">
      <c r="A134" t="inlineStr">
        <is>
          <t>A 19437-2023</t>
        </is>
      </c>
      <c r="B134" s="1" t="n">
        <v>45049</v>
      </c>
      <c r="C134" s="1" t="n">
        <v>45507</v>
      </c>
      <c r="D134" t="inlineStr">
        <is>
          <t>JÄMTLANDS LÄN</t>
        </is>
      </c>
      <c r="E134" t="inlineStr">
        <is>
          <t>BRÄCKE</t>
        </is>
      </c>
      <c r="G134" t="n">
        <v>1.5</v>
      </c>
      <c r="H134" t="n">
        <v>0</v>
      </c>
      <c r="I134" t="n">
        <v>2</v>
      </c>
      <c r="J134" t="n">
        <v>0</v>
      </c>
      <c r="K134" t="n">
        <v>0</v>
      </c>
      <c r="L134" t="n">
        <v>0</v>
      </c>
      <c r="M134" t="n">
        <v>0</v>
      </c>
      <c r="N134" t="n">
        <v>0</v>
      </c>
      <c r="O134" t="n">
        <v>0</v>
      </c>
      <c r="P134" t="n">
        <v>0</v>
      </c>
      <c r="Q134" t="n">
        <v>2</v>
      </c>
      <c r="R134" s="2" t="inlineStr">
        <is>
          <t>Stuplav
Svart trolldruva</t>
        </is>
      </c>
      <c r="S134">
        <f>HYPERLINK("https://klasma.github.io/Logging_2305/artfynd/A 19437-2023 artfynd.xlsx", "A 19437-2023")</f>
        <v/>
      </c>
      <c r="T134">
        <f>HYPERLINK("https://klasma.github.io/Logging_2305/kartor/A 19437-2023 karta.png", "A 19437-2023")</f>
        <v/>
      </c>
      <c r="U134">
        <f>HYPERLINK("https://klasma.github.io/Logging_2305/knärot/A 19437-2023 karta knärot.png", "A 19437-2023")</f>
        <v/>
      </c>
      <c r="V134">
        <f>HYPERLINK("https://klasma.github.io/Logging_2305/klagomål/A 19437-2023 FSC-klagomål.docx", "A 19437-2023")</f>
        <v/>
      </c>
      <c r="W134">
        <f>HYPERLINK("https://klasma.github.io/Logging_2305/klagomålsmail/A 19437-2023 FSC-klagomål mail.docx", "A 19437-2023")</f>
        <v/>
      </c>
      <c r="X134">
        <f>HYPERLINK("https://klasma.github.io/Logging_2305/tillsyn/A 19437-2023 tillsynsbegäran.docx", "A 19437-2023")</f>
        <v/>
      </c>
      <c r="Y134">
        <f>HYPERLINK("https://klasma.github.io/Logging_2305/tillsynsmail/A 19437-2023 tillsynsbegäran mail.docx", "A 19437-2023")</f>
        <v/>
      </c>
    </row>
    <row r="135" ht="15" customHeight="1">
      <c r="A135" t="inlineStr">
        <is>
          <t>A 19818-2023</t>
        </is>
      </c>
      <c r="B135" s="1" t="n">
        <v>45051</v>
      </c>
      <c r="C135" s="1" t="n">
        <v>45507</v>
      </c>
      <c r="D135" t="inlineStr">
        <is>
          <t>JÄMTLANDS LÄN</t>
        </is>
      </c>
      <c r="E135" t="inlineStr">
        <is>
          <t>BRÄCKE</t>
        </is>
      </c>
      <c r="F135" t="inlineStr">
        <is>
          <t>SCA</t>
        </is>
      </c>
      <c r="G135" t="n">
        <v>2.8</v>
      </c>
      <c r="H135" t="n">
        <v>0</v>
      </c>
      <c r="I135" t="n">
        <v>0</v>
      </c>
      <c r="J135" t="n">
        <v>2</v>
      </c>
      <c r="K135" t="n">
        <v>0</v>
      </c>
      <c r="L135" t="n">
        <v>0</v>
      </c>
      <c r="M135" t="n">
        <v>0</v>
      </c>
      <c r="N135" t="n">
        <v>0</v>
      </c>
      <c r="O135" t="n">
        <v>2</v>
      </c>
      <c r="P135" t="n">
        <v>0</v>
      </c>
      <c r="Q135" t="n">
        <v>2</v>
      </c>
      <c r="R135" s="2" t="inlineStr">
        <is>
          <t>Lunglav
Stiftgelélav</t>
        </is>
      </c>
      <c r="S135">
        <f>HYPERLINK("https://klasma.github.io/Logging_2305/artfynd/A 19818-2023 artfynd.xlsx", "A 19818-2023")</f>
        <v/>
      </c>
      <c r="T135">
        <f>HYPERLINK("https://klasma.github.io/Logging_2305/kartor/A 19818-2023 karta.png", "A 19818-2023")</f>
        <v/>
      </c>
      <c r="V135">
        <f>HYPERLINK("https://klasma.github.io/Logging_2305/klagomål/A 19818-2023 FSC-klagomål.docx", "A 19818-2023")</f>
        <v/>
      </c>
      <c r="W135">
        <f>HYPERLINK("https://klasma.github.io/Logging_2305/klagomålsmail/A 19818-2023 FSC-klagomål mail.docx", "A 19818-2023")</f>
        <v/>
      </c>
      <c r="X135">
        <f>HYPERLINK("https://klasma.github.io/Logging_2305/tillsyn/A 19818-2023 tillsynsbegäran.docx", "A 19818-2023")</f>
        <v/>
      </c>
      <c r="Y135">
        <f>HYPERLINK("https://klasma.github.io/Logging_2305/tillsynsmail/A 19818-2023 tillsynsbegäran mail.docx", "A 19818-2023")</f>
        <v/>
      </c>
    </row>
    <row r="136" ht="15" customHeight="1">
      <c r="A136" t="inlineStr">
        <is>
          <t>A 22989-2023</t>
        </is>
      </c>
      <c r="B136" s="1" t="n">
        <v>45072</v>
      </c>
      <c r="C136" s="1" t="n">
        <v>45507</v>
      </c>
      <c r="D136" t="inlineStr">
        <is>
          <t>JÄMTLANDS LÄN</t>
        </is>
      </c>
      <c r="E136" t="inlineStr">
        <is>
          <t>BRÄCKE</t>
        </is>
      </c>
      <c r="F136" t="inlineStr">
        <is>
          <t>SCA</t>
        </is>
      </c>
      <c r="G136" t="n">
        <v>9.800000000000001</v>
      </c>
      <c r="H136" t="n">
        <v>0</v>
      </c>
      <c r="I136" t="n">
        <v>1</v>
      </c>
      <c r="J136" t="n">
        <v>1</v>
      </c>
      <c r="K136" t="n">
        <v>0</v>
      </c>
      <c r="L136" t="n">
        <v>0</v>
      </c>
      <c r="M136" t="n">
        <v>0</v>
      </c>
      <c r="N136" t="n">
        <v>0</v>
      </c>
      <c r="O136" t="n">
        <v>1</v>
      </c>
      <c r="P136" t="n">
        <v>0</v>
      </c>
      <c r="Q136" t="n">
        <v>2</v>
      </c>
      <c r="R136" s="2" t="inlineStr">
        <is>
          <t>Lunglav
Stuplav</t>
        </is>
      </c>
      <c r="S136">
        <f>HYPERLINK("https://klasma.github.io/Logging_2305/artfynd/A 22989-2023 artfynd.xlsx", "A 22989-2023")</f>
        <v/>
      </c>
      <c r="T136">
        <f>HYPERLINK("https://klasma.github.io/Logging_2305/kartor/A 22989-2023 karta.png", "A 22989-2023")</f>
        <v/>
      </c>
      <c r="V136">
        <f>HYPERLINK("https://klasma.github.io/Logging_2305/klagomål/A 22989-2023 FSC-klagomål.docx", "A 22989-2023")</f>
        <v/>
      </c>
      <c r="W136">
        <f>HYPERLINK("https://klasma.github.io/Logging_2305/klagomålsmail/A 22989-2023 FSC-klagomål mail.docx", "A 22989-2023")</f>
        <v/>
      </c>
      <c r="X136">
        <f>HYPERLINK("https://klasma.github.io/Logging_2305/tillsyn/A 22989-2023 tillsynsbegäran.docx", "A 22989-2023")</f>
        <v/>
      </c>
      <c r="Y136">
        <f>HYPERLINK("https://klasma.github.io/Logging_2305/tillsynsmail/A 22989-2023 tillsynsbegäran mail.docx", "A 22989-2023")</f>
        <v/>
      </c>
    </row>
    <row r="137" ht="15" customHeight="1">
      <c r="A137" t="inlineStr">
        <is>
          <t>A 27000-2023</t>
        </is>
      </c>
      <c r="B137" s="1" t="n">
        <v>45093</v>
      </c>
      <c r="C137" s="1" t="n">
        <v>45507</v>
      </c>
      <c r="D137" t="inlineStr">
        <is>
          <t>JÄMTLANDS LÄN</t>
        </is>
      </c>
      <c r="E137" t="inlineStr">
        <is>
          <t>BRÄCKE</t>
        </is>
      </c>
      <c r="F137" t="inlineStr">
        <is>
          <t>SCA</t>
        </is>
      </c>
      <c r="G137" t="n">
        <v>5.8</v>
      </c>
      <c r="H137" t="n">
        <v>0</v>
      </c>
      <c r="I137" t="n">
        <v>0</v>
      </c>
      <c r="J137" t="n">
        <v>2</v>
      </c>
      <c r="K137" t="n">
        <v>0</v>
      </c>
      <c r="L137" t="n">
        <v>0</v>
      </c>
      <c r="M137" t="n">
        <v>0</v>
      </c>
      <c r="N137" t="n">
        <v>0</v>
      </c>
      <c r="O137" t="n">
        <v>2</v>
      </c>
      <c r="P137" t="n">
        <v>0</v>
      </c>
      <c r="Q137" t="n">
        <v>2</v>
      </c>
      <c r="R137" s="2" t="inlineStr">
        <is>
          <t>Dvärgbägarlav
Lunglav</t>
        </is>
      </c>
      <c r="S137">
        <f>HYPERLINK("https://klasma.github.io/Logging_2305/artfynd/A 27000-2023 artfynd.xlsx", "A 27000-2023")</f>
        <v/>
      </c>
      <c r="T137">
        <f>HYPERLINK("https://klasma.github.io/Logging_2305/kartor/A 27000-2023 karta.png", "A 27000-2023")</f>
        <v/>
      </c>
      <c r="V137">
        <f>HYPERLINK("https://klasma.github.io/Logging_2305/klagomål/A 27000-2023 FSC-klagomål.docx", "A 27000-2023")</f>
        <v/>
      </c>
      <c r="W137">
        <f>HYPERLINK("https://klasma.github.io/Logging_2305/klagomålsmail/A 27000-2023 FSC-klagomål mail.docx", "A 27000-2023")</f>
        <v/>
      </c>
      <c r="X137">
        <f>HYPERLINK("https://klasma.github.io/Logging_2305/tillsyn/A 27000-2023 tillsynsbegäran.docx", "A 27000-2023")</f>
        <v/>
      </c>
      <c r="Y137">
        <f>HYPERLINK("https://klasma.github.io/Logging_2305/tillsynsmail/A 27000-2023 tillsynsbegäran mail.docx", "A 27000-2023")</f>
        <v/>
      </c>
    </row>
    <row r="138" ht="15" customHeight="1">
      <c r="A138" t="inlineStr">
        <is>
          <t>A 28765-2023</t>
        </is>
      </c>
      <c r="B138" s="1" t="n">
        <v>45103</v>
      </c>
      <c r="C138" s="1" t="n">
        <v>45507</v>
      </c>
      <c r="D138" t="inlineStr">
        <is>
          <t>JÄMTLANDS LÄN</t>
        </is>
      </c>
      <c r="E138" t="inlineStr">
        <is>
          <t>BRÄCKE</t>
        </is>
      </c>
      <c r="F138" t="inlineStr">
        <is>
          <t>SCA</t>
        </is>
      </c>
      <c r="G138" t="n">
        <v>6</v>
      </c>
      <c r="H138" t="n">
        <v>0</v>
      </c>
      <c r="I138" t="n">
        <v>1</v>
      </c>
      <c r="J138" t="n">
        <v>1</v>
      </c>
      <c r="K138" t="n">
        <v>0</v>
      </c>
      <c r="L138" t="n">
        <v>0</v>
      </c>
      <c r="M138" t="n">
        <v>0</v>
      </c>
      <c r="N138" t="n">
        <v>0</v>
      </c>
      <c r="O138" t="n">
        <v>1</v>
      </c>
      <c r="P138" t="n">
        <v>0</v>
      </c>
      <c r="Q138" t="n">
        <v>2</v>
      </c>
      <c r="R138" s="2" t="inlineStr">
        <is>
          <t>Vedskivlav
Kransrams</t>
        </is>
      </c>
      <c r="S138">
        <f>HYPERLINK("https://klasma.github.io/Logging_2305/artfynd/A 28765-2023 artfynd.xlsx", "A 28765-2023")</f>
        <v/>
      </c>
      <c r="T138">
        <f>HYPERLINK("https://klasma.github.io/Logging_2305/kartor/A 28765-2023 karta.png", "A 28765-2023")</f>
        <v/>
      </c>
      <c r="V138">
        <f>HYPERLINK("https://klasma.github.io/Logging_2305/klagomål/A 28765-2023 FSC-klagomål.docx", "A 28765-2023")</f>
        <v/>
      </c>
      <c r="W138">
        <f>HYPERLINK("https://klasma.github.io/Logging_2305/klagomålsmail/A 28765-2023 FSC-klagomål mail.docx", "A 28765-2023")</f>
        <v/>
      </c>
      <c r="X138">
        <f>HYPERLINK("https://klasma.github.io/Logging_2305/tillsyn/A 28765-2023 tillsynsbegäran.docx", "A 28765-2023")</f>
        <v/>
      </c>
      <c r="Y138">
        <f>HYPERLINK("https://klasma.github.io/Logging_2305/tillsynsmail/A 28765-2023 tillsynsbegäran mail.docx", "A 28765-2023")</f>
        <v/>
      </c>
    </row>
    <row r="139" ht="15" customHeight="1">
      <c r="A139" t="inlineStr">
        <is>
          <t>A 29333-2023</t>
        </is>
      </c>
      <c r="B139" s="1" t="n">
        <v>45105</v>
      </c>
      <c r="C139" s="1" t="n">
        <v>45507</v>
      </c>
      <c r="D139" t="inlineStr">
        <is>
          <t>JÄMTLANDS LÄN</t>
        </is>
      </c>
      <c r="E139" t="inlineStr">
        <is>
          <t>BRÄCKE</t>
        </is>
      </c>
      <c r="F139" t="inlineStr">
        <is>
          <t>SCA</t>
        </is>
      </c>
      <c r="G139" t="n">
        <v>11.8</v>
      </c>
      <c r="H139" t="n">
        <v>0</v>
      </c>
      <c r="I139" t="n">
        <v>1</v>
      </c>
      <c r="J139" t="n">
        <v>0</v>
      </c>
      <c r="K139" t="n">
        <v>1</v>
      </c>
      <c r="L139" t="n">
        <v>0</v>
      </c>
      <c r="M139" t="n">
        <v>0</v>
      </c>
      <c r="N139" t="n">
        <v>0</v>
      </c>
      <c r="O139" t="n">
        <v>1</v>
      </c>
      <c r="P139" t="n">
        <v>1</v>
      </c>
      <c r="Q139" t="n">
        <v>2</v>
      </c>
      <c r="R139" s="2" t="inlineStr">
        <is>
          <t>Smalfotad taggsvamp
Dropptaggsvamp</t>
        </is>
      </c>
      <c r="S139">
        <f>HYPERLINK("https://klasma.github.io/Logging_2305/artfynd/A 29333-2023 artfynd.xlsx", "A 29333-2023")</f>
        <v/>
      </c>
      <c r="T139">
        <f>HYPERLINK("https://klasma.github.io/Logging_2305/kartor/A 29333-2023 karta.png", "A 29333-2023")</f>
        <v/>
      </c>
      <c r="V139">
        <f>HYPERLINK("https://klasma.github.io/Logging_2305/klagomål/A 29333-2023 FSC-klagomål.docx", "A 29333-2023")</f>
        <v/>
      </c>
      <c r="W139">
        <f>HYPERLINK("https://klasma.github.io/Logging_2305/klagomålsmail/A 29333-2023 FSC-klagomål mail.docx", "A 29333-2023")</f>
        <v/>
      </c>
      <c r="X139">
        <f>HYPERLINK("https://klasma.github.io/Logging_2305/tillsyn/A 29333-2023 tillsynsbegäran.docx", "A 29333-2023")</f>
        <v/>
      </c>
      <c r="Y139">
        <f>HYPERLINK("https://klasma.github.io/Logging_2305/tillsynsmail/A 29333-2023 tillsynsbegäran mail.docx", "A 29333-2023")</f>
        <v/>
      </c>
    </row>
    <row r="140" ht="15" customHeight="1">
      <c r="A140" t="inlineStr">
        <is>
          <t>A 40401-2023</t>
        </is>
      </c>
      <c r="B140" s="1" t="n">
        <v>45169</v>
      </c>
      <c r="C140" s="1" t="n">
        <v>45507</v>
      </c>
      <c r="D140" t="inlineStr">
        <is>
          <t>JÄMTLANDS LÄN</t>
        </is>
      </c>
      <c r="E140" t="inlineStr">
        <is>
          <t>BRÄCKE</t>
        </is>
      </c>
      <c r="F140" t="inlineStr">
        <is>
          <t>SCA</t>
        </is>
      </c>
      <c r="G140" t="n">
        <v>2</v>
      </c>
      <c r="H140" t="n">
        <v>0</v>
      </c>
      <c r="I140" t="n">
        <v>1</v>
      </c>
      <c r="J140" t="n">
        <v>1</v>
      </c>
      <c r="K140" t="n">
        <v>0</v>
      </c>
      <c r="L140" t="n">
        <v>0</v>
      </c>
      <c r="M140" t="n">
        <v>0</v>
      </c>
      <c r="N140" t="n">
        <v>0</v>
      </c>
      <c r="O140" t="n">
        <v>1</v>
      </c>
      <c r="P140" t="n">
        <v>0</v>
      </c>
      <c r="Q140" t="n">
        <v>2</v>
      </c>
      <c r="R140" s="2" t="inlineStr">
        <is>
          <t>Ullticka
Dropptaggsvamp</t>
        </is>
      </c>
      <c r="S140">
        <f>HYPERLINK("https://klasma.github.io/Logging_2305/artfynd/A 40401-2023 artfynd.xlsx", "A 40401-2023")</f>
        <v/>
      </c>
      <c r="T140">
        <f>HYPERLINK("https://klasma.github.io/Logging_2305/kartor/A 40401-2023 karta.png", "A 40401-2023")</f>
        <v/>
      </c>
      <c r="V140">
        <f>HYPERLINK("https://klasma.github.io/Logging_2305/klagomål/A 40401-2023 FSC-klagomål.docx", "A 40401-2023")</f>
        <v/>
      </c>
      <c r="W140">
        <f>HYPERLINK("https://klasma.github.io/Logging_2305/klagomålsmail/A 40401-2023 FSC-klagomål mail.docx", "A 40401-2023")</f>
        <v/>
      </c>
      <c r="X140">
        <f>HYPERLINK("https://klasma.github.io/Logging_2305/tillsyn/A 40401-2023 tillsynsbegäran.docx", "A 40401-2023")</f>
        <v/>
      </c>
      <c r="Y140">
        <f>HYPERLINK("https://klasma.github.io/Logging_2305/tillsynsmail/A 40401-2023 tillsynsbegäran mail.docx", "A 40401-2023")</f>
        <v/>
      </c>
    </row>
    <row r="141" ht="15" customHeight="1">
      <c r="A141" t="inlineStr">
        <is>
          <t>A 43127-2023</t>
        </is>
      </c>
      <c r="B141" s="1" t="n">
        <v>45182</v>
      </c>
      <c r="C141" s="1" t="n">
        <v>45507</v>
      </c>
      <c r="D141" t="inlineStr">
        <is>
          <t>JÄMTLANDS LÄN</t>
        </is>
      </c>
      <c r="E141" t="inlineStr">
        <is>
          <t>BRÄCKE</t>
        </is>
      </c>
      <c r="F141" t="inlineStr">
        <is>
          <t>Naturvårdsverket</t>
        </is>
      </c>
      <c r="G141" t="n">
        <v>1.7</v>
      </c>
      <c r="H141" t="n">
        <v>0</v>
      </c>
      <c r="I141" t="n">
        <v>0</v>
      </c>
      <c r="J141" t="n">
        <v>2</v>
      </c>
      <c r="K141" t="n">
        <v>0</v>
      </c>
      <c r="L141" t="n">
        <v>0</v>
      </c>
      <c r="M141" t="n">
        <v>0</v>
      </c>
      <c r="N141" t="n">
        <v>0</v>
      </c>
      <c r="O141" t="n">
        <v>2</v>
      </c>
      <c r="P141" t="n">
        <v>0</v>
      </c>
      <c r="Q141" t="n">
        <v>2</v>
      </c>
      <c r="R141" s="2" t="inlineStr">
        <is>
          <t>Granticka
Vedskivlav</t>
        </is>
      </c>
      <c r="S141">
        <f>HYPERLINK("https://klasma.github.io/Logging_2305/artfynd/A 43127-2023 artfynd.xlsx", "A 43127-2023")</f>
        <v/>
      </c>
      <c r="T141">
        <f>HYPERLINK("https://klasma.github.io/Logging_2305/kartor/A 43127-2023 karta.png", "A 43127-2023")</f>
        <v/>
      </c>
      <c r="V141">
        <f>HYPERLINK("https://klasma.github.io/Logging_2305/klagomål/A 43127-2023 FSC-klagomål.docx", "A 43127-2023")</f>
        <v/>
      </c>
      <c r="W141">
        <f>HYPERLINK("https://klasma.github.io/Logging_2305/klagomålsmail/A 43127-2023 FSC-klagomål mail.docx", "A 43127-2023")</f>
        <v/>
      </c>
      <c r="X141">
        <f>HYPERLINK("https://klasma.github.io/Logging_2305/tillsyn/A 43127-2023 tillsynsbegäran.docx", "A 43127-2023")</f>
        <v/>
      </c>
      <c r="Y141">
        <f>HYPERLINK("https://klasma.github.io/Logging_2305/tillsynsmail/A 43127-2023 tillsynsbegäran mail.docx", "A 43127-2023")</f>
        <v/>
      </c>
    </row>
    <row r="142" ht="15" customHeight="1">
      <c r="A142" t="inlineStr">
        <is>
          <t>A 45012-2023</t>
        </is>
      </c>
      <c r="B142" s="1" t="n">
        <v>45190</v>
      </c>
      <c r="C142" s="1" t="n">
        <v>45507</v>
      </c>
      <c r="D142" t="inlineStr">
        <is>
          <t>JÄMTLANDS LÄN</t>
        </is>
      </c>
      <c r="E142" t="inlineStr">
        <is>
          <t>BRÄCKE</t>
        </is>
      </c>
      <c r="G142" t="n">
        <v>2.6</v>
      </c>
      <c r="H142" t="n">
        <v>0</v>
      </c>
      <c r="I142" t="n">
        <v>1</v>
      </c>
      <c r="J142" t="n">
        <v>1</v>
      </c>
      <c r="K142" t="n">
        <v>0</v>
      </c>
      <c r="L142" t="n">
        <v>0</v>
      </c>
      <c r="M142" t="n">
        <v>0</v>
      </c>
      <c r="N142" t="n">
        <v>0</v>
      </c>
      <c r="O142" t="n">
        <v>1</v>
      </c>
      <c r="P142" t="n">
        <v>0</v>
      </c>
      <c r="Q142" t="n">
        <v>2</v>
      </c>
      <c r="R142" s="2" t="inlineStr">
        <is>
          <t>Dvärgbägarlav
Skinnlav</t>
        </is>
      </c>
      <c r="S142">
        <f>HYPERLINK("https://klasma.github.io/Logging_2305/artfynd/A 45012-2023 artfynd.xlsx", "A 45012-2023")</f>
        <v/>
      </c>
      <c r="T142">
        <f>HYPERLINK("https://klasma.github.io/Logging_2305/kartor/A 45012-2023 karta.png", "A 45012-2023")</f>
        <v/>
      </c>
      <c r="V142">
        <f>HYPERLINK("https://klasma.github.io/Logging_2305/klagomål/A 45012-2023 FSC-klagomål.docx", "A 45012-2023")</f>
        <v/>
      </c>
      <c r="W142">
        <f>HYPERLINK("https://klasma.github.io/Logging_2305/klagomålsmail/A 45012-2023 FSC-klagomål mail.docx", "A 45012-2023")</f>
        <v/>
      </c>
      <c r="X142">
        <f>HYPERLINK("https://klasma.github.io/Logging_2305/tillsyn/A 45012-2023 tillsynsbegäran.docx", "A 45012-2023")</f>
        <v/>
      </c>
      <c r="Y142">
        <f>HYPERLINK("https://klasma.github.io/Logging_2305/tillsynsmail/A 45012-2023 tillsynsbegäran mail.docx", "A 45012-2023")</f>
        <v/>
      </c>
    </row>
    <row r="143" ht="15" customHeight="1">
      <c r="A143" t="inlineStr">
        <is>
          <t>A 44993-2023</t>
        </is>
      </c>
      <c r="B143" s="1" t="n">
        <v>45190</v>
      </c>
      <c r="C143" s="1" t="n">
        <v>45507</v>
      </c>
      <c r="D143" t="inlineStr">
        <is>
          <t>JÄMTLANDS LÄN</t>
        </is>
      </c>
      <c r="E143" t="inlineStr">
        <is>
          <t>BRÄCKE</t>
        </is>
      </c>
      <c r="F143" t="inlineStr">
        <is>
          <t>Naturvårdsverket</t>
        </is>
      </c>
      <c r="G143" t="n">
        <v>7.1</v>
      </c>
      <c r="H143" t="n">
        <v>0</v>
      </c>
      <c r="I143" t="n">
        <v>0</v>
      </c>
      <c r="J143" t="n">
        <v>2</v>
      </c>
      <c r="K143" t="n">
        <v>0</v>
      </c>
      <c r="L143" t="n">
        <v>0</v>
      </c>
      <c r="M143" t="n">
        <v>0</v>
      </c>
      <c r="N143" t="n">
        <v>0</v>
      </c>
      <c r="O143" t="n">
        <v>2</v>
      </c>
      <c r="P143" t="n">
        <v>0</v>
      </c>
      <c r="Q143" t="n">
        <v>2</v>
      </c>
      <c r="R143" s="2" t="inlineStr">
        <is>
          <t>Blå taggsvamp
Skrovlig taggsvamp</t>
        </is>
      </c>
      <c r="S143">
        <f>HYPERLINK("https://klasma.github.io/Logging_2305/artfynd/A 44993-2023 artfynd.xlsx", "A 44993-2023")</f>
        <v/>
      </c>
      <c r="T143">
        <f>HYPERLINK("https://klasma.github.io/Logging_2305/kartor/A 44993-2023 karta.png", "A 44993-2023")</f>
        <v/>
      </c>
      <c r="V143">
        <f>HYPERLINK("https://klasma.github.io/Logging_2305/klagomål/A 44993-2023 FSC-klagomål.docx", "A 44993-2023")</f>
        <v/>
      </c>
      <c r="W143">
        <f>HYPERLINK("https://klasma.github.io/Logging_2305/klagomålsmail/A 44993-2023 FSC-klagomål mail.docx", "A 44993-2023")</f>
        <v/>
      </c>
      <c r="X143">
        <f>HYPERLINK("https://klasma.github.io/Logging_2305/tillsyn/A 44993-2023 tillsynsbegäran.docx", "A 44993-2023")</f>
        <v/>
      </c>
      <c r="Y143">
        <f>HYPERLINK("https://klasma.github.io/Logging_2305/tillsynsmail/A 44993-2023 tillsynsbegäran mail.docx", "A 44993-2023")</f>
        <v/>
      </c>
    </row>
    <row r="144" ht="15" customHeight="1">
      <c r="A144" t="inlineStr">
        <is>
          <t>A 47295-2023</t>
        </is>
      </c>
      <c r="B144" s="1" t="n">
        <v>45196</v>
      </c>
      <c r="C144" s="1" t="n">
        <v>45507</v>
      </c>
      <c r="D144" t="inlineStr">
        <is>
          <t>JÄMTLANDS LÄN</t>
        </is>
      </c>
      <c r="E144" t="inlineStr">
        <is>
          <t>BRÄCKE</t>
        </is>
      </c>
      <c r="F144" t="inlineStr">
        <is>
          <t>SCA</t>
        </is>
      </c>
      <c r="G144" t="n">
        <v>11.4</v>
      </c>
      <c r="H144" t="n">
        <v>1</v>
      </c>
      <c r="I144" t="n">
        <v>0</v>
      </c>
      <c r="J144" t="n">
        <v>1</v>
      </c>
      <c r="K144" t="n">
        <v>1</v>
      </c>
      <c r="L144" t="n">
        <v>0</v>
      </c>
      <c r="M144" t="n">
        <v>0</v>
      </c>
      <c r="N144" t="n">
        <v>0</v>
      </c>
      <c r="O144" t="n">
        <v>2</v>
      </c>
      <c r="P144" t="n">
        <v>1</v>
      </c>
      <c r="Q144" t="n">
        <v>2</v>
      </c>
      <c r="R144" s="2" t="inlineStr">
        <is>
          <t>Knärot
Lunglav</t>
        </is>
      </c>
      <c r="S144">
        <f>HYPERLINK("https://klasma.github.io/Logging_2305/artfynd/A 47295-2023 artfynd.xlsx", "A 47295-2023")</f>
        <v/>
      </c>
      <c r="T144">
        <f>HYPERLINK("https://klasma.github.io/Logging_2305/kartor/A 47295-2023 karta.png", "A 47295-2023")</f>
        <v/>
      </c>
      <c r="U144">
        <f>HYPERLINK("https://klasma.github.io/Logging_2305/knärot/A 47295-2023 karta knärot.png", "A 47295-2023")</f>
        <v/>
      </c>
      <c r="V144">
        <f>HYPERLINK("https://klasma.github.io/Logging_2305/klagomål/A 47295-2023 FSC-klagomål.docx", "A 47295-2023")</f>
        <v/>
      </c>
      <c r="W144">
        <f>HYPERLINK("https://klasma.github.io/Logging_2305/klagomålsmail/A 47295-2023 FSC-klagomål mail.docx", "A 47295-2023")</f>
        <v/>
      </c>
      <c r="X144">
        <f>HYPERLINK("https://klasma.github.io/Logging_2305/tillsyn/A 47295-2023 tillsynsbegäran.docx", "A 47295-2023")</f>
        <v/>
      </c>
      <c r="Y144">
        <f>HYPERLINK("https://klasma.github.io/Logging_2305/tillsynsmail/A 47295-2023 tillsynsbegäran mail.docx", "A 47295-2023")</f>
        <v/>
      </c>
    </row>
    <row r="145" ht="15" customHeight="1">
      <c r="A145" t="inlineStr">
        <is>
          <t>A 47498-2023</t>
        </is>
      </c>
      <c r="B145" s="1" t="n">
        <v>45202</v>
      </c>
      <c r="C145" s="1" t="n">
        <v>45507</v>
      </c>
      <c r="D145" t="inlineStr">
        <is>
          <t>JÄMTLANDS LÄN</t>
        </is>
      </c>
      <c r="E145" t="inlineStr">
        <is>
          <t>BRÄCKE</t>
        </is>
      </c>
      <c r="F145" t="inlineStr">
        <is>
          <t>SCA</t>
        </is>
      </c>
      <c r="G145" t="n">
        <v>6.1</v>
      </c>
      <c r="H145" t="n">
        <v>1</v>
      </c>
      <c r="I145" t="n">
        <v>1</v>
      </c>
      <c r="J145" t="n">
        <v>0</v>
      </c>
      <c r="K145" t="n">
        <v>1</v>
      </c>
      <c r="L145" t="n">
        <v>0</v>
      </c>
      <c r="M145" t="n">
        <v>0</v>
      </c>
      <c r="N145" t="n">
        <v>0</v>
      </c>
      <c r="O145" t="n">
        <v>1</v>
      </c>
      <c r="P145" t="n">
        <v>1</v>
      </c>
      <c r="Q145" t="n">
        <v>2</v>
      </c>
      <c r="R145" s="2" t="inlineStr">
        <is>
          <t>Bandnate
Guckusko</t>
        </is>
      </c>
      <c r="S145">
        <f>HYPERLINK("https://klasma.github.io/Logging_2305/artfynd/A 47498-2023 artfynd.xlsx", "A 47498-2023")</f>
        <v/>
      </c>
      <c r="T145">
        <f>HYPERLINK("https://klasma.github.io/Logging_2305/kartor/A 47498-2023 karta.png", "A 47498-2023")</f>
        <v/>
      </c>
      <c r="V145">
        <f>HYPERLINK("https://klasma.github.io/Logging_2305/klagomål/A 47498-2023 FSC-klagomål.docx", "A 47498-2023")</f>
        <v/>
      </c>
      <c r="W145">
        <f>HYPERLINK("https://klasma.github.io/Logging_2305/klagomålsmail/A 47498-2023 FSC-klagomål mail.docx", "A 47498-2023")</f>
        <v/>
      </c>
      <c r="X145">
        <f>HYPERLINK("https://klasma.github.io/Logging_2305/tillsyn/A 47498-2023 tillsynsbegäran.docx", "A 47498-2023")</f>
        <v/>
      </c>
      <c r="Y145">
        <f>HYPERLINK("https://klasma.github.io/Logging_2305/tillsynsmail/A 47498-2023 tillsynsbegäran mail.docx", "A 47498-2023")</f>
        <v/>
      </c>
    </row>
    <row r="146" ht="15" customHeight="1">
      <c r="A146" t="inlineStr">
        <is>
          <t>A 48780-2023</t>
        </is>
      </c>
      <c r="B146" s="1" t="n">
        <v>45208</v>
      </c>
      <c r="C146" s="1" t="n">
        <v>45507</v>
      </c>
      <c r="D146" t="inlineStr">
        <is>
          <t>JÄMTLANDS LÄN</t>
        </is>
      </c>
      <c r="E146" t="inlineStr">
        <is>
          <t>BRÄCKE</t>
        </is>
      </c>
      <c r="F146" t="inlineStr">
        <is>
          <t>Naturvårdsverket</t>
        </is>
      </c>
      <c r="G146" t="n">
        <v>11.2</v>
      </c>
      <c r="H146" t="n">
        <v>0</v>
      </c>
      <c r="I146" t="n">
        <v>1</v>
      </c>
      <c r="J146" t="n">
        <v>1</v>
      </c>
      <c r="K146" t="n">
        <v>0</v>
      </c>
      <c r="L146" t="n">
        <v>0</v>
      </c>
      <c r="M146" t="n">
        <v>0</v>
      </c>
      <c r="N146" t="n">
        <v>0</v>
      </c>
      <c r="O146" t="n">
        <v>1</v>
      </c>
      <c r="P146" t="n">
        <v>0</v>
      </c>
      <c r="Q146" t="n">
        <v>2</v>
      </c>
      <c r="R146" s="2" t="inlineStr">
        <is>
          <t>Lunglav
Dropptaggsvamp</t>
        </is>
      </c>
      <c r="S146">
        <f>HYPERLINK("https://klasma.github.io/Logging_2305/artfynd/A 48780-2023 artfynd.xlsx", "A 48780-2023")</f>
        <v/>
      </c>
      <c r="T146">
        <f>HYPERLINK("https://klasma.github.io/Logging_2305/kartor/A 48780-2023 karta.png", "A 48780-2023")</f>
        <v/>
      </c>
      <c r="V146">
        <f>HYPERLINK("https://klasma.github.io/Logging_2305/klagomål/A 48780-2023 FSC-klagomål.docx", "A 48780-2023")</f>
        <v/>
      </c>
      <c r="W146">
        <f>HYPERLINK("https://klasma.github.io/Logging_2305/klagomålsmail/A 48780-2023 FSC-klagomål mail.docx", "A 48780-2023")</f>
        <v/>
      </c>
      <c r="X146">
        <f>HYPERLINK("https://klasma.github.io/Logging_2305/tillsyn/A 48780-2023 tillsynsbegäran.docx", "A 48780-2023")</f>
        <v/>
      </c>
      <c r="Y146">
        <f>HYPERLINK("https://klasma.github.io/Logging_2305/tillsynsmail/A 48780-2023 tillsynsbegäran mail.docx", "A 48780-2023")</f>
        <v/>
      </c>
    </row>
    <row r="147" ht="15" customHeight="1">
      <c r="A147" t="inlineStr">
        <is>
          <t>A 50497-2023</t>
        </is>
      </c>
      <c r="B147" s="1" t="n">
        <v>45217</v>
      </c>
      <c r="C147" s="1" t="n">
        <v>45507</v>
      </c>
      <c r="D147" t="inlineStr">
        <is>
          <t>JÄMTLANDS LÄN</t>
        </is>
      </c>
      <c r="E147" t="inlineStr">
        <is>
          <t>BRÄCKE</t>
        </is>
      </c>
      <c r="F147" t="inlineStr">
        <is>
          <t>SCA</t>
        </is>
      </c>
      <c r="G147" t="n">
        <v>2.5</v>
      </c>
      <c r="H147" t="n">
        <v>1</v>
      </c>
      <c r="I147" t="n">
        <v>1</v>
      </c>
      <c r="J147" t="n">
        <v>0</v>
      </c>
      <c r="K147" t="n">
        <v>1</v>
      </c>
      <c r="L147" t="n">
        <v>0</v>
      </c>
      <c r="M147" t="n">
        <v>0</v>
      </c>
      <c r="N147" t="n">
        <v>0</v>
      </c>
      <c r="O147" t="n">
        <v>1</v>
      </c>
      <c r="P147" t="n">
        <v>1</v>
      </c>
      <c r="Q147" t="n">
        <v>2</v>
      </c>
      <c r="R147" s="2" t="inlineStr">
        <is>
          <t>Knärot
Skuggblåslav</t>
        </is>
      </c>
      <c r="S147">
        <f>HYPERLINK("https://klasma.github.io/Logging_2305/artfynd/A 50497-2023 artfynd.xlsx", "A 50497-2023")</f>
        <v/>
      </c>
      <c r="T147">
        <f>HYPERLINK("https://klasma.github.io/Logging_2305/kartor/A 50497-2023 karta.png", "A 50497-2023")</f>
        <v/>
      </c>
      <c r="U147">
        <f>HYPERLINK("https://klasma.github.io/Logging_2305/knärot/A 50497-2023 karta knärot.png", "A 50497-2023")</f>
        <v/>
      </c>
      <c r="V147">
        <f>HYPERLINK("https://klasma.github.io/Logging_2305/klagomål/A 50497-2023 FSC-klagomål.docx", "A 50497-2023")</f>
        <v/>
      </c>
      <c r="W147">
        <f>HYPERLINK("https://klasma.github.io/Logging_2305/klagomålsmail/A 50497-2023 FSC-klagomål mail.docx", "A 50497-2023")</f>
        <v/>
      </c>
      <c r="X147">
        <f>HYPERLINK("https://klasma.github.io/Logging_2305/tillsyn/A 50497-2023 tillsynsbegäran.docx", "A 50497-2023")</f>
        <v/>
      </c>
      <c r="Y147">
        <f>HYPERLINK("https://klasma.github.io/Logging_2305/tillsynsmail/A 50497-2023 tillsynsbegäran mail.docx", "A 50497-2023")</f>
        <v/>
      </c>
    </row>
    <row r="148" ht="15" customHeight="1">
      <c r="A148" t="inlineStr">
        <is>
          <t>A 50826-2023</t>
        </is>
      </c>
      <c r="B148" s="1" t="n">
        <v>45217</v>
      </c>
      <c r="C148" s="1" t="n">
        <v>45507</v>
      </c>
      <c r="D148" t="inlineStr">
        <is>
          <t>JÄMTLANDS LÄN</t>
        </is>
      </c>
      <c r="E148" t="inlineStr">
        <is>
          <t>BRÄCKE</t>
        </is>
      </c>
      <c r="F148" t="inlineStr">
        <is>
          <t>SCA</t>
        </is>
      </c>
      <c r="G148" t="n">
        <v>5.2</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row>
    <row r="149" ht="15" customHeight="1">
      <c r="A149" t="inlineStr">
        <is>
          <t>A 51822-2023</t>
        </is>
      </c>
      <c r="B149" s="1" t="n">
        <v>45222</v>
      </c>
      <c r="C149" s="1" t="n">
        <v>45507</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Harticka
Ullticka</t>
        </is>
      </c>
      <c r="S149">
        <f>HYPERLINK("https://klasma.github.io/Logging_2305/artfynd/A 51822-2023 artfynd.xlsx", "A 51822-2023")</f>
        <v/>
      </c>
      <c r="T149">
        <f>HYPERLINK("https://klasma.github.io/Logging_2305/kartor/A 51822-2023 karta.png", "A 51822-2023")</f>
        <v/>
      </c>
      <c r="V149">
        <f>HYPERLINK("https://klasma.github.io/Logging_2305/klagomål/A 51822-2023 FSC-klagomål.docx", "A 51822-2023")</f>
        <v/>
      </c>
      <c r="W149">
        <f>HYPERLINK("https://klasma.github.io/Logging_2305/klagomålsmail/A 51822-2023 FSC-klagomål mail.docx", "A 51822-2023")</f>
        <v/>
      </c>
      <c r="X149">
        <f>HYPERLINK("https://klasma.github.io/Logging_2305/tillsyn/A 51822-2023 tillsynsbegäran.docx", "A 51822-2023")</f>
        <v/>
      </c>
      <c r="Y149">
        <f>HYPERLINK("https://klasma.github.io/Logging_2305/tillsynsmail/A 51822-2023 tillsynsbegäran mail.docx", "A 51822-2023")</f>
        <v/>
      </c>
    </row>
    <row r="150" ht="15" customHeight="1">
      <c r="A150" t="inlineStr">
        <is>
          <t>A 54051-2023</t>
        </is>
      </c>
      <c r="B150" s="1" t="n">
        <v>45232</v>
      </c>
      <c r="C150" s="1" t="n">
        <v>45507</v>
      </c>
      <c r="D150" t="inlineStr">
        <is>
          <t>JÄMTLANDS LÄN</t>
        </is>
      </c>
      <c r="E150" t="inlineStr">
        <is>
          <t>BRÄCKE</t>
        </is>
      </c>
      <c r="F150" t="inlineStr">
        <is>
          <t>SCA</t>
        </is>
      </c>
      <c r="G150" t="n">
        <v>2.4</v>
      </c>
      <c r="H150" t="n">
        <v>0</v>
      </c>
      <c r="I150" t="n">
        <v>0</v>
      </c>
      <c r="J150" t="n">
        <v>2</v>
      </c>
      <c r="K150" t="n">
        <v>0</v>
      </c>
      <c r="L150" t="n">
        <v>0</v>
      </c>
      <c r="M150" t="n">
        <v>0</v>
      </c>
      <c r="N150" t="n">
        <v>0</v>
      </c>
      <c r="O150" t="n">
        <v>2</v>
      </c>
      <c r="P150" t="n">
        <v>0</v>
      </c>
      <c r="Q150" t="n">
        <v>2</v>
      </c>
      <c r="R150" s="2" t="inlineStr">
        <is>
          <t>Blå taggsvamp
Skrovlig taggsvamp</t>
        </is>
      </c>
      <c r="S150">
        <f>HYPERLINK("https://klasma.github.io/Logging_2305/artfynd/A 54051-2023 artfynd.xlsx", "A 54051-2023")</f>
        <v/>
      </c>
      <c r="T150">
        <f>HYPERLINK("https://klasma.github.io/Logging_2305/kartor/A 54051-2023 karta.png", "A 54051-2023")</f>
        <v/>
      </c>
      <c r="V150">
        <f>HYPERLINK("https://klasma.github.io/Logging_2305/klagomål/A 54051-2023 FSC-klagomål.docx", "A 54051-2023")</f>
        <v/>
      </c>
      <c r="W150">
        <f>HYPERLINK("https://klasma.github.io/Logging_2305/klagomålsmail/A 54051-2023 FSC-klagomål mail.docx", "A 54051-2023")</f>
        <v/>
      </c>
      <c r="X150">
        <f>HYPERLINK("https://klasma.github.io/Logging_2305/tillsyn/A 54051-2023 tillsynsbegäran.docx", "A 54051-2023")</f>
        <v/>
      </c>
      <c r="Y150">
        <f>HYPERLINK("https://klasma.github.io/Logging_2305/tillsynsmail/A 54051-2023 tillsynsbegäran mail.docx", "A 54051-2023")</f>
        <v/>
      </c>
    </row>
    <row r="151" ht="15" customHeight="1">
      <c r="A151" t="inlineStr">
        <is>
          <t>A 55343-2023</t>
        </is>
      </c>
      <c r="B151" s="1" t="n">
        <v>45237</v>
      </c>
      <c r="C151" s="1" t="n">
        <v>45507</v>
      </c>
      <c r="D151" t="inlineStr">
        <is>
          <t>JÄMTLANDS LÄN</t>
        </is>
      </c>
      <c r="E151" t="inlineStr">
        <is>
          <t>BRÄCKE</t>
        </is>
      </c>
      <c r="F151" t="inlineStr">
        <is>
          <t>Kyrkan</t>
        </is>
      </c>
      <c r="G151" t="n">
        <v>12</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55343-2023 artfynd.xlsx", "A 55343-2023")</f>
        <v/>
      </c>
      <c r="T151">
        <f>HYPERLINK("https://klasma.github.io/Logging_2305/kartor/A 55343-2023 karta.png", "A 55343-2023")</f>
        <v/>
      </c>
      <c r="V151">
        <f>HYPERLINK("https://klasma.github.io/Logging_2305/klagomål/A 55343-2023 FSC-klagomål.docx", "A 55343-2023")</f>
        <v/>
      </c>
      <c r="W151">
        <f>HYPERLINK("https://klasma.github.io/Logging_2305/klagomålsmail/A 55343-2023 FSC-klagomål mail.docx", "A 55343-2023")</f>
        <v/>
      </c>
      <c r="X151">
        <f>HYPERLINK("https://klasma.github.io/Logging_2305/tillsyn/A 55343-2023 tillsynsbegäran.docx", "A 55343-2023")</f>
        <v/>
      </c>
      <c r="Y151">
        <f>HYPERLINK("https://klasma.github.io/Logging_2305/tillsynsmail/A 55343-2023 tillsynsbegäran mail.docx", "A 55343-2023")</f>
        <v/>
      </c>
    </row>
    <row r="152" ht="15" customHeight="1">
      <c r="A152" t="inlineStr">
        <is>
          <t>A 8248-2024</t>
        </is>
      </c>
      <c r="B152" s="1" t="n">
        <v>45351</v>
      </c>
      <c r="C152" s="1" t="n">
        <v>45507</v>
      </c>
      <c r="D152" t="inlineStr">
        <is>
          <t>JÄMTLANDS LÄN</t>
        </is>
      </c>
      <c r="E152" t="inlineStr">
        <is>
          <t>BRÄCKE</t>
        </is>
      </c>
      <c r="F152" t="inlineStr">
        <is>
          <t>SCA</t>
        </is>
      </c>
      <c r="G152" t="n">
        <v>1.8</v>
      </c>
      <c r="H152" t="n">
        <v>0</v>
      </c>
      <c r="I152" t="n">
        <v>0</v>
      </c>
      <c r="J152" t="n">
        <v>2</v>
      </c>
      <c r="K152" t="n">
        <v>0</v>
      </c>
      <c r="L152" t="n">
        <v>0</v>
      </c>
      <c r="M152" t="n">
        <v>0</v>
      </c>
      <c r="N152" t="n">
        <v>0</v>
      </c>
      <c r="O152" t="n">
        <v>2</v>
      </c>
      <c r="P152" t="n">
        <v>0</v>
      </c>
      <c r="Q152" t="n">
        <v>2</v>
      </c>
      <c r="R152" s="2" t="inlineStr">
        <is>
          <t>Rosenticka
Ullticka</t>
        </is>
      </c>
      <c r="S152">
        <f>HYPERLINK("https://klasma.github.io/Logging_2305/artfynd/A 8248-2024 artfynd.xlsx", "A 8248-2024")</f>
        <v/>
      </c>
      <c r="T152">
        <f>HYPERLINK("https://klasma.github.io/Logging_2305/kartor/A 8248-2024 karta.png", "A 8248-2024")</f>
        <v/>
      </c>
      <c r="V152">
        <f>HYPERLINK("https://klasma.github.io/Logging_2305/klagomål/A 8248-2024 FSC-klagomål.docx", "A 8248-2024")</f>
        <v/>
      </c>
      <c r="W152">
        <f>HYPERLINK("https://klasma.github.io/Logging_2305/klagomålsmail/A 8248-2024 FSC-klagomål mail.docx", "A 8248-2024")</f>
        <v/>
      </c>
      <c r="X152">
        <f>HYPERLINK("https://klasma.github.io/Logging_2305/tillsyn/A 8248-2024 tillsynsbegäran.docx", "A 8248-2024")</f>
        <v/>
      </c>
      <c r="Y152">
        <f>HYPERLINK("https://klasma.github.io/Logging_2305/tillsynsmail/A 8248-2024 tillsynsbegäran mail.docx", "A 8248-2024")</f>
        <v/>
      </c>
    </row>
    <row r="153" ht="15" customHeight="1">
      <c r="A153" t="inlineStr">
        <is>
          <t>A 12588-2024</t>
        </is>
      </c>
      <c r="B153" s="1" t="n">
        <v>45379</v>
      </c>
      <c r="C153" s="1" t="n">
        <v>45507</v>
      </c>
      <c r="D153" t="inlineStr">
        <is>
          <t>JÄMTLANDS LÄN</t>
        </is>
      </c>
      <c r="E153" t="inlineStr">
        <is>
          <t>BRÄCKE</t>
        </is>
      </c>
      <c r="F153" t="inlineStr">
        <is>
          <t>SCA</t>
        </is>
      </c>
      <c r="G153" t="n">
        <v>5.1</v>
      </c>
      <c r="H153" t="n">
        <v>0</v>
      </c>
      <c r="I153" t="n">
        <v>0</v>
      </c>
      <c r="J153" t="n">
        <v>2</v>
      </c>
      <c r="K153" t="n">
        <v>0</v>
      </c>
      <c r="L153" t="n">
        <v>0</v>
      </c>
      <c r="M153" t="n">
        <v>0</v>
      </c>
      <c r="N153" t="n">
        <v>0</v>
      </c>
      <c r="O153" t="n">
        <v>2</v>
      </c>
      <c r="P153" t="n">
        <v>0</v>
      </c>
      <c r="Q153" t="n">
        <v>2</v>
      </c>
      <c r="R153" s="2" t="inlineStr">
        <is>
          <t>Blå taggsvamp
Ullticka</t>
        </is>
      </c>
      <c r="S153">
        <f>HYPERLINK("https://klasma.github.io/Logging_2305/artfynd/A 12588-2024 artfynd.xlsx", "A 12588-2024")</f>
        <v/>
      </c>
      <c r="T153">
        <f>HYPERLINK("https://klasma.github.io/Logging_2305/kartor/A 12588-2024 karta.png", "A 12588-2024")</f>
        <v/>
      </c>
      <c r="V153">
        <f>HYPERLINK("https://klasma.github.io/Logging_2305/klagomål/A 12588-2024 FSC-klagomål.docx", "A 12588-2024")</f>
        <v/>
      </c>
      <c r="W153">
        <f>HYPERLINK("https://klasma.github.io/Logging_2305/klagomålsmail/A 12588-2024 FSC-klagomål mail.docx", "A 12588-2024")</f>
        <v/>
      </c>
      <c r="X153">
        <f>HYPERLINK("https://klasma.github.io/Logging_2305/tillsyn/A 12588-2024 tillsynsbegäran.docx", "A 12588-2024")</f>
        <v/>
      </c>
      <c r="Y153">
        <f>HYPERLINK("https://klasma.github.io/Logging_2305/tillsynsmail/A 12588-2024 tillsynsbegäran mail.docx", "A 12588-2024")</f>
        <v/>
      </c>
    </row>
    <row r="154" ht="15" customHeight="1">
      <c r="A154" t="inlineStr">
        <is>
          <t>A 12861-2024</t>
        </is>
      </c>
      <c r="B154" s="1" t="n">
        <v>45385</v>
      </c>
      <c r="C154" s="1" t="n">
        <v>45507</v>
      </c>
      <c r="D154" t="inlineStr">
        <is>
          <t>JÄMTLANDS LÄN</t>
        </is>
      </c>
      <c r="E154" t="inlineStr">
        <is>
          <t>BRÄCKE</t>
        </is>
      </c>
      <c r="F154" t="inlineStr">
        <is>
          <t>SCA</t>
        </is>
      </c>
      <c r="G154" t="n">
        <v>5.3</v>
      </c>
      <c r="H154" t="n">
        <v>0</v>
      </c>
      <c r="I154" t="n">
        <v>1</v>
      </c>
      <c r="J154" t="n">
        <v>1</v>
      </c>
      <c r="K154" t="n">
        <v>0</v>
      </c>
      <c r="L154" t="n">
        <v>0</v>
      </c>
      <c r="M154" t="n">
        <v>0</v>
      </c>
      <c r="N154" t="n">
        <v>0</v>
      </c>
      <c r="O154" t="n">
        <v>1</v>
      </c>
      <c r="P154" t="n">
        <v>0</v>
      </c>
      <c r="Q154" t="n">
        <v>2</v>
      </c>
      <c r="R154" s="2" t="inlineStr">
        <is>
          <t>Kolflarnlav
Stuplav</t>
        </is>
      </c>
      <c r="S154">
        <f>HYPERLINK("https://klasma.github.io/Logging_2305/artfynd/A 12861-2024 artfynd.xlsx", "A 12861-2024")</f>
        <v/>
      </c>
      <c r="T154">
        <f>HYPERLINK("https://klasma.github.io/Logging_2305/kartor/A 12861-2024 karta.png", "A 12861-2024")</f>
        <v/>
      </c>
      <c r="V154">
        <f>HYPERLINK("https://klasma.github.io/Logging_2305/klagomål/A 12861-2024 FSC-klagomål.docx", "A 12861-2024")</f>
        <v/>
      </c>
      <c r="W154">
        <f>HYPERLINK("https://klasma.github.io/Logging_2305/klagomålsmail/A 12861-2024 FSC-klagomål mail.docx", "A 12861-2024")</f>
        <v/>
      </c>
      <c r="X154">
        <f>HYPERLINK("https://klasma.github.io/Logging_2305/tillsyn/A 12861-2024 tillsynsbegäran.docx", "A 12861-2024")</f>
        <v/>
      </c>
      <c r="Y154">
        <f>HYPERLINK("https://klasma.github.io/Logging_2305/tillsynsmail/A 12861-2024 tillsynsbegäran mail.docx", "A 12861-2024")</f>
        <v/>
      </c>
    </row>
    <row r="155" ht="15" customHeight="1">
      <c r="A155" t="inlineStr">
        <is>
          <t>A 12860-2024</t>
        </is>
      </c>
      <c r="B155" s="1" t="n">
        <v>45385</v>
      </c>
      <c r="C155" s="1" t="n">
        <v>45507</v>
      </c>
      <c r="D155" t="inlineStr">
        <is>
          <t>JÄMTLANDS LÄN</t>
        </is>
      </c>
      <c r="E155" t="inlineStr">
        <is>
          <t>BRÄCKE</t>
        </is>
      </c>
      <c r="F155" t="inlineStr">
        <is>
          <t>SCA</t>
        </is>
      </c>
      <c r="G155" t="n">
        <v>3.5</v>
      </c>
      <c r="H155" t="n">
        <v>0</v>
      </c>
      <c r="I155" t="n">
        <v>1</v>
      </c>
      <c r="J155" t="n">
        <v>0</v>
      </c>
      <c r="K155" t="n">
        <v>1</v>
      </c>
      <c r="L155" t="n">
        <v>0</v>
      </c>
      <c r="M155" t="n">
        <v>0</v>
      </c>
      <c r="N155" t="n">
        <v>0</v>
      </c>
      <c r="O155" t="n">
        <v>1</v>
      </c>
      <c r="P155" t="n">
        <v>1</v>
      </c>
      <c r="Q155" t="n">
        <v>2</v>
      </c>
      <c r="R155" s="2" t="inlineStr">
        <is>
          <t>Gräddporing
Skinnlav</t>
        </is>
      </c>
      <c r="S155">
        <f>HYPERLINK("https://klasma.github.io/Logging_2305/artfynd/A 12860-2024 artfynd.xlsx", "A 12860-2024")</f>
        <v/>
      </c>
      <c r="T155">
        <f>HYPERLINK("https://klasma.github.io/Logging_2305/kartor/A 12860-2024 karta.png", "A 12860-2024")</f>
        <v/>
      </c>
      <c r="V155">
        <f>HYPERLINK("https://klasma.github.io/Logging_2305/klagomål/A 12860-2024 FSC-klagomål.docx", "A 12860-2024")</f>
        <v/>
      </c>
      <c r="W155">
        <f>HYPERLINK("https://klasma.github.io/Logging_2305/klagomålsmail/A 12860-2024 FSC-klagomål mail.docx", "A 12860-2024")</f>
        <v/>
      </c>
      <c r="X155">
        <f>HYPERLINK("https://klasma.github.io/Logging_2305/tillsyn/A 12860-2024 tillsynsbegäran.docx", "A 12860-2024")</f>
        <v/>
      </c>
      <c r="Y155">
        <f>HYPERLINK("https://klasma.github.io/Logging_2305/tillsynsmail/A 12860-2024 tillsynsbegäran mail.docx", "A 12860-2024")</f>
        <v/>
      </c>
    </row>
    <row r="156" ht="15" customHeight="1">
      <c r="A156" t="inlineStr">
        <is>
          <t>A 13345-2024</t>
        </is>
      </c>
      <c r="B156" s="1" t="n">
        <v>45386</v>
      </c>
      <c r="C156" s="1" t="n">
        <v>45507</v>
      </c>
      <c r="D156" t="inlineStr">
        <is>
          <t>JÄMTLANDS LÄN</t>
        </is>
      </c>
      <c r="E156" t="inlineStr">
        <is>
          <t>BRÄCKE</t>
        </is>
      </c>
      <c r="F156" t="inlineStr">
        <is>
          <t>SCA</t>
        </is>
      </c>
      <c r="G156" t="n">
        <v>5.3</v>
      </c>
      <c r="H156" t="n">
        <v>0</v>
      </c>
      <c r="I156" t="n">
        <v>1</v>
      </c>
      <c r="J156" t="n">
        <v>1</v>
      </c>
      <c r="K156" t="n">
        <v>0</v>
      </c>
      <c r="L156" t="n">
        <v>0</v>
      </c>
      <c r="M156" t="n">
        <v>0</v>
      </c>
      <c r="N156" t="n">
        <v>0</v>
      </c>
      <c r="O156" t="n">
        <v>1</v>
      </c>
      <c r="P156" t="n">
        <v>0</v>
      </c>
      <c r="Q156" t="n">
        <v>2</v>
      </c>
      <c r="R156" s="2" t="inlineStr">
        <is>
          <t>Lunglav
Dropptaggsvamp</t>
        </is>
      </c>
      <c r="S156">
        <f>HYPERLINK("https://klasma.github.io/Logging_2305/artfynd/A 13345-2024 artfynd.xlsx", "A 13345-2024")</f>
        <v/>
      </c>
      <c r="T156">
        <f>HYPERLINK("https://klasma.github.io/Logging_2305/kartor/A 13345-2024 karta.png", "A 13345-2024")</f>
        <v/>
      </c>
      <c r="V156">
        <f>HYPERLINK("https://klasma.github.io/Logging_2305/klagomål/A 13345-2024 FSC-klagomål.docx", "A 13345-2024")</f>
        <v/>
      </c>
      <c r="W156">
        <f>HYPERLINK("https://klasma.github.io/Logging_2305/klagomålsmail/A 13345-2024 FSC-klagomål mail.docx", "A 13345-2024")</f>
        <v/>
      </c>
      <c r="X156">
        <f>HYPERLINK("https://klasma.github.io/Logging_2305/tillsyn/A 13345-2024 tillsynsbegäran.docx", "A 13345-2024")</f>
        <v/>
      </c>
      <c r="Y156">
        <f>HYPERLINK("https://klasma.github.io/Logging_2305/tillsynsmail/A 13345-2024 tillsynsbegäran mail.docx", "A 13345-2024")</f>
        <v/>
      </c>
    </row>
    <row r="157" ht="15" customHeight="1">
      <c r="A157" t="inlineStr">
        <is>
          <t>A 15146-2024</t>
        </is>
      </c>
      <c r="B157" s="1" t="n">
        <v>45400</v>
      </c>
      <c r="C157" s="1" t="n">
        <v>45507</v>
      </c>
      <c r="D157" t="inlineStr">
        <is>
          <t>JÄMTLANDS LÄN</t>
        </is>
      </c>
      <c r="E157" t="inlineStr">
        <is>
          <t>BRÄCKE</t>
        </is>
      </c>
      <c r="F157" t="inlineStr">
        <is>
          <t>Naturvårdsverket</t>
        </is>
      </c>
      <c r="G157" t="n">
        <v>2.2</v>
      </c>
      <c r="H157" t="n">
        <v>0</v>
      </c>
      <c r="I157" t="n">
        <v>0</v>
      </c>
      <c r="J157" t="n">
        <v>2</v>
      </c>
      <c r="K157" t="n">
        <v>0</v>
      </c>
      <c r="L157" t="n">
        <v>0</v>
      </c>
      <c r="M157" t="n">
        <v>0</v>
      </c>
      <c r="N157" t="n">
        <v>0</v>
      </c>
      <c r="O157" t="n">
        <v>2</v>
      </c>
      <c r="P157" t="n">
        <v>0</v>
      </c>
      <c r="Q157" t="n">
        <v>2</v>
      </c>
      <c r="R157" s="2" t="inlineStr">
        <is>
          <t>Garnlav
Ullticka</t>
        </is>
      </c>
      <c r="S157">
        <f>HYPERLINK("https://klasma.github.io/Logging_2305/artfynd/A 15146-2024 artfynd.xlsx", "A 15146-2024")</f>
        <v/>
      </c>
      <c r="T157">
        <f>HYPERLINK("https://klasma.github.io/Logging_2305/kartor/A 15146-2024 karta.png", "A 15146-2024")</f>
        <v/>
      </c>
      <c r="V157">
        <f>HYPERLINK("https://klasma.github.io/Logging_2305/klagomål/A 15146-2024 FSC-klagomål.docx", "A 15146-2024")</f>
        <v/>
      </c>
      <c r="W157">
        <f>HYPERLINK("https://klasma.github.io/Logging_2305/klagomålsmail/A 15146-2024 FSC-klagomål mail.docx", "A 15146-2024")</f>
        <v/>
      </c>
      <c r="X157">
        <f>HYPERLINK("https://klasma.github.io/Logging_2305/tillsyn/A 15146-2024 tillsynsbegäran.docx", "A 15146-2024")</f>
        <v/>
      </c>
      <c r="Y157">
        <f>HYPERLINK("https://klasma.github.io/Logging_2305/tillsynsmail/A 15146-2024 tillsynsbegäran mail.docx", "A 15146-2024")</f>
        <v/>
      </c>
    </row>
    <row r="158" ht="15" customHeight="1">
      <c r="A158" t="inlineStr">
        <is>
          <t>A 15153-2024</t>
        </is>
      </c>
      <c r="B158" s="1" t="n">
        <v>45400</v>
      </c>
      <c r="C158" s="1" t="n">
        <v>45507</v>
      </c>
      <c r="D158" t="inlineStr">
        <is>
          <t>JÄMTLANDS LÄN</t>
        </is>
      </c>
      <c r="E158" t="inlineStr">
        <is>
          <t>BRÄCKE</t>
        </is>
      </c>
      <c r="F158" t="inlineStr">
        <is>
          <t>SCA</t>
        </is>
      </c>
      <c r="G158" t="n">
        <v>3.2</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15153-2024 artfynd.xlsx", "A 15153-2024")</f>
        <v/>
      </c>
      <c r="T158">
        <f>HYPERLINK("https://klasma.github.io/Logging_2305/kartor/A 15153-2024 karta.png", "A 15153-2024")</f>
        <v/>
      </c>
      <c r="V158">
        <f>HYPERLINK("https://klasma.github.io/Logging_2305/klagomål/A 15153-2024 FSC-klagomål.docx", "A 15153-2024")</f>
        <v/>
      </c>
      <c r="W158">
        <f>HYPERLINK("https://klasma.github.io/Logging_2305/klagomålsmail/A 15153-2024 FSC-klagomål mail.docx", "A 15153-2024")</f>
        <v/>
      </c>
      <c r="X158">
        <f>HYPERLINK("https://klasma.github.io/Logging_2305/tillsyn/A 15153-2024 tillsynsbegäran.docx", "A 15153-2024")</f>
        <v/>
      </c>
      <c r="Y158">
        <f>HYPERLINK("https://klasma.github.io/Logging_2305/tillsynsmail/A 15153-2024 tillsynsbegäran mail.docx", "A 15153-2024")</f>
        <v/>
      </c>
    </row>
    <row r="159" ht="15" customHeight="1">
      <c r="A159" t="inlineStr">
        <is>
          <t>A 16245-2024</t>
        </is>
      </c>
      <c r="B159" s="1" t="n">
        <v>45407</v>
      </c>
      <c r="C159" s="1" t="n">
        <v>45507</v>
      </c>
      <c r="D159" t="inlineStr">
        <is>
          <t>JÄMTLANDS LÄN</t>
        </is>
      </c>
      <c r="E159" t="inlineStr">
        <is>
          <t>BRÄCKE</t>
        </is>
      </c>
      <c r="F159" t="inlineStr">
        <is>
          <t>SCA</t>
        </is>
      </c>
      <c r="G159" t="n">
        <v>5</v>
      </c>
      <c r="H159" t="n">
        <v>0</v>
      </c>
      <c r="I159" t="n">
        <v>0</v>
      </c>
      <c r="J159" t="n">
        <v>2</v>
      </c>
      <c r="K159" t="n">
        <v>0</v>
      </c>
      <c r="L159" t="n">
        <v>0</v>
      </c>
      <c r="M159" t="n">
        <v>0</v>
      </c>
      <c r="N159" t="n">
        <v>0</v>
      </c>
      <c r="O159" t="n">
        <v>2</v>
      </c>
      <c r="P159" t="n">
        <v>0</v>
      </c>
      <c r="Q159" t="n">
        <v>2</v>
      </c>
      <c r="R159" s="2" t="inlineStr">
        <is>
          <t>Garnlav
Lunglav</t>
        </is>
      </c>
      <c r="S159">
        <f>HYPERLINK("https://klasma.github.io/Logging_2305/artfynd/A 16245-2024 artfynd.xlsx", "A 16245-2024")</f>
        <v/>
      </c>
      <c r="T159">
        <f>HYPERLINK("https://klasma.github.io/Logging_2305/kartor/A 16245-2024 karta.png", "A 16245-2024")</f>
        <v/>
      </c>
      <c r="V159">
        <f>HYPERLINK("https://klasma.github.io/Logging_2305/klagomål/A 16245-2024 FSC-klagomål.docx", "A 16245-2024")</f>
        <v/>
      </c>
      <c r="W159">
        <f>HYPERLINK("https://klasma.github.io/Logging_2305/klagomålsmail/A 16245-2024 FSC-klagomål mail.docx", "A 16245-2024")</f>
        <v/>
      </c>
      <c r="X159">
        <f>HYPERLINK("https://klasma.github.io/Logging_2305/tillsyn/A 16245-2024 tillsynsbegäran.docx", "A 16245-2024")</f>
        <v/>
      </c>
      <c r="Y159">
        <f>HYPERLINK("https://klasma.github.io/Logging_2305/tillsynsmail/A 16245-2024 tillsynsbegäran mail.docx", "A 16245-2024")</f>
        <v/>
      </c>
    </row>
    <row r="160" ht="15" customHeight="1">
      <c r="A160" t="inlineStr">
        <is>
          <t>A 16465-2024</t>
        </is>
      </c>
      <c r="B160" s="1" t="n">
        <v>45408</v>
      </c>
      <c r="C160" s="1" t="n">
        <v>45507</v>
      </c>
      <c r="D160" t="inlineStr">
        <is>
          <t>JÄMTLANDS LÄN</t>
        </is>
      </c>
      <c r="E160" t="inlineStr">
        <is>
          <t>BRÄCKE</t>
        </is>
      </c>
      <c r="F160" t="inlineStr">
        <is>
          <t>SCA</t>
        </is>
      </c>
      <c r="G160" t="n">
        <v>6.1</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HYPERLINK("https://klasma.github.io/Logging_2305/artfynd/A 16465-2024 artfynd.xlsx", "A 16465-2024")</f>
        <v/>
      </c>
      <c r="T160">
        <f>HYPERLINK("https://klasma.github.io/Logging_2305/kartor/A 16465-2024 karta.png", "A 16465-2024")</f>
        <v/>
      </c>
      <c r="V160">
        <f>HYPERLINK("https://klasma.github.io/Logging_2305/klagomål/A 16465-2024 FSC-klagomål.docx", "A 16465-2024")</f>
        <v/>
      </c>
      <c r="W160">
        <f>HYPERLINK("https://klasma.github.io/Logging_2305/klagomålsmail/A 16465-2024 FSC-klagomål mail.docx", "A 16465-2024")</f>
        <v/>
      </c>
      <c r="X160">
        <f>HYPERLINK("https://klasma.github.io/Logging_2305/tillsyn/A 16465-2024 tillsynsbegäran.docx", "A 16465-2024")</f>
        <v/>
      </c>
      <c r="Y160">
        <f>HYPERLINK("https://klasma.github.io/Logging_2305/tillsynsmail/A 16465-2024 tillsynsbegäran mail.docx", "A 16465-2024")</f>
        <v/>
      </c>
      <c r="Z160">
        <f>HYPERLINK("https://klasma.github.io/Logging_2305/fåglar/A 16465-2024 prioriterade fågelarter.docx", "A 16465-2024")</f>
        <v/>
      </c>
    </row>
    <row r="161" ht="15" customHeight="1">
      <c r="A161" t="inlineStr">
        <is>
          <t>A 16716-2024</t>
        </is>
      </c>
      <c r="B161" s="1" t="n">
        <v>45409</v>
      </c>
      <c r="C161" s="1" t="n">
        <v>45507</v>
      </c>
      <c r="D161" t="inlineStr">
        <is>
          <t>JÄMTLANDS LÄN</t>
        </is>
      </c>
      <c r="E161" t="inlineStr">
        <is>
          <t>BRÄCKE</t>
        </is>
      </c>
      <c r="G161" t="n">
        <v>5.2</v>
      </c>
      <c r="H161" t="n">
        <v>1</v>
      </c>
      <c r="I161" t="n">
        <v>0</v>
      </c>
      <c r="J161" t="n">
        <v>1</v>
      </c>
      <c r="K161" t="n">
        <v>0</v>
      </c>
      <c r="L161" t="n">
        <v>0</v>
      </c>
      <c r="M161" t="n">
        <v>0</v>
      </c>
      <c r="N161" t="n">
        <v>0</v>
      </c>
      <c r="O161" t="n">
        <v>1</v>
      </c>
      <c r="P161" t="n">
        <v>0</v>
      </c>
      <c r="Q161" t="n">
        <v>2</v>
      </c>
      <c r="R161" s="2" t="inlineStr">
        <is>
          <t>Kandelabersvamp
Blåsippa</t>
        </is>
      </c>
      <c r="S161">
        <f>HYPERLINK("https://klasma.github.io/Logging_2305/artfynd/A 16716-2024 artfynd.xlsx", "A 16716-2024")</f>
        <v/>
      </c>
      <c r="T161">
        <f>HYPERLINK("https://klasma.github.io/Logging_2305/kartor/A 16716-2024 karta.png", "A 16716-2024")</f>
        <v/>
      </c>
      <c r="V161">
        <f>HYPERLINK("https://klasma.github.io/Logging_2305/klagomål/A 16716-2024 FSC-klagomål.docx", "A 16716-2024")</f>
        <v/>
      </c>
      <c r="W161">
        <f>HYPERLINK("https://klasma.github.io/Logging_2305/klagomålsmail/A 16716-2024 FSC-klagomål mail.docx", "A 16716-2024")</f>
        <v/>
      </c>
      <c r="X161">
        <f>HYPERLINK("https://klasma.github.io/Logging_2305/tillsyn/A 16716-2024 tillsynsbegäran.docx", "A 16716-2024")</f>
        <v/>
      </c>
      <c r="Y161">
        <f>HYPERLINK("https://klasma.github.io/Logging_2305/tillsynsmail/A 16716-2024 tillsynsbegäran mail.docx", "A 16716-2024")</f>
        <v/>
      </c>
    </row>
    <row r="162" ht="15" customHeight="1">
      <c r="A162" t="inlineStr">
        <is>
          <t>A 17781-2024</t>
        </is>
      </c>
      <c r="B162" s="1" t="n">
        <v>45418</v>
      </c>
      <c r="C162" s="1" t="n">
        <v>45507</v>
      </c>
      <c r="D162" t="inlineStr">
        <is>
          <t>JÄMTLANDS LÄN</t>
        </is>
      </c>
      <c r="E162" t="inlineStr">
        <is>
          <t>BRÄCKE</t>
        </is>
      </c>
      <c r="G162" t="n">
        <v>3</v>
      </c>
      <c r="H162" t="n">
        <v>1</v>
      </c>
      <c r="I162" t="n">
        <v>1</v>
      </c>
      <c r="J162" t="n">
        <v>0</v>
      </c>
      <c r="K162" t="n">
        <v>0</v>
      </c>
      <c r="L162" t="n">
        <v>0</v>
      </c>
      <c r="M162" t="n">
        <v>0</v>
      </c>
      <c r="N162" t="n">
        <v>0</v>
      </c>
      <c r="O162" t="n">
        <v>0</v>
      </c>
      <c r="P162" t="n">
        <v>0</v>
      </c>
      <c r="Q162" t="n">
        <v>2</v>
      </c>
      <c r="R162" s="2" t="inlineStr">
        <is>
          <t>Hässleklocka
Brudsporre</t>
        </is>
      </c>
      <c r="S162">
        <f>HYPERLINK("https://klasma.github.io/Logging_2305/artfynd/A 17781-2024 artfynd.xlsx", "A 17781-2024")</f>
        <v/>
      </c>
      <c r="T162">
        <f>HYPERLINK("https://klasma.github.io/Logging_2305/kartor/A 17781-2024 karta.png", "A 17781-2024")</f>
        <v/>
      </c>
      <c r="V162">
        <f>HYPERLINK("https://klasma.github.io/Logging_2305/klagomål/A 17781-2024 FSC-klagomål.docx", "A 17781-2024")</f>
        <v/>
      </c>
      <c r="W162">
        <f>HYPERLINK("https://klasma.github.io/Logging_2305/klagomålsmail/A 17781-2024 FSC-klagomål mail.docx", "A 17781-2024")</f>
        <v/>
      </c>
      <c r="X162">
        <f>HYPERLINK("https://klasma.github.io/Logging_2305/tillsyn/A 17781-2024 tillsynsbegäran.docx", "A 17781-2024")</f>
        <v/>
      </c>
      <c r="Y162">
        <f>HYPERLINK("https://klasma.github.io/Logging_2305/tillsynsmail/A 17781-2024 tillsynsbegäran mail.docx", "A 17781-2024")</f>
        <v/>
      </c>
    </row>
    <row r="163" ht="15" customHeight="1">
      <c r="A163" t="inlineStr">
        <is>
          <t>A 23732-2024</t>
        </is>
      </c>
      <c r="B163" s="1" t="n">
        <v>45455</v>
      </c>
      <c r="C163" s="1" t="n">
        <v>45507</v>
      </c>
      <c r="D163" t="inlineStr">
        <is>
          <t>JÄMTLANDS LÄN</t>
        </is>
      </c>
      <c r="E163" t="inlineStr">
        <is>
          <t>BRÄCKE</t>
        </is>
      </c>
      <c r="F163" t="inlineStr">
        <is>
          <t>SCA</t>
        </is>
      </c>
      <c r="G163" t="n">
        <v>15.5</v>
      </c>
      <c r="H163" t="n">
        <v>1</v>
      </c>
      <c r="I163" t="n">
        <v>0</v>
      </c>
      <c r="J163" t="n">
        <v>1</v>
      </c>
      <c r="K163" t="n">
        <v>1</v>
      </c>
      <c r="L163" t="n">
        <v>0</v>
      </c>
      <c r="M163" t="n">
        <v>0</v>
      </c>
      <c r="N163" t="n">
        <v>0</v>
      </c>
      <c r="O163" t="n">
        <v>2</v>
      </c>
      <c r="P163" t="n">
        <v>1</v>
      </c>
      <c r="Q163" t="n">
        <v>2</v>
      </c>
      <c r="R163" s="2" t="inlineStr">
        <is>
          <t>Doftticka
Lunglav</t>
        </is>
      </c>
      <c r="S163">
        <f>HYPERLINK("https://klasma.github.io/Logging_2305/artfynd/A 23732-2024 artfynd.xlsx", "A 23732-2024")</f>
        <v/>
      </c>
      <c r="T163">
        <f>HYPERLINK("https://klasma.github.io/Logging_2305/kartor/A 23732-2024 karta.png", "A 23732-2024")</f>
        <v/>
      </c>
      <c r="V163">
        <f>HYPERLINK("https://klasma.github.io/Logging_2305/klagomål/A 23732-2024 FSC-klagomål.docx", "A 23732-2024")</f>
        <v/>
      </c>
      <c r="W163">
        <f>HYPERLINK("https://klasma.github.io/Logging_2305/klagomålsmail/A 23732-2024 FSC-klagomål mail.docx", "A 23732-2024")</f>
        <v/>
      </c>
      <c r="X163">
        <f>HYPERLINK("https://klasma.github.io/Logging_2305/tillsyn/A 23732-2024 tillsynsbegäran.docx", "A 23732-2024")</f>
        <v/>
      </c>
      <c r="Y163">
        <f>HYPERLINK("https://klasma.github.io/Logging_2305/tillsynsmail/A 23732-2024 tillsynsbegäran mail.docx", "A 23732-2024")</f>
        <v/>
      </c>
    </row>
    <row r="164" ht="15" customHeight="1">
      <c r="A164" t="inlineStr">
        <is>
          <t>A 29102-2024</t>
        </is>
      </c>
      <c r="B164" s="1" t="n">
        <v>45482</v>
      </c>
      <c r="C164" s="1" t="n">
        <v>45507</v>
      </c>
      <c r="D164" t="inlineStr">
        <is>
          <t>JÄMTLANDS LÄN</t>
        </is>
      </c>
      <c r="E164" t="inlineStr">
        <is>
          <t>BRÄCKE</t>
        </is>
      </c>
      <c r="F164" t="inlineStr">
        <is>
          <t>SCA</t>
        </is>
      </c>
      <c r="G164" t="n">
        <v>2</v>
      </c>
      <c r="H164" t="n">
        <v>0</v>
      </c>
      <c r="I164" t="n">
        <v>1</v>
      </c>
      <c r="J164" t="n">
        <v>1</v>
      </c>
      <c r="K164" t="n">
        <v>0</v>
      </c>
      <c r="L164" t="n">
        <v>0</v>
      </c>
      <c r="M164" t="n">
        <v>0</v>
      </c>
      <c r="N164" t="n">
        <v>0</v>
      </c>
      <c r="O164" t="n">
        <v>1</v>
      </c>
      <c r="P164" t="n">
        <v>0</v>
      </c>
      <c r="Q164" t="n">
        <v>2</v>
      </c>
      <c r="R164" s="2" t="inlineStr">
        <is>
          <t>Lunglav
Dropptaggsvamp</t>
        </is>
      </c>
      <c r="S164">
        <f>HYPERLINK("https://klasma.github.io/Logging_2305/artfynd/A 29102-2024 artfynd.xlsx", "A 29102-2024")</f>
        <v/>
      </c>
      <c r="T164">
        <f>HYPERLINK("https://klasma.github.io/Logging_2305/kartor/A 29102-2024 karta.png", "A 29102-2024")</f>
        <v/>
      </c>
      <c r="V164">
        <f>HYPERLINK("https://klasma.github.io/Logging_2305/klagomål/A 29102-2024 FSC-klagomål.docx", "A 29102-2024")</f>
        <v/>
      </c>
      <c r="W164">
        <f>HYPERLINK("https://klasma.github.io/Logging_2305/klagomålsmail/A 29102-2024 FSC-klagomål mail.docx", "A 29102-2024")</f>
        <v/>
      </c>
      <c r="X164">
        <f>HYPERLINK("https://klasma.github.io/Logging_2305/tillsyn/A 29102-2024 tillsynsbegäran.docx", "A 29102-2024")</f>
        <v/>
      </c>
      <c r="Y164">
        <f>HYPERLINK("https://klasma.github.io/Logging_2305/tillsynsmail/A 29102-2024 tillsynsbegäran mail.docx", "A 29102-2024")</f>
        <v/>
      </c>
    </row>
    <row r="165" ht="15" customHeight="1">
      <c r="A165" t="inlineStr">
        <is>
          <t>A 29672-2024</t>
        </is>
      </c>
      <c r="B165" s="1" t="n">
        <v>45485</v>
      </c>
      <c r="C165" s="1" t="n">
        <v>45507</v>
      </c>
      <c r="D165" t="inlineStr">
        <is>
          <t>JÄMTLANDS LÄN</t>
        </is>
      </c>
      <c r="E165" t="inlineStr">
        <is>
          <t>BRÄCKE</t>
        </is>
      </c>
      <c r="F165" t="inlineStr">
        <is>
          <t>SCA</t>
        </is>
      </c>
      <c r="G165" t="n">
        <v>1.2</v>
      </c>
      <c r="H165" t="n">
        <v>0</v>
      </c>
      <c r="I165" t="n">
        <v>0</v>
      </c>
      <c r="J165" t="n">
        <v>2</v>
      </c>
      <c r="K165" t="n">
        <v>0</v>
      </c>
      <c r="L165" t="n">
        <v>0</v>
      </c>
      <c r="M165" t="n">
        <v>0</v>
      </c>
      <c r="N165" t="n">
        <v>0</v>
      </c>
      <c r="O165" t="n">
        <v>2</v>
      </c>
      <c r="P165" t="n">
        <v>0</v>
      </c>
      <c r="Q165" t="n">
        <v>2</v>
      </c>
      <c r="R165" s="2" t="inlineStr">
        <is>
          <t>Vedflikmossa
Vedtrappmossa</t>
        </is>
      </c>
      <c r="S165">
        <f>HYPERLINK("https://klasma.github.io/Logging_2305/artfynd/A 29672-2024 artfynd.xlsx", "A 29672-2024")</f>
        <v/>
      </c>
      <c r="T165">
        <f>HYPERLINK("https://klasma.github.io/Logging_2305/kartor/A 29672-2024 karta.png", "A 29672-2024")</f>
        <v/>
      </c>
      <c r="V165">
        <f>HYPERLINK("https://klasma.github.io/Logging_2305/klagomål/A 29672-2024 FSC-klagomål.docx", "A 29672-2024")</f>
        <v/>
      </c>
      <c r="W165">
        <f>HYPERLINK("https://klasma.github.io/Logging_2305/klagomålsmail/A 29672-2024 FSC-klagomål mail.docx", "A 29672-2024")</f>
        <v/>
      </c>
      <c r="X165">
        <f>HYPERLINK("https://klasma.github.io/Logging_2305/tillsyn/A 29672-2024 tillsynsbegäran.docx", "A 29672-2024")</f>
        <v/>
      </c>
      <c r="Y165">
        <f>HYPERLINK("https://klasma.github.io/Logging_2305/tillsynsmail/A 29672-2024 tillsynsbegäran mail.docx", "A 29672-2024")</f>
        <v/>
      </c>
    </row>
    <row r="166" ht="15" customHeight="1">
      <c r="A166" t="inlineStr">
        <is>
          <t>A 30779-2024</t>
        </is>
      </c>
      <c r="B166" s="1" t="n">
        <v>45497</v>
      </c>
      <c r="C166" s="1" t="n">
        <v>45507</v>
      </c>
      <c r="D166" t="inlineStr">
        <is>
          <t>JÄMTLANDS LÄN</t>
        </is>
      </c>
      <c r="E166" t="inlineStr">
        <is>
          <t>BRÄCKE</t>
        </is>
      </c>
      <c r="F166" t="inlineStr">
        <is>
          <t>Naturvårdsverket</t>
        </is>
      </c>
      <c r="G166" t="n">
        <v>7.4</v>
      </c>
      <c r="H166" t="n">
        <v>0</v>
      </c>
      <c r="I166" t="n">
        <v>1</v>
      </c>
      <c r="J166" t="n">
        <v>1</v>
      </c>
      <c r="K166" t="n">
        <v>0</v>
      </c>
      <c r="L166" t="n">
        <v>0</v>
      </c>
      <c r="M166" t="n">
        <v>0</v>
      </c>
      <c r="N166" t="n">
        <v>0</v>
      </c>
      <c r="O166" t="n">
        <v>1</v>
      </c>
      <c r="P166" t="n">
        <v>0</v>
      </c>
      <c r="Q166" t="n">
        <v>2</v>
      </c>
      <c r="R166" s="2" t="inlineStr">
        <is>
          <t>Vedskivlav
Dropptaggsvamp</t>
        </is>
      </c>
      <c r="S166">
        <f>HYPERLINK("https://klasma.github.io/Logging_2305/artfynd/A 30779-2024 artfynd.xlsx", "A 30779-2024")</f>
        <v/>
      </c>
      <c r="T166">
        <f>HYPERLINK("https://klasma.github.io/Logging_2305/kartor/A 30779-2024 karta.png",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30988-2024</t>
        </is>
      </c>
      <c r="B167" s="1" t="n">
        <v>45499</v>
      </c>
      <c r="C167" s="1" t="n">
        <v>45507</v>
      </c>
      <c r="D167" t="inlineStr">
        <is>
          <t>JÄMTLANDS LÄN</t>
        </is>
      </c>
      <c r="E167" t="inlineStr">
        <is>
          <t>BRÄCKE</t>
        </is>
      </c>
      <c r="F167" t="inlineStr">
        <is>
          <t>Sveaskog</t>
        </is>
      </c>
      <c r="G167" t="n">
        <v>4.8</v>
      </c>
      <c r="H167" t="n">
        <v>1</v>
      </c>
      <c r="I167" t="n">
        <v>1</v>
      </c>
      <c r="J167" t="n">
        <v>1</v>
      </c>
      <c r="K167" t="n">
        <v>0</v>
      </c>
      <c r="L167" t="n">
        <v>0</v>
      </c>
      <c r="M167" t="n">
        <v>0</v>
      </c>
      <c r="N167" t="n">
        <v>0</v>
      </c>
      <c r="O167" t="n">
        <v>1</v>
      </c>
      <c r="P167" t="n">
        <v>0</v>
      </c>
      <c r="Q167" t="n">
        <v>2</v>
      </c>
      <c r="R167" s="2" t="inlineStr">
        <is>
          <t>Lunglav
Tvåblad</t>
        </is>
      </c>
      <c r="S167">
        <f>HYPERLINK("https://klasma.github.io/Logging_2305/artfynd/A 30988-2024 artfynd.xlsx", "A 30988-2024")</f>
        <v/>
      </c>
      <c r="T167">
        <f>HYPERLINK("https://klasma.github.io/Logging_2305/kartor/A 30988-2024 karta.png", "A 30988-2024")</f>
        <v/>
      </c>
      <c r="V167">
        <f>HYPERLINK("https://klasma.github.io/Logging_2305/klagomål/A 30988-2024 FSC-klagomål.docx", "A 30988-2024")</f>
        <v/>
      </c>
      <c r="W167">
        <f>HYPERLINK("https://klasma.github.io/Logging_2305/klagomålsmail/A 30988-2024 FSC-klagomål mail.docx", "A 30988-2024")</f>
        <v/>
      </c>
      <c r="X167">
        <f>HYPERLINK("https://klasma.github.io/Logging_2305/tillsyn/A 30988-2024 tillsynsbegäran.docx", "A 30988-2024")</f>
        <v/>
      </c>
      <c r="Y167">
        <f>HYPERLINK("https://klasma.github.io/Logging_2305/tillsynsmail/A 30988-2024 tillsynsbegäran mail.docx", "A 30988-2024")</f>
        <v/>
      </c>
    </row>
    <row r="168" ht="15" customHeight="1">
      <c r="A168" t="inlineStr">
        <is>
          <t>A 31471-2024</t>
        </is>
      </c>
      <c r="B168" s="1" t="n">
        <v>45506</v>
      </c>
      <c r="C168" s="1" t="n">
        <v>45507</v>
      </c>
      <c r="D168" t="inlineStr">
        <is>
          <t>JÄMTLANDS LÄN</t>
        </is>
      </c>
      <c r="E168" t="inlineStr">
        <is>
          <t>BRÄCKE</t>
        </is>
      </c>
      <c r="F168" t="inlineStr">
        <is>
          <t>SCA</t>
        </is>
      </c>
      <c r="G168" t="n">
        <v>6.9</v>
      </c>
      <c r="H168" t="n">
        <v>0</v>
      </c>
      <c r="I168" t="n">
        <v>0</v>
      </c>
      <c r="J168" t="n">
        <v>2</v>
      </c>
      <c r="K168" t="n">
        <v>0</v>
      </c>
      <c r="L168" t="n">
        <v>0</v>
      </c>
      <c r="M168" t="n">
        <v>0</v>
      </c>
      <c r="N168" t="n">
        <v>0</v>
      </c>
      <c r="O168" t="n">
        <v>2</v>
      </c>
      <c r="P168" t="n">
        <v>0</v>
      </c>
      <c r="Q168" t="n">
        <v>2</v>
      </c>
      <c r="R168" s="2" t="inlineStr">
        <is>
          <t>Lunglav
Ullticka</t>
        </is>
      </c>
      <c r="S168">
        <f>HYPERLINK("https://klasma.github.io/Logging_2305/artfynd/A 31471-2024 artfynd.xlsx", "A 31471-2024")</f>
        <v/>
      </c>
      <c r="T168">
        <f>HYPERLINK("https://klasma.github.io/Logging_2305/kartor/A 31471-2024 karta.png", "A 31471-2024")</f>
        <v/>
      </c>
      <c r="V168">
        <f>HYPERLINK("https://klasma.github.io/Logging_2305/klagomål/A 31471-2024 FSC-klagomål.docx", "A 31471-2024")</f>
        <v/>
      </c>
      <c r="W168">
        <f>HYPERLINK("https://klasma.github.io/Logging_2305/klagomålsmail/A 31471-2024 FSC-klagomål mail.docx", "A 31471-2024")</f>
        <v/>
      </c>
      <c r="X168">
        <f>HYPERLINK("https://klasma.github.io/Logging_2305/tillsyn/A 31471-2024 tillsynsbegäran.docx", "A 31471-2024")</f>
        <v/>
      </c>
      <c r="Y168">
        <f>HYPERLINK("https://klasma.github.io/Logging_2305/tillsynsmail/A 31471-2024 tillsynsbegäran mail.docx", "A 31471-2024")</f>
        <v/>
      </c>
    </row>
    <row r="169" ht="15" customHeight="1">
      <c r="A169" t="inlineStr">
        <is>
          <t>A 28216-2019</t>
        </is>
      </c>
      <c r="B169" s="1" t="n">
        <v>43621</v>
      </c>
      <c r="C169" s="1" t="n">
        <v>45507</v>
      </c>
      <c r="D169" t="inlineStr">
        <is>
          <t>JÄMTLANDS LÄN</t>
        </is>
      </c>
      <c r="E169" t="inlineStr">
        <is>
          <t>BRÄCKE</t>
        </is>
      </c>
      <c r="F169" t="inlineStr">
        <is>
          <t>SCA</t>
        </is>
      </c>
      <c r="G169" t="n">
        <v>4.6</v>
      </c>
      <c r="H169" t="n">
        <v>0</v>
      </c>
      <c r="I169" t="n">
        <v>0</v>
      </c>
      <c r="J169" t="n">
        <v>1</v>
      </c>
      <c r="K169" t="n">
        <v>0</v>
      </c>
      <c r="L169" t="n">
        <v>0</v>
      </c>
      <c r="M169" t="n">
        <v>0</v>
      </c>
      <c r="N169" t="n">
        <v>0</v>
      </c>
      <c r="O169" t="n">
        <v>1</v>
      </c>
      <c r="P169" t="n">
        <v>0</v>
      </c>
      <c r="Q169" t="n">
        <v>1</v>
      </c>
      <c r="R169" s="2" t="inlineStr">
        <is>
          <t>Lunglav</t>
        </is>
      </c>
      <c r="S169">
        <f>HYPERLINK("https://klasma.github.io/Logging_2305/artfynd/A 28216-2019 artfynd.xlsx", "A 28216-2019")</f>
        <v/>
      </c>
      <c r="T169">
        <f>HYPERLINK("https://klasma.github.io/Logging_2305/kartor/A 28216-2019 karta.png", "A 28216-2019")</f>
        <v/>
      </c>
      <c r="V169">
        <f>HYPERLINK("https://klasma.github.io/Logging_2305/klagomål/A 28216-2019 FSC-klagomål.docx", "A 28216-2019")</f>
        <v/>
      </c>
      <c r="W169">
        <f>HYPERLINK("https://klasma.github.io/Logging_2305/klagomålsmail/A 28216-2019 FSC-klagomål mail.docx", "A 28216-2019")</f>
        <v/>
      </c>
      <c r="X169">
        <f>HYPERLINK("https://klasma.github.io/Logging_2305/tillsyn/A 28216-2019 tillsynsbegäran.docx", "A 28216-2019")</f>
        <v/>
      </c>
      <c r="Y169">
        <f>HYPERLINK("https://klasma.github.io/Logging_2305/tillsynsmail/A 28216-2019 tillsynsbegäran mail.docx", "A 28216-2019")</f>
        <v/>
      </c>
    </row>
    <row r="170" ht="15" customHeight="1">
      <c r="A170" t="inlineStr">
        <is>
          <t>A 48962-2019</t>
        </is>
      </c>
      <c r="B170" s="1" t="n">
        <v>43728</v>
      </c>
      <c r="C170" s="1" t="n">
        <v>45507</v>
      </c>
      <c r="D170" t="inlineStr">
        <is>
          <t>JÄMTLANDS LÄN</t>
        </is>
      </c>
      <c r="E170" t="inlineStr">
        <is>
          <t>BRÄCKE</t>
        </is>
      </c>
      <c r="F170" t="inlineStr">
        <is>
          <t>SCA</t>
        </is>
      </c>
      <c r="G170" t="n">
        <v>21.9</v>
      </c>
      <c r="H170" t="n">
        <v>1</v>
      </c>
      <c r="I170" t="n">
        <v>0</v>
      </c>
      <c r="J170" t="n">
        <v>0</v>
      </c>
      <c r="K170" t="n">
        <v>1</v>
      </c>
      <c r="L170" t="n">
        <v>0</v>
      </c>
      <c r="M170" t="n">
        <v>0</v>
      </c>
      <c r="N170" t="n">
        <v>0</v>
      </c>
      <c r="O170" t="n">
        <v>1</v>
      </c>
      <c r="P170" t="n">
        <v>1</v>
      </c>
      <c r="Q170" t="n">
        <v>1</v>
      </c>
      <c r="R170" s="2" t="inlineStr">
        <is>
          <t>Doftticka</t>
        </is>
      </c>
      <c r="S170">
        <f>HYPERLINK("https://klasma.github.io/Logging_2305/artfynd/A 48962-2019 artfynd.xlsx", "A 48962-2019")</f>
        <v/>
      </c>
      <c r="T170">
        <f>HYPERLINK("https://klasma.github.io/Logging_2305/kartor/A 48962-2019 karta.png", "A 48962-2019")</f>
        <v/>
      </c>
      <c r="U170">
        <f>HYPERLINK("https://klasma.github.io/Logging_2305/knärot/A 48962-2019 karta knärot.png", "A 48962-2019")</f>
        <v/>
      </c>
      <c r="V170">
        <f>HYPERLINK("https://klasma.github.io/Logging_2305/klagomål/A 48962-2019 FSC-klagomål.docx", "A 48962-2019")</f>
        <v/>
      </c>
      <c r="W170">
        <f>HYPERLINK("https://klasma.github.io/Logging_2305/klagomålsmail/A 48962-2019 FSC-klagomål mail.docx", "A 48962-2019")</f>
        <v/>
      </c>
      <c r="X170">
        <f>HYPERLINK("https://klasma.github.io/Logging_2305/tillsyn/A 48962-2019 tillsynsbegäran.docx", "A 48962-2019")</f>
        <v/>
      </c>
      <c r="Y170">
        <f>HYPERLINK("https://klasma.github.io/Logging_2305/tillsynsmail/A 48962-2019 tillsynsbegäran mail.docx", "A 48962-2019")</f>
        <v/>
      </c>
    </row>
    <row r="171" ht="15" customHeight="1">
      <c r="A171" t="inlineStr">
        <is>
          <t>A 49010-2019</t>
        </is>
      </c>
      <c r="B171" s="1" t="n">
        <v>43730</v>
      </c>
      <c r="C171" s="1" t="n">
        <v>45507</v>
      </c>
      <c r="D171" t="inlineStr">
        <is>
          <t>JÄMTLANDS LÄN</t>
        </is>
      </c>
      <c r="E171" t="inlineStr">
        <is>
          <t>BRÄCKE</t>
        </is>
      </c>
      <c r="F171" t="inlineStr">
        <is>
          <t>SCA</t>
        </is>
      </c>
      <c r="G171" t="n">
        <v>1.3</v>
      </c>
      <c r="H171" t="n">
        <v>1</v>
      </c>
      <c r="I171" t="n">
        <v>0</v>
      </c>
      <c r="J171" t="n">
        <v>0</v>
      </c>
      <c r="K171" t="n">
        <v>0</v>
      </c>
      <c r="L171" t="n">
        <v>0</v>
      </c>
      <c r="M171" t="n">
        <v>0</v>
      </c>
      <c r="N171" t="n">
        <v>0</v>
      </c>
      <c r="O171" t="n">
        <v>0</v>
      </c>
      <c r="P171" t="n">
        <v>0</v>
      </c>
      <c r="Q171" t="n">
        <v>1</v>
      </c>
      <c r="R171" s="2" t="inlineStr">
        <is>
          <t>Fläcknycklar</t>
        </is>
      </c>
      <c r="S171">
        <f>HYPERLINK("https://klasma.github.io/Logging_2305/artfynd/A 49010-2019 artfynd.xlsx", "A 49010-2019")</f>
        <v/>
      </c>
      <c r="T171">
        <f>HYPERLINK("https://klasma.github.io/Logging_2305/kartor/A 49010-2019 karta.png", "A 49010-2019")</f>
        <v/>
      </c>
      <c r="V171">
        <f>HYPERLINK("https://klasma.github.io/Logging_2305/klagomål/A 49010-2019 FSC-klagomål.docx", "A 49010-2019")</f>
        <v/>
      </c>
      <c r="W171">
        <f>HYPERLINK("https://klasma.github.io/Logging_2305/klagomålsmail/A 49010-2019 FSC-klagomål mail.docx", "A 49010-2019")</f>
        <v/>
      </c>
      <c r="X171">
        <f>HYPERLINK("https://klasma.github.io/Logging_2305/tillsyn/A 49010-2019 tillsynsbegäran.docx", "A 49010-2019")</f>
        <v/>
      </c>
      <c r="Y171">
        <f>HYPERLINK("https://klasma.github.io/Logging_2305/tillsynsmail/A 49010-2019 tillsynsbegäran mail.docx", "A 49010-2019")</f>
        <v/>
      </c>
    </row>
    <row r="172" ht="15" customHeight="1">
      <c r="A172" t="inlineStr">
        <is>
          <t>A 49367-2019</t>
        </is>
      </c>
      <c r="B172" s="1" t="n">
        <v>43731</v>
      </c>
      <c r="C172" s="1" t="n">
        <v>45507</v>
      </c>
      <c r="D172" t="inlineStr">
        <is>
          <t>JÄMTLANDS LÄN</t>
        </is>
      </c>
      <c r="E172" t="inlineStr">
        <is>
          <t>BRÄCKE</t>
        </is>
      </c>
      <c r="F172" t="inlineStr">
        <is>
          <t>SCA</t>
        </is>
      </c>
      <c r="G172" t="n">
        <v>0.6</v>
      </c>
      <c r="H172" t="n">
        <v>0</v>
      </c>
      <c r="I172" t="n">
        <v>1</v>
      </c>
      <c r="J172" t="n">
        <v>0</v>
      </c>
      <c r="K172" t="n">
        <v>0</v>
      </c>
      <c r="L172" t="n">
        <v>0</v>
      </c>
      <c r="M172" t="n">
        <v>0</v>
      </c>
      <c r="N172" t="n">
        <v>0</v>
      </c>
      <c r="O172" t="n">
        <v>0</v>
      </c>
      <c r="P172" t="n">
        <v>0</v>
      </c>
      <c r="Q172" t="n">
        <v>1</v>
      </c>
      <c r="R172" s="2" t="inlineStr">
        <is>
          <t>Svart trolldruva</t>
        </is>
      </c>
      <c r="S172">
        <f>HYPERLINK("https://klasma.github.io/Logging_2305/artfynd/A 49367-2019 artfynd.xlsx", "A 49367-2019")</f>
        <v/>
      </c>
      <c r="T172">
        <f>HYPERLINK("https://klasma.github.io/Logging_2305/kartor/A 49367-2019 karta.png", "A 49367-2019")</f>
        <v/>
      </c>
      <c r="V172">
        <f>HYPERLINK("https://klasma.github.io/Logging_2305/klagomål/A 49367-2019 FSC-klagomål.docx", "A 49367-2019")</f>
        <v/>
      </c>
      <c r="W172">
        <f>HYPERLINK("https://klasma.github.io/Logging_2305/klagomålsmail/A 49367-2019 FSC-klagomål mail.docx", "A 49367-2019")</f>
        <v/>
      </c>
      <c r="X172">
        <f>HYPERLINK("https://klasma.github.io/Logging_2305/tillsyn/A 49367-2019 tillsynsbegäran.docx", "A 49367-2019")</f>
        <v/>
      </c>
      <c r="Y172">
        <f>HYPERLINK("https://klasma.github.io/Logging_2305/tillsynsmail/A 49367-2019 tillsynsbegäran mail.docx", "A 49367-2019")</f>
        <v/>
      </c>
    </row>
    <row r="173" ht="15" customHeight="1">
      <c r="A173" t="inlineStr">
        <is>
          <t>A 50599-2019</t>
        </is>
      </c>
      <c r="B173" s="1" t="n">
        <v>43735</v>
      </c>
      <c r="C173" s="1" t="n">
        <v>45507</v>
      </c>
      <c r="D173" t="inlineStr">
        <is>
          <t>JÄMTLANDS LÄN</t>
        </is>
      </c>
      <c r="E173" t="inlineStr">
        <is>
          <t>BRÄCKE</t>
        </is>
      </c>
      <c r="F173" t="inlineStr">
        <is>
          <t>SCA</t>
        </is>
      </c>
      <c r="G173" t="n">
        <v>4.5</v>
      </c>
      <c r="H173" t="n">
        <v>0</v>
      </c>
      <c r="I173" t="n">
        <v>0</v>
      </c>
      <c r="J173" t="n">
        <v>1</v>
      </c>
      <c r="K173" t="n">
        <v>0</v>
      </c>
      <c r="L173" t="n">
        <v>0</v>
      </c>
      <c r="M173" t="n">
        <v>0</v>
      </c>
      <c r="N173" t="n">
        <v>0</v>
      </c>
      <c r="O173" t="n">
        <v>1</v>
      </c>
      <c r="P173" t="n">
        <v>0</v>
      </c>
      <c r="Q173" t="n">
        <v>1</v>
      </c>
      <c r="R173" s="2" t="inlineStr">
        <is>
          <t>Garnlav</t>
        </is>
      </c>
      <c r="S173">
        <f>HYPERLINK("https://klasma.github.io/Logging_2305/artfynd/A 50599-2019 artfynd.xlsx", "A 50599-2019")</f>
        <v/>
      </c>
      <c r="T173">
        <f>HYPERLINK("https://klasma.github.io/Logging_2305/kartor/A 50599-2019 karta.png", "A 50599-2019")</f>
        <v/>
      </c>
      <c r="V173">
        <f>HYPERLINK("https://klasma.github.io/Logging_2305/klagomål/A 50599-2019 FSC-klagomål.docx", "A 50599-2019")</f>
        <v/>
      </c>
      <c r="W173">
        <f>HYPERLINK("https://klasma.github.io/Logging_2305/klagomålsmail/A 50599-2019 FSC-klagomål mail.docx", "A 50599-2019")</f>
        <v/>
      </c>
      <c r="X173">
        <f>HYPERLINK("https://klasma.github.io/Logging_2305/tillsyn/A 50599-2019 tillsynsbegäran.docx", "A 50599-2019")</f>
        <v/>
      </c>
      <c r="Y173">
        <f>HYPERLINK("https://klasma.github.io/Logging_2305/tillsynsmail/A 50599-2019 tillsynsbegäran mail.docx", "A 50599-2019")</f>
        <v/>
      </c>
    </row>
    <row r="174" ht="15" customHeight="1">
      <c r="A174" t="inlineStr">
        <is>
          <t>A 35488-2020</t>
        </is>
      </c>
      <c r="B174" s="1" t="n">
        <v>44042</v>
      </c>
      <c r="C174" s="1" t="n">
        <v>45507</v>
      </c>
      <c r="D174" t="inlineStr">
        <is>
          <t>JÄMTLANDS LÄN</t>
        </is>
      </c>
      <c r="E174" t="inlineStr">
        <is>
          <t>BRÄCKE</t>
        </is>
      </c>
      <c r="F174" t="inlineStr">
        <is>
          <t>SCA</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HYPERLINK("https://klasma.github.io/Logging_2305/artfynd/A 35488-2020 artfynd.xlsx", "A 35488-2020")</f>
        <v/>
      </c>
      <c r="T174">
        <f>HYPERLINK("https://klasma.github.io/Logging_2305/kartor/A 35488-2020 karta.png", "A 35488-2020")</f>
        <v/>
      </c>
      <c r="V174">
        <f>HYPERLINK("https://klasma.github.io/Logging_2305/klagomål/A 35488-2020 FSC-klagomål.docx", "A 35488-2020")</f>
        <v/>
      </c>
      <c r="W174">
        <f>HYPERLINK("https://klasma.github.io/Logging_2305/klagomålsmail/A 35488-2020 FSC-klagomål mail.docx", "A 35488-2020")</f>
        <v/>
      </c>
      <c r="X174">
        <f>HYPERLINK("https://klasma.github.io/Logging_2305/tillsyn/A 35488-2020 tillsynsbegäran.docx", "A 35488-2020")</f>
        <v/>
      </c>
      <c r="Y174">
        <f>HYPERLINK("https://klasma.github.io/Logging_2305/tillsynsmail/A 35488-2020 tillsynsbegäran mail.docx", "A 35488-2020")</f>
        <v/>
      </c>
    </row>
    <row r="175" ht="15" customHeight="1">
      <c r="A175" t="inlineStr">
        <is>
          <t>A 41897-2020</t>
        </is>
      </c>
      <c r="B175" s="1" t="n">
        <v>44074</v>
      </c>
      <c r="C175" s="1" t="n">
        <v>45507</v>
      </c>
      <c r="D175" t="inlineStr">
        <is>
          <t>JÄMTLANDS LÄN</t>
        </is>
      </c>
      <c r="E175" t="inlineStr">
        <is>
          <t>BRÄCKE</t>
        </is>
      </c>
      <c r="F175" t="inlineStr">
        <is>
          <t>SCA</t>
        </is>
      </c>
      <c r="G175" t="n">
        <v>3.9</v>
      </c>
      <c r="H175" t="n">
        <v>0</v>
      </c>
      <c r="I175" t="n">
        <v>0</v>
      </c>
      <c r="J175" t="n">
        <v>1</v>
      </c>
      <c r="K175" t="n">
        <v>0</v>
      </c>
      <c r="L175" t="n">
        <v>0</v>
      </c>
      <c r="M175" t="n">
        <v>0</v>
      </c>
      <c r="N175" t="n">
        <v>0</v>
      </c>
      <c r="O175" t="n">
        <v>1</v>
      </c>
      <c r="P175" t="n">
        <v>0</v>
      </c>
      <c r="Q175" t="n">
        <v>1</v>
      </c>
      <c r="R175" s="2" t="inlineStr">
        <is>
          <t>Stiftgelélav</t>
        </is>
      </c>
      <c r="S175">
        <f>HYPERLINK("https://klasma.github.io/Logging_2305/artfynd/A 41897-2020 artfynd.xlsx", "A 41897-2020")</f>
        <v/>
      </c>
      <c r="T175">
        <f>HYPERLINK("https://klasma.github.io/Logging_2305/kartor/A 41897-2020 karta.png", "A 41897-2020")</f>
        <v/>
      </c>
      <c r="V175">
        <f>HYPERLINK("https://klasma.github.io/Logging_2305/klagomål/A 41897-2020 FSC-klagomål.docx", "A 41897-2020")</f>
        <v/>
      </c>
      <c r="W175">
        <f>HYPERLINK("https://klasma.github.io/Logging_2305/klagomålsmail/A 41897-2020 FSC-klagomål mail.docx", "A 41897-2020")</f>
        <v/>
      </c>
      <c r="X175">
        <f>HYPERLINK("https://klasma.github.io/Logging_2305/tillsyn/A 41897-2020 tillsynsbegäran.docx", "A 41897-2020")</f>
        <v/>
      </c>
      <c r="Y175">
        <f>HYPERLINK("https://klasma.github.io/Logging_2305/tillsynsmail/A 41897-2020 tillsynsbegäran mail.docx", "A 41897-2020")</f>
        <v/>
      </c>
    </row>
    <row r="176" ht="15" customHeight="1">
      <c r="A176" t="inlineStr">
        <is>
          <t>A 60051-2020</t>
        </is>
      </c>
      <c r="B176" s="1" t="n">
        <v>44151</v>
      </c>
      <c r="C176" s="1" t="n">
        <v>45507</v>
      </c>
      <c r="D176" t="inlineStr">
        <is>
          <t>JÄMTLANDS LÄN</t>
        </is>
      </c>
      <c r="E176" t="inlineStr">
        <is>
          <t>BRÄCKE</t>
        </is>
      </c>
      <c r="F176" t="inlineStr">
        <is>
          <t>SCA</t>
        </is>
      </c>
      <c r="G176" t="n">
        <v>9.300000000000001</v>
      </c>
      <c r="H176" t="n">
        <v>0</v>
      </c>
      <c r="I176" t="n">
        <v>0</v>
      </c>
      <c r="J176" t="n">
        <v>1</v>
      </c>
      <c r="K176" t="n">
        <v>0</v>
      </c>
      <c r="L176" t="n">
        <v>0</v>
      </c>
      <c r="M176" t="n">
        <v>0</v>
      </c>
      <c r="N176" t="n">
        <v>0</v>
      </c>
      <c r="O176" t="n">
        <v>1</v>
      </c>
      <c r="P176" t="n">
        <v>0</v>
      </c>
      <c r="Q176" t="n">
        <v>1</v>
      </c>
      <c r="R176" s="2" t="inlineStr">
        <is>
          <t>Lunglav</t>
        </is>
      </c>
      <c r="S176">
        <f>HYPERLINK("https://klasma.github.io/Logging_2305/artfynd/A 60051-2020 artfynd.xlsx", "A 60051-2020")</f>
        <v/>
      </c>
      <c r="T176">
        <f>HYPERLINK("https://klasma.github.io/Logging_2305/kartor/A 60051-2020 karta.png", "A 60051-2020")</f>
        <v/>
      </c>
      <c r="V176">
        <f>HYPERLINK("https://klasma.github.io/Logging_2305/klagomål/A 60051-2020 FSC-klagomål.docx", "A 60051-2020")</f>
        <v/>
      </c>
      <c r="W176">
        <f>HYPERLINK("https://klasma.github.io/Logging_2305/klagomålsmail/A 60051-2020 FSC-klagomål mail.docx", "A 60051-2020")</f>
        <v/>
      </c>
      <c r="X176">
        <f>HYPERLINK("https://klasma.github.io/Logging_2305/tillsyn/A 60051-2020 tillsynsbegäran.docx", "A 60051-2020")</f>
        <v/>
      </c>
      <c r="Y176">
        <f>HYPERLINK("https://klasma.github.io/Logging_2305/tillsynsmail/A 60051-2020 tillsynsbegäran mail.docx", "A 60051-2020")</f>
        <v/>
      </c>
    </row>
    <row r="177" ht="15" customHeight="1">
      <c r="A177" t="inlineStr">
        <is>
          <t>A 19431-2021</t>
        </is>
      </c>
      <c r="B177" s="1" t="n">
        <v>44309</v>
      </c>
      <c r="C177" s="1" t="n">
        <v>45507</v>
      </c>
      <c r="D177" t="inlineStr">
        <is>
          <t>JÄMTLANDS LÄN</t>
        </is>
      </c>
      <c r="E177" t="inlineStr">
        <is>
          <t>BRÄCKE</t>
        </is>
      </c>
      <c r="G177" t="n">
        <v>4.8</v>
      </c>
      <c r="H177" t="n">
        <v>1</v>
      </c>
      <c r="I177" t="n">
        <v>0</v>
      </c>
      <c r="J177" t="n">
        <v>1</v>
      </c>
      <c r="K177" t="n">
        <v>0</v>
      </c>
      <c r="L177" t="n">
        <v>0</v>
      </c>
      <c r="M177" t="n">
        <v>0</v>
      </c>
      <c r="N177" t="n">
        <v>0</v>
      </c>
      <c r="O177" t="n">
        <v>1</v>
      </c>
      <c r="P177" t="n">
        <v>0</v>
      </c>
      <c r="Q177" t="n">
        <v>1</v>
      </c>
      <c r="R177" s="2" t="inlineStr">
        <is>
          <t>Utter</t>
        </is>
      </c>
      <c r="S177">
        <f>HYPERLINK("https://klasma.github.io/Logging_2305/artfynd/A 19431-2021 artfynd.xlsx", "A 19431-2021")</f>
        <v/>
      </c>
      <c r="T177">
        <f>HYPERLINK("https://klasma.github.io/Logging_2305/kartor/A 19431-2021 karta.png", "A 19431-2021")</f>
        <v/>
      </c>
      <c r="V177">
        <f>HYPERLINK("https://klasma.github.io/Logging_2305/klagomål/A 19431-2021 FSC-klagomål.docx", "A 19431-2021")</f>
        <v/>
      </c>
      <c r="W177">
        <f>HYPERLINK("https://klasma.github.io/Logging_2305/klagomålsmail/A 19431-2021 FSC-klagomål mail.docx", "A 19431-2021")</f>
        <v/>
      </c>
      <c r="X177">
        <f>HYPERLINK("https://klasma.github.io/Logging_2305/tillsyn/A 19431-2021 tillsynsbegäran.docx", "A 19431-2021")</f>
        <v/>
      </c>
      <c r="Y177">
        <f>HYPERLINK("https://klasma.github.io/Logging_2305/tillsynsmail/A 19431-2021 tillsynsbegäran mail.docx", "A 19431-2021")</f>
        <v/>
      </c>
    </row>
    <row r="178" ht="15" customHeight="1">
      <c r="A178" t="inlineStr">
        <is>
          <t>A 26135-2021</t>
        </is>
      </c>
      <c r="B178" s="1" t="n">
        <v>44346</v>
      </c>
      <c r="C178" s="1" t="n">
        <v>45507</v>
      </c>
      <c r="D178" t="inlineStr">
        <is>
          <t>JÄMTLANDS LÄN</t>
        </is>
      </c>
      <c r="E178" t="inlineStr">
        <is>
          <t>BRÄCKE</t>
        </is>
      </c>
      <c r="G178" t="n">
        <v>15.1</v>
      </c>
      <c r="H178" t="n">
        <v>0</v>
      </c>
      <c r="I178" t="n">
        <v>1</v>
      </c>
      <c r="J178" t="n">
        <v>0</v>
      </c>
      <c r="K178" t="n">
        <v>0</v>
      </c>
      <c r="L178" t="n">
        <v>0</v>
      </c>
      <c r="M178" t="n">
        <v>0</v>
      </c>
      <c r="N178" t="n">
        <v>0</v>
      </c>
      <c r="O178" t="n">
        <v>0</v>
      </c>
      <c r="P178" t="n">
        <v>0</v>
      </c>
      <c r="Q178" t="n">
        <v>1</v>
      </c>
      <c r="R178" s="2" t="inlineStr">
        <is>
          <t>Grönpyrola</t>
        </is>
      </c>
      <c r="S178">
        <f>HYPERLINK("https://klasma.github.io/Logging_2305/artfynd/A 26135-2021 artfynd.xlsx", "A 26135-2021")</f>
        <v/>
      </c>
      <c r="T178">
        <f>HYPERLINK("https://klasma.github.io/Logging_2305/kartor/A 26135-2021 karta.png", "A 26135-2021")</f>
        <v/>
      </c>
      <c r="V178">
        <f>HYPERLINK("https://klasma.github.io/Logging_2305/klagomål/A 26135-2021 FSC-klagomål.docx", "A 26135-2021")</f>
        <v/>
      </c>
      <c r="W178">
        <f>HYPERLINK("https://klasma.github.io/Logging_2305/klagomålsmail/A 26135-2021 FSC-klagomål mail.docx", "A 26135-2021")</f>
        <v/>
      </c>
      <c r="X178">
        <f>HYPERLINK("https://klasma.github.io/Logging_2305/tillsyn/A 26135-2021 tillsynsbegäran.docx", "A 26135-2021")</f>
        <v/>
      </c>
      <c r="Y178">
        <f>HYPERLINK("https://klasma.github.io/Logging_2305/tillsynsmail/A 26135-2021 tillsynsbegäran mail.docx", "A 26135-2021")</f>
        <v/>
      </c>
    </row>
    <row r="179" ht="15" customHeight="1">
      <c r="A179" t="inlineStr">
        <is>
          <t>A 31336-2021</t>
        </is>
      </c>
      <c r="B179" s="1" t="n">
        <v>44368</v>
      </c>
      <c r="C179" s="1" t="n">
        <v>45507</v>
      </c>
      <c r="D179" t="inlineStr">
        <is>
          <t>JÄMTLANDS LÄN</t>
        </is>
      </c>
      <c r="E179" t="inlineStr">
        <is>
          <t>BRÄCKE</t>
        </is>
      </c>
      <c r="F179" t="inlineStr">
        <is>
          <t>SCA</t>
        </is>
      </c>
      <c r="G179" t="n">
        <v>2.2</v>
      </c>
      <c r="H179" t="n">
        <v>0</v>
      </c>
      <c r="I179" t="n">
        <v>0</v>
      </c>
      <c r="J179" t="n">
        <v>0</v>
      </c>
      <c r="K179" t="n">
        <v>1</v>
      </c>
      <c r="L179" t="n">
        <v>0</v>
      </c>
      <c r="M179" t="n">
        <v>0</v>
      </c>
      <c r="N179" t="n">
        <v>0</v>
      </c>
      <c r="O179" t="n">
        <v>1</v>
      </c>
      <c r="P179" t="n">
        <v>1</v>
      </c>
      <c r="Q179" t="n">
        <v>1</v>
      </c>
      <c r="R179" s="2" t="inlineStr">
        <is>
          <t>Rynkskinn</t>
        </is>
      </c>
      <c r="S179">
        <f>HYPERLINK("https://klasma.github.io/Logging_2305/artfynd/A 31336-2021 artfynd.xlsx", "A 31336-2021")</f>
        <v/>
      </c>
      <c r="T179">
        <f>HYPERLINK("https://klasma.github.io/Logging_2305/kartor/A 31336-2021 karta.png", "A 31336-2021")</f>
        <v/>
      </c>
      <c r="V179">
        <f>HYPERLINK("https://klasma.github.io/Logging_2305/klagomål/A 31336-2021 FSC-klagomål.docx", "A 31336-2021")</f>
        <v/>
      </c>
      <c r="W179">
        <f>HYPERLINK("https://klasma.github.io/Logging_2305/klagomålsmail/A 31336-2021 FSC-klagomål mail.docx", "A 31336-2021")</f>
        <v/>
      </c>
      <c r="X179">
        <f>HYPERLINK("https://klasma.github.io/Logging_2305/tillsyn/A 31336-2021 tillsynsbegäran.docx", "A 31336-2021")</f>
        <v/>
      </c>
      <c r="Y179">
        <f>HYPERLINK("https://klasma.github.io/Logging_2305/tillsynsmail/A 31336-2021 tillsynsbegäran mail.docx", "A 31336-2021")</f>
        <v/>
      </c>
    </row>
    <row r="180" ht="15" customHeight="1">
      <c r="A180" t="inlineStr">
        <is>
          <t>A 42243-2021</t>
        </is>
      </c>
      <c r="B180" s="1" t="n">
        <v>44426</v>
      </c>
      <c r="C180" s="1" t="n">
        <v>45507</v>
      </c>
      <c r="D180" t="inlineStr">
        <is>
          <t>JÄMTLANDS LÄN</t>
        </is>
      </c>
      <c r="E180" t="inlineStr">
        <is>
          <t>BRÄCKE</t>
        </is>
      </c>
      <c r="F180" t="inlineStr">
        <is>
          <t>SCA</t>
        </is>
      </c>
      <c r="G180" t="n">
        <v>6.2</v>
      </c>
      <c r="H180" t="n">
        <v>0</v>
      </c>
      <c r="I180" t="n">
        <v>0</v>
      </c>
      <c r="J180" t="n">
        <v>1</v>
      </c>
      <c r="K180" t="n">
        <v>0</v>
      </c>
      <c r="L180" t="n">
        <v>0</v>
      </c>
      <c r="M180" t="n">
        <v>0</v>
      </c>
      <c r="N180" t="n">
        <v>0</v>
      </c>
      <c r="O180" t="n">
        <v>1</v>
      </c>
      <c r="P180" t="n">
        <v>0</v>
      </c>
      <c r="Q180" t="n">
        <v>1</v>
      </c>
      <c r="R180" s="2" t="inlineStr">
        <is>
          <t>Skogshare</t>
        </is>
      </c>
      <c r="S180">
        <f>HYPERLINK("https://klasma.github.io/Logging_2305/artfynd/A 42243-2021 artfynd.xlsx", "A 42243-2021")</f>
        <v/>
      </c>
      <c r="T180">
        <f>HYPERLINK("https://klasma.github.io/Logging_2305/kartor/A 42243-2021 karta.png", "A 42243-2021")</f>
        <v/>
      </c>
      <c r="V180">
        <f>HYPERLINK("https://klasma.github.io/Logging_2305/klagomål/A 42243-2021 FSC-klagomål.docx", "A 42243-2021")</f>
        <v/>
      </c>
      <c r="W180">
        <f>HYPERLINK("https://klasma.github.io/Logging_2305/klagomålsmail/A 42243-2021 FSC-klagomål mail.docx", "A 42243-2021")</f>
        <v/>
      </c>
      <c r="X180">
        <f>HYPERLINK("https://klasma.github.io/Logging_2305/tillsyn/A 42243-2021 tillsynsbegäran.docx", "A 42243-2021")</f>
        <v/>
      </c>
      <c r="Y180">
        <f>HYPERLINK("https://klasma.github.io/Logging_2305/tillsynsmail/A 42243-2021 tillsynsbegäran mail.docx", "A 42243-2021")</f>
        <v/>
      </c>
    </row>
    <row r="181" ht="15" customHeight="1">
      <c r="A181" t="inlineStr">
        <is>
          <t>A 69154-2021</t>
        </is>
      </c>
      <c r="B181" s="1" t="n">
        <v>44530</v>
      </c>
      <c r="C181" s="1" t="n">
        <v>45507</v>
      </c>
      <c r="D181" t="inlineStr">
        <is>
          <t>JÄMTLANDS LÄN</t>
        </is>
      </c>
      <c r="E181" t="inlineStr">
        <is>
          <t>BRÄCKE</t>
        </is>
      </c>
      <c r="F181" t="inlineStr">
        <is>
          <t>SCA</t>
        </is>
      </c>
      <c r="G181" t="n">
        <v>3.4</v>
      </c>
      <c r="H181" t="n">
        <v>0</v>
      </c>
      <c r="I181" t="n">
        <v>0</v>
      </c>
      <c r="J181" t="n">
        <v>1</v>
      </c>
      <c r="K181" t="n">
        <v>0</v>
      </c>
      <c r="L181" t="n">
        <v>0</v>
      </c>
      <c r="M181" t="n">
        <v>0</v>
      </c>
      <c r="N181" t="n">
        <v>0</v>
      </c>
      <c r="O181" t="n">
        <v>1</v>
      </c>
      <c r="P181" t="n">
        <v>0</v>
      </c>
      <c r="Q181" t="n">
        <v>1</v>
      </c>
      <c r="R181" s="2" t="inlineStr">
        <is>
          <t>Lunglav</t>
        </is>
      </c>
      <c r="S181">
        <f>HYPERLINK("https://klasma.github.io/Logging_2305/artfynd/A 69154-2021 artfynd.xlsx", "A 69154-2021")</f>
        <v/>
      </c>
      <c r="T181">
        <f>HYPERLINK("https://klasma.github.io/Logging_2305/kartor/A 69154-2021 karta.png", "A 69154-2021")</f>
        <v/>
      </c>
      <c r="V181">
        <f>HYPERLINK("https://klasma.github.io/Logging_2305/klagomål/A 69154-2021 FSC-klagomål.docx", "A 69154-2021")</f>
        <v/>
      </c>
      <c r="W181">
        <f>HYPERLINK("https://klasma.github.io/Logging_2305/klagomålsmail/A 69154-2021 FSC-klagomål mail.docx", "A 69154-2021")</f>
        <v/>
      </c>
      <c r="X181">
        <f>HYPERLINK("https://klasma.github.io/Logging_2305/tillsyn/A 69154-2021 tillsynsbegäran.docx", "A 69154-2021")</f>
        <v/>
      </c>
      <c r="Y181">
        <f>HYPERLINK("https://klasma.github.io/Logging_2305/tillsynsmail/A 69154-2021 tillsynsbegäran mail.docx", "A 69154-2021")</f>
        <v/>
      </c>
    </row>
    <row r="182" ht="15" customHeight="1">
      <c r="A182" t="inlineStr">
        <is>
          <t>A 235-2022</t>
        </is>
      </c>
      <c r="B182" s="1" t="n">
        <v>44564</v>
      </c>
      <c r="C182" s="1" t="n">
        <v>45507</v>
      </c>
      <c r="D182" t="inlineStr">
        <is>
          <t>JÄMTLANDS LÄN</t>
        </is>
      </c>
      <c r="E182" t="inlineStr">
        <is>
          <t>BRÄCKE</t>
        </is>
      </c>
      <c r="F182" t="inlineStr">
        <is>
          <t>SCA</t>
        </is>
      </c>
      <c r="G182" t="n">
        <v>5.8</v>
      </c>
      <c r="H182" t="n">
        <v>0</v>
      </c>
      <c r="I182" t="n">
        <v>0</v>
      </c>
      <c r="J182" t="n">
        <v>1</v>
      </c>
      <c r="K182" t="n">
        <v>0</v>
      </c>
      <c r="L182" t="n">
        <v>0</v>
      </c>
      <c r="M182" t="n">
        <v>0</v>
      </c>
      <c r="N182" t="n">
        <v>0</v>
      </c>
      <c r="O182" t="n">
        <v>1</v>
      </c>
      <c r="P182" t="n">
        <v>0</v>
      </c>
      <c r="Q182" t="n">
        <v>1</v>
      </c>
      <c r="R182" s="2" t="inlineStr">
        <is>
          <t>Harticka</t>
        </is>
      </c>
      <c r="S182">
        <f>HYPERLINK("https://klasma.github.io/Logging_2305/artfynd/A 235-2022 artfynd.xlsx", "A 235-2022")</f>
        <v/>
      </c>
      <c r="T182">
        <f>HYPERLINK("https://klasma.github.io/Logging_2305/kartor/A 235-2022 karta.png", "A 235-2022")</f>
        <v/>
      </c>
      <c r="V182">
        <f>HYPERLINK("https://klasma.github.io/Logging_2305/klagomål/A 235-2022 FSC-klagomål.docx", "A 235-2022")</f>
        <v/>
      </c>
      <c r="W182">
        <f>HYPERLINK("https://klasma.github.io/Logging_2305/klagomålsmail/A 235-2022 FSC-klagomål mail.docx", "A 235-2022")</f>
        <v/>
      </c>
      <c r="X182">
        <f>HYPERLINK("https://klasma.github.io/Logging_2305/tillsyn/A 235-2022 tillsynsbegäran.docx", "A 235-2022")</f>
        <v/>
      </c>
      <c r="Y182">
        <f>HYPERLINK("https://klasma.github.io/Logging_2305/tillsynsmail/A 235-2022 tillsynsbegäran mail.docx", "A 235-2022")</f>
        <v/>
      </c>
    </row>
    <row r="183" ht="15" customHeight="1">
      <c r="A183" t="inlineStr">
        <is>
          <t>A 14628-2022</t>
        </is>
      </c>
      <c r="B183" s="1" t="n">
        <v>44655</v>
      </c>
      <c r="C183" s="1" t="n">
        <v>45507</v>
      </c>
      <c r="D183" t="inlineStr">
        <is>
          <t>JÄMTLANDS LÄN</t>
        </is>
      </c>
      <c r="E183" t="inlineStr">
        <is>
          <t>BRÄCKE</t>
        </is>
      </c>
      <c r="G183" t="n">
        <v>4.7</v>
      </c>
      <c r="H183" t="n">
        <v>0</v>
      </c>
      <c r="I183" t="n">
        <v>1</v>
      </c>
      <c r="J183" t="n">
        <v>0</v>
      </c>
      <c r="K183" t="n">
        <v>0</v>
      </c>
      <c r="L183" t="n">
        <v>0</v>
      </c>
      <c r="M183" t="n">
        <v>0</v>
      </c>
      <c r="N183" t="n">
        <v>0</v>
      </c>
      <c r="O183" t="n">
        <v>0</v>
      </c>
      <c r="P183" t="n">
        <v>0</v>
      </c>
      <c r="Q183" t="n">
        <v>1</v>
      </c>
      <c r="R183" s="2" t="inlineStr">
        <is>
          <t>Dropptaggsvamp</t>
        </is>
      </c>
      <c r="S183">
        <f>HYPERLINK("https://klasma.github.io/Logging_2305/artfynd/A 14628-2022 artfynd.xlsx", "A 14628-2022")</f>
        <v/>
      </c>
      <c r="T183">
        <f>HYPERLINK("https://klasma.github.io/Logging_2305/kartor/A 14628-2022 karta.png", "A 14628-2022")</f>
        <v/>
      </c>
      <c r="V183">
        <f>HYPERLINK("https://klasma.github.io/Logging_2305/klagomål/A 14628-2022 FSC-klagomål.docx", "A 14628-2022")</f>
        <v/>
      </c>
      <c r="W183">
        <f>HYPERLINK("https://klasma.github.io/Logging_2305/klagomålsmail/A 14628-2022 FSC-klagomål mail.docx", "A 14628-2022")</f>
        <v/>
      </c>
      <c r="X183">
        <f>HYPERLINK("https://klasma.github.io/Logging_2305/tillsyn/A 14628-2022 tillsynsbegäran.docx", "A 14628-2022")</f>
        <v/>
      </c>
      <c r="Y183">
        <f>HYPERLINK("https://klasma.github.io/Logging_2305/tillsynsmail/A 14628-2022 tillsynsbegäran mail.docx", "A 14628-2022")</f>
        <v/>
      </c>
    </row>
    <row r="184" ht="15" customHeight="1">
      <c r="A184" t="inlineStr">
        <is>
          <t>A 15076-2022</t>
        </is>
      </c>
      <c r="B184" s="1" t="n">
        <v>44657</v>
      </c>
      <c r="C184" s="1" t="n">
        <v>45507</v>
      </c>
      <c r="D184" t="inlineStr">
        <is>
          <t>JÄMTLANDS LÄN</t>
        </is>
      </c>
      <c r="E184" t="inlineStr">
        <is>
          <t>BRÄCKE</t>
        </is>
      </c>
      <c r="G184" t="n">
        <v>24.7</v>
      </c>
      <c r="H184" t="n">
        <v>0</v>
      </c>
      <c r="I184" t="n">
        <v>0</v>
      </c>
      <c r="J184" t="n">
        <v>1</v>
      </c>
      <c r="K184" t="n">
        <v>0</v>
      </c>
      <c r="L184" t="n">
        <v>0</v>
      </c>
      <c r="M184" t="n">
        <v>0</v>
      </c>
      <c r="N184" t="n">
        <v>0</v>
      </c>
      <c r="O184" t="n">
        <v>1</v>
      </c>
      <c r="P184" t="n">
        <v>0</v>
      </c>
      <c r="Q184" t="n">
        <v>1</v>
      </c>
      <c r="R184" s="2" t="inlineStr">
        <is>
          <t>Skrovellav</t>
        </is>
      </c>
      <c r="S184">
        <f>HYPERLINK("https://klasma.github.io/Logging_2305/artfynd/A 15076-2022 artfynd.xlsx", "A 15076-2022")</f>
        <v/>
      </c>
      <c r="T184">
        <f>HYPERLINK("https://klasma.github.io/Logging_2305/kartor/A 15076-2022 karta.png", "A 15076-2022")</f>
        <v/>
      </c>
      <c r="V184">
        <f>HYPERLINK("https://klasma.github.io/Logging_2305/klagomål/A 15076-2022 FSC-klagomål.docx", "A 15076-2022")</f>
        <v/>
      </c>
      <c r="W184">
        <f>HYPERLINK("https://klasma.github.io/Logging_2305/klagomålsmail/A 15076-2022 FSC-klagomål mail.docx", "A 15076-2022")</f>
        <v/>
      </c>
      <c r="X184">
        <f>HYPERLINK("https://klasma.github.io/Logging_2305/tillsyn/A 15076-2022 tillsynsbegäran.docx", "A 15076-2022")</f>
        <v/>
      </c>
      <c r="Y184">
        <f>HYPERLINK("https://klasma.github.io/Logging_2305/tillsynsmail/A 15076-2022 tillsynsbegäran mail.docx", "A 15076-2022")</f>
        <v/>
      </c>
    </row>
    <row r="185" ht="15" customHeight="1">
      <c r="A185" t="inlineStr">
        <is>
          <t>A 15366-2022</t>
        </is>
      </c>
      <c r="B185" s="1" t="n">
        <v>44659</v>
      </c>
      <c r="C185" s="1" t="n">
        <v>45507</v>
      </c>
      <c r="D185" t="inlineStr">
        <is>
          <t>JÄMTLANDS LÄN</t>
        </is>
      </c>
      <c r="E185" t="inlineStr">
        <is>
          <t>BRÄCKE</t>
        </is>
      </c>
      <c r="G185" t="n">
        <v>3.3</v>
      </c>
      <c r="H185" t="n">
        <v>1</v>
      </c>
      <c r="I185" t="n">
        <v>0</v>
      </c>
      <c r="J185" t="n">
        <v>0</v>
      </c>
      <c r="K185" t="n">
        <v>0</v>
      </c>
      <c r="L185" t="n">
        <v>0</v>
      </c>
      <c r="M185" t="n">
        <v>0</v>
      </c>
      <c r="N185" t="n">
        <v>0</v>
      </c>
      <c r="O185" t="n">
        <v>0</v>
      </c>
      <c r="P185" t="n">
        <v>0</v>
      </c>
      <c r="Q185" t="n">
        <v>1</v>
      </c>
      <c r="R185" s="2" t="inlineStr">
        <is>
          <t>Brudsporre</t>
        </is>
      </c>
      <c r="S185">
        <f>HYPERLINK("https://klasma.github.io/Logging_2305/artfynd/A 15366-2022 artfynd.xlsx", "A 15366-2022")</f>
        <v/>
      </c>
      <c r="T185">
        <f>HYPERLINK("https://klasma.github.io/Logging_2305/kartor/A 15366-2022 karta.png", "A 15366-2022")</f>
        <v/>
      </c>
      <c r="V185">
        <f>HYPERLINK("https://klasma.github.io/Logging_2305/klagomål/A 15366-2022 FSC-klagomål.docx", "A 15366-2022")</f>
        <v/>
      </c>
      <c r="W185">
        <f>HYPERLINK("https://klasma.github.io/Logging_2305/klagomålsmail/A 15366-2022 FSC-klagomål mail.docx", "A 15366-2022")</f>
        <v/>
      </c>
      <c r="X185">
        <f>HYPERLINK("https://klasma.github.io/Logging_2305/tillsyn/A 15366-2022 tillsynsbegäran.docx", "A 15366-2022")</f>
        <v/>
      </c>
      <c r="Y185">
        <f>HYPERLINK("https://klasma.github.io/Logging_2305/tillsynsmail/A 15366-2022 tillsynsbegäran mail.docx", "A 15366-2022")</f>
        <v/>
      </c>
    </row>
    <row r="186" ht="15" customHeight="1">
      <c r="A186" t="inlineStr">
        <is>
          <t>A 23434-2022</t>
        </is>
      </c>
      <c r="B186" s="1" t="n">
        <v>44720</v>
      </c>
      <c r="C186" s="1" t="n">
        <v>45507</v>
      </c>
      <c r="D186" t="inlineStr">
        <is>
          <t>JÄMTLANDS LÄN</t>
        </is>
      </c>
      <c r="E186" t="inlineStr">
        <is>
          <t>BRÄCKE</t>
        </is>
      </c>
      <c r="G186" t="n">
        <v>14.1</v>
      </c>
      <c r="H186" t="n">
        <v>1</v>
      </c>
      <c r="I186" t="n">
        <v>0</v>
      </c>
      <c r="J186" t="n">
        <v>0</v>
      </c>
      <c r="K186" t="n">
        <v>1</v>
      </c>
      <c r="L186" t="n">
        <v>0</v>
      </c>
      <c r="M186" t="n">
        <v>0</v>
      </c>
      <c r="N186" t="n">
        <v>0</v>
      </c>
      <c r="O186" t="n">
        <v>1</v>
      </c>
      <c r="P186" t="n">
        <v>1</v>
      </c>
      <c r="Q186" t="n">
        <v>1</v>
      </c>
      <c r="R186" s="2" t="inlineStr">
        <is>
          <t>Knärot</t>
        </is>
      </c>
      <c r="S186">
        <f>HYPERLINK("https://klasma.github.io/Logging_2305/artfynd/A 23434-2022 artfynd.xlsx", "A 23434-2022")</f>
        <v/>
      </c>
      <c r="T186">
        <f>HYPERLINK("https://klasma.github.io/Logging_2305/kartor/A 23434-2022 karta.png", "A 23434-2022")</f>
        <v/>
      </c>
      <c r="U186">
        <f>HYPERLINK("https://klasma.github.io/Logging_2305/knärot/A 23434-2022 karta knärot.png", "A 23434-2022")</f>
        <v/>
      </c>
      <c r="V186">
        <f>HYPERLINK("https://klasma.github.io/Logging_2305/klagomål/A 23434-2022 FSC-klagomål.docx", "A 23434-2022")</f>
        <v/>
      </c>
      <c r="W186">
        <f>HYPERLINK("https://klasma.github.io/Logging_2305/klagomålsmail/A 23434-2022 FSC-klagomål mail.docx", "A 23434-2022")</f>
        <v/>
      </c>
      <c r="X186">
        <f>HYPERLINK("https://klasma.github.io/Logging_2305/tillsyn/A 23434-2022 tillsynsbegäran.docx", "A 23434-2022")</f>
        <v/>
      </c>
      <c r="Y186">
        <f>HYPERLINK("https://klasma.github.io/Logging_2305/tillsynsmail/A 23434-2022 tillsynsbegäran mail.docx", "A 23434-2022")</f>
        <v/>
      </c>
    </row>
    <row r="187" ht="15" customHeight="1">
      <c r="A187" t="inlineStr">
        <is>
          <t>A 24552-2022</t>
        </is>
      </c>
      <c r="B187" s="1" t="n">
        <v>44726</v>
      </c>
      <c r="C187" s="1" t="n">
        <v>45507</v>
      </c>
      <c r="D187" t="inlineStr">
        <is>
          <t>JÄMTLANDS LÄN</t>
        </is>
      </c>
      <c r="E187" t="inlineStr">
        <is>
          <t>BRÄCKE</t>
        </is>
      </c>
      <c r="G187" t="n">
        <v>2.6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HYPERLINK("https://klasma.github.io/Logging_2305/artfynd/A 24552-2022 artfynd.xlsx", "A 24552-2022")</f>
        <v/>
      </c>
      <c r="T187">
        <f>HYPERLINK("https://klasma.github.io/Logging_2305/kartor/A 24552-2022 karta.png", "A 24552-2022")</f>
        <v/>
      </c>
      <c r="V187">
        <f>HYPERLINK("https://klasma.github.io/Logging_2305/klagomål/A 24552-2022 FSC-klagomål.docx", "A 24552-2022")</f>
        <v/>
      </c>
      <c r="W187">
        <f>HYPERLINK("https://klasma.github.io/Logging_2305/klagomålsmail/A 24552-2022 FSC-klagomål mail.docx", "A 24552-2022")</f>
        <v/>
      </c>
      <c r="X187">
        <f>HYPERLINK("https://klasma.github.io/Logging_2305/tillsyn/A 24552-2022 tillsynsbegäran.docx", "A 24552-2022")</f>
        <v/>
      </c>
      <c r="Y187">
        <f>HYPERLINK("https://klasma.github.io/Logging_2305/tillsynsmail/A 24552-2022 tillsynsbegäran mail.docx", "A 24552-2022")</f>
        <v/>
      </c>
    </row>
    <row r="188" ht="15" customHeight="1">
      <c r="A188" t="inlineStr">
        <is>
          <t>A 27587-2022</t>
        </is>
      </c>
      <c r="B188" s="1" t="n">
        <v>44742</v>
      </c>
      <c r="C188" s="1" t="n">
        <v>45507</v>
      </c>
      <c r="D188" t="inlineStr">
        <is>
          <t>JÄMTLANDS LÄN</t>
        </is>
      </c>
      <c r="E188" t="inlineStr">
        <is>
          <t>BRÄCKE</t>
        </is>
      </c>
      <c r="F188" t="inlineStr">
        <is>
          <t>SCA</t>
        </is>
      </c>
      <c r="G188" t="n">
        <v>4.1</v>
      </c>
      <c r="H188" t="n">
        <v>0</v>
      </c>
      <c r="I188" t="n">
        <v>0</v>
      </c>
      <c r="J188" t="n">
        <v>1</v>
      </c>
      <c r="K188" t="n">
        <v>0</v>
      </c>
      <c r="L188" t="n">
        <v>0</v>
      </c>
      <c r="M188" t="n">
        <v>0</v>
      </c>
      <c r="N188" t="n">
        <v>0</v>
      </c>
      <c r="O188" t="n">
        <v>1</v>
      </c>
      <c r="P188" t="n">
        <v>0</v>
      </c>
      <c r="Q188" t="n">
        <v>1</v>
      </c>
      <c r="R188" s="2" t="inlineStr">
        <is>
          <t>Lunglav</t>
        </is>
      </c>
      <c r="S188">
        <f>HYPERLINK("https://klasma.github.io/Logging_2305/artfynd/A 27587-2022 artfynd.xlsx", "A 27587-2022")</f>
        <v/>
      </c>
      <c r="T188">
        <f>HYPERLINK("https://klasma.github.io/Logging_2305/kartor/A 27587-2022 karta.png", "A 27587-2022")</f>
        <v/>
      </c>
      <c r="V188">
        <f>HYPERLINK("https://klasma.github.io/Logging_2305/klagomål/A 27587-2022 FSC-klagomål.docx", "A 27587-2022")</f>
        <v/>
      </c>
      <c r="W188">
        <f>HYPERLINK("https://klasma.github.io/Logging_2305/klagomålsmail/A 27587-2022 FSC-klagomål mail.docx", "A 27587-2022")</f>
        <v/>
      </c>
      <c r="X188">
        <f>HYPERLINK("https://klasma.github.io/Logging_2305/tillsyn/A 27587-2022 tillsynsbegäran.docx", "A 27587-2022")</f>
        <v/>
      </c>
      <c r="Y188">
        <f>HYPERLINK("https://klasma.github.io/Logging_2305/tillsynsmail/A 27587-2022 tillsynsbegäran mail.docx", "A 27587-2022")</f>
        <v/>
      </c>
    </row>
    <row r="189" ht="15" customHeight="1">
      <c r="A189" t="inlineStr">
        <is>
          <t>A 35023-2022</t>
        </is>
      </c>
      <c r="B189" s="1" t="n">
        <v>44796</v>
      </c>
      <c r="C189" s="1" t="n">
        <v>45507</v>
      </c>
      <c r="D189" t="inlineStr">
        <is>
          <t>JÄMTLANDS LÄN</t>
        </is>
      </c>
      <c r="E189" t="inlineStr">
        <is>
          <t>BRÄCKE</t>
        </is>
      </c>
      <c r="F189" t="inlineStr">
        <is>
          <t>SCA</t>
        </is>
      </c>
      <c r="G189" t="n">
        <v>4.8</v>
      </c>
      <c r="H189" t="n">
        <v>0</v>
      </c>
      <c r="I189" t="n">
        <v>0</v>
      </c>
      <c r="J189" t="n">
        <v>1</v>
      </c>
      <c r="K189" t="n">
        <v>0</v>
      </c>
      <c r="L189" t="n">
        <v>0</v>
      </c>
      <c r="M189" t="n">
        <v>0</v>
      </c>
      <c r="N189" t="n">
        <v>0</v>
      </c>
      <c r="O189" t="n">
        <v>1</v>
      </c>
      <c r="P189" t="n">
        <v>0</v>
      </c>
      <c r="Q189" t="n">
        <v>1</v>
      </c>
      <c r="R189" s="2" t="inlineStr">
        <is>
          <t>Dvärgbägarlav</t>
        </is>
      </c>
      <c r="S189">
        <f>HYPERLINK("https://klasma.github.io/Logging_2305/artfynd/A 35023-2022 artfynd.xlsx", "A 35023-2022")</f>
        <v/>
      </c>
      <c r="T189">
        <f>HYPERLINK("https://klasma.github.io/Logging_2305/kartor/A 35023-2022 karta.png", "A 35023-2022")</f>
        <v/>
      </c>
      <c r="V189">
        <f>HYPERLINK("https://klasma.github.io/Logging_2305/klagomål/A 35023-2022 FSC-klagomål.docx", "A 35023-2022")</f>
        <v/>
      </c>
      <c r="W189">
        <f>HYPERLINK("https://klasma.github.io/Logging_2305/klagomålsmail/A 35023-2022 FSC-klagomål mail.docx", "A 35023-2022")</f>
        <v/>
      </c>
      <c r="X189">
        <f>HYPERLINK("https://klasma.github.io/Logging_2305/tillsyn/A 35023-2022 tillsynsbegäran.docx", "A 35023-2022")</f>
        <v/>
      </c>
      <c r="Y189">
        <f>HYPERLINK("https://klasma.github.io/Logging_2305/tillsynsmail/A 35023-2022 tillsynsbegäran mail.docx", "A 35023-2022")</f>
        <v/>
      </c>
    </row>
    <row r="190" ht="15" customHeight="1">
      <c r="A190" t="inlineStr">
        <is>
          <t>A 45420-2022</t>
        </is>
      </c>
      <c r="B190" s="1" t="n">
        <v>44844</v>
      </c>
      <c r="C190" s="1" t="n">
        <v>45507</v>
      </c>
      <c r="D190" t="inlineStr">
        <is>
          <t>JÄMTLANDS LÄN</t>
        </is>
      </c>
      <c r="E190" t="inlineStr">
        <is>
          <t>BRÄCKE</t>
        </is>
      </c>
      <c r="F190" t="inlineStr">
        <is>
          <t>SCA</t>
        </is>
      </c>
      <c r="G190" t="n">
        <v>1.6</v>
      </c>
      <c r="H190" t="n">
        <v>0</v>
      </c>
      <c r="I190" t="n">
        <v>0</v>
      </c>
      <c r="J190" t="n">
        <v>1</v>
      </c>
      <c r="K190" t="n">
        <v>0</v>
      </c>
      <c r="L190" t="n">
        <v>0</v>
      </c>
      <c r="M190" t="n">
        <v>0</v>
      </c>
      <c r="N190" t="n">
        <v>0</v>
      </c>
      <c r="O190" t="n">
        <v>1</v>
      </c>
      <c r="P190" t="n">
        <v>0</v>
      </c>
      <c r="Q190" t="n">
        <v>1</v>
      </c>
      <c r="R190" s="2" t="inlineStr">
        <is>
          <t>Vitgrynig nållav</t>
        </is>
      </c>
      <c r="S190">
        <f>HYPERLINK("https://klasma.github.io/Logging_2305/artfynd/A 45420-2022 artfynd.xlsx", "A 45420-2022")</f>
        <v/>
      </c>
      <c r="T190">
        <f>HYPERLINK("https://klasma.github.io/Logging_2305/kartor/A 45420-2022 karta.png", "A 45420-2022")</f>
        <v/>
      </c>
      <c r="V190">
        <f>HYPERLINK("https://klasma.github.io/Logging_2305/klagomål/A 45420-2022 FSC-klagomål.docx", "A 45420-2022")</f>
        <v/>
      </c>
      <c r="W190">
        <f>HYPERLINK("https://klasma.github.io/Logging_2305/klagomålsmail/A 45420-2022 FSC-klagomål mail.docx", "A 45420-2022")</f>
        <v/>
      </c>
      <c r="X190">
        <f>HYPERLINK("https://klasma.github.io/Logging_2305/tillsyn/A 45420-2022 tillsynsbegäran.docx", "A 45420-2022")</f>
        <v/>
      </c>
      <c r="Y190">
        <f>HYPERLINK("https://klasma.github.io/Logging_2305/tillsynsmail/A 45420-2022 tillsynsbegäran mail.docx", "A 45420-2022")</f>
        <v/>
      </c>
    </row>
    <row r="191" ht="15" customHeight="1">
      <c r="A191" t="inlineStr">
        <is>
          <t>A 49863-2022</t>
        </is>
      </c>
      <c r="B191" s="1" t="n">
        <v>44862</v>
      </c>
      <c r="C191" s="1" t="n">
        <v>45507</v>
      </c>
      <c r="D191" t="inlineStr">
        <is>
          <t>JÄMTLANDS LÄN</t>
        </is>
      </c>
      <c r="E191" t="inlineStr">
        <is>
          <t>BRÄCKE</t>
        </is>
      </c>
      <c r="F191" t="inlineStr">
        <is>
          <t>SCA</t>
        </is>
      </c>
      <c r="G191" t="n">
        <v>3.9</v>
      </c>
      <c r="H191" t="n">
        <v>1</v>
      </c>
      <c r="I191" t="n">
        <v>1</v>
      </c>
      <c r="J191" t="n">
        <v>0</v>
      </c>
      <c r="K191" t="n">
        <v>0</v>
      </c>
      <c r="L191" t="n">
        <v>0</v>
      </c>
      <c r="M191" t="n">
        <v>0</v>
      </c>
      <c r="N191" t="n">
        <v>0</v>
      </c>
      <c r="O191" t="n">
        <v>0</v>
      </c>
      <c r="P191" t="n">
        <v>0</v>
      </c>
      <c r="Q191" t="n">
        <v>1</v>
      </c>
      <c r="R191" s="2" t="inlineStr">
        <is>
          <t>Spindelblomster</t>
        </is>
      </c>
      <c r="S191">
        <f>HYPERLINK("https://klasma.github.io/Logging_2305/artfynd/A 49863-2022 artfynd.xlsx", "A 49863-2022")</f>
        <v/>
      </c>
      <c r="T191">
        <f>HYPERLINK("https://klasma.github.io/Logging_2305/kartor/A 49863-2022 karta.png", "A 49863-2022")</f>
        <v/>
      </c>
      <c r="V191">
        <f>HYPERLINK("https://klasma.github.io/Logging_2305/klagomål/A 49863-2022 FSC-klagomål.docx", "A 49863-2022")</f>
        <v/>
      </c>
      <c r="W191">
        <f>HYPERLINK("https://klasma.github.io/Logging_2305/klagomålsmail/A 49863-2022 FSC-klagomål mail.docx", "A 49863-2022")</f>
        <v/>
      </c>
      <c r="X191">
        <f>HYPERLINK("https://klasma.github.io/Logging_2305/tillsyn/A 49863-2022 tillsynsbegäran.docx", "A 49863-2022")</f>
        <v/>
      </c>
      <c r="Y191">
        <f>HYPERLINK("https://klasma.github.io/Logging_2305/tillsynsmail/A 49863-2022 tillsynsbegäran mail.docx", "A 49863-2022")</f>
        <v/>
      </c>
    </row>
    <row r="192" ht="15" customHeight="1">
      <c r="A192" t="inlineStr">
        <is>
          <t>A 52030-2022</t>
        </is>
      </c>
      <c r="B192" s="1" t="n">
        <v>44872</v>
      </c>
      <c r="C192" s="1" t="n">
        <v>45507</v>
      </c>
      <c r="D192" t="inlineStr">
        <is>
          <t>JÄMTLANDS LÄN</t>
        </is>
      </c>
      <c r="E192" t="inlineStr">
        <is>
          <t>BRÄCKE</t>
        </is>
      </c>
      <c r="F192" t="inlineStr">
        <is>
          <t>SCA</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HYPERLINK("https://klasma.github.io/Logging_2305/artfynd/A 52030-2022 artfynd.xlsx", "A 52030-2022")</f>
        <v/>
      </c>
      <c r="T192">
        <f>HYPERLINK("https://klasma.github.io/Logging_2305/kartor/A 52030-2022 karta.png", "A 52030-2022")</f>
        <v/>
      </c>
      <c r="V192">
        <f>HYPERLINK("https://klasma.github.io/Logging_2305/klagomål/A 52030-2022 FSC-klagomål.docx", "A 52030-2022")</f>
        <v/>
      </c>
      <c r="W192">
        <f>HYPERLINK("https://klasma.github.io/Logging_2305/klagomålsmail/A 52030-2022 FSC-klagomål mail.docx", "A 52030-2022")</f>
        <v/>
      </c>
      <c r="X192">
        <f>HYPERLINK("https://klasma.github.io/Logging_2305/tillsyn/A 52030-2022 tillsynsbegäran.docx", "A 52030-2022")</f>
        <v/>
      </c>
      <c r="Y192">
        <f>HYPERLINK("https://klasma.github.io/Logging_2305/tillsynsmail/A 52030-2022 tillsynsbegäran mail.docx", "A 52030-2022")</f>
        <v/>
      </c>
      <c r="Z192">
        <f>HYPERLINK("https://klasma.github.io/Logging_2305/fåglar/A 52030-2022 prioriterade fågelarter.docx", "A 52030-2022")</f>
        <v/>
      </c>
    </row>
    <row r="193" ht="15" customHeight="1">
      <c r="A193" t="inlineStr">
        <is>
          <t>A 52018-2022</t>
        </is>
      </c>
      <c r="B193" s="1" t="n">
        <v>44872</v>
      </c>
      <c r="C193" s="1" t="n">
        <v>45507</v>
      </c>
      <c r="D193" t="inlineStr">
        <is>
          <t>JÄMTLANDS LÄN</t>
        </is>
      </c>
      <c r="E193" t="inlineStr">
        <is>
          <t>BRÄCKE</t>
        </is>
      </c>
      <c r="F193" t="inlineStr">
        <is>
          <t>SCA</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HYPERLINK("https://klasma.github.io/Logging_2305/artfynd/A 52018-2022 artfynd.xlsx", "A 52018-2022")</f>
        <v/>
      </c>
      <c r="T193">
        <f>HYPERLINK("https://klasma.github.io/Logging_2305/kartor/A 52018-2022 karta.png", "A 52018-2022")</f>
        <v/>
      </c>
      <c r="V193">
        <f>HYPERLINK("https://klasma.github.io/Logging_2305/klagomål/A 52018-2022 FSC-klagomål.docx", "A 52018-2022")</f>
        <v/>
      </c>
      <c r="W193">
        <f>HYPERLINK("https://klasma.github.io/Logging_2305/klagomålsmail/A 52018-2022 FSC-klagomål mail.docx", "A 52018-2022")</f>
        <v/>
      </c>
      <c r="X193">
        <f>HYPERLINK("https://klasma.github.io/Logging_2305/tillsyn/A 52018-2022 tillsynsbegäran.docx", "A 52018-2022")</f>
        <v/>
      </c>
      <c r="Y193">
        <f>HYPERLINK("https://klasma.github.io/Logging_2305/tillsynsmail/A 52018-2022 tillsynsbegäran mail.docx", "A 52018-2022")</f>
        <v/>
      </c>
    </row>
    <row r="194" ht="15" customHeight="1">
      <c r="A194" t="inlineStr">
        <is>
          <t>A 53280-2022</t>
        </is>
      </c>
      <c r="B194" s="1" t="n">
        <v>44876</v>
      </c>
      <c r="C194" s="1" t="n">
        <v>45507</v>
      </c>
      <c r="D194" t="inlineStr">
        <is>
          <t>JÄMTLANDS LÄN</t>
        </is>
      </c>
      <c r="E194" t="inlineStr">
        <is>
          <t>BRÄCKE</t>
        </is>
      </c>
      <c r="F194" t="inlineStr">
        <is>
          <t>SCA</t>
        </is>
      </c>
      <c r="G194" t="n">
        <v>2</v>
      </c>
      <c r="H194" t="n">
        <v>0</v>
      </c>
      <c r="I194" t="n">
        <v>1</v>
      </c>
      <c r="J194" t="n">
        <v>0</v>
      </c>
      <c r="K194" t="n">
        <v>0</v>
      </c>
      <c r="L194" t="n">
        <v>0</v>
      </c>
      <c r="M194" t="n">
        <v>0</v>
      </c>
      <c r="N194" t="n">
        <v>0</v>
      </c>
      <c r="O194" t="n">
        <v>0</v>
      </c>
      <c r="P194" t="n">
        <v>0</v>
      </c>
      <c r="Q194" t="n">
        <v>1</v>
      </c>
      <c r="R194" s="2" t="inlineStr">
        <is>
          <t>Stuplav</t>
        </is>
      </c>
      <c r="S194">
        <f>HYPERLINK("https://klasma.github.io/Logging_2305/artfynd/A 53280-2022 artfynd.xlsx", "A 53280-2022")</f>
        <v/>
      </c>
      <c r="T194">
        <f>HYPERLINK("https://klasma.github.io/Logging_2305/kartor/A 53280-2022 karta.png", "A 53280-2022")</f>
        <v/>
      </c>
      <c r="V194">
        <f>HYPERLINK("https://klasma.github.io/Logging_2305/klagomål/A 53280-2022 FSC-klagomål.docx", "A 53280-2022")</f>
        <v/>
      </c>
      <c r="W194">
        <f>HYPERLINK("https://klasma.github.io/Logging_2305/klagomålsmail/A 53280-2022 FSC-klagomål mail.docx", "A 53280-2022")</f>
        <v/>
      </c>
      <c r="X194">
        <f>HYPERLINK("https://klasma.github.io/Logging_2305/tillsyn/A 53280-2022 tillsynsbegäran.docx", "A 53280-2022")</f>
        <v/>
      </c>
      <c r="Y194">
        <f>HYPERLINK("https://klasma.github.io/Logging_2305/tillsynsmail/A 53280-2022 tillsynsbegäran mail.docx", "A 53280-2022")</f>
        <v/>
      </c>
    </row>
    <row r="195" ht="15" customHeight="1">
      <c r="A195" t="inlineStr">
        <is>
          <t>A 62079-2022</t>
        </is>
      </c>
      <c r="B195" s="1" t="n">
        <v>44918</v>
      </c>
      <c r="C195" s="1" t="n">
        <v>45507</v>
      </c>
      <c r="D195" t="inlineStr">
        <is>
          <t>JÄMTLANDS LÄN</t>
        </is>
      </c>
      <c r="E195" t="inlineStr">
        <is>
          <t>BRÄCKE</t>
        </is>
      </c>
      <c r="F195" t="inlineStr">
        <is>
          <t>SCA</t>
        </is>
      </c>
      <c r="G195" t="n">
        <v>3</v>
      </c>
      <c r="H195" t="n">
        <v>0</v>
      </c>
      <c r="I195" t="n">
        <v>0</v>
      </c>
      <c r="J195" t="n">
        <v>1</v>
      </c>
      <c r="K195" t="n">
        <v>0</v>
      </c>
      <c r="L195" t="n">
        <v>0</v>
      </c>
      <c r="M195" t="n">
        <v>0</v>
      </c>
      <c r="N195" t="n">
        <v>0</v>
      </c>
      <c r="O195" t="n">
        <v>1</v>
      </c>
      <c r="P195" t="n">
        <v>0</v>
      </c>
      <c r="Q195" t="n">
        <v>1</v>
      </c>
      <c r="R195" s="2" t="inlineStr">
        <is>
          <t>Garnlav</t>
        </is>
      </c>
      <c r="S195">
        <f>HYPERLINK("https://klasma.github.io/Logging_2305/artfynd/A 62079-2022 artfynd.xlsx", "A 62079-2022")</f>
        <v/>
      </c>
      <c r="T195">
        <f>HYPERLINK("https://klasma.github.io/Logging_2305/kartor/A 62079-2022 karta.png", "A 62079-2022")</f>
        <v/>
      </c>
      <c r="V195">
        <f>HYPERLINK("https://klasma.github.io/Logging_2305/klagomål/A 62079-2022 FSC-klagomål.docx", "A 62079-2022")</f>
        <v/>
      </c>
      <c r="W195">
        <f>HYPERLINK("https://klasma.github.io/Logging_2305/klagomålsmail/A 62079-2022 FSC-klagomål mail.docx", "A 62079-2022")</f>
        <v/>
      </c>
      <c r="X195">
        <f>HYPERLINK("https://klasma.github.io/Logging_2305/tillsyn/A 62079-2022 tillsynsbegäran.docx", "A 62079-2022")</f>
        <v/>
      </c>
      <c r="Y195">
        <f>HYPERLINK("https://klasma.github.io/Logging_2305/tillsynsmail/A 62079-2022 tillsynsbegäran mail.docx", "A 62079-2022")</f>
        <v/>
      </c>
    </row>
    <row r="196" ht="15" customHeight="1">
      <c r="A196" t="inlineStr">
        <is>
          <t>A 725-2023</t>
        </is>
      </c>
      <c r="B196" s="1" t="n">
        <v>44930</v>
      </c>
      <c r="C196" s="1" t="n">
        <v>45507</v>
      </c>
      <c r="D196" t="inlineStr">
        <is>
          <t>JÄMTLANDS LÄN</t>
        </is>
      </c>
      <c r="E196" t="inlineStr">
        <is>
          <t>BRÄCKE</t>
        </is>
      </c>
      <c r="F196" t="inlineStr">
        <is>
          <t>SCA</t>
        </is>
      </c>
      <c r="G196" t="n">
        <v>0.9</v>
      </c>
      <c r="H196" t="n">
        <v>0</v>
      </c>
      <c r="I196" t="n">
        <v>0</v>
      </c>
      <c r="J196" t="n">
        <v>1</v>
      </c>
      <c r="K196" t="n">
        <v>0</v>
      </c>
      <c r="L196" t="n">
        <v>0</v>
      </c>
      <c r="M196" t="n">
        <v>0</v>
      </c>
      <c r="N196" t="n">
        <v>0</v>
      </c>
      <c r="O196" t="n">
        <v>1</v>
      </c>
      <c r="P196" t="n">
        <v>0</v>
      </c>
      <c r="Q196" t="n">
        <v>1</v>
      </c>
      <c r="R196" s="2" t="inlineStr">
        <is>
          <t>Kolflarnlav</t>
        </is>
      </c>
      <c r="S196">
        <f>HYPERLINK("https://klasma.github.io/Logging_2305/artfynd/A 725-2023 artfynd.xlsx", "A 725-2023")</f>
        <v/>
      </c>
      <c r="T196">
        <f>HYPERLINK("https://klasma.github.io/Logging_2305/kartor/A 725-2023 karta.png", "A 725-2023")</f>
        <v/>
      </c>
      <c r="V196">
        <f>HYPERLINK("https://klasma.github.io/Logging_2305/klagomål/A 725-2023 FSC-klagomål.docx", "A 725-2023")</f>
        <v/>
      </c>
      <c r="W196">
        <f>HYPERLINK("https://klasma.github.io/Logging_2305/klagomålsmail/A 725-2023 FSC-klagomål mail.docx", "A 725-2023")</f>
        <v/>
      </c>
      <c r="X196">
        <f>HYPERLINK("https://klasma.github.io/Logging_2305/tillsyn/A 725-2023 tillsynsbegäran.docx", "A 725-2023")</f>
        <v/>
      </c>
      <c r="Y196">
        <f>HYPERLINK("https://klasma.github.io/Logging_2305/tillsynsmail/A 725-2023 tillsynsbegäran mail.docx", "A 725-2023")</f>
        <v/>
      </c>
    </row>
    <row r="197" ht="15" customHeight="1">
      <c r="A197" t="inlineStr">
        <is>
          <t>A 12062-2023</t>
        </is>
      </c>
      <c r="B197" s="1" t="n">
        <v>44996</v>
      </c>
      <c r="C197" s="1" t="n">
        <v>45507</v>
      </c>
      <c r="D197" t="inlineStr">
        <is>
          <t>JÄMTLANDS LÄN</t>
        </is>
      </c>
      <c r="E197" t="inlineStr">
        <is>
          <t>BRÄCKE</t>
        </is>
      </c>
      <c r="G197" t="n">
        <v>5.4</v>
      </c>
      <c r="H197" t="n">
        <v>0</v>
      </c>
      <c r="I197" t="n">
        <v>0</v>
      </c>
      <c r="J197" t="n">
        <v>1</v>
      </c>
      <c r="K197" t="n">
        <v>0</v>
      </c>
      <c r="L197" t="n">
        <v>0</v>
      </c>
      <c r="M197" t="n">
        <v>0</v>
      </c>
      <c r="N197" t="n">
        <v>0</v>
      </c>
      <c r="O197" t="n">
        <v>1</v>
      </c>
      <c r="P197" t="n">
        <v>0</v>
      </c>
      <c r="Q197" t="n">
        <v>1</v>
      </c>
      <c r="R197" s="2" t="inlineStr">
        <is>
          <t>Lunglav</t>
        </is>
      </c>
      <c r="S197">
        <f>HYPERLINK("https://klasma.github.io/Logging_2305/artfynd/A 12062-2023 artfynd.xlsx", "A 12062-2023")</f>
        <v/>
      </c>
      <c r="T197">
        <f>HYPERLINK("https://klasma.github.io/Logging_2305/kartor/A 12062-2023 karta.png", "A 12062-2023")</f>
        <v/>
      </c>
      <c r="V197">
        <f>HYPERLINK("https://klasma.github.io/Logging_2305/klagomål/A 12062-2023 FSC-klagomål.docx", "A 12062-2023")</f>
        <v/>
      </c>
      <c r="W197">
        <f>HYPERLINK("https://klasma.github.io/Logging_2305/klagomålsmail/A 12062-2023 FSC-klagomål mail.docx", "A 12062-2023")</f>
        <v/>
      </c>
      <c r="X197">
        <f>HYPERLINK("https://klasma.github.io/Logging_2305/tillsyn/A 12062-2023 tillsynsbegäran.docx", "A 12062-2023")</f>
        <v/>
      </c>
      <c r="Y197">
        <f>HYPERLINK("https://klasma.github.io/Logging_2305/tillsynsmail/A 12062-2023 tillsynsbegäran mail.docx", "A 12062-2023")</f>
        <v/>
      </c>
    </row>
    <row r="198" ht="15" customHeight="1">
      <c r="A198" t="inlineStr">
        <is>
          <t>A 12517-2023</t>
        </is>
      </c>
      <c r="B198" s="1" t="n">
        <v>45000</v>
      </c>
      <c r="C198" s="1" t="n">
        <v>45507</v>
      </c>
      <c r="D198" t="inlineStr">
        <is>
          <t>JÄMTLANDS LÄN</t>
        </is>
      </c>
      <c r="E198" t="inlineStr">
        <is>
          <t>BRÄCKE</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HYPERLINK("https://klasma.github.io/Logging_2305/artfynd/A 12517-2023 artfynd.xlsx", "A 12517-2023")</f>
        <v/>
      </c>
      <c r="T198">
        <f>HYPERLINK("https://klasma.github.io/Logging_2305/kartor/A 12517-2023 karta.png", "A 12517-2023")</f>
        <v/>
      </c>
      <c r="V198">
        <f>HYPERLINK("https://klasma.github.io/Logging_2305/klagomål/A 12517-2023 FSC-klagomål.docx", "A 12517-2023")</f>
        <v/>
      </c>
      <c r="W198">
        <f>HYPERLINK("https://klasma.github.io/Logging_2305/klagomålsmail/A 12517-2023 FSC-klagomål mail.docx", "A 12517-2023")</f>
        <v/>
      </c>
      <c r="X198">
        <f>HYPERLINK("https://klasma.github.io/Logging_2305/tillsyn/A 12517-2023 tillsynsbegäran.docx", "A 12517-2023")</f>
        <v/>
      </c>
      <c r="Y198">
        <f>HYPERLINK("https://klasma.github.io/Logging_2305/tillsynsmail/A 12517-2023 tillsynsbegäran mail.docx", "A 12517-2023")</f>
        <v/>
      </c>
    </row>
    <row r="199" ht="15" customHeight="1">
      <c r="A199" t="inlineStr">
        <is>
          <t>A 16366-2023</t>
        </is>
      </c>
      <c r="B199" s="1" t="n">
        <v>45028</v>
      </c>
      <c r="C199" s="1" t="n">
        <v>45507</v>
      </c>
      <c r="D199" t="inlineStr">
        <is>
          <t>JÄMTLANDS LÄN</t>
        </is>
      </c>
      <c r="E199" t="inlineStr">
        <is>
          <t>BRÄCKE</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HYPERLINK("https://klasma.github.io/Logging_2305/artfynd/A 16366-2023 artfynd.xlsx", "A 16366-2023")</f>
        <v/>
      </c>
      <c r="T199">
        <f>HYPERLINK("https://klasma.github.io/Logging_2305/kartor/A 16366-2023 karta.png", "A 16366-2023")</f>
        <v/>
      </c>
      <c r="V199">
        <f>HYPERLINK("https://klasma.github.io/Logging_2305/klagomål/A 16366-2023 FSC-klagomål.docx", "A 16366-2023")</f>
        <v/>
      </c>
      <c r="W199">
        <f>HYPERLINK("https://klasma.github.io/Logging_2305/klagomålsmail/A 16366-2023 FSC-klagomål mail.docx", "A 16366-2023")</f>
        <v/>
      </c>
      <c r="X199">
        <f>HYPERLINK("https://klasma.github.io/Logging_2305/tillsyn/A 16366-2023 tillsynsbegäran.docx", "A 16366-2023")</f>
        <v/>
      </c>
      <c r="Y199">
        <f>HYPERLINK("https://klasma.github.io/Logging_2305/tillsynsmail/A 16366-2023 tillsynsbegäran mail.docx", "A 16366-2023")</f>
        <v/>
      </c>
    </row>
    <row r="200" ht="15" customHeight="1">
      <c r="A200" t="inlineStr">
        <is>
          <t>A 16755-2023</t>
        </is>
      </c>
      <c r="B200" s="1" t="n">
        <v>45031</v>
      </c>
      <c r="C200" s="1" t="n">
        <v>45507</v>
      </c>
      <c r="D200" t="inlineStr">
        <is>
          <t>JÄMTLANDS LÄN</t>
        </is>
      </c>
      <c r="E200" t="inlineStr">
        <is>
          <t>BRÄCKE</t>
        </is>
      </c>
      <c r="F200" t="inlineStr">
        <is>
          <t>SCA</t>
        </is>
      </c>
      <c r="G200" t="n">
        <v>15.7</v>
      </c>
      <c r="H200" t="n">
        <v>0</v>
      </c>
      <c r="I200" t="n">
        <v>1</v>
      </c>
      <c r="J200" t="n">
        <v>0</v>
      </c>
      <c r="K200" t="n">
        <v>0</v>
      </c>
      <c r="L200" t="n">
        <v>0</v>
      </c>
      <c r="M200" t="n">
        <v>0</v>
      </c>
      <c r="N200" t="n">
        <v>0</v>
      </c>
      <c r="O200" t="n">
        <v>0</v>
      </c>
      <c r="P200" t="n">
        <v>0</v>
      </c>
      <c r="Q200" t="n">
        <v>1</v>
      </c>
      <c r="R200" s="2" t="inlineStr">
        <is>
          <t>Tibast</t>
        </is>
      </c>
      <c r="S200">
        <f>HYPERLINK("https://klasma.github.io/Logging_2305/artfynd/A 16755-2023 artfynd.xlsx", "A 16755-2023")</f>
        <v/>
      </c>
      <c r="T200">
        <f>HYPERLINK("https://klasma.github.io/Logging_2305/kartor/A 16755-2023 karta.png", "A 16755-2023")</f>
        <v/>
      </c>
      <c r="V200">
        <f>HYPERLINK("https://klasma.github.io/Logging_2305/klagomål/A 16755-2023 FSC-klagomål.docx", "A 16755-2023")</f>
        <v/>
      </c>
      <c r="W200">
        <f>HYPERLINK("https://klasma.github.io/Logging_2305/klagomålsmail/A 16755-2023 FSC-klagomål mail.docx", "A 16755-2023")</f>
        <v/>
      </c>
      <c r="X200">
        <f>HYPERLINK("https://klasma.github.io/Logging_2305/tillsyn/A 16755-2023 tillsynsbegäran.docx", "A 16755-2023")</f>
        <v/>
      </c>
      <c r="Y200">
        <f>HYPERLINK("https://klasma.github.io/Logging_2305/tillsynsmail/A 16755-2023 tillsynsbegäran mail.docx", "A 16755-2023")</f>
        <v/>
      </c>
    </row>
    <row r="201" ht="15" customHeight="1">
      <c r="A201" t="inlineStr">
        <is>
          <t>A 19435-2023</t>
        </is>
      </c>
      <c r="B201" s="1" t="n">
        <v>45049</v>
      </c>
      <c r="C201" s="1" t="n">
        <v>45507</v>
      </c>
      <c r="D201" t="inlineStr">
        <is>
          <t>JÄMTLANDS LÄN</t>
        </is>
      </c>
      <c r="E201" t="inlineStr">
        <is>
          <t>BRÄCKE</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HYPERLINK("https://klasma.github.io/Logging_2305/artfynd/A 19435-2023 artfynd.xlsx", "A 19435-2023")</f>
        <v/>
      </c>
      <c r="T201">
        <f>HYPERLINK("https://klasma.github.io/Logging_2305/kartor/A 19435-2023 karta.png", "A 19435-2023")</f>
        <v/>
      </c>
      <c r="V201">
        <f>HYPERLINK("https://klasma.github.io/Logging_2305/klagomål/A 19435-2023 FSC-klagomål.docx", "A 19435-2023")</f>
        <v/>
      </c>
      <c r="W201">
        <f>HYPERLINK("https://klasma.github.io/Logging_2305/klagomålsmail/A 19435-2023 FSC-klagomål mail.docx", "A 19435-2023")</f>
        <v/>
      </c>
      <c r="X201">
        <f>HYPERLINK("https://klasma.github.io/Logging_2305/tillsyn/A 19435-2023 tillsynsbegäran.docx", "A 19435-2023")</f>
        <v/>
      </c>
      <c r="Y201">
        <f>HYPERLINK("https://klasma.github.io/Logging_2305/tillsynsmail/A 19435-2023 tillsynsbegäran mail.docx", "A 19435-2023")</f>
        <v/>
      </c>
    </row>
    <row r="202" ht="15" customHeight="1">
      <c r="A202" t="inlineStr">
        <is>
          <t>A 19817-2023</t>
        </is>
      </c>
      <c r="B202" s="1" t="n">
        <v>45051</v>
      </c>
      <c r="C202" s="1" t="n">
        <v>45507</v>
      </c>
      <c r="D202" t="inlineStr">
        <is>
          <t>JÄMTLANDS LÄN</t>
        </is>
      </c>
      <c r="E202" t="inlineStr">
        <is>
          <t>BRÄCKE</t>
        </is>
      </c>
      <c r="F202" t="inlineStr">
        <is>
          <t>SCA</t>
        </is>
      </c>
      <c r="G202" t="n">
        <v>2.8</v>
      </c>
      <c r="H202" t="n">
        <v>0</v>
      </c>
      <c r="I202" t="n">
        <v>0</v>
      </c>
      <c r="J202" t="n">
        <v>1</v>
      </c>
      <c r="K202" t="n">
        <v>0</v>
      </c>
      <c r="L202" t="n">
        <v>0</v>
      </c>
      <c r="M202" t="n">
        <v>0</v>
      </c>
      <c r="N202" t="n">
        <v>0</v>
      </c>
      <c r="O202" t="n">
        <v>1</v>
      </c>
      <c r="P202" t="n">
        <v>0</v>
      </c>
      <c r="Q202" t="n">
        <v>1</v>
      </c>
      <c r="R202" s="2" t="inlineStr">
        <is>
          <t>Lunglav</t>
        </is>
      </c>
      <c r="S202">
        <f>HYPERLINK("https://klasma.github.io/Logging_2305/artfynd/A 19817-2023 artfynd.xlsx", "A 19817-2023")</f>
        <v/>
      </c>
      <c r="T202">
        <f>HYPERLINK("https://klasma.github.io/Logging_2305/kartor/A 19817-2023 karta.png", "A 19817-2023")</f>
        <v/>
      </c>
      <c r="V202">
        <f>HYPERLINK("https://klasma.github.io/Logging_2305/klagomål/A 19817-2023 FSC-klagomål.docx", "A 19817-2023")</f>
        <v/>
      </c>
      <c r="W202">
        <f>HYPERLINK("https://klasma.github.io/Logging_2305/klagomålsmail/A 19817-2023 FSC-klagomål mail.docx", "A 19817-2023")</f>
        <v/>
      </c>
      <c r="X202">
        <f>HYPERLINK("https://klasma.github.io/Logging_2305/tillsyn/A 19817-2023 tillsynsbegäran.docx", "A 19817-2023")</f>
        <v/>
      </c>
      <c r="Y202">
        <f>HYPERLINK("https://klasma.github.io/Logging_2305/tillsynsmail/A 19817-2023 tillsynsbegäran mail.docx", "A 19817-2023")</f>
        <v/>
      </c>
    </row>
    <row r="203" ht="15" customHeight="1">
      <c r="A203" t="inlineStr">
        <is>
          <t>A 20604-2023</t>
        </is>
      </c>
      <c r="B203" s="1" t="n">
        <v>45057</v>
      </c>
      <c r="C203" s="1" t="n">
        <v>45507</v>
      </c>
      <c r="D203" t="inlineStr">
        <is>
          <t>JÄMTLANDS LÄN</t>
        </is>
      </c>
      <c r="E203" t="inlineStr">
        <is>
          <t>BRÄCKE</t>
        </is>
      </c>
      <c r="F203" t="inlineStr">
        <is>
          <t>SCA</t>
        </is>
      </c>
      <c r="G203" t="n">
        <v>2.9</v>
      </c>
      <c r="H203" t="n">
        <v>0</v>
      </c>
      <c r="I203" t="n">
        <v>1</v>
      </c>
      <c r="J203" t="n">
        <v>0</v>
      </c>
      <c r="K203" t="n">
        <v>0</v>
      </c>
      <c r="L203" t="n">
        <v>0</v>
      </c>
      <c r="M203" t="n">
        <v>0</v>
      </c>
      <c r="N203" t="n">
        <v>0</v>
      </c>
      <c r="O203" t="n">
        <v>0</v>
      </c>
      <c r="P203" t="n">
        <v>0</v>
      </c>
      <c r="Q203" t="n">
        <v>1</v>
      </c>
      <c r="R203" s="2" t="inlineStr">
        <is>
          <t>Tallfingersvamp</t>
        </is>
      </c>
      <c r="S203">
        <f>HYPERLINK("https://klasma.github.io/Logging_2305/artfynd/A 20604-2023 artfynd.xlsx", "A 20604-2023")</f>
        <v/>
      </c>
      <c r="T203">
        <f>HYPERLINK("https://klasma.github.io/Logging_2305/kartor/A 20604-2023 karta.png", "A 20604-2023")</f>
        <v/>
      </c>
      <c r="V203">
        <f>HYPERLINK("https://klasma.github.io/Logging_2305/klagomål/A 20604-2023 FSC-klagomål.docx", "A 20604-2023")</f>
        <v/>
      </c>
      <c r="W203">
        <f>HYPERLINK("https://klasma.github.io/Logging_2305/klagomålsmail/A 20604-2023 FSC-klagomål mail.docx", "A 20604-2023")</f>
        <v/>
      </c>
      <c r="X203">
        <f>HYPERLINK("https://klasma.github.io/Logging_2305/tillsyn/A 20604-2023 tillsynsbegäran.docx", "A 20604-2023")</f>
        <v/>
      </c>
      <c r="Y203">
        <f>HYPERLINK("https://klasma.github.io/Logging_2305/tillsynsmail/A 20604-2023 tillsynsbegäran mail.docx", "A 20604-2023")</f>
        <v/>
      </c>
    </row>
    <row r="204" ht="15" customHeight="1">
      <c r="A204" t="inlineStr">
        <is>
          <t>A 20617-2023</t>
        </is>
      </c>
      <c r="B204" s="1" t="n">
        <v>45057</v>
      </c>
      <c r="C204" s="1" t="n">
        <v>45507</v>
      </c>
      <c r="D204" t="inlineStr">
        <is>
          <t>JÄMTLANDS LÄN</t>
        </is>
      </c>
      <c r="E204" t="inlineStr">
        <is>
          <t>BRÄCKE</t>
        </is>
      </c>
      <c r="F204" t="inlineStr">
        <is>
          <t>SCA</t>
        </is>
      </c>
      <c r="G204" t="n">
        <v>10.5</v>
      </c>
      <c r="H204" t="n">
        <v>1</v>
      </c>
      <c r="I204" t="n">
        <v>1</v>
      </c>
      <c r="J204" t="n">
        <v>0</v>
      </c>
      <c r="K204" t="n">
        <v>0</v>
      </c>
      <c r="L204" t="n">
        <v>0</v>
      </c>
      <c r="M204" t="n">
        <v>0</v>
      </c>
      <c r="N204" t="n">
        <v>0</v>
      </c>
      <c r="O204" t="n">
        <v>0</v>
      </c>
      <c r="P204" t="n">
        <v>0</v>
      </c>
      <c r="Q204" t="n">
        <v>1</v>
      </c>
      <c r="R204" s="2" t="inlineStr">
        <is>
          <t>Guckusko</t>
        </is>
      </c>
      <c r="S204">
        <f>HYPERLINK("https://klasma.github.io/Logging_2305/artfynd/A 20617-2023 artfynd.xlsx", "A 20617-2023")</f>
        <v/>
      </c>
      <c r="T204">
        <f>HYPERLINK("https://klasma.github.io/Logging_2305/kartor/A 20617-2023 karta.png", "A 20617-2023")</f>
        <v/>
      </c>
      <c r="V204">
        <f>HYPERLINK("https://klasma.github.io/Logging_2305/klagomål/A 20617-2023 FSC-klagomål.docx", "A 20617-2023")</f>
        <v/>
      </c>
      <c r="W204">
        <f>HYPERLINK("https://klasma.github.io/Logging_2305/klagomålsmail/A 20617-2023 FSC-klagomål mail.docx", "A 20617-2023")</f>
        <v/>
      </c>
      <c r="X204">
        <f>HYPERLINK("https://klasma.github.io/Logging_2305/tillsyn/A 20617-2023 tillsynsbegäran.docx", "A 20617-2023")</f>
        <v/>
      </c>
      <c r="Y204">
        <f>HYPERLINK("https://klasma.github.io/Logging_2305/tillsynsmail/A 20617-2023 tillsynsbegäran mail.docx", "A 20617-2023")</f>
        <v/>
      </c>
    </row>
    <row r="205" ht="15" customHeight="1">
      <c r="A205" t="inlineStr">
        <is>
          <t>A 20871-2023</t>
        </is>
      </c>
      <c r="B205" s="1" t="n">
        <v>45058</v>
      </c>
      <c r="C205" s="1" t="n">
        <v>45507</v>
      </c>
      <c r="D205" t="inlineStr">
        <is>
          <t>JÄMTLANDS LÄN</t>
        </is>
      </c>
      <c r="E205" t="inlineStr">
        <is>
          <t>BRÄCKE</t>
        </is>
      </c>
      <c r="F205" t="inlineStr">
        <is>
          <t>SCA</t>
        </is>
      </c>
      <c r="G205" t="n">
        <v>6.7</v>
      </c>
      <c r="H205" t="n">
        <v>0</v>
      </c>
      <c r="I205" t="n">
        <v>0</v>
      </c>
      <c r="J205" t="n">
        <v>1</v>
      </c>
      <c r="K205" t="n">
        <v>0</v>
      </c>
      <c r="L205" t="n">
        <v>0</v>
      </c>
      <c r="M205" t="n">
        <v>0</v>
      </c>
      <c r="N205" t="n">
        <v>0</v>
      </c>
      <c r="O205" t="n">
        <v>1</v>
      </c>
      <c r="P205" t="n">
        <v>0</v>
      </c>
      <c r="Q205" t="n">
        <v>1</v>
      </c>
      <c r="R205" s="2" t="inlineStr">
        <is>
          <t>Månlåsbräken</t>
        </is>
      </c>
      <c r="S205">
        <f>HYPERLINK("https://klasma.github.io/Logging_2305/artfynd/A 20871-2023 artfynd.xlsx", "A 20871-2023")</f>
        <v/>
      </c>
      <c r="T205">
        <f>HYPERLINK("https://klasma.github.io/Logging_2305/kartor/A 20871-2023 karta.png", "A 20871-2023")</f>
        <v/>
      </c>
      <c r="V205">
        <f>HYPERLINK("https://klasma.github.io/Logging_2305/klagomål/A 20871-2023 FSC-klagomål.docx", "A 20871-2023")</f>
        <v/>
      </c>
      <c r="W205">
        <f>HYPERLINK("https://klasma.github.io/Logging_2305/klagomålsmail/A 20871-2023 FSC-klagomål mail.docx", "A 20871-2023")</f>
        <v/>
      </c>
      <c r="X205">
        <f>HYPERLINK("https://klasma.github.io/Logging_2305/tillsyn/A 20871-2023 tillsynsbegäran.docx", "A 20871-2023")</f>
        <v/>
      </c>
      <c r="Y205">
        <f>HYPERLINK("https://klasma.github.io/Logging_2305/tillsynsmail/A 20871-2023 tillsynsbegäran mail.docx", "A 20871-2023")</f>
        <v/>
      </c>
    </row>
    <row r="206" ht="15" customHeight="1">
      <c r="A206" t="inlineStr">
        <is>
          <t>A 21112-2023</t>
        </is>
      </c>
      <c r="B206" s="1" t="n">
        <v>45062</v>
      </c>
      <c r="C206" s="1" t="n">
        <v>45507</v>
      </c>
      <c r="D206" t="inlineStr">
        <is>
          <t>JÄMTLANDS LÄN</t>
        </is>
      </c>
      <c r="E206" t="inlineStr">
        <is>
          <t>BRÄCKE</t>
        </is>
      </c>
      <c r="F206" t="inlineStr">
        <is>
          <t>SCA</t>
        </is>
      </c>
      <c r="G206" t="n">
        <v>5.1</v>
      </c>
      <c r="H206" t="n">
        <v>1</v>
      </c>
      <c r="I206" t="n">
        <v>0</v>
      </c>
      <c r="J206" t="n">
        <v>1</v>
      </c>
      <c r="K206" t="n">
        <v>0</v>
      </c>
      <c r="L206" t="n">
        <v>0</v>
      </c>
      <c r="M206" t="n">
        <v>0</v>
      </c>
      <c r="N206" t="n">
        <v>0</v>
      </c>
      <c r="O206" t="n">
        <v>1</v>
      </c>
      <c r="P206" t="n">
        <v>0</v>
      </c>
      <c r="Q206" t="n">
        <v>1</v>
      </c>
      <c r="R206" s="2" t="inlineStr">
        <is>
          <t>Järpe</t>
        </is>
      </c>
      <c r="S206">
        <f>HYPERLINK("https://klasma.github.io/Logging_2305/artfynd/A 21112-2023 artfynd.xlsx", "A 21112-2023")</f>
        <v/>
      </c>
      <c r="T206">
        <f>HYPERLINK("https://klasma.github.io/Logging_2305/kartor/A 21112-2023 karta.png", "A 21112-2023")</f>
        <v/>
      </c>
      <c r="V206">
        <f>HYPERLINK("https://klasma.github.io/Logging_2305/klagomål/A 21112-2023 FSC-klagomål.docx", "A 21112-2023")</f>
        <v/>
      </c>
      <c r="W206">
        <f>HYPERLINK("https://klasma.github.io/Logging_2305/klagomålsmail/A 21112-2023 FSC-klagomål mail.docx", "A 21112-2023")</f>
        <v/>
      </c>
      <c r="X206">
        <f>HYPERLINK("https://klasma.github.io/Logging_2305/tillsyn/A 21112-2023 tillsynsbegäran.docx", "A 21112-2023")</f>
        <v/>
      </c>
      <c r="Y206">
        <f>HYPERLINK("https://klasma.github.io/Logging_2305/tillsynsmail/A 21112-2023 tillsynsbegäran mail.docx", "A 21112-2023")</f>
        <v/>
      </c>
      <c r="Z206">
        <f>HYPERLINK("https://klasma.github.io/Logging_2305/fåglar/A 21112-2023 prioriterade fågelarter.docx", "A 21112-2023")</f>
        <v/>
      </c>
    </row>
    <row r="207" ht="15" customHeight="1">
      <c r="A207" t="inlineStr">
        <is>
          <t>A 21684-2023</t>
        </is>
      </c>
      <c r="B207" s="1" t="n">
        <v>45064</v>
      </c>
      <c r="C207" s="1" t="n">
        <v>45507</v>
      </c>
      <c r="D207" t="inlineStr">
        <is>
          <t>JÄMTLANDS LÄN</t>
        </is>
      </c>
      <c r="E207" t="inlineStr">
        <is>
          <t>BRÄCKE</t>
        </is>
      </c>
      <c r="F207" t="inlineStr">
        <is>
          <t>SCA</t>
        </is>
      </c>
      <c r="G207" t="n">
        <v>16.5</v>
      </c>
      <c r="H207" t="n">
        <v>1</v>
      </c>
      <c r="I207" t="n">
        <v>0</v>
      </c>
      <c r="J207" t="n">
        <v>1</v>
      </c>
      <c r="K207" t="n">
        <v>0</v>
      </c>
      <c r="L207" t="n">
        <v>0</v>
      </c>
      <c r="M207" t="n">
        <v>0</v>
      </c>
      <c r="N207" t="n">
        <v>0</v>
      </c>
      <c r="O207" t="n">
        <v>1</v>
      </c>
      <c r="P207" t="n">
        <v>0</v>
      </c>
      <c r="Q207" t="n">
        <v>1</v>
      </c>
      <c r="R207" s="2" t="inlineStr">
        <is>
          <t>Järpe</t>
        </is>
      </c>
      <c r="S207">
        <f>HYPERLINK("https://klasma.github.io/Logging_2305/artfynd/A 21684-2023 artfynd.xlsx", "A 21684-2023")</f>
        <v/>
      </c>
      <c r="T207">
        <f>HYPERLINK("https://klasma.github.io/Logging_2305/kartor/A 21684-2023 karta.png", "A 21684-2023")</f>
        <v/>
      </c>
      <c r="V207">
        <f>HYPERLINK("https://klasma.github.io/Logging_2305/klagomål/A 21684-2023 FSC-klagomål.docx", "A 21684-2023")</f>
        <v/>
      </c>
      <c r="W207">
        <f>HYPERLINK("https://klasma.github.io/Logging_2305/klagomålsmail/A 21684-2023 FSC-klagomål mail.docx", "A 21684-2023")</f>
        <v/>
      </c>
      <c r="X207">
        <f>HYPERLINK("https://klasma.github.io/Logging_2305/tillsyn/A 21684-2023 tillsynsbegäran.docx", "A 21684-2023")</f>
        <v/>
      </c>
      <c r="Y207">
        <f>HYPERLINK("https://klasma.github.io/Logging_2305/tillsynsmail/A 21684-2023 tillsynsbegäran mail.docx", "A 21684-2023")</f>
        <v/>
      </c>
      <c r="Z207">
        <f>HYPERLINK("https://klasma.github.io/Logging_2305/fåglar/A 21684-2023 prioriterade fågelarter.docx", "A 21684-2023")</f>
        <v/>
      </c>
    </row>
    <row r="208" ht="15" customHeight="1">
      <c r="A208" t="inlineStr">
        <is>
          <t>A 22233-2023</t>
        </is>
      </c>
      <c r="B208" s="1" t="n">
        <v>45069</v>
      </c>
      <c r="C208" s="1" t="n">
        <v>45507</v>
      </c>
      <c r="D208" t="inlineStr">
        <is>
          <t>JÄMTLANDS LÄN</t>
        </is>
      </c>
      <c r="E208" t="inlineStr">
        <is>
          <t>BRÄCKE</t>
        </is>
      </c>
      <c r="F208" t="inlineStr">
        <is>
          <t>SCA</t>
        </is>
      </c>
      <c r="G208" t="n">
        <v>28.4</v>
      </c>
      <c r="H208" t="n">
        <v>0</v>
      </c>
      <c r="I208" t="n">
        <v>0</v>
      </c>
      <c r="J208" t="n">
        <v>1</v>
      </c>
      <c r="K208" t="n">
        <v>0</v>
      </c>
      <c r="L208" t="n">
        <v>0</v>
      </c>
      <c r="M208" t="n">
        <v>0</v>
      </c>
      <c r="N208" t="n">
        <v>0</v>
      </c>
      <c r="O208" t="n">
        <v>1</v>
      </c>
      <c r="P208" t="n">
        <v>0</v>
      </c>
      <c r="Q208" t="n">
        <v>1</v>
      </c>
      <c r="R208" s="2" t="inlineStr">
        <is>
          <t>Lunglav</t>
        </is>
      </c>
      <c r="S208">
        <f>HYPERLINK("https://klasma.github.io/Logging_2305/artfynd/A 22233-2023 artfynd.xlsx", "A 22233-2023")</f>
        <v/>
      </c>
      <c r="T208">
        <f>HYPERLINK("https://klasma.github.io/Logging_2305/kartor/A 22233-2023 karta.png", "A 22233-2023")</f>
        <v/>
      </c>
      <c r="V208">
        <f>HYPERLINK("https://klasma.github.io/Logging_2305/klagomål/A 22233-2023 FSC-klagomål.docx", "A 22233-2023")</f>
        <v/>
      </c>
      <c r="W208">
        <f>HYPERLINK("https://klasma.github.io/Logging_2305/klagomålsmail/A 22233-2023 FSC-klagomål mail.docx", "A 22233-2023")</f>
        <v/>
      </c>
      <c r="X208">
        <f>HYPERLINK("https://klasma.github.io/Logging_2305/tillsyn/A 22233-2023 tillsynsbegäran.docx", "A 22233-2023")</f>
        <v/>
      </c>
      <c r="Y208">
        <f>HYPERLINK("https://klasma.github.io/Logging_2305/tillsynsmail/A 22233-2023 tillsynsbegäran mail.docx", "A 22233-2023")</f>
        <v/>
      </c>
    </row>
    <row r="209" ht="15" customHeight="1">
      <c r="A209" t="inlineStr">
        <is>
          <t>A 22990-2023</t>
        </is>
      </c>
      <c r="B209" s="1" t="n">
        <v>45072</v>
      </c>
      <c r="C209" s="1" t="n">
        <v>45507</v>
      </c>
      <c r="D209" t="inlineStr">
        <is>
          <t>JÄMTLANDS LÄN</t>
        </is>
      </c>
      <c r="E209" t="inlineStr">
        <is>
          <t>BRÄCKE</t>
        </is>
      </c>
      <c r="F209" t="inlineStr">
        <is>
          <t>SCA</t>
        </is>
      </c>
      <c r="G209" t="n">
        <v>5.2</v>
      </c>
      <c r="H209" t="n">
        <v>0</v>
      </c>
      <c r="I209" t="n">
        <v>0</v>
      </c>
      <c r="J209" t="n">
        <v>1</v>
      </c>
      <c r="K209" t="n">
        <v>0</v>
      </c>
      <c r="L209" t="n">
        <v>0</v>
      </c>
      <c r="M209" t="n">
        <v>0</v>
      </c>
      <c r="N209" t="n">
        <v>0</v>
      </c>
      <c r="O209" t="n">
        <v>1</v>
      </c>
      <c r="P209" t="n">
        <v>0</v>
      </c>
      <c r="Q209" t="n">
        <v>1</v>
      </c>
      <c r="R209" s="2" t="inlineStr">
        <is>
          <t>Rosenticka</t>
        </is>
      </c>
      <c r="S209">
        <f>HYPERLINK("https://klasma.github.io/Logging_2305/artfynd/A 22990-2023 artfynd.xlsx", "A 22990-2023")</f>
        <v/>
      </c>
      <c r="T209">
        <f>HYPERLINK("https://klasma.github.io/Logging_2305/kartor/A 22990-2023 karta.png", "A 22990-2023")</f>
        <v/>
      </c>
      <c r="V209">
        <f>HYPERLINK("https://klasma.github.io/Logging_2305/klagomål/A 22990-2023 FSC-klagomål.docx", "A 22990-2023")</f>
        <v/>
      </c>
      <c r="W209">
        <f>HYPERLINK("https://klasma.github.io/Logging_2305/klagomålsmail/A 22990-2023 FSC-klagomål mail.docx", "A 22990-2023")</f>
        <v/>
      </c>
      <c r="X209">
        <f>HYPERLINK("https://klasma.github.io/Logging_2305/tillsyn/A 22990-2023 tillsynsbegäran.docx", "A 22990-2023")</f>
        <v/>
      </c>
      <c r="Y209">
        <f>HYPERLINK("https://klasma.github.io/Logging_2305/tillsynsmail/A 22990-2023 tillsynsbegäran mail.docx", "A 22990-2023")</f>
        <v/>
      </c>
    </row>
    <row r="210" ht="15" customHeight="1">
      <c r="A210" t="inlineStr">
        <is>
          <t>A 24825-2023</t>
        </is>
      </c>
      <c r="B210" s="1" t="n">
        <v>45084</v>
      </c>
      <c r="C210" s="1" t="n">
        <v>45507</v>
      </c>
      <c r="D210" t="inlineStr">
        <is>
          <t>JÄMTLANDS LÄN</t>
        </is>
      </c>
      <c r="E210" t="inlineStr">
        <is>
          <t>BRÄCKE</t>
        </is>
      </c>
      <c r="F210" t="inlineStr">
        <is>
          <t>SCA</t>
        </is>
      </c>
      <c r="G210" t="n">
        <v>7</v>
      </c>
      <c r="H210" t="n">
        <v>0</v>
      </c>
      <c r="I210" t="n">
        <v>0</v>
      </c>
      <c r="J210" t="n">
        <v>1</v>
      </c>
      <c r="K210" t="n">
        <v>0</v>
      </c>
      <c r="L210" t="n">
        <v>0</v>
      </c>
      <c r="M210" t="n">
        <v>0</v>
      </c>
      <c r="N210" t="n">
        <v>0</v>
      </c>
      <c r="O210" t="n">
        <v>1</v>
      </c>
      <c r="P210" t="n">
        <v>0</v>
      </c>
      <c r="Q210" t="n">
        <v>1</v>
      </c>
      <c r="R210" s="2" t="inlineStr">
        <is>
          <t>Tallticka</t>
        </is>
      </c>
      <c r="S210">
        <f>HYPERLINK("https://klasma.github.io/Logging_2305/artfynd/A 24825-2023 artfynd.xlsx", "A 24825-2023")</f>
        <v/>
      </c>
      <c r="T210">
        <f>HYPERLINK("https://klasma.github.io/Logging_2305/kartor/A 24825-2023 karta.png", "A 24825-2023")</f>
        <v/>
      </c>
      <c r="V210">
        <f>HYPERLINK("https://klasma.github.io/Logging_2305/klagomål/A 24825-2023 FSC-klagomål.docx", "A 24825-2023")</f>
        <v/>
      </c>
      <c r="W210">
        <f>HYPERLINK("https://klasma.github.io/Logging_2305/klagomålsmail/A 24825-2023 FSC-klagomål mail.docx", "A 24825-2023")</f>
        <v/>
      </c>
      <c r="X210">
        <f>HYPERLINK("https://klasma.github.io/Logging_2305/tillsyn/A 24825-2023 tillsynsbegäran.docx", "A 24825-2023")</f>
        <v/>
      </c>
      <c r="Y210">
        <f>HYPERLINK("https://klasma.github.io/Logging_2305/tillsynsmail/A 24825-2023 tillsynsbegäran mail.docx", "A 24825-2023")</f>
        <v/>
      </c>
    </row>
    <row r="211" ht="15" customHeight="1">
      <c r="A211" t="inlineStr">
        <is>
          <t>A 24826-2023</t>
        </is>
      </c>
      <c r="B211" s="1" t="n">
        <v>45084</v>
      </c>
      <c r="C211" s="1" t="n">
        <v>45507</v>
      </c>
      <c r="D211" t="inlineStr">
        <is>
          <t>JÄMTLANDS LÄN</t>
        </is>
      </c>
      <c r="E211" t="inlineStr">
        <is>
          <t>BRÄCKE</t>
        </is>
      </c>
      <c r="F211" t="inlineStr">
        <is>
          <t>SCA</t>
        </is>
      </c>
      <c r="G211" t="n">
        <v>6.5</v>
      </c>
      <c r="H211" t="n">
        <v>0</v>
      </c>
      <c r="I211" t="n">
        <v>0</v>
      </c>
      <c r="J211" t="n">
        <v>1</v>
      </c>
      <c r="K211" t="n">
        <v>0</v>
      </c>
      <c r="L211" t="n">
        <v>0</v>
      </c>
      <c r="M211" t="n">
        <v>0</v>
      </c>
      <c r="N211" t="n">
        <v>0</v>
      </c>
      <c r="O211" t="n">
        <v>1</v>
      </c>
      <c r="P211" t="n">
        <v>0</v>
      </c>
      <c r="Q211" t="n">
        <v>1</v>
      </c>
      <c r="R211" s="2" t="inlineStr">
        <is>
          <t>Rosenticka</t>
        </is>
      </c>
      <c r="S211">
        <f>HYPERLINK("https://klasma.github.io/Logging_2305/artfynd/A 24826-2023 artfynd.xlsx", "A 24826-2023")</f>
        <v/>
      </c>
      <c r="T211">
        <f>HYPERLINK("https://klasma.github.io/Logging_2305/kartor/A 24826-2023 karta.png", "A 24826-2023")</f>
        <v/>
      </c>
      <c r="V211">
        <f>HYPERLINK("https://klasma.github.io/Logging_2305/klagomål/A 24826-2023 FSC-klagomål.docx", "A 24826-2023")</f>
        <v/>
      </c>
      <c r="W211">
        <f>HYPERLINK("https://klasma.github.io/Logging_2305/klagomålsmail/A 24826-2023 FSC-klagomål mail.docx", "A 24826-2023")</f>
        <v/>
      </c>
      <c r="X211">
        <f>HYPERLINK("https://klasma.github.io/Logging_2305/tillsyn/A 24826-2023 tillsynsbegäran.docx", "A 24826-2023")</f>
        <v/>
      </c>
      <c r="Y211">
        <f>HYPERLINK("https://klasma.github.io/Logging_2305/tillsynsmail/A 24826-2023 tillsynsbegäran mail.docx", "A 24826-2023")</f>
        <v/>
      </c>
    </row>
    <row r="212" ht="15" customHeight="1">
      <c r="A212" t="inlineStr">
        <is>
          <t>A 26344-2023</t>
        </is>
      </c>
      <c r="B212" s="1" t="n">
        <v>45091</v>
      </c>
      <c r="C212" s="1" t="n">
        <v>45507</v>
      </c>
      <c r="D212" t="inlineStr">
        <is>
          <t>JÄMTLANDS LÄN</t>
        </is>
      </c>
      <c r="E212" t="inlineStr">
        <is>
          <t>BRÄCKE</t>
        </is>
      </c>
      <c r="F212" t="inlineStr">
        <is>
          <t>SCA</t>
        </is>
      </c>
      <c r="G212" t="n">
        <v>15.8</v>
      </c>
      <c r="H212" t="n">
        <v>1</v>
      </c>
      <c r="I212" t="n">
        <v>0</v>
      </c>
      <c r="J212" t="n">
        <v>0</v>
      </c>
      <c r="K212" t="n">
        <v>1</v>
      </c>
      <c r="L212" t="n">
        <v>0</v>
      </c>
      <c r="M212" t="n">
        <v>0</v>
      </c>
      <c r="N212" t="n">
        <v>0</v>
      </c>
      <c r="O212" t="n">
        <v>1</v>
      </c>
      <c r="P212" t="n">
        <v>1</v>
      </c>
      <c r="Q212" t="n">
        <v>1</v>
      </c>
      <c r="R212" s="2" t="inlineStr">
        <is>
          <t>Knärot</t>
        </is>
      </c>
      <c r="S212">
        <f>HYPERLINK("https://klasma.github.io/Logging_2305/artfynd/A 26344-2023 artfynd.xlsx", "A 26344-2023")</f>
        <v/>
      </c>
      <c r="T212">
        <f>HYPERLINK("https://klasma.github.io/Logging_2305/kartor/A 26344-2023 karta.png", "A 26344-2023")</f>
        <v/>
      </c>
      <c r="U212">
        <f>HYPERLINK("https://klasma.github.io/Logging_2305/knärot/A 26344-2023 karta knärot.png", "A 26344-2023")</f>
        <v/>
      </c>
      <c r="V212">
        <f>HYPERLINK("https://klasma.github.io/Logging_2305/klagomål/A 26344-2023 FSC-klagomål.docx", "A 26344-2023")</f>
        <v/>
      </c>
      <c r="W212">
        <f>HYPERLINK("https://klasma.github.io/Logging_2305/klagomålsmail/A 26344-2023 FSC-klagomål mail.docx", "A 26344-2023")</f>
        <v/>
      </c>
      <c r="X212">
        <f>HYPERLINK("https://klasma.github.io/Logging_2305/tillsyn/A 26344-2023 tillsynsbegäran.docx", "A 26344-2023")</f>
        <v/>
      </c>
      <c r="Y212">
        <f>HYPERLINK("https://klasma.github.io/Logging_2305/tillsynsmail/A 26344-2023 tillsynsbegäran mail.docx", "A 26344-2023")</f>
        <v/>
      </c>
    </row>
    <row r="213" ht="15" customHeight="1">
      <c r="A213" t="inlineStr">
        <is>
          <t>A 26647-2023</t>
        </is>
      </c>
      <c r="B213" s="1" t="n">
        <v>45092</v>
      </c>
      <c r="C213" s="1" t="n">
        <v>45507</v>
      </c>
      <c r="D213" t="inlineStr">
        <is>
          <t>JÄMTLANDS LÄN</t>
        </is>
      </c>
      <c r="E213" t="inlineStr">
        <is>
          <t>BRÄCKE</t>
        </is>
      </c>
      <c r="G213" t="n">
        <v>1.3</v>
      </c>
      <c r="H213" t="n">
        <v>0</v>
      </c>
      <c r="I213" t="n">
        <v>0</v>
      </c>
      <c r="J213" t="n">
        <v>1</v>
      </c>
      <c r="K213" t="n">
        <v>0</v>
      </c>
      <c r="L213" t="n">
        <v>0</v>
      </c>
      <c r="M213" t="n">
        <v>0</v>
      </c>
      <c r="N213" t="n">
        <v>0</v>
      </c>
      <c r="O213" t="n">
        <v>1</v>
      </c>
      <c r="P213" t="n">
        <v>0</v>
      </c>
      <c r="Q213" t="n">
        <v>1</v>
      </c>
      <c r="R213" s="2" t="inlineStr">
        <is>
          <t>Ullticka</t>
        </is>
      </c>
      <c r="S213">
        <f>HYPERLINK("https://klasma.github.io/Logging_2305/artfynd/A 26647-2023 artfynd.xlsx", "A 26647-2023")</f>
        <v/>
      </c>
      <c r="T213">
        <f>HYPERLINK("https://klasma.github.io/Logging_2305/kartor/A 26647-2023 karta.png", "A 26647-2023")</f>
        <v/>
      </c>
      <c r="V213">
        <f>HYPERLINK("https://klasma.github.io/Logging_2305/klagomål/A 26647-2023 FSC-klagomål.docx", "A 26647-2023")</f>
        <v/>
      </c>
      <c r="W213">
        <f>HYPERLINK("https://klasma.github.io/Logging_2305/klagomålsmail/A 26647-2023 FSC-klagomål mail.docx", "A 26647-2023")</f>
        <v/>
      </c>
      <c r="X213">
        <f>HYPERLINK("https://klasma.github.io/Logging_2305/tillsyn/A 26647-2023 tillsynsbegäran.docx", "A 26647-2023")</f>
        <v/>
      </c>
      <c r="Y213">
        <f>HYPERLINK("https://klasma.github.io/Logging_2305/tillsynsmail/A 26647-2023 tillsynsbegäran mail.docx", "A 26647-2023")</f>
        <v/>
      </c>
    </row>
    <row r="214" ht="15" customHeight="1">
      <c r="A214" t="inlineStr">
        <is>
          <t>A 29324-2023</t>
        </is>
      </c>
      <c r="B214" s="1" t="n">
        <v>45106</v>
      </c>
      <c r="C214" s="1" t="n">
        <v>45507</v>
      </c>
      <c r="D214" t="inlineStr">
        <is>
          <t>JÄMTLANDS LÄN</t>
        </is>
      </c>
      <c r="E214" t="inlineStr">
        <is>
          <t>BRÄCKE</t>
        </is>
      </c>
      <c r="F214" t="inlineStr">
        <is>
          <t>SCA</t>
        </is>
      </c>
      <c r="G214" t="n">
        <v>2</v>
      </c>
      <c r="H214" t="n">
        <v>1</v>
      </c>
      <c r="I214" t="n">
        <v>0</v>
      </c>
      <c r="J214" t="n">
        <v>0</v>
      </c>
      <c r="K214" t="n">
        <v>0</v>
      </c>
      <c r="L214" t="n">
        <v>0</v>
      </c>
      <c r="M214" t="n">
        <v>0</v>
      </c>
      <c r="N214" t="n">
        <v>0</v>
      </c>
      <c r="O214" t="n">
        <v>0</v>
      </c>
      <c r="P214" t="n">
        <v>0</v>
      </c>
      <c r="Q214" t="n">
        <v>1</v>
      </c>
      <c r="R214" s="2" t="inlineStr">
        <is>
          <t>Nattviol</t>
        </is>
      </c>
      <c r="S214">
        <f>HYPERLINK("https://klasma.github.io/Logging_2305/artfynd/A 29324-2023 artfynd.xlsx", "A 29324-2023")</f>
        <v/>
      </c>
      <c r="T214">
        <f>HYPERLINK("https://klasma.github.io/Logging_2305/kartor/A 29324-2023 karta.png", "A 29324-2023")</f>
        <v/>
      </c>
      <c r="V214">
        <f>HYPERLINK("https://klasma.github.io/Logging_2305/klagomål/A 29324-2023 FSC-klagomål.docx", "A 29324-2023")</f>
        <v/>
      </c>
      <c r="W214">
        <f>HYPERLINK("https://klasma.github.io/Logging_2305/klagomålsmail/A 29324-2023 FSC-klagomål mail.docx", "A 29324-2023")</f>
        <v/>
      </c>
      <c r="X214">
        <f>HYPERLINK("https://klasma.github.io/Logging_2305/tillsyn/A 29324-2023 tillsynsbegäran.docx", "A 29324-2023")</f>
        <v/>
      </c>
      <c r="Y214">
        <f>HYPERLINK("https://klasma.github.io/Logging_2305/tillsynsmail/A 29324-2023 tillsynsbegäran mail.docx", "A 29324-2023")</f>
        <v/>
      </c>
    </row>
    <row r="215" ht="15" customHeight="1">
      <c r="A215" t="inlineStr">
        <is>
          <t>A 30834-2023</t>
        </is>
      </c>
      <c r="B215" s="1" t="n">
        <v>45112</v>
      </c>
      <c r="C215" s="1" t="n">
        <v>45507</v>
      </c>
      <c r="D215" t="inlineStr">
        <is>
          <t>JÄMTLANDS LÄN</t>
        </is>
      </c>
      <c r="E215" t="inlineStr">
        <is>
          <t>BRÄCKE</t>
        </is>
      </c>
      <c r="F215" t="inlineStr">
        <is>
          <t>SCA</t>
        </is>
      </c>
      <c r="G215" t="n">
        <v>7.8</v>
      </c>
      <c r="H215" t="n">
        <v>1</v>
      </c>
      <c r="I215" t="n">
        <v>0</v>
      </c>
      <c r="J215" t="n">
        <v>0</v>
      </c>
      <c r="K215" t="n">
        <v>0</v>
      </c>
      <c r="L215" t="n">
        <v>0</v>
      </c>
      <c r="M215" t="n">
        <v>0</v>
      </c>
      <c r="N215" t="n">
        <v>0</v>
      </c>
      <c r="O215" t="n">
        <v>0</v>
      </c>
      <c r="P215" t="n">
        <v>0</v>
      </c>
      <c r="Q215" t="n">
        <v>1</v>
      </c>
      <c r="R215" s="2" t="inlineStr">
        <is>
          <t>Fläcknycklar</t>
        </is>
      </c>
      <c r="S215">
        <f>HYPERLINK("https://klasma.github.io/Logging_2305/artfynd/A 30834-2023 artfynd.xlsx", "A 30834-2023")</f>
        <v/>
      </c>
      <c r="T215">
        <f>HYPERLINK("https://klasma.github.io/Logging_2305/kartor/A 30834-2023 karta.png", "A 30834-2023")</f>
        <v/>
      </c>
      <c r="V215">
        <f>HYPERLINK("https://klasma.github.io/Logging_2305/klagomål/A 30834-2023 FSC-klagomål.docx", "A 30834-2023")</f>
        <v/>
      </c>
      <c r="W215">
        <f>HYPERLINK("https://klasma.github.io/Logging_2305/klagomålsmail/A 30834-2023 FSC-klagomål mail.docx", "A 30834-2023")</f>
        <v/>
      </c>
      <c r="X215">
        <f>HYPERLINK("https://klasma.github.io/Logging_2305/tillsyn/A 30834-2023 tillsynsbegäran.docx", "A 30834-2023")</f>
        <v/>
      </c>
      <c r="Y215">
        <f>HYPERLINK("https://klasma.github.io/Logging_2305/tillsynsmail/A 30834-2023 tillsynsbegäran mail.docx", "A 30834-2023")</f>
        <v/>
      </c>
    </row>
    <row r="216" ht="15" customHeight="1">
      <c r="A216" t="inlineStr">
        <is>
          <t>A 33874-2023</t>
        </is>
      </c>
      <c r="B216" s="1" t="n">
        <v>45133</v>
      </c>
      <c r="C216" s="1" t="n">
        <v>45507</v>
      </c>
      <c r="D216" t="inlineStr">
        <is>
          <t>JÄMTLANDS LÄN</t>
        </is>
      </c>
      <c r="E216" t="inlineStr">
        <is>
          <t>BRÄCKE</t>
        </is>
      </c>
      <c r="F216" t="inlineStr">
        <is>
          <t>SCA</t>
        </is>
      </c>
      <c r="G216" t="n">
        <v>5.8</v>
      </c>
      <c r="H216" t="n">
        <v>0</v>
      </c>
      <c r="I216" t="n">
        <v>0</v>
      </c>
      <c r="J216" t="n">
        <v>1</v>
      </c>
      <c r="K216" t="n">
        <v>0</v>
      </c>
      <c r="L216" t="n">
        <v>0</v>
      </c>
      <c r="M216" t="n">
        <v>0</v>
      </c>
      <c r="N216" t="n">
        <v>0</v>
      </c>
      <c r="O216" t="n">
        <v>1</v>
      </c>
      <c r="P216" t="n">
        <v>0</v>
      </c>
      <c r="Q216" t="n">
        <v>1</v>
      </c>
      <c r="R216" s="2" t="inlineStr">
        <is>
          <t>Ullticka</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row>
    <row r="217" ht="15" customHeight="1">
      <c r="A217" t="inlineStr">
        <is>
          <t>A 38099-2023</t>
        </is>
      </c>
      <c r="B217" s="1" t="n">
        <v>45161</v>
      </c>
      <c r="C217" s="1" t="n">
        <v>45507</v>
      </c>
      <c r="D217" t="inlineStr">
        <is>
          <t>JÄMTLANDS LÄN</t>
        </is>
      </c>
      <c r="E217" t="inlineStr">
        <is>
          <t>BRÄCKE</t>
        </is>
      </c>
      <c r="F217" t="inlineStr">
        <is>
          <t>SCA</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HYPERLINK("https://klasma.github.io/Logging_2305/artfynd/A 38099-2023 artfynd.xlsx", "A 38099-2023")</f>
        <v/>
      </c>
      <c r="T217">
        <f>HYPERLINK("https://klasma.github.io/Logging_2305/kartor/A 38099-2023 karta.png", "A 38099-2023")</f>
        <v/>
      </c>
      <c r="V217">
        <f>HYPERLINK("https://klasma.github.io/Logging_2305/klagomål/A 38099-2023 FSC-klagomål.docx", "A 38099-2023")</f>
        <v/>
      </c>
      <c r="W217">
        <f>HYPERLINK("https://klasma.github.io/Logging_2305/klagomålsmail/A 38099-2023 FSC-klagomål mail.docx", "A 38099-2023")</f>
        <v/>
      </c>
      <c r="X217">
        <f>HYPERLINK("https://klasma.github.io/Logging_2305/tillsyn/A 38099-2023 tillsynsbegäran.docx", "A 38099-2023")</f>
        <v/>
      </c>
      <c r="Y217">
        <f>HYPERLINK("https://klasma.github.io/Logging_2305/tillsynsmail/A 38099-2023 tillsynsbegäran mail.docx", "A 38099-2023")</f>
        <v/>
      </c>
      <c r="Z217">
        <f>HYPERLINK("https://klasma.github.io/Logging_2305/fåglar/A 38099-2023 prioriterade fågelarter.docx", "A 38099-2023")</f>
        <v/>
      </c>
    </row>
    <row r="218" ht="15" customHeight="1">
      <c r="A218" t="inlineStr">
        <is>
          <t>A 40100-2023</t>
        </is>
      </c>
      <c r="B218" s="1" t="n">
        <v>45168</v>
      </c>
      <c r="C218" s="1" t="n">
        <v>45507</v>
      </c>
      <c r="D218" t="inlineStr">
        <is>
          <t>JÄMTLANDS LÄN</t>
        </is>
      </c>
      <c r="E218" t="inlineStr">
        <is>
          <t>BRÄCKE</t>
        </is>
      </c>
      <c r="F218" t="inlineStr">
        <is>
          <t>SCA</t>
        </is>
      </c>
      <c r="G218" t="n">
        <v>2.2</v>
      </c>
      <c r="H218" t="n">
        <v>1</v>
      </c>
      <c r="I218" t="n">
        <v>0</v>
      </c>
      <c r="J218" t="n">
        <v>0</v>
      </c>
      <c r="K218" t="n">
        <v>1</v>
      </c>
      <c r="L218" t="n">
        <v>0</v>
      </c>
      <c r="M218" t="n">
        <v>0</v>
      </c>
      <c r="N218" t="n">
        <v>0</v>
      </c>
      <c r="O218" t="n">
        <v>1</v>
      </c>
      <c r="P218" t="n">
        <v>1</v>
      </c>
      <c r="Q218" t="n">
        <v>1</v>
      </c>
      <c r="R218" s="2" t="inlineStr">
        <is>
          <t>Knärot</t>
        </is>
      </c>
      <c r="S218">
        <f>HYPERLINK("https://klasma.github.io/Logging_2305/artfynd/A 40100-2023 artfynd.xlsx", "A 40100-2023")</f>
        <v/>
      </c>
      <c r="T218">
        <f>HYPERLINK("https://klasma.github.io/Logging_2305/kartor/A 40100-2023 karta.png", "A 40100-2023")</f>
        <v/>
      </c>
      <c r="U218">
        <f>HYPERLINK("https://klasma.github.io/Logging_2305/knärot/A 40100-2023 karta knärot.png", "A 40100-2023")</f>
        <v/>
      </c>
      <c r="V218">
        <f>HYPERLINK("https://klasma.github.io/Logging_2305/klagomål/A 40100-2023 FSC-klagomål.docx", "A 40100-2023")</f>
        <v/>
      </c>
      <c r="W218">
        <f>HYPERLINK("https://klasma.github.io/Logging_2305/klagomålsmail/A 40100-2023 FSC-klagomål mail.docx", "A 40100-2023")</f>
        <v/>
      </c>
      <c r="X218">
        <f>HYPERLINK("https://klasma.github.io/Logging_2305/tillsyn/A 40100-2023 tillsynsbegäran.docx", "A 40100-2023")</f>
        <v/>
      </c>
      <c r="Y218">
        <f>HYPERLINK("https://klasma.github.io/Logging_2305/tillsynsmail/A 40100-2023 tillsynsbegäran mail.docx", "A 40100-2023")</f>
        <v/>
      </c>
    </row>
    <row r="219" ht="15" customHeight="1">
      <c r="A219" t="inlineStr">
        <is>
          <t>A 40097-2023</t>
        </is>
      </c>
      <c r="B219" s="1" t="n">
        <v>45168</v>
      </c>
      <c r="C219" s="1" t="n">
        <v>45507</v>
      </c>
      <c r="D219" t="inlineStr">
        <is>
          <t>JÄMTLANDS LÄN</t>
        </is>
      </c>
      <c r="E219" t="inlineStr">
        <is>
          <t>BRÄCKE</t>
        </is>
      </c>
      <c r="F219" t="inlineStr">
        <is>
          <t>SCA</t>
        </is>
      </c>
      <c r="G219" t="n">
        <v>3.8</v>
      </c>
      <c r="H219" t="n">
        <v>1</v>
      </c>
      <c r="I219" t="n">
        <v>0</v>
      </c>
      <c r="J219" t="n">
        <v>0</v>
      </c>
      <c r="K219" t="n">
        <v>1</v>
      </c>
      <c r="L219" t="n">
        <v>0</v>
      </c>
      <c r="M219" t="n">
        <v>0</v>
      </c>
      <c r="N219" t="n">
        <v>0</v>
      </c>
      <c r="O219" t="n">
        <v>1</v>
      </c>
      <c r="P219" t="n">
        <v>1</v>
      </c>
      <c r="Q219" t="n">
        <v>1</v>
      </c>
      <c r="R219" s="2" t="inlineStr">
        <is>
          <t>Knärot</t>
        </is>
      </c>
      <c r="S219">
        <f>HYPERLINK("https://klasma.github.io/Logging_2305/artfynd/A 40097-2023 artfynd.xlsx", "A 40097-2023")</f>
        <v/>
      </c>
      <c r="T219">
        <f>HYPERLINK("https://klasma.github.io/Logging_2305/kartor/A 40097-2023 karta.png", "A 40097-2023")</f>
        <v/>
      </c>
      <c r="U219">
        <f>HYPERLINK("https://klasma.github.io/Logging_2305/knärot/A 40097-2023 karta knärot.png", "A 40097-2023")</f>
        <v/>
      </c>
      <c r="V219">
        <f>HYPERLINK("https://klasma.github.io/Logging_2305/klagomål/A 40097-2023 FSC-klagomål.docx", "A 40097-2023")</f>
        <v/>
      </c>
      <c r="W219">
        <f>HYPERLINK("https://klasma.github.io/Logging_2305/klagomålsmail/A 40097-2023 FSC-klagomål mail.docx", "A 40097-2023")</f>
        <v/>
      </c>
      <c r="X219">
        <f>HYPERLINK("https://klasma.github.io/Logging_2305/tillsyn/A 40097-2023 tillsynsbegäran.docx", "A 40097-2023")</f>
        <v/>
      </c>
      <c r="Y219">
        <f>HYPERLINK("https://klasma.github.io/Logging_2305/tillsynsmail/A 40097-2023 tillsynsbegäran mail.docx", "A 40097-2023")</f>
        <v/>
      </c>
    </row>
    <row r="220" ht="15" customHeight="1">
      <c r="A220" t="inlineStr">
        <is>
          <t>A 44323-2023</t>
        </is>
      </c>
      <c r="B220" s="1" t="n">
        <v>45188</v>
      </c>
      <c r="C220" s="1" t="n">
        <v>45507</v>
      </c>
      <c r="D220" t="inlineStr">
        <is>
          <t>JÄMTLANDS LÄN</t>
        </is>
      </c>
      <c r="E220" t="inlineStr">
        <is>
          <t>BRÄCKE</t>
        </is>
      </c>
      <c r="F220" t="inlineStr">
        <is>
          <t>Sveaskog</t>
        </is>
      </c>
      <c r="G220" t="n">
        <v>3.7</v>
      </c>
      <c r="H220" t="n">
        <v>0</v>
      </c>
      <c r="I220" t="n">
        <v>0</v>
      </c>
      <c r="J220" t="n">
        <v>1</v>
      </c>
      <c r="K220" t="n">
        <v>0</v>
      </c>
      <c r="L220" t="n">
        <v>0</v>
      </c>
      <c r="M220" t="n">
        <v>0</v>
      </c>
      <c r="N220" t="n">
        <v>0</v>
      </c>
      <c r="O220" t="n">
        <v>1</v>
      </c>
      <c r="P220" t="n">
        <v>0</v>
      </c>
      <c r="Q220" t="n">
        <v>1</v>
      </c>
      <c r="R220" s="2" t="inlineStr">
        <is>
          <t>Lunglav</t>
        </is>
      </c>
      <c r="S220">
        <f>HYPERLINK("https://klasma.github.io/Logging_2305/artfynd/A 44323-2023 artfynd.xlsx", "A 44323-2023")</f>
        <v/>
      </c>
      <c r="T220">
        <f>HYPERLINK("https://klasma.github.io/Logging_2305/kartor/A 44323-2023 karta.png", "A 44323-2023")</f>
        <v/>
      </c>
      <c r="V220">
        <f>HYPERLINK("https://klasma.github.io/Logging_2305/klagomål/A 44323-2023 FSC-klagomål.docx", "A 44323-2023")</f>
        <v/>
      </c>
      <c r="W220">
        <f>HYPERLINK("https://klasma.github.io/Logging_2305/klagomålsmail/A 44323-2023 FSC-klagomål mail.docx", "A 44323-2023")</f>
        <v/>
      </c>
      <c r="X220">
        <f>HYPERLINK("https://klasma.github.io/Logging_2305/tillsyn/A 44323-2023 tillsynsbegäran.docx", "A 44323-2023")</f>
        <v/>
      </c>
      <c r="Y220">
        <f>HYPERLINK("https://klasma.github.io/Logging_2305/tillsynsmail/A 44323-2023 tillsynsbegäran mail.docx", "A 44323-2023")</f>
        <v/>
      </c>
    </row>
    <row r="221" ht="15" customHeight="1">
      <c r="A221" t="inlineStr">
        <is>
          <t>A 45011-2023</t>
        </is>
      </c>
      <c r="B221" s="1" t="n">
        <v>45190</v>
      </c>
      <c r="C221" s="1" t="n">
        <v>45507</v>
      </c>
      <c r="D221" t="inlineStr">
        <is>
          <t>JÄMTLANDS LÄN</t>
        </is>
      </c>
      <c r="E221" t="inlineStr">
        <is>
          <t>BRÄCKE</t>
        </is>
      </c>
      <c r="F221" t="inlineStr">
        <is>
          <t>SCA</t>
        </is>
      </c>
      <c r="G221" t="n">
        <v>1.4</v>
      </c>
      <c r="H221" t="n">
        <v>0</v>
      </c>
      <c r="I221" t="n">
        <v>0</v>
      </c>
      <c r="J221" t="n">
        <v>1</v>
      </c>
      <c r="K221" t="n">
        <v>0</v>
      </c>
      <c r="L221" t="n">
        <v>0</v>
      </c>
      <c r="M221" t="n">
        <v>0</v>
      </c>
      <c r="N221" t="n">
        <v>0</v>
      </c>
      <c r="O221" t="n">
        <v>1</v>
      </c>
      <c r="P221" t="n">
        <v>0</v>
      </c>
      <c r="Q221" t="n">
        <v>1</v>
      </c>
      <c r="R221" s="2" t="inlineStr">
        <is>
          <t>Veckticka</t>
        </is>
      </c>
      <c r="S221">
        <f>HYPERLINK("https://klasma.github.io/Logging_2305/artfynd/A 45011-2023 artfynd.xlsx", "A 45011-2023")</f>
        <v/>
      </c>
      <c r="T221">
        <f>HYPERLINK("https://klasma.github.io/Logging_2305/kartor/A 45011-2023 karta.png", "A 45011-2023")</f>
        <v/>
      </c>
      <c r="V221">
        <f>HYPERLINK("https://klasma.github.io/Logging_2305/klagomål/A 45011-2023 FSC-klagomål.docx", "A 45011-2023")</f>
        <v/>
      </c>
      <c r="W221">
        <f>HYPERLINK("https://klasma.github.io/Logging_2305/klagomålsmail/A 45011-2023 FSC-klagomål mail.docx", "A 45011-2023")</f>
        <v/>
      </c>
      <c r="X221">
        <f>HYPERLINK("https://klasma.github.io/Logging_2305/tillsyn/A 45011-2023 tillsynsbegäran.docx", "A 45011-2023")</f>
        <v/>
      </c>
      <c r="Y221">
        <f>HYPERLINK("https://klasma.github.io/Logging_2305/tillsynsmail/A 45011-2023 tillsynsbegäran mail.docx", "A 45011-2023")</f>
        <v/>
      </c>
    </row>
    <row r="222" ht="15" customHeight="1">
      <c r="A222" t="inlineStr">
        <is>
          <t>A 49040-2023</t>
        </is>
      </c>
      <c r="B222" s="1" t="n">
        <v>45209</v>
      </c>
      <c r="C222" s="1" t="n">
        <v>45507</v>
      </c>
      <c r="D222" t="inlineStr">
        <is>
          <t>JÄMTLANDS LÄN</t>
        </is>
      </c>
      <c r="E222" t="inlineStr">
        <is>
          <t>BRÄCKE</t>
        </is>
      </c>
      <c r="F222" t="inlineStr">
        <is>
          <t>SCA</t>
        </is>
      </c>
      <c r="G222" t="n">
        <v>4.2</v>
      </c>
      <c r="H222" t="n">
        <v>0</v>
      </c>
      <c r="I222" t="n">
        <v>0</v>
      </c>
      <c r="J222" t="n">
        <v>1</v>
      </c>
      <c r="K222" t="n">
        <v>0</v>
      </c>
      <c r="L222" t="n">
        <v>0</v>
      </c>
      <c r="M222" t="n">
        <v>0</v>
      </c>
      <c r="N222" t="n">
        <v>0</v>
      </c>
      <c r="O222" t="n">
        <v>1</v>
      </c>
      <c r="P222" t="n">
        <v>0</v>
      </c>
      <c r="Q222" t="n">
        <v>1</v>
      </c>
      <c r="R222" s="2" t="inlineStr">
        <is>
          <t>Lunglav</t>
        </is>
      </c>
      <c r="S222">
        <f>HYPERLINK("https://klasma.github.io/Logging_2305/artfynd/A 49040-2023 artfynd.xlsx", "A 49040-2023")</f>
        <v/>
      </c>
      <c r="T222">
        <f>HYPERLINK("https://klasma.github.io/Logging_2305/kartor/A 49040-2023 karta.png", "A 49040-2023")</f>
        <v/>
      </c>
      <c r="V222">
        <f>HYPERLINK("https://klasma.github.io/Logging_2305/klagomål/A 49040-2023 FSC-klagomål.docx", "A 49040-2023")</f>
        <v/>
      </c>
      <c r="W222">
        <f>HYPERLINK("https://klasma.github.io/Logging_2305/klagomålsmail/A 49040-2023 FSC-klagomål mail.docx", "A 49040-2023")</f>
        <v/>
      </c>
      <c r="X222">
        <f>HYPERLINK("https://klasma.github.io/Logging_2305/tillsyn/A 49040-2023 tillsynsbegäran.docx", "A 49040-2023")</f>
        <v/>
      </c>
      <c r="Y222">
        <f>HYPERLINK("https://klasma.github.io/Logging_2305/tillsynsmail/A 49040-2023 tillsynsbegäran mail.docx", "A 49040-2023")</f>
        <v/>
      </c>
    </row>
    <row r="223" ht="15" customHeight="1">
      <c r="A223" t="inlineStr">
        <is>
          <t>A 49325-2023</t>
        </is>
      </c>
      <c r="B223" s="1" t="n">
        <v>45210</v>
      </c>
      <c r="C223" s="1" t="n">
        <v>45507</v>
      </c>
      <c r="D223" t="inlineStr">
        <is>
          <t>JÄMTLANDS LÄN</t>
        </is>
      </c>
      <c r="E223" t="inlineStr">
        <is>
          <t>BRÄCKE</t>
        </is>
      </c>
      <c r="F223" t="inlineStr">
        <is>
          <t>SCA</t>
        </is>
      </c>
      <c r="G223" t="n">
        <v>7</v>
      </c>
      <c r="H223" t="n">
        <v>1</v>
      </c>
      <c r="I223" t="n">
        <v>0</v>
      </c>
      <c r="J223" t="n">
        <v>0</v>
      </c>
      <c r="K223" t="n">
        <v>1</v>
      </c>
      <c r="L223" t="n">
        <v>0</v>
      </c>
      <c r="M223" t="n">
        <v>0</v>
      </c>
      <c r="N223" t="n">
        <v>0</v>
      </c>
      <c r="O223" t="n">
        <v>1</v>
      </c>
      <c r="P223" t="n">
        <v>1</v>
      </c>
      <c r="Q223" t="n">
        <v>1</v>
      </c>
      <c r="R223" s="2" t="inlineStr">
        <is>
          <t>Doftticka</t>
        </is>
      </c>
      <c r="S223">
        <f>HYPERLINK("https://klasma.github.io/Logging_2305/artfynd/A 49325-2023 artfynd.xlsx", "A 49325-2023")</f>
        <v/>
      </c>
      <c r="T223">
        <f>HYPERLINK("https://klasma.github.io/Logging_2305/kartor/A 49325-2023 karta.png", "A 49325-2023")</f>
        <v/>
      </c>
      <c r="V223">
        <f>HYPERLINK("https://klasma.github.io/Logging_2305/klagomål/A 49325-2023 FSC-klagomål.docx", "A 49325-2023")</f>
        <v/>
      </c>
      <c r="W223">
        <f>HYPERLINK("https://klasma.github.io/Logging_2305/klagomålsmail/A 49325-2023 FSC-klagomål mail.docx", "A 49325-2023")</f>
        <v/>
      </c>
      <c r="X223">
        <f>HYPERLINK("https://klasma.github.io/Logging_2305/tillsyn/A 49325-2023 tillsynsbegäran.docx", "A 49325-2023")</f>
        <v/>
      </c>
      <c r="Y223">
        <f>HYPERLINK("https://klasma.github.io/Logging_2305/tillsynsmail/A 49325-2023 tillsynsbegäran mail.docx", "A 49325-2023")</f>
        <v/>
      </c>
    </row>
    <row r="224" ht="15" customHeight="1">
      <c r="A224" t="inlineStr">
        <is>
          <t>A 53056-2023</t>
        </is>
      </c>
      <c r="B224" s="1" t="n">
        <v>45226</v>
      </c>
      <c r="C224" s="1" t="n">
        <v>45507</v>
      </c>
      <c r="D224" t="inlineStr">
        <is>
          <t>JÄMTLANDS LÄN</t>
        </is>
      </c>
      <c r="E224" t="inlineStr">
        <is>
          <t>BRÄCKE</t>
        </is>
      </c>
      <c r="F224" t="inlineStr">
        <is>
          <t>SCA</t>
        </is>
      </c>
      <c r="G224" t="n">
        <v>6.5</v>
      </c>
      <c r="H224" t="n">
        <v>1</v>
      </c>
      <c r="I224" t="n">
        <v>0</v>
      </c>
      <c r="J224" t="n">
        <v>0</v>
      </c>
      <c r="K224" t="n">
        <v>1</v>
      </c>
      <c r="L224" t="n">
        <v>0</v>
      </c>
      <c r="M224" t="n">
        <v>0</v>
      </c>
      <c r="N224" t="n">
        <v>0</v>
      </c>
      <c r="O224" t="n">
        <v>1</v>
      </c>
      <c r="P224" t="n">
        <v>1</v>
      </c>
      <c r="Q224" t="n">
        <v>1</v>
      </c>
      <c r="R224" s="2" t="inlineStr">
        <is>
          <t>Doftticka</t>
        </is>
      </c>
      <c r="S224">
        <f>HYPERLINK("https://klasma.github.io/Logging_2305/artfynd/A 53056-2023 artfynd.xlsx", "A 53056-2023")</f>
        <v/>
      </c>
      <c r="T224">
        <f>HYPERLINK("https://klasma.github.io/Logging_2305/kartor/A 53056-2023 karta.png", "A 53056-2023")</f>
        <v/>
      </c>
      <c r="V224">
        <f>HYPERLINK("https://klasma.github.io/Logging_2305/klagomål/A 53056-2023 FSC-klagomål.docx", "A 53056-2023")</f>
        <v/>
      </c>
      <c r="W224">
        <f>HYPERLINK("https://klasma.github.io/Logging_2305/klagomålsmail/A 53056-2023 FSC-klagomål mail.docx", "A 53056-2023")</f>
        <v/>
      </c>
      <c r="X224">
        <f>HYPERLINK("https://klasma.github.io/Logging_2305/tillsyn/A 53056-2023 tillsynsbegäran.docx", "A 53056-2023")</f>
        <v/>
      </c>
      <c r="Y224">
        <f>HYPERLINK("https://klasma.github.io/Logging_2305/tillsynsmail/A 53056-2023 tillsynsbegäran mail.docx", "A 53056-2023")</f>
        <v/>
      </c>
    </row>
    <row r="225" ht="15" customHeight="1">
      <c r="A225" t="inlineStr">
        <is>
          <t>A 55931-2023</t>
        </is>
      </c>
      <c r="B225" s="1" t="n">
        <v>45239</v>
      </c>
      <c r="C225" s="1" t="n">
        <v>45507</v>
      </c>
      <c r="D225" t="inlineStr">
        <is>
          <t>JÄMTLANDS LÄN</t>
        </is>
      </c>
      <c r="E225" t="inlineStr">
        <is>
          <t>BRÄCKE</t>
        </is>
      </c>
      <c r="F225" t="inlineStr">
        <is>
          <t>Kyrkan</t>
        </is>
      </c>
      <c r="G225" t="n">
        <v>1.2</v>
      </c>
      <c r="H225" t="n">
        <v>0</v>
      </c>
      <c r="I225" t="n">
        <v>0</v>
      </c>
      <c r="J225" t="n">
        <v>1</v>
      </c>
      <c r="K225" t="n">
        <v>0</v>
      </c>
      <c r="L225" t="n">
        <v>0</v>
      </c>
      <c r="M225" t="n">
        <v>0</v>
      </c>
      <c r="N225" t="n">
        <v>0</v>
      </c>
      <c r="O225" t="n">
        <v>1</v>
      </c>
      <c r="P225" t="n">
        <v>0</v>
      </c>
      <c r="Q225" t="n">
        <v>1</v>
      </c>
      <c r="R225" s="2" t="inlineStr">
        <is>
          <t>Harticka</t>
        </is>
      </c>
      <c r="S225">
        <f>HYPERLINK("https://klasma.github.io/Logging_2305/artfynd/A 55931-2023 artfynd.xlsx", "A 55931-2023")</f>
        <v/>
      </c>
      <c r="T225">
        <f>HYPERLINK("https://klasma.github.io/Logging_2305/kartor/A 55931-2023 karta.png", "A 55931-2023")</f>
        <v/>
      </c>
      <c r="V225">
        <f>HYPERLINK("https://klasma.github.io/Logging_2305/klagomål/A 55931-2023 FSC-klagomål.docx", "A 55931-2023")</f>
        <v/>
      </c>
      <c r="W225">
        <f>HYPERLINK("https://klasma.github.io/Logging_2305/klagomålsmail/A 55931-2023 FSC-klagomål mail.docx", "A 55931-2023")</f>
        <v/>
      </c>
      <c r="X225">
        <f>HYPERLINK("https://klasma.github.io/Logging_2305/tillsyn/A 55931-2023 tillsynsbegäran.docx", "A 55931-2023")</f>
        <v/>
      </c>
      <c r="Y225">
        <f>HYPERLINK("https://klasma.github.io/Logging_2305/tillsynsmail/A 55931-2023 tillsynsbegäran mail.docx", "A 55931-2023")</f>
        <v/>
      </c>
    </row>
    <row r="226" ht="15" customHeight="1">
      <c r="A226" t="inlineStr">
        <is>
          <t>A 57075-2023</t>
        </is>
      </c>
      <c r="B226" s="1" t="n">
        <v>45245</v>
      </c>
      <c r="C226" s="1" t="n">
        <v>45507</v>
      </c>
      <c r="D226" t="inlineStr">
        <is>
          <t>JÄMTLANDS LÄN</t>
        </is>
      </c>
      <c r="E226" t="inlineStr">
        <is>
          <t>BRÄCKE</t>
        </is>
      </c>
      <c r="F226" t="inlineStr">
        <is>
          <t>SCA</t>
        </is>
      </c>
      <c r="G226" t="n">
        <v>7.5</v>
      </c>
      <c r="H226" t="n">
        <v>0</v>
      </c>
      <c r="I226" t="n">
        <v>1</v>
      </c>
      <c r="J226" t="n">
        <v>0</v>
      </c>
      <c r="K226" t="n">
        <v>0</v>
      </c>
      <c r="L226" t="n">
        <v>0</v>
      </c>
      <c r="M226" t="n">
        <v>0</v>
      </c>
      <c r="N226" t="n">
        <v>0</v>
      </c>
      <c r="O226" t="n">
        <v>0</v>
      </c>
      <c r="P226" t="n">
        <v>0</v>
      </c>
      <c r="Q226" t="n">
        <v>1</v>
      </c>
      <c r="R226" s="2" t="inlineStr">
        <is>
          <t>Stor aspticka</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row>
    <row r="227" ht="15" customHeight="1">
      <c r="A227" t="inlineStr">
        <is>
          <t>A 57409-2023</t>
        </is>
      </c>
      <c r="B227" s="1" t="n">
        <v>45245</v>
      </c>
      <c r="C227" s="1" t="n">
        <v>45507</v>
      </c>
      <c r="D227" t="inlineStr">
        <is>
          <t>JÄMTLANDS LÄN</t>
        </is>
      </c>
      <c r="E227" t="inlineStr">
        <is>
          <t>BRÄCKE</t>
        </is>
      </c>
      <c r="F227" t="inlineStr">
        <is>
          <t>SCA</t>
        </is>
      </c>
      <c r="G227" t="n">
        <v>2.8</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57409-2023 artfynd.xlsx", "A 57409-2023")</f>
        <v/>
      </c>
      <c r="T227">
        <f>HYPERLINK("https://klasma.github.io/Logging_2305/kartor/A 57409-2023 karta.png", "A 57409-2023")</f>
        <v/>
      </c>
      <c r="V227">
        <f>HYPERLINK("https://klasma.github.io/Logging_2305/klagomål/A 57409-2023 FSC-klagomål.docx", "A 57409-2023")</f>
        <v/>
      </c>
      <c r="W227">
        <f>HYPERLINK("https://klasma.github.io/Logging_2305/klagomålsmail/A 57409-2023 FSC-klagomål mail.docx", "A 57409-2023")</f>
        <v/>
      </c>
      <c r="X227">
        <f>HYPERLINK("https://klasma.github.io/Logging_2305/tillsyn/A 57409-2023 tillsynsbegäran.docx", "A 57409-2023")</f>
        <v/>
      </c>
      <c r="Y227">
        <f>HYPERLINK("https://klasma.github.io/Logging_2305/tillsynsmail/A 57409-2023 tillsynsbegäran mail.docx", "A 57409-2023")</f>
        <v/>
      </c>
    </row>
    <row r="228" ht="15" customHeight="1">
      <c r="A228" t="inlineStr">
        <is>
          <t>A 57797-2023</t>
        </is>
      </c>
      <c r="B228" s="1" t="n">
        <v>45247</v>
      </c>
      <c r="C228" s="1" t="n">
        <v>45507</v>
      </c>
      <c r="D228" t="inlineStr">
        <is>
          <t>JÄMTLANDS LÄN</t>
        </is>
      </c>
      <c r="E228" t="inlineStr">
        <is>
          <t>BRÄCKE</t>
        </is>
      </c>
      <c r="F228" t="inlineStr">
        <is>
          <t>SCA</t>
        </is>
      </c>
      <c r="G228" t="n">
        <v>2.7</v>
      </c>
      <c r="H228" t="n">
        <v>0</v>
      </c>
      <c r="I228" t="n">
        <v>1</v>
      </c>
      <c r="J228" t="n">
        <v>0</v>
      </c>
      <c r="K228" t="n">
        <v>0</v>
      </c>
      <c r="L228" t="n">
        <v>0</v>
      </c>
      <c r="M228" t="n">
        <v>0</v>
      </c>
      <c r="N228" t="n">
        <v>0</v>
      </c>
      <c r="O228" t="n">
        <v>0</v>
      </c>
      <c r="P228" t="n">
        <v>0</v>
      </c>
      <c r="Q228" t="n">
        <v>1</v>
      </c>
      <c r="R228" s="2" t="inlineStr">
        <is>
          <t>Korallblylav</t>
        </is>
      </c>
      <c r="S228">
        <f>HYPERLINK("https://klasma.github.io/Logging_2305/artfynd/A 57797-2023 artfynd.xlsx", "A 57797-2023")</f>
        <v/>
      </c>
      <c r="T228">
        <f>HYPERLINK("https://klasma.github.io/Logging_2305/kartor/A 57797-2023 karta.png", "A 57797-2023")</f>
        <v/>
      </c>
      <c r="V228">
        <f>HYPERLINK("https://klasma.github.io/Logging_2305/klagomål/A 57797-2023 FSC-klagomål.docx", "A 57797-2023")</f>
        <v/>
      </c>
      <c r="W228">
        <f>HYPERLINK("https://klasma.github.io/Logging_2305/klagomålsmail/A 57797-2023 FSC-klagomål mail.docx", "A 57797-2023")</f>
        <v/>
      </c>
      <c r="X228">
        <f>HYPERLINK("https://klasma.github.io/Logging_2305/tillsyn/A 57797-2023 tillsynsbegäran.docx", "A 57797-2023")</f>
        <v/>
      </c>
      <c r="Y228">
        <f>HYPERLINK("https://klasma.github.io/Logging_2305/tillsynsmail/A 57797-2023 tillsynsbegäran mail.docx", "A 57797-2023")</f>
        <v/>
      </c>
    </row>
    <row r="229" ht="15" customHeight="1">
      <c r="A229" t="inlineStr">
        <is>
          <t>A 2063-2024</t>
        </is>
      </c>
      <c r="B229" s="1" t="n">
        <v>45308</v>
      </c>
      <c r="C229" s="1" t="n">
        <v>45507</v>
      </c>
      <c r="D229" t="inlineStr">
        <is>
          <t>JÄMTLANDS LÄN</t>
        </is>
      </c>
      <c r="E229" t="inlineStr">
        <is>
          <t>BRÄCKE</t>
        </is>
      </c>
      <c r="F229" t="inlineStr">
        <is>
          <t>SCA</t>
        </is>
      </c>
      <c r="G229" t="n">
        <v>5.7</v>
      </c>
      <c r="H229" t="n">
        <v>0</v>
      </c>
      <c r="I229" t="n">
        <v>0</v>
      </c>
      <c r="J229" t="n">
        <v>0</v>
      </c>
      <c r="K229" t="n">
        <v>1</v>
      </c>
      <c r="L229" t="n">
        <v>0</v>
      </c>
      <c r="M229" t="n">
        <v>0</v>
      </c>
      <c r="N229" t="n">
        <v>0</v>
      </c>
      <c r="O229" t="n">
        <v>1</v>
      </c>
      <c r="P229" t="n">
        <v>1</v>
      </c>
      <c r="Q229" t="n">
        <v>1</v>
      </c>
      <c r="R229" s="2" t="inlineStr">
        <is>
          <t>Gräddporing</t>
        </is>
      </c>
      <c r="S229">
        <f>HYPERLINK("https://klasma.github.io/Logging_2305/artfynd/A 2063-2024 artfynd.xlsx", "A 2063-2024")</f>
        <v/>
      </c>
      <c r="T229">
        <f>HYPERLINK("https://klasma.github.io/Logging_2305/kartor/A 2063-2024 karta.png", "A 2063-2024")</f>
        <v/>
      </c>
      <c r="V229">
        <f>HYPERLINK("https://klasma.github.io/Logging_2305/klagomål/A 2063-2024 FSC-klagomål.docx", "A 2063-2024")</f>
        <v/>
      </c>
      <c r="W229">
        <f>HYPERLINK("https://klasma.github.io/Logging_2305/klagomålsmail/A 2063-2024 FSC-klagomål mail.docx", "A 2063-2024")</f>
        <v/>
      </c>
      <c r="X229">
        <f>HYPERLINK("https://klasma.github.io/Logging_2305/tillsyn/A 2063-2024 tillsynsbegäran.docx", "A 2063-2024")</f>
        <v/>
      </c>
      <c r="Y229">
        <f>HYPERLINK("https://klasma.github.io/Logging_2305/tillsynsmail/A 2063-2024 tillsynsbegäran mail.docx", "A 2063-2024")</f>
        <v/>
      </c>
    </row>
    <row r="230" ht="15" customHeight="1">
      <c r="A230" t="inlineStr">
        <is>
          <t>A 5439-2024</t>
        </is>
      </c>
      <c r="B230" s="1" t="n">
        <v>45331</v>
      </c>
      <c r="C230" s="1" t="n">
        <v>45507</v>
      </c>
      <c r="D230" t="inlineStr">
        <is>
          <t>JÄMTLANDS LÄN</t>
        </is>
      </c>
      <c r="E230" t="inlineStr">
        <is>
          <t>BRÄCKE</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HYPERLINK("https://klasma.github.io/Logging_2305/artfynd/A 5439-2024 artfynd.xlsx", "A 5439-2024")</f>
        <v/>
      </c>
      <c r="T230">
        <f>HYPERLINK("https://klasma.github.io/Logging_2305/kartor/A 5439-2024 karta.png", "A 5439-2024")</f>
        <v/>
      </c>
      <c r="V230">
        <f>HYPERLINK("https://klasma.github.io/Logging_2305/klagomål/A 5439-2024 FSC-klagomål.docx", "A 5439-2024")</f>
        <v/>
      </c>
      <c r="W230">
        <f>HYPERLINK("https://klasma.github.io/Logging_2305/klagomålsmail/A 5439-2024 FSC-klagomål mail.docx", "A 5439-2024")</f>
        <v/>
      </c>
      <c r="X230">
        <f>HYPERLINK("https://klasma.github.io/Logging_2305/tillsyn/A 5439-2024 tillsynsbegäran.docx", "A 5439-2024")</f>
        <v/>
      </c>
      <c r="Y230">
        <f>HYPERLINK("https://klasma.github.io/Logging_2305/tillsynsmail/A 5439-2024 tillsynsbegäran mail.docx", "A 5439-2024")</f>
        <v/>
      </c>
    </row>
    <row r="231" ht="15" customHeight="1">
      <c r="A231" t="inlineStr">
        <is>
          <t>A 10039-2024</t>
        </is>
      </c>
      <c r="B231" s="1" t="n">
        <v>45364</v>
      </c>
      <c r="C231" s="1" t="n">
        <v>45507</v>
      </c>
      <c r="D231" t="inlineStr">
        <is>
          <t>JÄMTLANDS LÄN</t>
        </is>
      </c>
      <c r="E231" t="inlineStr">
        <is>
          <t>BRÄCKE</t>
        </is>
      </c>
      <c r="F231" t="inlineStr">
        <is>
          <t>SCA</t>
        </is>
      </c>
      <c r="G231" t="n">
        <v>3.7</v>
      </c>
      <c r="H231" t="n">
        <v>0</v>
      </c>
      <c r="I231" t="n">
        <v>1</v>
      </c>
      <c r="J231" t="n">
        <v>0</v>
      </c>
      <c r="K231" t="n">
        <v>0</v>
      </c>
      <c r="L231" t="n">
        <v>0</v>
      </c>
      <c r="M231" t="n">
        <v>0</v>
      </c>
      <c r="N231" t="n">
        <v>0</v>
      </c>
      <c r="O231" t="n">
        <v>0</v>
      </c>
      <c r="P231" t="n">
        <v>0</v>
      </c>
      <c r="Q231" t="n">
        <v>1</v>
      </c>
      <c r="R231" s="2" t="inlineStr">
        <is>
          <t>Dropptaggsvamp</t>
        </is>
      </c>
      <c r="S231">
        <f>HYPERLINK("https://klasma.github.io/Logging_2305/artfynd/A 10039-2024 artfynd.xlsx", "A 10039-2024")</f>
        <v/>
      </c>
      <c r="T231">
        <f>HYPERLINK("https://klasma.github.io/Logging_2305/kartor/A 10039-2024 karta.png", "A 10039-2024")</f>
        <v/>
      </c>
      <c r="V231">
        <f>HYPERLINK("https://klasma.github.io/Logging_2305/klagomål/A 10039-2024 FSC-klagomål.docx", "A 10039-2024")</f>
        <v/>
      </c>
      <c r="W231">
        <f>HYPERLINK("https://klasma.github.io/Logging_2305/klagomålsmail/A 10039-2024 FSC-klagomål mail.docx", "A 10039-2024")</f>
        <v/>
      </c>
      <c r="X231">
        <f>HYPERLINK("https://klasma.github.io/Logging_2305/tillsyn/A 10039-2024 tillsynsbegäran.docx", "A 10039-2024")</f>
        <v/>
      </c>
      <c r="Y231">
        <f>HYPERLINK("https://klasma.github.io/Logging_2305/tillsynsmail/A 10039-2024 tillsynsbegäran mail.docx", "A 10039-2024")</f>
        <v/>
      </c>
    </row>
    <row r="232" ht="15" customHeight="1">
      <c r="A232" t="inlineStr">
        <is>
          <t>A 10862-2024</t>
        </is>
      </c>
      <c r="B232" s="1" t="n">
        <v>45370</v>
      </c>
      <c r="C232" s="1" t="n">
        <v>45507</v>
      </c>
      <c r="D232" t="inlineStr">
        <is>
          <t>JÄMTLANDS LÄN</t>
        </is>
      </c>
      <c r="E232" t="inlineStr">
        <is>
          <t>BRÄCKE</t>
        </is>
      </c>
      <c r="F232" t="inlineStr">
        <is>
          <t>SCA</t>
        </is>
      </c>
      <c r="G232" t="n">
        <v>9.800000000000001</v>
      </c>
      <c r="H232" t="n">
        <v>1</v>
      </c>
      <c r="I232" t="n">
        <v>0</v>
      </c>
      <c r="J232" t="n">
        <v>0</v>
      </c>
      <c r="K232" t="n">
        <v>0</v>
      </c>
      <c r="L232" t="n">
        <v>0</v>
      </c>
      <c r="M232" t="n">
        <v>0</v>
      </c>
      <c r="N232" t="n">
        <v>0</v>
      </c>
      <c r="O232" t="n">
        <v>0</v>
      </c>
      <c r="P232" t="n">
        <v>0</v>
      </c>
      <c r="Q232" t="n">
        <v>1</v>
      </c>
      <c r="R232" s="2" t="inlineStr">
        <is>
          <t>Revlummer</t>
        </is>
      </c>
      <c r="S232">
        <f>HYPERLINK("https://klasma.github.io/Logging_2305/artfynd/A 10862-2024 artfynd.xlsx", "A 10862-2024")</f>
        <v/>
      </c>
      <c r="T232">
        <f>HYPERLINK("https://klasma.github.io/Logging_2305/kartor/A 10862-2024 karta.png", "A 10862-2024")</f>
        <v/>
      </c>
      <c r="V232">
        <f>HYPERLINK("https://klasma.github.io/Logging_2305/klagomål/A 10862-2024 FSC-klagomål.docx", "A 10862-2024")</f>
        <v/>
      </c>
      <c r="W232">
        <f>HYPERLINK("https://klasma.github.io/Logging_2305/klagomålsmail/A 10862-2024 FSC-klagomål mail.docx", "A 10862-2024")</f>
        <v/>
      </c>
      <c r="X232">
        <f>HYPERLINK("https://klasma.github.io/Logging_2305/tillsyn/A 10862-2024 tillsynsbegäran.docx", "A 10862-2024")</f>
        <v/>
      </c>
      <c r="Y232">
        <f>HYPERLINK("https://klasma.github.io/Logging_2305/tillsynsmail/A 10862-2024 tillsynsbegäran mail.docx", "A 10862-2024")</f>
        <v/>
      </c>
    </row>
    <row r="233" ht="15" customHeight="1">
      <c r="A233" t="inlineStr">
        <is>
          <t>A 11614-2024</t>
        </is>
      </c>
      <c r="B233" s="1" t="n">
        <v>45373</v>
      </c>
      <c r="C233" s="1" t="n">
        <v>45507</v>
      </c>
      <c r="D233" t="inlineStr">
        <is>
          <t>JÄMTLANDS LÄN</t>
        </is>
      </c>
      <c r="E233" t="inlineStr">
        <is>
          <t>BRÄCKE</t>
        </is>
      </c>
      <c r="G233" t="n">
        <v>4.3</v>
      </c>
      <c r="H233" t="n">
        <v>0</v>
      </c>
      <c r="I233" t="n">
        <v>1</v>
      </c>
      <c r="J233" t="n">
        <v>0</v>
      </c>
      <c r="K233" t="n">
        <v>0</v>
      </c>
      <c r="L233" t="n">
        <v>0</v>
      </c>
      <c r="M233" t="n">
        <v>0</v>
      </c>
      <c r="N233" t="n">
        <v>0</v>
      </c>
      <c r="O233" t="n">
        <v>0</v>
      </c>
      <c r="P233" t="n">
        <v>0</v>
      </c>
      <c r="Q233" t="n">
        <v>1</v>
      </c>
      <c r="R233" s="2" t="inlineStr">
        <is>
          <t>Dropptaggsvamp</t>
        </is>
      </c>
      <c r="S233">
        <f>HYPERLINK("https://klasma.github.io/Logging_2305/artfynd/A 11614-2024 artfynd.xlsx", "A 11614-2024")</f>
        <v/>
      </c>
      <c r="T233">
        <f>HYPERLINK("https://klasma.github.io/Logging_2305/kartor/A 11614-2024 karta.png", "A 11614-2024")</f>
        <v/>
      </c>
      <c r="V233">
        <f>HYPERLINK("https://klasma.github.io/Logging_2305/klagomål/A 11614-2024 FSC-klagomål.docx", "A 11614-2024")</f>
        <v/>
      </c>
      <c r="W233">
        <f>HYPERLINK("https://klasma.github.io/Logging_2305/klagomålsmail/A 11614-2024 FSC-klagomål mail.docx", "A 11614-2024")</f>
        <v/>
      </c>
      <c r="X233">
        <f>HYPERLINK("https://klasma.github.io/Logging_2305/tillsyn/A 11614-2024 tillsynsbegäran.docx", "A 11614-2024")</f>
        <v/>
      </c>
      <c r="Y233">
        <f>HYPERLINK("https://klasma.github.io/Logging_2305/tillsynsmail/A 11614-2024 tillsynsbegäran mail.docx", "A 11614-2024")</f>
        <v/>
      </c>
    </row>
    <row r="234" ht="15" customHeight="1">
      <c r="A234" t="inlineStr">
        <is>
          <t>A 12185-2024</t>
        </is>
      </c>
      <c r="B234" s="1" t="n">
        <v>45377</v>
      </c>
      <c r="C234" s="1" t="n">
        <v>45507</v>
      </c>
      <c r="D234" t="inlineStr">
        <is>
          <t>JÄMTLANDS LÄN</t>
        </is>
      </c>
      <c r="E234" t="inlineStr">
        <is>
          <t>BRÄCKE</t>
        </is>
      </c>
      <c r="F234" t="inlineStr">
        <is>
          <t>SCA</t>
        </is>
      </c>
      <c r="G234" t="n">
        <v>2.5</v>
      </c>
      <c r="H234" t="n">
        <v>0</v>
      </c>
      <c r="I234" t="n">
        <v>0</v>
      </c>
      <c r="J234" t="n">
        <v>1</v>
      </c>
      <c r="K234" t="n">
        <v>0</v>
      </c>
      <c r="L234" t="n">
        <v>0</v>
      </c>
      <c r="M234" t="n">
        <v>0</v>
      </c>
      <c r="N234" t="n">
        <v>0</v>
      </c>
      <c r="O234" t="n">
        <v>1</v>
      </c>
      <c r="P234" t="n">
        <v>0</v>
      </c>
      <c r="Q234" t="n">
        <v>1</v>
      </c>
      <c r="R234" s="2" t="inlineStr">
        <is>
          <t>Lunglav</t>
        </is>
      </c>
      <c r="S234">
        <f>HYPERLINK("https://klasma.github.io/Logging_2305/artfynd/A 12185-2024 artfynd.xlsx", "A 12185-2024")</f>
        <v/>
      </c>
      <c r="T234">
        <f>HYPERLINK("https://klasma.github.io/Logging_2305/kartor/A 12185-2024 karta.png", "A 12185-2024")</f>
        <v/>
      </c>
      <c r="V234">
        <f>HYPERLINK("https://klasma.github.io/Logging_2305/klagomål/A 12185-2024 FSC-klagomål.docx", "A 12185-2024")</f>
        <v/>
      </c>
      <c r="W234">
        <f>HYPERLINK("https://klasma.github.io/Logging_2305/klagomålsmail/A 12185-2024 FSC-klagomål mail.docx", "A 12185-2024")</f>
        <v/>
      </c>
      <c r="X234">
        <f>HYPERLINK("https://klasma.github.io/Logging_2305/tillsyn/A 12185-2024 tillsynsbegäran.docx", "A 12185-2024")</f>
        <v/>
      </c>
      <c r="Y234">
        <f>HYPERLINK("https://klasma.github.io/Logging_2305/tillsynsmail/A 12185-2024 tillsynsbegäran mail.docx", "A 12185-2024")</f>
        <v/>
      </c>
    </row>
    <row r="235" ht="15" customHeight="1">
      <c r="A235" t="inlineStr">
        <is>
          <t>A 14374-2024</t>
        </is>
      </c>
      <c r="B235" s="1" t="n">
        <v>45393</v>
      </c>
      <c r="C235" s="1" t="n">
        <v>45507</v>
      </c>
      <c r="D235" t="inlineStr">
        <is>
          <t>JÄMTLANDS LÄN</t>
        </is>
      </c>
      <c r="E235" t="inlineStr">
        <is>
          <t>BRÄCKE</t>
        </is>
      </c>
      <c r="F235" t="inlineStr">
        <is>
          <t>SCA</t>
        </is>
      </c>
      <c r="G235" t="n">
        <v>0.8</v>
      </c>
      <c r="H235" t="n">
        <v>1</v>
      </c>
      <c r="I235" t="n">
        <v>0</v>
      </c>
      <c r="J235" t="n">
        <v>1</v>
      </c>
      <c r="K235" t="n">
        <v>0</v>
      </c>
      <c r="L235" t="n">
        <v>0</v>
      </c>
      <c r="M235" t="n">
        <v>0</v>
      </c>
      <c r="N235" t="n">
        <v>0</v>
      </c>
      <c r="O235" t="n">
        <v>1</v>
      </c>
      <c r="P235" t="n">
        <v>0</v>
      </c>
      <c r="Q235" t="n">
        <v>1</v>
      </c>
      <c r="R235" s="2" t="inlineStr">
        <is>
          <t>Kungsörn</t>
        </is>
      </c>
      <c r="S235">
        <f>HYPERLINK("https://klasma.github.io/Logging_2305/artfynd/A 14374-2024 artfynd.xlsx", "A 14374-2024")</f>
        <v/>
      </c>
      <c r="T235">
        <f>HYPERLINK("https://klasma.github.io/Logging_2305/kartor/A 14374-2024 karta.png", "A 14374-2024")</f>
        <v/>
      </c>
      <c r="V235">
        <f>HYPERLINK("https://klasma.github.io/Logging_2305/klagomål/A 14374-2024 FSC-klagomål.docx", "A 14374-2024")</f>
        <v/>
      </c>
      <c r="W235">
        <f>HYPERLINK("https://klasma.github.io/Logging_2305/klagomålsmail/A 14374-2024 FSC-klagomål mail.docx", "A 14374-2024")</f>
        <v/>
      </c>
      <c r="X235">
        <f>HYPERLINK("https://klasma.github.io/Logging_2305/tillsyn/A 14374-2024 tillsynsbegäran.docx", "A 14374-2024")</f>
        <v/>
      </c>
      <c r="Y235">
        <f>HYPERLINK("https://klasma.github.io/Logging_2305/tillsynsmail/A 14374-2024 tillsynsbegäran mail.docx", "A 14374-2024")</f>
        <v/>
      </c>
      <c r="Z235">
        <f>HYPERLINK("https://klasma.github.io/Logging_2305/fåglar/A 14374-2024 prioriterade fågelarter.docx", "A 14374-2024")</f>
        <v/>
      </c>
    </row>
    <row r="236" ht="15" customHeight="1">
      <c r="A236" t="inlineStr">
        <is>
          <t>A 14980-2024</t>
        </is>
      </c>
      <c r="B236" s="1" t="n">
        <v>45399</v>
      </c>
      <c r="C236" s="1" t="n">
        <v>45507</v>
      </c>
      <c r="D236" t="inlineStr">
        <is>
          <t>JÄMTLANDS LÄN</t>
        </is>
      </c>
      <c r="E236" t="inlineStr">
        <is>
          <t>BRÄCKE</t>
        </is>
      </c>
      <c r="F236" t="inlineStr">
        <is>
          <t>SCA</t>
        </is>
      </c>
      <c r="G236" t="n">
        <v>2</v>
      </c>
      <c r="H236" t="n">
        <v>1</v>
      </c>
      <c r="I236" t="n">
        <v>0</v>
      </c>
      <c r="J236" t="n">
        <v>0</v>
      </c>
      <c r="K236" t="n">
        <v>1</v>
      </c>
      <c r="L236" t="n">
        <v>0</v>
      </c>
      <c r="M236" t="n">
        <v>0</v>
      </c>
      <c r="N236" t="n">
        <v>0</v>
      </c>
      <c r="O236" t="n">
        <v>1</v>
      </c>
      <c r="P236" t="n">
        <v>1</v>
      </c>
      <c r="Q236" t="n">
        <v>1</v>
      </c>
      <c r="R236" s="2" t="inlineStr">
        <is>
          <t>Doftticka</t>
        </is>
      </c>
      <c r="S236">
        <f>HYPERLINK("https://klasma.github.io/Logging_2305/artfynd/A 14980-2024 artfynd.xlsx", "A 14980-2024")</f>
        <v/>
      </c>
      <c r="T236">
        <f>HYPERLINK("https://klasma.github.io/Logging_2305/kartor/A 14980-2024 karta.png", "A 14980-2024")</f>
        <v/>
      </c>
      <c r="V236">
        <f>HYPERLINK("https://klasma.github.io/Logging_2305/klagomål/A 14980-2024 FSC-klagomål.docx", "A 14980-2024")</f>
        <v/>
      </c>
      <c r="W236">
        <f>HYPERLINK("https://klasma.github.io/Logging_2305/klagomålsmail/A 14980-2024 FSC-klagomål mail.docx", "A 14980-2024")</f>
        <v/>
      </c>
      <c r="X236">
        <f>HYPERLINK("https://klasma.github.io/Logging_2305/tillsyn/A 14980-2024 tillsynsbegäran.docx", "A 14980-2024")</f>
        <v/>
      </c>
      <c r="Y236">
        <f>HYPERLINK("https://klasma.github.io/Logging_2305/tillsynsmail/A 14980-2024 tillsynsbegäran mail.docx", "A 14980-2024")</f>
        <v/>
      </c>
    </row>
    <row r="237" ht="15" customHeight="1">
      <c r="A237" t="inlineStr">
        <is>
          <t>A 15158-2024</t>
        </is>
      </c>
      <c r="B237" s="1" t="n">
        <v>45400</v>
      </c>
      <c r="C237" s="1" t="n">
        <v>45507</v>
      </c>
      <c r="D237" t="inlineStr">
        <is>
          <t>JÄMTLANDS LÄN</t>
        </is>
      </c>
      <c r="E237" t="inlineStr">
        <is>
          <t>BRÄCKE</t>
        </is>
      </c>
      <c r="F237" t="inlineStr">
        <is>
          <t>Naturvårdsverket</t>
        </is>
      </c>
      <c r="G237" t="n">
        <v>5.5</v>
      </c>
      <c r="H237" t="n">
        <v>1</v>
      </c>
      <c r="I237" t="n">
        <v>0</v>
      </c>
      <c r="J237" t="n">
        <v>0</v>
      </c>
      <c r="K237" t="n">
        <v>1</v>
      </c>
      <c r="L237" t="n">
        <v>0</v>
      </c>
      <c r="M237" t="n">
        <v>0</v>
      </c>
      <c r="N237" t="n">
        <v>0</v>
      </c>
      <c r="O237" t="n">
        <v>1</v>
      </c>
      <c r="P237" t="n">
        <v>1</v>
      </c>
      <c r="Q237" t="n">
        <v>1</v>
      </c>
      <c r="R237" s="2" t="inlineStr">
        <is>
          <t>Knärot</t>
        </is>
      </c>
      <c r="S237">
        <f>HYPERLINK("https://klasma.github.io/Logging_2305/artfynd/A 15158-2024 artfynd.xlsx", "A 15158-2024")</f>
        <v/>
      </c>
      <c r="T237">
        <f>HYPERLINK("https://klasma.github.io/Logging_2305/kartor/A 15158-2024 karta.png", "A 15158-2024")</f>
        <v/>
      </c>
      <c r="U237">
        <f>HYPERLINK("https://klasma.github.io/Logging_2305/knärot/A 15158-2024 karta knärot.png", "A 15158-2024")</f>
        <v/>
      </c>
      <c r="V237">
        <f>HYPERLINK("https://klasma.github.io/Logging_2305/klagomål/A 15158-2024 FSC-klagomål.docx", "A 15158-2024")</f>
        <v/>
      </c>
      <c r="W237">
        <f>HYPERLINK("https://klasma.github.io/Logging_2305/klagomålsmail/A 15158-2024 FSC-klagomål mail.docx", "A 15158-2024")</f>
        <v/>
      </c>
      <c r="X237">
        <f>HYPERLINK("https://klasma.github.io/Logging_2305/tillsyn/A 15158-2024 tillsynsbegäran.docx", "A 15158-2024")</f>
        <v/>
      </c>
      <c r="Y237">
        <f>HYPERLINK("https://klasma.github.io/Logging_2305/tillsynsmail/A 15158-2024 tillsynsbegäran mail.docx", "A 15158-2024")</f>
        <v/>
      </c>
    </row>
    <row r="238" ht="15" customHeight="1">
      <c r="A238" t="inlineStr">
        <is>
          <t>A 16714-2024</t>
        </is>
      </c>
      <c r="B238" s="1" t="n">
        <v>45409</v>
      </c>
      <c r="C238" s="1" t="n">
        <v>45507</v>
      </c>
      <c r="D238" t="inlineStr">
        <is>
          <t>JÄMTLANDS LÄN</t>
        </is>
      </c>
      <c r="E238" t="inlineStr">
        <is>
          <t>BRÄCKE</t>
        </is>
      </c>
      <c r="F238" t="inlineStr">
        <is>
          <t>SCA</t>
        </is>
      </c>
      <c r="G238" t="n">
        <v>19.9</v>
      </c>
      <c r="H238" t="n">
        <v>0</v>
      </c>
      <c r="I238" t="n">
        <v>0</v>
      </c>
      <c r="J238" t="n">
        <v>1</v>
      </c>
      <c r="K238" t="n">
        <v>0</v>
      </c>
      <c r="L238" t="n">
        <v>0</v>
      </c>
      <c r="M238" t="n">
        <v>0</v>
      </c>
      <c r="N238" t="n">
        <v>0</v>
      </c>
      <c r="O238" t="n">
        <v>1</v>
      </c>
      <c r="P238" t="n">
        <v>0</v>
      </c>
      <c r="Q238" t="n">
        <v>1</v>
      </c>
      <c r="R238" s="2" t="inlineStr">
        <is>
          <t>Kolflarnlav</t>
        </is>
      </c>
      <c r="S238">
        <f>HYPERLINK("https://klasma.github.io/Logging_2305/artfynd/A 16714-2024 artfynd.xlsx", "A 16714-2024")</f>
        <v/>
      </c>
      <c r="T238">
        <f>HYPERLINK("https://klasma.github.io/Logging_2305/kartor/A 16714-2024 karta.png", "A 16714-2024")</f>
        <v/>
      </c>
      <c r="V238">
        <f>HYPERLINK("https://klasma.github.io/Logging_2305/klagomål/A 16714-2024 FSC-klagomål.docx", "A 16714-2024")</f>
        <v/>
      </c>
      <c r="W238">
        <f>HYPERLINK("https://klasma.github.io/Logging_2305/klagomålsmail/A 16714-2024 FSC-klagomål mail.docx", "A 16714-2024")</f>
        <v/>
      </c>
      <c r="X238">
        <f>HYPERLINK("https://klasma.github.io/Logging_2305/tillsyn/A 16714-2024 tillsynsbegäran.docx", "A 16714-2024")</f>
        <v/>
      </c>
      <c r="Y238">
        <f>HYPERLINK("https://klasma.github.io/Logging_2305/tillsynsmail/A 16714-2024 tillsynsbegäran mail.docx", "A 16714-2024")</f>
        <v/>
      </c>
    </row>
    <row r="239" ht="15" customHeight="1">
      <c r="A239" t="inlineStr">
        <is>
          <t>A 16715-2024</t>
        </is>
      </c>
      <c r="B239" s="1" t="n">
        <v>45409</v>
      </c>
      <c r="C239" s="1" t="n">
        <v>45507</v>
      </c>
      <c r="D239" t="inlineStr">
        <is>
          <t>JÄMTLANDS LÄN</t>
        </is>
      </c>
      <c r="E239" t="inlineStr">
        <is>
          <t>BRÄCKE</t>
        </is>
      </c>
      <c r="G239" t="n">
        <v>8</v>
      </c>
      <c r="H239" t="n">
        <v>0</v>
      </c>
      <c r="I239" t="n">
        <v>0</v>
      </c>
      <c r="J239" t="n">
        <v>1</v>
      </c>
      <c r="K239" t="n">
        <v>0</v>
      </c>
      <c r="L239" t="n">
        <v>0</v>
      </c>
      <c r="M239" t="n">
        <v>0</v>
      </c>
      <c r="N239" t="n">
        <v>0</v>
      </c>
      <c r="O239" t="n">
        <v>1</v>
      </c>
      <c r="P239" t="n">
        <v>0</v>
      </c>
      <c r="Q239" t="n">
        <v>1</v>
      </c>
      <c r="R239" s="2" t="inlineStr">
        <is>
          <t>Dvärgbägarlav</t>
        </is>
      </c>
      <c r="S239">
        <f>HYPERLINK("https://klasma.github.io/Logging_2305/artfynd/A 16715-2024 artfynd.xlsx", "A 16715-2024")</f>
        <v/>
      </c>
      <c r="T239">
        <f>HYPERLINK("https://klasma.github.io/Logging_2305/kartor/A 16715-2024 karta.png", "A 16715-2024")</f>
        <v/>
      </c>
      <c r="V239">
        <f>HYPERLINK("https://klasma.github.io/Logging_2305/klagomål/A 16715-2024 FSC-klagomål.docx", "A 16715-2024")</f>
        <v/>
      </c>
      <c r="W239">
        <f>HYPERLINK("https://klasma.github.io/Logging_2305/klagomålsmail/A 16715-2024 FSC-klagomål mail.docx", "A 16715-2024")</f>
        <v/>
      </c>
      <c r="X239">
        <f>HYPERLINK("https://klasma.github.io/Logging_2305/tillsyn/A 16715-2024 tillsynsbegäran.docx", "A 16715-2024")</f>
        <v/>
      </c>
      <c r="Y239">
        <f>HYPERLINK("https://klasma.github.io/Logging_2305/tillsynsmail/A 16715-2024 tillsynsbegäran mail.docx", "A 16715-2024")</f>
        <v/>
      </c>
    </row>
    <row r="240" ht="15" customHeight="1">
      <c r="A240" t="inlineStr">
        <is>
          <t>A 17588-2024</t>
        </is>
      </c>
      <c r="B240" s="1" t="n">
        <v>45416</v>
      </c>
      <c r="C240" s="1" t="n">
        <v>45507</v>
      </c>
      <c r="D240" t="inlineStr">
        <is>
          <t>JÄMTLANDS LÄN</t>
        </is>
      </c>
      <c r="E240" t="inlineStr">
        <is>
          <t>BRÄCKE</t>
        </is>
      </c>
      <c r="F240" t="inlineStr">
        <is>
          <t>SCA</t>
        </is>
      </c>
      <c r="G240" t="n">
        <v>1.8</v>
      </c>
      <c r="H240" t="n">
        <v>0</v>
      </c>
      <c r="I240" t="n">
        <v>0</v>
      </c>
      <c r="J240" t="n">
        <v>1</v>
      </c>
      <c r="K240" t="n">
        <v>0</v>
      </c>
      <c r="L240" t="n">
        <v>0</v>
      </c>
      <c r="M240" t="n">
        <v>0</v>
      </c>
      <c r="N240" t="n">
        <v>0</v>
      </c>
      <c r="O240" t="n">
        <v>1</v>
      </c>
      <c r="P240" t="n">
        <v>0</v>
      </c>
      <c r="Q240" t="n">
        <v>1</v>
      </c>
      <c r="R240" s="2" t="inlineStr">
        <is>
          <t>Rosenticka</t>
        </is>
      </c>
      <c r="S240">
        <f>HYPERLINK("https://klasma.github.io/Logging_2305/artfynd/A 17588-2024 artfynd.xlsx", "A 17588-2024")</f>
        <v/>
      </c>
      <c r="T240">
        <f>HYPERLINK("https://klasma.github.io/Logging_2305/kartor/A 17588-2024 karta.png", "A 17588-2024")</f>
        <v/>
      </c>
      <c r="V240">
        <f>HYPERLINK("https://klasma.github.io/Logging_2305/klagomål/A 17588-2024 FSC-klagomål.docx", "A 17588-2024")</f>
        <v/>
      </c>
      <c r="W240">
        <f>HYPERLINK("https://klasma.github.io/Logging_2305/klagomålsmail/A 17588-2024 FSC-klagomål mail.docx", "A 17588-2024")</f>
        <v/>
      </c>
      <c r="X240">
        <f>HYPERLINK("https://klasma.github.io/Logging_2305/tillsyn/A 17588-2024 tillsynsbegäran.docx", "A 17588-2024")</f>
        <v/>
      </c>
      <c r="Y240">
        <f>HYPERLINK("https://klasma.github.io/Logging_2305/tillsynsmail/A 17588-2024 tillsynsbegäran mail.docx", "A 17588-2024")</f>
        <v/>
      </c>
    </row>
    <row r="241" ht="15" customHeight="1">
      <c r="A241" t="inlineStr">
        <is>
          <t>A 20768-2024</t>
        </is>
      </c>
      <c r="B241" s="1" t="n">
        <v>45437</v>
      </c>
      <c r="C241" s="1" t="n">
        <v>45507</v>
      </c>
      <c r="D241" t="inlineStr">
        <is>
          <t>JÄMTLANDS LÄN</t>
        </is>
      </c>
      <c r="E241" t="inlineStr">
        <is>
          <t>BRÄCKE</t>
        </is>
      </c>
      <c r="F241" t="inlineStr">
        <is>
          <t>SCA</t>
        </is>
      </c>
      <c r="G241" t="n">
        <v>12.6</v>
      </c>
      <c r="H241" t="n">
        <v>1</v>
      </c>
      <c r="I241" t="n">
        <v>0</v>
      </c>
      <c r="J241" t="n">
        <v>0</v>
      </c>
      <c r="K241" t="n">
        <v>1</v>
      </c>
      <c r="L241" t="n">
        <v>0</v>
      </c>
      <c r="M241" t="n">
        <v>0</v>
      </c>
      <c r="N241" t="n">
        <v>0</v>
      </c>
      <c r="O241" t="n">
        <v>1</v>
      </c>
      <c r="P241" t="n">
        <v>1</v>
      </c>
      <c r="Q241" t="n">
        <v>1</v>
      </c>
      <c r="R241" s="2" t="inlineStr">
        <is>
          <t>Doftticka</t>
        </is>
      </c>
      <c r="S241">
        <f>HYPERLINK("https://klasma.github.io/Logging_2305/artfynd/A 20768-2024 artfynd.xlsx", "A 20768-2024")</f>
        <v/>
      </c>
      <c r="T241">
        <f>HYPERLINK("https://klasma.github.io/Logging_2305/kartor/A 20768-2024 karta.png", "A 20768-2024")</f>
        <v/>
      </c>
      <c r="V241">
        <f>HYPERLINK("https://klasma.github.io/Logging_2305/klagomål/A 20768-2024 FSC-klagomål.docx", "A 20768-2024")</f>
        <v/>
      </c>
      <c r="W241">
        <f>HYPERLINK("https://klasma.github.io/Logging_2305/klagomålsmail/A 20768-2024 FSC-klagomål mail.docx", "A 20768-2024")</f>
        <v/>
      </c>
      <c r="X241">
        <f>HYPERLINK("https://klasma.github.io/Logging_2305/tillsyn/A 20768-2024 tillsynsbegäran.docx", "A 20768-2024")</f>
        <v/>
      </c>
      <c r="Y241">
        <f>HYPERLINK("https://klasma.github.io/Logging_2305/tillsynsmail/A 20768-2024 tillsynsbegäran mail.docx", "A 20768-2024")</f>
        <v/>
      </c>
    </row>
    <row r="242" ht="15" customHeight="1">
      <c r="A242" t="inlineStr">
        <is>
          <t>A 21366-2024</t>
        </is>
      </c>
      <c r="B242" s="1" t="n">
        <v>45441</v>
      </c>
      <c r="C242" s="1" t="n">
        <v>45507</v>
      </c>
      <c r="D242" t="inlineStr">
        <is>
          <t>JÄMTLANDS LÄN</t>
        </is>
      </c>
      <c r="E242" t="inlineStr">
        <is>
          <t>BRÄCKE</t>
        </is>
      </c>
      <c r="F242" t="inlineStr">
        <is>
          <t>SCA</t>
        </is>
      </c>
      <c r="G242" t="n">
        <v>4.8</v>
      </c>
      <c r="H242" t="n">
        <v>0</v>
      </c>
      <c r="I242" t="n">
        <v>1</v>
      </c>
      <c r="J242" t="n">
        <v>0</v>
      </c>
      <c r="K242" t="n">
        <v>0</v>
      </c>
      <c r="L242" t="n">
        <v>0</v>
      </c>
      <c r="M242" t="n">
        <v>0</v>
      </c>
      <c r="N242" t="n">
        <v>0</v>
      </c>
      <c r="O242" t="n">
        <v>0</v>
      </c>
      <c r="P242" t="n">
        <v>0</v>
      </c>
      <c r="Q242" t="n">
        <v>1</v>
      </c>
      <c r="R242" s="2" t="inlineStr">
        <is>
          <t>Skinnlav</t>
        </is>
      </c>
      <c r="S242">
        <f>HYPERLINK("https://klasma.github.io/Logging_2305/artfynd/A 21366-2024 artfynd.xlsx", "A 21366-2024")</f>
        <v/>
      </c>
      <c r="T242">
        <f>HYPERLINK("https://klasma.github.io/Logging_2305/kartor/A 21366-2024 karta.png", "A 21366-2024")</f>
        <v/>
      </c>
      <c r="V242">
        <f>HYPERLINK("https://klasma.github.io/Logging_2305/klagomål/A 21366-2024 FSC-klagomål.docx", "A 21366-2024")</f>
        <v/>
      </c>
      <c r="W242">
        <f>HYPERLINK("https://klasma.github.io/Logging_2305/klagomålsmail/A 21366-2024 FSC-klagomål mail.docx", "A 21366-2024")</f>
        <v/>
      </c>
      <c r="X242">
        <f>HYPERLINK("https://klasma.github.io/Logging_2305/tillsyn/A 21366-2024 tillsynsbegäran.docx", "A 21366-2024")</f>
        <v/>
      </c>
      <c r="Y242">
        <f>HYPERLINK("https://klasma.github.io/Logging_2305/tillsynsmail/A 21366-2024 tillsynsbegäran mail.docx", "A 21366-2024")</f>
        <v/>
      </c>
    </row>
    <row r="243" ht="15" customHeight="1">
      <c r="A243" t="inlineStr">
        <is>
          <t>A 21376-2024</t>
        </is>
      </c>
      <c r="B243" s="1" t="n">
        <v>45441</v>
      </c>
      <c r="C243" s="1" t="n">
        <v>45507</v>
      </c>
      <c r="D243" t="inlineStr">
        <is>
          <t>JÄMTLANDS LÄN</t>
        </is>
      </c>
      <c r="E243" t="inlineStr">
        <is>
          <t>BRÄCKE</t>
        </is>
      </c>
      <c r="F243" t="inlineStr">
        <is>
          <t>SCA</t>
        </is>
      </c>
      <c r="G243" t="n">
        <v>17</v>
      </c>
      <c r="H243" t="n">
        <v>0</v>
      </c>
      <c r="I243" t="n">
        <v>1</v>
      </c>
      <c r="J243" t="n">
        <v>0</v>
      </c>
      <c r="K243" t="n">
        <v>0</v>
      </c>
      <c r="L243" t="n">
        <v>0</v>
      </c>
      <c r="M243" t="n">
        <v>0</v>
      </c>
      <c r="N243" t="n">
        <v>0</v>
      </c>
      <c r="O243" t="n">
        <v>0</v>
      </c>
      <c r="P243" t="n">
        <v>0</v>
      </c>
      <c r="Q243" t="n">
        <v>1</v>
      </c>
      <c r="R243" s="2" t="inlineStr">
        <is>
          <t>Dropptaggsvamp</t>
        </is>
      </c>
      <c r="S243">
        <f>HYPERLINK("https://klasma.github.io/Logging_2305/artfynd/A 21376-2024 artfynd.xlsx", "A 21376-2024")</f>
        <v/>
      </c>
      <c r="T243">
        <f>HYPERLINK("https://klasma.github.io/Logging_2305/kartor/A 21376-2024 karta.png", "A 21376-2024")</f>
        <v/>
      </c>
      <c r="V243">
        <f>HYPERLINK("https://klasma.github.io/Logging_2305/klagomål/A 21376-2024 FSC-klagomål.docx", "A 21376-2024")</f>
        <v/>
      </c>
      <c r="W243">
        <f>HYPERLINK("https://klasma.github.io/Logging_2305/klagomålsmail/A 21376-2024 FSC-klagomål mail.docx", "A 21376-2024")</f>
        <v/>
      </c>
      <c r="X243">
        <f>HYPERLINK("https://klasma.github.io/Logging_2305/tillsyn/A 21376-2024 tillsynsbegäran.docx", "A 21376-2024")</f>
        <v/>
      </c>
      <c r="Y243">
        <f>HYPERLINK("https://klasma.github.io/Logging_2305/tillsynsmail/A 21376-2024 tillsynsbegäran mail.docx", "A 21376-2024")</f>
        <v/>
      </c>
    </row>
    <row r="244" ht="15" customHeight="1">
      <c r="A244" t="inlineStr">
        <is>
          <t>A 22382-2024</t>
        </is>
      </c>
      <c r="B244" s="1" t="n">
        <v>45446</v>
      </c>
      <c r="C244" s="1" t="n">
        <v>45507</v>
      </c>
      <c r="D244" t="inlineStr">
        <is>
          <t>JÄMTLANDS LÄN</t>
        </is>
      </c>
      <c r="E244" t="inlineStr">
        <is>
          <t>BRÄCKE</t>
        </is>
      </c>
      <c r="G244" t="n">
        <v>5.2</v>
      </c>
      <c r="H244" t="n">
        <v>1</v>
      </c>
      <c r="I244" t="n">
        <v>0</v>
      </c>
      <c r="J244" t="n">
        <v>0</v>
      </c>
      <c r="K244" t="n">
        <v>1</v>
      </c>
      <c r="L244" t="n">
        <v>0</v>
      </c>
      <c r="M244" t="n">
        <v>0</v>
      </c>
      <c r="N244" t="n">
        <v>0</v>
      </c>
      <c r="O244" t="n">
        <v>1</v>
      </c>
      <c r="P244" t="n">
        <v>1</v>
      </c>
      <c r="Q244" t="n">
        <v>1</v>
      </c>
      <c r="R244" s="2" t="inlineStr">
        <is>
          <t>Knärot</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27843-2024</t>
        </is>
      </c>
      <c r="B245" s="1" t="n">
        <v>45475</v>
      </c>
      <c r="C245" s="1" t="n">
        <v>45507</v>
      </c>
      <c r="D245" t="inlineStr">
        <is>
          <t>JÄMTLANDS LÄN</t>
        </is>
      </c>
      <c r="E245" t="inlineStr">
        <is>
          <t>BRÄCKE</t>
        </is>
      </c>
      <c r="F245" t="inlineStr">
        <is>
          <t>Sveaskog</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HYPERLINK("https://klasma.github.io/Logging_2305/artfynd/A 27843-2024 artfynd.xlsx", "A 27843-2024")</f>
        <v/>
      </c>
      <c r="T245">
        <f>HYPERLINK("https://klasma.github.io/Logging_2305/kartor/A 27843-2024 karta.png", "A 27843-2024")</f>
        <v/>
      </c>
      <c r="V245">
        <f>HYPERLINK("https://klasma.github.io/Logging_2305/klagomål/A 27843-2024 FSC-klagomål.docx", "A 27843-2024")</f>
        <v/>
      </c>
      <c r="W245">
        <f>HYPERLINK("https://klasma.github.io/Logging_2305/klagomålsmail/A 27843-2024 FSC-klagomål mail.docx", "A 27843-2024")</f>
        <v/>
      </c>
      <c r="X245">
        <f>HYPERLINK("https://klasma.github.io/Logging_2305/tillsyn/A 27843-2024 tillsynsbegäran.docx", "A 27843-2024")</f>
        <v/>
      </c>
      <c r="Y245">
        <f>HYPERLINK("https://klasma.github.io/Logging_2305/tillsynsmail/A 27843-2024 tillsynsbegäran mail.docx", "A 27843-2024")</f>
        <v/>
      </c>
    </row>
    <row r="246" ht="15" customHeight="1">
      <c r="A246" t="inlineStr">
        <is>
          <t>A 29455-2024</t>
        </is>
      </c>
      <c r="B246" s="1" t="n">
        <v>45484</v>
      </c>
      <c r="C246" s="1" t="n">
        <v>45507</v>
      </c>
      <c r="D246" t="inlineStr">
        <is>
          <t>JÄMTLANDS LÄN</t>
        </is>
      </c>
      <c r="E246" t="inlineStr">
        <is>
          <t>BRÄCKE</t>
        </is>
      </c>
      <c r="F246" t="inlineStr">
        <is>
          <t>SCA</t>
        </is>
      </c>
      <c r="G246" t="n">
        <v>6</v>
      </c>
      <c r="H246" t="n">
        <v>0</v>
      </c>
      <c r="I246" t="n">
        <v>0</v>
      </c>
      <c r="J246" t="n">
        <v>1</v>
      </c>
      <c r="K246" t="n">
        <v>0</v>
      </c>
      <c r="L246" t="n">
        <v>0</v>
      </c>
      <c r="M246" t="n">
        <v>0</v>
      </c>
      <c r="N246" t="n">
        <v>0</v>
      </c>
      <c r="O246" t="n">
        <v>1</v>
      </c>
      <c r="P246" t="n">
        <v>0</v>
      </c>
      <c r="Q246" t="n">
        <v>1</v>
      </c>
      <c r="R246" s="2" t="inlineStr">
        <is>
          <t>Lunglav</t>
        </is>
      </c>
      <c r="S246">
        <f>HYPERLINK("https://klasma.github.io/Logging_2305/artfynd/A 29455-2024 artfynd.xlsx", "A 29455-2024")</f>
        <v/>
      </c>
      <c r="T246">
        <f>HYPERLINK("https://klasma.github.io/Logging_2305/kartor/A 29455-2024 karta.png", "A 29455-2024")</f>
        <v/>
      </c>
      <c r="V246">
        <f>HYPERLINK("https://klasma.github.io/Logging_2305/klagomål/A 29455-2024 FSC-klagomål.docx", "A 29455-2024")</f>
        <v/>
      </c>
      <c r="W246">
        <f>HYPERLINK("https://klasma.github.io/Logging_2305/klagomålsmail/A 29455-2024 FSC-klagomål mail.docx", "A 29455-2024")</f>
        <v/>
      </c>
      <c r="X246">
        <f>HYPERLINK("https://klasma.github.io/Logging_2305/tillsyn/A 29455-2024 tillsynsbegäran.docx", "A 29455-2024")</f>
        <v/>
      </c>
      <c r="Y246">
        <f>HYPERLINK("https://klasma.github.io/Logging_2305/tillsynsmail/A 29455-2024 tillsynsbegäran mail.docx", "A 29455-2024")</f>
        <v/>
      </c>
    </row>
    <row r="247" ht="15" customHeight="1">
      <c r="A247" t="inlineStr">
        <is>
          <t>A 30336-2024</t>
        </is>
      </c>
      <c r="B247" s="1" t="n">
        <v>45491</v>
      </c>
      <c r="C247" s="1" t="n">
        <v>45507</v>
      </c>
      <c r="D247" t="inlineStr">
        <is>
          <t>JÄMTLANDS LÄN</t>
        </is>
      </c>
      <c r="E247" t="inlineStr">
        <is>
          <t>BRÄCKE</t>
        </is>
      </c>
      <c r="F247" t="inlineStr">
        <is>
          <t>SCA</t>
        </is>
      </c>
      <c r="G247" t="n">
        <v>2.8</v>
      </c>
      <c r="H247" t="n">
        <v>0</v>
      </c>
      <c r="I247" t="n">
        <v>1</v>
      </c>
      <c r="J247" t="n">
        <v>0</v>
      </c>
      <c r="K247" t="n">
        <v>0</v>
      </c>
      <c r="L247" t="n">
        <v>0</v>
      </c>
      <c r="M247" t="n">
        <v>0</v>
      </c>
      <c r="N247" t="n">
        <v>0</v>
      </c>
      <c r="O247" t="n">
        <v>0</v>
      </c>
      <c r="P247" t="n">
        <v>0</v>
      </c>
      <c r="Q247" t="n">
        <v>1</v>
      </c>
      <c r="R247" s="2" t="inlineStr">
        <is>
          <t>Skinnlav</t>
        </is>
      </c>
      <c r="S247">
        <f>HYPERLINK("https://klasma.github.io/Logging_2305/artfynd/A 30336-2024 artfynd.xlsx", "A 30336-2024")</f>
        <v/>
      </c>
      <c r="T247">
        <f>HYPERLINK("https://klasma.github.io/Logging_2305/kartor/A 30336-2024 karta.png", "A 30336-2024")</f>
        <v/>
      </c>
      <c r="V247">
        <f>HYPERLINK("https://klasma.github.io/Logging_2305/klagomål/A 30336-2024 FSC-klagomål.docx", "A 30336-2024")</f>
        <v/>
      </c>
      <c r="W247">
        <f>HYPERLINK("https://klasma.github.io/Logging_2305/klagomålsmail/A 30336-2024 FSC-klagomål mail.docx", "A 30336-2024")</f>
        <v/>
      </c>
      <c r="X247">
        <f>HYPERLINK("https://klasma.github.io/Logging_2305/tillsyn/A 30336-2024 tillsynsbegäran.docx", "A 30336-2024")</f>
        <v/>
      </c>
      <c r="Y247">
        <f>HYPERLINK("https://klasma.github.io/Logging_2305/tillsynsmail/A 30336-2024 tillsynsbegäran mail.docx", "A 30336-2024")</f>
        <v/>
      </c>
    </row>
    <row r="248" ht="15" customHeight="1">
      <c r="A248" t="inlineStr">
        <is>
          <t>A 30486-2024</t>
        </is>
      </c>
      <c r="B248" s="1" t="n">
        <v>45492</v>
      </c>
      <c r="C248" s="1" t="n">
        <v>45507</v>
      </c>
      <c r="D248" t="inlineStr">
        <is>
          <t>JÄMTLANDS LÄN</t>
        </is>
      </c>
      <c r="E248" t="inlineStr">
        <is>
          <t>BRÄCKE</t>
        </is>
      </c>
      <c r="F248" t="inlineStr">
        <is>
          <t>SCA</t>
        </is>
      </c>
      <c r="G248" t="n">
        <v>3.8</v>
      </c>
      <c r="H248" t="n">
        <v>1</v>
      </c>
      <c r="I248" t="n">
        <v>1</v>
      </c>
      <c r="J248" t="n">
        <v>0</v>
      </c>
      <c r="K248" t="n">
        <v>0</v>
      </c>
      <c r="L248" t="n">
        <v>0</v>
      </c>
      <c r="M248" t="n">
        <v>0</v>
      </c>
      <c r="N248" t="n">
        <v>0</v>
      </c>
      <c r="O248" t="n">
        <v>0</v>
      </c>
      <c r="P248" t="n">
        <v>0</v>
      </c>
      <c r="Q248" t="n">
        <v>1</v>
      </c>
      <c r="R248" s="2" t="inlineStr">
        <is>
          <t>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31479-2024</t>
        </is>
      </c>
      <c r="B249" s="1" t="n">
        <v>45506</v>
      </c>
      <c r="C249" s="1" t="n">
        <v>45507</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Violettgrå tagellav</t>
        </is>
      </c>
      <c r="S249">
        <f>HYPERLINK("https://klasma.github.io/Logging_2305/artfynd/A 31479-2024 artfynd.xlsx", "A 31479-2024")</f>
        <v/>
      </c>
      <c r="T249">
        <f>HYPERLINK("https://klasma.github.io/Logging_2305/kartor/A 31479-2024 karta.png", "A 31479-2024")</f>
        <v/>
      </c>
      <c r="V249">
        <f>HYPERLINK("https://klasma.github.io/Logging_2305/klagomål/A 31479-2024 FSC-klagomål.docx", "A 31479-2024")</f>
        <v/>
      </c>
      <c r="W249">
        <f>HYPERLINK("https://klasma.github.io/Logging_2305/klagomålsmail/A 31479-2024 FSC-klagomål mail.docx", "A 31479-2024")</f>
        <v/>
      </c>
      <c r="X249">
        <f>HYPERLINK("https://klasma.github.io/Logging_2305/tillsyn/A 31479-2024 tillsynsbegäran.docx", "A 31479-2024")</f>
        <v/>
      </c>
      <c r="Y249">
        <f>HYPERLINK("https://klasma.github.io/Logging_2305/tillsynsmail/A 31479-2024 tillsynsbegäran mail.docx", "A 31479-2024")</f>
        <v/>
      </c>
    </row>
    <row r="250" ht="15" customHeight="1">
      <c r="A250" t="inlineStr">
        <is>
          <t>A 31470-2024</t>
        </is>
      </c>
      <c r="B250" s="1" t="n">
        <v>45506</v>
      </c>
      <c r="C250" s="1" t="n">
        <v>45507</v>
      </c>
      <c r="D250" t="inlineStr">
        <is>
          <t>JÄMTLANDS LÄN</t>
        </is>
      </c>
      <c r="E250" t="inlineStr">
        <is>
          <t>BRÄCKE</t>
        </is>
      </c>
      <c r="F250" t="inlineStr">
        <is>
          <t>SCA</t>
        </is>
      </c>
      <c r="G250" t="n">
        <v>12.1</v>
      </c>
      <c r="H250" t="n">
        <v>0</v>
      </c>
      <c r="I250" t="n">
        <v>1</v>
      </c>
      <c r="J250" t="n">
        <v>0</v>
      </c>
      <c r="K250" t="n">
        <v>0</v>
      </c>
      <c r="L250" t="n">
        <v>0</v>
      </c>
      <c r="M250" t="n">
        <v>0</v>
      </c>
      <c r="N250" t="n">
        <v>0</v>
      </c>
      <c r="O250" t="n">
        <v>0</v>
      </c>
      <c r="P250" t="n">
        <v>0</v>
      </c>
      <c r="Q250" t="n">
        <v>1</v>
      </c>
      <c r="R250" s="2" t="inlineStr">
        <is>
          <t>Stuplav</t>
        </is>
      </c>
      <c r="S250">
        <f>HYPERLINK("https://klasma.github.io/Logging_2305/artfynd/A 31470-2024 artfynd.xlsx", "A 31470-2024")</f>
        <v/>
      </c>
      <c r="T250">
        <f>HYPERLINK("https://klasma.github.io/Logging_2305/kartor/A 31470-2024 karta.png",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row>
    <row r="251" ht="15" customHeight="1">
      <c r="A251" t="inlineStr">
        <is>
          <t>A 17852-2019</t>
        </is>
      </c>
      <c r="B251" s="1" t="n">
        <v>43556</v>
      </c>
      <c r="C251" s="1" t="n">
        <v>45507</v>
      </c>
      <c r="D251" t="inlineStr">
        <is>
          <t>JÄMTLANDS LÄN</t>
        </is>
      </c>
      <c r="E251" t="inlineStr">
        <is>
          <t>BRÄCKE</t>
        </is>
      </c>
      <c r="G251" t="n">
        <v>2.8</v>
      </c>
      <c r="H251" t="n">
        <v>0</v>
      </c>
      <c r="I251" t="n">
        <v>0</v>
      </c>
      <c r="J251" t="n">
        <v>0</v>
      </c>
      <c r="K251" t="n">
        <v>0</v>
      </c>
      <c r="L251" t="n">
        <v>0</v>
      </c>
      <c r="M251" t="n">
        <v>0</v>
      </c>
      <c r="N251" t="n">
        <v>0</v>
      </c>
      <c r="O251" t="n">
        <v>0</v>
      </c>
      <c r="P251" t="n">
        <v>0</v>
      </c>
      <c r="Q251" t="n">
        <v>0</v>
      </c>
      <c r="R251" s="2" t="inlineStr"/>
    </row>
    <row r="252" ht="15" customHeight="1">
      <c r="A252" t="inlineStr">
        <is>
          <t>A 19559-2019</t>
        </is>
      </c>
      <c r="B252" s="1" t="n">
        <v>43565</v>
      </c>
      <c r="C252" s="1" t="n">
        <v>45507</v>
      </c>
      <c r="D252" t="inlineStr">
        <is>
          <t>JÄMTLANDS LÄN</t>
        </is>
      </c>
      <c r="E252" t="inlineStr">
        <is>
          <t>BRÄCKE</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19925-2019</t>
        </is>
      </c>
      <c r="B253" s="1" t="n">
        <v>43567</v>
      </c>
      <c r="C253" s="1" t="n">
        <v>45507</v>
      </c>
      <c r="D253" t="inlineStr">
        <is>
          <t>JÄMTLANDS LÄN</t>
        </is>
      </c>
      <c r="E253" t="inlineStr">
        <is>
          <t>BRÄCKE</t>
        </is>
      </c>
      <c r="F253" t="inlineStr">
        <is>
          <t>SCA</t>
        </is>
      </c>
      <c r="G253" t="n">
        <v>20</v>
      </c>
      <c r="H253" t="n">
        <v>0</v>
      </c>
      <c r="I253" t="n">
        <v>0</v>
      </c>
      <c r="J253" t="n">
        <v>0</v>
      </c>
      <c r="K253" t="n">
        <v>0</v>
      </c>
      <c r="L253" t="n">
        <v>0</v>
      </c>
      <c r="M253" t="n">
        <v>0</v>
      </c>
      <c r="N253" t="n">
        <v>0</v>
      </c>
      <c r="O253" t="n">
        <v>0</v>
      </c>
      <c r="P253" t="n">
        <v>0</v>
      </c>
      <c r="Q253" t="n">
        <v>0</v>
      </c>
      <c r="R253" s="2" t="inlineStr"/>
    </row>
    <row r="254" ht="15" customHeight="1">
      <c r="A254" t="inlineStr">
        <is>
          <t>A 19927-2019</t>
        </is>
      </c>
      <c r="B254" s="1" t="n">
        <v>43567</v>
      </c>
      <c r="C254" s="1" t="n">
        <v>45507</v>
      </c>
      <c r="D254" t="inlineStr">
        <is>
          <t>JÄMTLANDS LÄN</t>
        </is>
      </c>
      <c r="E254" t="inlineStr">
        <is>
          <t>BRÄCKE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19926-2019</t>
        </is>
      </c>
      <c r="B255" s="1" t="n">
        <v>43567</v>
      </c>
      <c r="C255" s="1" t="n">
        <v>45507</v>
      </c>
      <c r="D255" t="inlineStr">
        <is>
          <t>JÄMTLANDS LÄN</t>
        </is>
      </c>
      <c r="E255" t="inlineStr">
        <is>
          <t>BRÄCKE</t>
        </is>
      </c>
      <c r="F255" t="inlineStr">
        <is>
          <t>SCA</t>
        </is>
      </c>
      <c r="G255" t="n">
        <v>18.6</v>
      </c>
      <c r="H255" t="n">
        <v>0</v>
      </c>
      <c r="I255" t="n">
        <v>0</v>
      </c>
      <c r="J255" t="n">
        <v>0</v>
      </c>
      <c r="K255" t="n">
        <v>0</v>
      </c>
      <c r="L255" t="n">
        <v>0</v>
      </c>
      <c r="M255" t="n">
        <v>0</v>
      </c>
      <c r="N255" t="n">
        <v>0</v>
      </c>
      <c r="O255" t="n">
        <v>0</v>
      </c>
      <c r="P255" t="n">
        <v>0</v>
      </c>
      <c r="Q255" t="n">
        <v>0</v>
      </c>
      <c r="R255" s="2" t="inlineStr"/>
    </row>
    <row r="256" ht="15" customHeight="1">
      <c r="A256" t="inlineStr">
        <is>
          <t>A 20186-2019</t>
        </is>
      </c>
      <c r="B256" s="1" t="n">
        <v>43570</v>
      </c>
      <c r="C256" s="1" t="n">
        <v>45507</v>
      </c>
      <c r="D256" t="inlineStr">
        <is>
          <t>JÄMTLANDS LÄN</t>
        </is>
      </c>
      <c r="E256" t="inlineStr">
        <is>
          <t>BRÄCKE</t>
        </is>
      </c>
      <c r="G256" t="n">
        <v>2.1</v>
      </c>
      <c r="H256" t="n">
        <v>0</v>
      </c>
      <c r="I256" t="n">
        <v>0</v>
      </c>
      <c r="J256" t="n">
        <v>0</v>
      </c>
      <c r="K256" t="n">
        <v>0</v>
      </c>
      <c r="L256" t="n">
        <v>0</v>
      </c>
      <c r="M256" t="n">
        <v>0</v>
      </c>
      <c r="N256" t="n">
        <v>0</v>
      </c>
      <c r="O256" t="n">
        <v>0</v>
      </c>
      <c r="P256" t="n">
        <v>0</v>
      </c>
      <c r="Q256" t="n">
        <v>0</v>
      </c>
      <c r="R256" s="2" t="inlineStr"/>
    </row>
    <row r="257" ht="15" customHeight="1">
      <c r="A257" t="inlineStr">
        <is>
          <t>A 20390-2019</t>
        </is>
      </c>
      <c r="B257" s="1" t="n">
        <v>43571</v>
      </c>
      <c r="C257" s="1" t="n">
        <v>45507</v>
      </c>
      <c r="D257" t="inlineStr">
        <is>
          <t>JÄMTLANDS LÄN</t>
        </is>
      </c>
      <c r="E257" t="inlineStr">
        <is>
          <t>BRÄCKE</t>
        </is>
      </c>
      <c r="G257" t="n">
        <v>3</v>
      </c>
      <c r="H257" t="n">
        <v>0</v>
      </c>
      <c r="I257" t="n">
        <v>0</v>
      </c>
      <c r="J257" t="n">
        <v>0</v>
      </c>
      <c r="K257" t="n">
        <v>0</v>
      </c>
      <c r="L257" t="n">
        <v>0</v>
      </c>
      <c r="M257" t="n">
        <v>0</v>
      </c>
      <c r="N257" t="n">
        <v>0</v>
      </c>
      <c r="O257" t="n">
        <v>0</v>
      </c>
      <c r="P257" t="n">
        <v>0</v>
      </c>
      <c r="Q257" t="n">
        <v>0</v>
      </c>
      <c r="R257" s="2" t="inlineStr"/>
    </row>
    <row r="258" ht="15" customHeight="1">
      <c r="A258" t="inlineStr">
        <is>
          <t>A 20448-2019</t>
        </is>
      </c>
      <c r="B258" s="1" t="n">
        <v>43571</v>
      </c>
      <c r="C258" s="1" t="n">
        <v>45507</v>
      </c>
      <c r="D258" t="inlineStr">
        <is>
          <t>JÄMTLANDS LÄN</t>
        </is>
      </c>
      <c r="E258" t="inlineStr">
        <is>
          <t>BRÄCKE</t>
        </is>
      </c>
      <c r="F258" t="inlineStr">
        <is>
          <t>SCA</t>
        </is>
      </c>
      <c r="G258" t="n">
        <v>70</v>
      </c>
      <c r="H258" t="n">
        <v>0</v>
      </c>
      <c r="I258" t="n">
        <v>0</v>
      </c>
      <c r="J258" t="n">
        <v>0</v>
      </c>
      <c r="K258" t="n">
        <v>0</v>
      </c>
      <c r="L258" t="n">
        <v>0</v>
      </c>
      <c r="M258" t="n">
        <v>0</v>
      </c>
      <c r="N258" t="n">
        <v>0</v>
      </c>
      <c r="O258" t="n">
        <v>0</v>
      </c>
      <c r="P258" t="n">
        <v>0</v>
      </c>
      <c r="Q258" t="n">
        <v>0</v>
      </c>
      <c r="R258" s="2" t="inlineStr"/>
    </row>
    <row r="259" ht="15" customHeight="1">
      <c r="A259" t="inlineStr">
        <is>
          <t>A 20539-2019</t>
        </is>
      </c>
      <c r="B259" s="1" t="n">
        <v>43572</v>
      </c>
      <c r="C259" s="1" t="n">
        <v>45507</v>
      </c>
      <c r="D259" t="inlineStr">
        <is>
          <t>JÄMTLANDS LÄN</t>
        </is>
      </c>
      <c r="E259" t="inlineStr">
        <is>
          <t>BRÄCKE</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20535-2019</t>
        </is>
      </c>
      <c r="B260" s="1" t="n">
        <v>43572</v>
      </c>
      <c r="C260" s="1" t="n">
        <v>45507</v>
      </c>
      <c r="D260" t="inlineStr">
        <is>
          <t>JÄMTLANDS LÄN</t>
        </is>
      </c>
      <c r="E260" t="inlineStr">
        <is>
          <t>BRÄCKE</t>
        </is>
      </c>
      <c r="F260" t="inlineStr">
        <is>
          <t>Sveaskog</t>
        </is>
      </c>
      <c r="G260" t="n">
        <v>10.6</v>
      </c>
      <c r="H260" t="n">
        <v>0</v>
      </c>
      <c r="I260" t="n">
        <v>0</v>
      </c>
      <c r="J260" t="n">
        <v>0</v>
      </c>
      <c r="K260" t="n">
        <v>0</v>
      </c>
      <c r="L260" t="n">
        <v>0</v>
      </c>
      <c r="M260" t="n">
        <v>0</v>
      </c>
      <c r="N260" t="n">
        <v>0</v>
      </c>
      <c r="O260" t="n">
        <v>0</v>
      </c>
      <c r="P260" t="n">
        <v>0</v>
      </c>
      <c r="Q260" t="n">
        <v>0</v>
      </c>
      <c r="R260" s="2" t="inlineStr"/>
    </row>
    <row r="261" ht="15" customHeight="1">
      <c r="A261" t="inlineStr">
        <is>
          <t>A 20827-2019</t>
        </is>
      </c>
      <c r="B261" s="1" t="n">
        <v>43573</v>
      </c>
      <c r="C261" s="1" t="n">
        <v>45507</v>
      </c>
      <c r="D261" t="inlineStr">
        <is>
          <t>JÄMTLANDS LÄN</t>
        </is>
      </c>
      <c r="E261" t="inlineStr">
        <is>
          <t>BRÄCKE</t>
        </is>
      </c>
      <c r="F261" t="inlineStr">
        <is>
          <t>SCA</t>
        </is>
      </c>
      <c r="G261" t="n">
        <v>40.9</v>
      </c>
      <c r="H261" t="n">
        <v>0</v>
      </c>
      <c r="I261" t="n">
        <v>0</v>
      </c>
      <c r="J261" t="n">
        <v>0</v>
      </c>
      <c r="K261" t="n">
        <v>0</v>
      </c>
      <c r="L261" t="n">
        <v>0</v>
      </c>
      <c r="M261" t="n">
        <v>0</v>
      </c>
      <c r="N261" t="n">
        <v>0</v>
      </c>
      <c r="O261" t="n">
        <v>0</v>
      </c>
      <c r="P261" t="n">
        <v>0</v>
      </c>
      <c r="Q261" t="n">
        <v>0</v>
      </c>
      <c r="R261" s="2" t="inlineStr"/>
    </row>
    <row r="262" ht="15" customHeight="1">
      <c r="A262" t="inlineStr">
        <is>
          <t>A 20926-2019</t>
        </is>
      </c>
      <c r="B262" s="1" t="n">
        <v>43578</v>
      </c>
      <c r="C262" s="1" t="n">
        <v>45507</v>
      </c>
      <c r="D262" t="inlineStr">
        <is>
          <t>JÄMTLANDS LÄN</t>
        </is>
      </c>
      <c r="E262" t="inlineStr">
        <is>
          <t>BRÄCKE</t>
        </is>
      </c>
      <c r="G262" t="n">
        <v>11</v>
      </c>
      <c r="H262" t="n">
        <v>0</v>
      </c>
      <c r="I262" t="n">
        <v>0</v>
      </c>
      <c r="J262" t="n">
        <v>0</v>
      </c>
      <c r="K262" t="n">
        <v>0</v>
      </c>
      <c r="L262" t="n">
        <v>0</v>
      </c>
      <c r="M262" t="n">
        <v>0</v>
      </c>
      <c r="N262" t="n">
        <v>0</v>
      </c>
      <c r="O262" t="n">
        <v>0</v>
      </c>
      <c r="P262" t="n">
        <v>0</v>
      </c>
      <c r="Q262" t="n">
        <v>0</v>
      </c>
      <c r="R262" s="2" t="inlineStr"/>
    </row>
    <row r="263" ht="15" customHeight="1">
      <c r="A263" t="inlineStr">
        <is>
          <t>A 21116-2019</t>
        </is>
      </c>
      <c r="B263" s="1" t="n">
        <v>43578</v>
      </c>
      <c r="C263" s="1" t="n">
        <v>45507</v>
      </c>
      <c r="D263" t="inlineStr">
        <is>
          <t>JÄMTLANDS LÄN</t>
        </is>
      </c>
      <c r="E263" t="inlineStr">
        <is>
          <t>BRÄCKE</t>
        </is>
      </c>
      <c r="F263" t="inlineStr">
        <is>
          <t>SCA</t>
        </is>
      </c>
      <c r="G263" t="n">
        <v>70</v>
      </c>
      <c r="H263" t="n">
        <v>0</v>
      </c>
      <c r="I263" t="n">
        <v>0</v>
      </c>
      <c r="J263" t="n">
        <v>0</v>
      </c>
      <c r="K263" t="n">
        <v>0</v>
      </c>
      <c r="L263" t="n">
        <v>0</v>
      </c>
      <c r="M263" t="n">
        <v>0</v>
      </c>
      <c r="N263" t="n">
        <v>0</v>
      </c>
      <c r="O263" t="n">
        <v>0</v>
      </c>
      <c r="P263" t="n">
        <v>0</v>
      </c>
      <c r="Q263" t="n">
        <v>0</v>
      </c>
      <c r="R263" s="2" t="inlineStr"/>
    </row>
    <row r="264" ht="15" customHeight="1">
      <c r="A264" t="inlineStr">
        <is>
          <t>A 21454-2019</t>
        </is>
      </c>
      <c r="B264" s="1" t="n">
        <v>43580</v>
      </c>
      <c r="C264" s="1" t="n">
        <v>45507</v>
      </c>
      <c r="D264" t="inlineStr">
        <is>
          <t>JÄMTLANDS LÄN</t>
        </is>
      </c>
      <c r="E264" t="inlineStr">
        <is>
          <t>BRÄCKE</t>
        </is>
      </c>
      <c r="G264" t="n">
        <v>1.5</v>
      </c>
      <c r="H264" t="n">
        <v>0</v>
      </c>
      <c r="I264" t="n">
        <v>0</v>
      </c>
      <c r="J264" t="n">
        <v>0</v>
      </c>
      <c r="K264" t="n">
        <v>0</v>
      </c>
      <c r="L264" t="n">
        <v>0</v>
      </c>
      <c r="M264" t="n">
        <v>0</v>
      </c>
      <c r="N264" t="n">
        <v>0</v>
      </c>
      <c r="O264" t="n">
        <v>0</v>
      </c>
      <c r="P264" t="n">
        <v>0</v>
      </c>
      <c r="Q264" t="n">
        <v>0</v>
      </c>
      <c r="R264" s="2" t="inlineStr"/>
    </row>
    <row r="265" ht="15" customHeight="1">
      <c r="A265" t="inlineStr">
        <is>
          <t>A 21438-2019</t>
        </is>
      </c>
      <c r="B265" s="1" t="n">
        <v>43580</v>
      </c>
      <c r="C265" s="1" t="n">
        <v>45507</v>
      </c>
      <c r="D265" t="inlineStr">
        <is>
          <t>JÄMTLANDS LÄN</t>
        </is>
      </c>
      <c r="E265" t="inlineStr">
        <is>
          <t>BRÄCKE</t>
        </is>
      </c>
      <c r="G265" t="n">
        <v>0.9</v>
      </c>
      <c r="H265" t="n">
        <v>0</v>
      </c>
      <c r="I265" t="n">
        <v>0</v>
      </c>
      <c r="J265" t="n">
        <v>0</v>
      </c>
      <c r="K265" t="n">
        <v>0</v>
      </c>
      <c r="L265" t="n">
        <v>0</v>
      </c>
      <c r="M265" t="n">
        <v>0</v>
      </c>
      <c r="N265" t="n">
        <v>0</v>
      </c>
      <c r="O265" t="n">
        <v>0</v>
      </c>
      <c r="P265" t="n">
        <v>0</v>
      </c>
      <c r="Q265" t="n">
        <v>0</v>
      </c>
      <c r="R265" s="2" t="inlineStr"/>
    </row>
    <row r="266" ht="15" customHeight="1">
      <c r="A266" t="inlineStr">
        <is>
          <t>A 21428-2019</t>
        </is>
      </c>
      <c r="B266" s="1" t="n">
        <v>43580</v>
      </c>
      <c r="C266" s="1" t="n">
        <v>45507</v>
      </c>
      <c r="D266" t="inlineStr">
        <is>
          <t>JÄMTLANDS LÄN</t>
        </is>
      </c>
      <c r="E266" t="inlineStr">
        <is>
          <t>BRÄCKE</t>
        </is>
      </c>
      <c r="G266" t="n">
        <v>4.5</v>
      </c>
      <c r="H266" t="n">
        <v>0</v>
      </c>
      <c r="I266" t="n">
        <v>0</v>
      </c>
      <c r="J266" t="n">
        <v>0</v>
      </c>
      <c r="K266" t="n">
        <v>0</v>
      </c>
      <c r="L266" t="n">
        <v>0</v>
      </c>
      <c r="M266" t="n">
        <v>0</v>
      </c>
      <c r="N266" t="n">
        <v>0</v>
      </c>
      <c r="O266" t="n">
        <v>0</v>
      </c>
      <c r="P266" t="n">
        <v>0</v>
      </c>
      <c r="Q266" t="n">
        <v>0</v>
      </c>
      <c r="R266" s="2" t="inlineStr"/>
    </row>
    <row r="267" ht="15" customHeight="1">
      <c r="A267" t="inlineStr">
        <is>
          <t>A 21792-2019</t>
        </is>
      </c>
      <c r="B267" s="1" t="n">
        <v>43581</v>
      </c>
      <c r="C267" s="1" t="n">
        <v>45507</v>
      </c>
      <c r="D267" t="inlineStr">
        <is>
          <t>JÄMTLANDS LÄN</t>
        </is>
      </c>
      <c r="E267" t="inlineStr">
        <is>
          <t>BRÄCKE</t>
        </is>
      </c>
      <c r="G267" t="n">
        <v>1</v>
      </c>
      <c r="H267" t="n">
        <v>0</v>
      </c>
      <c r="I267" t="n">
        <v>0</v>
      </c>
      <c r="J267" t="n">
        <v>0</v>
      </c>
      <c r="K267" t="n">
        <v>0</v>
      </c>
      <c r="L267" t="n">
        <v>0</v>
      </c>
      <c r="M267" t="n">
        <v>0</v>
      </c>
      <c r="N267" t="n">
        <v>0</v>
      </c>
      <c r="O267" t="n">
        <v>0</v>
      </c>
      <c r="P267" t="n">
        <v>0</v>
      </c>
      <c r="Q267" t="n">
        <v>0</v>
      </c>
      <c r="R267" s="2" t="inlineStr"/>
    </row>
    <row r="268" ht="15" customHeight="1">
      <c r="A268" t="inlineStr">
        <is>
          <t>A 21798-2019</t>
        </is>
      </c>
      <c r="B268" s="1" t="n">
        <v>43581</v>
      </c>
      <c r="C268" s="1" t="n">
        <v>45507</v>
      </c>
      <c r="D268" t="inlineStr">
        <is>
          <t>JÄMTLANDS LÄN</t>
        </is>
      </c>
      <c r="E268" t="inlineStr">
        <is>
          <t>BRÄCKE</t>
        </is>
      </c>
      <c r="F268" t="inlineStr">
        <is>
          <t>SCA</t>
        </is>
      </c>
      <c r="G268" t="n">
        <v>7.3</v>
      </c>
      <c r="H268" t="n">
        <v>0</v>
      </c>
      <c r="I268" t="n">
        <v>0</v>
      </c>
      <c r="J268" t="n">
        <v>0</v>
      </c>
      <c r="K268" t="n">
        <v>0</v>
      </c>
      <c r="L268" t="n">
        <v>0</v>
      </c>
      <c r="M268" t="n">
        <v>0</v>
      </c>
      <c r="N268" t="n">
        <v>0</v>
      </c>
      <c r="O268" t="n">
        <v>0</v>
      </c>
      <c r="P268" t="n">
        <v>0</v>
      </c>
      <c r="Q268" t="n">
        <v>0</v>
      </c>
      <c r="R268" s="2" t="inlineStr"/>
      <c r="U268">
        <f>HYPERLINK("https://klasma.github.io/Logging_2305/knärot/A 21798-2019 karta knärot.png", "A 21798-2019")</f>
        <v/>
      </c>
      <c r="V268">
        <f>HYPERLINK("https://klasma.github.io/Logging_2305/klagomål/A 21798-2019 FSC-klagomål.docx", "A 21798-2019")</f>
        <v/>
      </c>
      <c r="W268">
        <f>HYPERLINK("https://klasma.github.io/Logging_2305/klagomålsmail/A 21798-2019 FSC-klagomål mail.docx", "A 21798-2019")</f>
        <v/>
      </c>
      <c r="X268">
        <f>HYPERLINK("https://klasma.github.io/Logging_2305/tillsyn/A 21798-2019 tillsynsbegäran.docx", "A 21798-2019")</f>
        <v/>
      </c>
      <c r="Y268">
        <f>HYPERLINK("https://klasma.github.io/Logging_2305/tillsynsmail/A 21798-2019 tillsynsbegäran mail.docx", "A 21798-2019")</f>
        <v/>
      </c>
    </row>
    <row r="269" ht="15" customHeight="1">
      <c r="A269" t="inlineStr">
        <is>
          <t>A 22299-2019</t>
        </is>
      </c>
      <c r="B269" s="1" t="n">
        <v>43585</v>
      </c>
      <c r="C269" s="1" t="n">
        <v>45507</v>
      </c>
      <c r="D269" t="inlineStr">
        <is>
          <t>JÄMTLANDS LÄN</t>
        </is>
      </c>
      <c r="E269" t="inlineStr">
        <is>
          <t>BRÄCKE</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22778-2019</t>
        </is>
      </c>
      <c r="B270" s="1" t="n">
        <v>43589</v>
      </c>
      <c r="C270" s="1" t="n">
        <v>45507</v>
      </c>
      <c r="D270" t="inlineStr">
        <is>
          <t>JÄMTLANDS LÄN</t>
        </is>
      </c>
      <c r="E270" t="inlineStr">
        <is>
          <t>BRÄCKE</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23480-2019</t>
        </is>
      </c>
      <c r="B271" s="1" t="n">
        <v>43593</v>
      </c>
      <c r="C271" s="1" t="n">
        <v>45507</v>
      </c>
      <c r="D271" t="inlineStr">
        <is>
          <t>JÄMTLANDS LÄN</t>
        </is>
      </c>
      <c r="E271" t="inlineStr">
        <is>
          <t>BRÄCKE</t>
        </is>
      </c>
      <c r="F271" t="inlineStr">
        <is>
          <t>SCA</t>
        </is>
      </c>
      <c r="G271" t="n">
        <v>0.5</v>
      </c>
      <c r="H271" t="n">
        <v>0</v>
      </c>
      <c r="I271" t="n">
        <v>0</v>
      </c>
      <c r="J271" t="n">
        <v>0</v>
      </c>
      <c r="K271" t="n">
        <v>0</v>
      </c>
      <c r="L271" t="n">
        <v>0</v>
      </c>
      <c r="M271" t="n">
        <v>0</v>
      </c>
      <c r="N271" t="n">
        <v>0</v>
      </c>
      <c r="O271" t="n">
        <v>0</v>
      </c>
      <c r="P271" t="n">
        <v>0</v>
      </c>
      <c r="Q271" t="n">
        <v>0</v>
      </c>
      <c r="R271" s="2" t="inlineStr"/>
    </row>
    <row r="272" ht="15" customHeight="1">
      <c r="A272" t="inlineStr">
        <is>
          <t>A 23743-2019</t>
        </is>
      </c>
      <c r="B272" s="1" t="n">
        <v>43594</v>
      </c>
      <c r="C272" s="1" t="n">
        <v>45507</v>
      </c>
      <c r="D272" t="inlineStr">
        <is>
          <t>JÄMTLANDS LÄN</t>
        </is>
      </c>
      <c r="E272" t="inlineStr">
        <is>
          <t>BRÄCKE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23736-2019</t>
        </is>
      </c>
      <c r="B273" s="1" t="n">
        <v>43594</v>
      </c>
      <c r="C273" s="1" t="n">
        <v>45507</v>
      </c>
      <c r="D273" t="inlineStr">
        <is>
          <t>JÄMTLANDS LÄN</t>
        </is>
      </c>
      <c r="E273" t="inlineStr">
        <is>
          <t>BRÄCKE</t>
        </is>
      </c>
      <c r="F273" t="inlineStr">
        <is>
          <t>SCA</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24122-2019</t>
        </is>
      </c>
      <c r="B274" s="1" t="n">
        <v>43598</v>
      </c>
      <c r="C274" s="1" t="n">
        <v>45507</v>
      </c>
      <c r="D274" t="inlineStr">
        <is>
          <t>JÄMTLANDS LÄN</t>
        </is>
      </c>
      <c r="E274" t="inlineStr">
        <is>
          <t>BRÄCKE</t>
        </is>
      </c>
      <c r="F274" t="inlineStr">
        <is>
          <t>Kyrkan</t>
        </is>
      </c>
      <c r="G274" t="n">
        <v>2.2</v>
      </c>
      <c r="H274" t="n">
        <v>0</v>
      </c>
      <c r="I274" t="n">
        <v>0</v>
      </c>
      <c r="J274" t="n">
        <v>0</v>
      </c>
      <c r="K274" t="n">
        <v>0</v>
      </c>
      <c r="L274" t="n">
        <v>0</v>
      </c>
      <c r="M274" t="n">
        <v>0</v>
      </c>
      <c r="N274" t="n">
        <v>0</v>
      </c>
      <c r="O274" t="n">
        <v>0</v>
      </c>
      <c r="P274" t="n">
        <v>0</v>
      </c>
      <c r="Q274" t="n">
        <v>0</v>
      </c>
      <c r="R274" s="2" t="inlineStr"/>
    </row>
    <row r="275" ht="15" customHeight="1">
      <c r="A275" t="inlineStr">
        <is>
          <t>A 25018-2019</t>
        </is>
      </c>
      <c r="B275" s="1" t="n">
        <v>43602</v>
      </c>
      <c r="C275" s="1" t="n">
        <v>45507</v>
      </c>
      <c r="D275" t="inlineStr">
        <is>
          <t>JÄMTLANDS LÄN</t>
        </is>
      </c>
      <c r="E275" t="inlineStr">
        <is>
          <t>BRÄCKE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26001-2019</t>
        </is>
      </c>
      <c r="B276" s="1" t="n">
        <v>43608</v>
      </c>
      <c r="C276" s="1" t="n">
        <v>45507</v>
      </c>
      <c r="D276" t="inlineStr">
        <is>
          <t>JÄMTLANDS LÄN</t>
        </is>
      </c>
      <c r="E276" t="inlineStr">
        <is>
          <t>BRÄCKE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26237-2019</t>
        </is>
      </c>
      <c r="B277" s="1" t="n">
        <v>43609</v>
      </c>
      <c r="C277" s="1" t="n">
        <v>45507</v>
      </c>
      <c r="D277" t="inlineStr">
        <is>
          <t>JÄMTLANDS LÄN</t>
        </is>
      </c>
      <c r="E277" t="inlineStr">
        <is>
          <t>BRÄCKE</t>
        </is>
      </c>
      <c r="G277" t="n">
        <v>22.7</v>
      </c>
      <c r="H277" t="n">
        <v>0</v>
      </c>
      <c r="I277" t="n">
        <v>0</v>
      </c>
      <c r="J277" t="n">
        <v>0</v>
      </c>
      <c r="K277" t="n">
        <v>0</v>
      </c>
      <c r="L277" t="n">
        <v>0</v>
      </c>
      <c r="M277" t="n">
        <v>0</v>
      </c>
      <c r="N277" t="n">
        <v>0</v>
      </c>
      <c r="O277" t="n">
        <v>0</v>
      </c>
      <c r="P277" t="n">
        <v>0</v>
      </c>
      <c r="Q277" t="n">
        <v>0</v>
      </c>
      <c r="R277" s="2" t="inlineStr"/>
    </row>
    <row r="278" ht="15" customHeight="1">
      <c r="A278" t="inlineStr">
        <is>
          <t>A 26638-2019</t>
        </is>
      </c>
      <c r="B278" s="1" t="n">
        <v>43612</v>
      </c>
      <c r="C278" s="1" t="n">
        <v>45507</v>
      </c>
      <c r="D278" t="inlineStr">
        <is>
          <t>JÄMTLANDS LÄN</t>
        </is>
      </c>
      <c r="E278" t="inlineStr">
        <is>
          <t>BRÄCKE</t>
        </is>
      </c>
      <c r="G278" t="n">
        <v>2.8</v>
      </c>
      <c r="H278" t="n">
        <v>0</v>
      </c>
      <c r="I278" t="n">
        <v>0</v>
      </c>
      <c r="J278" t="n">
        <v>0</v>
      </c>
      <c r="K278" t="n">
        <v>0</v>
      </c>
      <c r="L278" t="n">
        <v>0</v>
      </c>
      <c r="M278" t="n">
        <v>0</v>
      </c>
      <c r="N278" t="n">
        <v>0</v>
      </c>
      <c r="O278" t="n">
        <v>0</v>
      </c>
      <c r="P278" t="n">
        <v>0</v>
      </c>
      <c r="Q278" t="n">
        <v>0</v>
      </c>
      <c r="R278" s="2" t="inlineStr"/>
    </row>
    <row r="279" ht="15" customHeight="1">
      <c r="A279" t="inlineStr">
        <is>
          <t>A 27229-2019</t>
        </is>
      </c>
      <c r="B279" s="1" t="n">
        <v>43614</v>
      </c>
      <c r="C279" s="1" t="n">
        <v>45507</v>
      </c>
      <c r="D279" t="inlineStr">
        <is>
          <t>JÄMTLANDS LÄN</t>
        </is>
      </c>
      <c r="E279" t="inlineStr">
        <is>
          <t>BRÄCKE</t>
        </is>
      </c>
      <c r="F279" t="inlineStr">
        <is>
          <t>SCA</t>
        </is>
      </c>
      <c r="G279" t="n">
        <v>7.1</v>
      </c>
      <c r="H279" t="n">
        <v>0</v>
      </c>
      <c r="I279" t="n">
        <v>0</v>
      </c>
      <c r="J279" t="n">
        <v>0</v>
      </c>
      <c r="K279" t="n">
        <v>0</v>
      </c>
      <c r="L279" t="n">
        <v>0</v>
      </c>
      <c r="M279" t="n">
        <v>0</v>
      </c>
      <c r="N279" t="n">
        <v>0</v>
      </c>
      <c r="O279" t="n">
        <v>0</v>
      </c>
      <c r="P279" t="n">
        <v>0</v>
      </c>
      <c r="Q279" t="n">
        <v>0</v>
      </c>
      <c r="R279" s="2" t="inlineStr"/>
    </row>
    <row r="280" ht="15" customHeight="1">
      <c r="A280" t="inlineStr">
        <is>
          <t>A 28950-2019</t>
        </is>
      </c>
      <c r="B280" s="1" t="n">
        <v>43628</v>
      </c>
      <c r="C280" s="1" t="n">
        <v>45507</v>
      </c>
      <c r="D280" t="inlineStr">
        <is>
          <t>JÄMTLANDS LÄN</t>
        </is>
      </c>
      <c r="E280" t="inlineStr">
        <is>
          <t>BRÄCKE</t>
        </is>
      </c>
      <c r="G280" t="n">
        <v>2.3</v>
      </c>
      <c r="H280" t="n">
        <v>0</v>
      </c>
      <c r="I280" t="n">
        <v>0</v>
      </c>
      <c r="J280" t="n">
        <v>0</v>
      </c>
      <c r="K280" t="n">
        <v>0</v>
      </c>
      <c r="L280" t="n">
        <v>0</v>
      </c>
      <c r="M280" t="n">
        <v>0</v>
      </c>
      <c r="N280" t="n">
        <v>0</v>
      </c>
      <c r="O280" t="n">
        <v>0</v>
      </c>
      <c r="P280" t="n">
        <v>0</v>
      </c>
      <c r="Q280" t="n">
        <v>0</v>
      </c>
      <c r="R280" s="2" t="inlineStr"/>
    </row>
    <row r="281" ht="15" customHeight="1">
      <c r="A281" t="inlineStr">
        <is>
          <t>A 29476-2019</t>
        </is>
      </c>
      <c r="B281" s="1" t="n">
        <v>43629</v>
      </c>
      <c r="C281" s="1" t="n">
        <v>45507</v>
      </c>
      <c r="D281" t="inlineStr">
        <is>
          <t>JÄMTLANDS LÄN</t>
        </is>
      </c>
      <c r="E281" t="inlineStr">
        <is>
          <t>BRÄCKE</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30076-2019</t>
        </is>
      </c>
      <c r="B282" s="1" t="n">
        <v>43633</v>
      </c>
      <c r="C282" s="1" t="n">
        <v>45507</v>
      </c>
      <c r="D282" t="inlineStr">
        <is>
          <t>JÄMTLANDS LÄN</t>
        </is>
      </c>
      <c r="E282" t="inlineStr">
        <is>
          <t>BRÄCKE</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30072-2019</t>
        </is>
      </c>
      <c r="B283" s="1" t="n">
        <v>43633</v>
      </c>
      <c r="C283" s="1" t="n">
        <v>45507</v>
      </c>
      <c r="D283" t="inlineStr">
        <is>
          <t>JÄMTLANDS LÄN</t>
        </is>
      </c>
      <c r="E283" t="inlineStr">
        <is>
          <t>BRÄCKE</t>
        </is>
      </c>
      <c r="F283" t="inlineStr">
        <is>
          <t>Naturvårdsverket</t>
        </is>
      </c>
      <c r="G283" t="n">
        <v>39</v>
      </c>
      <c r="H283" t="n">
        <v>0</v>
      </c>
      <c r="I283" t="n">
        <v>0</v>
      </c>
      <c r="J283" t="n">
        <v>0</v>
      </c>
      <c r="K283" t="n">
        <v>0</v>
      </c>
      <c r="L283" t="n">
        <v>0</v>
      </c>
      <c r="M283" t="n">
        <v>0</v>
      </c>
      <c r="N283" t="n">
        <v>0</v>
      </c>
      <c r="O283" t="n">
        <v>0</v>
      </c>
      <c r="P283" t="n">
        <v>0</v>
      </c>
      <c r="Q283" t="n">
        <v>0</v>
      </c>
      <c r="R283" s="2" t="inlineStr"/>
    </row>
    <row r="284" ht="15" customHeight="1">
      <c r="A284" t="inlineStr">
        <is>
          <t>A 30071-2019</t>
        </is>
      </c>
      <c r="B284" s="1" t="n">
        <v>43633</v>
      </c>
      <c r="C284" s="1" t="n">
        <v>45507</v>
      </c>
      <c r="D284" t="inlineStr">
        <is>
          <t>JÄMTLANDS LÄN</t>
        </is>
      </c>
      <c r="E284" t="inlineStr">
        <is>
          <t>BRÄCKE</t>
        </is>
      </c>
      <c r="F284" t="inlineStr">
        <is>
          <t>SCA</t>
        </is>
      </c>
      <c r="G284" t="n">
        <v>4.9</v>
      </c>
      <c r="H284" t="n">
        <v>0</v>
      </c>
      <c r="I284" t="n">
        <v>0</v>
      </c>
      <c r="J284" t="n">
        <v>0</v>
      </c>
      <c r="K284" t="n">
        <v>0</v>
      </c>
      <c r="L284" t="n">
        <v>0</v>
      </c>
      <c r="M284" t="n">
        <v>0</v>
      </c>
      <c r="N284" t="n">
        <v>0</v>
      </c>
      <c r="O284" t="n">
        <v>0</v>
      </c>
      <c r="P284" t="n">
        <v>0</v>
      </c>
      <c r="Q284" t="n">
        <v>0</v>
      </c>
      <c r="R284" s="2" t="inlineStr"/>
    </row>
    <row r="285" ht="15" customHeight="1">
      <c r="A285" t="inlineStr">
        <is>
          <t>A 30625-2019</t>
        </is>
      </c>
      <c r="B285" s="1" t="n">
        <v>43635</v>
      </c>
      <c r="C285" s="1" t="n">
        <v>45507</v>
      </c>
      <c r="D285" t="inlineStr">
        <is>
          <t>JÄMTLANDS LÄN</t>
        </is>
      </c>
      <c r="E285" t="inlineStr">
        <is>
          <t>BRÄCKE</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30627-2019</t>
        </is>
      </c>
      <c r="B286" s="1" t="n">
        <v>43635</v>
      </c>
      <c r="C286" s="1" t="n">
        <v>45507</v>
      </c>
      <c r="D286" t="inlineStr">
        <is>
          <t>JÄMTLANDS LÄN</t>
        </is>
      </c>
      <c r="E286" t="inlineStr">
        <is>
          <t>BRÄCKE</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30678-2019</t>
        </is>
      </c>
      <c r="B287" s="1" t="n">
        <v>43636</v>
      </c>
      <c r="C287" s="1" t="n">
        <v>45507</v>
      </c>
      <c r="D287" t="inlineStr">
        <is>
          <t>JÄMTLANDS LÄN</t>
        </is>
      </c>
      <c r="E287" t="inlineStr">
        <is>
          <t>BRÄCKE</t>
        </is>
      </c>
      <c r="G287" t="n">
        <v>2</v>
      </c>
      <c r="H287" t="n">
        <v>0</v>
      </c>
      <c r="I287" t="n">
        <v>0</v>
      </c>
      <c r="J287" t="n">
        <v>0</v>
      </c>
      <c r="K287" t="n">
        <v>0</v>
      </c>
      <c r="L287" t="n">
        <v>0</v>
      </c>
      <c r="M287" t="n">
        <v>0</v>
      </c>
      <c r="N287" t="n">
        <v>0</v>
      </c>
      <c r="O287" t="n">
        <v>0</v>
      </c>
      <c r="P287" t="n">
        <v>0</v>
      </c>
      <c r="Q287" t="n">
        <v>0</v>
      </c>
      <c r="R287" s="2" t="inlineStr"/>
    </row>
    <row r="288" ht="15" customHeight="1">
      <c r="A288" t="inlineStr">
        <is>
          <t>A 30935-2019</t>
        </is>
      </c>
      <c r="B288" s="1" t="n">
        <v>43636</v>
      </c>
      <c r="C288" s="1" t="n">
        <v>45507</v>
      </c>
      <c r="D288" t="inlineStr">
        <is>
          <t>JÄMTLANDS LÄN</t>
        </is>
      </c>
      <c r="E288" t="inlineStr">
        <is>
          <t>BRÄCKE</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31292-2019</t>
        </is>
      </c>
      <c r="B289" s="1" t="n">
        <v>43640</v>
      </c>
      <c r="C289" s="1" t="n">
        <v>45507</v>
      </c>
      <c r="D289" t="inlineStr">
        <is>
          <t>JÄMTLANDS LÄN</t>
        </is>
      </c>
      <c r="E289" t="inlineStr">
        <is>
          <t>BRÄCKE</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31291-2019</t>
        </is>
      </c>
      <c r="B290" s="1" t="n">
        <v>43640</v>
      </c>
      <c r="C290" s="1" t="n">
        <v>45507</v>
      </c>
      <c r="D290" t="inlineStr">
        <is>
          <t>JÄMTLANDS LÄN</t>
        </is>
      </c>
      <c r="E290" t="inlineStr">
        <is>
          <t>BRÄCKE</t>
        </is>
      </c>
      <c r="F290" t="inlineStr">
        <is>
          <t>SCA</t>
        </is>
      </c>
      <c r="G290" t="n">
        <v>18.7</v>
      </c>
      <c r="H290" t="n">
        <v>0</v>
      </c>
      <c r="I290" t="n">
        <v>0</v>
      </c>
      <c r="J290" t="n">
        <v>0</v>
      </c>
      <c r="K290" t="n">
        <v>0</v>
      </c>
      <c r="L290" t="n">
        <v>0</v>
      </c>
      <c r="M290" t="n">
        <v>0</v>
      </c>
      <c r="N290" t="n">
        <v>0</v>
      </c>
      <c r="O290" t="n">
        <v>0</v>
      </c>
      <c r="P290" t="n">
        <v>0</v>
      </c>
      <c r="Q290" t="n">
        <v>0</v>
      </c>
      <c r="R290" s="2" t="inlineStr"/>
    </row>
    <row r="291" ht="15" customHeight="1">
      <c r="A291" t="inlineStr">
        <is>
          <t>A 32572-2019</t>
        </is>
      </c>
      <c r="B291" s="1" t="n">
        <v>43647</v>
      </c>
      <c r="C291" s="1" t="n">
        <v>45507</v>
      </c>
      <c r="D291" t="inlineStr">
        <is>
          <t>JÄMTLANDS LÄN</t>
        </is>
      </c>
      <c r="E291" t="inlineStr">
        <is>
          <t>BRÄCKE</t>
        </is>
      </c>
      <c r="F291" t="inlineStr">
        <is>
          <t>Övriga Aktiebolag</t>
        </is>
      </c>
      <c r="G291" t="n">
        <v>6.8</v>
      </c>
      <c r="H291" t="n">
        <v>0</v>
      </c>
      <c r="I291" t="n">
        <v>0</v>
      </c>
      <c r="J291" t="n">
        <v>0</v>
      </c>
      <c r="K291" t="n">
        <v>0</v>
      </c>
      <c r="L291" t="n">
        <v>0</v>
      </c>
      <c r="M291" t="n">
        <v>0</v>
      </c>
      <c r="N291" t="n">
        <v>0</v>
      </c>
      <c r="O291" t="n">
        <v>0</v>
      </c>
      <c r="P291" t="n">
        <v>0</v>
      </c>
      <c r="Q291" t="n">
        <v>0</v>
      </c>
      <c r="R291" s="2" t="inlineStr"/>
    </row>
    <row r="292" ht="15" customHeight="1">
      <c r="A292" t="inlineStr">
        <is>
          <t>A 34658-2019</t>
        </is>
      </c>
      <c r="B292" s="1" t="n">
        <v>43648</v>
      </c>
      <c r="C292" s="1" t="n">
        <v>45507</v>
      </c>
      <c r="D292" t="inlineStr">
        <is>
          <t>JÄMTLANDS LÄN</t>
        </is>
      </c>
      <c r="E292" t="inlineStr">
        <is>
          <t>BRÄCKE</t>
        </is>
      </c>
      <c r="G292" t="n">
        <v>1.2</v>
      </c>
      <c r="H292" t="n">
        <v>0</v>
      </c>
      <c r="I292" t="n">
        <v>0</v>
      </c>
      <c r="J292" t="n">
        <v>0</v>
      </c>
      <c r="K292" t="n">
        <v>0</v>
      </c>
      <c r="L292" t="n">
        <v>0</v>
      </c>
      <c r="M292" t="n">
        <v>0</v>
      </c>
      <c r="N292" t="n">
        <v>0</v>
      </c>
      <c r="O292" t="n">
        <v>0</v>
      </c>
      <c r="P292" t="n">
        <v>0</v>
      </c>
      <c r="Q292" t="n">
        <v>0</v>
      </c>
      <c r="R292" s="2" t="inlineStr"/>
    </row>
    <row r="293" ht="15" customHeight="1">
      <c r="A293" t="inlineStr">
        <is>
          <t>A 33222-2019</t>
        </is>
      </c>
      <c r="B293" s="1" t="n">
        <v>43649</v>
      </c>
      <c r="C293" s="1" t="n">
        <v>45507</v>
      </c>
      <c r="D293" t="inlineStr">
        <is>
          <t>JÄMTLANDS LÄN</t>
        </is>
      </c>
      <c r="E293" t="inlineStr">
        <is>
          <t>BRÄCKE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33379-2019</t>
        </is>
      </c>
      <c r="B294" s="1" t="n">
        <v>43650</v>
      </c>
      <c r="C294" s="1" t="n">
        <v>45507</v>
      </c>
      <c r="D294" t="inlineStr">
        <is>
          <t>JÄMTLANDS LÄN</t>
        </is>
      </c>
      <c r="E294" t="inlineStr">
        <is>
          <t>BRÄCKE</t>
        </is>
      </c>
      <c r="F294" t="inlineStr">
        <is>
          <t>Övriga Aktiebolag</t>
        </is>
      </c>
      <c r="G294" t="n">
        <v>32.7</v>
      </c>
      <c r="H294" t="n">
        <v>0</v>
      </c>
      <c r="I294" t="n">
        <v>0</v>
      </c>
      <c r="J294" t="n">
        <v>0</v>
      </c>
      <c r="K294" t="n">
        <v>0</v>
      </c>
      <c r="L294" t="n">
        <v>0</v>
      </c>
      <c r="M294" t="n">
        <v>0</v>
      </c>
      <c r="N294" t="n">
        <v>0</v>
      </c>
      <c r="O294" t="n">
        <v>0</v>
      </c>
      <c r="P294" t="n">
        <v>0</v>
      </c>
      <c r="Q294" t="n">
        <v>0</v>
      </c>
      <c r="R294" s="2" t="inlineStr"/>
    </row>
    <row r="295" ht="15" customHeight="1">
      <c r="A295" t="inlineStr">
        <is>
          <t>A 33830-2019</t>
        </is>
      </c>
      <c r="B295" s="1" t="n">
        <v>43651</v>
      </c>
      <c r="C295" s="1" t="n">
        <v>45507</v>
      </c>
      <c r="D295" t="inlineStr">
        <is>
          <t>JÄMTLANDS LÄN</t>
        </is>
      </c>
      <c r="E295" t="inlineStr">
        <is>
          <t>BRÄCKE</t>
        </is>
      </c>
      <c r="F295" t="inlineStr">
        <is>
          <t>SCA</t>
        </is>
      </c>
      <c r="G295" t="n">
        <v>6.7</v>
      </c>
      <c r="H295" t="n">
        <v>0</v>
      </c>
      <c r="I295" t="n">
        <v>0</v>
      </c>
      <c r="J295" t="n">
        <v>0</v>
      </c>
      <c r="K295" t="n">
        <v>0</v>
      </c>
      <c r="L295" t="n">
        <v>0</v>
      </c>
      <c r="M295" t="n">
        <v>0</v>
      </c>
      <c r="N295" t="n">
        <v>0</v>
      </c>
      <c r="O295" t="n">
        <v>0</v>
      </c>
      <c r="P295" t="n">
        <v>0</v>
      </c>
      <c r="Q295" t="n">
        <v>0</v>
      </c>
      <c r="R295" s="2" t="inlineStr"/>
    </row>
    <row r="296" ht="15" customHeight="1">
      <c r="A296" t="inlineStr">
        <is>
          <t>A 34103-2019</t>
        </is>
      </c>
      <c r="B296" s="1" t="n">
        <v>43654</v>
      </c>
      <c r="C296" s="1" t="n">
        <v>45507</v>
      </c>
      <c r="D296" t="inlineStr">
        <is>
          <t>JÄMTLANDS LÄN</t>
        </is>
      </c>
      <c r="E296" t="inlineStr">
        <is>
          <t>BRÄCKE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34987-2019</t>
        </is>
      </c>
      <c r="B297" s="1" t="n">
        <v>43659</v>
      </c>
      <c r="C297" s="1" t="n">
        <v>45507</v>
      </c>
      <c r="D297" t="inlineStr">
        <is>
          <t>JÄMTLANDS LÄN</t>
        </is>
      </c>
      <c r="E297" t="inlineStr">
        <is>
          <t>BRÄCKE</t>
        </is>
      </c>
      <c r="G297" t="n">
        <v>0.5</v>
      </c>
      <c r="H297" t="n">
        <v>0</v>
      </c>
      <c r="I297" t="n">
        <v>0</v>
      </c>
      <c r="J297" t="n">
        <v>0</v>
      </c>
      <c r="K297" t="n">
        <v>0</v>
      </c>
      <c r="L297" t="n">
        <v>0</v>
      </c>
      <c r="M297" t="n">
        <v>0</v>
      </c>
      <c r="N297" t="n">
        <v>0</v>
      </c>
      <c r="O297" t="n">
        <v>0</v>
      </c>
      <c r="P297" t="n">
        <v>0</v>
      </c>
      <c r="Q297" t="n">
        <v>0</v>
      </c>
      <c r="R297" s="2" t="inlineStr"/>
    </row>
    <row r="298" ht="15" customHeight="1">
      <c r="A298" t="inlineStr">
        <is>
          <t>A 36451-2019</t>
        </is>
      </c>
      <c r="B298" s="1" t="n">
        <v>43664</v>
      </c>
      <c r="C298" s="1" t="n">
        <v>45507</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35713-2019</t>
        </is>
      </c>
      <c r="B299" s="1" t="n">
        <v>43664</v>
      </c>
      <c r="C299" s="1" t="n">
        <v>45507</v>
      </c>
      <c r="D299" t="inlineStr">
        <is>
          <t>JÄMTLANDS LÄN</t>
        </is>
      </c>
      <c r="E299" t="inlineStr">
        <is>
          <t>BRÄCKE</t>
        </is>
      </c>
      <c r="G299" t="n">
        <v>2</v>
      </c>
      <c r="H299" t="n">
        <v>0</v>
      </c>
      <c r="I299" t="n">
        <v>0</v>
      </c>
      <c r="J299" t="n">
        <v>0</v>
      </c>
      <c r="K299" t="n">
        <v>0</v>
      </c>
      <c r="L299" t="n">
        <v>0</v>
      </c>
      <c r="M299" t="n">
        <v>0</v>
      </c>
      <c r="N299" t="n">
        <v>0</v>
      </c>
      <c r="O299" t="n">
        <v>0</v>
      </c>
      <c r="P299" t="n">
        <v>0</v>
      </c>
      <c r="Q299" t="n">
        <v>0</v>
      </c>
      <c r="R299" s="2" t="inlineStr"/>
    </row>
    <row r="300" ht="15" customHeight="1">
      <c r="A300" t="inlineStr">
        <is>
          <t>A 36182-2019</t>
        </is>
      </c>
      <c r="B300" s="1" t="n">
        <v>43668</v>
      </c>
      <c r="C300" s="1" t="n">
        <v>45507</v>
      </c>
      <c r="D300" t="inlineStr">
        <is>
          <t>JÄMTLANDS LÄN</t>
        </is>
      </c>
      <c r="E300" t="inlineStr">
        <is>
          <t>BRÄCKE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36953-2019</t>
        </is>
      </c>
      <c r="B301" s="1" t="n">
        <v>43675</v>
      </c>
      <c r="C301" s="1" t="n">
        <v>45507</v>
      </c>
      <c r="D301" t="inlineStr">
        <is>
          <t>JÄMTLANDS LÄN</t>
        </is>
      </c>
      <c r="E301" t="inlineStr">
        <is>
          <t>BRÄCKE</t>
        </is>
      </c>
      <c r="G301" t="n">
        <v>0.9</v>
      </c>
      <c r="H301" t="n">
        <v>0</v>
      </c>
      <c r="I301" t="n">
        <v>0</v>
      </c>
      <c r="J301" t="n">
        <v>0</v>
      </c>
      <c r="K301" t="n">
        <v>0</v>
      </c>
      <c r="L301" t="n">
        <v>0</v>
      </c>
      <c r="M301" t="n">
        <v>0</v>
      </c>
      <c r="N301" t="n">
        <v>0</v>
      </c>
      <c r="O301" t="n">
        <v>0</v>
      </c>
      <c r="P301" t="n">
        <v>0</v>
      </c>
      <c r="Q301" t="n">
        <v>0</v>
      </c>
      <c r="R301" s="2" t="inlineStr"/>
    </row>
    <row r="302" ht="15" customHeight="1">
      <c r="A302" t="inlineStr">
        <is>
          <t>A 37133-2019</t>
        </is>
      </c>
      <c r="B302" s="1" t="n">
        <v>43676</v>
      </c>
      <c r="C302" s="1" t="n">
        <v>45507</v>
      </c>
      <c r="D302" t="inlineStr">
        <is>
          <t>JÄMTLANDS LÄN</t>
        </is>
      </c>
      <c r="E302" t="inlineStr">
        <is>
          <t>BRÄCKE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37129-2019</t>
        </is>
      </c>
      <c r="B303" s="1" t="n">
        <v>43676</v>
      </c>
      <c r="C303" s="1" t="n">
        <v>45507</v>
      </c>
      <c r="D303" t="inlineStr">
        <is>
          <t>JÄMTLANDS LÄN</t>
        </is>
      </c>
      <c r="E303" t="inlineStr">
        <is>
          <t>BRÄCKE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37295-2019</t>
        </is>
      </c>
      <c r="B304" s="1" t="n">
        <v>43677</v>
      </c>
      <c r="C304" s="1" t="n">
        <v>45507</v>
      </c>
      <c r="D304" t="inlineStr">
        <is>
          <t>JÄMTLANDS LÄN</t>
        </is>
      </c>
      <c r="E304" t="inlineStr">
        <is>
          <t>BRÄCKE</t>
        </is>
      </c>
      <c r="G304" t="n">
        <v>1</v>
      </c>
      <c r="H304" t="n">
        <v>0</v>
      </c>
      <c r="I304" t="n">
        <v>0</v>
      </c>
      <c r="J304" t="n">
        <v>0</v>
      </c>
      <c r="K304" t="n">
        <v>0</v>
      </c>
      <c r="L304" t="n">
        <v>0</v>
      </c>
      <c r="M304" t="n">
        <v>0</v>
      </c>
      <c r="N304" t="n">
        <v>0</v>
      </c>
      <c r="O304" t="n">
        <v>0</v>
      </c>
      <c r="P304" t="n">
        <v>0</v>
      </c>
      <c r="Q304" t="n">
        <v>0</v>
      </c>
      <c r="R304" s="2" t="inlineStr"/>
    </row>
    <row r="305" ht="15" customHeight="1">
      <c r="A305" t="inlineStr">
        <is>
          <t>A 38320-2019</t>
        </is>
      </c>
      <c r="B305" s="1" t="n">
        <v>43685</v>
      </c>
      <c r="C305" s="1" t="n">
        <v>45507</v>
      </c>
      <c r="D305" t="inlineStr">
        <is>
          <t>JÄMTLANDS LÄN</t>
        </is>
      </c>
      <c r="E305" t="inlineStr">
        <is>
          <t>BRÄCKE</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38777-2019</t>
        </is>
      </c>
      <c r="B306" s="1" t="n">
        <v>43686</v>
      </c>
      <c r="C306" s="1" t="n">
        <v>45507</v>
      </c>
      <c r="D306" t="inlineStr">
        <is>
          <t>JÄMTLANDS LÄN</t>
        </is>
      </c>
      <c r="E306" t="inlineStr">
        <is>
          <t>BRÄCKE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39111-2019</t>
        </is>
      </c>
      <c r="B307" s="1" t="n">
        <v>43689</v>
      </c>
      <c r="C307" s="1" t="n">
        <v>45507</v>
      </c>
      <c r="D307" t="inlineStr">
        <is>
          <t>JÄMTLANDS LÄN</t>
        </is>
      </c>
      <c r="E307" t="inlineStr">
        <is>
          <t>BRÄCKE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39113-2019</t>
        </is>
      </c>
      <c r="B308" s="1" t="n">
        <v>43690</v>
      </c>
      <c r="C308" s="1" t="n">
        <v>45507</v>
      </c>
      <c r="D308" t="inlineStr">
        <is>
          <t>JÄMTLANDS LÄN</t>
        </is>
      </c>
      <c r="E308" t="inlineStr">
        <is>
          <t>BRÄCKE</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39645-2019</t>
        </is>
      </c>
      <c r="B309" s="1" t="n">
        <v>43691</v>
      </c>
      <c r="C309" s="1" t="n">
        <v>45507</v>
      </c>
      <c r="D309" t="inlineStr">
        <is>
          <t>JÄMTLANDS LÄN</t>
        </is>
      </c>
      <c r="E309" t="inlineStr">
        <is>
          <t>BRÄCKE</t>
        </is>
      </c>
      <c r="G309" t="n">
        <v>2.7</v>
      </c>
      <c r="H309" t="n">
        <v>0</v>
      </c>
      <c r="I309" t="n">
        <v>0</v>
      </c>
      <c r="J309" t="n">
        <v>0</v>
      </c>
      <c r="K309" t="n">
        <v>0</v>
      </c>
      <c r="L309" t="n">
        <v>0</v>
      </c>
      <c r="M309" t="n">
        <v>0</v>
      </c>
      <c r="N309" t="n">
        <v>0</v>
      </c>
      <c r="O309" t="n">
        <v>0</v>
      </c>
      <c r="P309" t="n">
        <v>0</v>
      </c>
      <c r="Q309" t="n">
        <v>0</v>
      </c>
      <c r="R309" s="2" t="inlineStr"/>
    </row>
    <row r="310" ht="15" customHeight="1">
      <c r="A310" t="inlineStr">
        <is>
          <t>A 40668-2019</t>
        </is>
      </c>
      <c r="B310" s="1" t="n">
        <v>43696</v>
      </c>
      <c r="C310" s="1" t="n">
        <v>45507</v>
      </c>
      <c r="D310" t="inlineStr">
        <is>
          <t>JÄMTLANDS LÄN</t>
        </is>
      </c>
      <c r="E310" t="inlineStr">
        <is>
          <t>BRÄCKE</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40667-2019</t>
        </is>
      </c>
      <c r="B311" s="1" t="n">
        <v>43697</v>
      </c>
      <c r="C311" s="1" t="n">
        <v>45507</v>
      </c>
      <c r="D311" t="inlineStr">
        <is>
          <t>JÄMTLANDS LÄN</t>
        </is>
      </c>
      <c r="E311" t="inlineStr">
        <is>
          <t>BRÄCKE</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41033-2019</t>
        </is>
      </c>
      <c r="B312" s="1" t="n">
        <v>43697</v>
      </c>
      <c r="C312" s="1" t="n">
        <v>45507</v>
      </c>
      <c r="D312" t="inlineStr">
        <is>
          <t>JÄMTLANDS LÄN</t>
        </is>
      </c>
      <c r="E312" t="inlineStr">
        <is>
          <t>BRÄCKE</t>
        </is>
      </c>
      <c r="F312" t="inlineStr">
        <is>
          <t>SCA</t>
        </is>
      </c>
      <c r="G312" t="n">
        <v>27.1</v>
      </c>
      <c r="H312" t="n">
        <v>0</v>
      </c>
      <c r="I312" t="n">
        <v>0</v>
      </c>
      <c r="J312" t="n">
        <v>0</v>
      </c>
      <c r="K312" t="n">
        <v>0</v>
      </c>
      <c r="L312" t="n">
        <v>0</v>
      </c>
      <c r="M312" t="n">
        <v>0</v>
      </c>
      <c r="N312" t="n">
        <v>0</v>
      </c>
      <c r="O312" t="n">
        <v>0</v>
      </c>
      <c r="P312" t="n">
        <v>0</v>
      </c>
      <c r="Q312" t="n">
        <v>0</v>
      </c>
      <c r="R312" s="2" t="inlineStr"/>
    </row>
    <row r="313" ht="15" customHeight="1">
      <c r="A313" t="inlineStr">
        <is>
          <t>A 41028-2019</t>
        </is>
      </c>
      <c r="B313" s="1" t="n">
        <v>43697</v>
      </c>
      <c r="C313" s="1" t="n">
        <v>45507</v>
      </c>
      <c r="D313" t="inlineStr">
        <is>
          <t>JÄMTLANDS LÄN</t>
        </is>
      </c>
      <c r="E313" t="inlineStr">
        <is>
          <t>BRÄCKE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41029-2019</t>
        </is>
      </c>
      <c r="B314" s="1" t="n">
        <v>43697</v>
      </c>
      <c r="C314" s="1" t="n">
        <v>45507</v>
      </c>
      <c r="D314" t="inlineStr">
        <is>
          <t>JÄMTLANDS LÄN</t>
        </is>
      </c>
      <c r="E314" t="inlineStr">
        <is>
          <t>BRÄCKE</t>
        </is>
      </c>
      <c r="F314" t="inlineStr">
        <is>
          <t>SCA</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41332-2019</t>
        </is>
      </c>
      <c r="B315" s="1" t="n">
        <v>43698</v>
      </c>
      <c r="C315" s="1" t="n">
        <v>45507</v>
      </c>
      <c r="D315" t="inlineStr">
        <is>
          <t>JÄMTLANDS LÄN</t>
        </is>
      </c>
      <c r="E315" t="inlineStr">
        <is>
          <t>BRÄCKE</t>
        </is>
      </c>
      <c r="G315" t="n">
        <v>1.3</v>
      </c>
      <c r="H315" t="n">
        <v>0</v>
      </c>
      <c r="I315" t="n">
        <v>0</v>
      </c>
      <c r="J315" t="n">
        <v>0</v>
      </c>
      <c r="K315" t="n">
        <v>0</v>
      </c>
      <c r="L315" t="n">
        <v>0</v>
      </c>
      <c r="M315" t="n">
        <v>0</v>
      </c>
      <c r="N315" t="n">
        <v>0</v>
      </c>
      <c r="O315" t="n">
        <v>0</v>
      </c>
      <c r="P315" t="n">
        <v>0</v>
      </c>
      <c r="Q315" t="n">
        <v>0</v>
      </c>
      <c r="R315" s="2" t="inlineStr"/>
    </row>
    <row r="316" ht="15" customHeight="1">
      <c r="A316" t="inlineStr">
        <is>
          <t>A 41781-2019</t>
        </is>
      </c>
      <c r="B316" s="1" t="n">
        <v>43699</v>
      </c>
      <c r="C316" s="1" t="n">
        <v>45507</v>
      </c>
      <c r="D316" t="inlineStr">
        <is>
          <t>JÄMTLANDS LÄN</t>
        </is>
      </c>
      <c r="E316" t="inlineStr">
        <is>
          <t>BRÄCKE</t>
        </is>
      </c>
      <c r="F316" t="inlineStr">
        <is>
          <t>SCA</t>
        </is>
      </c>
      <c r="G316" t="n">
        <v>8.1</v>
      </c>
      <c r="H316" t="n">
        <v>0</v>
      </c>
      <c r="I316" t="n">
        <v>0</v>
      </c>
      <c r="J316" t="n">
        <v>0</v>
      </c>
      <c r="K316" t="n">
        <v>0</v>
      </c>
      <c r="L316" t="n">
        <v>0</v>
      </c>
      <c r="M316" t="n">
        <v>0</v>
      </c>
      <c r="N316" t="n">
        <v>0</v>
      </c>
      <c r="O316" t="n">
        <v>0</v>
      </c>
      <c r="P316" t="n">
        <v>0</v>
      </c>
      <c r="Q316" t="n">
        <v>0</v>
      </c>
      <c r="R316" s="2" t="inlineStr"/>
    </row>
    <row r="317" ht="15" customHeight="1">
      <c r="A317" t="inlineStr">
        <is>
          <t>A 41896-2019</t>
        </is>
      </c>
      <c r="B317" s="1" t="n">
        <v>43700</v>
      </c>
      <c r="C317" s="1" t="n">
        <v>45507</v>
      </c>
      <c r="D317" t="inlineStr">
        <is>
          <t>JÄMTLANDS LÄN</t>
        </is>
      </c>
      <c r="E317" t="inlineStr">
        <is>
          <t>BRÄCKE</t>
        </is>
      </c>
      <c r="F317" t="inlineStr">
        <is>
          <t>Sveaskog</t>
        </is>
      </c>
      <c r="G317" t="n">
        <v>5.1</v>
      </c>
      <c r="H317" t="n">
        <v>0</v>
      </c>
      <c r="I317" t="n">
        <v>0</v>
      </c>
      <c r="J317" t="n">
        <v>0</v>
      </c>
      <c r="K317" t="n">
        <v>0</v>
      </c>
      <c r="L317" t="n">
        <v>0</v>
      </c>
      <c r="M317" t="n">
        <v>0</v>
      </c>
      <c r="N317" t="n">
        <v>0</v>
      </c>
      <c r="O317" t="n">
        <v>0</v>
      </c>
      <c r="P317" t="n">
        <v>0</v>
      </c>
      <c r="Q317" t="n">
        <v>0</v>
      </c>
      <c r="R317" s="2" t="inlineStr"/>
    </row>
    <row r="318" ht="15" customHeight="1">
      <c r="A318" t="inlineStr">
        <is>
          <t>A 43208-2019</t>
        </is>
      </c>
      <c r="B318" s="1" t="n">
        <v>43705</v>
      </c>
      <c r="C318" s="1" t="n">
        <v>45507</v>
      </c>
      <c r="D318" t="inlineStr">
        <is>
          <t>JÄMTLANDS LÄN</t>
        </is>
      </c>
      <c r="E318" t="inlineStr">
        <is>
          <t>BRÄCKE</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43206-2019</t>
        </is>
      </c>
      <c r="B319" s="1" t="n">
        <v>43705</v>
      </c>
      <c r="C319" s="1" t="n">
        <v>45507</v>
      </c>
      <c r="D319" t="inlineStr">
        <is>
          <t>JÄMTLANDS LÄN</t>
        </is>
      </c>
      <c r="E319" t="inlineStr">
        <is>
          <t>BRÄCKE</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42875-2019</t>
        </is>
      </c>
      <c r="B320" s="1" t="n">
        <v>43705</v>
      </c>
      <c r="C320" s="1" t="n">
        <v>45507</v>
      </c>
      <c r="D320" t="inlineStr">
        <is>
          <t>JÄMTLANDS LÄN</t>
        </is>
      </c>
      <c r="E320" t="inlineStr">
        <is>
          <t>BRÄCKE</t>
        </is>
      </c>
      <c r="G320" t="n">
        <v>1.5</v>
      </c>
      <c r="H320" t="n">
        <v>0</v>
      </c>
      <c r="I320" t="n">
        <v>0</v>
      </c>
      <c r="J320" t="n">
        <v>0</v>
      </c>
      <c r="K320" t="n">
        <v>0</v>
      </c>
      <c r="L320" t="n">
        <v>0</v>
      </c>
      <c r="M320" t="n">
        <v>0</v>
      </c>
      <c r="N320" t="n">
        <v>0</v>
      </c>
      <c r="O320" t="n">
        <v>0</v>
      </c>
      <c r="P320" t="n">
        <v>0</v>
      </c>
      <c r="Q320" t="n">
        <v>0</v>
      </c>
      <c r="R320" s="2" t="inlineStr"/>
    </row>
    <row r="321" ht="15" customHeight="1">
      <c r="A321" t="inlineStr">
        <is>
          <t>A 45054-2019</t>
        </is>
      </c>
      <c r="B321" s="1" t="n">
        <v>43713</v>
      </c>
      <c r="C321" s="1" t="n">
        <v>45507</v>
      </c>
      <c r="D321" t="inlineStr">
        <is>
          <t>JÄMTLANDS LÄN</t>
        </is>
      </c>
      <c r="E321" t="inlineStr">
        <is>
          <t>BRÄCKE</t>
        </is>
      </c>
      <c r="G321" t="n">
        <v>0.5</v>
      </c>
      <c r="H321" t="n">
        <v>0</v>
      </c>
      <c r="I321" t="n">
        <v>0</v>
      </c>
      <c r="J321" t="n">
        <v>0</v>
      </c>
      <c r="K321" t="n">
        <v>0</v>
      </c>
      <c r="L321" t="n">
        <v>0</v>
      </c>
      <c r="M321" t="n">
        <v>0</v>
      </c>
      <c r="N321" t="n">
        <v>0</v>
      </c>
      <c r="O321" t="n">
        <v>0</v>
      </c>
      <c r="P321" t="n">
        <v>0</v>
      </c>
      <c r="Q321" t="n">
        <v>0</v>
      </c>
      <c r="R321" s="2" t="inlineStr"/>
    </row>
    <row r="322" ht="15" customHeight="1">
      <c r="A322" t="inlineStr">
        <is>
          <t>A 45539-2019</t>
        </is>
      </c>
      <c r="B322" s="1" t="n">
        <v>43714</v>
      </c>
      <c r="C322" s="1" t="n">
        <v>45507</v>
      </c>
      <c r="D322" t="inlineStr">
        <is>
          <t>JÄMTLANDS LÄN</t>
        </is>
      </c>
      <c r="E322" t="inlineStr">
        <is>
          <t>BRÄCKE</t>
        </is>
      </c>
      <c r="F322" t="inlineStr">
        <is>
          <t>SCA</t>
        </is>
      </c>
      <c r="G322" t="n">
        <v>4.6</v>
      </c>
      <c r="H322" t="n">
        <v>0</v>
      </c>
      <c r="I322" t="n">
        <v>0</v>
      </c>
      <c r="J322" t="n">
        <v>0</v>
      </c>
      <c r="K322" t="n">
        <v>0</v>
      </c>
      <c r="L322" t="n">
        <v>0</v>
      </c>
      <c r="M322" t="n">
        <v>0</v>
      </c>
      <c r="N322" t="n">
        <v>0</v>
      </c>
      <c r="O322" t="n">
        <v>0</v>
      </c>
      <c r="P322" t="n">
        <v>0</v>
      </c>
      <c r="Q322" t="n">
        <v>0</v>
      </c>
      <c r="R322" s="2" t="inlineStr"/>
    </row>
    <row r="323" ht="15" customHeight="1">
      <c r="A323" t="inlineStr">
        <is>
          <t>A 46844-2019</t>
        </is>
      </c>
      <c r="B323" s="1" t="n">
        <v>43720</v>
      </c>
      <c r="C323" s="1" t="n">
        <v>45507</v>
      </c>
      <c r="D323" t="inlineStr">
        <is>
          <t>JÄMTLANDS LÄN</t>
        </is>
      </c>
      <c r="E323" t="inlineStr">
        <is>
          <t>BRÄCKE</t>
        </is>
      </c>
      <c r="G323" t="n">
        <v>4.3</v>
      </c>
      <c r="H323" t="n">
        <v>0</v>
      </c>
      <c r="I323" t="n">
        <v>0</v>
      </c>
      <c r="J323" t="n">
        <v>0</v>
      </c>
      <c r="K323" t="n">
        <v>0</v>
      </c>
      <c r="L323" t="n">
        <v>0</v>
      </c>
      <c r="M323" t="n">
        <v>0</v>
      </c>
      <c r="N323" t="n">
        <v>0</v>
      </c>
      <c r="O323" t="n">
        <v>0</v>
      </c>
      <c r="P323" t="n">
        <v>0</v>
      </c>
      <c r="Q323" t="n">
        <v>0</v>
      </c>
      <c r="R323" s="2" t="inlineStr"/>
    </row>
    <row r="324" ht="15" customHeight="1">
      <c r="A324" t="inlineStr">
        <is>
          <t>A 47074-2019</t>
        </is>
      </c>
      <c r="B324" s="1" t="n">
        <v>43720</v>
      </c>
      <c r="C324" s="1" t="n">
        <v>45507</v>
      </c>
      <c r="D324" t="inlineStr">
        <is>
          <t>JÄMTLANDS LÄN</t>
        </is>
      </c>
      <c r="E324" t="inlineStr">
        <is>
          <t>BRÄCKE</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49690-2019</t>
        </is>
      </c>
      <c r="B325" s="1" t="n">
        <v>43732</v>
      </c>
      <c r="C325" s="1" t="n">
        <v>45507</v>
      </c>
      <c r="D325" t="inlineStr">
        <is>
          <t>JÄMTLANDS LÄN</t>
        </is>
      </c>
      <c r="E325" t="inlineStr">
        <is>
          <t>BRÄCKE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50292-2019</t>
        </is>
      </c>
      <c r="B326" s="1" t="n">
        <v>43735</v>
      </c>
      <c r="C326" s="1" t="n">
        <v>45507</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50587-2019</t>
        </is>
      </c>
      <c r="B327" s="1" t="n">
        <v>43735</v>
      </c>
      <c r="C327" s="1" t="n">
        <v>45507</v>
      </c>
      <c r="D327" t="inlineStr">
        <is>
          <t>JÄMTLANDS LÄN</t>
        </is>
      </c>
      <c r="E327" t="inlineStr">
        <is>
          <t>BRÄCKE</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50584-2019</t>
        </is>
      </c>
      <c r="B328" s="1" t="n">
        <v>43735</v>
      </c>
      <c r="C328" s="1" t="n">
        <v>45507</v>
      </c>
      <c r="D328" t="inlineStr">
        <is>
          <t>JÄMTLANDS LÄN</t>
        </is>
      </c>
      <c r="E328" t="inlineStr">
        <is>
          <t>BRÄCKE</t>
        </is>
      </c>
      <c r="F328" t="inlineStr">
        <is>
          <t>SCA</t>
        </is>
      </c>
      <c r="G328" t="n">
        <v>19.1</v>
      </c>
      <c r="H328" t="n">
        <v>0</v>
      </c>
      <c r="I328" t="n">
        <v>0</v>
      </c>
      <c r="J328" t="n">
        <v>0</v>
      </c>
      <c r="K328" t="n">
        <v>0</v>
      </c>
      <c r="L328" t="n">
        <v>0</v>
      </c>
      <c r="M328" t="n">
        <v>0</v>
      </c>
      <c r="N328" t="n">
        <v>0</v>
      </c>
      <c r="O328" t="n">
        <v>0</v>
      </c>
      <c r="P328" t="n">
        <v>0</v>
      </c>
      <c r="Q328" t="n">
        <v>0</v>
      </c>
      <c r="R328" s="2" t="inlineStr"/>
    </row>
    <row r="329" ht="15" customHeight="1">
      <c r="A329" t="inlineStr">
        <is>
          <t>A 50580-2019</t>
        </is>
      </c>
      <c r="B329" s="1" t="n">
        <v>43735</v>
      </c>
      <c r="C329" s="1" t="n">
        <v>45507</v>
      </c>
      <c r="D329" t="inlineStr">
        <is>
          <t>JÄMTLANDS LÄN</t>
        </is>
      </c>
      <c r="E329" t="inlineStr">
        <is>
          <t>BRÄCKE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51257-2019</t>
        </is>
      </c>
      <c r="B330" s="1" t="n">
        <v>43739</v>
      </c>
      <c r="C330" s="1" t="n">
        <v>45507</v>
      </c>
      <c r="D330" t="inlineStr">
        <is>
          <t>JÄMTLANDS LÄN</t>
        </is>
      </c>
      <c r="E330" t="inlineStr">
        <is>
          <t>BRÄCKE</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51329-2019</t>
        </is>
      </c>
      <c r="B331" s="1" t="n">
        <v>43739</v>
      </c>
      <c r="C331" s="1" t="n">
        <v>45507</v>
      </c>
      <c r="D331" t="inlineStr">
        <is>
          <t>JÄMTLANDS LÄN</t>
        </is>
      </c>
      <c r="E331" t="inlineStr">
        <is>
          <t>BRÄCKE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51328-2019</t>
        </is>
      </c>
      <c r="B332" s="1" t="n">
        <v>43739</v>
      </c>
      <c r="C332" s="1" t="n">
        <v>45507</v>
      </c>
      <c r="D332" t="inlineStr">
        <is>
          <t>JÄMTLANDS LÄN</t>
        </is>
      </c>
      <c r="E332" t="inlineStr">
        <is>
          <t>BRÄCKE</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52882-2019</t>
        </is>
      </c>
      <c r="B333" s="1" t="n">
        <v>43746</v>
      </c>
      <c r="C333" s="1" t="n">
        <v>45507</v>
      </c>
      <c r="D333" t="inlineStr">
        <is>
          <t>JÄMTLANDS LÄN</t>
        </is>
      </c>
      <c r="E333" t="inlineStr">
        <is>
          <t>BRÄCKE</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53485-2019</t>
        </is>
      </c>
      <c r="B334" s="1" t="n">
        <v>43748</v>
      </c>
      <c r="C334" s="1" t="n">
        <v>45507</v>
      </c>
      <c r="D334" t="inlineStr">
        <is>
          <t>JÄMTLANDS LÄN</t>
        </is>
      </c>
      <c r="E334" t="inlineStr">
        <is>
          <t>BRÄCKE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56063-2019</t>
        </is>
      </c>
      <c r="B335" s="1" t="n">
        <v>43759</v>
      </c>
      <c r="C335" s="1" t="n">
        <v>45507</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56511-2019</t>
        </is>
      </c>
      <c r="B336" s="1" t="n">
        <v>43762</v>
      </c>
      <c r="C336" s="1" t="n">
        <v>45507</v>
      </c>
      <c r="D336" t="inlineStr">
        <is>
          <t>JÄMTLANDS LÄN</t>
        </is>
      </c>
      <c r="E336" t="inlineStr">
        <is>
          <t>BRÄCKE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57395-2019</t>
        </is>
      </c>
      <c r="B337" s="1" t="n">
        <v>43767</v>
      </c>
      <c r="C337" s="1" t="n">
        <v>45507</v>
      </c>
      <c r="D337" t="inlineStr">
        <is>
          <t>JÄMTLANDS LÄN</t>
        </is>
      </c>
      <c r="E337" t="inlineStr">
        <is>
          <t>BRÄCKE</t>
        </is>
      </c>
      <c r="G337" t="n">
        <v>1.1</v>
      </c>
      <c r="H337" t="n">
        <v>0</v>
      </c>
      <c r="I337" t="n">
        <v>0</v>
      </c>
      <c r="J337" t="n">
        <v>0</v>
      </c>
      <c r="K337" t="n">
        <v>0</v>
      </c>
      <c r="L337" t="n">
        <v>0</v>
      </c>
      <c r="M337" t="n">
        <v>0</v>
      </c>
      <c r="N337" t="n">
        <v>0</v>
      </c>
      <c r="O337" t="n">
        <v>0</v>
      </c>
      <c r="P337" t="n">
        <v>0</v>
      </c>
      <c r="Q337" t="n">
        <v>0</v>
      </c>
      <c r="R337" s="2" t="inlineStr"/>
    </row>
    <row r="338" ht="15" customHeight="1">
      <c r="A338" t="inlineStr">
        <is>
          <t>A 57749-2019</t>
        </is>
      </c>
      <c r="B338" s="1" t="n">
        <v>43768</v>
      </c>
      <c r="C338" s="1" t="n">
        <v>45507</v>
      </c>
      <c r="D338" t="inlineStr">
        <is>
          <t>JÄMTLANDS LÄN</t>
        </is>
      </c>
      <c r="E338" t="inlineStr">
        <is>
          <t>BRÄCKE</t>
        </is>
      </c>
      <c r="G338" t="n">
        <v>3.3</v>
      </c>
      <c r="H338" t="n">
        <v>0</v>
      </c>
      <c r="I338" t="n">
        <v>0</v>
      </c>
      <c r="J338" t="n">
        <v>0</v>
      </c>
      <c r="K338" t="n">
        <v>0</v>
      </c>
      <c r="L338" t="n">
        <v>0</v>
      </c>
      <c r="M338" t="n">
        <v>0</v>
      </c>
      <c r="N338" t="n">
        <v>0</v>
      </c>
      <c r="O338" t="n">
        <v>0</v>
      </c>
      <c r="P338" t="n">
        <v>0</v>
      </c>
      <c r="Q338" t="n">
        <v>0</v>
      </c>
      <c r="R338" s="2" t="inlineStr"/>
    </row>
    <row r="339" ht="15" customHeight="1">
      <c r="A339" t="inlineStr">
        <is>
          <t>A 58354-2019</t>
        </is>
      </c>
      <c r="B339" s="1" t="n">
        <v>43770</v>
      </c>
      <c r="C339" s="1" t="n">
        <v>45507</v>
      </c>
      <c r="D339" t="inlineStr">
        <is>
          <t>JÄMTLANDS LÄN</t>
        </is>
      </c>
      <c r="E339" t="inlineStr">
        <is>
          <t>BRÄCKE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58635-2019</t>
        </is>
      </c>
      <c r="B340" s="1" t="n">
        <v>43773</v>
      </c>
      <c r="C340" s="1" t="n">
        <v>45507</v>
      </c>
      <c r="D340" t="inlineStr">
        <is>
          <t>JÄMTLANDS LÄN</t>
        </is>
      </c>
      <c r="E340" t="inlineStr">
        <is>
          <t>BRÄCKE</t>
        </is>
      </c>
      <c r="G340" t="n">
        <v>3.5</v>
      </c>
      <c r="H340" t="n">
        <v>0</v>
      </c>
      <c r="I340" t="n">
        <v>0</v>
      </c>
      <c r="J340" t="n">
        <v>0</v>
      </c>
      <c r="K340" t="n">
        <v>0</v>
      </c>
      <c r="L340" t="n">
        <v>0</v>
      </c>
      <c r="M340" t="n">
        <v>0</v>
      </c>
      <c r="N340" t="n">
        <v>0</v>
      </c>
      <c r="O340" t="n">
        <v>0</v>
      </c>
      <c r="P340" t="n">
        <v>0</v>
      </c>
      <c r="Q340" t="n">
        <v>0</v>
      </c>
      <c r="R340" s="2" t="inlineStr"/>
    </row>
    <row r="341" ht="15" customHeight="1">
      <c r="A341" t="inlineStr">
        <is>
          <t>A 60186-2019</t>
        </is>
      </c>
      <c r="B341" s="1" t="n">
        <v>43776</v>
      </c>
      <c r="C341" s="1" t="n">
        <v>45507</v>
      </c>
      <c r="D341" t="inlineStr">
        <is>
          <t>JÄMTLANDS LÄN</t>
        </is>
      </c>
      <c r="E341" t="inlineStr">
        <is>
          <t>BRÄCKE</t>
        </is>
      </c>
      <c r="G341" t="n">
        <v>0.6</v>
      </c>
      <c r="H341" t="n">
        <v>0</v>
      </c>
      <c r="I341" t="n">
        <v>0</v>
      </c>
      <c r="J341" t="n">
        <v>0</v>
      </c>
      <c r="K341" t="n">
        <v>0</v>
      </c>
      <c r="L341" t="n">
        <v>0</v>
      </c>
      <c r="M341" t="n">
        <v>0</v>
      </c>
      <c r="N341" t="n">
        <v>0</v>
      </c>
      <c r="O341" t="n">
        <v>0</v>
      </c>
      <c r="P341" t="n">
        <v>0</v>
      </c>
      <c r="Q341" t="n">
        <v>0</v>
      </c>
      <c r="R341" s="2" t="inlineStr"/>
    </row>
    <row r="342" ht="15" customHeight="1">
      <c r="A342" t="inlineStr">
        <is>
          <t>A 60018-2019</t>
        </is>
      </c>
      <c r="B342" s="1" t="n">
        <v>43777</v>
      </c>
      <c r="C342" s="1" t="n">
        <v>45507</v>
      </c>
      <c r="D342" t="inlineStr">
        <is>
          <t>JÄMTLANDS LÄN</t>
        </is>
      </c>
      <c r="E342" t="inlineStr">
        <is>
          <t>BRÄCKE</t>
        </is>
      </c>
      <c r="F342" t="inlineStr">
        <is>
          <t>Övriga Aktiebolag</t>
        </is>
      </c>
      <c r="G342" t="n">
        <v>15.2</v>
      </c>
      <c r="H342" t="n">
        <v>0</v>
      </c>
      <c r="I342" t="n">
        <v>0</v>
      </c>
      <c r="J342" t="n">
        <v>0</v>
      </c>
      <c r="K342" t="n">
        <v>0</v>
      </c>
      <c r="L342" t="n">
        <v>0</v>
      </c>
      <c r="M342" t="n">
        <v>0</v>
      </c>
      <c r="N342" t="n">
        <v>0</v>
      </c>
      <c r="O342" t="n">
        <v>0</v>
      </c>
      <c r="P342" t="n">
        <v>0</v>
      </c>
      <c r="Q342" t="n">
        <v>0</v>
      </c>
      <c r="R342" s="2" t="inlineStr"/>
    </row>
    <row r="343" ht="15" customHeight="1">
      <c r="A343" t="inlineStr">
        <is>
          <t>A 60155-2019</t>
        </is>
      </c>
      <c r="B343" s="1" t="n">
        <v>43780</v>
      </c>
      <c r="C343" s="1" t="n">
        <v>45507</v>
      </c>
      <c r="D343" t="inlineStr">
        <is>
          <t>JÄMTLANDS LÄN</t>
        </is>
      </c>
      <c r="E343" t="inlineStr">
        <is>
          <t>BRÄCKE</t>
        </is>
      </c>
      <c r="G343" t="n">
        <v>2.4</v>
      </c>
      <c r="H343" t="n">
        <v>0</v>
      </c>
      <c r="I343" t="n">
        <v>0</v>
      </c>
      <c r="J343" t="n">
        <v>0</v>
      </c>
      <c r="K343" t="n">
        <v>0</v>
      </c>
      <c r="L343" t="n">
        <v>0</v>
      </c>
      <c r="M343" t="n">
        <v>0</v>
      </c>
      <c r="N343" t="n">
        <v>0</v>
      </c>
      <c r="O343" t="n">
        <v>0</v>
      </c>
      <c r="P343" t="n">
        <v>0</v>
      </c>
      <c r="Q343" t="n">
        <v>0</v>
      </c>
      <c r="R343" s="2" t="inlineStr"/>
    </row>
    <row r="344" ht="15" customHeight="1">
      <c r="A344" t="inlineStr">
        <is>
          <t>A 61082-2019</t>
        </is>
      </c>
      <c r="B344" s="1" t="n">
        <v>43782</v>
      </c>
      <c r="C344" s="1" t="n">
        <v>45507</v>
      </c>
      <c r="D344" t="inlineStr">
        <is>
          <t>JÄMTLANDS LÄN</t>
        </is>
      </c>
      <c r="E344" t="inlineStr">
        <is>
          <t>BRÄCKE</t>
        </is>
      </c>
      <c r="G344" t="n">
        <v>20.1</v>
      </c>
      <c r="H344" t="n">
        <v>0</v>
      </c>
      <c r="I344" t="n">
        <v>0</v>
      </c>
      <c r="J344" t="n">
        <v>0</v>
      </c>
      <c r="K344" t="n">
        <v>0</v>
      </c>
      <c r="L344" t="n">
        <v>0</v>
      </c>
      <c r="M344" t="n">
        <v>0</v>
      </c>
      <c r="N344" t="n">
        <v>0</v>
      </c>
      <c r="O344" t="n">
        <v>0</v>
      </c>
      <c r="P344" t="n">
        <v>0</v>
      </c>
      <c r="Q344" t="n">
        <v>0</v>
      </c>
      <c r="R344" s="2" t="inlineStr"/>
    </row>
    <row r="345" ht="15" customHeight="1">
      <c r="A345" t="inlineStr">
        <is>
          <t>A 62335-2019</t>
        </is>
      </c>
      <c r="B345" s="1" t="n">
        <v>43782</v>
      </c>
      <c r="C345" s="1" t="n">
        <v>45507</v>
      </c>
      <c r="D345" t="inlineStr">
        <is>
          <t>JÄMTLANDS LÄN</t>
        </is>
      </c>
      <c r="E345" t="inlineStr">
        <is>
          <t>BRÄCKE</t>
        </is>
      </c>
      <c r="G345" t="n">
        <v>5.7</v>
      </c>
      <c r="H345" t="n">
        <v>0</v>
      </c>
      <c r="I345" t="n">
        <v>0</v>
      </c>
      <c r="J345" t="n">
        <v>0</v>
      </c>
      <c r="K345" t="n">
        <v>0</v>
      </c>
      <c r="L345" t="n">
        <v>0</v>
      </c>
      <c r="M345" t="n">
        <v>0</v>
      </c>
      <c r="N345" t="n">
        <v>0</v>
      </c>
      <c r="O345" t="n">
        <v>0</v>
      </c>
      <c r="P345" t="n">
        <v>0</v>
      </c>
      <c r="Q345" t="n">
        <v>0</v>
      </c>
      <c r="R345" s="2" t="inlineStr"/>
    </row>
    <row r="346" ht="15" customHeight="1">
      <c r="A346" t="inlineStr">
        <is>
          <t>A 64133-2019</t>
        </is>
      </c>
      <c r="B346" s="1" t="n">
        <v>43796</v>
      </c>
      <c r="C346" s="1" t="n">
        <v>45507</v>
      </c>
      <c r="D346" t="inlineStr">
        <is>
          <t>JÄMTLANDS LÄN</t>
        </is>
      </c>
      <c r="E346" t="inlineStr">
        <is>
          <t>BRÄCKE</t>
        </is>
      </c>
      <c r="G346" t="n">
        <v>0.6</v>
      </c>
      <c r="H346" t="n">
        <v>0</v>
      </c>
      <c r="I346" t="n">
        <v>0</v>
      </c>
      <c r="J346" t="n">
        <v>0</v>
      </c>
      <c r="K346" t="n">
        <v>0</v>
      </c>
      <c r="L346" t="n">
        <v>0</v>
      </c>
      <c r="M346" t="n">
        <v>0</v>
      </c>
      <c r="N346" t="n">
        <v>0</v>
      </c>
      <c r="O346" t="n">
        <v>0</v>
      </c>
      <c r="P346" t="n">
        <v>0</v>
      </c>
      <c r="Q346" t="n">
        <v>0</v>
      </c>
      <c r="R346" s="2" t="inlineStr"/>
    </row>
    <row r="347" ht="15" customHeight="1">
      <c r="A347" t="inlineStr">
        <is>
          <t>A 64475-2019</t>
        </is>
      </c>
      <c r="B347" s="1" t="n">
        <v>43797</v>
      </c>
      <c r="C347" s="1" t="n">
        <v>45507</v>
      </c>
      <c r="D347" t="inlineStr">
        <is>
          <t>JÄMTLANDS LÄN</t>
        </is>
      </c>
      <c r="E347" t="inlineStr">
        <is>
          <t>BRÄCKE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65038-2019</t>
        </is>
      </c>
      <c r="B348" s="1" t="n">
        <v>43801</v>
      </c>
      <c r="C348" s="1" t="n">
        <v>45507</v>
      </c>
      <c r="D348" t="inlineStr">
        <is>
          <t>JÄMTLANDS LÄN</t>
        </is>
      </c>
      <c r="E348" t="inlineStr">
        <is>
          <t>BRÄCKE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66377-2019</t>
        </is>
      </c>
      <c r="B349" s="1" t="n">
        <v>43808</v>
      </c>
      <c r="C349" s="1" t="n">
        <v>45507</v>
      </c>
      <c r="D349" t="inlineStr">
        <is>
          <t>JÄMTLANDS LÄN</t>
        </is>
      </c>
      <c r="E349" t="inlineStr">
        <is>
          <t>BRÄCKE</t>
        </is>
      </c>
      <c r="G349" t="n">
        <v>0.7</v>
      </c>
      <c r="H349" t="n">
        <v>0</v>
      </c>
      <c r="I349" t="n">
        <v>0</v>
      </c>
      <c r="J349" t="n">
        <v>0</v>
      </c>
      <c r="K349" t="n">
        <v>0</v>
      </c>
      <c r="L349" t="n">
        <v>0</v>
      </c>
      <c r="M349" t="n">
        <v>0</v>
      </c>
      <c r="N349" t="n">
        <v>0</v>
      </c>
      <c r="O349" t="n">
        <v>0</v>
      </c>
      <c r="P349" t="n">
        <v>0</v>
      </c>
      <c r="Q349" t="n">
        <v>0</v>
      </c>
      <c r="R349" s="2" t="inlineStr"/>
    </row>
    <row r="350" ht="15" customHeight="1">
      <c r="A350" t="inlineStr">
        <is>
          <t>A 66376-2019</t>
        </is>
      </c>
      <c r="B350" s="1" t="n">
        <v>43808</v>
      </c>
      <c r="C350" s="1" t="n">
        <v>45507</v>
      </c>
      <c r="D350" t="inlineStr">
        <is>
          <t>JÄMTLANDS LÄN</t>
        </is>
      </c>
      <c r="E350" t="inlineStr">
        <is>
          <t>BRÄCKE</t>
        </is>
      </c>
      <c r="G350" t="n">
        <v>1</v>
      </c>
      <c r="H350" t="n">
        <v>0</v>
      </c>
      <c r="I350" t="n">
        <v>0</v>
      </c>
      <c r="J350" t="n">
        <v>0</v>
      </c>
      <c r="K350" t="n">
        <v>0</v>
      </c>
      <c r="L350" t="n">
        <v>0</v>
      </c>
      <c r="M350" t="n">
        <v>0</v>
      </c>
      <c r="N350" t="n">
        <v>0</v>
      </c>
      <c r="O350" t="n">
        <v>0</v>
      </c>
      <c r="P350" t="n">
        <v>0</v>
      </c>
      <c r="Q350" t="n">
        <v>0</v>
      </c>
      <c r="R350" s="2" t="inlineStr"/>
    </row>
    <row r="351" ht="15" customHeight="1">
      <c r="A351" t="inlineStr">
        <is>
          <t>A 68001-2019</t>
        </is>
      </c>
      <c r="B351" s="1" t="n">
        <v>43810</v>
      </c>
      <c r="C351" s="1" t="n">
        <v>45507</v>
      </c>
      <c r="D351" t="inlineStr">
        <is>
          <t>JÄMTLANDS LÄN</t>
        </is>
      </c>
      <c r="E351" t="inlineStr">
        <is>
          <t>BRÄCKE</t>
        </is>
      </c>
      <c r="G351" t="n">
        <v>3.6</v>
      </c>
      <c r="H351" t="n">
        <v>0</v>
      </c>
      <c r="I351" t="n">
        <v>0</v>
      </c>
      <c r="J351" t="n">
        <v>0</v>
      </c>
      <c r="K351" t="n">
        <v>0</v>
      </c>
      <c r="L351" t="n">
        <v>0</v>
      </c>
      <c r="M351" t="n">
        <v>0</v>
      </c>
      <c r="N351" t="n">
        <v>0</v>
      </c>
      <c r="O351" t="n">
        <v>0</v>
      </c>
      <c r="P351" t="n">
        <v>0</v>
      </c>
      <c r="Q351" t="n">
        <v>0</v>
      </c>
      <c r="R351" s="2" t="inlineStr"/>
    </row>
    <row r="352" ht="15" customHeight="1">
      <c r="A352" t="inlineStr">
        <is>
          <t>A 67214-2019</t>
        </is>
      </c>
      <c r="B352" s="1" t="n">
        <v>43811</v>
      </c>
      <c r="C352" s="1" t="n">
        <v>45507</v>
      </c>
      <c r="D352" t="inlineStr">
        <is>
          <t>JÄMTLANDS LÄN</t>
        </is>
      </c>
      <c r="E352" t="inlineStr">
        <is>
          <t>BRÄCKE</t>
        </is>
      </c>
      <c r="G352" t="n">
        <v>0.2</v>
      </c>
      <c r="H352" t="n">
        <v>0</v>
      </c>
      <c r="I352" t="n">
        <v>0</v>
      </c>
      <c r="J352" t="n">
        <v>0</v>
      </c>
      <c r="K352" t="n">
        <v>0</v>
      </c>
      <c r="L352" t="n">
        <v>0</v>
      </c>
      <c r="M352" t="n">
        <v>0</v>
      </c>
      <c r="N352" t="n">
        <v>0</v>
      </c>
      <c r="O352" t="n">
        <v>0</v>
      </c>
      <c r="P352" t="n">
        <v>0</v>
      </c>
      <c r="Q352" t="n">
        <v>0</v>
      </c>
      <c r="R352" s="2" t="inlineStr"/>
    </row>
    <row r="353" ht="15" customHeight="1">
      <c r="A353" t="inlineStr">
        <is>
          <t>A 67818-2019</t>
        </is>
      </c>
      <c r="B353" s="1" t="n">
        <v>43815</v>
      </c>
      <c r="C353" s="1" t="n">
        <v>45507</v>
      </c>
      <c r="D353" t="inlineStr">
        <is>
          <t>JÄMTLANDS LÄN</t>
        </is>
      </c>
      <c r="E353" t="inlineStr">
        <is>
          <t>BRÄCKE</t>
        </is>
      </c>
      <c r="G353" t="n">
        <v>1.3</v>
      </c>
      <c r="H353" t="n">
        <v>0</v>
      </c>
      <c r="I353" t="n">
        <v>0</v>
      </c>
      <c r="J353" t="n">
        <v>0</v>
      </c>
      <c r="K353" t="n">
        <v>0</v>
      </c>
      <c r="L353" t="n">
        <v>0</v>
      </c>
      <c r="M353" t="n">
        <v>0</v>
      </c>
      <c r="N353" t="n">
        <v>0</v>
      </c>
      <c r="O353" t="n">
        <v>0</v>
      </c>
      <c r="P353" t="n">
        <v>0</v>
      </c>
      <c r="Q353" t="n">
        <v>0</v>
      </c>
      <c r="R353" s="2" t="inlineStr"/>
    </row>
    <row r="354" ht="15" customHeight="1">
      <c r="A354" t="inlineStr">
        <is>
          <t>A 69041-2019</t>
        </is>
      </c>
      <c r="B354" s="1" t="n">
        <v>43826</v>
      </c>
      <c r="C354" s="1" t="n">
        <v>45507</v>
      </c>
      <c r="D354" t="inlineStr">
        <is>
          <t>JÄMTLANDS LÄN</t>
        </is>
      </c>
      <c r="E354" t="inlineStr">
        <is>
          <t>BRÄCKE</t>
        </is>
      </c>
      <c r="G354" t="n">
        <v>1.4</v>
      </c>
      <c r="H354" t="n">
        <v>0</v>
      </c>
      <c r="I354" t="n">
        <v>0</v>
      </c>
      <c r="J354" t="n">
        <v>0</v>
      </c>
      <c r="K354" t="n">
        <v>0</v>
      </c>
      <c r="L354" t="n">
        <v>0</v>
      </c>
      <c r="M354" t="n">
        <v>0</v>
      </c>
      <c r="N354" t="n">
        <v>0</v>
      </c>
      <c r="O354" t="n">
        <v>0</v>
      </c>
      <c r="P354" t="n">
        <v>0</v>
      </c>
      <c r="Q354" t="n">
        <v>0</v>
      </c>
      <c r="R354" s="2" t="inlineStr"/>
    </row>
    <row r="355" ht="15" customHeight="1">
      <c r="A355" t="inlineStr">
        <is>
          <t>A 208-2020</t>
        </is>
      </c>
      <c r="B355" s="1" t="n">
        <v>43833</v>
      </c>
      <c r="C355" s="1" t="n">
        <v>45507</v>
      </c>
      <c r="D355" t="inlineStr">
        <is>
          <t>JÄMTLANDS LÄN</t>
        </is>
      </c>
      <c r="E355" t="inlineStr">
        <is>
          <t>BRÄCKE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325-2020</t>
        </is>
      </c>
      <c r="B356" s="1" t="n">
        <v>43837</v>
      </c>
      <c r="C356" s="1" t="n">
        <v>45507</v>
      </c>
      <c r="D356" t="inlineStr">
        <is>
          <t>JÄMTLANDS LÄN</t>
        </is>
      </c>
      <c r="E356" t="inlineStr">
        <is>
          <t>BRÄCKE</t>
        </is>
      </c>
      <c r="G356" t="n">
        <v>0.3</v>
      </c>
      <c r="H356" t="n">
        <v>0</v>
      </c>
      <c r="I356" t="n">
        <v>0</v>
      </c>
      <c r="J356" t="n">
        <v>0</v>
      </c>
      <c r="K356" t="n">
        <v>0</v>
      </c>
      <c r="L356" t="n">
        <v>0</v>
      </c>
      <c r="M356" t="n">
        <v>0</v>
      </c>
      <c r="N356" t="n">
        <v>0</v>
      </c>
      <c r="O356" t="n">
        <v>0</v>
      </c>
      <c r="P356" t="n">
        <v>0</v>
      </c>
      <c r="Q356" t="n">
        <v>0</v>
      </c>
      <c r="R356" s="2" t="inlineStr"/>
    </row>
    <row r="357" ht="15" customHeight="1">
      <c r="A357" t="inlineStr">
        <is>
          <t>A 1267-2020</t>
        </is>
      </c>
      <c r="B357" s="1" t="n">
        <v>43840</v>
      </c>
      <c r="C357" s="1" t="n">
        <v>45507</v>
      </c>
      <c r="D357" t="inlineStr">
        <is>
          <t>JÄMTLANDS LÄN</t>
        </is>
      </c>
      <c r="E357" t="inlineStr">
        <is>
          <t>BRÄCKE</t>
        </is>
      </c>
      <c r="G357" t="n">
        <v>2.8</v>
      </c>
      <c r="H357" t="n">
        <v>0</v>
      </c>
      <c r="I357" t="n">
        <v>0</v>
      </c>
      <c r="J357" t="n">
        <v>0</v>
      </c>
      <c r="K357" t="n">
        <v>0</v>
      </c>
      <c r="L357" t="n">
        <v>0</v>
      </c>
      <c r="M357" t="n">
        <v>0</v>
      </c>
      <c r="N357" t="n">
        <v>0</v>
      </c>
      <c r="O357" t="n">
        <v>0</v>
      </c>
      <c r="P357" t="n">
        <v>0</v>
      </c>
      <c r="Q357" t="n">
        <v>0</v>
      </c>
      <c r="R357" s="2" t="inlineStr"/>
    </row>
    <row r="358" ht="15" customHeight="1">
      <c r="A358" t="inlineStr">
        <is>
          <t>A 3488-2020</t>
        </is>
      </c>
      <c r="B358" s="1" t="n">
        <v>43852</v>
      </c>
      <c r="C358" s="1" t="n">
        <v>45507</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3483-2020</t>
        </is>
      </c>
      <c r="B359" s="1" t="n">
        <v>43852</v>
      </c>
      <c r="C359" s="1" t="n">
        <v>45507</v>
      </c>
      <c r="D359" t="inlineStr">
        <is>
          <t>JÄMTLANDS LÄN</t>
        </is>
      </c>
      <c r="E359" t="inlineStr">
        <is>
          <t>BRÄCKE</t>
        </is>
      </c>
      <c r="G359" t="n">
        <v>5.8</v>
      </c>
      <c r="H359" t="n">
        <v>0</v>
      </c>
      <c r="I359" t="n">
        <v>0</v>
      </c>
      <c r="J359" t="n">
        <v>0</v>
      </c>
      <c r="K359" t="n">
        <v>0</v>
      </c>
      <c r="L359" t="n">
        <v>0</v>
      </c>
      <c r="M359" t="n">
        <v>0</v>
      </c>
      <c r="N359" t="n">
        <v>0</v>
      </c>
      <c r="O359" t="n">
        <v>0</v>
      </c>
      <c r="P359" t="n">
        <v>0</v>
      </c>
      <c r="Q359" t="n">
        <v>0</v>
      </c>
      <c r="R359" s="2" t="inlineStr"/>
    </row>
    <row r="360" ht="15" customHeight="1">
      <c r="A360" t="inlineStr">
        <is>
          <t>A 3489-2020</t>
        </is>
      </c>
      <c r="B360" s="1" t="n">
        <v>43852</v>
      </c>
      <c r="C360" s="1" t="n">
        <v>45507</v>
      </c>
      <c r="D360" t="inlineStr">
        <is>
          <t>JÄMTLANDS LÄN</t>
        </is>
      </c>
      <c r="E360" t="inlineStr">
        <is>
          <t>BRÄCKE</t>
        </is>
      </c>
      <c r="G360" t="n">
        <v>3.8</v>
      </c>
      <c r="H360" t="n">
        <v>0</v>
      </c>
      <c r="I360" t="n">
        <v>0</v>
      </c>
      <c r="J360" t="n">
        <v>0</v>
      </c>
      <c r="K360" t="n">
        <v>0</v>
      </c>
      <c r="L360" t="n">
        <v>0</v>
      </c>
      <c r="M360" t="n">
        <v>0</v>
      </c>
      <c r="N360" t="n">
        <v>0</v>
      </c>
      <c r="O360" t="n">
        <v>0</v>
      </c>
      <c r="P360" t="n">
        <v>0</v>
      </c>
      <c r="Q360" t="n">
        <v>0</v>
      </c>
      <c r="R360" s="2" t="inlineStr"/>
    </row>
    <row r="361" ht="15" customHeight="1">
      <c r="A361" t="inlineStr">
        <is>
          <t>A 3772-2020</t>
        </is>
      </c>
      <c r="B361" s="1" t="n">
        <v>43854</v>
      </c>
      <c r="C361" s="1" t="n">
        <v>45507</v>
      </c>
      <c r="D361" t="inlineStr">
        <is>
          <t>JÄMTLANDS LÄN</t>
        </is>
      </c>
      <c r="E361" t="inlineStr">
        <is>
          <t>BRÄCKE</t>
        </is>
      </c>
      <c r="F361" t="inlineStr">
        <is>
          <t>SCA</t>
        </is>
      </c>
      <c r="G361" t="n">
        <v>16.9</v>
      </c>
      <c r="H361" t="n">
        <v>0</v>
      </c>
      <c r="I361" t="n">
        <v>0</v>
      </c>
      <c r="J361" t="n">
        <v>0</v>
      </c>
      <c r="K361" t="n">
        <v>0</v>
      </c>
      <c r="L361" t="n">
        <v>0</v>
      </c>
      <c r="M361" t="n">
        <v>0</v>
      </c>
      <c r="N361" t="n">
        <v>0</v>
      </c>
      <c r="O361" t="n">
        <v>0</v>
      </c>
      <c r="P361" t="n">
        <v>0</v>
      </c>
      <c r="Q361" t="n">
        <v>0</v>
      </c>
      <c r="R361" s="2" t="inlineStr"/>
    </row>
    <row r="362" ht="15" customHeight="1">
      <c r="A362" t="inlineStr">
        <is>
          <t>A 6265-2020</t>
        </is>
      </c>
      <c r="B362" s="1" t="n">
        <v>43866</v>
      </c>
      <c r="C362" s="1" t="n">
        <v>45507</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7045-2020</t>
        </is>
      </c>
      <c r="B363" s="1" t="n">
        <v>43868</v>
      </c>
      <c r="C363" s="1" t="n">
        <v>45507</v>
      </c>
      <c r="D363" t="inlineStr">
        <is>
          <t>JÄMTLANDS LÄN</t>
        </is>
      </c>
      <c r="E363" t="inlineStr">
        <is>
          <t>BRÄCKE</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7782-2020</t>
        </is>
      </c>
      <c r="B364" s="1" t="n">
        <v>43872</v>
      </c>
      <c r="C364" s="1" t="n">
        <v>45507</v>
      </c>
      <c r="D364" t="inlineStr">
        <is>
          <t>JÄMTLANDS LÄN</t>
        </is>
      </c>
      <c r="E364" t="inlineStr">
        <is>
          <t>BRÄCKE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7783-2020</t>
        </is>
      </c>
      <c r="B365" s="1" t="n">
        <v>43872</v>
      </c>
      <c r="C365" s="1" t="n">
        <v>45507</v>
      </c>
      <c r="D365" t="inlineStr">
        <is>
          <t>JÄMTLANDS LÄN</t>
        </is>
      </c>
      <c r="E365" t="inlineStr">
        <is>
          <t>BRÄCKE</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7792-2020</t>
        </is>
      </c>
      <c r="B366" s="1" t="n">
        <v>43872</v>
      </c>
      <c r="C366" s="1" t="n">
        <v>45507</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9825-2020</t>
        </is>
      </c>
      <c r="B367" s="1" t="n">
        <v>43881</v>
      </c>
      <c r="C367" s="1" t="n">
        <v>45507</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13890-2020</t>
        </is>
      </c>
      <c r="B368" s="1" t="n">
        <v>43906</v>
      </c>
      <c r="C368" s="1" t="n">
        <v>45507</v>
      </c>
      <c r="D368" t="inlineStr">
        <is>
          <t>JÄMTLANDS LÄN</t>
        </is>
      </c>
      <c r="E368" t="inlineStr">
        <is>
          <t>BRÄCKE</t>
        </is>
      </c>
      <c r="G368" t="n">
        <v>2.6</v>
      </c>
      <c r="H368" t="n">
        <v>0</v>
      </c>
      <c r="I368" t="n">
        <v>0</v>
      </c>
      <c r="J368" t="n">
        <v>0</v>
      </c>
      <c r="K368" t="n">
        <v>0</v>
      </c>
      <c r="L368" t="n">
        <v>0</v>
      </c>
      <c r="M368" t="n">
        <v>0</v>
      </c>
      <c r="N368" t="n">
        <v>0</v>
      </c>
      <c r="O368" t="n">
        <v>0</v>
      </c>
      <c r="P368" t="n">
        <v>0</v>
      </c>
      <c r="Q368" t="n">
        <v>0</v>
      </c>
      <c r="R368" s="2" t="inlineStr"/>
    </row>
    <row r="369" ht="15" customHeight="1">
      <c r="A369" t="inlineStr">
        <is>
          <t>A 15404-2020</t>
        </is>
      </c>
      <c r="B369" s="1" t="n">
        <v>43913</v>
      </c>
      <c r="C369" s="1" t="n">
        <v>45507</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15405-2020</t>
        </is>
      </c>
      <c r="B370" s="1" t="n">
        <v>43913</v>
      </c>
      <c r="C370" s="1" t="n">
        <v>45507</v>
      </c>
      <c r="D370" t="inlineStr">
        <is>
          <t>JÄMTLANDS LÄN</t>
        </is>
      </c>
      <c r="E370" t="inlineStr">
        <is>
          <t>BRÄCKE</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15898-2020</t>
        </is>
      </c>
      <c r="B371" s="1" t="n">
        <v>43915</v>
      </c>
      <c r="C371" s="1" t="n">
        <v>45507</v>
      </c>
      <c r="D371" t="inlineStr">
        <is>
          <t>JÄMTLANDS LÄN</t>
        </is>
      </c>
      <c r="E371" t="inlineStr">
        <is>
          <t>BRÄCKE</t>
        </is>
      </c>
      <c r="F371" t="inlineStr">
        <is>
          <t>SCA</t>
        </is>
      </c>
      <c r="G371" t="n">
        <v>6.6</v>
      </c>
      <c r="H371" t="n">
        <v>0</v>
      </c>
      <c r="I371" t="n">
        <v>0</v>
      </c>
      <c r="J371" t="n">
        <v>0</v>
      </c>
      <c r="K371" t="n">
        <v>0</v>
      </c>
      <c r="L371" t="n">
        <v>0</v>
      </c>
      <c r="M371" t="n">
        <v>0</v>
      </c>
      <c r="N371" t="n">
        <v>0</v>
      </c>
      <c r="O371" t="n">
        <v>0</v>
      </c>
      <c r="P371" t="n">
        <v>0</v>
      </c>
      <c r="Q371" t="n">
        <v>0</v>
      </c>
      <c r="R371" s="2" t="inlineStr"/>
    </row>
    <row r="372" ht="15" customHeight="1">
      <c r="A372" t="inlineStr">
        <is>
          <t>A 16158-2020</t>
        </is>
      </c>
      <c r="B372" s="1" t="n">
        <v>43916</v>
      </c>
      <c r="C372" s="1" t="n">
        <v>45507</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16769-2020</t>
        </is>
      </c>
      <c r="B373" s="1" t="n">
        <v>43920</v>
      </c>
      <c r="C373" s="1" t="n">
        <v>45507</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17081-2020</t>
        </is>
      </c>
      <c r="B374" s="1" t="n">
        <v>43921</v>
      </c>
      <c r="C374" s="1" t="n">
        <v>45507</v>
      </c>
      <c r="D374" t="inlineStr">
        <is>
          <t>JÄMTLANDS LÄN</t>
        </is>
      </c>
      <c r="E374" t="inlineStr">
        <is>
          <t>BRÄCKE</t>
        </is>
      </c>
      <c r="G374" t="n">
        <v>13.6</v>
      </c>
      <c r="H374" t="n">
        <v>0</v>
      </c>
      <c r="I374" t="n">
        <v>0</v>
      </c>
      <c r="J374" t="n">
        <v>0</v>
      </c>
      <c r="K374" t="n">
        <v>0</v>
      </c>
      <c r="L374" t="n">
        <v>0</v>
      </c>
      <c r="M374" t="n">
        <v>0</v>
      </c>
      <c r="N374" t="n">
        <v>0</v>
      </c>
      <c r="O374" t="n">
        <v>0</v>
      </c>
      <c r="P374" t="n">
        <v>0</v>
      </c>
      <c r="Q374" t="n">
        <v>0</v>
      </c>
      <c r="R374" s="2" t="inlineStr"/>
    </row>
    <row r="375" ht="15" customHeight="1">
      <c r="A375" t="inlineStr">
        <is>
          <t>A 17082-2020</t>
        </is>
      </c>
      <c r="B375" s="1" t="n">
        <v>43921</v>
      </c>
      <c r="C375" s="1" t="n">
        <v>45507</v>
      </c>
      <c r="D375" t="inlineStr">
        <is>
          <t>JÄMTLANDS LÄN</t>
        </is>
      </c>
      <c r="E375" t="inlineStr">
        <is>
          <t>BRÄCKE</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17078-2020</t>
        </is>
      </c>
      <c r="B376" s="1" t="n">
        <v>43921</v>
      </c>
      <c r="C376" s="1" t="n">
        <v>45507</v>
      </c>
      <c r="D376" t="inlineStr">
        <is>
          <t>JÄMTLANDS LÄN</t>
        </is>
      </c>
      <c r="E376" t="inlineStr">
        <is>
          <t>BRÄCKE</t>
        </is>
      </c>
      <c r="G376" t="n">
        <v>1</v>
      </c>
      <c r="H376" t="n">
        <v>0</v>
      </c>
      <c r="I376" t="n">
        <v>0</v>
      </c>
      <c r="J376" t="n">
        <v>0</v>
      </c>
      <c r="K376" t="n">
        <v>0</v>
      </c>
      <c r="L376" t="n">
        <v>0</v>
      </c>
      <c r="M376" t="n">
        <v>0</v>
      </c>
      <c r="N376" t="n">
        <v>0</v>
      </c>
      <c r="O376" t="n">
        <v>0</v>
      </c>
      <c r="P376" t="n">
        <v>0</v>
      </c>
      <c r="Q376" t="n">
        <v>0</v>
      </c>
      <c r="R376" s="2" t="inlineStr"/>
    </row>
    <row r="377" ht="15" customHeight="1">
      <c r="A377" t="inlineStr">
        <is>
          <t>A 17677-2020</t>
        </is>
      </c>
      <c r="B377" s="1" t="n">
        <v>43923</v>
      </c>
      <c r="C377" s="1" t="n">
        <v>45507</v>
      </c>
      <c r="D377" t="inlineStr">
        <is>
          <t>JÄMTLANDS LÄN</t>
        </is>
      </c>
      <c r="E377" t="inlineStr">
        <is>
          <t>BRÄCKE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17887-2020</t>
        </is>
      </c>
      <c r="B378" s="1" t="n">
        <v>43924</v>
      </c>
      <c r="C378" s="1" t="n">
        <v>45507</v>
      </c>
      <c r="D378" t="inlineStr">
        <is>
          <t>JÄMTLANDS LÄN</t>
        </is>
      </c>
      <c r="E378" t="inlineStr">
        <is>
          <t>BRÄCKE</t>
        </is>
      </c>
      <c r="F378" t="inlineStr">
        <is>
          <t>SCA</t>
        </is>
      </c>
      <c r="G378" t="n">
        <v>18.4</v>
      </c>
      <c r="H378" t="n">
        <v>0</v>
      </c>
      <c r="I378" t="n">
        <v>0</v>
      </c>
      <c r="J378" t="n">
        <v>0</v>
      </c>
      <c r="K378" t="n">
        <v>0</v>
      </c>
      <c r="L378" t="n">
        <v>0</v>
      </c>
      <c r="M378" t="n">
        <v>0</v>
      </c>
      <c r="N378" t="n">
        <v>0</v>
      </c>
      <c r="O378" t="n">
        <v>0</v>
      </c>
      <c r="P378" t="n">
        <v>0</v>
      </c>
      <c r="Q378" t="n">
        <v>0</v>
      </c>
      <c r="R378" s="2" t="inlineStr"/>
    </row>
    <row r="379" ht="15" customHeight="1">
      <c r="A379" t="inlineStr">
        <is>
          <t>A 18654-2020</t>
        </is>
      </c>
      <c r="B379" s="1" t="n">
        <v>43927</v>
      </c>
      <c r="C379" s="1" t="n">
        <v>45507</v>
      </c>
      <c r="D379" t="inlineStr">
        <is>
          <t>JÄMTLANDS LÄN</t>
        </is>
      </c>
      <c r="E379" t="inlineStr">
        <is>
          <t>BRÄCKE</t>
        </is>
      </c>
      <c r="G379" t="n">
        <v>0.4</v>
      </c>
      <c r="H379" t="n">
        <v>0</v>
      </c>
      <c r="I379" t="n">
        <v>0</v>
      </c>
      <c r="J379" t="n">
        <v>0</v>
      </c>
      <c r="K379" t="n">
        <v>0</v>
      </c>
      <c r="L379" t="n">
        <v>0</v>
      </c>
      <c r="M379" t="n">
        <v>0</v>
      </c>
      <c r="N379" t="n">
        <v>0</v>
      </c>
      <c r="O379" t="n">
        <v>0</v>
      </c>
      <c r="P379" t="n">
        <v>0</v>
      </c>
      <c r="Q379" t="n">
        <v>0</v>
      </c>
      <c r="R379" s="2" t="inlineStr"/>
    </row>
    <row r="380" ht="15" customHeight="1">
      <c r="A380" t="inlineStr">
        <is>
          <t>A 19314-2020</t>
        </is>
      </c>
      <c r="B380" s="1" t="n">
        <v>43937</v>
      </c>
      <c r="C380" s="1" t="n">
        <v>45507</v>
      </c>
      <c r="D380" t="inlineStr">
        <is>
          <t>JÄMTLANDS LÄN</t>
        </is>
      </c>
      <c r="E380" t="inlineStr">
        <is>
          <t>BRÄCKE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20034-2020</t>
        </is>
      </c>
      <c r="B381" s="1" t="n">
        <v>43943</v>
      </c>
      <c r="C381" s="1" t="n">
        <v>45507</v>
      </c>
      <c r="D381" t="inlineStr">
        <is>
          <t>JÄMTLANDS LÄN</t>
        </is>
      </c>
      <c r="E381" t="inlineStr">
        <is>
          <t>BRÄCKE</t>
        </is>
      </c>
      <c r="G381" t="n">
        <v>3.2</v>
      </c>
      <c r="H381" t="n">
        <v>0</v>
      </c>
      <c r="I381" t="n">
        <v>0</v>
      </c>
      <c r="J381" t="n">
        <v>0</v>
      </c>
      <c r="K381" t="n">
        <v>0</v>
      </c>
      <c r="L381" t="n">
        <v>0</v>
      </c>
      <c r="M381" t="n">
        <v>0</v>
      </c>
      <c r="N381" t="n">
        <v>0</v>
      </c>
      <c r="O381" t="n">
        <v>0</v>
      </c>
      <c r="P381" t="n">
        <v>0</v>
      </c>
      <c r="Q381" t="n">
        <v>0</v>
      </c>
      <c r="R381" s="2" t="inlineStr"/>
    </row>
    <row r="382" ht="15" customHeight="1">
      <c r="A382" t="inlineStr">
        <is>
          <t>A 20426-2020</t>
        </is>
      </c>
      <c r="B382" s="1" t="n">
        <v>43945</v>
      </c>
      <c r="C382" s="1" t="n">
        <v>45507</v>
      </c>
      <c r="D382" t="inlineStr">
        <is>
          <t>JÄMTLANDS LÄN</t>
        </is>
      </c>
      <c r="E382" t="inlineStr">
        <is>
          <t>BRÄCKE</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20617-2020</t>
        </is>
      </c>
      <c r="B383" s="1" t="n">
        <v>43948</v>
      </c>
      <c r="C383" s="1" t="n">
        <v>45507</v>
      </c>
      <c r="D383" t="inlineStr">
        <is>
          <t>JÄMTLANDS LÄN</t>
        </is>
      </c>
      <c r="E383" t="inlineStr">
        <is>
          <t>BRÄCKE</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21426-2020</t>
        </is>
      </c>
      <c r="B384" s="1" t="n">
        <v>43955</v>
      </c>
      <c r="C384" s="1" t="n">
        <v>45507</v>
      </c>
      <c r="D384" t="inlineStr">
        <is>
          <t>JÄMTLANDS LÄN</t>
        </is>
      </c>
      <c r="E384" t="inlineStr">
        <is>
          <t>BRÄCKE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21425-2020</t>
        </is>
      </c>
      <c r="B385" s="1" t="n">
        <v>43955</v>
      </c>
      <c r="C385" s="1" t="n">
        <v>45507</v>
      </c>
      <c r="D385" t="inlineStr">
        <is>
          <t>JÄMTLANDS LÄN</t>
        </is>
      </c>
      <c r="E385" t="inlineStr">
        <is>
          <t>BRÄCKE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22081-2020</t>
        </is>
      </c>
      <c r="B386" s="1" t="n">
        <v>43959</v>
      </c>
      <c r="C386" s="1" t="n">
        <v>45507</v>
      </c>
      <c r="D386" t="inlineStr">
        <is>
          <t>JÄMTLANDS LÄN</t>
        </is>
      </c>
      <c r="E386" t="inlineStr">
        <is>
          <t>BRÄCKE</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24038-2020</t>
        </is>
      </c>
      <c r="B387" s="1" t="n">
        <v>43972</v>
      </c>
      <c r="C387" s="1" t="n">
        <v>45507</v>
      </c>
      <c r="D387" t="inlineStr">
        <is>
          <t>JÄMTLANDS LÄN</t>
        </is>
      </c>
      <c r="E387" t="inlineStr">
        <is>
          <t>BRÄCKE</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24244-2020</t>
        </is>
      </c>
      <c r="B388" s="1" t="n">
        <v>43976</v>
      </c>
      <c r="C388" s="1" t="n">
        <v>45507</v>
      </c>
      <c r="D388" t="inlineStr">
        <is>
          <t>JÄMTLANDS LÄN</t>
        </is>
      </c>
      <c r="E388" t="inlineStr">
        <is>
          <t>BRÄCKE</t>
        </is>
      </c>
      <c r="G388" t="n">
        <v>1.4</v>
      </c>
      <c r="H388" t="n">
        <v>0</v>
      </c>
      <c r="I388" t="n">
        <v>0</v>
      </c>
      <c r="J388" t="n">
        <v>0</v>
      </c>
      <c r="K388" t="n">
        <v>0</v>
      </c>
      <c r="L388" t="n">
        <v>0</v>
      </c>
      <c r="M388" t="n">
        <v>0</v>
      </c>
      <c r="N388" t="n">
        <v>0</v>
      </c>
      <c r="O388" t="n">
        <v>0</v>
      </c>
      <c r="P388" t="n">
        <v>0</v>
      </c>
      <c r="Q388" t="n">
        <v>0</v>
      </c>
      <c r="R388" s="2" t="inlineStr"/>
    </row>
    <row r="389" ht="15" customHeight="1">
      <c r="A389" t="inlineStr">
        <is>
          <t>A 24429-2020</t>
        </is>
      </c>
      <c r="B389" s="1" t="n">
        <v>43976</v>
      </c>
      <c r="C389" s="1" t="n">
        <v>45507</v>
      </c>
      <c r="D389" t="inlineStr">
        <is>
          <t>JÄMTLANDS LÄN</t>
        </is>
      </c>
      <c r="E389" t="inlineStr">
        <is>
          <t>BRÄCKE</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24863-2020</t>
        </is>
      </c>
      <c r="B390" s="1" t="n">
        <v>43978</v>
      </c>
      <c r="C390" s="1" t="n">
        <v>45507</v>
      </c>
      <c r="D390" t="inlineStr">
        <is>
          <t>JÄMTLANDS LÄN</t>
        </is>
      </c>
      <c r="E390" t="inlineStr">
        <is>
          <t>BRÄCKE</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25382-2020</t>
        </is>
      </c>
      <c r="B391" s="1" t="n">
        <v>43980</v>
      </c>
      <c r="C391" s="1" t="n">
        <v>45507</v>
      </c>
      <c r="D391" t="inlineStr">
        <is>
          <t>JÄMTLANDS LÄN</t>
        </is>
      </c>
      <c r="E391" t="inlineStr">
        <is>
          <t>BRÄCKE</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25906-2020</t>
        </is>
      </c>
      <c r="B392" s="1" t="n">
        <v>43984</v>
      </c>
      <c r="C392" s="1" t="n">
        <v>45507</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25772-2020</t>
        </is>
      </c>
      <c r="B393" s="1" t="n">
        <v>43984</v>
      </c>
      <c r="C393" s="1" t="n">
        <v>45507</v>
      </c>
      <c r="D393" t="inlineStr">
        <is>
          <t>JÄMTLANDS LÄN</t>
        </is>
      </c>
      <c r="E393" t="inlineStr">
        <is>
          <t>BRÄCKE</t>
        </is>
      </c>
      <c r="G393" t="n">
        <v>3.1</v>
      </c>
      <c r="H393" t="n">
        <v>0</v>
      </c>
      <c r="I393" t="n">
        <v>0</v>
      </c>
      <c r="J393" t="n">
        <v>0</v>
      </c>
      <c r="K393" t="n">
        <v>0</v>
      </c>
      <c r="L393" t="n">
        <v>0</v>
      </c>
      <c r="M393" t="n">
        <v>0</v>
      </c>
      <c r="N393" t="n">
        <v>0</v>
      </c>
      <c r="O393" t="n">
        <v>0</v>
      </c>
      <c r="P393" t="n">
        <v>0</v>
      </c>
      <c r="Q393" t="n">
        <v>0</v>
      </c>
      <c r="R393" s="2" t="inlineStr"/>
    </row>
    <row r="394" ht="15" customHeight="1">
      <c r="A394" t="inlineStr">
        <is>
          <t>A 26168-2020</t>
        </is>
      </c>
      <c r="B394" s="1" t="n">
        <v>43985</v>
      </c>
      <c r="C394" s="1" t="n">
        <v>45507</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26169-2020</t>
        </is>
      </c>
      <c r="B395" s="1" t="n">
        <v>43985</v>
      </c>
      <c r="C395" s="1" t="n">
        <v>45507</v>
      </c>
      <c r="D395" t="inlineStr">
        <is>
          <t>JÄMTLANDS LÄN</t>
        </is>
      </c>
      <c r="E395" t="inlineStr">
        <is>
          <t>BRÄCKE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27191-2020</t>
        </is>
      </c>
      <c r="B396" s="1" t="n">
        <v>43991</v>
      </c>
      <c r="C396" s="1" t="n">
        <v>45507</v>
      </c>
      <c r="D396" t="inlineStr">
        <is>
          <t>JÄMTLANDS LÄN</t>
        </is>
      </c>
      <c r="E396" t="inlineStr">
        <is>
          <t>BRÄCKE</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27190-2020</t>
        </is>
      </c>
      <c r="B397" s="1" t="n">
        <v>43991</v>
      </c>
      <c r="C397" s="1" t="n">
        <v>45507</v>
      </c>
      <c r="D397" t="inlineStr">
        <is>
          <t>JÄMTLANDS LÄN</t>
        </is>
      </c>
      <c r="E397" t="inlineStr">
        <is>
          <t>BRÄCKE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28213-2020</t>
        </is>
      </c>
      <c r="B398" s="1" t="n">
        <v>43997</v>
      </c>
      <c r="C398" s="1" t="n">
        <v>45507</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28701-2020</t>
        </is>
      </c>
      <c r="B399" s="1" t="n">
        <v>43997</v>
      </c>
      <c r="C399" s="1" t="n">
        <v>45507</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28174-2020</t>
        </is>
      </c>
      <c r="B400" s="1" t="n">
        <v>43997</v>
      </c>
      <c r="C400" s="1" t="n">
        <v>45507</v>
      </c>
      <c r="D400" t="inlineStr">
        <is>
          <t>JÄMTLANDS LÄN</t>
        </is>
      </c>
      <c r="E400" t="inlineStr">
        <is>
          <t>BRÄCKE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29259-2020</t>
        </is>
      </c>
      <c r="B401" s="1" t="n">
        <v>44004</v>
      </c>
      <c r="C401" s="1" t="n">
        <v>45507</v>
      </c>
      <c r="D401" t="inlineStr">
        <is>
          <t>JÄMTLANDS LÄN</t>
        </is>
      </c>
      <c r="E401" t="inlineStr">
        <is>
          <t>BRÄCKE</t>
        </is>
      </c>
      <c r="F401" t="inlineStr">
        <is>
          <t>Övriga Aktiebolag</t>
        </is>
      </c>
      <c r="G401" t="n">
        <v>40.6</v>
      </c>
      <c r="H401" t="n">
        <v>0</v>
      </c>
      <c r="I401" t="n">
        <v>0</v>
      </c>
      <c r="J401" t="n">
        <v>0</v>
      </c>
      <c r="K401" t="n">
        <v>0</v>
      </c>
      <c r="L401" t="n">
        <v>0</v>
      </c>
      <c r="M401" t="n">
        <v>0</v>
      </c>
      <c r="N401" t="n">
        <v>0</v>
      </c>
      <c r="O401" t="n">
        <v>0</v>
      </c>
      <c r="P401" t="n">
        <v>0</v>
      </c>
      <c r="Q401" t="n">
        <v>0</v>
      </c>
      <c r="R401" s="2" t="inlineStr"/>
    </row>
    <row r="402" ht="15" customHeight="1">
      <c r="A402" t="inlineStr">
        <is>
          <t>A 29489-2020</t>
        </is>
      </c>
      <c r="B402" s="1" t="n">
        <v>44004</v>
      </c>
      <c r="C402" s="1" t="n">
        <v>45507</v>
      </c>
      <c r="D402" t="inlineStr">
        <is>
          <t>JÄMTLANDS LÄN</t>
        </is>
      </c>
      <c r="E402" t="inlineStr">
        <is>
          <t>BRÄCKE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29863-2020</t>
        </is>
      </c>
      <c r="B403" s="1" t="n">
        <v>44005</v>
      </c>
      <c r="C403" s="1" t="n">
        <v>45507</v>
      </c>
      <c r="D403" t="inlineStr">
        <is>
          <t>JÄMTLANDS LÄN</t>
        </is>
      </c>
      <c r="E403" t="inlineStr">
        <is>
          <t>BRÄCKE</t>
        </is>
      </c>
      <c r="G403" t="n">
        <v>2.2</v>
      </c>
      <c r="H403" t="n">
        <v>0</v>
      </c>
      <c r="I403" t="n">
        <v>0</v>
      </c>
      <c r="J403" t="n">
        <v>0</v>
      </c>
      <c r="K403" t="n">
        <v>0</v>
      </c>
      <c r="L403" t="n">
        <v>0</v>
      </c>
      <c r="M403" t="n">
        <v>0</v>
      </c>
      <c r="N403" t="n">
        <v>0</v>
      </c>
      <c r="O403" t="n">
        <v>0</v>
      </c>
      <c r="P403" t="n">
        <v>0</v>
      </c>
      <c r="Q403" t="n">
        <v>0</v>
      </c>
      <c r="R403" s="2" t="inlineStr"/>
    </row>
    <row r="404" ht="15" customHeight="1">
      <c r="A404" t="inlineStr">
        <is>
          <t>A 30471-2020</t>
        </is>
      </c>
      <c r="B404" s="1" t="n">
        <v>44007</v>
      </c>
      <c r="C404" s="1" t="n">
        <v>45507</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30474-2020</t>
        </is>
      </c>
      <c r="B405" s="1" t="n">
        <v>44007</v>
      </c>
      <c r="C405" s="1" t="n">
        <v>45507</v>
      </c>
      <c r="D405" t="inlineStr">
        <is>
          <t>JÄMTLANDS LÄN</t>
        </is>
      </c>
      <c r="E405" t="inlineStr">
        <is>
          <t>BRÄCKE</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30475-2020</t>
        </is>
      </c>
      <c r="B406" s="1" t="n">
        <v>44007</v>
      </c>
      <c r="C406" s="1" t="n">
        <v>45507</v>
      </c>
      <c r="D406" t="inlineStr">
        <is>
          <t>JÄMTLANDS LÄN</t>
        </is>
      </c>
      <c r="E406" t="inlineStr">
        <is>
          <t>BRÄCKE</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30472-2020</t>
        </is>
      </c>
      <c r="B407" s="1" t="n">
        <v>44007</v>
      </c>
      <c r="C407" s="1" t="n">
        <v>45507</v>
      </c>
      <c r="D407" t="inlineStr">
        <is>
          <t>JÄMTLANDS LÄN</t>
        </is>
      </c>
      <c r="E407" t="inlineStr">
        <is>
          <t>BRÄCKE</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31021-2020</t>
        </is>
      </c>
      <c r="B408" s="1" t="n">
        <v>44011</v>
      </c>
      <c r="C408" s="1" t="n">
        <v>45507</v>
      </c>
      <c r="D408" t="inlineStr">
        <is>
          <t>JÄMTLANDS LÄN</t>
        </is>
      </c>
      <c r="E408" t="inlineStr">
        <is>
          <t>BRÄCKE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31448-2020</t>
        </is>
      </c>
      <c r="B409" s="1" t="n">
        <v>44012</v>
      </c>
      <c r="C409" s="1" t="n">
        <v>45507</v>
      </c>
      <c r="D409" t="inlineStr">
        <is>
          <t>JÄMTLANDS LÄN</t>
        </is>
      </c>
      <c r="E409" t="inlineStr">
        <is>
          <t>BRÄCKE</t>
        </is>
      </c>
      <c r="G409" t="n">
        <v>4.5</v>
      </c>
      <c r="H409" t="n">
        <v>0</v>
      </c>
      <c r="I409" t="n">
        <v>0</v>
      </c>
      <c r="J409" t="n">
        <v>0</v>
      </c>
      <c r="K409" t="n">
        <v>0</v>
      </c>
      <c r="L409" t="n">
        <v>0</v>
      </c>
      <c r="M409" t="n">
        <v>0</v>
      </c>
      <c r="N409" t="n">
        <v>0</v>
      </c>
      <c r="O409" t="n">
        <v>0</v>
      </c>
      <c r="P409" t="n">
        <v>0</v>
      </c>
      <c r="Q409" t="n">
        <v>0</v>
      </c>
      <c r="R409" s="2" t="inlineStr"/>
    </row>
    <row r="410" ht="15" customHeight="1">
      <c r="A410" t="inlineStr">
        <is>
          <t>A 31602-2020</t>
        </is>
      </c>
      <c r="B410" s="1" t="n">
        <v>44013</v>
      </c>
      <c r="C410" s="1" t="n">
        <v>45507</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32272-2020</t>
        </is>
      </c>
      <c r="B411" s="1" t="n">
        <v>44015</v>
      </c>
      <c r="C411" s="1" t="n">
        <v>45507</v>
      </c>
      <c r="D411" t="inlineStr">
        <is>
          <t>JÄMTLANDS LÄN</t>
        </is>
      </c>
      <c r="E411" t="inlineStr">
        <is>
          <t>BRÄCKE</t>
        </is>
      </c>
      <c r="G411" t="n">
        <v>2.5</v>
      </c>
      <c r="H411" t="n">
        <v>0</v>
      </c>
      <c r="I411" t="n">
        <v>0</v>
      </c>
      <c r="J411" t="n">
        <v>0</v>
      </c>
      <c r="K411" t="n">
        <v>0</v>
      </c>
      <c r="L411" t="n">
        <v>0</v>
      </c>
      <c r="M411" t="n">
        <v>0</v>
      </c>
      <c r="N411" t="n">
        <v>0</v>
      </c>
      <c r="O411" t="n">
        <v>0</v>
      </c>
      <c r="P411" t="n">
        <v>0</v>
      </c>
      <c r="Q411" t="n">
        <v>0</v>
      </c>
      <c r="R411" s="2" t="inlineStr"/>
    </row>
    <row r="412" ht="15" customHeight="1">
      <c r="A412" t="inlineStr">
        <is>
          <t>A 32710-2020</t>
        </is>
      </c>
      <c r="B412" s="1" t="n">
        <v>44018</v>
      </c>
      <c r="C412" s="1" t="n">
        <v>45507</v>
      </c>
      <c r="D412" t="inlineStr">
        <is>
          <t>JÄMTLANDS LÄN</t>
        </is>
      </c>
      <c r="E412" t="inlineStr">
        <is>
          <t>BRÄCKE</t>
        </is>
      </c>
      <c r="G412" t="n">
        <v>1.9</v>
      </c>
      <c r="H412" t="n">
        <v>0</v>
      </c>
      <c r="I412" t="n">
        <v>0</v>
      </c>
      <c r="J412" t="n">
        <v>0</v>
      </c>
      <c r="K412" t="n">
        <v>0</v>
      </c>
      <c r="L412" t="n">
        <v>0</v>
      </c>
      <c r="M412" t="n">
        <v>0</v>
      </c>
      <c r="N412" t="n">
        <v>0</v>
      </c>
      <c r="O412" t="n">
        <v>0</v>
      </c>
      <c r="P412" t="n">
        <v>0</v>
      </c>
      <c r="Q412" t="n">
        <v>0</v>
      </c>
      <c r="R412" s="2" t="inlineStr"/>
    </row>
    <row r="413" ht="15" customHeight="1">
      <c r="A413" t="inlineStr">
        <is>
          <t>A 33198-2020</t>
        </is>
      </c>
      <c r="B413" s="1" t="n">
        <v>44021</v>
      </c>
      <c r="C413" s="1" t="n">
        <v>45507</v>
      </c>
      <c r="D413" t="inlineStr">
        <is>
          <t>JÄMTLANDS LÄN</t>
        </is>
      </c>
      <c r="E413" t="inlineStr">
        <is>
          <t>BRÄCKE</t>
        </is>
      </c>
      <c r="G413" t="n">
        <v>3.2</v>
      </c>
      <c r="H413" t="n">
        <v>0</v>
      </c>
      <c r="I413" t="n">
        <v>0</v>
      </c>
      <c r="J413" t="n">
        <v>0</v>
      </c>
      <c r="K413" t="n">
        <v>0</v>
      </c>
      <c r="L413" t="n">
        <v>0</v>
      </c>
      <c r="M413" t="n">
        <v>0</v>
      </c>
      <c r="N413" t="n">
        <v>0</v>
      </c>
      <c r="O413" t="n">
        <v>0</v>
      </c>
      <c r="P413" t="n">
        <v>0</v>
      </c>
      <c r="Q413" t="n">
        <v>0</v>
      </c>
      <c r="R413" s="2" t="inlineStr"/>
    </row>
    <row r="414" ht="15" customHeight="1">
      <c r="A414" t="inlineStr">
        <is>
          <t>A 34660-2020</t>
        </is>
      </c>
      <c r="B414" s="1" t="n">
        <v>44034</v>
      </c>
      <c r="C414" s="1" t="n">
        <v>45507</v>
      </c>
      <c r="D414" t="inlineStr">
        <is>
          <t>JÄMTLANDS LÄN</t>
        </is>
      </c>
      <c r="E414" t="inlineStr">
        <is>
          <t>BRÄCKE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34659-2020</t>
        </is>
      </c>
      <c r="B415" s="1" t="n">
        <v>44034</v>
      </c>
      <c r="C415" s="1" t="n">
        <v>45507</v>
      </c>
      <c r="D415" t="inlineStr">
        <is>
          <t>JÄMTLANDS LÄN</t>
        </is>
      </c>
      <c r="E415" t="inlineStr">
        <is>
          <t>BRÄCKE</t>
        </is>
      </c>
      <c r="G415" t="n">
        <v>4.7</v>
      </c>
      <c r="H415" t="n">
        <v>0</v>
      </c>
      <c r="I415" t="n">
        <v>0</v>
      </c>
      <c r="J415" t="n">
        <v>0</v>
      </c>
      <c r="K415" t="n">
        <v>0</v>
      </c>
      <c r="L415" t="n">
        <v>0</v>
      </c>
      <c r="M415" t="n">
        <v>0</v>
      </c>
      <c r="N415" t="n">
        <v>0</v>
      </c>
      <c r="O415" t="n">
        <v>0</v>
      </c>
      <c r="P415" t="n">
        <v>0</v>
      </c>
      <c r="Q415" t="n">
        <v>0</v>
      </c>
      <c r="R415" s="2" t="inlineStr"/>
    </row>
    <row r="416" ht="15" customHeight="1">
      <c r="A416" t="inlineStr">
        <is>
          <t>A 34870-2020</t>
        </is>
      </c>
      <c r="B416" s="1" t="n">
        <v>44036</v>
      </c>
      <c r="C416" s="1" t="n">
        <v>45507</v>
      </c>
      <c r="D416" t="inlineStr">
        <is>
          <t>JÄMTLANDS LÄN</t>
        </is>
      </c>
      <c r="E416" t="inlineStr">
        <is>
          <t>BRÄCKE</t>
        </is>
      </c>
      <c r="G416" t="n">
        <v>3.2</v>
      </c>
      <c r="H416" t="n">
        <v>0</v>
      </c>
      <c r="I416" t="n">
        <v>0</v>
      </c>
      <c r="J416" t="n">
        <v>0</v>
      </c>
      <c r="K416" t="n">
        <v>0</v>
      </c>
      <c r="L416" t="n">
        <v>0</v>
      </c>
      <c r="M416" t="n">
        <v>0</v>
      </c>
      <c r="N416" t="n">
        <v>0</v>
      </c>
      <c r="O416" t="n">
        <v>0</v>
      </c>
      <c r="P416" t="n">
        <v>0</v>
      </c>
      <c r="Q416" t="n">
        <v>0</v>
      </c>
      <c r="R416" s="2" t="inlineStr"/>
    </row>
    <row r="417" ht="15" customHeight="1">
      <c r="A417" t="inlineStr">
        <is>
          <t>A 35250-2020</t>
        </is>
      </c>
      <c r="B417" s="1" t="n">
        <v>44041</v>
      </c>
      <c r="C417" s="1" t="n">
        <v>45507</v>
      </c>
      <c r="D417" t="inlineStr">
        <is>
          <t>JÄMTLANDS LÄN</t>
        </is>
      </c>
      <c r="E417" t="inlineStr">
        <is>
          <t>BRÄCKE</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35364-2020</t>
        </is>
      </c>
      <c r="B418" s="1" t="n">
        <v>44041</v>
      </c>
      <c r="C418" s="1" t="n">
        <v>45507</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35423-2020</t>
        </is>
      </c>
      <c r="B419" s="1" t="n">
        <v>44042</v>
      </c>
      <c r="C419" s="1" t="n">
        <v>45507</v>
      </c>
      <c r="D419" t="inlineStr">
        <is>
          <t>JÄMTLANDS LÄN</t>
        </is>
      </c>
      <c r="E419" t="inlineStr">
        <is>
          <t>BRÄCKE</t>
        </is>
      </c>
      <c r="G419" t="n">
        <v>13.2</v>
      </c>
      <c r="H419" t="n">
        <v>0</v>
      </c>
      <c r="I419" t="n">
        <v>0</v>
      </c>
      <c r="J419" t="n">
        <v>0</v>
      </c>
      <c r="K419" t="n">
        <v>0</v>
      </c>
      <c r="L419" t="n">
        <v>0</v>
      </c>
      <c r="M419" t="n">
        <v>0</v>
      </c>
      <c r="N419" t="n">
        <v>0</v>
      </c>
      <c r="O419" t="n">
        <v>0</v>
      </c>
      <c r="P419" t="n">
        <v>0</v>
      </c>
      <c r="Q419" t="n">
        <v>0</v>
      </c>
      <c r="R419" s="2" t="inlineStr"/>
    </row>
    <row r="420" ht="15" customHeight="1">
      <c r="A420" t="inlineStr">
        <is>
          <t>A 35799-2020</t>
        </is>
      </c>
      <c r="B420" s="1" t="n">
        <v>44046</v>
      </c>
      <c r="C420" s="1" t="n">
        <v>45507</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35801-2020</t>
        </is>
      </c>
      <c r="B421" s="1" t="n">
        <v>44046</v>
      </c>
      <c r="C421" s="1" t="n">
        <v>45507</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35800-2020</t>
        </is>
      </c>
      <c r="B422" s="1" t="n">
        <v>44046</v>
      </c>
      <c r="C422" s="1" t="n">
        <v>45507</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35808-2020</t>
        </is>
      </c>
      <c r="B423" s="1" t="n">
        <v>44046</v>
      </c>
      <c r="C423" s="1" t="n">
        <v>45507</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36671-2020</t>
        </is>
      </c>
      <c r="B424" s="1" t="n">
        <v>44050</v>
      </c>
      <c r="C424" s="1" t="n">
        <v>45507</v>
      </c>
      <c r="D424" t="inlineStr">
        <is>
          <t>JÄMTLANDS LÄN</t>
        </is>
      </c>
      <c r="E424" t="inlineStr">
        <is>
          <t>BRÄCKE</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36661-2020</t>
        </is>
      </c>
      <c r="B425" s="1" t="n">
        <v>44050</v>
      </c>
      <c r="C425" s="1" t="n">
        <v>45507</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36971-2020</t>
        </is>
      </c>
      <c r="B426" s="1" t="n">
        <v>44053</v>
      </c>
      <c r="C426" s="1" t="n">
        <v>45507</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37236-2020</t>
        </is>
      </c>
      <c r="B427" s="1" t="n">
        <v>44055</v>
      </c>
      <c r="C427" s="1" t="n">
        <v>45507</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37229-2020</t>
        </is>
      </c>
      <c r="B428" s="1" t="n">
        <v>44054</v>
      </c>
      <c r="C428" s="1" t="n">
        <v>45507</v>
      </c>
      <c r="D428" t="inlineStr">
        <is>
          <t>JÄMTLANDS LÄN</t>
        </is>
      </c>
      <c r="E428" t="inlineStr">
        <is>
          <t>BRÄCKE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38084-2020</t>
        </is>
      </c>
      <c r="B429" s="1" t="n">
        <v>44057</v>
      </c>
      <c r="C429" s="1" t="n">
        <v>45507</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38082-2020</t>
        </is>
      </c>
      <c r="B430" s="1" t="n">
        <v>44057</v>
      </c>
      <c r="C430" s="1" t="n">
        <v>45507</v>
      </c>
      <c r="D430" t="inlineStr">
        <is>
          <t>JÄMTLANDS LÄN</t>
        </is>
      </c>
      <c r="E430" t="inlineStr">
        <is>
          <t>BRÄCKE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38101-2020</t>
        </is>
      </c>
      <c r="B431" s="1" t="n">
        <v>44057</v>
      </c>
      <c r="C431" s="1" t="n">
        <v>45507</v>
      </c>
      <c r="D431" t="inlineStr">
        <is>
          <t>JÄMTLANDS LÄN</t>
        </is>
      </c>
      <c r="E431" t="inlineStr">
        <is>
          <t>BRÄCKE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38105-2020</t>
        </is>
      </c>
      <c r="B432" s="1" t="n">
        <v>44057</v>
      </c>
      <c r="C432" s="1" t="n">
        <v>45507</v>
      </c>
      <c r="D432" t="inlineStr">
        <is>
          <t>JÄMTLANDS LÄN</t>
        </is>
      </c>
      <c r="E432" t="inlineStr">
        <is>
          <t>BRÄCKE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38459-2020</t>
        </is>
      </c>
      <c r="B433" s="1" t="n">
        <v>44060</v>
      </c>
      <c r="C433" s="1" t="n">
        <v>45507</v>
      </c>
      <c r="D433" t="inlineStr">
        <is>
          <t>JÄMTLANDS LÄN</t>
        </is>
      </c>
      <c r="E433" t="inlineStr">
        <is>
          <t>BRÄCKE</t>
        </is>
      </c>
      <c r="G433" t="n">
        <v>4.9</v>
      </c>
      <c r="H433" t="n">
        <v>0</v>
      </c>
      <c r="I433" t="n">
        <v>0</v>
      </c>
      <c r="J433" t="n">
        <v>0</v>
      </c>
      <c r="K433" t="n">
        <v>0</v>
      </c>
      <c r="L433" t="n">
        <v>0</v>
      </c>
      <c r="M433" t="n">
        <v>0</v>
      </c>
      <c r="N433" t="n">
        <v>0</v>
      </c>
      <c r="O433" t="n">
        <v>0</v>
      </c>
      <c r="P433" t="n">
        <v>0</v>
      </c>
      <c r="Q433" t="n">
        <v>0</v>
      </c>
      <c r="R433" s="2" t="inlineStr"/>
    </row>
    <row r="434" ht="15" customHeight="1">
      <c r="A434" t="inlineStr">
        <is>
          <t>A 38787-2020</t>
        </is>
      </c>
      <c r="B434" s="1" t="n">
        <v>44061</v>
      </c>
      <c r="C434" s="1" t="n">
        <v>45507</v>
      </c>
      <c r="D434" t="inlineStr">
        <is>
          <t>JÄMTLANDS LÄN</t>
        </is>
      </c>
      <c r="E434" t="inlineStr">
        <is>
          <t>BRÄCKE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39053-2020</t>
        </is>
      </c>
      <c r="B435" s="1" t="n">
        <v>44062</v>
      </c>
      <c r="C435" s="1" t="n">
        <v>45507</v>
      </c>
      <c r="D435" t="inlineStr">
        <is>
          <t>JÄMTLANDS LÄN</t>
        </is>
      </c>
      <c r="E435" t="inlineStr">
        <is>
          <t>BRÄCKE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39043-2020</t>
        </is>
      </c>
      <c r="B436" s="1" t="n">
        <v>44062</v>
      </c>
      <c r="C436" s="1" t="n">
        <v>45507</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39052-2020</t>
        </is>
      </c>
      <c r="B437" s="1" t="n">
        <v>44062</v>
      </c>
      <c r="C437" s="1" t="n">
        <v>45507</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39350-2020</t>
        </is>
      </c>
      <c r="B438" s="1" t="n">
        <v>44063</v>
      </c>
      <c r="C438" s="1" t="n">
        <v>45507</v>
      </c>
      <c r="D438" t="inlineStr">
        <is>
          <t>JÄMTLANDS LÄN</t>
        </is>
      </c>
      <c r="E438" t="inlineStr">
        <is>
          <t>BRÄCKE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39337-2020</t>
        </is>
      </c>
      <c r="B439" s="1" t="n">
        <v>44063</v>
      </c>
      <c r="C439" s="1" t="n">
        <v>45507</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39351-2020</t>
        </is>
      </c>
      <c r="B440" s="1" t="n">
        <v>44063</v>
      </c>
      <c r="C440" s="1" t="n">
        <v>45507</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39998-2020</t>
        </is>
      </c>
      <c r="B441" s="1" t="n">
        <v>44067</v>
      </c>
      <c r="C441" s="1" t="n">
        <v>45507</v>
      </c>
      <c r="D441" t="inlineStr">
        <is>
          <t>JÄMTLANDS LÄN</t>
        </is>
      </c>
      <c r="E441" t="inlineStr">
        <is>
          <t>BRÄCKE</t>
        </is>
      </c>
      <c r="G441" t="n">
        <v>3.9</v>
      </c>
      <c r="H441" t="n">
        <v>0</v>
      </c>
      <c r="I441" t="n">
        <v>0</v>
      </c>
      <c r="J441" t="n">
        <v>0</v>
      </c>
      <c r="K441" t="n">
        <v>0</v>
      </c>
      <c r="L441" t="n">
        <v>0</v>
      </c>
      <c r="M441" t="n">
        <v>0</v>
      </c>
      <c r="N441" t="n">
        <v>0</v>
      </c>
      <c r="O441" t="n">
        <v>0</v>
      </c>
      <c r="P441" t="n">
        <v>0</v>
      </c>
      <c r="Q441" t="n">
        <v>0</v>
      </c>
      <c r="R441" s="2" t="inlineStr"/>
    </row>
    <row r="442" ht="15" customHeight="1">
      <c r="A442" t="inlineStr">
        <is>
          <t>A 40057-2020</t>
        </is>
      </c>
      <c r="B442" s="1" t="n">
        <v>44068</v>
      </c>
      <c r="C442" s="1" t="n">
        <v>45507</v>
      </c>
      <c r="D442" t="inlineStr">
        <is>
          <t>JÄMTLANDS LÄN</t>
        </is>
      </c>
      <c r="E442" t="inlineStr">
        <is>
          <t>BRÄCKE</t>
        </is>
      </c>
      <c r="G442" t="n">
        <v>25.5</v>
      </c>
      <c r="H442" t="n">
        <v>0</v>
      </c>
      <c r="I442" t="n">
        <v>0</v>
      </c>
      <c r="J442" t="n">
        <v>0</v>
      </c>
      <c r="K442" t="n">
        <v>0</v>
      </c>
      <c r="L442" t="n">
        <v>0</v>
      </c>
      <c r="M442" t="n">
        <v>0</v>
      </c>
      <c r="N442" t="n">
        <v>0</v>
      </c>
      <c r="O442" t="n">
        <v>0</v>
      </c>
      <c r="P442" t="n">
        <v>0</v>
      </c>
      <c r="Q442" t="n">
        <v>0</v>
      </c>
      <c r="R442" s="2" t="inlineStr"/>
    </row>
    <row r="443" ht="15" customHeight="1">
      <c r="A443" t="inlineStr">
        <is>
          <t>A 40083-2020</t>
        </is>
      </c>
      <c r="B443" s="1" t="n">
        <v>44067</v>
      </c>
      <c r="C443" s="1" t="n">
        <v>45507</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40387-2020</t>
        </is>
      </c>
      <c r="B444" s="1" t="n">
        <v>44068</v>
      </c>
      <c r="C444" s="1" t="n">
        <v>45507</v>
      </c>
      <c r="D444" t="inlineStr">
        <is>
          <t>JÄMTLANDS LÄN</t>
        </is>
      </c>
      <c r="E444" t="inlineStr">
        <is>
          <t>BRÄCKE</t>
        </is>
      </c>
      <c r="F444" t="inlineStr">
        <is>
          <t>SCA</t>
        </is>
      </c>
      <c r="G444" t="n">
        <v>5.2</v>
      </c>
      <c r="H444" t="n">
        <v>0</v>
      </c>
      <c r="I444" t="n">
        <v>0</v>
      </c>
      <c r="J444" t="n">
        <v>0</v>
      </c>
      <c r="K444" t="n">
        <v>0</v>
      </c>
      <c r="L444" t="n">
        <v>0</v>
      </c>
      <c r="M444" t="n">
        <v>0</v>
      </c>
      <c r="N444" t="n">
        <v>0</v>
      </c>
      <c r="O444" t="n">
        <v>0</v>
      </c>
      <c r="P444" t="n">
        <v>0</v>
      </c>
      <c r="Q444" t="n">
        <v>0</v>
      </c>
      <c r="R444" s="2" t="inlineStr"/>
    </row>
    <row r="445" ht="15" customHeight="1">
      <c r="A445" t="inlineStr">
        <is>
          <t>A 41025-2020</t>
        </is>
      </c>
      <c r="B445" s="1" t="n">
        <v>44071</v>
      </c>
      <c r="C445" s="1" t="n">
        <v>45507</v>
      </c>
      <c r="D445" t="inlineStr">
        <is>
          <t>JÄMTLANDS LÄN</t>
        </is>
      </c>
      <c r="E445" t="inlineStr">
        <is>
          <t>BRÄCKE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41352-2020</t>
        </is>
      </c>
      <c r="B446" s="1" t="n">
        <v>44071</v>
      </c>
      <c r="C446" s="1" t="n">
        <v>45507</v>
      </c>
      <c r="D446" t="inlineStr">
        <is>
          <t>JÄMTLANDS LÄN</t>
        </is>
      </c>
      <c r="E446" t="inlineStr">
        <is>
          <t>BRÄCKE</t>
        </is>
      </c>
      <c r="G446" t="n">
        <v>4.3</v>
      </c>
      <c r="H446" t="n">
        <v>0</v>
      </c>
      <c r="I446" t="n">
        <v>0</v>
      </c>
      <c r="J446" t="n">
        <v>0</v>
      </c>
      <c r="K446" t="n">
        <v>0</v>
      </c>
      <c r="L446" t="n">
        <v>0</v>
      </c>
      <c r="M446" t="n">
        <v>0</v>
      </c>
      <c r="N446" t="n">
        <v>0</v>
      </c>
      <c r="O446" t="n">
        <v>0</v>
      </c>
      <c r="P446" t="n">
        <v>0</v>
      </c>
      <c r="Q446" t="n">
        <v>0</v>
      </c>
      <c r="R446" s="2" t="inlineStr"/>
    </row>
    <row r="447" ht="15" customHeight="1">
      <c r="A447" t="inlineStr">
        <is>
          <t>A 41349-2020</t>
        </is>
      </c>
      <c r="B447" s="1" t="n">
        <v>44071</v>
      </c>
      <c r="C447" s="1" t="n">
        <v>45507</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42204-2020</t>
        </is>
      </c>
      <c r="B448" s="1" t="n">
        <v>44075</v>
      </c>
      <c r="C448" s="1" t="n">
        <v>45507</v>
      </c>
      <c r="D448" t="inlineStr">
        <is>
          <t>JÄMTLANDS LÄN</t>
        </is>
      </c>
      <c r="E448" t="inlineStr">
        <is>
          <t>BRÄCKE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42203-2020</t>
        </is>
      </c>
      <c r="B449" s="1" t="n">
        <v>44075</v>
      </c>
      <c r="C449" s="1" t="n">
        <v>45507</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42202-2020</t>
        </is>
      </c>
      <c r="B450" s="1" t="n">
        <v>44075</v>
      </c>
      <c r="C450" s="1" t="n">
        <v>45507</v>
      </c>
      <c r="D450" t="inlineStr">
        <is>
          <t>JÄMTLANDS LÄN</t>
        </is>
      </c>
      <c r="E450" t="inlineStr">
        <is>
          <t>BRÄCKE</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42897-2020</t>
        </is>
      </c>
      <c r="B451" s="1" t="n">
        <v>44078</v>
      </c>
      <c r="C451" s="1" t="n">
        <v>45507</v>
      </c>
      <c r="D451" t="inlineStr">
        <is>
          <t>JÄMTLANDS LÄN</t>
        </is>
      </c>
      <c r="E451" t="inlineStr">
        <is>
          <t>BRÄCKE</t>
        </is>
      </c>
      <c r="G451" t="n">
        <v>12.9</v>
      </c>
      <c r="H451" t="n">
        <v>0</v>
      </c>
      <c r="I451" t="n">
        <v>0</v>
      </c>
      <c r="J451" t="n">
        <v>0</v>
      </c>
      <c r="K451" t="n">
        <v>0</v>
      </c>
      <c r="L451" t="n">
        <v>0</v>
      </c>
      <c r="M451" t="n">
        <v>0</v>
      </c>
      <c r="N451" t="n">
        <v>0</v>
      </c>
      <c r="O451" t="n">
        <v>0</v>
      </c>
      <c r="P451" t="n">
        <v>0</v>
      </c>
      <c r="Q451" t="n">
        <v>0</v>
      </c>
      <c r="R451" s="2" t="inlineStr"/>
    </row>
    <row r="452" ht="15" customHeight="1">
      <c r="A452" t="inlineStr">
        <is>
          <t>A 43070-2020</t>
        </is>
      </c>
      <c r="B452" s="1" t="n">
        <v>44078</v>
      </c>
      <c r="C452" s="1" t="n">
        <v>45507</v>
      </c>
      <c r="D452" t="inlineStr">
        <is>
          <t>JÄMTLANDS LÄN</t>
        </is>
      </c>
      <c r="E452" t="inlineStr">
        <is>
          <t>BRÄCKE</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43075-2020</t>
        </is>
      </c>
      <c r="B453" s="1" t="n">
        <v>44078</v>
      </c>
      <c r="C453" s="1" t="n">
        <v>45507</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43085-2020</t>
        </is>
      </c>
      <c r="B454" s="1" t="n">
        <v>44078</v>
      </c>
      <c r="C454" s="1" t="n">
        <v>45507</v>
      </c>
      <c r="D454" t="inlineStr">
        <is>
          <t>JÄMTLANDS LÄN</t>
        </is>
      </c>
      <c r="E454" t="inlineStr">
        <is>
          <t>BRÄCKE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44065-2020</t>
        </is>
      </c>
      <c r="B455" s="1" t="n">
        <v>44083</v>
      </c>
      <c r="C455" s="1" t="n">
        <v>45507</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44218-2020</t>
        </is>
      </c>
      <c r="B456" s="1" t="n">
        <v>44084</v>
      </c>
      <c r="C456" s="1" t="n">
        <v>45507</v>
      </c>
      <c r="D456" t="inlineStr">
        <is>
          <t>JÄMTLANDS LÄN</t>
        </is>
      </c>
      <c r="E456" t="inlineStr">
        <is>
          <t>BRÄCKE</t>
        </is>
      </c>
      <c r="G456" t="n">
        <v>2</v>
      </c>
      <c r="H456" t="n">
        <v>0</v>
      </c>
      <c r="I456" t="n">
        <v>0</v>
      </c>
      <c r="J456" t="n">
        <v>0</v>
      </c>
      <c r="K456" t="n">
        <v>0</v>
      </c>
      <c r="L456" t="n">
        <v>0</v>
      </c>
      <c r="M456" t="n">
        <v>0</v>
      </c>
      <c r="N456" t="n">
        <v>0</v>
      </c>
      <c r="O456" t="n">
        <v>0</v>
      </c>
      <c r="P456" t="n">
        <v>0</v>
      </c>
      <c r="Q456" t="n">
        <v>0</v>
      </c>
      <c r="R456" s="2" t="inlineStr"/>
    </row>
    <row r="457" ht="15" customHeight="1">
      <c r="A457" t="inlineStr">
        <is>
          <t>A 44908-2020</t>
        </is>
      </c>
      <c r="B457" s="1" t="n">
        <v>44088</v>
      </c>
      <c r="C457" s="1" t="n">
        <v>45507</v>
      </c>
      <c r="D457" t="inlineStr">
        <is>
          <t>JÄMTLANDS LÄN</t>
        </is>
      </c>
      <c r="E457" t="inlineStr">
        <is>
          <t>BRÄCKE</t>
        </is>
      </c>
      <c r="G457" t="n">
        <v>6.1</v>
      </c>
      <c r="H457" t="n">
        <v>0</v>
      </c>
      <c r="I457" t="n">
        <v>0</v>
      </c>
      <c r="J457" t="n">
        <v>0</v>
      </c>
      <c r="K457" t="n">
        <v>0</v>
      </c>
      <c r="L457" t="n">
        <v>0</v>
      </c>
      <c r="M457" t="n">
        <v>0</v>
      </c>
      <c r="N457" t="n">
        <v>0</v>
      </c>
      <c r="O457" t="n">
        <v>0</v>
      </c>
      <c r="P457" t="n">
        <v>0</v>
      </c>
      <c r="Q457" t="n">
        <v>0</v>
      </c>
      <c r="R457" s="2" t="inlineStr"/>
    </row>
    <row r="458" ht="15" customHeight="1">
      <c r="A458" t="inlineStr">
        <is>
          <t>A 45832-2020</t>
        </is>
      </c>
      <c r="B458" s="1" t="n">
        <v>44090</v>
      </c>
      <c r="C458" s="1" t="n">
        <v>45507</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47838-2020</t>
        </is>
      </c>
      <c r="B459" s="1" t="n">
        <v>44098</v>
      </c>
      <c r="C459" s="1" t="n">
        <v>45507</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47864-2020</t>
        </is>
      </c>
      <c r="B460" s="1" t="n">
        <v>44098</v>
      </c>
      <c r="C460" s="1" t="n">
        <v>45507</v>
      </c>
      <c r="D460" t="inlineStr">
        <is>
          <t>JÄMTLANDS LÄN</t>
        </is>
      </c>
      <c r="E460" t="inlineStr">
        <is>
          <t>BRÄCKE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48667-2020</t>
        </is>
      </c>
      <c r="B461" s="1" t="n">
        <v>44098</v>
      </c>
      <c r="C461" s="1" t="n">
        <v>45507</v>
      </c>
      <c r="D461" t="inlineStr">
        <is>
          <t>JÄMTLANDS LÄN</t>
        </is>
      </c>
      <c r="E461" t="inlineStr">
        <is>
          <t>BRÄCKE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49212-2020</t>
        </is>
      </c>
      <c r="B462" s="1" t="n">
        <v>44099</v>
      </c>
      <c r="C462" s="1" t="n">
        <v>45507</v>
      </c>
      <c r="D462" t="inlineStr">
        <is>
          <t>JÄMTLANDS LÄN</t>
        </is>
      </c>
      <c r="E462" t="inlineStr">
        <is>
          <t>BRÄCKE</t>
        </is>
      </c>
      <c r="G462" t="n">
        <v>2.8</v>
      </c>
      <c r="H462" t="n">
        <v>0</v>
      </c>
      <c r="I462" t="n">
        <v>0</v>
      </c>
      <c r="J462" t="n">
        <v>0</v>
      </c>
      <c r="K462" t="n">
        <v>0</v>
      </c>
      <c r="L462" t="n">
        <v>0</v>
      </c>
      <c r="M462" t="n">
        <v>0</v>
      </c>
      <c r="N462" t="n">
        <v>0</v>
      </c>
      <c r="O462" t="n">
        <v>0</v>
      </c>
      <c r="P462" t="n">
        <v>0</v>
      </c>
      <c r="Q462" t="n">
        <v>0</v>
      </c>
      <c r="R462" s="2" t="inlineStr"/>
    </row>
    <row r="463" ht="15" customHeight="1">
      <c r="A463" t="inlineStr">
        <is>
          <t>A 48479-2020</t>
        </is>
      </c>
      <c r="B463" s="1" t="n">
        <v>44103</v>
      </c>
      <c r="C463" s="1" t="n">
        <v>45507</v>
      </c>
      <c r="D463" t="inlineStr">
        <is>
          <t>JÄMTLANDS LÄN</t>
        </is>
      </c>
      <c r="E463" t="inlineStr">
        <is>
          <t>BRÄCKE</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48799-2020</t>
        </is>
      </c>
      <c r="B464" s="1" t="n">
        <v>44103</v>
      </c>
      <c r="C464" s="1" t="n">
        <v>45507</v>
      </c>
      <c r="D464" t="inlineStr">
        <is>
          <t>JÄMTLANDS LÄN</t>
        </is>
      </c>
      <c r="E464" t="inlineStr">
        <is>
          <t>BRÄCKE</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49164-2020</t>
        </is>
      </c>
      <c r="B465" s="1" t="n">
        <v>44104</v>
      </c>
      <c r="C465" s="1" t="n">
        <v>45507</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50983-2020</t>
        </is>
      </c>
      <c r="B466" s="1" t="n">
        <v>44111</v>
      </c>
      <c r="C466" s="1" t="n">
        <v>45507</v>
      </c>
      <c r="D466" t="inlineStr">
        <is>
          <t>JÄMTLANDS LÄN</t>
        </is>
      </c>
      <c r="E466" t="inlineStr">
        <is>
          <t>BRÄCKE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50981-2020</t>
        </is>
      </c>
      <c r="B467" s="1" t="n">
        <v>44111</v>
      </c>
      <c r="C467" s="1" t="n">
        <v>45507</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53176-2020</t>
        </is>
      </c>
      <c r="B468" s="1" t="n">
        <v>44120</v>
      </c>
      <c r="C468" s="1" t="n">
        <v>45507</v>
      </c>
      <c r="D468" t="inlineStr">
        <is>
          <t>JÄMTLANDS LÄN</t>
        </is>
      </c>
      <c r="E468" t="inlineStr">
        <is>
          <t>BRÄCKE</t>
        </is>
      </c>
      <c r="F468" t="inlineStr">
        <is>
          <t>SCA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53196-2020</t>
        </is>
      </c>
      <c r="B469" s="1" t="n">
        <v>44122</v>
      </c>
      <c r="C469" s="1" t="n">
        <v>45507</v>
      </c>
      <c r="D469" t="inlineStr">
        <is>
          <t>JÄMTLANDS LÄN</t>
        </is>
      </c>
      <c r="E469" t="inlineStr">
        <is>
          <t>BRÄCKE</t>
        </is>
      </c>
      <c r="G469" t="n">
        <v>1</v>
      </c>
      <c r="H469" t="n">
        <v>0</v>
      </c>
      <c r="I469" t="n">
        <v>0</v>
      </c>
      <c r="J469" t="n">
        <v>0</v>
      </c>
      <c r="K469" t="n">
        <v>0</v>
      </c>
      <c r="L469" t="n">
        <v>0</v>
      </c>
      <c r="M469" t="n">
        <v>0</v>
      </c>
      <c r="N469" t="n">
        <v>0</v>
      </c>
      <c r="O469" t="n">
        <v>0</v>
      </c>
      <c r="P469" t="n">
        <v>0</v>
      </c>
      <c r="Q469" t="n">
        <v>0</v>
      </c>
      <c r="R469" s="2" t="inlineStr"/>
    </row>
    <row r="470" ht="15" customHeight="1">
      <c r="A470" t="inlineStr">
        <is>
          <t>A 53826-2020</t>
        </is>
      </c>
      <c r="B470" s="1" t="n">
        <v>44124</v>
      </c>
      <c r="C470" s="1" t="n">
        <v>45507</v>
      </c>
      <c r="D470" t="inlineStr">
        <is>
          <t>JÄMTLANDS LÄN</t>
        </is>
      </c>
      <c r="E470" t="inlineStr">
        <is>
          <t>BRÄCKE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53839-2020</t>
        </is>
      </c>
      <c r="B471" s="1" t="n">
        <v>44124</v>
      </c>
      <c r="C471" s="1" t="n">
        <v>45507</v>
      </c>
      <c r="D471" t="inlineStr">
        <is>
          <t>JÄMTLANDS LÄN</t>
        </is>
      </c>
      <c r="E471" t="inlineStr">
        <is>
          <t>BRÄCKE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54587-2020</t>
        </is>
      </c>
      <c r="B472" s="1" t="n">
        <v>44126</v>
      </c>
      <c r="C472" s="1" t="n">
        <v>45507</v>
      </c>
      <c r="D472" t="inlineStr">
        <is>
          <t>JÄMTLANDS LÄN</t>
        </is>
      </c>
      <c r="E472" t="inlineStr">
        <is>
          <t>BRÄCKE</t>
        </is>
      </c>
      <c r="F472" t="inlineStr">
        <is>
          <t>SCA</t>
        </is>
      </c>
      <c r="G472" t="n">
        <v>24.9</v>
      </c>
      <c r="H472" t="n">
        <v>0</v>
      </c>
      <c r="I472" t="n">
        <v>0</v>
      </c>
      <c r="J472" t="n">
        <v>0</v>
      </c>
      <c r="K472" t="n">
        <v>0</v>
      </c>
      <c r="L472" t="n">
        <v>0</v>
      </c>
      <c r="M472" t="n">
        <v>0</v>
      </c>
      <c r="N472" t="n">
        <v>0</v>
      </c>
      <c r="O472" t="n">
        <v>0</v>
      </c>
      <c r="P472" t="n">
        <v>0</v>
      </c>
      <c r="Q472" t="n">
        <v>0</v>
      </c>
      <c r="R472" s="2" t="inlineStr"/>
    </row>
    <row r="473" ht="15" customHeight="1">
      <c r="A473" t="inlineStr">
        <is>
          <t>A 55340-2020</t>
        </is>
      </c>
      <c r="B473" s="1" t="n">
        <v>44130</v>
      </c>
      <c r="C473" s="1" t="n">
        <v>45507</v>
      </c>
      <c r="D473" t="inlineStr">
        <is>
          <t>JÄMTLANDS LÄN</t>
        </is>
      </c>
      <c r="E473" t="inlineStr">
        <is>
          <t>BRÄCKE</t>
        </is>
      </c>
      <c r="F473" t="inlineStr">
        <is>
          <t>SCA</t>
        </is>
      </c>
      <c r="G473" t="n">
        <v>13.5</v>
      </c>
      <c r="H473" t="n">
        <v>0</v>
      </c>
      <c r="I473" t="n">
        <v>0</v>
      </c>
      <c r="J473" t="n">
        <v>0</v>
      </c>
      <c r="K473" t="n">
        <v>0</v>
      </c>
      <c r="L473" t="n">
        <v>0</v>
      </c>
      <c r="M473" t="n">
        <v>0</v>
      </c>
      <c r="N473" t="n">
        <v>0</v>
      </c>
      <c r="O473" t="n">
        <v>0</v>
      </c>
      <c r="P473" t="n">
        <v>0</v>
      </c>
      <c r="Q473" t="n">
        <v>0</v>
      </c>
      <c r="R473" s="2" t="inlineStr"/>
    </row>
    <row r="474" ht="15" customHeight="1">
      <c r="A474" t="inlineStr">
        <is>
          <t>A 55655-2020</t>
        </is>
      </c>
      <c r="B474" s="1" t="n">
        <v>44131</v>
      </c>
      <c r="C474" s="1" t="n">
        <v>45507</v>
      </c>
      <c r="D474" t="inlineStr">
        <is>
          <t>JÄMTLANDS LÄN</t>
        </is>
      </c>
      <c r="E474" t="inlineStr">
        <is>
          <t>BRÄCKE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55658-2020</t>
        </is>
      </c>
      <c r="B475" s="1" t="n">
        <v>44131</v>
      </c>
      <c r="C475" s="1" t="n">
        <v>45507</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55654-2020</t>
        </is>
      </c>
      <c r="B476" s="1" t="n">
        <v>44131</v>
      </c>
      <c r="C476" s="1" t="n">
        <v>45507</v>
      </c>
      <c r="D476" t="inlineStr">
        <is>
          <t>JÄMTLANDS LÄN</t>
        </is>
      </c>
      <c r="E476" t="inlineStr">
        <is>
          <t>BRÄCKE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55657-2020</t>
        </is>
      </c>
      <c r="B477" s="1" t="n">
        <v>44131</v>
      </c>
      <c r="C477" s="1" t="n">
        <v>45507</v>
      </c>
      <c r="D477" t="inlineStr">
        <is>
          <t>JÄMTLANDS LÄN</t>
        </is>
      </c>
      <c r="E477" t="inlineStr">
        <is>
          <t>BRÄCKE</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56416-2020</t>
        </is>
      </c>
      <c r="B478" s="1" t="n">
        <v>44137</v>
      </c>
      <c r="C478" s="1" t="n">
        <v>45507</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56598-2020</t>
        </is>
      </c>
      <c r="B479" s="1" t="n">
        <v>44137</v>
      </c>
      <c r="C479" s="1" t="n">
        <v>45507</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56758-2020</t>
        </is>
      </c>
      <c r="B480" s="1" t="n">
        <v>44137</v>
      </c>
      <c r="C480" s="1" t="n">
        <v>45507</v>
      </c>
      <c r="D480" t="inlineStr">
        <is>
          <t>JÄMTLANDS LÄN</t>
        </is>
      </c>
      <c r="E480" t="inlineStr">
        <is>
          <t>BRÄCKE</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56777-2020</t>
        </is>
      </c>
      <c r="B481" s="1" t="n">
        <v>44137</v>
      </c>
      <c r="C481" s="1" t="n">
        <v>45507</v>
      </c>
      <c r="D481" t="inlineStr">
        <is>
          <t>JÄMTLANDS LÄN</t>
        </is>
      </c>
      <c r="E481" t="inlineStr">
        <is>
          <t>BRÄCKE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56782-2020</t>
        </is>
      </c>
      <c r="B482" s="1" t="n">
        <v>44137</v>
      </c>
      <c r="C482" s="1" t="n">
        <v>45507</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56773-2020</t>
        </is>
      </c>
      <c r="B483" s="1" t="n">
        <v>44137</v>
      </c>
      <c r="C483" s="1" t="n">
        <v>45507</v>
      </c>
      <c r="D483" t="inlineStr">
        <is>
          <t>JÄMTLANDS LÄN</t>
        </is>
      </c>
      <c r="E483" t="inlineStr">
        <is>
          <t>BRÄCKE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56778-2020</t>
        </is>
      </c>
      <c r="B484" s="1" t="n">
        <v>44137</v>
      </c>
      <c r="C484" s="1" t="n">
        <v>45507</v>
      </c>
      <c r="D484" t="inlineStr">
        <is>
          <t>JÄMTLANDS LÄN</t>
        </is>
      </c>
      <c r="E484" t="inlineStr">
        <is>
          <t>BRÄCKE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56776-2020</t>
        </is>
      </c>
      <c r="B485" s="1" t="n">
        <v>44137</v>
      </c>
      <c r="C485" s="1" t="n">
        <v>45507</v>
      </c>
      <c r="D485" t="inlineStr">
        <is>
          <t>JÄMTLANDS LÄN</t>
        </is>
      </c>
      <c r="E485" t="inlineStr">
        <is>
          <t>BRÄCKE</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56781-2020</t>
        </is>
      </c>
      <c r="B486" s="1" t="n">
        <v>44137</v>
      </c>
      <c r="C486" s="1" t="n">
        <v>45507</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56774-2020</t>
        </is>
      </c>
      <c r="B487" s="1" t="n">
        <v>44137</v>
      </c>
      <c r="C487" s="1" t="n">
        <v>45507</v>
      </c>
      <c r="D487" t="inlineStr">
        <is>
          <t>JÄMTLANDS LÄN</t>
        </is>
      </c>
      <c r="E487" t="inlineStr">
        <is>
          <t>BRÄCKE</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56780-2020</t>
        </is>
      </c>
      <c r="B488" s="1" t="n">
        <v>44137</v>
      </c>
      <c r="C488" s="1" t="n">
        <v>45507</v>
      </c>
      <c r="D488" t="inlineStr">
        <is>
          <t>JÄMTLANDS LÄN</t>
        </is>
      </c>
      <c r="E488" t="inlineStr">
        <is>
          <t>BRÄCKE</t>
        </is>
      </c>
      <c r="G488" t="n">
        <v>0.5</v>
      </c>
      <c r="H488" t="n">
        <v>0</v>
      </c>
      <c r="I488" t="n">
        <v>0</v>
      </c>
      <c r="J488" t="n">
        <v>0</v>
      </c>
      <c r="K488" t="n">
        <v>0</v>
      </c>
      <c r="L488" t="n">
        <v>0</v>
      </c>
      <c r="M488" t="n">
        <v>0</v>
      </c>
      <c r="N488" t="n">
        <v>0</v>
      </c>
      <c r="O488" t="n">
        <v>0</v>
      </c>
      <c r="P488" t="n">
        <v>0</v>
      </c>
      <c r="Q488" t="n">
        <v>0</v>
      </c>
      <c r="R488" s="2" t="inlineStr"/>
    </row>
    <row r="489" ht="15" customHeight="1">
      <c r="A489" t="inlineStr">
        <is>
          <t>A 57072-2020</t>
        </is>
      </c>
      <c r="B489" s="1" t="n">
        <v>44138</v>
      </c>
      <c r="C489" s="1" t="n">
        <v>45507</v>
      </c>
      <c r="D489" t="inlineStr">
        <is>
          <t>JÄMTLANDS LÄN</t>
        </is>
      </c>
      <c r="E489" t="inlineStr">
        <is>
          <t>BRÄCKE</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56938-2020</t>
        </is>
      </c>
      <c r="B490" s="1" t="n">
        <v>44138</v>
      </c>
      <c r="C490" s="1" t="n">
        <v>45507</v>
      </c>
      <c r="D490" t="inlineStr">
        <is>
          <t>JÄMTLANDS LÄN</t>
        </is>
      </c>
      <c r="E490" t="inlineStr">
        <is>
          <t>BRÄCKE</t>
        </is>
      </c>
      <c r="G490" t="n">
        <v>7.3</v>
      </c>
      <c r="H490" t="n">
        <v>0</v>
      </c>
      <c r="I490" t="n">
        <v>0</v>
      </c>
      <c r="J490" t="n">
        <v>0</v>
      </c>
      <c r="K490" t="n">
        <v>0</v>
      </c>
      <c r="L490" t="n">
        <v>0</v>
      </c>
      <c r="M490" t="n">
        <v>0</v>
      </c>
      <c r="N490" t="n">
        <v>0</v>
      </c>
      <c r="O490" t="n">
        <v>0</v>
      </c>
      <c r="P490" t="n">
        <v>0</v>
      </c>
      <c r="Q490" t="n">
        <v>0</v>
      </c>
      <c r="R490" s="2" t="inlineStr"/>
    </row>
    <row r="491" ht="15" customHeight="1">
      <c r="A491" t="inlineStr">
        <is>
          <t>A 57073-2020</t>
        </is>
      </c>
      <c r="B491" s="1" t="n">
        <v>44138</v>
      </c>
      <c r="C491" s="1" t="n">
        <v>45507</v>
      </c>
      <c r="D491" t="inlineStr">
        <is>
          <t>JÄMTLANDS LÄN</t>
        </is>
      </c>
      <c r="E491" t="inlineStr">
        <is>
          <t>BRÄCKE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57716-2020</t>
        </is>
      </c>
      <c r="B492" s="1" t="n">
        <v>44140</v>
      </c>
      <c r="C492" s="1" t="n">
        <v>45507</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59331-2020</t>
        </is>
      </c>
      <c r="B493" s="1" t="n">
        <v>44147</v>
      </c>
      <c r="C493" s="1" t="n">
        <v>45507</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59397-2020</t>
        </is>
      </c>
      <c r="B494" s="1" t="n">
        <v>44148</v>
      </c>
      <c r="C494" s="1" t="n">
        <v>45507</v>
      </c>
      <c r="D494" t="inlineStr">
        <is>
          <t>JÄMTLANDS LÄN</t>
        </is>
      </c>
      <c r="E494" t="inlineStr">
        <is>
          <t>BRÄCKE</t>
        </is>
      </c>
      <c r="G494" t="n">
        <v>2.3</v>
      </c>
      <c r="H494" t="n">
        <v>0</v>
      </c>
      <c r="I494" t="n">
        <v>0</v>
      </c>
      <c r="J494" t="n">
        <v>0</v>
      </c>
      <c r="K494" t="n">
        <v>0</v>
      </c>
      <c r="L494" t="n">
        <v>0</v>
      </c>
      <c r="M494" t="n">
        <v>0</v>
      </c>
      <c r="N494" t="n">
        <v>0</v>
      </c>
      <c r="O494" t="n">
        <v>0</v>
      </c>
      <c r="P494" t="n">
        <v>0</v>
      </c>
      <c r="Q494" t="n">
        <v>0</v>
      </c>
      <c r="R494" s="2" t="inlineStr"/>
    </row>
    <row r="495" ht="15" customHeight="1">
      <c r="A495" t="inlineStr">
        <is>
          <t>A 61141-2020</t>
        </is>
      </c>
      <c r="B495" s="1" t="n">
        <v>44154</v>
      </c>
      <c r="C495" s="1" t="n">
        <v>45507</v>
      </c>
      <c r="D495" t="inlineStr">
        <is>
          <t>JÄMTLANDS LÄN</t>
        </is>
      </c>
      <c r="E495" t="inlineStr">
        <is>
          <t>BRÄCKE</t>
        </is>
      </c>
      <c r="G495" t="n">
        <v>4.3</v>
      </c>
      <c r="H495" t="n">
        <v>0</v>
      </c>
      <c r="I495" t="n">
        <v>0</v>
      </c>
      <c r="J495" t="n">
        <v>0</v>
      </c>
      <c r="K495" t="n">
        <v>0</v>
      </c>
      <c r="L495" t="n">
        <v>0</v>
      </c>
      <c r="M495" t="n">
        <v>0</v>
      </c>
      <c r="N495" t="n">
        <v>0</v>
      </c>
      <c r="O495" t="n">
        <v>0</v>
      </c>
      <c r="P495" t="n">
        <v>0</v>
      </c>
      <c r="Q495" t="n">
        <v>0</v>
      </c>
      <c r="R495" s="2" t="inlineStr"/>
    </row>
    <row r="496" ht="15" customHeight="1">
      <c r="A496" t="inlineStr">
        <is>
          <t>A 61140-2020</t>
        </is>
      </c>
      <c r="B496" s="1" t="n">
        <v>44154</v>
      </c>
      <c r="C496" s="1" t="n">
        <v>45507</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61144-2020</t>
        </is>
      </c>
      <c r="B497" s="1" t="n">
        <v>44154</v>
      </c>
      <c r="C497" s="1" t="n">
        <v>45507</v>
      </c>
      <c r="D497" t="inlineStr">
        <is>
          <t>JÄMTLANDS LÄN</t>
        </is>
      </c>
      <c r="E497" t="inlineStr">
        <is>
          <t>BRÄCKE</t>
        </is>
      </c>
      <c r="G497" t="n">
        <v>12.8</v>
      </c>
      <c r="H497" t="n">
        <v>0</v>
      </c>
      <c r="I497" t="n">
        <v>0</v>
      </c>
      <c r="J497" t="n">
        <v>0</v>
      </c>
      <c r="K497" t="n">
        <v>0</v>
      </c>
      <c r="L497" t="n">
        <v>0</v>
      </c>
      <c r="M497" t="n">
        <v>0</v>
      </c>
      <c r="N497" t="n">
        <v>0</v>
      </c>
      <c r="O497" t="n">
        <v>0</v>
      </c>
      <c r="P497" t="n">
        <v>0</v>
      </c>
      <c r="Q497" t="n">
        <v>0</v>
      </c>
      <c r="R497" s="2" t="inlineStr"/>
    </row>
    <row r="498" ht="15" customHeight="1">
      <c r="A498" t="inlineStr">
        <is>
          <t>A 61143-2020</t>
        </is>
      </c>
      <c r="B498" s="1" t="n">
        <v>44154</v>
      </c>
      <c r="C498" s="1" t="n">
        <v>45507</v>
      </c>
      <c r="D498" t="inlineStr">
        <is>
          <t>JÄMTLANDS LÄN</t>
        </is>
      </c>
      <c r="E498" t="inlineStr">
        <is>
          <t>BRÄCKE</t>
        </is>
      </c>
      <c r="G498" t="n">
        <v>12.6</v>
      </c>
      <c r="H498" t="n">
        <v>0</v>
      </c>
      <c r="I498" t="n">
        <v>0</v>
      </c>
      <c r="J498" t="n">
        <v>0</v>
      </c>
      <c r="K498" t="n">
        <v>0</v>
      </c>
      <c r="L498" t="n">
        <v>0</v>
      </c>
      <c r="M498" t="n">
        <v>0</v>
      </c>
      <c r="N498" t="n">
        <v>0</v>
      </c>
      <c r="O498" t="n">
        <v>0</v>
      </c>
      <c r="P498" t="n">
        <v>0</v>
      </c>
      <c r="Q498" t="n">
        <v>0</v>
      </c>
      <c r="R498" s="2" t="inlineStr"/>
    </row>
    <row r="499" ht="15" customHeight="1">
      <c r="A499" t="inlineStr">
        <is>
          <t>A 61602-2020</t>
        </is>
      </c>
      <c r="B499" s="1" t="n">
        <v>44158</v>
      </c>
      <c r="C499" s="1" t="n">
        <v>45507</v>
      </c>
      <c r="D499" t="inlineStr">
        <is>
          <t>JÄMTLANDS LÄN</t>
        </is>
      </c>
      <c r="E499" t="inlineStr">
        <is>
          <t>BRÄCKE</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61817-2020</t>
        </is>
      </c>
      <c r="B500" s="1" t="n">
        <v>44158</v>
      </c>
      <c r="C500" s="1" t="n">
        <v>45507</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62871-2020</t>
        </is>
      </c>
      <c r="B501" s="1" t="n">
        <v>44161</v>
      </c>
      <c r="C501" s="1" t="n">
        <v>45507</v>
      </c>
      <c r="D501" t="inlineStr">
        <is>
          <t>JÄMTLANDS LÄN</t>
        </is>
      </c>
      <c r="E501" t="inlineStr">
        <is>
          <t>BRÄCKE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62970-2020</t>
        </is>
      </c>
      <c r="B502" s="1" t="n">
        <v>44162</v>
      </c>
      <c r="C502" s="1" t="n">
        <v>45507</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64494-2020</t>
        </is>
      </c>
      <c r="B503" s="1" t="n">
        <v>44168</v>
      </c>
      <c r="C503" s="1" t="n">
        <v>45507</v>
      </c>
      <c r="D503" t="inlineStr">
        <is>
          <t>JÄMTLANDS LÄN</t>
        </is>
      </c>
      <c r="E503" t="inlineStr">
        <is>
          <t>BRÄCKE</t>
        </is>
      </c>
      <c r="G503" t="n">
        <v>4.4</v>
      </c>
      <c r="H503" t="n">
        <v>0</v>
      </c>
      <c r="I503" t="n">
        <v>0</v>
      </c>
      <c r="J503" t="n">
        <v>0</v>
      </c>
      <c r="K503" t="n">
        <v>0</v>
      </c>
      <c r="L503" t="n">
        <v>0</v>
      </c>
      <c r="M503" t="n">
        <v>0</v>
      </c>
      <c r="N503" t="n">
        <v>0</v>
      </c>
      <c r="O503" t="n">
        <v>0</v>
      </c>
      <c r="P503" t="n">
        <v>0</v>
      </c>
      <c r="Q503" t="n">
        <v>0</v>
      </c>
      <c r="R503" s="2" t="inlineStr"/>
    </row>
    <row r="504" ht="15" customHeight="1">
      <c r="A504" t="inlineStr">
        <is>
          <t>A 64495-2020</t>
        </is>
      </c>
      <c r="B504" s="1" t="n">
        <v>44168</v>
      </c>
      <c r="C504" s="1" t="n">
        <v>45507</v>
      </c>
      <c r="D504" t="inlineStr">
        <is>
          <t>JÄMTLANDS LÄN</t>
        </is>
      </c>
      <c r="E504" t="inlineStr">
        <is>
          <t>BRÄCKE</t>
        </is>
      </c>
      <c r="G504" t="n">
        <v>2.4</v>
      </c>
      <c r="H504" t="n">
        <v>0</v>
      </c>
      <c r="I504" t="n">
        <v>0</v>
      </c>
      <c r="J504" t="n">
        <v>0</v>
      </c>
      <c r="K504" t="n">
        <v>0</v>
      </c>
      <c r="L504" t="n">
        <v>0</v>
      </c>
      <c r="M504" t="n">
        <v>0</v>
      </c>
      <c r="N504" t="n">
        <v>0</v>
      </c>
      <c r="O504" t="n">
        <v>0</v>
      </c>
      <c r="P504" t="n">
        <v>0</v>
      </c>
      <c r="Q504" t="n">
        <v>0</v>
      </c>
      <c r="R504" s="2" t="inlineStr"/>
    </row>
    <row r="505" ht="15" customHeight="1">
      <c r="A505" t="inlineStr">
        <is>
          <t>A 64805-2020</t>
        </is>
      </c>
      <c r="B505" s="1" t="n">
        <v>44169</v>
      </c>
      <c r="C505" s="1" t="n">
        <v>45507</v>
      </c>
      <c r="D505" t="inlineStr">
        <is>
          <t>JÄMTLANDS LÄN</t>
        </is>
      </c>
      <c r="E505" t="inlineStr">
        <is>
          <t>BRÄCKE</t>
        </is>
      </c>
      <c r="F505" t="inlineStr">
        <is>
          <t>SCA</t>
        </is>
      </c>
      <c r="G505" t="n">
        <v>7.5</v>
      </c>
      <c r="H505" t="n">
        <v>0</v>
      </c>
      <c r="I505" t="n">
        <v>0</v>
      </c>
      <c r="J505" t="n">
        <v>0</v>
      </c>
      <c r="K505" t="n">
        <v>0</v>
      </c>
      <c r="L505" t="n">
        <v>0</v>
      </c>
      <c r="M505" t="n">
        <v>0</v>
      </c>
      <c r="N505" t="n">
        <v>0</v>
      </c>
      <c r="O505" t="n">
        <v>0</v>
      </c>
      <c r="P505" t="n">
        <v>0</v>
      </c>
      <c r="Q505" t="n">
        <v>0</v>
      </c>
      <c r="R505" s="2" t="inlineStr"/>
    </row>
    <row r="506" ht="15" customHeight="1">
      <c r="A506" t="inlineStr">
        <is>
          <t>A 64809-2020</t>
        </is>
      </c>
      <c r="B506" s="1" t="n">
        <v>44169</v>
      </c>
      <c r="C506" s="1" t="n">
        <v>45507</v>
      </c>
      <c r="D506" t="inlineStr">
        <is>
          <t>JÄMTLANDS LÄN</t>
        </is>
      </c>
      <c r="E506" t="inlineStr">
        <is>
          <t>BRÄCKE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66443-2020</t>
        </is>
      </c>
      <c r="B507" s="1" t="n">
        <v>44176</v>
      </c>
      <c r="C507" s="1" t="n">
        <v>45507</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66859-2020</t>
        </is>
      </c>
      <c r="B508" s="1" t="n">
        <v>44179</v>
      </c>
      <c r="C508" s="1" t="n">
        <v>45507</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67080-2020</t>
        </is>
      </c>
      <c r="B509" s="1" t="n">
        <v>44179</v>
      </c>
      <c r="C509" s="1" t="n">
        <v>45507</v>
      </c>
      <c r="D509" t="inlineStr">
        <is>
          <t>JÄMTLANDS LÄN</t>
        </is>
      </c>
      <c r="E509" t="inlineStr">
        <is>
          <t>BRÄCKE</t>
        </is>
      </c>
      <c r="G509" t="n">
        <v>1.9</v>
      </c>
      <c r="H509" t="n">
        <v>0</v>
      </c>
      <c r="I509" t="n">
        <v>0</v>
      </c>
      <c r="J509" t="n">
        <v>0</v>
      </c>
      <c r="K509" t="n">
        <v>0</v>
      </c>
      <c r="L509" t="n">
        <v>0</v>
      </c>
      <c r="M509" t="n">
        <v>0</v>
      </c>
      <c r="N509" t="n">
        <v>0</v>
      </c>
      <c r="O509" t="n">
        <v>0</v>
      </c>
      <c r="P509" t="n">
        <v>0</v>
      </c>
      <c r="Q509" t="n">
        <v>0</v>
      </c>
      <c r="R509" s="2" t="inlineStr"/>
    </row>
    <row r="510" ht="15" customHeight="1">
      <c r="A510" t="inlineStr">
        <is>
          <t>A 67581-2020</t>
        </is>
      </c>
      <c r="B510" s="1" t="n">
        <v>44181</v>
      </c>
      <c r="C510" s="1" t="n">
        <v>45507</v>
      </c>
      <c r="D510" t="inlineStr">
        <is>
          <t>JÄMTLANDS LÄN</t>
        </is>
      </c>
      <c r="E510" t="inlineStr">
        <is>
          <t>BRÄCKE</t>
        </is>
      </c>
      <c r="G510" t="n">
        <v>1.6</v>
      </c>
      <c r="H510" t="n">
        <v>0</v>
      </c>
      <c r="I510" t="n">
        <v>0</v>
      </c>
      <c r="J510" t="n">
        <v>0</v>
      </c>
      <c r="K510" t="n">
        <v>0</v>
      </c>
      <c r="L510" t="n">
        <v>0</v>
      </c>
      <c r="M510" t="n">
        <v>0</v>
      </c>
      <c r="N510" t="n">
        <v>0</v>
      </c>
      <c r="O510" t="n">
        <v>0</v>
      </c>
      <c r="P510" t="n">
        <v>0</v>
      </c>
      <c r="Q510" t="n">
        <v>0</v>
      </c>
      <c r="R510" s="2" t="inlineStr"/>
    </row>
    <row r="511" ht="15" customHeight="1">
      <c r="A511" t="inlineStr">
        <is>
          <t>A 67612-2020</t>
        </is>
      </c>
      <c r="B511" s="1" t="n">
        <v>44181</v>
      </c>
      <c r="C511" s="1" t="n">
        <v>45507</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67613-2020</t>
        </is>
      </c>
      <c r="B512" s="1" t="n">
        <v>44181</v>
      </c>
      <c r="C512" s="1" t="n">
        <v>45507</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67622-2020</t>
        </is>
      </c>
      <c r="B513" s="1" t="n">
        <v>44181</v>
      </c>
      <c r="C513" s="1" t="n">
        <v>45507</v>
      </c>
      <c r="D513" t="inlineStr">
        <is>
          <t>JÄMTLANDS LÄN</t>
        </is>
      </c>
      <c r="E513" t="inlineStr">
        <is>
          <t>BRÄCKE</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68362-2020</t>
        </is>
      </c>
      <c r="B514" s="1" t="n">
        <v>44186</v>
      </c>
      <c r="C514" s="1" t="n">
        <v>45507</v>
      </c>
      <c r="D514" t="inlineStr">
        <is>
          <t>JÄMTLANDS LÄN</t>
        </is>
      </c>
      <c r="E514" t="inlineStr">
        <is>
          <t>BRÄCKE</t>
        </is>
      </c>
      <c r="G514" t="n">
        <v>4.5</v>
      </c>
      <c r="H514" t="n">
        <v>0</v>
      </c>
      <c r="I514" t="n">
        <v>0</v>
      </c>
      <c r="J514" t="n">
        <v>0</v>
      </c>
      <c r="K514" t="n">
        <v>0</v>
      </c>
      <c r="L514" t="n">
        <v>0</v>
      </c>
      <c r="M514" t="n">
        <v>0</v>
      </c>
      <c r="N514" t="n">
        <v>0</v>
      </c>
      <c r="O514" t="n">
        <v>0</v>
      </c>
      <c r="P514" t="n">
        <v>0</v>
      </c>
      <c r="Q514" t="n">
        <v>0</v>
      </c>
      <c r="R514" s="2" t="inlineStr"/>
    </row>
    <row r="515" ht="15" customHeight="1">
      <c r="A515" t="inlineStr">
        <is>
          <t>A 68968-2020</t>
        </is>
      </c>
      <c r="B515" s="1" t="n">
        <v>44187</v>
      </c>
      <c r="C515" s="1" t="n">
        <v>45507</v>
      </c>
      <c r="D515" t="inlineStr">
        <is>
          <t>JÄMTLANDS LÄN</t>
        </is>
      </c>
      <c r="E515" t="inlineStr">
        <is>
          <t>BRÄCKE</t>
        </is>
      </c>
      <c r="G515" t="n">
        <v>14.2</v>
      </c>
      <c r="H515" t="n">
        <v>0</v>
      </c>
      <c r="I515" t="n">
        <v>0</v>
      </c>
      <c r="J515" t="n">
        <v>0</v>
      </c>
      <c r="K515" t="n">
        <v>0</v>
      </c>
      <c r="L515" t="n">
        <v>0</v>
      </c>
      <c r="M515" t="n">
        <v>0</v>
      </c>
      <c r="N515" t="n">
        <v>0</v>
      </c>
      <c r="O515" t="n">
        <v>0</v>
      </c>
      <c r="P515" t="n">
        <v>0</v>
      </c>
      <c r="Q515" t="n">
        <v>0</v>
      </c>
      <c r="R515" s="2" t="inlineStr"/>
    </row>
    <row r="516" ht="15" customHeight="1">
      <c r="A516" t="inlineStr">
        <is>
          <t>A 1027-2021</t>
        </is>
      </c>
      <c r="B516" s="1" t="n">
        <v>44207</v>
      </c>
      <c r="C516" s="1" t="n">
        <v>45507</v>
      </c>
      <c r="D516" t="inlineStr">
        <is>
          <t>JÄMTLANDS LÄN</t>
        </is>
      </c>
      <c r="E516" t="inlineStr">
        <is>
          <t>BRÄCKE</t>
        </is>
      </c>
      <c r="G516" t="n">
        <v>2.7</v>
      </c>
      <c r="H516" t="n">
        <v>0</v>
      </c>
      <c r="I516" t="n">
        <v>0</v>
      </c>
      <c r="J516" t="n">
        <v>0</v>
      </c>
      <c r="K516" t="n">
        <v>0</v>
      </c>
      <c r="L516" t="n">
        <v>0</v>
      </c>
      <c r="M516" t="n">
        <v>0</v>
      </c>
      <c r="N516" t="n">
        <v>0</v>
      </c>
      <c r="O516" t="n">
        <v>0</v>
      </c>
      <c r="P516" t="n">
        <v>0</v>
      </c>
      <c r="Q516" t="n">
        <v>0</v>
      </c>
      <c r="R516" s="2" t="inlineStr"/>
    </row>
    <row r="517" ht="15" customHeight="1">
      <c r="A517" t="inlineStr">
        <is>
          <t>A 1772-2021</t>
        </is>
      </c>
      <c r="B517" s="1" t="n">
        <v>44209</v>
      </c>
      <c r="C517" s="1" t="n">
        <v>45507</v>
      </c>
      <c r="D517" t="inlineStr">
        <is>
          <t>JÄMTLANDS LÄN</t>
        </is>
      </c>
      <c r="E517" t="inlineStr">
        <is>
          <t>BRÄCKE</t>
        </is>
      </c>
      <c r="G517" t="n">
        <v>1.1</v>
      </c>
      <c r="H517" t="n">
        <v>0</v>
      </c>
      <c r="I517" t="n">
        <v>0</v>
      </c>
      <c r="J517" t="n">
        <v>0</v>
      </c>
      <c r="K517" t="n">
        <v>0</v>
      </c>
      <c r="L517" t="n">
        <v>0</v>
      </c>
      <c r="M517" t="n">
        <v>0</v>
      </c>
      <c r="N517" t="n">
        <v>0</v>
      </c>
      <c r="O517" t="n">
        <v>0</v>
      </c>
      <c r="P517" t="n">
        <v>0</v>
      </c>
      <c r="Q517" t="n">
        <v>0</v>
      </c>
      <c r="R517" s="2" t="inlineStr"/>
    </row>
    <row r="518" ht="15" customHeight="1">
      <c r="A518" t="inlineStr">
        <is>
          <t>A 2829-2021</t>
        </is>
      </c>
      <c r="B518" s="1" t="n">
        <v>44215</v>
      </c>
      <c r="C518" s="1" t="n">
        <v>45507</v>
      </c>
      <c r="D518" t="inlineStr">
        <is>
          <t>JÄMTLANDS LÄN</t>
        </is>
      </c>
      <c r="E518" t="inlineStr">
        <is>
          <t>BRÄCKE</t>
        </is>
      </c>
      <c r="F518" t="inlineStr">
        <is>
          <t>SCA</t>
        </is>
      </c>
      <c r="G518" t="n">
        <v>10.3</v>
      </c>
      <c r="H518" t="n">
        <v>0</v>
      </c>
      <c r="I518" t="n">
        <v>0</v>
      </c>
      <c r="J518" t="n">
        <v>0</v>
      </c>
      <c r="K518" t="n">
        <v>0</v>
      </c>
      <c r="L518" t="n">
        <v>0</v>
      </c>
      <c r="M518" t="n">
        <v>0</v>
      </c>
      <c r="N518" t="n">
        <v>0</v>
      </c>
      <c r="O518" t="n">
        <v>0</v>
      </c>
      <c r="P518" t="n">
        <v>0</v>
      </c>
      <c r="Q518" t="n">
        <v>0</v>
      </c>
      <c r="R518" s="2" t="inlineStr"/>
    </row>
    <row r="519" ht="15" customHeight="1">
      <c r="A519" t="inlineStr">
        <is>
          <t>A 2831-2021</t>
        </is>
      </c>
      <c r="B519" s="1" t="n">
        <v>44215</v>
      </c>
      <c r="C519" s="1" t="n">
        <v>45507</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2830-2021</t>
        </is>
      </c>
      <c r="B520" s="1" t="n">
        <v>44215</v>
      </c>
      <c r="C520" s="1" t="n">
        <v>45507</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3025-2021</t>
        </is>
      </c>
      <c r="B521" s="1" t="n">
        <v>44216</v>
      </c>
      <c r="C521" s="1" t="n">
        <v>45507</v>
      </c>
      <c r="D521" t="inlineStr">
        <is>
          <t>JÄMTLANDS LÄN</t>
        </is>
      </c>
      <c r="E521" t="inlineStr">
        <is>
          <t>BRÄCKE</t>
        </is>
      </c>
      <c r="G521" t="n">
        <v>2.8</v>
      </c>
      <c r="H521" t="n">
        <v>0</v>
      </c>
      <c r="I521" t="n">
        <v>0</v>
      </c>
      <c r="J521" t="n">
        <v>0</v>
      </c>
      <c r="K521" t="n">
        <v>0</v>
      </c>
      <c r="L521" t="n">
        <v>0</v>
      </c>
      <c r="M521" t="n">
        <v>0</v>
      </c>
      <c r="N521" t="n">
        <v>0</v>
      </c>
      <c r="O521" t="n">
        <v>0</v>
      </c>
      <c r="P521" t="n">
        <v>0</v>
      </c>
      <c r="Q521" t="n">
        <v>0</v>
      </c>
      <c r="R521" s="2" t="inlineStr"/>
    </row>
    <row r="522" ht="15" customHeight="1">
      <c r="A522" t="inlineStr">
        <is>
          <t>A 5472-2021</t>
        </is>
      </c>
      <c r="B522" s="1" t="n">
        <v>44229</v>
      </c>
      <c r="C522" s="1" t="n">
        <v>45507</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5796-2021</t>
        </is>
      </c>
      <c r="B523" s="1" t="n">
        <v>44230</v>
      </c>
      <c r="C523" s="1" t="n">
        <v>45507</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6016-2021</t>
        </is>
      </c>
      <c r="B524" s="1" t="n">
        <v>44231</v>
      </c>
      <c r="C524" s="1" t="n">
        <v>45507</v>
      </c>
      <c r="D524" t="inlineStr">
        <is>
          <t>JÄMTLANDS LÄN</t>
        </is>
      </c>
      <c r="E524" t="inlineStr">
        <is>
          <t>BRÄCKE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6399-2021</t>
        </is>
      </c>
      <c r="B525" s="1" t="n">
        <v>44232</v>
      </c>
      <c r="C525" s="1" t="n">
        <v>45507</v>
      </c>
      <c r="D525" t="inlineStr">
        <is>
          <t>JÄMTLANDS LÄN</t>
        </is>
      </c>
      <c r="E525" t="inlineStr">
        <is>
          <t>BRÄCKE</t>
        </is>
      </c>
      <c r="G525" t="n">
        <v>3.1</v>
      </c>
      <c r="H525" t="n">
        <v>0</v>
      </c>
      <c r="I525" t="n">
        <v>0</v>
      </c>
      <c r="J525" t="n">
        <v>0</v>
      </c>
      <c r="K525" t="n">
        <v>0</v>
      </c>
      <c r="L525" t="n">
        <v>0</v>
      </c>
      <c r="M525" t="n">
        <v>0</v>
      </c>
      <c r="N525" t="n">
        <v>0</v>
      </c>
      <c r="O525" t="n">
        <v>0</v>
      </c>
      <c r="P525" t="n">
        <v>0</v>
      </c>
      <c r="Q525" t="n">
        <v>0</v>
      </c>
      <c r="R525" s="2" t="inlineStr"/>
    </row>
    <row r="526" ht="15" customHeight="1">
      <c r="A526" t="inlineStr">
        <is>
          <t>A 9994-2021</t>
        </is>
      </c>
      <c r="B526" s="1" t="n">
        <v>44254</v>
      </c>
      <c r="C526" s="1" t="n">
        <v>45507</v>
      </c>
      <c r="D526" t="inlineStr">
        <is>
          <t>JÄMTLANDS LÄN</t>
        </is>
      </c>
      <c r="E526" t="inlineStr">
        <is>
          <t>BRÄCKE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11140-2021</t>
        </is>
      </c>
      <c r="B527" s="1" t="n">
        <v>44260</v>
      </c>
      <c r="C527" s="1" t="n">
        <v>45507</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13316-2021</t>
        </is>
      </c>
      <c r="B528" s="1" t="n">
        <v>44272</v>
      </c>
      <c r="C528" s="1" t="n">
        <v>45507</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13506-2021</t>
        </is>
      </c>
      <c r="B529" s="1" t="n">
        <v>44273</v>
      </c>
      <c r="C529" s="1" t="n">
        <v>45507</v>
      </c>
      <c r="D529" t="inlineStr">
        <is>
          <t>JÄMTLANDS LÄN</t>
        </is>
      </c>
      <c r="E529" t="inlineStr">
        <is>
          <t>BRÄCKE</t>
        </is>
      </c>
      <c r="G529" t="n">
        <v>1.4</v>
      </c>
      <c r="H529" t="n">
        <v>0</v>
      </c>
      <c r="I529" t="n">
        <v>0</v>
      </c>
      <c r="J529" t="n">
        <v>0</v>
      </c>
      <c r="K529" t="n">
        <v>0</v>
      </c>
      <c r="L529" t="n">
        <v>0</v>
      </c>
      <c r="M529" t="n">
        <v>0</v>
      </c>
      <c r="N529" t="n">
        <v>0</v>
      </c>
      <c r="O529" t="n">
        <v>0</v>
      </c>
      <c r="P529" t="n">
        <v>0</v>
      </c>
      <c r="Q529" t="n">
        <v>0</v>
      </c>
      <c r="R529" s="2" t="inlineStr"/>
    </row>
    <row r="530" ht="15" customHeight="1">
      <c r="A530" t="inlineStr">
        <is>
          <t>A 14079-2021</t>
        </is>
      </c>
      <c r="B530" s="1" t="n">
        <v>44277</v>
      </c>
      <c r="C530" s="1" t="n">
        <v>45507</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14868-2021</t>
        </is>
      </c>
      <c r="B531" s="1" t="n">
        <v>44280</v>
      </c>
      <c r="C531" s="1" t="n">
        <v>45507</v>
      </c>
      <c r="D531" t="inlineStr">
        <is>
          <t>JÄMTLANDS LÄN</t>
        </is>
      </c>
      <c r="E531" t="inlineStr">
        <is>
          <t>BRÄCKE</t>
        </is>
      </c>
      <c r="F531" t="inlineStr">
        <is>
          <t>SCA</t>
        </is>
      </c>
      <c r="G531" t="n">
        <v>10.8</v>
      </c>
      <c r="H531" t="n">
        <v>0</v>
      </c>
      <c r="I531" t="n">
        <v>0</v>
      </c>
      <c r="J531" t="n">
        <v>0</v>
      </c>
      <c r="K531" t="n">
        <v>0</v>
      </c>
      <c r="L531" t="n">
        <v>0</v>
      </c>
      <c r="M531" t="n">
        <v>0</v>
      </c>
      <c r="N531" t="n">
        <v>0</v>
      </c>
      <c r="O531" t="n">
        <v>0</v>
      </c>
      <c r="P531" t="n">
        <v>0</v>
      </c>
      <c r="Q531" t="n">
        <v>0</v>
      </c>
      <c r="R531" s="2" t="inlineStr"/>
    </row>
    <row r="532" ht="15" customHeight="1">
      <c r="A532" t="inlineStr">
        <is>
          <t>A 16073-2021</t>
        </is>
      </c>
      <c r="B532" s="1" t="n">
        <v>44287</v>
      </c>
      <c r="C532" s="1" t="n">
        <v>45507</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16117-2021</t>
        </is>
      </c>
      <c r="B533" s="1" t="n">
        <v>44291</v>
      </c>
      <c r="C533" s="1" t="n">
        <v>45507</v>
      </c>
      <c r="D533" t="inlineStr">
        <is>
          <t>JÄMTLANDS LÄN</t>
        </is>
      </c>
      <c r="E533" t="inlineStr">
        <is>
          <t>BRÄCKE</t>
        </is>
      </c>
      <c r="G533" t="n">
        <v>3.6</v>
      </c>
      <c r="H533" t="n">
        <v>0</v>
      </c>
      <c r="I533" t="n">
        <v>0</v>
      </c>
      <c r="J533" t="n">
        <v>0</v>
      </c>
      <c r="K533" t="n">
        <v>0</v>
      </c>
      <c r="L533" t="n">
        <v>0</v>
      </c>
      <c r="M533" t="n">
        <v>0</v>
      </c>
      <c r="N533" t="n">
        <v>0</v>
      </c>
      <c r="O533" t="n">
        <v>0</v>
      </c>
      <c r="P533" t="n">
        <v>0</v>
      </c>
      <c r="Q533" t="n">
        <v>0</v>
      </c>
      <c r="R533" s="2" t="inlineStr"/>
    </row>
    <row r="534" ht="15" customHeight="1">
      <c r="A534" t="inlineStr">
        <is>
          <t>A 16336-2021</t>
        </is>
      </c>
      <c r="B534" s="1" t="n">
        <v>44293</v>
      </c>
      <c r="C534" s="1" t="n">
        <v>45507</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16733-2021</t>
        </is>
      </c>
      <c r="B535" s="1" t="n">
        <v>44293</v>
      </c>
      <c r="C535" s="1" t="n">
        <v>45507</v>
      </c>
      <c r="D535" t="inlineStr">
        <is>
          <t>JÄMTLANDS LÄN</t>
        </is>
      </c>
      <c r="E535" t="inlineStr">
        <is>
          <t>BRÄCKE</t>
        </is>
      </c>
      <c r="G535" t="n">
        <v>4</v>
      </c>
      <c r="H535" t="n">
        <v>0</v>
      </c>
      <c r="I535" t="n">
        <v>0</v>
      </c>
      <c r="J535" t="n">
        <v>0</v>
      </c>
      <c r="K535" t="n">
        <v>0</v>
      </c>
      <c r="L535" t="n">
        <v>0</v>
      </c>
      <c r="M535" t="n">
        <v>0</v>
      </c>
      <c r="N535" t="n">
        <v>0</v>
      </c>
      <c r="O535" t="n">
        <v>0</v>
      </c>
      <c r="P535" t="n">
        <v>0</v>
      </c>
      <c r="Q535" t="n">
        <v>0</v>
      </c>
      <c r="R535" s="2" t="inlineStr"/>
    </row>
    <row r="536" ht="15" customHeight="1">
      <c r="A536" t="inlineStr">
        <is>
          <t>A 16723-2021</t>
        </is>
      </c>
      <c r="B536" s="1" t="n">
        <v>44293</v>
      </c>
      <c r="C536" s="1" t="n">
        <v>45507</v>
      </c>
      <c r="D536" t="inlineStr">
        <is>
          <t>JÄMTLANDS LÄN</t>
        </is>
      </c>
      <c r="E536" t="inlineStr">
        <is>
          <t>BRÄCKE</t>
        </is>
      </c>
      <c r="G536" t="n">
        <v>1.7</v>
      </c>
      <c r="H536" t="n">
        <v>0</v>
      </c>
      <c r="I536" t="n">
        <v>0</v>
      </c>
      <c r="J536" t="n">
        <v>0</v>
      </c>
      <c r="K536" t="n">
        <v>0</v>
      </c>
      <c r="L536" t="n">
        <v>0</v>
      </c>
      <c r="M536" t="n">
        <v>0</v>
      </c>
      <c r="N536" t="n">
        <v>0</v>
      </c>
      <c r="O536" t="n">
        <v>0</v>
      </c>
      <c r="P536" t="n">
        <v>0</v>
      </c>
      <c r="Q536" t="n">
        <v>0</v>
      </c>
      <c r="R536" s="2" t="inlineStr"/>
    </row>
    <row r="537" ht="15" customHeight="1">
      <c r="A537" t="inlineStr">
        <is>
          <t>A 16619-2021</t>
        </is>
      </c>
      <c r="B537" s="1" t="n">
        <v>44294</v>
      </c>
      <c r="C537" s="1" t="n">
        <v>45507</v>
      </c>
      <c r="D537" t="inlineStr">
        <is>
          <t>JÄMTLANDS LÄN</t>
        </is>
      </c>
      <c r="E537" t="inlineStr">
        <is>
          <t>BRÄCKE</t>
        </is>
      </c>
      <c r="G537" t="n">
        <v>10.3</v>
      </c>
      <c r="H537" t="n">
        <v>0</v>
      </c>
      <c r="I537" t="n">
        <v>0</v>
      </c>
      <c r="J537" t="n">
        <v>0</v>
      </c>
      <c r="K537" t="n">
        <v>0</v>
      </c>
      <c r="L537" t="n">
        <v>0</v>
      </c>
      <c r="M537" t="n">
        <v>0</v>
      </c>
      <c r="N537" t="n">
        <v>0</v>
      </c>
      <c r="O537" t="n">
        <v>0</v>
      </c>
      <c r="P537" t="n">
        <v>0</v>
      </c>
      <c r="Q537" t="n">
        <v>0</v>
      </c>
      <c r="R537" s="2" t="inlineStr"/>
    </row>
    <row r="538" ht="15" customHeight="1">
      <c r="A538" t="inlineStr">
        <is>
          <t>A 16781-2021</t>
        </is>
      </c>
      <c r="B538" s="1" t="n">
        <v>44295</v>
      </c>
      <c r="C538" s="1" t="n">
        <v>45507</v>
      </c>
      <c r="D538" t="inlineStr">
        <is>
          <t>JÄMTLANDS LÄN</t>
        </is>
      </c>
      <c r="E538" t="inlineStr">
        <is>
          <t>BRÄCKE</t>
        </is>
      </c>
      <c r="F538" t="inlineStr">
        <is>
          <t>SCA</t>
        </is>
      </c>
      <c r="G538" t="n">
        <v>11.2</v>
      </c>
      <c r="H538" t="n">
        <v>0</v>
      </c>
      <c r="I538" t="n">
        <v>0</v>
      </c>
      <c r="J538" t="n">
        <v>0</v>
      </c>
      <c r="K538" t="n">
        <v>0</v>
      </c>
      <c r="L538" t="n">
        <v>0</v>
      </c>
      <c r="M538" t="n">
        <v>0</v>
      </c>
      <c r="N538" t="n">
        <v>0</v>
      </c>
      <c r="O538" t="n">
        <v>0</v>
      </c>
      <c r="P538" t="n">
        <v>0</v>
      </c>
      <c r="Q538" t="n">
        <v>0</v>
      </c>
      <c r="R538" s="2" t="inlineStr"/>
    </row>
    <row r="539" ht="15" customHeight="1">
      <c r="A539" t="inlineStr">
        <is>
          <t>A 17173-2021</t>
        </is>
      </c>
      <c r="B539" s="1" t="n">
        <v>44295</v>
      </c>
      <c r="C539" s="1" t="n">
        <v>45507</v>
      </c>
      <c r="D539" t="inlineStr">
        <is>
          <t>JÄMTLANDS LÄN</t>
        </is>
      </c>
      <c r="E539" t="inlineStr">
        <is>
          <t>BRÄCKE</t>
        </is>
      </c>
      <c r="G539" t="n">
        <v>4.3</v>
      </c>
      <c r="H539" t="n">
        <v>0</v>
      </c>
      <c r="I539" t="n">
        <v>0</v>
      </c>
      <c r="J539" t="n">
        <v>0</v>
      </c>
      <c r="K539" t="n">
        <v>0</v>
      </c>
      <c r="L539" t="n">
        <v>0</v>
      </c>
      <c r="M539" t="n">
        <v>0</v>
      </c>
      <c r="N539" t="n">
        <v>0</v>
      </c>
      <c r="O539" t="n">
        <v>0</v>
      </c>
      <c r="P539" t="n">
        <v>0</v>
      </c>
      <c r="Q539" t="n">
        <v>0</v>
      </c>
      <c r="R539" s="2" t="inlineStr"/>
    </row>
    <row r="540" ht="15" customHeight="1">
      <c r="A540" t="inlineStr">
        <is>
          <t>A 18006-2021</t>
        </is>
      </c>
      <c r="B540" s="1" t="n">
        <v>44301</v>
      </c>
      <c r="C540" s="1" t="n">
        <v>45507</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19088-2021</t>
        </is>
      </c>
      <c r="B541" s="1" t="n">
        <v>44308</v>
      </c>
      <c r="C541" s="1" t="n">
        <v>45507</v>
      </c>
      <c r="D541" t="inlineStr">
        <is>
          <t>JÄMTLANDS LÄN</t>
        </is>
      </c>
      <c r="E541" t="inlineStr">
        <is>
          <t>BRÄCKE</t>
        </is>
      </c>
      <c r="G541" t="n">
        <v>3.6</v>
      </c>
      <c r="H541" t="n">
        <v>0</v>
      </c>
      <c r="I541" t="n">
        <v>0</v>
      </c>
      <c r="J541" t="n">
        <v>0</v>
      </c>
      <c r="K541" t="n">
        <v>0</v>
      </c>
      <c r="L541" t="n">
        <v>0</v>
      </c>
      <c r="M541" t="n">
        <v>0</v>
      </c>
      <c r="N541" t="n">
        <v>0</v>
      </c>
      <c r="O541" t="n">
        <v>0</v>
      </c>
      <c r="P541" t="n">
        <v>0</v>
      </c>
      <c r="Q541" t="n">
        <v>0</v>
      </c>
      <c r="R541" s="2" t="inlineStr"/>
    </row>
    <row r="542" ht="15" customHeight="1">
      <c r="A542" t="inlineStr">
        <is>
          <t>A 20803-2021</t>
        </is>
      </c>
      <c r="B542" s="1" t="n">
        <v>44316</v>
      </c>
      <c r="C542" s="1" t="n">
        <v>45507</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21034-2021</t>
        </is>
      </c>
      <c r="B543" s="1" t="n">
        <v>44319</v>
      </c>
      <c r="C543" s="1" t="n">
        <v>45507</v>
      </c>
      <c r="D543" t="inlineStr">
        <is>
          <t>JÄMTLANDS LÄN</t>
        </is>
      </c>
      <c r="E543" t="inlineStr">
        <is>
          <t>BRÄCKE</t>
        </is>
      </c>
      <c r="G543" t="n">
        <v>3.3</v>
      </c>
      <c r="H543" t="n">
        <v>0</v>
      </c>
      <c r="I543" t="n">
        <v>0</v>
      </c>
      <c r="J543" t="n">
        <v>0</v>
      </c>
      <c r="K543" t="n">
        <v>0</v>
      </c>
      <c r="L543" t="n">
        <v>0</v>
      </c>
      <c r="M543" t="n">
        <v>0</v>
      </c>
      <c r="N543" t="n">
        <v>0</v>
      </c>
      <c r="O543" t="n">
        <v>0</v>
      </c>
      <c r="P543" t="n">
        <v>0</v>
      </c>
      <c r="Q543" t="n">
        <v>0</v>
      </c>
      <c r="R543" s="2" t="inlineStr"/>
    </row>
    <row r="544" ht="15" customHeight="1">
      <c r="A544" t="inlineStr">
        <is>
          <t>A 21019-2021</t>
        </is>
      </c>
      <c r="B544" s="1" t="n">
        <v>44319</v>
      </c>
      <c r="C544" s="1" t="n">
        <v>45507</v>
      </c>
      <c r="D544" t="inlineStr">
        <is>
          <t>JÄMTLANDS LÄN</t>
        </is>
      </c>
      <c r="E544" t="inlineStr">
        <is>
          <t>BRÄCKE</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21366-2021</t>
        </is>
      </c>
      <c r="B545" s="1" t="n">
        <v>44320</v>
      </c>
      <c r="C545" s="1" t="n">
        <v>45507</v>
      </c>
      <c r="D545" t="inlineStr">
        <is>
          <t>JÄMTLANDS LÄN</t>
        </is>
      </c>
      <c r="E545" t="inlineStr">
        <is>
          <t>BRÄCKE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21637-2021</t>
        </is>
      </c>
      <c r="B546" s="1" t="n">
        <v>44321</v>
      </c>
      <c r="C546" s="1" t="n">
        <v>45507</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21940-2021</t>
        </is>
      </c>
      <c r="B547" s="1" t="n">
        <v>44323</v>
      </c>
      <c r="C547" s="1" t="n">
        <v>45507</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22124-2021</t>
        </is>
      </c>
      <c r="B548" s="1" t="n">
        <v>44323</v>
      </c>
      <c r="C548" s="1" t="n">
        <v>45507</v>
      </c>
      <c r="D548" t="inlineStr">
        <is>
          <t>JÄMTLANDS LÄN</t>
        </is>
      </c>
      <c r="E548" t="inlineStr">
        <is>
          <t>BRÄCKE</t>
        </is>
      </c>
      <c r="G548" t="n">
        <v>1.7</v>
      </c>
      <c r="H548" t="n">
        <v>0</v>
      </c>
      <c r="I548" t="n">
        <v>0</v>
      </c>
      <c r="J548" t="n">
        <v>0</v>
      </c>
      <c r="K548" t="n">
        <v>0</v>
      </c>
      <c r="L548" t="n">
        <v>0</v>
      </c>
      <c r="M548" t="n">
        <v>0</v>
      </c>
      <c r="N548" t="n">
        <v>0</v>
      </c>
      <c r="O548" t="n">
        <v>0</v>
      </c>
      <c r="P548" t="n">
        <v>0</v>
      </c>
      <c r="Q548" t="n">
        <v>0</v>
      </c>
      <c r="R548" s="2" t="inlineStr"/>
    </row>
    <row r="549" ht="15" customHeight="1">
      <c r="A549" t="inlineStr">
        <is>
          <t>A 23013-2021</t>
        </is>
      </c>
      <c r="B549" s="1" t="n">
        <v>44328</v>
      </c>
      <c r="C549" s="1" t="n">
        <v>45507</v>
      </c>
      <c r="D549" t="inlineStr">
        <is>
          <t>JÄMTLANDS LÄN</t>
        </is>
      </c>
      <c r="E549" t="inlineStr">
        <is>
          <t>BRÄCKE</t>
        </is>
      </c>
      <c r="G549" t="n">
        <v>8.4</v>
      </c>
      <c r="H549" t="n">
        <v>0</v>
      </c>
      <c r="I549" t="n">
        <v>0</v>
      </c>
      <c r="J549" t="n">
        <v>0</v>
      </c>
      <c r="K549" t="n">
        <v>0</v>
      </c>
      <c r="L549" t="n">
        <v>0</v>
      </c>
      <c r="M549" t="n">
        <v>0</v>
      </c>
      <c r="N549" t="n">
        <v>0</v>
      </c>
      <c r="O549" t="n">
        <v>0</v>
      </c>
      <c r="P549" t="n">
        <v>0</v>
      </c>
      <c r="Q549" t="n">
        <v>0</v>
      </c>
      <c r="R549" s="2" t="inlineStr"/>
    </row>
    <row r="550" ht="15" customHeight="1">
      <c r="A550" t="inlineStr">
        <is>
          <t>A 23746-2021</t>
        </is>
      </c>
      <c r="B550" s="1" t="n">
        <v>44335</v>
      </c>
      <c r="C550" s="1" t="n">
        <v>45507</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23747-2021</t>
        </is>
      </c>
      <c r="B551" s="1" t="n">
        <v>44334</v>
      </c>
      <c r="C551" s="1" t="n">
        <v>45507</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24254-2021</t>
        </is>
      </c>
      <c r="B552" s="1" t="n">
        <v>44337</v>
      </c>
      <c r="C552" s="1" t="n">
        <v>45507</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24240-2021</t>
        </is>
      </c>
      <c r="B553" s="1" t="n">
        <v>44336</v>
      </c>
      <c r="C553" s="1" t="n">
        <v>45507</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24950-2021</t>
        </is>
      </c>
      <c r="B554" s="1" t="n">
        <v>44341</v>
      </c>
      <c r="C554" s="1" t="n">
        <v>45507</v>
      </c>
      <c r="D554" t="inlineStr">
        <is>
          <t>JÄMTLANDS LÄN</t>
        </is>
      </c>
      <c r="E554" t="inlineStr">
        <is>
          <t>BRÄCKE</t>
        </is>
      </c>
      <c r="F554" t="inlineStr">
        <is>
          <t>Kyrkan</t>
        </is>
      </c>
      <c r="G554" t="n">
        <v>15.3</v>
      </c>
      <c r="H554" t="n">
        <v>0</v>
      </c>
      <c r="I554" t="n">
        <v>0</v>
      </c>
      <c r="J554" t="n">
        <v>0</v>
      </c>
      <c r="K554" t="n">
        <v>0</v>
      </c>
      <c r="L554" t="n">
        <v>0</v>
      </c>
      <c r="M554" t="n">
        <v>0</v>
      </c>
      <c r="N554" t="n">
        <v>0</v>
      </c>
      <c r="O554" t="n">
        <v>0</v>
      </c>
      <c r="P554" t="n">
        <v>0</v>
      </c>
      <c r="Q554" t="n">
        <v>0</v>
      </c>
      <c r="R554" s="2" t="inlineStr"/>
    </row>
    <row r="555" ht="15" customHeight="1">
      <c r="A555" t="inlineStr">
        <is>
          <t>A 26664-2021</t>
        </is>
      </c>
      <c r="B555" s="1" t="n">
        <v>44348</v>
      </c>
      <c r="C555" s="1" t="n">
        <v>45507</v>
      </c>
      <c r="D555" t="inlineStr">
        <is>
          <t>JÄMTLANDS LÄN</t>
        </is>
      </c>
      <c r="E555" t="inlineStr">
        <is>
          <t>BRÄCKE</t>
        </is>
      </c>
      <c r="F555" t="inlineStr">
        <is>
          <t>SCA</t>
        </is>
      </c>
      <c r="G555" t="n">
        <v>6.8</v>
      </c>
      <c r="H555" t="n">
        <v>0</v>
      </c>
      <c r="I555" t="n">
        <v>0</v>
      </c>
      <c r="J555" t="n">
        <v>0</v>
      </c>
      <c r="K555" t="n">
        <v>0</v>
      </c>
      <c r="L555" t="n">
        <v>0</v>
      </c>
      <c r="M555" t="n">
        <v>0</v>
      </c>
      <c r="N555" t="n">
        <v>0</v>
      </c>
      <c r="O555" t="n">
        <v>0</v>
      </c>
      <c r="P555" t="n">
        <v>0</v>
      </c>
      <c r="Q555" t="n">
        <v>0</v>
      </c>
      <c r="R555" s="2" t="inlineStr"/>
    </row>
    <row r="556" ht="15" customHeight="1">
      <c r="A556" t="inlineStr">
        <is>
          <t>A 26665-2021</t>
        </is>
      </c>
      <c r="B556" s="1" t="n">
        <v>44348</v>
      </c>
      <c r="C556" s="1" t="n">
        <v>45507</v>
      </c>
      <c r="D556" t="inlineStr">
        <is>
          <t>JÄMTLANDS LÄN</t>
        </is>
      </c>
      <c r="E556" t="inlineStr">
        <is>
          <t>BRÄCKE</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26666-2021</t>
        </is>
      </c>
      <c r="B557" s="1" t="n">
        <v>44349</v>
      </c>
      <c r="C557" s="1" t="n">
        <v>45507</v>
      </c>
      <c r="D557" t="inlineStr">
        <is>
          <t>JÄMTLANDS LÄN</t>
        </is>
      </c>
      <c r="E557" t="inlineStr">
        <is>
          <t>BRÄCKE</t>
        </is>
      </c>
      <c r="G557" t="n">
        <v>26.3</v>
      </c>
      <c r="H557" t="n">
        <v>0</v>
      </c>
      <c r="I557" t="n">
        <v>0</v>
      </c>
      <c r="J557" t="n">
        <v>0</v>
      </c>
      <c r="K557" t="n">
        <v>0</v>
      </c>
      <c r="L557" t="n">
        <v>0</v>
      </c>
      <c r="M557" t="n">
        <v>0</v>
      </c>
      <c r="N557" t="n">
        <v>0</v>
      </c>
      <c r="O557" t="n">
        <v>0</v>
      </c>
      <c r="P557" t="n">
        <v>0</v>
      </c>
      <c r="Q557" t="n">
        <v>0</v>
      </c>
      <c r="R557" s="2" t="inlineStr"/>
    </row>
    <row r="558" ht="15" customHeight="1">
      <c r="A558" t="inlineStr">
        <is>
          <t>A 27257-2021</t>
        </is>
      </c>
      <c r="B558" s="1" t="n">
        <v>44350</v>
      </c>
      <c r="C558" s="1" t="n">
        <v>45507</v>
      </c>
      <c r="D558" t="inlineStr">
        <is>
          <t>JÄMTLANDS LÄN</t>
        </is>
      </c>
      <c r="E558" t="inlineStr">
        <is>
          <t>BRÄCKE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27261-2021</t>
        </is>
      </c>
      <c r="B559" s="1" t="n">
        <v>44351</v>
      </c>
      <c r="C559" s="1" t="n">
        <v>45507</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27258-2021</t>
        </is>
      </c>
      <c r="B560" s="1" t="n">
        <v>44351</v>
      </c>
      <c r="C560" s="1" t="n">
        <v>45507</v>
      </c>
      <c r="D560" t="inlineStr">
        <is>
          <t>JÄMTLANDS LÄN</t>
        </is>
      </c>
      <c r="E560" t="inlineStr">
        <is>
          <t>BRÄCKE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27256-2021</t>
        </is>
      </c>
      <c r="B561" s="1" t="n">
        <v>44350</v>
      </c>
      <c r="C561" s="1" t="n">
        <v>45507</v>
      </c>
      <c r="D561" t="inlineStr">
        <is>
          <t>JÄMTLANDS LÄN</t>
        </is>
      </c>
      <c r="E561" t="inlineStr">
        <is>
          <t>BRÄCKE</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28616-2021</t>
        </is>
      </c>
      <c r="B562" s="1" t="n">
        <v>44357</v>
      </c>
      <c r="C562" s="1" t="n">
        <v>45507</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28617-2021</t>
        </is>
      </c>
      <c r="B563" s="1" t="n">
        <v>44356</v>
      </c>
      <c r="C563" s="1" t="n">
        <v>45507</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28619-2021</t>
        </is>
      </c>
      <c r="B564" s="1" t="n">
        <v>44356</v>
      </c>
      <c r="C564" s="1" t="n">
        <v>45507</v>
      </c>
      <c r="D564" t="inlineStr">
        <is>
          <t>JÄMTLANDS LÄN</t>
        </is>
      </c>
      <c r="E564" t="inlineStr">
        <is>
          <t>BRÄCKE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28909-2021</t>
        </is>
      </c>
      <c r="B565" s="1" t="n">
        <v>44357</v>
      </c>
      <c r="C565" s="1" t="n">
        <v>45507</v>
      </c>
      <c r="D565" t="inlineStr">
        <is>
          <t>JÄMTLANDS LÄN</t>
        </is>
      </c>
      <c r="E565" t="inlineStr">
        <is>
          <t>BRÄCKE</t>
        </is>
      </c>
      <c r="F565" t="inlineStr">
        <is>
          <t>SCA</t>
        </is>
      </c>
      <c r="G565" t="n">
        <v>11.2</v>
      </c>
      <c r="H565" t="n">
        <v>0</v>
      </c>
      <c r="I565" t="n">
        <v>0</v>
      </c>
      <c r="J565" t="n">
        <v>0</v>
      </c>
      <c r="K565" t="n">
        <v>0</v>
      </c>
      <c r="L565" t="n">
        <v>0</v>
      </c>
      <c r="M565" t="n">
        <v>0</v>
      </c>
      <c r="N565" t="n">
        <v>0</v>
      </c>
      <c r="O565" t="n">
        <v>0</v>
      </c>
      <c r="P565" t="n">
        <v>0</v>
      </c>
      <c r="Q565" t="n">
        <v>0</v>
      </c>
      <c r="R565" s="2" t="inlineStr"/>
      <c r="U565">
        <f>HYPERLINK("https://klasma.github.io/Logging_2305/knärot/A 28909-2021 karta knärot.png", "A 28909-2021")</f>
        <v/>
      </c>
      <c r="V565">
        <f>HYPERLINK("https://klasma.github.io/Logging_2305/klagomål/A 28909-2021 FSC-klagomål.docx", "A 28909-2021")</f>
        <v/>
      </c>
      <c r="W565">
        <f>HYPERLINK("https://klasma.github.io/Logging_2305/klagomålsmail/A 28909-2021 FSC-klagomål mail.docx", "A 28909-2021")</f>
        <v/>
      </c>
      <c r="X565">
        <f>HYPERLINK("https://klasma.github.io/Logging_2305/tillsyn/A 28909-2021 tillsynsbegäran.docx", "A 28909-2021")</f>
        <v/>
      </c>
      <c r="Y565">
        <f>HYPERLINK("https://klasma.github.io/Logging_2305/tillsynsmail/A 28909-2021 tillsynsbegäran mail.docx", "A 28909-2021")</f>
        <v/>
      </c>
    </row>
    <row r="566" ht="15" customHeight="1">
      <c r="A566" t="inlineStr">
        <is>
          <t>A 28903-2021</t>
        </is>
      </c>
      <c r="B566" s="1" t="n">
        <v>44357</v>
      </c>
      <c r="C566" s="1" t="n">
        <v>45507</v>
      </c>
      <c r="D566" t="inlineStr">
        <is>
          <t>JÄMTLANDS LÄN</t>
        </is>
      </c>
      <c r="E566" t="inlineStr">
        <is>
          <t>BRÄCKE</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29314-2021</t>
        </is>
      </c>
      <c r="B567" s="1" t="n">
        <v>44361</v>
      </c>
      <c r="C567" s="1" t="n">
        <v>45507</v>
      </c>
      <c r="D567" t="inlineStr">
        <is>
          <t>JÄMTLANDS LÄN</t>
        </is>
      </c>
      <c r="E567" t="inlineStr">
        <is>
          <t>BRÄCKE</t>
        </is>
      </c>
      <c r="G567" t="n">
        <v>10.7</v>
      </c>
      <c r="H567" t="n">
        <v>0</v>
      </c>
      <c r="I567" t="n">
        <v>0</v>
      </c>
      <c r="J567" t="n">
        <v>0</v>
      </c>
      <c r="K567" t="n">
        <v>0</v>
      </c>
      <c r="L567" t="n">
        <v>0</v>
      </c>
      <c r="M567" t="n">
        <v>0</v>
      </c>
      <c r="N567" t="n">
        <v>0</v>
      </c>
      <c r="O567" t="n">
        <v>0</v>
      </c>
      <c r="P567" t="n">
        <v>0</v>
      </c>
      <c r="Q567" t="n">
        <v>0</v>
      </c>
      <c r="R567" s="2" t="inlineStr"/>
    </row>
    <row r="568" ht="15" customHeight="1">
      <c r="A568" t="inlineStr">
        <is>
          <t>A 29603-2021</t>
        </is>
      </c>
      <c r="B568" s="1" t="n">
        <v>44361</v>
      </c>
      <c r="C568" s="1" t="n">
        <v>45507</v>
      </c>
      <c r="D568" t="inlineStr">
        <is>
          <t>JÄMTLANDS LÄN</t>
        </is>
      </c>
      <c r="E568" t="inlineStr">
        <is>
          <t>BRÄCKE</t>
        </is>
      </c>
      <c r="F568" t="inlineStr">
        <is>
          <t>Naturvårdsverket</t>
        </is>
      </c>
      <c r="G568" t="n">
        <v>3.9</v>
      </c>
      <c r="H568" t="n">
        <v>0</v>
      </c>
      <c r="I568" t="n">
        <v>0</v>
      </c>
      <c r="J568" t="n">
        <v>0</v>
      </c>
      <c r="K568" t="n">
        <v>0</v>
      </c>
      <c r="L568" t="n">
        <v>0</v>
      </c>
      <c r="M568" t="n">
        <v>0</v>
      </c>
      <c r="N568" t="n">
        <v>0</v>
      </c>
      <c r="O568" t="n">
        <v>0</v>
      </c>
      <c r="P568" t="n">
        <v>0</v>
      </c>
      <c r="Q568" t="n">
        <v>0</v>
      </c>
      <c r="R568" s="2" t="inlineStr"/>
    </row>
    <row r="569" ht="15" customHeight="1">
      <c r="A569" t="inlineStr">
        <is>
          <t>A 29611-2021</t>
        </is>
      </c>
      <c r="B569" s="1" t="n">
        <v>44361</v>
      </c>
      <c r="C569" s="1" t="n">
        <v>45507</v>
      </c>
      <c r="D569" t="inlineStr">
        <is>
          <t>JÄMTLANDS LÄN</t>
        </is>
      </c>
      <c r="E569" t="inlineStr">
        <is>
          <t>BRÄCKE</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29929-2021</t>
        </is>
      </c>
      <c r="B570" s="1" t="n">
        <v>44362</v>
      </c>
      <c r="C570" s="1" t="n">
        <v>45507</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29930-2021</t>
        </is>
      </c>
      <c r="B571" s="1" t="n">
        <v>44362</v>
      </c>
      <c r="C571" s="1" t="n">
        <v>45507</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30108-2021</t>
        </is>
      </c>
      <c r="B572" s="1" t="n">
        <v>44363</v>
      </c>
      <c r="C572" s="1" t="n">
        <v>45507</v>
      </c>
      <c r="D572" t="inlineStr">
        <is>
          <t>JÄMTLANDS LÄN</t>
        </is>
      </c>
      <c r="E572" t="inlineStr">
        <is>
          <t>BRÄCKE</t>
        </is>
      </c>
      <c r="G572" t="n">
        <v>0.8</v>
      </c>
      <c r="H572" t="n">
        <v>0</v>
      </c>
      <c r="I572" t="n">
        <v>0</v>
      </c>
      <c r="J572" t="n">
        <v>0</v>
      </c>
      <c r="K572" t="n">
        <v>0</v>
      </c>
      <c r="L572" t="n">
        <v>0</v>
      </c>
      <c r="M572" t="n">
        <v>0</v>
      </c>
      <c r="N572" t="n">
        <v>0</v>
      </c>
      <c r="O572" t="n">
        <v>0</v>
      </c>
      <c r="P572" t="n">
        <v>0</v>
      </c>
      <c r="Q572" t="n">
        <v>0</v>
      </c>
      <c r="R572" s="2" t="inlineStr"/>
    </row>
    <row r="573" ht="15" customHeight="1">
      <c r="A573" t="inlineStr">
        <is>
          <t>A 30102-2021</t>
        </is>
      </c>
      <c r="B573" s="1" t="n">
        <v>44363</v>
      </c>
      <c r="C573" s="1" t="n">
        <v>45507</v>
      </c>
      <c r="D573" t="inlineStr">
        <is>
          <t>JÄMTLANDS LÄN</t>
        </is>
      </c>
      <c r="E573" t="inlineStr">
        <is>
          <t>BRÄCKE</t>
        </is>
      </c>
      <c r="G573" t="n">
        <v>1.3</v>
      </c>
      <c r="H573" t="n">
        <v>0</v>
      </c>
      <c r="I573" t="n">
        <v>0</v>
      </c>
      <c r="J573" t="n">
        <v>0</v>
      </c>
      <c r="K573" t="n">
        <v>0</v>
      </c>
      <c r="L573" t="n">
        <v>0</v>
      </c>
      <c r="M573" t="n">
        <v>0</v>
      </c>
      <c r="N573" t="n">
        <v>0</v>
      </c>
      <c r="O573" t="n">
        <v>0</v>
      </c>
      <c r="P573" t="n">
        <v>0</v>
      </c>
      <c r="Q573" t="n">
        <v>0</v>
      </c>
      <c r="R573" s="2" t="inlineStr"/>
    </row>
    <row r="574" ht="15" customHeight="1">
      <c r="A574" t="inlineStr">
        <is>
          <t>A 30592-2021</t>
        </is>
      </c>
      <c r="B574" s="1" t="n">
        <v>44365</v>
      </c>
      <c r="C574" s="1" t="n">
        <v>45507</v>
      </c>
      <c r="D574" t="inlineStr">
        <is>
          <t>JÄMTLANDS LÄN</t>
        </is>
      </c>
      <c r="E574" t="inlineStr">
        <is>
          <t>BRÄCKE</t>
        </is>
      </c>
      <c r="F574" t="inlineStr">
        <is>
          <t>SCA</t>
        </is>
      </c>
      <c r="G574" t="n">
        <v>22.4</v>
      </c>
      <c r="H574" t="n">
        <v>0</v>
      </c>
      <c r="I574" t="n">
        <v>0</v>
      </c>
      <c r="J574" t="n">
        <v>0</v>
      </c>
      <c r="K574" t="n">
        <v>0</v>
      </c>
      <c r="L574" t="n">
        <v>0</v>
      </c>
      <c r="M574" t="n">
        <v>0</v>
      </c>
      <c r="N574" t="n">
        <v>0</v>
      </c>
      <c r="O574" t="n">
        <v>0</v>
      </c>
      <c r="P574" t="n">
        <v>0</v>
      </c>
      <c r="Q574" t="n">
        <v>0</v>
      </c>
      <c r="R574" s="2" t="inlineStr"/>
    </row>
    <row r="575" ht="15" customHeight="1">
      <c r="A575" t="inlineStr">
        <is>
          <t>A 31093-2021</t>
        </is>
      </c>
      <c r="B575" s="1" t="n">
        <v>44368</v>
      </c>
      <c r="C575" s="1" t="n">
        <v>45507</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31342-2021</t>
        </is>
      </c>
      <c r="B576" s="1" t="n">
        <v>44369</v>
      </c>
      <c r="C576" s="1" t="n">
        <v>45507</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32101-2021</t>
        </is>
      </c>
      <c r="B577" s="1" t="n">
        <v>44371</v>
      </c>
      <c r="C577" s="1" t="n">
        <v>45507</v>
      </c>
      <c r="D577" t="inlineStr">
        <is>
          <t>JÄMTLANDS LÄN</t>
        </is>
      </c>
      <c r="E577" t="inlineStr">
        <is>
          <t>BRÄCKE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32471-2021</t>
        </is>
      </c>
      <c r="B578" s="1" t="n">
        <v>44371</v>
      </c>
      <c r="C578" s="1" t="n">
        <v>45507</v>
      </c>
      <c r="D578" t="inlineStr">
        <is>
          <t>JÄMTLANDS LÄN</t>
        </is>
      </c>
      <c r="E578" t="inlineStr">
        <is>
          <t>BRÄCKE</t>
        </is>
      </c>
      <c r="F578" t="inlineStr">
        <is>
          <t>SCA</t>
        </is>
      </c>
      <c r="G578" t="n">
        <v>0.2</v>
      </c>
      <c r="H578" t="n">
        <v>0</v>
      </c>
      <c r="I578" t="n">
        <v>0</v>
      </c>
      <c r="J578" t="n">
        <v>0</v>
      </c>
      <c r="K578" t="n">
        <v>0</v>
      </c>
      <c r="L578" t="n">
        <v>0</v>
      </c>
      <c r="M578" t="n">
        <v>0</v>
      </c>
      <c r="N578" t="n">
        <v>0</v>
      </c>
      <c r="O578" t="n">
        <v>0</v>
      </c>
      <c r="P578" t="n">
        <v>0</v>
      </c>
      <c r="Q578" t="n">
        <v>0</v>
      </c>
      <c r="R578" s="2" t="inlineStr"/>
    </row>
    <row r="579" ht="15" customHeight="1">
      <c r="A579" t="inlineStr">
        <is>
          <t>A 33221-2021</t>
        </is>
      </c>
      <c r="B579" s="1" t="n">
        <v>44376</v>
      </c>
      <c r="C579" s="1" t="n">
        <v>45507</v>
      </c>
      <c r="D579" t="inlineStr">
        <is>
          <t>JÄMTLANDS LÄN</t>
        </is>
      </c>
      <c r="E579" t="inlineStr">
        <is>
          <t>BRÄCKE</t>
        </is>
      </c>
      <c r="F579" t="inlineStr">
        <is>
          <t>SCA</t>
        </is>
      </c>
      <c r="G579" t="n">
        <v>11.4</v>
      </c>
      <c r="H579" t="n">
        <v>0</v>
      </c>
      <c r="I579" t="n">
        <v>0</v>
      </c>
      <c r="J579" t="n">
        <v>0</v>
      </c>
      <c r="K579" t="n">
        <v>0</v>
      </c>
      <c r="L579" t="n">
        <v>0</v>
      </c>
      <c r="M579" t="n">
        <v>0</v>
      </c>
      <c r="N579" t="n">
        <v>0</v>
      </c>
      <c r="O579" t="n">
        <v>0</v>
      </c>
      <c r="P579" t="n">
        <v>0</v>
      </c>
      <c r="Q579" t="n">
        <v>0</v>
      </c>
      <c r="R579" s="2" t="inlineStr"/>
    </row>
    <row r="580" ht="15" customHeight="1">
      <c r="A580" t="inlineStr">
        <is>
          <t>A 33538-2021</t>
        </is>
      </c>
      <c r="B580" s="1" t="n">
        <v>44377</v>
      </c>
      <c r="C580" s="1" t="n">
        <v>45507</v>
      </c>
      <c r="D580" t="inlineStr">
        <is>
          <t>JÄMTLANDS LÄN</t>
        </is>
      </c>
      <c r="E580" t="inlineStr">
        <is>
          <t>BRÄCKE</t>
        </is>
      </c>
      <c r="G580" t="n">
        <v>6.9</v>
      </c>
      <c r="H580" t="n">
        <v>0</v>
      </c>
      <c r="I580" t="n">
        <v>0</v>
      </c>
      <c r="J580" t="n">
        <v>0</v>
      </c>
      <c r="K580" t="n">
        <v>0</v>
      </c>
      <c r="L580" t="n">
        <v>0</v>
      </c>
      <c r="M580" t="n">
        <v>0</v>
      </c>
      <c r="N580" t="n">
        <v>0</v>
      </c>
      <c r="O580" t="n">
        <v>0</v>
      </c>
      <c r="P580" t="n">
        <v>0</v>
      </c>
      <c r="Q580" t="n">
        <v>0</v>
      </c>
      <c r="R580" s="2" t="inlineStr"/>
    </row>
    <row r="581" ht="15" customHeight="1">
      <c r="A581" t="inlineStr">
        <is>
          <t>A 34409-2021</t>
        </is>
      </c>
      <c r="B581" s="1" t="n">
        <v>44379</v>
      </c>
      <c r="C581" s="1" t="n">
        <v>45507</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34410-2021</t>
        </is>
      </c>
      <c r="B582" s="1" t="n">
        <v>44380</v>
      </c>
      <c r="C582" s="1" t="n">
        <v>45507</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34873-2021</t>
        </is>
      </c>
      <c r="B583" s="1" t="n">
        <v>44382</v>
      </c>
      <c r="C583" s="1" t="n">
        <v>45507</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35244-2021</t>
        </is>
      </c>
      <c r="B584" s="1" t="n">
        <v>44384</v>
      </c>
      <c r="C584" s="1" t="n">
        <v>45507</v>
      </c>
      <c r="D584" t="inlineStr">
        <is>
          <t>JÄMTLANDS LÄN</t>
        </is>
      </c>
      <c r="E584" t="inlineStr">
        <is>
          <t>BRÄCKE</t>
        </is>
      </c>
      <c r="G584" t="n">
        <v>0.5</v>
      </c>
      <c r="H584" t="n">
        <v>0</v>
      </c>
      <c r="I584" t="n">
        <v>0</v>
      </c>
      <c r="J584" t="n">
        <v>0</v>
      </c>
      <c r="K584" t="n">
        <v>0</v>
      </c>
      <c r="L584" t="n">
        <v>0</v>
      </c>
      <c r="M584" t="n">
        <v>0</v>
      </c>
      <c r="N584" t="n">
        <v>0</v>
      </c>
      <c r="O584" t="n">
        <v>0</v>
      </c>
      <c r="P584" t="n">
        <v>0</v>
      </c>
      <c r="Q584" t="n">
        <v>0</v>
      </c>
      <c r="R584" s="2" t="inlineStr"/>
    </row>
    <row r="585" ht="15" customHeight="1">
      <c r="A585" t="inlineStr">
        <is>
          <t>A 35252-2021</t>
        </is>
      </c>
      <c r="B585" s="1" t="n">
        <v>44384</v>
      </c>
      <c r="C585" s="1" t="n">
        <v>45507</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35564-2021</t>
        </is>
      </c>
      <c r="B586" s="1" t="n">
        <v>44386</v>
      </c>
      <c r="C586" s="1" t="n">
        <v>45507</v>
      </c>
      <c r="D586" t="inlineStr">
        <is>
          <t>JÄMTLANDS LÄN</t>
        </is>
      </c>
      <c r="E586" t="inlineStr">
        <is>
          <t>BRÄCKE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36445-2021</t>
        </is>
      </c>
      <c r="B587" s="1" t="n">
        <v>44391</v>
      </c>
      <c r="C587" s="1" t="n">
        <v>45507</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36819-2021</t>
        </is>
      </c>
      <c r="B588" s="1" t="n">
        <v>44392</v>
      </c>
      <c r="C588" s="1" t="n">
        <v>45507</v>
      </c>
      <c r="D588" t="inlineStr">
        <is>
          <t>JÄMTLANDS LÄN</t>
        </is>
      </c>
      <c r="E588" t="inlineStr">
        <is>
          <t>BRÄCKE</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37053-2021</t>
        </is>
      </c>
      <c r="B589" s="1" t="n">
        <v>44394</v>
      </c>
      <c r="C589" s="1" t="n">
        <v>45507</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37048-2021</t>
        </is>
      </c>
      <c r="B590" s="1" t="n">
        <v>44394</v>
      </c>
      <c r="C590" s="1" t="n">
        <v>45507</v>
      </c>
      <c r="D590" t="inlineStr">
        <is>
          <t>JÄMTLANDS LÄN</t>
        </is>
      </c>
      <c r="E590" t="inlineStr">
        <is>
          <t>BRÄCKE</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37238-2021</t>
        </is>
      </c>
      <c r="B591" s="1" t="n">
        <v>44397</v>
      </c>
      <c r="C591" s="1" t="n">
        <v>45507</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37376-2021</t>
        </is>
      </c>
      <c r="B592" s="1" t="n">
        <v>44397</v>
      </c>
      <c r="C592" s="1" t="n">
        <v>45507</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37375-2021</t>
        </is>
      </c>
      <c r="B593" s="1" t="n">
        <v>44397</v>
      </c>
      <c r="C593" s="1" t="n">
        <v>45507</v>
      </c>
      <c r="D593" t="inlineStr">
        <is>
          <t>JÄMTLANDS LÄN</t>
        </is>
      </c>
      <c r="E593" t="inlineStr">
        <is>
          <t>BRÄCKE</t>
        </is>
      </c>
      <c r="F593" t="inlineStr">
        <is>
          <t>SCA</t>
        </is>
      </c>
      <c r="G593" t="n">
        <v>7.3</v>
      </c>
      <c r="H593" t="n">
        <v>0</v>
      </c>
      <c r="I593" t="n">
        <v>0</v>
      </c>
      <c r="J593" t="n">
        <v>0</v>
      </c>
      <c r="K593" t="n">
        <v>0</v>
      </c>
      <c r="L593" t="n">
        <v>0</v>
      </c>
      <c r="M593" t="n">
        <v>0</v>
      </c>
      <c r="N593" t="n">
        <v>0</v>
      </c>
      <c r="O593" t="n">
        <v>0</v>
      </c>
      <c r="P593" t="n">
        <v>0</v>
      </c>
      <c r="Q593" t="n">
        <v>0</v>
      </c>
      <c r="R593" s="2" t="inlineStr"/>
    </row>
    <row r="594" ht="15" customHeight="1">
      <c r="A594" t="inlineStr">
        <is>
          <t>A 37479-2021</t>
        </is>
      </c>
      <c r="B594" s="1" t="n">
        <v>44398</v>
      </c>
      <c r="C594" s="1" t="n">
        <v>45507</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37957-2021</t>
        </is>
      </c>
      <c r="B595" s="1" t="n">
        <v>44403</v>
      </c>
      <c r="C595" s="1" t="n">
        <v>45507</v>
      </c>
      <c r="D595" t="inlineStr">
        <is>
          <t>JÄMTLANDS LÄN</t>
        </is>
      </c>
      <c r="E595" t="inlineStr">
        <is>
          <t>BRÄCKE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38279-2021</t>
        </is>
      </c>
      <c r="B596" s="1" t="n">
        <v>44406</v>
      </c>
      <c r="C596" s="1" t="n">
        <v>45507</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38284-2021</t>
        </is>
      </c>
      <c r="B597" s="1" t="n">
        <v>44406</v>
      </c>
      <c r="C597" s="1" t="n">
        <v>45507</v>
      </c>
      <c r="D597" t="inlineStr">
        <is>
          <t>JÄMTLANDS LÄN</t>
        </is>
      </c>
      <c r="E597" t="inlineStr">
        <is>
          <t>BRÄCKE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38280-2021</t>
        </is>
      </c>
      <c r="B598" s="1" t="n">
        <v>44405</v>
      </c>
      <c r="C598" s="1" t="n">
        <v>45507</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38285-2021</t>
        </is>
      </c>
      <c r="B599" s="1" t="n">
        <v>44405</v>
      </c>
      <c r="C599" s="1" t="n">
        <v>45507</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38281-2021</t>
        </is>
      </c>
      <c r="B600" s="1" t="n">
        <v>44405</v>
      </c>
      <c r="C600" s="1" t="n">
        <v>45507</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38424-2021</t>
        </is>
      </c>
      <c r="B601" s="1" t="n">
        <v>44407</v>
      </c>
      <c r="C601" s="1" t="n">
        <v>45507</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38593-2021</t>
        </is>
      </c>
      <c r="B602" s="1" t="n">
        <v>44407</v>
      </c>
      <c r="C602" s="1" t="n">
        <v>45507</v>
      </c>
      <c r="D602" t="inlineStr">
        <is>
          <t>JÄMTLANDS LÄN</t>
        </is>
      </c>
      <c r="E602" t="inlineStr">
        <is>
          <t>BRÄCKE</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38956-2021</t>
        </is>
      </c>
      <c r="B603" s="1" t="n">
        <v>44411</v>
      </c>
      <c r="C603" s="1" t="n">
        <v>45507</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39934-2021</t>
        </is>
      </c>
      <c r="B604" s="1" t="n">
        <v>44417</v>
      </c>
      <c r="C604" s="1" t="n">
        <v>45507</v>
      </c>
      <c r="D604" t="inlineStr">
        <is>
          <t>JÄMTLANDS LÄN</t>
        </is>
      </c>
      <c r="E604" t="inlineStr">
        <is>
          <t>BRÄCKE</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40313-2021</t>
        </is>
      </c>
      <c r="B605" s="1" t="n">
        <v>44419</v>
      </c>
      <c r="C605" s="1" t="n">
        <v>45507</v>
      </c>
      <c r="D605" t="inlineStr">
        <is>
          <t>JÄMTLANDS LÄN</t>
        </is>
      </c>
      <c r="E605" t="inlineStr">
        <is>
          <t>BRÄCKE</t>
        </is>
      </c>
      <c r="G605" t="n">
        <v>5.7</v>
      </c>
      <c r="H605" t="n">
        <v>0</v>
      </c>
      <c r="I605" t="n">
        <v>0</v>
      </c>
      <c r="J605" t="n">
        <v>0</v>
      </c>
      <c r="K605" t="n">
        <v>0</v>
      </c>
      <c r="L605" t="n">
        <v>0</v>
      </c>
      <c r="M605" t="n">
        <v>0</v>
      </c>
      <c r="N605" t="n">
        <v>0</v>
      </c>
      <c r="O605" t="n">
        <v>0</v>
      </c>
      <c r="P605" t="n">
        <v>0</v>
      </c>
      <c r="Q605" t="n">
        <v>0</v>
      </c>
      <c r="R605" s="2" t="inlineStr"/>
    </row>
    <row r="606" ht="15" customHeight="1">
      <c r="A606" t="inlineStr">
        <is>
          <t>A 40467-2021</t>
        </is>
      </c>
      <c r="B606" s="1" t="n">
        <v>44420</v>
      </c>
      <c r="C606" s="1" t="n">
        <v>45507</v>
      </c>
      <c r="D606" t="inlineStr">
        <is>
          <t>JÄMTLANDS LÄN</t>
        </is>
      </c>
      <c r="E606" t="inlineStr">
        <is>
          <t>BRÄCKE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40482-2021</t>
        </is>
      </c>
      <c r="B607" s="1" t="n">
        <v>44420</v>
      </c>
      <c r="C607" s="1" t="n">
        <v>45507</v>
      </c>
      <c r="D607" t="inlineStr">
        <is>
          <t>JÄMTLANDS LÄN</t>
        </is>
      </c>
      <c r="E607" t="inlineStr">
        <is>
          <t>BRÄCKE</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40481-2021</t>
        </is>
      </c>
      <c r="B608" s="1" t="n">
        <v>44420</v>
      </c>
      <c r="C608" s="1" t="n">
        <v>45507</v>
      </c>
      <c r="D608" t="inlineStr">
        <is>
          <t>JÄMTLANDS LÄN</t>
        </is>
      </c>
      <c r="E608" t="inlineStr">
        <is>
          <t>BRÄCKE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40769-2021</t>
        </is>
      </c>
      <c r="B609" s="1" t="n">
        <v>44420</v>
      </c>
      <c r="C609" s="1" t="n">
        <v>45507</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41060-2021</t>
        </is>
      </c>
      <c r="B610" s="1" t="n">
        <v>44422</v>
      </c>
      <c r="C610" s="1" t="n">
        <v>45507</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41474-2021</t>
        </is>
      </c>
      <c r="B611" s="1" t="n">
        <v>44424</v>
      </c>
      <c r="C611" s="1" t="n">
        <v>45507</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42806-2021</t>
        </is>
      </c>
      <c r="B612" s="1" t="n">
        <v>44429</v>
      </c>
      <c r="C612" s="1" t="n">
        <v>45507</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43831-2021</t>
        </is>
      </c>
      <c r="B613" s="1" t="n">
        <v>44433</v>
      </c>
      <c r="C613" s="1" t="n">
        <v>45507</v>
      </c>
      <c r="D613" t="inlineStr">
        <is>
          <t>JÄMTLANDS LÄN</t>
        </is>
      </c>
      <c r="E613" t="inlineStr">
        <is>
          <t>BRÄCKE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43832-2021</t>
        </is>
      </c>
      <c r="B614" s="1" t="n">
        <v>44434</v>
      </c>
      <c r="C614" s="1" t="n">
        <v>45507</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44244-2021</t>
        </is>
      </c>
      <c r="B615" s="1" t="n">
        <v>44434</v>
      </c>
      <c r="C615" s="1" t="n">
        <v>45507</v>
      </c>
      <c r="D615" t="inlineStr">
        <is>
          <t>JÄMTLANDS LÄN</t>
        </is>
      </c>
      <c r="E615" t="inlineStr">
        <is>
          <t>BRÄCKE</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44243-2021</t>
        </is>
      </c>
      <c r="B616" s="1" t="n">
        <v>44434</v>
      </c>
      <c r="C616" s="1" t="n">
        <v>45507</v>
      </c>
      <c r="D616" t="inlineStr">
        <is>
          <t>JÄMTLANDS LÄN</t>
        </is>
      </c>
      <c r="E616" t="inlineStr">
        <is>
          <t>BRÄCKE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46793-2021</t>
        </is>
      </c>
      <c r="B617" s="1" t="n">
        <v>44445</v>
      </c>
      <c r="C617" s="1" t="n">
        <v>45507</v>
      </c>
      <c r="D617" t="inlineStr">
        <is>
          <t>JÄMTLANDS LÄN</t>
        </is>
      </c>
      <c r="E617" t="inlineStr">
        <is>
          <t>BRÄCKE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46792-2021</t>
        </is>
      </c>
      <c r="B618" s="1" t="n">
        <v>44445</v>
      </c>
      <c r="C618" s="1" t="n">
        <v>45507</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46952-2021</t>
        </is>
      </c>
      <c r="B619" s="1" t="n">
        <v>44446</v>
      </c>
      <c r="C619" s="1" t="n">
        <v>45507</v>
      </c>
      <c r="D619" t="inlineStr">
        <is>
          <t>JÄMTLANDS LÄN</t>
        </is>
      </c>
      <c r="E619" t="inlineStr">
        <is>
          <t>BRÄCKE</t>
        </is>
      </c>
      <c r="G619" t="n">
        <v>2.1</v>
      </c>
      <c r="H619" t="n">
        <v>0</v>
      </c>
      <c r="I619" t="n">
        <v>0</v>
      </c>
      <c r="J619" t="n">
        <v>0</v>
      </c>
      <c r="K619" t="n">
        <v>0</v>
      </c>
      <c r="L619" t="n">
        <v>0</v>
      </c>
      <c r="M619" t="n">
        <v>0</v>
      </c>
      <c r="N619" t="n">
        <v>0</v>
      </c>
      <c r="O619" t="n">
        <v>0</v>
      </c>
      <c r="P619" t="n">
        <v>0</v>
      </c>
      <c r="Q619" t="n">
        <v>0</v>
      </c>
      <c r="R619" s="2" t="inlineStr"/>
    </row>
    <row r="620" ht="15" customHeight="1">
      <c r="A620" t="inlineStr">
        <is>
          <t>A 47559-2021</t>
        </is>
      </c>
      <c r="B620" s="1" t="n">
        <v>44447</v>
      </c>
      <c r="C620" s="1" t="n">
        <v>45507</v>
      </c>
      <c r="D620" t="inlineStr">
        <is>
          <t>JÄMTLANDS LÄN</t>
        </is>
      </c>
      <c r="E620" t="inlineStr">
        <is>
          <t>BRÄCKE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47558-2021</t>
        </is>
      </c>
      <c r="B621" s="1" t="n">
        <v>44448</v>
      </c>
      <c r="C621" s="1" t="n">
        <v>45507</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47560-2021</t>
        </is>
      </c>
      <c r="B622" s="1" t="n">
        <v>44448</v>
      </c>
      <c r="C622" s="1" t="n">
        <v>45507</v>
      </c>
      <c r="D622" t="inlineStr">
        <is>
          <t>JÄMTLANDS LÄN</t>
        </is>
      </c>
      <c r="E622" t="inlineStr">
        <is>
          <t>BRÄCKE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47983-2021</t>
        </is>
      </c>
      <c r="B623" s="1" t="n">
        <v>44448</v>
      </c>
      <c r="C623" s="1" t="n">
        <v>45507</v>
      </c>
      <c r="D623" t="inlineStr">
        <is>
          <t>JÄMTLANDS LÄN</t>
        </is>
      </c>
      <c r="E623" t="inlineStr">
        <is>
          <t>BRÄCKE</t>
        </is>
      </c>
      <c r="G623" t="n">
        <v>1</v>
      </c>
      <c r="H623" t="n">
        <v>0</v>
      </c>
      <c r="I623" t="n">
        <v>0</v>
      </c>
      <c r="J623" t="n">
        <v>0</v>
      </c>
      <c r="K623" t="n">
        <v>0</v>
      </c>
      <c r="L623" t="n">
        <v>0</v>
      </c>
      <c r="M623" t="n">
        <v>0</v>
      </c>
      <c r="N623" t="n">
        <v>0</v>
      </c>
      <c r="O623" t="n">
        <v>0</v>
      </c>
      <c r="P623" t="n">
        <v>0</v>
      </c>
      <c r="Q623" t="n">
        <v>0</v>
      </c>
      <c r="R623" s="2" t="inlineStr"/>
    </row>
    <row r="624" ht="15" customHeight="1">
      <c r="A624" t="inlineStr">
        <is>
          <t>A 48284-2021</t>
        </is>
      </c>
      <c r="B624" s="1" t="n">
        <v>44449</v>
      </c>
      <c r="C624" s="1" t="n">
        <v>45507</v>
      </c>
      <c r="D624" t="inlineStr">
        <is>
          <t>JÄMTLANDS LÄN</t>
        </is>
      </c>
      <c r="E624" t="inlineStr">
        <is>
          <t>BRÄCKE</t>
        </is>
      </c>
      <c r="G624" t="n">
        <v>12.9</v>
      </c>
      <c r="H624" t="n">
        <v>0</v>
      </c>
      <c r="I624" t="n">
        <v>0</v>
      </c>
      <c r="J624" t="n">
        <v>0</v>
      </c>
      <c r="K624" t="n">
        <v>0</v>
      </c>
      <c r="L624" t="n">
        <v>0</v>
      </c>
      <c r="M624" t="n">
        <v>0</v>
      </c>
      <c r="N624" t="n">
        <v>0</v>
      </c>
      <c r="O624" t="n">
        <v>0</v>
      </c>
      <c r="P624" t="n">
        <v>0</v>
      </c>
      <c r="Q624" t="n">
        <v>0</v>
      </c>
      <c r="R624" s="2" t="inlineStr"/>
    </row>
    <row r="625" ht="15" customHeight="1">
      <c r="A625" t="inlineStr">
        <is>
          <t>A 49937-2021</t>
        </is>
      </c>
      <c r="B625" s="1" t="n">
        <v>44455</v>
      </c>
      <c r="C625" s="1" t="n">
        <v>45507</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51095-2021</t>
        </is>
      </c>
      <c r="B626" s="1" t="n">
        <v>44461</v>
      </c>
      <c r="C626" s="1" t="n">
        <v>45507</v>
      </c>
      <c r="D626" t="inlineStr">
        <is>
          <t>JÄMTLANDS LÄN</t>
        </is>
      </c>
      <c r="E626" t="inlineStr">
        <is>
          <t>BRÄCKE</t>
        </is>
      </c>
      <c r="G626" t="n">
        <v>0.8</v>
      </c>
      <c r="H626" t="n">
        <v>0</v>
      </c>
      <c r="I626" t="n">
        <v>0</v>
      </c>
      <c r="J626" t="n">
        <v>0</v>
      </c>
      <c r="K626" t="n">
        <v>0</v>
      </c>
      <c r="L626" t="n">
        <v>0</v>
      </c>
      <c r="M626" t="n">
        <v>0</v>
      </c>
      <c r="N626" t="n">
        <v>0</v>
      </c>
      <c r="O626" t="n">
        <v>0</v>
      </c>
      <c r="P626" t="n">
        <v>0</v>
      </c>
      <c r="Q626" t="n">
        <v>0</v>
      </c>
      <c r="R626" s="2" t="inlineStr"/>
    </row>
    <row r="627" ht="15" customHeight="1">
      <c r="A627" t="inlineStr">
        <is>
          <t>A 51957-2021</t>
        </is>
      </c>
      <c r="B627" s="1" t="n">
        <v>44463</v>
      </c>
      <c r="C627" s="1" t="n">
        <v>45507</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52022-2021</t>
        </is>
      </c>
      <c r="B628" s="1" t="n">
        <v>44463</v>
      </c>
      <c r="C628" s="1" t="n">
        <v>45507</v>
      </c>
      <c r="D628" t="inlineStr">
        <is>
          <t>JÄMTLANDS LÄN</t>
        </is>
      </c>
      <c r="E628" t="inlineStr">
        <is>
          <t>BRÄCKE</t>
        </is>
      </c>
      <c r="G628" t="n">
        <v>8.4</v>
      </c>
      <c r="H628" t="n">
        <v>0</v>
      </c>
      <c r="I628" t="n">
        <v>0</v>
      </c>
      <c r="J628" t="n">
        <v>0</v>
      </c>
      <c r="K628" t="n">
        <v>0</v>
      </c>
      <c r="L628" t="n">
        <v>0</v>
      </c>
      <c r="M628" t="n">
        <v>0</v>
      </c>
      <c r="N628" t="n">
        <v>0</v>
      </c>
      <c r="O628" t="n">
        <v>0</v>
      </c>
      <c r="P628" t="n">
        <v>0</v>
      </c>
      <c r="Q628" t="n">
        <v>0</v>
      </c>
      <c r="R628" s="2" t="inlineStr"/>
    </row>
    <row r="629" ht="15" customHeight="1">
      <c r="A629" t="inlineStr">
        <is>
          <t>A 52323-2021</t>
        </is>
      </c>
      <c r="B629" s="1" t="n">
        <v>44464</v>
      </c>
      <c r="C629" s="1" t="n">
        <v>45507</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53516-2021</t>
        </is>
      </c>
      <c r="B630" s="1" t="n">
        <v>44468</v>
      </c>
      <c r="C630" s="1" t="n">
        <v>45507</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53612-2021</t>
        </is>
      </c>
      <c r="B631" s="1" t="n">
        <v>44469</v>
      </c>
      <c r="C631" s="1" t="n">
        <v>45507</v>
      </c>
      <c r="D631" t="inlineStr">
        <is>
          <t>JÄMTLANDS LÄN</t>
        </is>
      </c>
      <c r="E631" t="inlineStr">
        <is>
          <t>BRÄCKE</t>
        </is>
      </c>
      <c r="G631" t="n">
        <v>1.7</v>
      </c>
      <c r="H631" t="n">
        <v>0</v>
      </c>
      <c r="I631" t="n">
        <v>0</v>
      </c>
      <c r="J631" t="n">
        <v>0</v>
      </c>
      <c r="K631" t="n">
        <v>0</v>
      </c>
      <c r="L631" t="n">
        <v>0</v>
      </c>
      <c r="M631" t="n">
        <v>0</v>
      </c>
      <c r="N631" t="n">
        <v>0</v>
      </c>
      <c r="O631" t="n">
        <v>0</v>
      </c>
      <c r="P631" t="n">
        <v>0</v>
      </c>
      <c r="Q631" t="n">
        <v>0</v>
      </c>
      <c r="R631" s="2" t="inlineStr"/>
    </row>
    <row r="632" ht="15" customHeight="1">
      <c r="A632" t="inlineStr">
        <is>
          <t>A 53949-2021</t>
        </is>
      </c>
      <c r="B632" s="1" t="n">
        <v>44470</v>
      </c>
      <c r="C632" s="1" t="n">
        <v>45507</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54035-2021</t>
        </is>
      </c>
      <c r="B633" s="1" t="n">
        <v>44470</v>
      </c>
      <c r="C633" s="1" t="n">
        <v>45507</v>
      </c>
      <c r="D633" t="inlineStr">
        <is>
          <t>JÄMTLANDS LÄN</t>
        </is>
      </c>
      <c r="E633" t="inlineStr">
        <is>
          <t>BRÄCKE</t>
        </is>
      </c>
      <c r="G633" t="n">
        <v>1.3</v>
      </c>
      <c r="H633" t="n">
        <v>0</v>
      </c>
      <c r="I633" t="n">
        <v>0</v>
      </c>
      <c r="J633" t="n">
        <v>0</v>
      </c>
      <c r="K633" t="n">
        <v>0</v>
      </c>
      <c r="L633" t="n">
        <v>0</v>
      </c>
      <c r="M633" t="n">
        <v>0</v>
      </c>
      <c r="N633" t="n">
        <v>0</v>
      </c>
      <c r="O633" t="n">
        <v>0</v>
      </c>
      <c r="P633" t="n">
        <v>0</v>
      </c>
      <c r="Q633" t="n">
        <v>0</v>
      </c>
      <c r="R633" s="2" t="inlineStr"/>
    </row>
    <row r="634" ht="15" customHeight="1">
      <c r="A634" t="inlineStr">
        <is>
          <t>A 54571-2021</t>
        </is>
      </c>
      <c r="B634" s="1" t="n">
        <v>44473</v>
      </c>
      <c r="C634" s="1" t="n">
        <v>45507</v>
      </c>
      <c r="D634" t="inlineStr">
        <is>
          <t>JÄMTLANDS LÄN</t>
        </is>
      </c>
      <c r="E634" t="inlineStr">
        <is>
          <t>BRÄCKE</t>
        </is>
      </c>
      <c r="G634" t="n">
        <v>3</v>
      </c>
      <c r="H634" t="n">
        <v>0</v>
      </c>
      <c r="I634" t="n">
        <v>0</v>
      </c>
      <c r="J634" t="n">
        <v>0</v>
      </c>
      <c r="K634" t="n">
        <v>0</v>
      </c>
      <c r="L634" t="n">
        <v>0</v>
      </c>
      <c r="M634" t="n">
        <v>0</v>
      </c>
      <c r="N634" t="n">
        <v>0</v>
      </c>
      <c r="O634" t="n">
        <v>0</v>
      </c>
      <c r="P634" t="n">
        <v>0</v>
      </c>
      <c r="Q634" t="n">
        <v>0</v>
      </c>
      <c r="R634" s="2" t="inlineStr"/>
    </row>
    <row r="635" ht="15" customHeight="1">
      <c r="A635" t="inlineStr">
        <is>
          <t>A 54809-2021</t>
        </is>
      </c>
      <c r="B635" s="1" t="n">
        <v>44474</v>
      </c>
      <c r="C635" s="1" t="n">
        <v>45507</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56221-2021</t>
        </is>
      </c>
      <c r="B636" s="1" t="n">
        <v>44477</v>
      </c>
      <c r="C636" s="1" t="n">
        <v>45507</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56114-2021</t>
        </is>
      </c>
      <c r="B637" s="1" t="n">
        <v>44477</v>
      </c>
      <c r="C637" s="1" t="n">
        <v>45507</v>
      </c>
      <c r="D637" t="inlineStr">
        <is>
          <t>JÄMTLANDS LÄN</t>
        </is>
      </c>
      <c r="E637" t="inlineStr">
        <is>
          <t>BRÄCKE</t>
        </is>
      </c>
      <c r="G637" t="n">
        <v>12.7</v>
      </c>
      <c r="H637" t="n">
        <v>0</v>
      </c>
      <c r="I637" t="n">
        <v>0</v>
      </c>
      <c r="J637" t="n">
        <v>0</v>
      </c>
      <c r="K637" t="n">
        <v>0</v>
      </c>
      <c r="L637" t="n">
        <v>0</v>
      </c>
      <c r="M637" t="n">
        <v>0</v>
      </c>
      <c r="N637" t="n">
        <v>0</v>
      </c>
      <c r="O637" t="n">
        <v>0</v>
      </c>
      <c r="P637" t="n">
        <v>0</v>
      </c>
      <c r="Q637" t="n">
        <v>0</v>
      </c>
      <c r="R637" s="2" t="inlineStr"/>
    </row>
    <row r="638" ht="15" customHeight="1">
      <c r="A638" t="inlineStr">
        <is>
          <t>A 56639-2021</t>
        </is>
      </c>
      <c r="B638" s="1" t="n">
        <v>44480</v>
      </c>
      <c r="C638" s="1" t="n">
        <v>45507</v>
      </c>
      <c r="D638" t="inlineStr">
        <is>
          <t>JÄMTLANDS LÄN</t>
        </is>
      </c>
      <c r="E638" t="inlineStr">
        <is>
          <t>BRÄCKE</t>
        </is>
      </c>
      <c r="G638" t="n">
        <v>1.3</v>
      </c>
      <c r="H638" t="n">
        <v>0</v>
      </c>
      <c r="I638" t="n">
        <v>0</v>
      </c>
      <c r="J638" t="n">
        <v>0</v>
      </c>
      <c r="K638" t="n">
        <v>0</v>
      </c>
      <c r="L638" t="n">
        <v>0</v>
      </c>
      <c r="M638" t="n">
        <v>0</v>
      </c>
      <c r="N638" t="n">
        <v>0</v>
      </c>
      <c r="O638" t="n">
        <v>0</v>
      </c>
      <c r="P638" t="n">
        <v>0</v>
      </c>
      <c r="Q638" t="n">
        <v>0</v>
      </c>
      <c r="R638" s="2" t="inlineStr"/>
    </row>
    <row r="639" ht="15" customHeight="1">
      <c r="A639" t="inlineStr">
        <is>
          <t>A 56648-2021</t>
        </is>
      </c>
      <c r="B639" s="1" t="n">
        <v>44481</v>
      </c>
      <c r="C639" s="1" t="n">
        <v>45507</v>
      </c>
      <c r="D639" t="inlineStr">
        <is>
          <t>JÄMTLANDS LÄN</t>
        </is>
      </c>
      <c r="E639" t="inlineStr">
        <is>
          <t>BRÄCKE</t>
        </is>
      </c>
      <c r="G639" t="n">
        <v>1.3</v>
      </c>
      <c r="H639" t="n">
        <v>0</v>
      </c>
      <c r="I639" t="n">
        <v>0</v>
      </c>
      <c r="J639" t="n">
        <v>0</v>
      </c>
      <c r="K639" t="n">
        <v>0</v>
      </c>
      <c r="L639" t="n">
        <v>0</v>
      </c>
      <c r="M639" t="n">
        <v>0</v>
      </c>
      <c r="N639" t="n">
        <v>0</v>
      </c>
      <c r="O639" t="n">
        <v>0</v>
      </c>
      <c r="P639" t="n">
        <v>0</v>
      </c>
      <c r="Q639" t="n">
        <v>0</v>
      </c>
      <c r="R639" s="2" t="inlineStr"/>
    </row>
    <row r="640" ht="15" customHeight="1">
      <c r="A640" t="inlineStr">
        <is>
          <t>A 56649-2021</t>
        </is>
      </c>
      <c r="B640" s="1" t="n">
        <v>44480</v>
      </c>
      <c r="C640" s="1" t="n">
        <v>45507</v>
      </c>
      <c r="D640" t="inlineStr">
        <is>
          <t>JÄMTLANDS LÄN</t>
        </is>
      </c>
      <c r="E640" t="inlineStr">
        <is>
          <t>BRÄCKE</t>
        </is>
      </c>
      <c r="G640" t="n">
        <v>6</v>
      </c>
      <c r="H640" t="n">
        <v>0</v>
      </c>
      <c r="I640" t="n">
        <v>0</v>
      </c>
      <c r="J640" t="n">
        <v>0</v>
      </c>
      <c r="K640" t="n">
        <v>0</v>
      </c>
      <c r="L640" t="n">
        <v>0</v>
      </c>
      <c r="M640" t="n">
        <v>0</v>
      </c>
      <c r="N640" t="n">
        <v>0</v>
      </c>
      <c r="O640" t="n">
        <v>0</v>
      </c>
      <c r="P640" t="n">
        <v>0</v>
      </c>
      <c r="Q640" t="n">
        <v>0</v>
      </c>
      <c r="R640" s="2" t="inlineStr"/>
    </row>
    <row r="641" ht="15" customHeight="1">
      <c r="A641" t="inlineStr">
        <is>
          <t>A 56640-2021</t>
        </is>
      </c>
      <c r="B641" s="1" t="n">
        <v>44480</v>
      </c>
      <c r="C641" s="1" t="n">
        <v>45507</v>
      </c>
      <c r="D641" t="inlineStr">
        <is>
          <t>JÄMTLANDS LÄN</t>
        </is>
      </c>
      <c r="E641" t="inlineStr">
        <is>
          <t>BRÄCKE</t>
        </is>
      </c>
      <c r="G641" t="n">
        <v>2.7</v>
      </c>
      <c r="H641" t="n">
        <v>0</v>
      </c>
      <c r="I641" t="n">
        <v>0</v>
      </c>
      <c r="J641" t="n">
        <v>0</v>
      </c>
      <c r="K641" t="n">
        <v>0</v>
      </c>
      <c r="L641" t="n">
        <v>0</v>
      </c>
      <c r="M641" t="n">
        <v>0</v>
      </c>
      <c r="N641" t="n">
        <v>0</v>
      </c>
      <c r="O641" t="n">
        <v>0</v>
      </c>
      <c r="P641" t="n">
        <v>0</v>
      </c>
      <c r="Q641" t="n">
        <v>0</v>
      </c>
      <c r="R641" s="2" t="inlineStr"/>
    </row>
    <row r="642" ht="15" customHeight="1">
      <c r="A642" t="inlineStr">
        <is>
          <t>A 56895-2021</t>
        </is>
      </c>
      <c r="B642" s="1" t="n">
        <v>44482</v>
      </c>
      <c r="C642" s="1" t="n">
        <v>45507</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56896-2021</t>
        </is>
      </c>
      <c r="B643" s="1" t="n">
        <v>44482</v>
      </c>
      <c r="C643" s="1" t="n">
        <v>45507</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58039-2021</t>
        </is>
      </c>
      <c r="B644" s="1" t="n">
        <v>44487</v>
      </c>
      <c r="C644" s="1" t="n">
        <v>45507</v>
      </c>
      <c r="D644" t="inlineStr">
        <is>
          <t>JÄMTLANDS LÄN</t>
        </is>
      </c>
      <c r="E644" t="inlineStr">
        <is>
          <t>BRÄCKE</t>
        </is>
      </c>
      <c r="G644" t="n">
        <v>7.4</v>
      </c>
      <c r="H644" t="n">
        <v>0</v>
      </c>
      <c r="I644" t="n">
        <v>0</v>
      </c>
      <c r="J644" t="n">
        <v>0</v>
      </c>
      <c r="K644" t="n">
        <v>0</v>
      </c>
      <c r="L644" t="n">
        <v>0</v>
      </c>
      <c r="M644" t="n">
        <v>0</v>
      </c>
      <c r="N644" t="n">
        <v>0</v>
      </c>
      <c r="O644" t="n">
        <v>0</v>
      </c>
      <c r="P644" t="n">
        <v>0</v>
      </c>
      <c r="Q644" t="n">
        <v>0</v>
      </c>
      <c r="R644" s="2" t="inlineStr"/>
    </row>
    <row r="645" ht="15" customHeight="1">
      <c r="A645" t="inlineStr">
        <is>
          <t>A 58269-2021</t>
        </is>
      </c>
      <c r="B645" s="1" t="n">
        <v>44487</v>
      </c>
      <c r="C645" s="1" t="n">
        <v>45507</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58272-2021</t>
        </is>
      </c>
      <c r="B646" s="1" t="n">
        <v>44487</v>
      </c>
      <c r="C646" s="1" t="n">
        <v>45507</v>
      </c>
      <c r="D646" t="inlineStr">
        <is>
          <t>JÄMTLANDS LÄN</t>
        </is>
      </c>
      <c r="E646" t="inlineStr">
        <is>
          <t>BRÄCKE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58311-2021</t>
        </is>
      </c>
      <c r="B647" s="1" t="n">
        <v>44487</v>
      </c>
      <c r="C647" s="1" t="n">
        <v>45507</v>
      </c>
      <c r="D647" t="inlineStr">
        <is>
          <t>JÄMTLANDS LÄN</t>
        </is>
      </c>
      <c r="E647" t="inlineStr">
        <is>
          <t>BRÄCKE</t>
        </is>
      </c>
      <c r="G647" t="n">
        <v>9.1</v>
      </c>
      <c r="H647" t="n">
        <v>0</v>
      </c>
      <c r="I647" t="n">
        <v>0</v>
      </c>
      <c r="J647" t="n">
        <v>0</v>
      </c>
      <c r="K647" t="n">
        <v>0</v>
      </c>
      <c r="L647" t="n">
        <v>0</v>
      </c>
      <c r="M647" t="n">
        <v>0</v>
      </c>
      <c r="N647" t="n">
        <v>0</v>
      </c>
      <c r="O647" t="n">
        <v>0</v>
      </c>
      <c r="P647" t="n">
        <v>0</v>
      </c>
      <c r="Q647" t="n">
        <v>0</v>
      </c>
      <c r="R647" s="2" t="inlineStr"/>
    </row>
    <row r="648" ht="15" customHeight="1">
      <c r="A648" t="inlineStr">
        <is>
          <t>A 58584-2021</t>
        </is>
      </c>
      <c r="B648" s="1" t="n">
        <v>44488</v>
      </c>
      <c r="C648" s="1" t="n">
        <v>45507</v>
      </c>
      <c r="D648" t="inlineStr">
        <is>
          <t>JÄMTLANDS LÄN</t>
        </is>
      </c>
      <c r="E648" t="inlineStr">
        <is>
          <t>BRÄCKE</t>
        </is>
      </c>
      <c r="G648" t="n">
        <v>32</v>
      </c>
      <c r="H648" t="n">
        <v>0</v>
      </c>
      <c r="I648" t="n">
        <v>0</v>
      </c>
      <c r="J648" t="n">
        <v>0</v>
      </c>
      <c r="K648" t="n">
        <v>0</v>
      </c>
      <c r="L648" t="n">
        <v>0</v>
      </c>
      <c r="M648" t="n">
        <v>0</v>
      </c>
      <c r="N648" t="n">
        <v>0</v>
      </c>
      <c r="O648" t="n">
        <v>0</v>
      </c>
      <c r="P648" t="n">
        <v>0</v>
      </c>
      <c r="Q648" t="n">
        <v>0</v>
      </c>
      <c r="R648" s="2" t="inlineStr"/>
    </row>
    <row r="649" ht="15" customHeight="1">
      <c r="A649" t="inlineStr">
        <is>
          <t>A 59315-2021</t>
        </is>
      </c>
      <c r="B649" s="1" t="n">
        <v>44491</v>
      </c>
      <c r="C649" s="1" t="n">
        <v>45507</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59322-2021</t>
        </is>
      </c>
      <c r="B650" s="1" t="n">
        <v>44491</v>
      </c>
      <c r="C650" s="1" t="n">
        <v>45507</v>
      </c>
      <c r="D650" t="inlineStr">
        <is>
          <t>JÄMTLANDS LÄN</t>
        </is>
      </c>
      <c r="E650" t="inlineStr">
        <is>
          <t>BRÄCKE</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59316-2021</t>
        </is>
      </c>
      <c r="B651" s="1" t="n">
        <v>44491</v>
      </c>
      <c r="C651" s="1" t="n">
        <v>45507</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60015-2021</t>
        </is>
      </c>
      <c r="B652" s="1" t="n">
        <v>44495</v>
      </c>
      <c r="C652" s="1" t="n">
        <v>45507</v>
      </c>
      <c r="D652" t="inlineStr">
        <is>
          <t>JÄMTLANDS LÄN</t>
        </is>
      </c>
      <c r="E652" t="inlineStr">
        <is>
          <t>BRÄCKE</t>
        </is>
      </c>
      <c r="G652" t="n">
        <v>18.7</v>
      </c>
      <c r="H652" t="n">
        <v>0</v>
      </c>
      <c r="I652" t="n">
        <v>0</v>
      </c>
      <c r="J652" t="n">
        <v>0</v>
      </c>
      <c r="K652" t="n">
        <v>0</v>
      </c>
      <c r="L652" t="n">
        <v>0</v>
      </c>
      <c r="M652" t="n">
        <v>0</v>
      </c>
      <c r="N652" t="n">
        <v>0</v>
      </c>
      <c r="O652" t="n">
        <v>0</v>
      </c>
      <c r="P652" t="n">
        <v>0</v>
      </c>
      <c r="Q652" t="n">
        <v>0</v>
      </c>
      <c r="R652" s="2" t="inlineStr"/>
    </row>
    <row r="653" ht="15" customHeight="1">
      <c r="A653" t="inlineStr">
        <is>
          <t>A 60325-2021</t>
        </is>
      </c>
      <c r="B653" s="1" t="n">
        <v>44496</v>
      </c>
      <c r="C653" s="1" t="n">
        <v>45507</v>
      </c>
      <c r="D653" t="inlineStr">
        <is>
          <t>JÄMTLANDS LÄN</t>
        </is>
      </c>
      <c r="E653" t="inlineStr">
        <is>
          <t>BRÄCKE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61415-2021</t>
        </is>
      </c>
      <c r="B654" s="1" t="n">
        <v>44500</v>
      </c>
      <c r="C654" s="1" t="n">
        <v>45507</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62270-2021</t>
        </is>
      </c>
      <c r="B655" s="1" t="n">
        <v>44503</v>
      </c>
      <c r="C655" s="1" t="n">
        <v>45507</v>
      </c>
      <c r="D655" t="inlineStr">
        <is>
          <t>JÄMTLANDS LÄN</t>
        </is>
      </c>
      <c r="E655" t="inlineStr">
        <is>
          <t>BRÄCKE</t>
        </is>
      </c>
      <c r="G655" t="n">
        <v>6.6</v>
      </c>
      <c r="H655" t="n">
        <v>0</v>
      </c>
      <c r="I655" t="n">
        <v>0</v>
      </c>
      <c r="J655" t="n">
        <v>0</v>
      </c>
      <c r="K655" t="n">
        <v>0</v>
      </c>
      <c r="L655" t="n">
        <v>0</v>
      </c>
      <c r="M655" t="n">
        <v>0</v>
      </c>
      <c r="N655" t="n">
        <v>0</v>
      </c>
      <c r="O655" t="n">
        <v>0</v>
      </c>
      <c r="P655" t="n">
        <v>0</v>
      </c>
      <c r="Q655" t="n">
        <v>0</v>
      </c>
      <c r="R655" s="2" t="inlineStr"/>
    </row>
    <row r="656" ht="15" customHeight="1">
      <c r="A656" t="inlineStr">
        <is>
          <t>A 62249-2021</t>
        </is>
      </c>
      <c r="B656" s="1" t="n">
        <v>44503</v>
      </c>
      <c r="C656" s="1" t="n">
        <v>45507</v>
      </c>
      <c r="D656" t="inlineStr">
        <is>
          <t>JÄMTLANDS LÄN</t>
        </is>
      </c>
      <c r="E656" t="inlineStr">
        <is>
          <t>BRÄCKE</t>
        </is>
      </c>
      <c r="G656" t="n">
        <v>2.9</v>
      </c>
      <c r="H656" t="n">
        <v>0</v>
      </c>
      <c r="I656" t="n">
        <v>0</v>
      </c>
      <c r="J656" t="n">
        <v>0</v>
      </c>
      <c r="K656" t="n">
        <v>0</v>
      </c>
      <c r="L656" t="n">
        <v>0</v>
      </c>
      <c r="M656" t="n">
        <v>0</v>
      </c>
      <c r="N656" t="n">
        <v>0</v>
      </c>
      <c r="O656" t="n">
        <v>0</v>
      </c>
      <c r="P656" t="n">
        <v>0</v>
      </c>
      <c r="Q656" t="n">
        <v>0</v>
      </c>
      <c r="R656" s="2" t="inlineStr"/>
    </row>
    <row r="657" ht="15" customHeight="1">
      <c r="A657" t="inlineStr">
        <is>
          <t>A 62675-2021</t>
        </is>
      </c>
      <c r="B657" s="1" t="n">
        <v>44503</v>
      </c>
      <c r="C657" s="1" t="n">
        <v>45507</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62664-2021</t>
        </is>
      </c>
      <c r="B658" s="1" t="n">
        <v>44503</v>
      </c>
      <c r="C658" s="1" t="n">
        <v>45507</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62674-2021</t>
        </is>
      </c>
      <c r="B659" s="1" t="n">
        <v>44503</v>
      </c>
      <c r="C659" s="1" t="n">
        <v>45507</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62953-2021</t>
        </is>
      </c>
      <c r="B660" s="1" t="n">
        <v>44504</v>
      </c>
      <c r="C660" s="1" t="n">
        <v>45507</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62954-2021</t>
        </is>
      </c>
      <c r="B661" s="1" t="n">
        <v>44504</v>
      </c>
      <c r="C661" s="1" t="n">
        <v>45507</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63346-2021</t>
        </is>
      </c>
      <c r="B662" s="1" t="n">
        <v>44508</v>
      </c>
      <c r="C662" s="1" t="n">
        <v>45507</v>
      </c>
      <c r="D662" t="inlineStr">
        <is>
          <t>JÄMTLANDS LÄN</t>
        </is>
      </c>
      <c r="E662" t="inlineStr">
        <is>
          <t>BRÄCKE</t>
        </is>
      </c>
      <c r="G662" t="n">
        <v>0.9</v>
      </c>
      <c r="H662" t="n">
        <v>0</v>
      </c>
      <c r="I662" t="n">
        <v>0</v>
      </c>
      <c r="J662" t="n">
        <v>0</v>
      </c>
      <c r="K662" t="n">
        <v>0</v>
      </c>
      <c r="L662" t="n">
        <v>0</v>
      </c>
      <c r="M662" t="n">
        <v>0</v>
      </c>
      <c r="N662" t="n">
        <v>0</v>
      </c>
      <c r="O662" t="n">
        <v>0</v>
      </c>
      <c r="P662" t="n">
        <v>0</v>
      </c>
      <c r="Q662" t="n">
        <v>0</v>
      </c>
      <c r="R662" s="2" t="inlineStr"/>
    </row>
    <row r="663" ht="15" customHeight="1">
      <c r="A663" t="inlineStr">
        <is>
          <t>A 63600-2021</t>
        </is>
      </c>
      <c r="B663" s="1" t="n">
        <v>44508</v>
      </c>
      <c r="C663" s="1" t="n">
        <v>45507</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63579-2021</t>
        </is>
      </c>
      <c r="B664" s="1" t="n">
        <v>44508</v>
      </c>
      <c r="C664" s="1" t="n">
        <v>45507</v>
      </c>
      <c r="D664" t="inlineStr">
        <is>
          <t>JÄMTLANDS LÄN</t>
        </is>
      </c>
      <c r="E664" t="inlineStr">
        <is>
          <t>BRÄCKE</t>
        </is>
      </c>
      <c r="G664" t="n">
        <v>1.4</v>
      </c>
      <c r="H664" t="n">
        <v>0</v>
      </c>
      <c r="I664" t="n">
        <v>0</v>
      </c>
      <c r="J664" t="n">
        <v>0</v>
      </c>
      <c r="K664" t="n">
        <v>0</v>
      </c>
      <c r="L664" t="n">
        <v>0</v>
      </c>
      <c r="M664" t="n">
        <v>0</v>
      </c>
      <c r="N664" t="n">
        <v>0</v>
      </c>
      <c r="O664" t="n">
        <v>0</v>
      </c>
      <c r="P664" t="n">
        <v>0</v>
      </c>
      <c r="Q664" t="n">
        <v>0</v>
      </c>
      <c r="R664" s="2" t="inlineStr"/>
    </row>
    <row r="665" ht="15" customHeight="1">
      <c r="A665" t="inlineStr">
        <is>
          <t>A 63534-2021</t>
        </is>
      </c>
      <c r="B665" s="1" t="n">
        <v>44508</v>
      </c>
      <c r="C665" s="1" t="n">
        <v>45507</v>
      </c>
      <c r="D665" t="inlineStr">
        <is>
          <t>JÄMTLANDS LÄN</t>
        </is>
      </c>
      <c r="E665" t="inlineStr">
        <is>
          <t>BRÄCKE</t>
        </is>
      </c>
      <c r="G665" t="n">
        <v>6.6</v>
      </c>
      <c r="H665" t="n">
        <v>0</v>
      </c>
      <c r="I665" t="n">
        <v>0</v>
      </c>
      <c r="J665" t="n">
        <v>0</v>
      </c>
      <c r="K665" t="n">
        <v>0</v>
      </c>
      <c r="L665" t="n">
        <v>0</v>
      </c>
      <c r="M665" t="n">
        <v>0</v>
      </c>
      <c r="N665" t="n">
        <v>0</v>
      </c>
      <c r="O665" t="n">
        <v>0</v>
      </c>
      <c r="P665" t="n">
        <v>0</v>
      </c>
      <c r="Q665" t="n">
        <v>0</v>
      </c>
      <c r="R665" s="2" t="inlineStr"/>
    </row>
    <row r="666" ht="15" customHeight="1">
      <c r="A666" t="inlineStr">
        <is>
          <t>A 63590-2021</t>
        </is>
      </c>
      <c r="B666" s="1" t="n">
        <v>44508</v>
      </c>
      <c r="C666" s="1" t="n">
        <v>45507</v>
      </c>
      <c r="D666" t="inlineStr">
        <is>
          <t>JÄMTLANDS LÄN</t>
        </is>
      </c>
      <c r="E666" t="inlineStr">
        <is>
          <t>BRÄCKE</t>
        </is>
      </c>
      <c r="G666" t="n">
        <v>9.1</v>
      </c>
      <c r="H666" t="n">
        <v>0</v>
      </c>
      <c r="I666" t="n">
        <v>0</v>
      </c>
      <c r="J666" t="n">
        <v>0</v>
      </c>
      <c r="K666" t="n">
        <v>0</v>
      </c>
      <c r="L666" t="n">
        <v>0</v>
      </c>
      <c r="M666" t="n">
        <v>0</v>
      </c>
      <c r="N666" t="n">
        <v>0</v>
      </c>
      <c r="O666" t="n">
        <v>0</v>
      </c>
      <c r="P666" t="n">
        <v>0</v>
      </c>
      <c r="Q666" t="n">
        <v>0</v>
      </c>
      <c r="R666" s="2" t="inlineStr"/>
    </row>
    <row r="667" ht="15" customHeight="1">
      <c r="A667" t="inlineStr">
        <is>
          <t>A 63995-2021</t>
        </is>
      </c>
      <c r="B667" s="1" t="n">
        <v>44509</v>
      </c>
      <c r="C667" s="1" t="n">
        <v>45507</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64002-2021</t>
        </is>
      </c>
      <c r="B668" s="1" t="n">
        <v>44510</v>
      </c>
      <c r="C668" s="1" t="n">
        <v>45507</v>
      </c>
      <c r="D668" t="inlineStr">
        <is>
          <t>JÄMTLANDS LÄN</t>
        </is>
      </c>
      <c r="E668" t="inlineStr">
        <is>
          <t>BRÄCKE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64721-2021</t>
        </is>
      </c>
      <c r="B669" s="1" t="n">
        <v>44512</v>
      </c>
      <c r="C669" s="1" t="n">
        <v>45507</v>
      </c>
      <c r="D669" t="inlineStr">
        <is>
          <t>JÄMTLANDS LÄN</t>
        </is>
      </c>
      <c r="E669" t="inlineStr">
        <is>
          <t>BRÄCKE</t>
        </is>
      </c>
      <c r="G669" t="n">
        <v>8</v>
      </c>
      <c r="H669" t="n">
        <v>0</v>
      </c>
      <c r="I669" t="n">
        <v>0</v>
      </c>
      <c r="J669" t="n">
        <v>0</v>
      </c>
      <c r="K669" t="n">
        <v>0</v>
      </c>
      <c r="L669" t="n">
        <v>0</v>
      </c>
      <c r="M669" t="n">
        <v>0</v>
      </c>
      <c r="N669" t="n">
        <v>0</v>
      </c>
      <c r="O669" t="n">
        <v>0</v>
      </c>
      <c r="P669" t="n">
        <v>0</v>
      </c>
      <c r="Q669" t="n">
        <v>0</v>
      </c>
      <c r="R669" s="2" t="inlineStr"/>
    </row>
    <row r="670" ht="15" customHeight="1">
      <c r="A670" t="inlineStr">
        <is>
          <t>A 65433-2021</t>
        </is>
      </c>
      <c r="B670" s="1" t="n">
        <v>44515</v>
      </c>
      <c r="C670" s="1" t="n">
        <v>45507</v>
      </c>
      <c r="D670" t="inlineStr">
        <is>
          <t>JÄMTLANDS LÄN</t>
        </is>
      </c>
      <c r="E670" t="inlineStr">
        <is>
          <t>BRÄCKE</t>
        </is>
      </c>
      <c r="G670" t="n">
        <v>2.2</v>
      </c>
      <c r="H670" t="n">
        <v>0</v>
      </c>
      <c r="I670" t="n">
        <v>0</v>
      </c>
      <c r="J670" t="n">
        <v>0</v>
      </c>
      <c r="K670" t="n">
        <v>0</v>
      </c>
      <c r="L670" t="n">
        <v>0</v>
      </c>
      <c r="M670" t="n">
        <v>0</v>
      </c>
      <c r="N670" t="n">
        <v>0</v>
      </c>
      <c r="O670" t="n">
        <v>0</v>
      </c>
      <c r="P670" t="n">
        <v>0</v>
      </c>
      <c r="Q670" t="n">
        <v>0</v>
      </c>
      <c r="R670" s="2" t="inlineStr"/>
    </row>
    <row r="671" ht="15" customHeight="1">
      <c r="A671" t="inlineStr">
        <is>
          <t>A 66177-2021</t>
        </is>
      </c>
      <c r="B671" s="1" t="n">
        <v>44517</v>
      </c>
      <c r="C671" s="1" t="n">
        <v>45507</v>
      </c>
      <c r="D671" t="inlineStr">
        <is>
          <t>JÄMTLANDS LÄN</t>
        </is>
      </c>
      <c r="E671" t="inlineStr">
        <is>
          <t>BRÄCKE</t>
        </is>
      </c>
      <c r="G671" t="n">
        <v>24.8</v>
      </c>
      <c r="H671" t="n">
        <v>0</v>
      </c>
      <c r="I671" t="n">
        <v>0</v>
      </c>
      <c r="J671" t="n">
        <v>0</v>
      </c>
      <c r="K671" t="n">
        <v>0</v>
      </c>
      <c r="L671" t="n">
        <v>0</v>
      </c>
      <c r="M671" t="n">
        <v>0</v>
      </c>
      <c r="N671" t="n">
        <v>0</v>
      </c>
      <c r="O671" t="n">
        <v>0</v>
      </c>
      <c r="P671" t="n">
        <v>0</v>
      </c>
      <c r="Q671" t="n">
        <v>0</v>
      </c>
      <c r="R671" s="2" t="inlineStr"/>
    </row>
    <row r="672" ht="15" customHeight="1">
      <c r="A672" t="inlineStr">
        <is>
          <t>A 66285-2021</t>
        </is>
      </c>
      <c r="B672" s="1" t="n">
        <v>44518</v>
      </c>
      <c r="C672" s="1" t="n">
        <v>45507</v>
      </c>
      <c r="D672" t="inlineStr">
        <is>
          <t>JÄMTLANDS LÄN</t>
        </is>
      </c>
      <c r="E672" t="inlineStr">
        <is>
          <t>BRÄCKE</t>
        </is>
      </c>
      <c r="G672" t="n">
        <v>11.9</v>
      </c>
      <c r="H672" t="n">
        <v>0</v>
      </c>
      <c r="I672" t="n">
        <v>0</v>
      </c>
      <c r="J672" t="n">
        <v>0</v>
      </c>
      <c r="K672" t="n">
        <v>0</v>
      </c>
      <c r="L672" t="n">
        <v>0</v>
      </c>
      <c r="M672" t="n">
        <v>0</v>
      </c>
      <c r="N672" t="n">
        <v>0</v>
      </c>
      <c r="O672" t="n">
        <v>0</v>
      </c>
      <c r="P672" t="n">
        <v>0</v>
      </c>
      <c r="Q672" t="n">
        <v>0</v>
      </c>
      <c r="R672" s="2" t="inlineStr"/>
    </row>
    <row r="673" ht="15" customHeight="1">
      <c r="A673" t="inlineStr">
        <is>
          <t>A 67343-2021</t>
        </is>
      </c>
      <c r="B673" s="1" t="n">
        <v>44523</v>
      </c>
      <c r="C673" s="1" t="n">
        <v>45507</v>
      </c>
      <c r="D673" t="inlineStr">
        <is>
          <t>JÄMTLANDS LÄN</t>
        </is>
      </c>
      <c r="E673" t="inlineStr">
        <is>
          <t>BRÄCKE</t>
        </is>
      </c>
      <c r="G673" t="n">
        <v>4.4</v>
      </c>
      <c r="H673" t="n">
        <v>0</v>
      </c>
      <c r="I673" t="n">
        <v>0</v>
      </c>
      <c r="J673" t="n">
        <v>0</v>
      </c>
      <c r="K673" t="n">
        <v>0</v>
      </c>
      <c r="L673" t="n">
        <v>0</v>
      </c>
      <c r="M673" t="n">
        <v>0</v>
      </c>
      <c r="N673" t="n">
        <v>0</v>
      </c>
      <c r="O673" t="n">
        <v>0</v>
      </c>
      <c r="P673" t="n">
        <v>0</v>
      </c>
      <c r="Q673" t="n">
        <v>0</v>
      </c>
      <c r="R673" s="2" t="inlineStr"/>
    </row>
    <row r="674" ht="15" customHeight="1">
      <c r="A674" t="inlineStr">
        <is>
          <t>A 67687-2021</t>
        </is>
      </c>
      <c r="B674" s="1" t="n">
        <v>44524</v>
      </c>
      <c r="C674" s="1" t="n">
        <v>45507</v>
      </c>
      <c r="D674" t="inlineStr">
        <is>
          <t>JÄMTLANDS LÄN</t>
        </is>
      </c>
      <c r="E674" t="inlineStr">
        <is>
          <t>BRÄCKE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68319-2021</t>
        </is>
      </c>
      <c r="B675" s="1" t="n">
        <v>44526</v>
      </c>
      <c r="C675" s="1" t="n">
        <v>45507</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68901-2021</t>
        </is>
      </c>
      <c r="B676" s="1" t="n">
        <v>44526</v>
      </c>
      <c r="C676" s="1" t="n">
        <v>45507</v>
      </c>
      <c r="D676" t="inlineStr">
        <is>
          <t>JÄMTLANDS LÄN</t>
        </is>
      </c>
      <c r="E676" t="inlineStr">
        <is>
          <t>BRÄCKE</t>
        </is>
      </c>
      <c r="G676" t="n">
        <v>1.4</v>
      </c>
      <c r="H676" t="n">
        <v>0</v>
      </c>
      <c r="I676" t="n">
        <v>0</v>
      </c>
      <c r="J676" t="n">
        <v>0</v>
      </c>
      <c r="K676" t="n">
        <v>0</v>
      </c>
      <c r="L676" t="n">
        <v>0</v>
      </c>
      <c r="M676" t="n">
        <v>0</v>
      </c>
      <c r="N676" t="n">
        <v>0</v>
      </c>
      <c r="O676" t="n">
        <v>0</v>
      </c>
      <c r="P676" t="n">
        <v>0</v>
      </c>
      <c r="Q676" t="n">
        <v>0</v>
      </c>
      <c r="R676" s="2" t="inlineStr"/>
    </row>
    <row r="677" ht="15" customHeight="1">
      <c r="A677" t="inlineStr">
        <is>
          <t>A 68769-2021</t>
        </is>
      </c>
      <c r="B677" s="1" t="n">
        <v>44529</v>
      </c>
      <c r="C677" s="1" t="n">
        <v>45507</v>
      </c>
      <c r="D677" t="inlineStr">
        <is>
          <t>JÄMTLANDS LÄN</t>
        </is>
      </c>
      <c r="E677" t="inlineStr">
        <is>
          <t>BRÄCKE</t>
        </is>
      </c>
      <c r="G677" t="n">
        <v>2.3</v>
      </c>
      <c r="H677" t="n">
        <v>0</v>
      </c>
      <c r="I677" t="n">
        <v>0</v>
      </c>
      <c r="J677" t="n">
        <v>0</v>
      </c>
      <c r="K677" t="n">
        <v>0</v>
      </c>
      <c r="L677" t="n">
        <v>0</v>
      </c>
      <c r="M677" t="n">
        <v>0</v>
      </c>
      <c r="N677" t="n">
        <v>0</v>
      </c>
      <c r="O677" t="n">
        <v>0</v>
      </c>
      <c r="P677" t="n">
        <v>0</v>
      </c>
      <c r="Q677" t="n">
        <v>0</v>
      </c>
      <c r="R677" s="2" t="inlineStr"/>
    </row>
    <row r="678" ht="15" customHeight="1">
      <c r="A678" t="inlineStr">
        <is>
          <t>A 68763-2021</t>
        </is>
      </c>
      <c r="B678" s="1" t="n">
        <v>44529</v>
      </c>
      <c r="C678" s="1" t="n">
        <v>45507</v>
      </c>
      <c r="D678" t="inlineStr">
        <is>
          <t>JÄMTLANDS LÄN</t>
        </is>
      </c>
      <c r="E678" t="inlineStr">
        <is>
          <t>BRÄCKE</t>
        </is>
      </c>
      <c r="G678" t="n">
        <v>1.7</v>
      </c>
      <c r="H678" t="n">
        <v>0</v>
      </c>
      <c r="I678" t="n">
        <v>0</v>
      </c>
      <c r="J678" t="n">
        <v>0</v>
      </c>
      <c r="K678" t="n">
        <v>0</v>
      </c>
      <c r="L678" t="n">
        <v>0</v>
      </c>
      <c r="M678" t="n">
        <v>0</v>
      </c>
      <c r="N678" t="n">
        <v>0</v>
      </c>
      <c r="O678" t="n">
        <v>0</v>
      </c>
      <c r="P678" t="n">
        <v>0</v>
      </c>
      <c r="Q678" t="n">
        <v>0</v>
      </c>
      <c r="R678" s="2" t="inlineStr"/>
    </row>
    <row r="679" ht="15" customHeight="1">
      <c r="A679" t="inlineStr">
        <is>
          <t>A 68765-2021</t>
        </is>
      </c>
      <c r="B679" s="1" t="n">
        <v>44529</v>
      </c>
      <c r="C679" s="1" t="n">
        <v>45507</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69155-2021</t>
        </is>
      </c>
      <c r="B680" s="1" t="n">
        <v>44530</v>
      </c>
      <c r="C680" s="1" t="n">
        <v>45507</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69550-2021</t>
        </is>
      </c>
      <c r="B681" s="1" t="n">
        <v>44531</v>
      </c>
      <c r="C681" s="1" t="n">
        <v>45507</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69549-2021</t>
        </is>
      </c>
      <c r="B682" s="1" t="n">
        <v>44531</v>
      </c>
      <c r="C682" s="1" t="n">
        <v>45507</v>
      </c>
      <c r="D682" t="inlineStr">
        <is>
          <t>JÄMTLANDS LÄN</t>
        </is>
      </c>
      <c r="E682" t="inlineStr">
        <is>
          <t>BRÄCKE</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70812-2021</t>
        </is>
      </c>
      <c r="B683" s="1" t="n">
        <v>44537</v>
      </c>
      <c r="C683" s="1" t="n">
        <v>45507</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row>
    <row r="684" ht="15" customHeight="1">
      <c r="A684" t="inlineStr">
        <is>
          <t>A 70807-2021</t>
        </is>
      </c>
      <c r="B684" s="1" t="n">
        <v>44537</v>
      </c>
      <c r="C684" s="1" t="n">
        <v>45507</v>
      </c>
      <c r="D684" t="inlineStr">
        <is>
          <t>JÄMTLANDS LÄN</t>
        </is>
      </c>
      <c r="E684" t="inlineStr">
        <is>
          <t>BRÄCKE</t>
        </is>
      </c>
      <c r="G684" t="n">
        <v>0.9</v>
      </c>
      <c r="H684" t="n">
        <v>0</v>
      </c>
      <c r="I684" t="n">
        <v>0</v>
      </c>
      <c r="J684" t="n">
        <v>0</v>
      </c>
      <c r="K684" t="n">
        <v>0</v>
      </c>
      <c r="L684" t="n">
        <v>0</v>
      </c>
      <c r="M684" t="n">
        <v>0</v>
      </c>
      <c r="N684" t="n">
        <v>0</v>
      </c>
      <c r="O684" t="n">
        <v>0</v>
      </c>
      <c r="P684" t="n">
        <v>0</v>
      </c>
      <c r="Q684" t="n">
        <v>0</v>
      </c>
      <c r="R684" s="2" t="inlineStr"/>
    </row>
    <row r="685" ht="15" customHeight="1">
      <c r="A685" t="inlineStr">
        <is>
          <t>A 70813-2021</t>
        </is>
      </c>
      <c r="B685" s="1" t="n">
        <v>44537</v>
      </c>
      <c r="C685" s="1" t="n">
        <v>45507</v>
      </c>
      <c r="D685" t="inlineStr">
        <is>
          <t>JÄMTLANDS LÄN</t>
        </is>
      </c>
      <c r="E685" t="inlineStr">
        <is>
          <t>BRÄCKE</t>
        </is>
      </c>
      <c r="G685" t="n">
        <v>5.2</v>
      </c>
      <c r="H685" t="n">
        <v>0</v>
      </c>
      <c r="I685" t="n">
        <v>0</v>
      </c>
      <c r="J685" t="n">
        <v>0</v>
      </c>
      <c r="K685" t="n">
        <v>0</v>
      </c>
      <c r="L685" t="n">
        <v>0</v>
      </c>
      <c r="M685" t="n">
        <v>0</v>
      </c>
      <c r="N685" t="n">
        <v>0</v>
      </c>
      <c r="O685" t="n">
        <v>0</v>
      </c>
      <c r="P685" t="n">
        <v>0</v>
      </c>
      <c r="Q685" t="n">
        <v>0</v>
      </c>
      <c r="R685" s="2" t="inlineStr"/>
    </row>
    <row r="686" ht="15" customHeight="1">
      <c r="A686" t="inlineStr">
        <is>
          <t>A 72025-2021</t>
        </is>
      </c>
      <c r="B686" s="1" t="n">
        <v>44540</v>
      </c>
      <c r="C686" s="1" t="n">
        <v>45507</v>
      </c>
      <c r="D686" t="inlineStr">
        <is>
          <t>JÄMTLANDS LÄN</t>
        </is>
      </c>
      <c r="E686" t="inlineStr">
        <is>
          <t>BRÄCKE</t>
        </is>
      </c>
      <c r="G686" t="n">
        <v>11</v>
      </c>
      <c r="H686" t="n">
        <v>0</v>
      </c>
      <c r="I686" t="n">
        <v>0</v>
      </c>
      <c r="J686" t="n">
        <v>0</v>
      </c>
      <c r="K686" t="n">
        <v>0</v>
      </c>
      <c r="L686" t="n">
        <v>0</v>
      </c>
      <c r="M686" t="n">
        <v>0</v>
      </c>
      <c r="N686" t="n">
        <v>0</v>
      </c>
      <c r="O686" t="n">
        <v>0</v>
      </c>
      <c r="P686" t="n">
        <v>0</v>
      </c>
      <c r="Q686" t="n">
        <v>0</v>
      </c>
      <c r="R686" s="2" t="inlineStr"/>
    </row>
    <row r="687" ht="15" customHeight="1">
      <c r="A687" t="inlineStr">
        <is>
          <t>A 72044-2021</t>
        </is>
      </c>
      <c r="B687" s="1" t="n">
        <v>44540</v>
      </c>
      <c r="C687" s="1" t="n">
        <v>45507</v>
      </c>
      <c r="D687" t="inlineStr">
        <is>
          <t>JÄMTLANDS LÄN</t>
        </is>
      </c>
      <c r="E687" t="inlineStr">
        <is>
          <t>BRÄCKE</t>
        </is>
      </c>
      <c r="G687" t="n">
        <v>19</v>
      </c>
      <c r="H687" t="n">
        <v>0</v>
      </c>
      <c r="I687" t="n">
        <v>0</v>
      </c>
      <c r="J687" t="n">
        <v>0</v>
      </c>
      <c r="K687" t="n">
        <v>0</v>
      </c>
      <c r="L687" t="n">
        <v>0</v>
      </c>
      <c r="M687" t="n">
        <v>0</v>
      </c>
      <c r="N687" t="n">
        <v>0</v>
      </c>
      <c r="O687" t="n">
        <v>0</v>
      </c>
      <c r="P687" t="n">
        <v>0</v>
      </c>
      <c r="Q687" t="n">
        <v>0</v>
      </c>
      <c r="R687" s="2" t="inlineStr"/>
    </row>
    <row r="688" ht="15" customHeight="1">
      <c r="A688" t="inlineStr">
        <is>
          <t>A 72757-2021</t>
        </is>
      </c>
      <c r="B688" s="1" t="n">
        <v>44546</v>
      </c>
      <c r="C688" s="1" t="n">
        <v>45507</v>
      </c>
      <c r="D688" t="inlineStr">
        <is>
          <t>JÄMTLANDS LÄN</t>
        </is>
      </c>
      <c r="E688" t="inlineStr">
        <is>
          <t>BRÄCKE</t>
        </is>
      </c>
      <c r="G688" t="n">
        <v>1.3</v>
      </c>
      <c r="H688" t="n">
        <v>0</v>
      </c>
      <c r="I688" t="n">
        <v>0</v>
      </c>
      <c r="J688" t="n">
        <v>0</v>
      </c>
      <c r="K688" t="n">
        <v>0</v>
      </c>
      <c r="L688" t="n">
        <v>0</v>
      </c>
      <c r="M688" t="n">
        <v>0</v>
      </c>
      <c r="N688" t="n">
        <v>0</v>
      </c>
      <c r="O688" t="n">
        <v>0</v>
      </c>
      <c r="P688" t="n">
        <v>0</v>
      </c>
      <c r="Q688" t="n">
        <v>0</v>
      </c>
      <c r="R688" s="2" t="inlineStr"/>
    </row>
    <row r="689" ht="15" customHeight="1">
      <c r="A689" t="inlineStr">
        <is>
          <t>A 72750-2021</t>
        </is>
      </c>
      <c r="B689" s="1" t="n">
        <v>44546</v>
      </c>
      <c r="C689" s="1" t="n">
        <v>45507</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72754-2021</t>
        </is>
      </c>
      <c r="B690" s="1" t="n">
        <v>44546</v>
      </c>
      <c r="C690" s="1" t="n">
        <v>45507</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72758-2021</t>
        </is>
      </c>
      <c r="B691" s="1" t="n">
        <v>44546</v>
      </c>
      <c r="C691" s="1" t="n">
        <v>45507</v>
      </c>
      <c r="D691" t="inlineStr">
        <is>
          <t>JÄMTLANDS LÄN</t>
        </is>
      </c>
      <c r="E691" t="inlineStr">
        <is>
          <t>BRÄCKE</t>
        </is>
      </c>
      <c r="G691" t="n">
        <v>3.4</v>
      </c>
      <c r="H691" t="n">
        <v>0</v>
      </c>
      <c r="I691" t="n">
        <v>0</v>
      </c>
      <c r="J691" t="n">
        <v>0</v>
      </c>
      <c r="K691" t="n">
        <v>0</v>
      </c>
      <c r="L691" t="n">
        <v>0</v>
      </c>
      <c r="M691" t="n">
        <v>0</v>
      </c>
      <c r="N691" t="n">
        <v>0</v>
      </c>
      <c r="O691" t="n">
        <v>0</v>
      </c>
      <c r="P691" t="n">
        <v>0</v>
      </c>
      <c r="Q691" t="n">
        <v>0</v>
      </c>
      <c r="R691" s="2" t="inlineStr"/>
    </row>
    <row r="692" ht="15" customHeight="1">
      <c r="A692" t="inlineStr">
        <is>
          <t>A 73106-2021</t>
        </is>
      </c>
      <c r="B692" s="1" t="n">
        <v>44550</v>
      </c>
      <c r="C692" s="1" t="n">
        <v>45507</v>
      </c>
      <c r="D692" t="inlineStr">
        <is>
          <t>JÄMTLANDS LÄN</t>
        </is>
      </c>
      <c r="E692" t="inlineStr">
        <is>
          <t>BRÄCKE</t>
        </is>
      </c>
      <c r="F692" t="inlineStr">
        <is>
          <t>Sveaskog</t>
        </is>
      </c>
      <c r="G692" t="n">
        <v>5.4</v>
      </c>
      <c r="H692" t="n">
        <v>0</v>
      </c>
      <c r="I692" t="n">
        <v>0</v>
      </c>
      <c r="J692" t="n">
        <v>0</v>
      </c>
      <c r="K692" t="n">
        <v>0</v>
      </c>
      <c r="L692" t="n">
        <v>0</v>
      </c>
      <c r="M692" t="n">
        <v>0</v>
      </c>
      <c r="N692" t="n">
        <v>0</v>
      </c>
      <c r="O692" t="n">
        <v>0</v>
      </c>
      <c r="P692" t="n">
        <v>0</v>
      </c>
      <c r="Q692" t="n">
        <v>0</v>
      </c>
      <c r="R692" s="2" t="inlineStr"/>
    </row>
    <row r="693" ht="15" customHeight="1">
      <c r="A693" t="inlineStr">
        <is>
          <t>A 73109-2021</t>
        </is>
      </c>
      <c r="B693" s="1" t="n">
        <v>44550</v>
      </c>
      <c r="C693" s="1" t="n">
        <v>45507</v>
      </c>
      <c r="D693" t="inlineStr">
        <is>
          <t>JÄMTLANDS LÄN</t>
        </is>
      </c>
      <c r="E693" t="inlineStr">
        <is>
          <t>BRÄCKE</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73102-2021</t>
        </is>
      </c>
      <c r="B694" s="1" t="n">
        <v>44550</v>
      </c>
      <c r="C694" s="1" t="n">
        <v>45507</v>
      </c>
      <c r="D694" t="inlineStr">
        <is>
          <t>JÄMTLANDS LÄN</t>
        </is>
      </c>
      <c r="E694" t="inlineStr">
        <is>
          <t>BRÄCKE</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73281-2021</t>
        </is>
      </c>
      <c r="B695" s="1" t="n">
        <v>44550</v>
      </c>
      <c r="C695" s="1" t="n">
        <v>45507</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73280-2021</t>
        </is>
      </c>
      <c r="B696" s="1" t="n">
        <v>44550</v>
      </c>
      <c r="C696" s="1" t="n">
        <v>45507</v>
      </c>
      <c r="D696" t="inlineStr">
        <is>
          <t>JÄMTLANDS LÄN</t>
        </is>
      </c>
      <c r="E696" t="inlineStr">
        <is>
          <t>BRÄCKE</t>
        </is>
      </c>
      <c r="G696" t="n">
        <v>2.5</v>
      </c>
      <c r="H696" t="n">
        <v>0</v>
      </c>
      <c r="I696" t="n">
        <v>0</v>
      </c>
      <c r="J696" t="n">
        <v>0</v>
      </c>
      <c r="K696" t="n">
        <v>0</v>
      </c>
      <c r="L696" t="n">
        <v>0</v>
      </c>
      <c r="M696" t="n">
        <v>0</v>
      </c>
      <c r="N696" t="n">
        <v>0</v>
      </c>
      <c r="O696" t="n">
        <v>0</v>
      </c>
      <c r="P696" t="n">
        <v>0</v>
      </c>
      <c r="Q696" t="n">
        <v>0</v>
      </c>
      <c r="R696" s="2" t="inlineStr"/>
    </row>
    <row r="697" ht="15" customHeight="1">
      <c r="A697" t="inlineStr">
        <is>
          <t>A 1087-2022</t>
        </is>
      </c>
      <c r="B697" s="1" t="n">
        <v>44571</v>
      </c>
      <c r="C697" s="1" t="n">
        <v>45507</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1201-2022</t>
        </is>
      </c>
      <c r="B698" s="1" t="n">
        <v>44572</v>
      </c>
      <c r="C698" s="1" t="n">
        <v>45507</v>
      </c>
      <c r="D698" t="inlineStr">
        <is>
          <t>JÄMTLANDS LÄN</t>
        </is>
      </c>
      <c r="E698" t="inlineStr">
        <is>
          <t>BRÄCKE</t>
        </is>
      </c>
      <c r="G698" t="n">
        <v>13.7</v>
      </c>
      <c r="H698" t="n">
        <v>0</v>
      </c>
      <c r="I698" t="n">
        <v>0</v>
      </c>
      <c r="J698" t="n">
        <v>0</v>
      </c>
      <c r="K698" t="n">
        <v>0</v>
      </c>
      <c r="L698" t="n">
        <v>0</v>
      </c>
      <c r="M698" t="n">
        <v>0</v>
      </c>
      <c r="N698" t="n">
        <v>0</v>
      </c>
      <c r="O698" t="n">
        <v>0</v>
      </c>
      <c r="P698" t="n">
        <v>0</v>
      </c>
      <c r="Q698" t="n">
        <v>0</v>
      </c>
      <c r="R698" s="2" t="inlineStr"/>
    </row>
    <row r="699" ht="15" customHeight="1">
      <c r="A699" t="inlineStr">
        <is>
          <t>A 1340-2022</t>
        </is>
      </c>
      <c r="B699" s="1" t="n">
        <v>44572</v>
      </c>
      <c r="C699" s="1" t="n">
        <v>45507</v>
      </c>
      <c r="D699" t="inlineStr">
        <is>
          <t>JÄMTLANDS LÄN</t>
        </is>
      </c>
      <c r="E699" t="inlineStr">
        <is>
          <t>BRÄCKE</t>
        </is>
      </c>
      <c r="F699" t="inlineStr">
        <is>
          <t>SCA</t>
        </is>
      </c>
      <c r="G699" t="n">
        <v>23.7</v>
      </c>
      <c r="H699" t="n">
        <v>0</v>
      </c>
      <c r="I699" t="n">
        <v>0</v>
      </c>
      <c r="J699" t="n">
        <v>0</v>
      </c>
      <c r="K699" t="n">
        <v>0</v>
      </c>
      <c r="L699" t="n">
        <v>0</v>
      </c>
      <c r="M699" t="n">
        <v>0</v>
      </c>
      <c r="N699" t="n">
        <v>0</v>
      </c>
      <c r="O699" t="n">
        <v>0</v>
      </c>
      <c r="P699" t="n">
        <v>0</v>
      </c>
      <c r="Q699" t="n">
        <v>0</v>
      </c>
      <c r="R699" s="2" t="inlineStr"/>
    </row>
    <row r="700" ht="15" customHeight="1">
      <c r="A700" t="inlineStr">
        <is>
          <t>A 1865-2022</t>
        </is>
      </c>
      <c r="B700" s="1" t="n">
        <v>44574</v>
      </c>
      <c r="C700" s="1" t="n">
        <v>45507</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1863-2022</t>
        </is>
      </c>
      <c r="B701" s="1" t="n">
        <v>44574</v>
      </c>
      <c r="C701" s="1" t="n">
        <v>45507</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1866-2022</t>
        </is>
      </c>
      <c r="B702" s="1" t="n">
        <v>44574</v>
      </c>
      <c r="C702" s="1" t="n">
        <v>45507</v>
      </c>
      <c r="D702" t="inlineStr">
        <is>
          <t>JÄMTLANDS LÄN</t>
        </is>
      </c>
      <c r="E702" t="inlineStr">
        <is>
          <t>BRÄCKE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1864-2022</t>
        </is>
      </c>
      <c r="B703" s="1" t="n">
        <v>44574</v>
      </c>
      <c r="C703" s="1" t="n">
        <v>45507</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2035-2022</t>
        </is>
      </c>
      <c r="B704" s="1" t="n">
        <v>44575</v>
      </c>
      <c r="C704" s="1" t="n">
        <v>45507</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2645-2022</t>
        </is>
      </c>
      <c r="B705" s="1" t="n">
        <v>44580</v>
      </c>
      <c r="C705" s="1" t="n">
        <v>45507</v>
      </c>
      <c r="D705" t="inlineStr">
        <is>
          <t>JÄMTLANDS LÄN</t>
        </is>
      </c>
      <c r="E705" t="inlineStr">
        <is>
          <t>BRÄCKE</t>
        </is>
      </c>
      <c r="G705" t="n">
        <v>2.9</v>
      </c>
      <c r="H705" t="n">
        <v>0</v>
      </c>
      <c r="I705" t="n">
        <v>0</v>
      </c>
      <c r="J705" t="n">
        <v>0</v>
      </c>
      <c r="K705" t="n">
        <v>0</v>
      </c>
      <c r="L705" t="n">
        <v>0</v>
      </c>
      <c r="M705" t="n">
        <v>0</v>
      </c>
      <c r="N705" t="n">
        <v>0</v>
      </c>
      <c r="O705" t="n">
        <v>0</v>
      </c>
      <c r="P705" t="n">
        <v>0</v>
      </c>
      <c r="Q705" t="n">
        <v>0</v>
      </c>
      <c r="R705" s="2" t="inlineStr"/>
    </row>
    <row r="706" ht="15" customHeight="1">
      <c r="A706" t="inlineStr">
        <is>
          <t>A 3239-2022</t>
        </is>
      </c>
      <c r="B706" s="1" t="n">
        <v>44582</v>
      </c>
      <c r="C706" s="1" t="n">
        <v>45507</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3224-2022</t>
        </is>
      </c>
      <c r="B707" s="1" t="n">
        <v>44582</v>
      </c>
      <c r="C707" s="1" t="n">
        <v>45507</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3694-2022</t>
        </is>
      </c>
      <c r="B708" s="1" t="n">
        <v>44586</v>
      </c>
      <c r="C708" s="1" t="n">
        <v>45507</v>
      </c>
      <c r="D708" t="inlineStr">
        <is>
          <t>JÄMTLANDS LÄN</t>
        </is>
      </c>
      <c r="E708" t="inlineStr">
        <is>
          <t>BRÄCKE</t>
        </is>
      </c>
      <c r="G708" t="n">
        <v>2.3</v>
      </c>
      <c r="H708" t="n">
        <v>0</v>
      </c>
      <c r="I708" t="n">
        <v>0</v>
      </c>
      <c r="J708" t="n">
        <v>0</v>
      </c>
      <c r="K708" t="n">
        <v>0</v>
      </c>
      <c r="L708" t="n">
        <v>0</v>
      </c>
      <c r="M708" t="n">
        <v>0</v>
      </c>
      <c r="N708" t="n">
        <v>0</v>
      </c>
      <c r="O708" t="n">
        <v>0</v>
      </c>
      <c r="P708" t="n">
        <v>0</v>
      </c>
      <c r="Q708" t="n">
        <v>0</v>
      </c>
      <c r="R708" s="2" t="inlineStr"/>
    </row>
    <row r="709" ht="15" customHeight="1">
      <c r="A709" t="inlineStr">
        <is>
          <t>A 3947-2022</t>
        </is>
      </c>
      <c r="B709" s="1" t="n">
        <v>44587</v>
      </c>
      <c r="C709" s="1" t="n">
        <v>45507</v>
      </c>
      <c r="D709" t="inlineStr">
        <is>
          <t>JÄMTLANDS LÄN</t>
        </is>
      </c>
      <c r="E709" t="inlineStr">
        <is>
          <t>BRÄCKE</t>
        </is>
      </c>
      <c r="G709" t="n">
        <v>0.4</v>
      </c>
      <c r="H709" t="n">
        <v>0</v>
      </c>
      <c r="I709" t="n">
        <v>0</v>
      </c>
      <c r="J709" t="n">
        <v>0</v>
      </c>
      <c r="K709" t="n">
        <v>0</v>
      </c>
      <c r="L709" t="n">
        <v>0</v>
      </c>
      <c r="M709" t="n">
        <v>0</v>
      </c>
      <c r="N709" t="n">
        <v>0</v>
      </c>
      <c r="O709" t="n">
        <v>0</v>
      </c>
      <c r="P709" t="n">
        <v>0</v>
      </c>
      <c r="Q709" t="n">
        <v>0</v>
      </c>
      <c r="R709" s="2" t="inlineStr"/>
    </row>
    <row r="710" ht="15" customHeight="1">
      <c r="A710" t="inlineStr">
        <is>
          <t>A 4338-2022</t>
        </is>
      </c>
      <c r="B710" s="1" t="n">
        <v>44588</v>
      </c>
      <c r="C710" s="1" t="n">
        <v>45507</v>
      </c>
      <c r="D710" t="inlineStr">
        <is>
          <t>JÄMTLANDS LÄN</t>
        </is>
      </c>
      <c r="E710" t="inlineStr">
        <is>
          <t>BRÄCKE</t>
        </is>
      </c>
      <c r="G710" t="n">
        <v>1.8</v>
      </c>
      <c r="H710" t="n">
        <v>0</v>
      </c>
      <c r="I710" t="n">
        <v>0</v>
      </c>
      <c r="J710" t="n">
        <v>0</v>
      </c>
      <c r="K710" t="n">
        <v>0</v>
      </c>
      <c r="L710" t="n">
        <v>0</v>
      </c>
      <c r="M710" t="n">
        <v>0</v>
      </c>
      <c r="N710" t="n">
        <v>0</v>
      </c>
      <c r="O710" t="n">
        <v>0</v>
      </c>
      <c r="P710" t="n">
        <v>0</v>
      </c>
      <c r="Q710" t="n">
        <v>0</v>
      </c>
      <c r="R710" s="2" t="inlineStr"/>
    </row>
    <row r="711" ht="15" customHeight="1">
      <c r="A711" t="inlineStr">
        <is>
          <t>A 4542-2022</t>
        </is>
      </c>
      <c r="B711" s="1" t="n">
        <v>44590</v>
      </c>
      <c r="C711" s="1" t="n">
        <v>45507</v>
      </c>
      <c r="D711" t="inlineStr">
        <is>
          <t>JÄMTLANDS LÄN</t>
        </is>
      </c>
      <c r="E711" t="inlineStr">
        <is>
          <t>BRÄCKE</t>
        </is>
      </c>
      <c r="G711" t="n">
        <v>18.5</v>
      </c>
      <c r="H711" t="n">
        <v>0</v>
      </c>
      <c r="I711" t="n">
        <v>0</v>
      </c>
      <c r="J711" t="n">
        <v>0</v>
      </c>
      <c r="K711" t="n">
        <v>0</v>
      </c>
      <c r="L711" t="n">
        <v>0</v>
      </c>
      <c r="M711" t="n">
        <v>0</v>
      </c>
      <c r="N711" t="n">
        <v>0</v>
      </c>
      <c r="O711" t="n">
        <v>0</v>
      </c>
      <c r="P711" t="n">
        <v>0</v>
      </c>
      <c r="Q711" t="n">
        <v>0</v>
      </c>
      <c r="R711" s="2" t="inlineStr"/>
    </row>
    <row r="712" ht="15" customHeight="1">
      <c r="A712" t="inlineStr">
        <is>
          <t>A 4635-2022</t>
        </is>
      </c>
      <c r="B712" s="1" t="n">
        <v>44592</v>
      </c>
      <c r="C712" s="1" t="n">
        <v>45507</v>
      </c>
      <c r="D712" t="inlineStr">
        <is>
          <t>JÄMTLANDS LÄN</t>
        </is>
      </c>
      <c r="E712" t="inlineStr">
        <is>
          <t>BRÄCKE</t>
        </is>
      </c>
      <c r="G712" t="n">
        <v>3.7</v>
      </c>
      <c r="H712" t="n">
        <v>0</v>
      </c>
      <c r="I712" t="n">
        <v>0</v>
      </c>
      <c r="J712" t="n">
        <v>0</v>
      </c>
      <c r="K712" t="n">
        <v>0</v>
      </c>
      <c r="L712" t="n">
        <v>0</v>
      </c>
      <c r="M712" t="n">
        <v>0</v>
      </c>
      <c r="N712" t="n">
        <v>0</v>
      </c>
      <c r="O712" t="n">
        <v>0</v>
      </c>
      <c r="P712" t="n">
        <v>0</v>
      </c>
      <c r="Q712" t="n">
        <v>0</v>
      </c>
      <c r="R712" s="2" t="inlineStr"/>
    </row>
    <row r="713" ht="15" customHeight="1">
      <c r="A713" t="inlineStr">
        <is>
          <t>A 4850-2022</t>
        </is>
      </c>
      <c r="B713" s="1" t="n">
        <v>44592</v>
      </c>
      <c r="C713" s="1" t="n">
        <v>45507</v>
      </c>
      <c r="D713" t="inlineStr">
        <is>
          <t>JÄMTLANDS LÄN</t>
        </is>
      </c>
      <c r="E713" t="inlineStr">
        <is>
          <t>BRÄCKE</t>
        </is>
      </c>
      <c r="G713" t="n">
        <v>7.6</v>
      </c>
      <c r="H713" t="n">
        <v>0</v>
      </c>
      <c r="I713" t="n">
        <v>0</v>
      </c>
      <c r="J713" t="n">
        <v>0</v>
      </c>
      <c r="K713" t="n">
        <v>0</v>
      </c>
      <c r="L713" t="n">
        <v>0</v>
      </c>
      <c r="M713" t="n">
        <v>0</v>
      </c>
      <c r="N713" t="n">
        <v>0</v>
      </c>
      <c r="O713" t="n">
        <v>0</v>
      </c>
      <c r="P713" t="n">
        <v>0</v>
      </c>
      <c r="Q713" t="n">
        <v>0</v>
      </c>
      <c r="R713" s="2" t="inlineStr"/>
    </row>
    <row r="714" ht="15" customHeight="1">
      <c r="A714" t="inlineStr">
        <is>
          <t>A 5377-2022</t>
        </is>
      </c>
      <c r="B714" s="1" t="n">
        <v>44594</v>
      </c>
      <c r="C714" s="1" t="n">
        <v>45507</v>
      </c>
      <c r="D714" t="inlineStr">
        <is>
          <t>JÄMTLANDS LÄN</t>
        </is>
      </c>
      <c r="E714" t="inlineStr">
        <is>
          <t>BRÄCKE</t>
        </is>
      </c>
      <c r="G714" t="n">
        <v>40.3</v>
      </c>
      <c r="H714" t="n">
        <v>0</v>
      </c>
      <c r="I714" t="n">
        <v>0</v>
      </c>
      <c r="J714" t="n">
        <v>0</v>
      </c>
      <c r="K714" t="n">
        <v>0</v>
      </c>
      <c r="L714" t="n">
        <v>0</v>
      </c>
      <c r="M714" t="n">
        <v>0</v>
      </c>
      <c r="N714" t="n">
        <v>0</v>
      </c>
      <c r="O714" t="n">
        <v>0</v>
      </c>
      <c r="P714" t="n">
        <v>0</v>
      </c>
      <c r="Q714" t="n">
        <v>0</v>
      </c>
      <c r="R714" s="2" t="inlineStr"/>
    </row>
    <row r="715" ht="15" customHeight="1">
      <c r="A715" t="inlineStr">
        <is>
          <t>A 5380-2022</t>
        </is>
      </c>
      <c r="B715" s="1" t="n">
        <v>44594</v>
      </c>
      <c r="C715" s="1" t="n">
        <v>45507</v>
      </c>
      <c r="D715" t="inlineStr">
        <is>
          <t>JÄMTLANDS LÄN</t>
        </is>
      </c>
      <c r="E715" t="inlineStr">
        <is>
          <t>BRÄCKE</t>
        </is>
      </c>
      <c r="F715" t="inlineStr">
        <is>
          <t>SCA</t>
        </is>
      </c>
      <c r="G715" t="n">
        <v>18.3</v>
      </c>
      <c r="H715" t="n">
        <v>0</v>
      </c>
      <c r="I715" t="n">
        <v>0</v>
      </c>
      <c r="J715" t="n">
        <v>0</v>
      </c>
      <c r="K715" t="n">
        <v>0</v>
      </c>
      <c r="L715" t="n">
        <v>0</v>
      </c>
      <c r="M715" t="n">
        <v>0</v>
      </c>
      <c r="N715" t="n">
        <v>0</v>
      </c>
      <c r="O715" t="n">
        <v>0</v>
      </c>
      <c r="P715" t="n">
        <v>0</v>
      </c>
      <c r="Q715" t="n">
        <v>0</v>
      </c>
      <c r="R715" s="2" t="inlineStr"/>
      <c r="U715">
        <f>HYPERLINK("https://klasma.github.io/Logging_2305/knärot/A 5380-2022 karta knärot.png", "A 5380-2022")</f>
        <v/>
      </c>
      <c r="V715">
        <f>HYPERLINK("https://klasma.github.io/Logging_2305/klagomål/A 5380-2022 FSC-klagomål.docx", "A 5380-2022")</f>
        <v/>
      </c>
      <c r="W715">
        <f>HYPERLINK("https://klasma.github.io/Logging_2305/klagomålsmail/A 5380-2022 FSC-klagomål mail.docx", "A 5380-2022")</f>
        <v/>
      </c>
      <c r="X715">
        <f>HYPERLINK("https://klasma.github.io/Logging_2305/tillsyn/A 5380-2022 tillsynsbegäran.docx", "A 5380-2022")</f>
        <v/>
      </c>
      <c r="Y715">
        <f>HYPERLINK("https://klasma.github.io/Logging_2305/tillsynsmail/A 5380-2022 tillsynsbegäran mail.docx", "A 5380-2022")</f>
        <v/>
      </c>
    </row>
    <row r="716" ht="15" customHeight="1">
      <c r="A716" t="inlineStr">
        <is>
          <t>A 5378-2022</t>
        </is>
      </c>
      <c r="B716" s="1" t="n">
        <v>44594</v>
      </c>
      <c r="C716" s="1" t="n">
        <v>45507</v>
      </c>
      <c r="D716" t="inlineStr">
        <is>
          <t>JÄMTLANDS LÄN</t>
        </is>
      </c>
      <c r="E716" t="inlineStr">
        <is>
          <t>BRÄCKE</t>
        </is>
      </c>
      <c r="G716" t="n">
        <v>4.6</v>
      </c>
      <c r="H716" t="n">
        <v>0</v>
      </c>
      <c r="I716" t="n">
        <v>0</v>
      </c>
      <c r="J716" t="n">
        <v>0</v>
      </c>
      <c r="K716" t="n">
        <v>0</v>
      </c>
      <c r="L716" t="n">
        <v>0</v>
      </c>
      <c r="M716" t="n">
        <v>0</v>
      </c>
      <c r="N716" t="n">
        <v>0</v>
      </c>
      <c r="O716" t="n">
        <v>0</v>
      </c>
      <c r="P716" t="n">
        <v>0</v>
      </c>
      <c r="Q716" t="n">
        <v>0</v>
      </c>
      <c r="R716" s="2" t="inlineStr"/>
    </row>
    <row r="717" ht="15" customHeight="1">
      <c r="A717" t="inlineStr">
        <is>
          <t>A 6460-2022</t>
        </is>
      </c>
      <c r="B717" s="1" t="n">
        <v>44601</v>
      </c>
      <c r="C717" s="1" t="n">
        <v>45507</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6461-2022</t>
        </is>
      </c>
      <c r="B718" s="1" t="n">
        <v>44601</v>
      </c>
      <c r="C718" s="1" t="n">
        <v>45507</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6648-2022</t>
        </is>
      </c>
      <c r="B719" s="1" t="n">
        <v>44601</v>
      </c>
      <c r="C719" s="1" t="n">
        <v>45507</v>
      </c>
      <c r="D719" t="inlineStr">
        <is>
          <t>JÄMTLANDS LÄN</t>
        </is>
      </c>
      <c r="E719" t="inlineStr">
        <is>
          <t>BRÄCKE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7027-2022</t>
        </is>
      </c>
      <c r="B720" s="1" t="n">
        <v>44603</v>
      </c>
      <c r="C720" s="1" t="n">
        <v>45507</v>
      </c>
      <c r="D720" t="inlineStr">
        <is>
          <t>JÄMTLANDS LÄN</t>
        </is>
      </c>
      <c r="E720" t="inlineStr">
        <is>
          <t>BRÄCKE</t>
        </is>
      </c>
      <c r="G720" t="n">
        <v>3.7</v>
      </c>
      <c r="H720" t="n">
        <v>0</v>
      </c>
      <c r="I720" t="n">
        <v>0</v>
      </c>
      <c r="J720" t="n">
        <v>0</v>
      </c>
      <c r="K720" t="n">
        <v>0</v>
      </c>
      <c r="L720" t="n">
        <v>0</v>
      </c>
      <c r="M720" t="n">
        <v>0</v>
      </c>
      <c r="N720" t="n">
        <v>0</v>
      </c>
      <c r="O720" t="n">
        <v>0</v>
      </c>
      <c r="P720" t="n">
        <v>0</v>
      </c>
      <c r="Q720" t="n">
        <v>0</v>
      </c>
      <c r="R720" s="2" t="inlineStr"/>
    </row>
    <row r="721" ht="15" customHeight="1">
      <c r="A721" t="inlineStr">
        <is>
          <t>A 8052-2022</t>
        </is>
      </c>
      <c r="B721" s="1" t="n">
        <v>44609</v>
      </c>
      <c r="C721" s="1" t="n">
        <v>45507</v>
      </c>
      <c r="D721" t="inlineStr">
        <is>
          <t>JÄMTLANDS LÄN</t>
        </is>
      </c>
      <c r="E721" t="inlineStr">
        <is>
          <t>BRÄCKE</t>
        </is>
      </c>
      <c r="G721" t="n">
        <v>0.6</v>
      </c>
      <c r="H721" t="n">
        <v>0</v>
      </c>
      <c r="I721" t="n">
        <v>0</v>
      </c>
      <c r="J721" t="n">
        <v>0</v>
      </c>
      <c r="K721" t="n">
        <v>0</v>
      </c>
      <c r="L721" t="n">
        <v>0</v>
      </c>
      <c r="M721" t="n">
        <v>0</v>
      </c>
      <c r="N721" t="n">
        <v>0</v>
      </c>
      <c r="O721" t="n">
        <v>0</v>
      </c>
      <c r="P721" t="n">
        <v>0</v>
      </c>
      <c r="Q721" t="n">
        <v>0</v>
      </c>
      <c r="R721" s="2" t="inlineStr"/>
    </row>
    <row r="722" ht="15" customHeight="1">
      <c r="A722" t="inlineStr">
        <is>
          <t>A 8422-2022</t>
        </is>
      </c>
      <c r="B722" s="1" t="n">
        <v>44610</v>
      </c>
      <c r="C722" s="1" t="n">
        <v>45507</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10130-2022</t>
        </is>
      </c>
      <c r="B723" s="1" t="n">
        <v>44621</v>
      </c>
      <c r="C723" s="1" t="n">
        <v>45507</v>
      </c>
      <c r="D723" t="inlineStr">
        <is>
          <t>JÄMTLANDS LÄN</t>
        </is>
      </c>
      <c r="E723" t="inlineStr">
        <is>
          <t>BRÄCKE</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10129-2022</t>
        </is>
      </c>
      <c r="B724" s="1" t="n">
        <v>44621</v>
      </c>
      <c r="C724" s="1" t="n">
        <v>45507</v>
      </c>
      <c r="D724" t="inlineStr">
        <is>
          <t>JÄMTLANDS LÄN</t>
        </is>
      </c>
      <c r="E724" t="inlineStr">
        <is>
          <t>BRÄCKE</t>
        </is>
      </c>
      <c r="F724" t="inlineStr">
        <is>
          <t>SCA</t>
        </is>
      </c>
      <c r="G724" t="n">
        <v>15.6</v>
      </c>
      <c r="H724" t="n">
        <v>0</v>
      </c>
      <c r="I724" t="n">
        <v>0</v>
      </c>
      <c r="J724" t="n">
        <v>0</v>
      </c>
      <c r="K724" t="n">
        <v>0</v>
      </c>
      <c r="L724" t="n">
        <v>0</v>
      </c>
      <c r="M724" t="n">
        <v>0</v>
      </c>
      <c r="N724" t="n">
        <v>0</v>
      </c>
      <c r="O724" t="n">
        <v>0</v>
      </c>
      <c r="P724" t="n">
        <v>0</v>
      </c>
      <c r="Q724" t="n">
        <v>0</v>
      </c>
      <c r="R724" s="2" t="inlineStr"/>
    </row>
    <row r="725" ht="15" customHeight="1">
      <c r="A725" t="inlineStr">
        <is>
          <t>A 10476-2022</t>
        </is>
      </c>
      <c r="B725" s="1" t="n">
        <v>44623</v>
      </c>
      <c r="C725" s="1" t="n">
        <v>45507</v>
      </c>
      <c r="D725" t="inlineStr">
        <is>
          <t>JÄMTLANDS LÄN</t>
        </is>
      </c>
      <c r="E725" t="inlineStr">
        <is>
          <t>BRÄCKE</t>
        </is>
      </c>
      <c r="G725" t="n">
        <v>3.8</v>
      </c>
      <c r="H725" t="n">
        <v>0</v>
      </c>
      <c r="I725" t="n">
        <v>0</v>
      </c>
      <c r="J725" t="n">
        <v>0</v>
      </c>
      <c r="K725" t="n">
        <v>0</v>
      </c>
      <c r="L725" t="n">
        <v>0</v>
      </c>
      <c r="M725" t="n">
        <v>0</v>
      </c>
      <c r="N725" t="n">
        <v>0</v>
      </c>
      <c r="O725" t="n">
        <v>0</v>
      </c>
      <c r="P725" t="n">
        <v>0</v>
      </c>
      <c r="Q725" t="n">
        <v>0</v>
      </c>
      <c r="R725" s="2" t="inlineStr"/>
    </row>
    <row r="726" ht="15" customHeight="1">
      <c r="A726" t="inlineStr">
        <is>
          <t>A 10532-2022</t>
        </is>
      </c>
      <c r="B726" s="1" t="n">
        <v>44623</v>
      </c>
      <c r="C726" s="1" t="n">
        <v>45507</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10536-2022</t>
        </is>
      </c>
      <c r="B727" s="1" t="n">
        <v>44623</v>
      </c>
      <c r="C727" s="1" t="n">
        <v>45507</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10540-2022</t>
        </is>
      </c>
      <c r="B728" s="1" t="n">
        <v>44623</v>
      </c>
      <c r="C728" s="1" t="n">
        <v>45507</v>
      </c>
      <c r="D728" t="inlineStr">
        <is>
          <t>JÄMTLANDS LÄN</t>
        </is>
      </c>
      <c r="E728" t="inlineStr">
        <is>
          <t>BRÄCKE</t>
        </is>
      </c>
      <c r="G728" t="n">
        <v>2.1</v>
      </c>
      <c r="H728" t="n">
        <v>0</v>
      </c>
      <c r="I728" t="n">
        <v>0</v>
      </c>
      <c r="J728" t="n">
        <v>0</v>
      </c>
      <c r="K728" t="n">
        <v>0</v>
      </c>
      <c r="L728" t="n">
        <v>0</v>
      </c>
      <c r="M728" t="n">
        <v>0</v>
      </c>
      <c r="N728" t="n">
        <v>0</v>
      </c>
      <c r="O728" t="n">
        <v>0</v>
      </c>
      <c r="P728" t="n">
        <v>0</v>
      </c>
      <c r="Q728" t="n">
        <v>0</v>
      </c>
      <c r="R728" s="2" t="inlineStr"/>
    </row>
    <row r="729" ht="15" customHeight="1">
      <c r="A729" t="inlineStr">
        <is>
          <t>A 10535-2022</t>
        </is>
      </c>
      <c r="B729" s="1" t="n">
        <v>44623</v>
      </c>
      <c r="C729" s="1" t="n">
        <v>45507</v>
      </c>
      <c r="D729" t="inlineStr">
        <is>
          <t>JÄMTLANDS LÄN</t>
        </is>
      </c>
      <c r="E729" t="inlineStr">
        <is>
          <t>BRÄCKE</t>
        </is>
      </c>
      <c r="G729" t="n">
        <v>0.7</v>
      </c>
      <c r="H729" t="n">
        <v>0</v>
      </c>
      <c r="I729" t="n">
        <v>0</v>
      </c>
      <c r="J729" t="n">
        <v>0</v>
      </c>
      <c r="K729" t="n">
        <v>0</v>
      </c>
      <c r="L729" t="n">
        <v>0</v>
      </c>
      <c r="M729" t="n">
        <v>0</v>
      </c>
      <c r="N729" t="n">
        <v>0</v>
      </c>
      <c r="O729" t="n">
        <v>0</v>
      </c>
      <c r="P729" t="n">
        <v>0</v>
      </c>
      <c r="Q729" t="n">
        <v>0</v>
      </c>
      <c r="R729" s="2" t="inlineStr"/>
    </row>
    <row r="730" ht="15" customHeight="1">
      <c r="A730" t="inlineStr">
        <is>
          <t>A 10539-2022</t>
        </is>
      </c>
      <c r="B730" s="1" t="n">
        <v>44623</v>
      </c>
      <c r="C730" s="1" t="n">
        <v>45507</v>
      </c>
      <c r="D730" t="inlineStr">
        <is>
          <t>JÄMTLANDS LÄN</t>
        </is>
      </c>
      <c r="E730" t="inlineStr">
        <is>
          <t>BRÄCKE</t>
        </is>
      </c>
      <c r="G730" t="n">
        <v>0.8</v>
      </c>
      <c r="H730" t="n">
        <v>0</v>
      </c>
      <c r="I730" t="n">
        <v>0</v>
      </c>
      <c r="J730" t="n">
        <v>0</v>
      </c>
      <c r="K730" t="n">
        <v>0</v>
      </c>
      <c r="L730" t="n">
        <v>0</v>
      </c>
      <c r="M730" t="n">
        <v>0</v>
      </c>
      <c r="N730" t="n">
        <v>0</v>
      </c>
      <c r="O730" t="n">
        <v>0</v>
      </c>
      <c r="P730" t="n">
        <v>0</v>
      </c>
      <c r="Q730" t="n">
        <v>0</v>
      </c>
      <c r="R730" s="2" t="inlineStr"/>
    </row>
    <row r="731" ht="15" customHeight="1">
      <c r="A731" t="inlineStr">
        <is>
          <t>A 10543-2022</t>
        </is>
      </c>
      <c r="B731" s="1" t="n">
        <v>44623</v>
      </c>
      <c r="C731" s="1" t="n">
        <v>45507</v>
      </c>
      <c r="D731" t="inlineStr">
        <is>
          <t>JÄMTLANDS LÄN</t>
        </is>
      </c>
      <c r="E731" t="inlineStr">
        <is>
          <t>BRÄCKE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10534-2022</t>
        </is>
      </c>
      <c r="B732" s="1" t="n">
        <v>44623</v>
      </c>
      <c r="C732" s="1" t="n">
        <v>45507</v>
      </c>
      <c r="D732" t="inlineStr">
        <is>
          <t>JÄMTLANDS LÄN</t>
        </is>
      </c>
      <c r="E732" t="inlineStr">
        <is>
          <t>BRÄCKE</t>
        </is>
      </c>
      <c r="G732" t="n">
        <v>2.5</v>
      </c>
      <c r="H732" t="n">
        <v>0</v>
      </c>
      <c r="I732" t="n">
        <v>0</v>
      </c>
      <c r="J732" t="n">
        <v>0</v>
      </c>
      <c r="K732" t="n">
        <v>0</v>
      </c>
      <c r="L732" t="n">
        <v>0</v>
      </c>
      <c r="M732" t="n">
        <v>0</v>
      </c>
      <c r="N732" t="n">
        <v>0</v>
      </c>
      <c r="O732" t="n">
        <v>0</v>
      </c>
      <c r="P732" t="n">
        <v>0</v>
      </c>
      <c r="Q732" t="n">
        <v>0</v>
      </c>
      <c r="R732" s="2" t="inlineStr"/>
    </row>
    <row r="733" ht="15" customHeight="1">
      <c r="A733" t="inlineStr">
        <is>
          <t>A 10538-2022</t>
        </is>
      </c>
      <c r="B733" s="1" t="n">
        <v>44623</v>
      </c>
      <c r="C733" s="1" t="n">
        <v>45507</v>
      </c>
      <c r="D733" t="inlineStr">
        <is>
          <t>JÄMTLANDS LÄN</t>
        </is>
      </c>
      <c r="E733" t="inlineStr">
        <is>
          <t>BRÄCKE</t>
        </is>
      </c>
      <c r="G733" t="n">
        <v>0.9</v>
      </c>
      <c r="H733" t="n">
        <v>0</v>
      </c>
      <c r="I733" t="n">
        <v>0</v>
      </c>
      <c r="J733" t="n">
        <v>0</v>
      </c>
      <c r="K733" t="n">
        <v>0</v>
      </c>
      <c r="L733" t="n">
        <v>0</v>
      </c>
      <c r="M733" t="n">
        <v>0</v>
      </c>
      <c r="N733" t="n">
        <v>0</v>
      </c>
      <c r="O733" t="n">
        <v>0</v>
      </c>
      <c r="P733" t="n">
        <v>0</v>
      </c>
      <c r="Q733" t="n">
        <v>0</v>
      </c>
      <c r="R733" s="2" t="inlineStr"/>
    </row>
    <row r="734" ht="15" customHeight="1">
      <c r="A734" t="inlineStr">
        <is>
          <t>A 10542-2022</t>
        </is>
      </c>
      <c r="B734" s="1" t="n">
        <v>44623</v>
      </c>
      <c r="C734" s="1" t="n">
        <v>45507</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10533-2022</t>
        </is>
      </c>
      <c r="B735" s="1" t="n">
        <v>44623</v>
      </c>
      <c r="C735" s="1" t="n">
        <v>45507</v>
      </c>
      <c r="D735" t="inlineStr">
        <is>
          <t>JÄMTLANDS LÄN</t>
        </is>
      </c>
      <c r="E735" t="inlineStr">
        <is>
          <t>BRÄCKE</t>
        </is>
      </c>
      <c r="G735" t="n">
        <v>5.4</v>
      </c>
      <c r="H735" t="n">
        <v>0</v>
      </c>
      <c r="I735" t="n">
        <v>0</v>
      </c>
      <c r="J735" t="n">
        <v>0</v>
      </c>
      <c r="K735" t="n">
        <v>0</v>
      </c>
      <c r="L735" t="n">
        <v>0</v>
      </c>
      <c r="M735" t="n">
        <v>0</v>
      </c>
      <c r="N735" t="n">
        <v>0</v>
      </c>
      <c r="O735" t="n">
        <v>0</v>
      </c>
      <c r="P735" t="n">
        <v>0</v>
      </c>
      <c r="Q735" t="n">
        <v>0</v>
      </c>
      <c r="R735" s="2" t="inlineStr"/>
    </row>
    <row r="736" ht="15" customHeight="1">
      <c r="A736" t="inlineStr">
        <is>
          <t>A 10537-2022</t>
        </is>
      </c>
      <c r="B736" s="1" t="n">
        <v>44623</v>
      </c>
      <c r="C736" s="1" t="n">
        <v>45507</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10815-2022</t>
        </is>
      </c>
      <c r="B737" s="1" t="n">
        <v>44627</v>
      </c>
      <c r="C737" s="1" t="n">
        <v>45507</v>
      </c>
      <c r="D737" t="inlineStr">
        <is>
          <t>JÄMTLANDS LÄN</t>
        </is>
      </c>
      <c r="E737" t="inlineStr">
        <is>
          <t>BRÄCKE</t>
        </is>
      </c>
      <c r="G737" t="n">
        <v>9</v>
      </c>
      <c r="H737" t="n">
        <v>0</v>
      </c>
      <c r="I737" t="n">
        <v>0</v>
      </c>
      <c r="J737" t="n">
        <v>0</v>
      </c>
      <c r="K737" t="n">
        <v>0</v>
      </c>
      <c r="L737" t="n">
        <v>0</v>
      </c>
      <c r="M737" t="n">
        <v>0</v>
      </c>
      <c r="N737" t="n">
        <v>0</v>
      </c>
      <c r="O737" t="n">
        <v>0</v>
      </c>
      <c r="P737" t="n">
        <v>0</v>
      </c>
      <c r="Q737" t="n">
        <v>0</v>
      </c>
      <c r="R737" s="2" t="inlineStr"/>
    </row>
    <row r="738" ht="15" customHeight="1">
      <c r="A738" t="inlineStr">
        <is>
          <t>A 11093-2022</t>
        </is>
      </c>
      <c r="B738" s="1" t="n">
        <v>44628</v>
      </c>
      <c r="C738" s="1" t="n">
        <v>45507</v>
      </c>
      <c r="D738" t="inlineStr">
        <is>
          <t>JÄMTLANDS LÄN</t>
        </is>
      </c>
      <c r="E738" t="inlineStr">
        <is>
          <t>BRÄCKE</t>
        </is>
      </c>
      <c r="G738" t="n">
        <v>16.4</v>
      </c>
      <c r="H738" t="n">
        <v>0</v>
      </c>
      <c r="I738" t="n">
        <v>0</v>
      </c>
      <c r="J738" t="n">
        <v>0</v>
      </c>
      <c r="K738" t="n">
        <v>0</v>
      </c>
      <c r="L738" t="n">
        <v>0</v>
      </c>
      <c r="M738" t="n">
        <v>0</v>
      </c>
      <c r="N738" t="n">
        <v>0</v>
      </c>
      <c r="O738" t="n">
        <v>0</v>
      </c>
      <c r="P738" t="n">
        <v>0</v>
      </c>
      <c r="Q738" t="n">
        <v>0</v>
      </c>
      <c r="R738" s="2" t="inlineStr"/>
    </row>
    <row r="739" ht="15" customHeight="1">
      <c r="A739" t="inlineStr">
        <is>
          <t>A 11313-2022</t>
        </is>
      </c>
      <c r="B739" s="1" t="n">
        <v>44629</v>
      </c>
      <c r="C739" s="1" t="n">
        <v>45507</v>
      </c>
      <c r="D739" t="inlineStr">
        <is>
          <t>JÄMTLANDS LÄN</t>
        </is>
      </c>
      <c r="E739" t="inlineStr">
        <is>
          <t>BRÄCKE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12388-2022</t>
        </is>
      </c>
      <c r="B740" s="1" t="n">
        <v>44637</v>
      </c>
      <c r="C740" s="1" t="n">
        <v>45507</v>
      </c>
      <c r="D740" t="inlineStr">
        <is>
          <t>JÄMTLANDS LÄN</t>
        </is>
      </c>
      <c r="E740" t="inlineStr">
        <is>
          <t>BRÄCKE</t>
        </is>
      </c>
      <c r="G740" t="n">
        <v>27.6</v>
      </c>
      <c r="H740" t="n">
        <v>0</v>
      </c>
      <c r="I740" t="n">
        <v>0</v>
      </c>
      <c r="J740" t="n">
        <v>0</v>
      </c>
      <c r="K740" t="n">
        <v>0</v>
      </c>
      <c r="L740" t="n">
        <v>0</v>
      </c>
      <c r="M740" t="n">
        <v>0</v>
      </c>
      <c r="N740" t="n">
        <v>0</v>
      </c>
      <c r="O740" t="n">
        <v>0</v>
      </c>
      <c r="P740" t="n">
        <v>0</v>
      </c>
      <c r="Q740" t="n">
        <v>0</v>
      </c>
      <c r="R740" s="2" t="inlineStr"/>
    </row>
    <row r="741" ht="15" customHeight="1">
      <c r="A741" t="inlineStr">
        <is>
          <t>A 12610-2022</t>
        </is>
      </c>
      <c r="B741" s="1" t="n">
        <v>44638</v>
      </c>
      <c r="C741" s="1" t="n">
        <v>45507</v>
      </c>
      <c r="D741" t="inlineStr">
        <is>
          <t>JÄMTLANDS LÄN</t>
        </is>
      </c>
      <c r="E741" t="inlineStr">
        <is>
          <t>BRÄCKE</t>
        </is>
      </c>
      <c r="G741" t="n">
        <v>1</v>
      </c>
      <c r="H741" t="n">
        <v>0</v>
      </c>
      <c r="I741" t="n">
        <v>0</v>
      </c>
      <c r="J741" t="n">
        <v>0</v>
      </c>
      <c r="K741" t="n">
        <v>0</v>
      </c>
      <c r="L741" t="n">
        <v>0</v>
      </c>
      <c r="M741" t="n">
        <v>0</v>
      </c>
      <c r="N741" t="n">
        <v>0</v>
      </c>
      <c r="O741" t="n">
        <v>0</v>
      </c>
      <c r="P741" t="n">
        <v>0</v>
      </c>
      <c r="Q741" t="n">
        <v>0</v>
      </c>
      <c r="R741" s="2" t="inlineStr"/>
    </row>
    <row r="742" ht="15" customHeight="1">
      <c r="A742" t="inlineStr">
        <is>
          <t>A 12601-2022</t>
        </is>
      </c>
      <c r="B742" s="1" t="n">
        <v>44638</v>
      </c>
      <c r="C742" s="1" t="n">
        <v>45507</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13525-2022</t>
        </is>
      </c>
      <c r="B743" s="1" t="n">
        <v>44648</v>
      </c>
      <c r="C743" s="1" t="n">
        <v>45507</v>
      </c>
      <c r="D743" t="inlineStr">
        <is>
          <t>JÄMTLANDS LÄN</t>
        </is>
      </c>
      <c r="E743" t="inlineStr">
        <is>
          <t>BRÄCKE</t>
        </is>
      </c>
      <c r="G743" t="n">
        <v>0.5</v>
      </c>
      <c r="H743" t="n">
        <v>0</v>
      </c>
      <c r="I743" t="n">
        <v>0</v>
      </c>
      <c r="J743" t="n">
        <v>0</v>
      </c>
      <c r="K743" t="n">
        <v>0</v>
      </c>
      <c r="L743" t="n">
        <v>0</v>
      </c>
      <c r="M743" t="n">
        <v>0</v>
      </c>
      <c r="N743" t="n">
        <v>0</v>
      </c>
      <c r="O743" t="n">
        <v>0</v>
      </c>
      <c r="P743" t="n">
        <v>0</v>
      </c>
      <c r="Q743" t="n">
        <v>0</v>
      </c>
      <c r="R743" s="2" t="inlineStr"/>
    </row>
    <row r="744" ht="15" customHeight="1">
      <c r="A744" t="inlineStr">
        <is>
          <t>A 15093-2022</t>
        </is>
      </c>
      <c r="B744" s="1" t="n">
        <v>44657</v>
      </c>
      <c r="C744" s="1" t="n">
        <v>45507</v>
      </c>
      <c r="D744" t="inlineStr">
        <is>
          <t>JÄMTLANDS LÄN</t>
        </is>
      </c>
      <c r="E744" t="inlineStr">
        <is>
          <t>BRÄCKE</t>
        </is>
      </c>
      <c r="F744" t="inlineStr">
        <is>
          <t>SCA</t>
        </is>
      </c>
      <c r="G744" t="n">
        <v>14.4</v>
      </c>
      <c r="H744" t="n">
        <v>0</v>
      </c>
      <c r="I744" t="n">
        <v>0</v>
      </c>
      <c r="J744" t="n">
        <v>0</v>
      </c>
      <c r="K744" t="n">
        <v>0</v>
      </c>
      <c r="L744" t="n">
        <v>0</v>
      </c>
      <c r="M744" t="n">
        <v>0</v>
      </c>
      <c r="N744" t="n">
        <v>0</v>
      </c>
      <c r="O744" t="n">
        <v>0</v>
      </c>
      <c r="P744" t="n">
        <v>0</v>
      </c>
      <c r="Q744" t="n">
        <v>0</v>
      </c>
      <c r="R744" s="2" t="inlineStr"/>
    </row>
    <row r="745" ht="15" customHeight="1">
      <c r="A745" t="inlineStr">
        <is>
          <t>A 16526-2022</t>
        </is>
      </c>
      <c r="B745" s="1" t="n">
        <v>44672</v>
      </c>
      <c r="C745" s="1" t="n">
        <v>45507</v>
      </c>
      <c r="D745" t="inlineStr">
        <is>
          <t>JÄMTLANDS LÄN</t>
        </is>
      </c>
      <c r="E745" t="inlineStr">
        <is>
          <t>BRÄCKE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17578-2022</t>
        </is>
      </c>
      <c r="B746" s="1" t="n">
        <v>44679</v>
      </c>
      <c r="C746" s="1" t="n">
        <v>45507</v>
      </c>
      <c r="D746" t="inlineStr">
        <is>
          <t>JÄMTLANDS LÄN</t>
        </is>
      </c>
      <c r="E746" t="inlineStr">
        <is>
          <t>BRÄCKE</t>
        </is>
      </c>
      <c r="G746" t="n">
        <v>5.5</v>
      </c>
      <c r="H746" t="n">
        <v>0</v>
      </c>
      <c r="I746" t="n">
        <v>0</v>
      </c>
      <c r="J746" t="n">
        <v>0</v>
      </c>
      <c r="K746" t="n">
        <v>0</v>
      </c>
      <c r="L746" t="n">
        <v>0</v>
      </c>
      <c r="M746" t="n">
        <v>0</v>
      </c>
      <c r="N746" t="n">
        <v>0</v>
      </c>
      <c r="O746" t="n">
        <v>0</v>
      </c>
      <c r="P746" t="n">
        <v>0</v>
      </c>
      <c r="Q746" t="n">
        <v>0</v>
      </c>
      <c r="R746" s="2" t="inlineStr"/>
    </row>
    <row r="747" ht="15" customHeight="1">
      <c r="A747" t="inlineStr">
        <is>
          <t>A 17577-2022</t>
        </is>
      </c>
      <c r="B747" s="1" t="n">
        <v>44679</v>
      </c>
      <c r="C747" s="1" t="n">
        <v>45507</v>
      </c>
      <c r="D747" t="inlineStr">
        <is>
          <t>JÄMTLANDS LÄN</t>
        </is>
      </c>
      <c r="E747" t="inlineStr">
        <is>
          <t>BRÄCKE</t>
        </is>
      </c>
      <c r="G747" t="n">
        <v>2.8</v>
      </c>
      <c r="H747" t="n">
        <v>0</v>
      </c>
      <c r="I747" t="n">
        <v>0</v>
      </c>
      <c r="J747" t="n">
        <v>0</v>
      </c>
      <c r="K747" t="n">
        <v>0</v>
      </c>
      <c r="L747" t="n">
        <v>0</v>
      </c>
      <c r="M747" t="n">
        <v>0</v>
      </c>
      <c r="N747" t="n">
        <v>0</v>
      </c>
      <c r="O747" t="n">
        <v>0</v>
      </c>
      <c r="P747" t="n">
        <v>0</v>
      </c>
      <c r="Q747" t="n">
        <v>0</v>
      </c>
      <c r="R747" s="2" t="inlineStr"/>
    </row>
    <row r="748" ht="15" customHeight="1">
      <c r="A748" t="inlineStr">
        <is>
          <t>A 17738-2022</t>
        </is>
      </c>
      <c r="B748" s="1" t="n">
        <v>44681</v>
      </c>
      <c r="C748" s="1" t="n">
        <v>45507</v>
      </c>
      <c r="D748" t="inlineStr">
        <is>
          <t>JÄMTLANDS LÄN</t>
        </is>
      </c>
      <c r="E748" t="inlineStr">
        <is>
          <t>BRÄCKE</t>
        </is>
      </c>
      <c r="F748" t="inlineStr">
        <is>
          <t>SCA</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17996-2022</t>
        </is>
      </c>
      <c r="B749" s="1" t="n">
        <v>44683</v>
      </c>
      <c r="C749" s="1" t="n">
        <v>45507</v>
      </c>
      <c r="D749" t="inlineStr">
        <is>
          <t>JÄMTLANDS LÄN</t>
        </is>
      </c>
      <c r="E749" t="inlineStr">
        <is>
          <t>BRÄCKE</t>
        </is>
      </c>
      <c r="G749" t="n">
        <v>2.8</v>
      </c>
      <c r="H749" t="n">
        <v>0</v>
      </c>
      <c r="I749" t="n">
        <v>0</v>
      </c>
      <c r="J749" t="n">
        <v>0</v>
      </c>
      <c r="K749" t="n">
        <v>0</v>
      </c>
      <c r="L749" t="n">
        <v>0</v>
      </c>
      <c r="M749" t="n">
        <v>0</v>
      </c>
      <c r="N749" t="n">
        <v>0</v>
      </c>
      <c r="O749" t="n">
        <v>0</v>
      </c>
      <c r="P749" t="n">
        <v>0</v>
      </c>
      <c r="Q749" t="n">
        <v>0</v>
      </c>
      <c r="R749" s="2" t="inlineStr"/>
    </row>
    <row r="750" ht="15" customHeight="1">
      <c r="A750" t="inlineStr">
        <is>
          <t>A 18221-2022</t>
        </is>
      </c>
      <c r="B750" s="1" t="n">
        <v>44685</v>
      </c>
      <c r="C750" s="1" t="n">
        <v>45507</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18371-2022</t>
        </is>
      </c>
      <c r="B751" s="1" t="n">
        <v>44686</v>
      </c>
      <c r="C751" s="1" t="n">
        <v>45507</v>
      </c>
      <c r="D751" t="inlineStr">
        <is>
          <t>JÄMTLANDS LÄN</t>
        </is>
      </c>
      <c r="E751" t="inlineStr">
        <is>
          <t>BRÄCKE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18977-2022</t>
        </is>
      </c>
      <c r="B752" s="1" t="n">
        <v>44690</v>
      </c>
      <c r="C752" s="1" t="n">
        <v>45507</v>
      </c>
      <c r="D752" t="inlineStr">
        <is>
          <t>JÄMTLANDS LÄN</t>
        </is>
      </c>
      <c r="E752" t="inlineStr">
        <is>
          <t>BRÄCKE</t>
        </is>
      </c>
      <c r="G752" t="n">
        <v>4.6</v>
      </c>
      <c r="H752" t="n">
        <v>0</v>
      </c>
      <c r="I752" t="n">
        <v>0</v>
      </c>
      <c r="J752" t="n">
        <v>0</v>
      </c>
      <c r="K752" t="n">
        <v>0</v>
      </c>
      <c r="L752" t="n">
        <v>0</v>
      </c>
      <c r="M752" t="n">
        <v>0</v>
      </c>
      <c r="N752" t="n">
        <v>0</v>
      </c>
      <c r="O752" t="n">
        <v>0</v>
      </c>
      <c r="P752" t="n">
        <v>0</v>
      </c>
      <c r="Q752" t="n">
        <v>0</v>
      </c>
      <c r="R752" s="2" t="inlineStr"/>
    </row>
    <row r="753" ht="15" customHeight="1">
      <c r="A753" t="inlineStr">
        <is>
          <t>A 18984-2022</t>
        </is>
      </c>
      <c r="B753" s="1" t="n">
        <v>44690</v>
      </c>
      <c r="C753" s="1" t="n">
        <v>45507</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18975-2022</t>
        </is>
      </c>
      <c r="B754" s="1" t="n">
        <v>44691</v>
      </c>
      <c r="C754" s="1" t="n">
        <v>45507</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18981-2022</t>
        </is>
      </c>
      <c r="B755" s="1" t="n">
        <v>44690</v>
      </c>
      <c r="C755" s="1" t="n">
        <v>45507</v>
      </c>
      <c r="D755" t="inlineStr">
        <is>
          <t>JÄMTLANDS LÄN</t>
        </is>
      </c>
      <c r="E755" t="inlineStr">
        <is>
          <t>BRÄCKE</t>
        </is>
      </c>
      <c r="G755" t="n">
        <v>7.7</v>
      </c>
      <c r="H755" t="n">
        <v>0</v>
      </c>
      <c r="I755" t="n">
        <v>0</v>
      </c>
      <c r="J755" t="n">
        <v>0</v>
      </c>
      <c r="K755" t="n">
        <v>0</v>
      </c>
      <c r="L755" t="n">
        <v>0</v>
      </c>
      <c r="M755" t="n">
        <v>0</v>
      </c>
      <c r="N755" t="n">
        <v>0</v>
      </c>
      <c r="O755" t="n">
        <v>0</v>
      </c>
      <c r="P755" t="n">
        <v>0</v>
      </c>
      <c r="Q755" t="n">
        <v>0</v>
      </c>
      <c r="R755" s="2" t="inlineStr"/>
    </row>
    <row r="756" ht="15" customHeight="1">
      <c r="A756" t="inlineStr">
        <is>
          <t>A 18976-2022</t>
        </is>
      </c>
      <c r="B756" s="1" t="n">
        <v>44691</v>
      </c>
      <c r="C756" s="1" t="n">
        <v>45507</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18982-2022</t>
        </is>
      </c>
      <c r="B757" s="1" t="n">
        <v>44691</v>
      </c>
      <c r="C757" s="1" t="n">
        <v>45507</v>
      </c>
      <c r="D757" t="inlineStr">
        <is>
          <t>JÄMTLANDS LÄN</t>
        </is>
      </c>
      <c r="E757" t="inlineStr">
        <is>
          <t>BRÄCKE</t>
        </is>
      </c>
      <c r="G757" t="n">
        <v>2.8</v>
      </c>
      <c r="H757" t="n">
        <v>0</v>
      </c>
      <c r="I757" t="n">
        <v>0</v>
      </c>
      <c r="J757" t="n">
        <v>0</v>
      </c>
      <c r="K757" t="n">
        <v>0</v>
      </c>
      <c r="L757" t="n">
        <v>0</v>
      </c>
      <c r="M757" t="n">
        <v>0</v>
      </c>
      <c r="N757" t="n">
        <v>0</v>
      </c>
      <c r="O757" t="n">
        <v>0</v>
      </c>
      <c r="P757" t="n">
        <v>0</v>
      </c>
      <c r="Q757" t="n">
        <v>0</v>
      </c>
      <c r="R757" s="2" t="inlineStr"/>
    </row>
    <row r="758" ht="15" customHeight="1">
      <c r="A758" t="inlineStr">
        <is>
          <t>A 19601-2022</t>
        </is>
      </c>
      <c r="B758" s="1" t="n">
        <v>44694</v>
      </c>
      <c r="C758" s="1" t="n">
        <v>45507</v>
      </c>
      <c r="D758" t="inlineStr">
        <is>
          <t>JÄMTLANDS LÄN</t>
        </is>
      </c>
      <c r="E758" t="inlineStr">
        <is>
          <t>BRÄCKE</t>
        </is>
      </c>
      <c r="G758" t="n">
        <v>1</v>
      </c>
      <c r="H758" t="n">
        <v>0</v>
      </c>
      <c r="I758" t="n">
        <v>0</v>
      </c>
      <c r="J758" t="n">
        <v>0</v>
      </c>
      <c r="K758" t="n">
        <v>0</v>
      </c>
      <c r="L758" t="n">
        <v>0</v>
      </c>
      <c r="M758" t="n">
        <v>0</v>
      </c>
      <c r="N758" t="n">
        <v>0</v>
      </c>
      <c r="O758" t="n">
        <v>0</v>
      </c>
      <c r="P758" t="n">
        <v>0</v>
      </c>
      <c r="Q758" t="n">
        <v>0</v>
      </c>
      <c r="R758" s="2" t="inlineStr"/>
    </row>
    <row r="759" ht="15" customHeight="1">
      <c r="A759" t="inlineStr">
        <is>
          <t>A 19810-2022</t>
        </is>
      </c>
      <c r="B759" s="1" t="n">
        <v>44695</v>
      </c>
      <c r="C759" s="1" t="n">
        <v>45507</v>
      </c>
      <c r="D759" t="inlineStr">
        <is>
          <t>JÄMTLANDS LÄN</t>
        </is>
      </c>
      <c r="E759" t="inlineStr">
        <is>
          <t>BRÄCKE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20014-2022</t>
        </is>
      </c>
      <c r="B760" s="1" t="n">
        <v>44697</v>
      </c>
      <c r="C760" s="1" t="n">
        <v>45507</v>
      </c>
      <c r="D760" t="inlineStr">
        <is>
          <t>JÄMTLANDS LÄN</t>
        </is>
      </c>
      <c r="E760" t="inlineStr">
        <is>
          <t>BRÄCKE</t>
        </is>
      </c>
      <c r="G760" t="n">
        <v>1.8</v>
      </c>
      <c r="H760" t="n">
        <v>0</v>
      </c>
      <c r="I760" t="n">
        <v>0</v>
      </c>
      <c r="J760" t="n">
        <v>0</v>
      </c>
      <c r="K760" t="n">
        <v>0</v>
      </c>
      <c r="L760" t="n">
        <v>0</v>
      </c>
      <c r="M760" t="n">
        <v>0</v>
      </c>
      <c r="N760" t="n">
        <v>0</v>
      </c>
      <c r="O760" t="n">
        <v>0</v>
      </c>
      <c r="P760" t="n">
        <v>0</v>
      </c>
      <c r="Q760" t="n">
        <v>0</v>
      </c>
      <c r="R760" s="2" t="inlineStr"/>
    </row>
    <row r="761" ht="15" customHeight="1">
      <c r="A761" t="inlineStr">
        <is>
          <t>A 20065-2022</t>
        </is>
      </c>
      <c r="B761" s="1" t="n">
        <v>44698</v>
      </c>
      <c r="C761" s="1" t="n">
        <v>45507</v>
      </c>
      <c r="D761" t="inlineStr">
        <is>
          <t>JÄMTLANDS LÄN</t>
        </is>
      </c>
      <c r="E761" t="inlineStr">
        <is>
          <t>BRÄCKE</t>
        </is>
      </c>
      <c r="G761" t="n">
        <v>33</v>
      </c>
      <c r="H761" t="n">
        <v>0</v>
      </c>
      <c r="I761" t="n">
        <v>0</v>
      </c>
      <c r="J761" t="n">
        <v>0</v>
      </c>
      <c r="K761" t="n">
        <v>0</v>
      </c>
      <c r="L761" t="n">
        <v>0</v>
      </c>
      <c r="M761" t="n">
        <v>0</v>
      </c>
      <c r="N761" t="n">
        <v>0</v>
      </c>
      <c r="O761" t="n">
        <v>0</v>
      </c>
      <c r="P761" t="n">
        <v>0</v>
      </c>
      <c r="Q761" t="n">
        <v>0</v>
      </c>
      <c r="R761" s="2" t="inlineStr"/>
    </row>
    <row r="762" ht="15" customHeight="1">
      <c r="A762" t="inlineStr">
        <is>
          <t>A 20067-2022</t>
        </is>
      </c>
      <c r="B762" s="1" t="n">
        <v>44698</v>
      </c>
      <c r="C762" s="1" t="n">
        <v>45507</v>
      </c>
      <c r="D762" t="inlineStr">
        <is>
          <t>JÄMTLANDS LÄN</t>
        </is>
      </c>
      <c r="E762" t="inlineStr">
        <is>
          <t>BRÄCKE</t>
        </is>
      </c>
      <c r="G762" t="n">
        <v>4.1</v>
      </c>
      <c r="H762" t="n">
        <v>0</v>
      </c>
      <c r="I762" t="n">
        <v>0</v>
      </c>
      <c r="J762" t="n">
        <v>0</v>
      </c>
      <c r="K762" t="n">
        <v>0</v>
      </c>
      <c r="L762" t="n">
        <v>0</v>
      </c>
      <c r="M762" t="n">
        <v>0</v>
      </c>
      <c r="N762" t="n">
        <v>0</v>
      </c>
      <c r="O762" t="n">
        <v>0</v>
      </c>
      <c r="P762" t="n">
        <v>0</v>
      </c>
      <c r="Q762" t="n">
        <v>0</v>
      </c>
      <c r="R762" s="2" t="inlineStr"/>
    </row>
    <row r="763" ht="15" customHeight="1">
      <c r="A763" t="inlineStr">
        <is>
          <t>A 20066-2022</t>
        </is>
      </c>
      <c r="B763" s="1" t="n">
        <v>44697</v>
      </c>
      <c r="C763" s="1" t="n">
        <v>45507</v>
      </c>
      <c r="D763" t="inlineStr">
        <is>
          <t>JÄMTLANDS LÄN</t>
        </is>
      </c>
      <c r="E763" t="inlineStr">
        <is>
          <t>BRÄCKE</t>
        </is>
      </c>
      <c r="G763" t="n">
        <v>41.6</v>
      </c>
      <c r="H763" t="n">
        <v>0</v>
      </c>
      <c r="I763" t="n">
        <v>0</v>
      </c>
      <c r="J763" t="n">
        <v>0</v>
      </c>
      <c r="K763" t="n">
        <v>0</v>
      </c>
      <c r="L763" t="n">
        <v>0</v>
      </c>
      <c r="M763" t="n">
        <v>0</v>
      </c>
      <c r="N763" t="n">
        <v>0</v>
      </c>
      <c r="O763" t="n">
        <v>0</v>
      </c>
      <c r="P763" t="n">
        <v>0</v>
      </c>
      <c r="Q763" t="n">
        <v>0</v>
      </c>
      <c r="R763" s="2" t="inlineStr"/>
    </row>
    <row r="764" ht="15" customHeight="1">
      <c r="A764" t="inlineStr">
        <is>
          <t>A 20069-2022</t>
        </is>
      </c>
      <c r="B764" s="1" t="n">
        <v>44698</v>
      </c>
      <c r="C764" s="1" t="n">
        <v>45507</v>
      </c>
      <c r="D764" t="inlineStr">
        <is>
          <t>JÄMTLANDS LÄN</t>
        </is>
      </c>
      <c r="E764" t="inlineStr">
        <is>
          <t>BRÄCKE</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20070-2022</t>
        </is>
      </c>
      <c r="B765" s="1" t="n">
        <v>44698</v>
      </c>
      <c r="C765" s="1" t="n">
        <v>45507</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20300-2022</t>
        </is>
      </c>
      <c r="B766" s="1" t="n">
        <v>44699</v>
      </c>
      <c r="C766" s="1" t="n">
        <v>45507</v>
      </c>
      <c r="D766" t="inlineStr">
        <is>
          <t>JÄMTLANDS LÄN</t>
        </is>
      </c>
      <c r="E766" t="inlineStr">
        <is>
          <t>BRÄCKE</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20399-2022</t>
        </is>
      </c>
      <c r="B767" s="1" t="n">
        <v>44699</v>
      </c>
      <c r="C767" s="1" t="n">
        <v>45507</v>
      </c>
      <c r="D767" t="inlineStr">
        <is>
          <t>JÄMTLANDS LÄN</t>
        </is>
      </c>
      <c r="E767" t="inlineStr">
        <is>
          <t>BRÄCKE</t>
        </is>
      </c>
      <c r="F767" t="inlineStr">
        <is>
          <t>Övriga Aktiebolag</t>
        </is>
      </c>
      <c r="G767" t="n">
        <v>20.9</v>
      </c>
      <c r="H767" t="n">
        <v>0</v>
      </c>
      <c r="I767" t="n">
        <v>0</v>
      </c>
      <c r="J767" t="n">
        <v>0</v>
      </c>
      <c r="K767" t="n">
        <v>0</v>
      </c>
      <c r="L767" t="n">
        <v>0</v>
      </c>
      <c r="M767" t="n">
        <v>0</v>
      </c>
      <c r="N767" t="n">
        <v>0</v>
      </c>
      <c r="O767" t="n">
        <v>0</v>
      </c>
      <c r="P767" t="n">
        <v>0</v>
      </c>
      <c r="Q767" t="n">
        <v>0</v>
      </c>
      <c r="R767" s="2" t="inlineStr"/>
    </row>
    <row r="768" ht="15" customHeight="1">
      <c r="A768" t="inlineStr">
        <is>
          <t>A 20667-2022</t>
        </is>
      </c>
      <c r="B768" s="1" t="n">
        <v>44700</v>
      </c>
      <c r="C768" s="1" t="n">
        <v>45507</v>
      </c>
      <c r="D768" t="inlineStr">
        <is>
          <t>JÄMTLANDS LÄN</t>
        </is>
      </c>
      <c r="E768" t="inlineStr">
        <is>
          <t>BRÄCKE</t>
        </is>
      </c>
      <c r="G768" t="n">
        <v>13.8</v>
      </c>
      <c r="H768" t="n">
        <v>0</v>
      </c>
      <c r="I768" t="n">
        <v>0</v>
      </c>
      <c r="J768" t="n">
        <v>0</v>
      </c>
      <c r="K768" t="n">
        <v>0</v>
      </c>
      <c r="L768" t="n">
        <v>0</v>
      </c>
      <c r="M768" t="n">
        <v>0</v>
      </c>
      <c r="N768" t="n">
        <v>0</v>
      </c>
      <c r="O768" t="n">
        <v>0</v>
      </c>
      <c r="P768" t="n">
        <v>0</v>
      </c>
      <c r="Q768" t="n">
        <v>0</v>
      </c>
      <c r="R768" s="2" t="inlineStr"/>
    </row>
    <row r="769" ht="15" customHeight="1">
      <c r="A769" t="inlineStr">
        <is>
          <t>A 20718-2022</t>
        </is>
      </c>
      <c r="B769" s="1" t="n">
        <v>44700</v>
      </c>
      <c r="C769" s="1" t="n">
        <v>45507</v>
      </c>
      <c r="D769" t="inlineStr">
        <is>
          <t>JÄMTLANDS LÄN</t>
        </is>
      </c>
      <c r="E769" t="inlineStr">
        <is>
          <t>BRÄCKE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20727-2022</t>
        </is>
      </c>
      <c r="B770" s="1" t="n">
        <v>44700</v>
      </c>
      <c r="C770" s="1" t="n">
        <v>45507</v>
      </c>
      <c r="D770" t="inlineStr">
        <is>
          <t>JÄMTLANDS LÄN</t>
        </is>
      </c>
      <c r="E770" t="inlineStr">
        <is>
          <t>BRÄCKE</t>
        </is>
      </c>
      <c r="G770" t="n">
        <v>1.5</v>
      </c>
      <c r="H770" t="n">
        <v>0</v>
      </c>
      <c r="I770" t="n">
        <v>0</v>
      </c>
      <c r="J770" t="n">
        <v>0</v>
      </c>
      <c r="K770" t="n">
        <v>0</v>
      </c>
      <c r="L770" t="n">
        <v>0</v>
      </c>
      <c r="M770" t="n">
        <v>0</v>
      </c>
      <c r="N770" t="n">
        <v>0</v>
      </c>
      <c r="O770" t="n">
        <v>0</v>
      </c>
      <c r="P770" t="n">
        <v>0</v>
      </c>
      <c r="Q770" t="n">
        <v>0</v>
      </c>
      <c r="R770" s="2" t="inlineStr"/>
    </row>
    <row r="771" ht="15" customHeight="1">
      <c r="A771" t="inlineStr">
        <is>
          <t>A 21655-2022</t>
        </is>
      </c>
      <c r="B771" s="1" t="n">
        <v>44707</v>
      </c>
      <c r="C771" s="1" t="n">
        <v>45507</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21656-2022</t>
        </is>
      </c>
      <c r="B772" s="1" t="n">
        <v>44707</v>
      </c>
      <c r="C772" s="1" t="n">
        <v>45507</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21722-2022</t>
        </is>
      </c>
      <c r="B773" s="1" t="n">
        <v>44706</v>
      </c>
      <c r="C773" s="1" t="n">
        <v>45507</v>
      </c>
      <c r="D773" t="inlineStr">
        <is>
          <t>JÄMTLANDS LÄN</t>
        </is>
      </c>
      <c r="E773" t="inlineStr">
        <is>
          <t>BRÄCKE</t>
        </is>
      </c>
      <c r="G773" t="n">
        <v>1.5</v>
      </c>
      <c r="H773" t="n">
        <v>0</v>
      </c>
      <c r="I773" t="n">
        <v>0</v>
      </c>
      <c r="J773" t="n">
        <v>0</v>
      </c>
      <c r="K773" t="n">
        <v>0</v>
      </c>
      <c r="L773" t="n">
        <v>0</v>
      </c>
      <c r="M773" t="n">
        <v>0</v>
      </c>
      <c r="N773" t="n">
        <v>0</v>
      </c>
      <c r="O773" t="n">
        <v>0</v>
      </c>
      <c r="P773" t="n">
        <v>0</v>
      </c>
      <c r="Q773" t="n">
        <v>0</v>
      </c>
      <c r="R773" s="2" t="inlineStr"/>
    </row>
    <row r="774" ht="15" customHeight="1">
      <c r="A774" t="inlineStr">
        <is>
          <t>A 21654-2022</t>
        </is>
      </c>
      <c r="B774" s="1" t="n">
        <v>44707</v>
      </c>
      <c r="C774" s="1" t="n">
        <v>45507</v>
      </c>
      <c r="D774" t="inlineStr">
        <is>
          <t>JÄMTLANDS LÄN</t>
        </is>
      </c>
      <c r="E774" t="inlineStr">
        <is>
          <t>BRÄCKE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21717-2022</t>
        </is>
      </c>
      <c r="B775" s="1" t="n">
        <v>44708</v>
      </c>
      <c r="C775" s="1" t="n">
        <v>45507</v>
      </c>
      <c r="D775" t="inlineStr">
        <is>
          <t>JÄMTLANDS LÄN</t>
        </is>
      </c>
      <c r="E775" t="inlineStr">
        <is>
          <t>BRÄCKE</t>
        </is>
      </c>
      <c r="G775" t="n">
        <v>10.8</v>
      </c>
      <c r="H775" t="n">
        <v>0</v>
      </c>
      <c r="I775" t="n">
        <v>0</v>
      </c>
      <c r="J775" t="n">
        <v>0</v>
      </c>
      <c r="K775" t="n">
        <v>0</v>
      </c>
      <c r="L775" t="n">
        <v>0</v>
      </c>
      <c r="M775" t="n">
        <v>0</v>
      </c>
      <c r="N775" t="n">
        <v>0</v>
      </c>
      <c r="O775" t="n">
        <v>0</v>
      </c>
      <c r="P775" t="n">
        <v>0</v>
      </c>
      <c r="Q775" t="n">
        <v>0</v>
      </c>
      <c r="R775" s="2" t="inlineStr"/>
    </row>
    <row r="776" ht="15" customHeight="1">
      <c r="A776" t="inlineStr">
        <is>
          <t>A 22094-2022</t>
        </is>
      </c>
      <c r="B776" s="1" t="n">
        <v>44712</v>
      </c>
      <c r="C776" s="1" t="n">
        <v>45507</v>
      </c>
      <c r="D776" t="inlineStr">
        <is>
          <t>JÄMTLANDS LÄN</t>
        </is>
      </c>
      <c r="E776" t="inlineStr">
        <is>
          <t>BRÄCKE</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22095-2022</t>
        </is>
      </c>
      <c r="B777" s="1" t="n">
        <v>44712</v>
      </c>
      <c r="C777" s="1" t="n">
        <v>45507</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22612-2022</t>
        </is>
      </c>
      <c r="B778" s="1" t="n">
        <v>44714</v>
      </c>
      <c r="C778" s="1" t="n">
        <v>45507</v>
      </c>
      <c r="D778" t="inlineStr">
        <is>
          <t>JÄMTLANDS LÄN</t>
        </is>
      </c>
      <c r="E778" t="inlineStr">
        <is>
          <t>BRÄCKE</t>
        </is>
      </c>
      <c r="G778" t="n">
        <v>6.3</v>
      </c>
      <c r="H778" t="n">
        <v>0</v>
      </c>
      <c r="I778" t="n">
        <v>0</v>
      </c>
      <c r="J778" t="n">
        <v>0</v>
      </c>
      <c r="K778" t="n">
        <v>0</v>
      </c>
      <c r="L778" t="n">
        <v>0</v>
      </c>
      <c r="M778" t="n">
        <v>0</v>
      </c>
      <c r="N778" t="n">
        <v>0</v>
      </c>
      <c r="O778" t="n">
        <v>0</v>
      </c>
      <c r="P778" t="n">
        <v>0</v>
      </c>
      <c r="Q778" t="n">
        <v>0</v>
      </c>
      <c r="R778" s="2" t="inlineStr"/>
    </row>
    <row r="779" ht="15" customHeight="1">
      <c r="A779" t="inlineStr">
        <is>
          <t>A 22702-2022</t>
        </is>
      </c>
      <c r="B779" s="1" t="n">
        <v>44714</v>
      </c>
      <c r="C779" s="1" t="n">
        <v>45507</v>
      </c>
      <c r="D779" t="inlineStr">
        <is>
          <t>JÄMTLANDS LÄN</t>
        </is>
      </c>
      <c r="E779" t="inlineStr">
        <is>
          <t>BRÄCKE</t>
        </is>
      </c>
      <c r="G779" t="n">
        <v>4.6</v>
      </c>
      <c r="H779" t="n">
        <v>0</v>
      </c>
      <c r="I779" t="n">
        <v>0</v>
      </c>
      <c r="J779" t="n">
        <v>0</v>
      </c>
      <c r="K779" t="n">
        <v>0</v>
      </c>
      <c r="L779" t="n">
        <v>0</v>
      </c>
      <c r="M779" t="n">
        <v>0</v>
      </c>
      <c r="N779" t="n">
        <v>0</v>
      </c>
      <c r="O779" t="n">
        <v>0</v>
      </c>
      <c r="P779" t="n">
        <v>0</v>
      </c>
      <c r="Q779" t="n">
        <v>0</v>
      </c>
      <c r="R779" s="2" t="inlineStr"/>
    </row>
    <row r="780" ht="15" customHeight="1">
      <c r="A780" t="inlineStr">
        <is>
          <t>A 23426-2022</t>
        </is>
      </c>
      <c r="B780" s="1" t="n">
        <v>44720</v>
      </c>
      <c r="C780" s="1" t="n">
        <v>45507</v>
      </c>
      <c r="D780" t="inlineStr">
        <is>
          <t>JÄMTLANDS LÄN</t>
        </is>
      </c>
      <c r="E780" t="inlineStr">
        <is>
          <t>BRÄCKE</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23427-2022</t>
        </is>
      </c>
      <c r="B781" s="1" t="n">
        <v>44721</v>
      </c>
      <c r="C781" s="1" t="n">
        <v>45507</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23444-2022</t>
        </is>
      </c>
      <c r="B782" s="1" t="n">
        <v>44721</v>
      </c>
      <c r="C782" s="1" t="n">
        <v>45507</v>
      </c>
      <c r="D782" t="inlineStr">
        <is>
          <t>JÄMTLANDS LÄN</t>
        </is>
      </c>
      <c r="E782" t="inlineStr">
        <is>
          <t>BRÄCKE</t>
        </is>
      </c>
      <c r="G782" t="n">
        <v>1.9</v>
      </c>
      <c r="H782" t="n">
        <v>0</v>
      </c>
      <c r="I782" t="n">
        <v>0</v>
      </c>
      <c r="J782" t="n">
        <v>0</v>
      </c>
      <c r="K782" t="n">
        <v>0</v>
      </c>
      <c r="L782" t="n">
        <v>0</v>
      </c>
      <c r="M782" t="n">
        <v>0</v>
      </c>
      <c r="N782" t="n">
        <v>0</v>
      </c>
      <c r="O782" t="n">
        <v>0</v>
      </c>
      <c r="P782" t="n">
        <v>0</v>
      </c>
      <c r="Q782" t="n">
        <v>0</v>
      </c>
      <c r="R782" s="2" t="inlineStr"/>
    </row>
    <row r="783" ht="15" customHeight="1">
      <c r="A783" t="inlineStr">
        <is>
          <t>A 23441-2022</t>
        </is>
      </c>
      <c r="B783" s="1" t="n">
        <v>44721</v>
      </c>
      <c r="C783" s="1" t="n">
        <v>45507</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23433-2022</t>
        </is>
      </c>
      <c r="B784" s="1" t="n">
        <v>44720</v>
      </c>
      <c r="C784" s="1" t="n">
        <v>45507</v>
      </c>
      <c r="D784" t="inlineStr">
        <is>
          <t>JÄMTLANDS LÄN</t>
        </is>
      </c>
      <c r="E784" t="inlineStr">
        <is>
          <t>BRÄCKE</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23443-2022</t>
        </is>
      </c>
      <c r="B785" s="1" t="n">
        <v>44721</v>
      </c>
      <c r="C785" s="1" t="n">
        <v>45507</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23687-2022</t>
        </is>
      </c>
      <c r="B786" s="1" t="n">
        <v>44721</v>
      </c>
      <c r="C786" s="1" t="n">
        <v>45507</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24056-2022</t>
        </is>
      </c>
      <c r="B787" s="1" t="n">
        <v>44725</v>
      </c>
      <c r="C787" s="1" t="n">
        <v>45507</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24055-2022</t>
        </is>
      </c>
      <c r="B788" s="1" t="n">
        <v>44725</v>
      </c>
      <c r="C788" s="1" t="n">
        <v>45507</v>
      </c>
      <c r="D788" t="inlineStr">
        <is>
          <t>JÄMTLANDS LÄN</t>
        </is>
      </c>
      <c r="E788" t="inlineStr">
        <is>
          <t>BRÄCKE</t>
        </is>
      </c>
      <c r="G788" t="n">
        <v>2.4</v>
      </c>
      <c r="H788" t="n">
        <v>0</v>
      </c>
      <c r="I788" t="n">
        <v>0</v>
      </c>
      <c r="J788" t="n">
        <v>0</v>
      </c>
      <c r="K788" t="n">
        <v>0</v>
      </c>
      <c r="L788" t="n">
        <v>0</v>
      </c>
      <c r="M788" t="n">
        <v>0</v>
      </c>
      <c r="N788" t="n">
        <v>0</v>
      </c>
      <c r="O788" t="n">
        <v>0</v>
      </c>
      <c r="P788" t="n">
        <v>0</v>
      </c>
      <c r="Q788" t="n">
        <v>0</v>
      </c>
      <c r="R788" s="2" t="inlineStr"/>
    </row>
    <row r="789" ht="15" customHeight="1">
      <c r="A789" t="inlineStr">
        <is>
          <t>A 24054-2022</t>
        </is>
      </c>
      <c r="B789" s="1" t="n">
        <v>44725</v>
      </c>
      <c r="C789" s="1" t="n">
        <v>45507</v>
      </c>
      <c r="D789" t="inlineStr">
        <is>
          <t>JÄMTLANDS LÄN</t>
        </is>
      </c>
      <c r="E789" t="inlineStr">
        <is>
          <t>BRÄCKE</t>
        </is>
      </c>
      <c r="G789" t="n">
        <v>5.5</v>
      </c>
      <c r="H789" t="n">
        <v>0</v>
      </c>
      <c r="I789" t="n">
        <v>0</v>
      </c>
      <c r="J789" t="n">
        <v>0</v>
      </c>
      <c r="K789" t="n">
        <v>0</v>
      </c>
      <c r="L789" t="n">
        <v>0</v>
      </c>
      <c r="M789" t="n">
        <v>0</v>
      </c>
      <c r="N789" t="n">
        <v>0</v>
      </c>
      <c r="O789" t="n">
        <v>0</v>
      </c>
      <c r="P789" t="n">
        <v>0</v>
      </c>
      <c r="Q789" t="n">
        <v>0</v>
      </c>
      <c r="R789" s="2" t="inlineStr"/>
    </row>
    <row r="790" ht="15" customHeight="1">
      <c r="A790" t="inlineStr">
        <is>
          <t>A 24053-2022</t>
        </is>
      </c>
      <c r="B790" s="1" t="n">
        <v>44725</v>
      </c>
      <c r="C790" s="1" t="n">
        <v>45507</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24531-2022</t>
        </is>
      </c>
      <c r="B791" s="1" t="n">
        <v>44726</v>
      </c>
      <c r="C791" s="1" t="n">
        <v>45507</v>
      </c>
      <c r="D791" t="inlineStr">
        <is>
          <t>JÄMTLANDS LÄN</t>
        </is>
      </c>
      <c r="E791" t="inlineStr">
        <is>
          <t>BRÄCKE</t>
        </is>
      </c>
      <c r="F791" t="inlineStr">
        <is>
          <t>SCA</t>
        </is>
      </c>
      <c r="G791" t="n">
        <v>5.1</v>
      </c>
      <c r="H791" t="n">
        <v>0</v>
      </c>
      <c r="I791" t="n">
        <v>0</v>
      </c>
      <c r="J791" t="n">
        <v>0</v>
      </c>
      <c r="K791" t="n">
        <v>0</v>
      </c>
      <c r="L791" t="n">
        <v>0</v>
      </c>
      <c r="M791" t="n">
        <v>0</v>
      </c>
      <c r="N791" t="n">
        <v>0</v>
      </c>
      <c r="O791" t="n">
        <v>0</v>
      </c>
      <c r="P791" t="n">
        <v>0</v>
      </c>
      <c r="Q791" t="n">
        <v>0</v>
      </c>
      <c r="R791" s="2" t="inlineStr"/>
    </row>
    <row r="792" ht="15" customHeight="1">
      <c r="A792" t="inlineStr">
        <is>
          <t>A 24718-2022</t>
        </is>
      </c>
      <c r="B792" s="1" t="n">
        <v>44728</v>
      </c>
      <c r="C792" s="1" t="n">
        <v>45507</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24717-2022</t>
        </is>
      </c>
      <c r="B793" s="1" t="n">
        <v>44727</v>
      </c>
      <c r="C793" s="1" t="n">
        <v>45507</v>
      </c>
      <c r="D793" t="inlineStr">
        <is>
          <t>JÄMTLANDS LÄN</t>
        </is>
      </c>
      <c r="E793" t="inlineStr">
        <is>
          <t>BRÄCKE</t>
        </is>
      </c>
      <c r="F793" t="inlineStr">
        <is>
          <t>SCA</t>
        </is>
      </c>
      <c r="G793" t="n">
        <v>5.2</v>
      </c>
      <c r="H793" t="n">
        <v>0</v>
      </c>
      <c r="I793" t="n">
        <v>0</v>
      </c>
      <c r="J793" t="n">
        <v>0</v>
      </c>
      <c r="K793" t="n">
        <v>0</v>
      </c>
      <c r="L793" t="n">
        <v>0</v>
      </c>
      <c r="M793" t="n">
        <v>0</v>
      </c>
      <c r="N793" t="n">
        <v>0</v>
      </c>
      <c r="O793" t="n">
        <v>0</v>
      </c>
      <c r="P793" t="n">
        <v>0</v>
      </c>
      <c r="Q793" t="n">
        <v>0</v>
      </c>
      <c r="R793" s="2" t="inlineStr"/>
    </row>
    <row r="794" ht="15" customHeight="1">
      <c r="A794" t="inlineStr">
        <is>
          <t>A 24726-2022</t>
        </is>
      </c>
      <c r="B794" s="1" t="n">
        <v>44727</v>
      </c>
      <c r="C794" s="1" t="n">
        <v>45507</v>
      </c>
      <c r="D794" t="inlineStr">
        <is>
          <t>JÄMTLANDS LÄN</t>
        </is>
      </c>
      <c r="E794" t="inlineStr">
        <is>
          <t>BRÄCKE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25150-2022</t>
        </is>
      </c>
      <c r="B795" s="1" t="n">
        <v>44729</v>
      </c>
      <c r="C795" s="1" t="n">
        <v>45507</v>
      </c>
      <c r="D795" t="inlineStr">
        <is>
          <t>JÄMTLANDS LÄN</t>
        </is>
      </c>
      <c r="E795" t="inlineStr">
        <is>
          <t>BRÄCKE</t>
        </is>
      </c>
      <c r="F795" t="inlineStr">
        <is>
          <t>Övriga Aktiebolag</t>
        </is>
      </c>
      <c r="G795" t="n">
        <v>10.4</v>
      </c>
      <c r="H795" t="n">
        <v>0</v>
      </c>
      <c r="I795" t="n">
        <v>0</v>
      </c>
      <c r="J795" t="n">
        <v>0</v>
      </c>
      <c r="K795" t="n">
        <v>0</v>
      </c>
      <c r="L795" t="n">
        <v>0</v>
      </c>
      <c r="M795" t="n">
        <v>0</v>
      </c>
      <c r="N795" t="n">
        <v>0</v>
      </c>
      <c r="O795" t="n">
        <v>0</v>
      </c>
      <c r="P795" t="n">
        <v>0</v>
      </c>
      <c r="Q795" t="n">
        <v>0</v>
      </c>
      <c r="R795" s="2" t="inlineStr"/>
    </row>
    <row r="796" ht="15" customHeight="1">
      <c r="A796" t="inlineStr">
        <is>
          <t>A 25177-2022</t>
        </is>
      </c>
      <c r="B796" s="1" t="n">
        <v>44729</v>
      </c>
      <c r="C796" s="1" t="n">
        <v>45507</v>
      </c>
      <c r="D796" t="inlineStr">
        <is>
          <t>JÄMTLANDS LÄN</t>
        </is>
      </c>
      <c r="E796" t="inlineStr">
        <is>
          <t>BRÄCKE</t>
        </is>
      </c>
      <c r="F796" t="inlineStr">
        <is>
          <t>Övriga Aktiebolag</t>
        </is>
      </c>
      <c r="G796" t="n">
        <v>22.1</v>
      </c>
      <c r="H796" t="n">
        <v>0</v>
      </c>
      <c r="I796" t="n">
        <v>0</v>
      </c>
      <c r="J796" t="n">
        <v>0</v>
      </c>
      <c r="K796" t="n">
        <v>0</v>
      </c>
      <c r="L796" t="n">
        <v>0</v>
      </c>
      <c r="M796" t="n">
        <v>0</v>
      </c>
      <c r="N796" t="n">
        <v>0</v>
      </c>
      <c r="O796" t="n">
        <v>0</v>
      </c>
      <c r="P796" t="n">
        <v>0</v>
      </c>
      <c r="Q796" t="n">
        <v>0</v>
      </c>
      <c r="R796" s="2" t="inlineStr"/>
    </row>
    <row r="797" ht="15" customHeight="1">
      <c r="A797" t="inlineStr">
        <is>
          <t>A 25192-2022</t>
        </is>
      </c>
      <c r="B797" s="1" t="n">
        <v>44729</v>
      </c>
      <c r="C797" s="1" t="n">
        <v>45507</v>
      </c>
      <c r="D797" t="inlineStr">
        <is>
          <t>JÄMTLANDS LÄN</t>
        </is>
      </c>
      <c r="E797" t="inlineStr">
        <is>
          <t>BRÄCKE</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25883-2022</t>
        </is>
      </c>
      <c r="B798" s="1" t="n">
        <v>44733</v>
      </c>
      <c r="C798" s="1" t="n">
        <v>45507</v>
      </c>
      <c r="D798" t="inlineStr">
        <is>
          <t>JÄMTLANDS LÄN</t>
        </is>
      </c>
      <c r="E798" t="inlineStr">
        <is>
          <t>BRÄCKE</t>
        </is>
      </c>
      <c r="F798" t="inlineStr">
        <is>
          <t>Övriga Aktiebolag</t>
        </is>
      </c>
      <c r="G798" t="n">
        <v>23.4</v>
      </c>
      <c r="H798" t="n">
        <v>0</v>
      </c>
      <c r="I798" t="n">
        <v>0</v>
      </c>
      <c r="J798" t="n">
        <v>0</v>
      </c>
      <c r="K798" t="n">
        <v>0</v>
      </c>
      <c r="L798" t="n">
        <v>0</v>
      </c>
      <c r="M798" t="n">
        <v>0</v>
      </c>
      <c r="N798" t="n">
        <v>0</v>
      </c>
      <c r="O798" t="n">
        <v>0</v>
      </c>
      <c r="P798" t="n">
        <v>0</v>
      </c>
      <c r="Q798" t="n">
        <v>0</v>
      </c>
      <c r="R798" s="2" t="inlineStr"/>
    </row>
    <row r="799" ht="15" customHeight="1">
      <c r="A799" t="inlineStr">
        <is>
          <t>A 26139-2022</t>
        </is>
      </c>
      <c r="B799" s="1" t="n">
        <v>44734</v>
      </c>
      <c r="C799" s="1" t="n">
        <v>45507</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26138-2022</t>
        </is>
      </c>
      <c r="B800" s="1" t="n">
        <v>44734</v>
      </c>
      <c r="C800" s="1" t="n">
        <v>45507</v>
      </c>
      <c r="D800" t="inlineStr">
        <is>
          <t>JÄMTLANDS LÄN</t>
        </is>
      </c>
      <c r="E800" t="inlineStr">
        <is>
          <t>BRÄCKE</t>
        </is>
      </c>
      <c r="F800" t="inlineStr">
        <is>
          <t>SCA</t>
        </is>
      </c>
      <c r="G800" t="n">
        <v>9.1</v>
      </c>
      <c r="H800" t="n">
        <v>0</v>
      </c>
      <c r="I800" t="n">
        <v>0</v>
      </c>
      <c r="J800" t="n">
        <v>0</v>
      </c>
      <c r="K800" t="n">
        <v>0</v>
      </c>
      <c r="L800" t="n">
        <v>0</v>
      </c>
      <c r="M800" t="n">
        <v>0</v>
      </c>
      <c r="N800" t="n">
        <v>0</v>
      </c>
      <c r="O800" t="n">
        <v>0</v>
      </c>
      <c r="P800" t="n">
        <v>0</v>
      </c>
      <c r="Q800" t="n">
        <v>0</v>
      </c>
      <c r="R800" s="2" t="inlineStr"/>
    </row>
    <row r="801" ht="15" customHeight="1">
      <c r="A801" t="inlineStr">
        <is>
          <t>A 26437-2022</t>
        </is>
      </c>
      <c r="B801" s="1" t="n">
        <v>44737</v>
      </c>
      <c r="C801" s="1" t="n">
        <v>45507</v>
      </c>
      <c r="D801" t="inlineStr">
        <is>
          <t>JÄMTLANDS LÄN</t>
        </is>
      </c>
      <c r="E801" t="inlineStr">
        <is>
          <t>BRÄCKE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26445-2022</t>
        </is>
      </c>
      <c r="B802" s="1" t="n">
        <v>44738</v>
      </c>
      <c r="C802" s="1" t="n">
        <v>45507</v>
      </c>
      <c r="D802" t="inlineStr">
        <is>
          <t>JÄMTLANDS LÄN</t>
        </is>
      </c>
      <c r="E802" t="inlineStr">
        <is>
          <t>BRÄCKE</t>
        </is>
      </c>
      <c r="F802" t="inlineStr">
        <is>
          <t>SCA</t>
        </is>
      </c>
      <c r="G802" t="n">
        <v>62.5</v>
      </c>
      <c r="H802" t="n">
        <v>0</v>
      </c>
      <c r="I802" t="n">
        <v>0</v>
      </c>
      <c r="J802" t="n">
        <v>0</v>
      </c>
      <c r="K802" t="n">
        <v>0</v>
      </c>
      <c r="L802" t="n">
        <v>0</v>
      </c>
      <c r="M802" t="n">
        <v>0</v>
      </c>
      <c r="N802" t="n">
        <v>0</v>
      </c>
      <c r="O802" t="n">
        <v>0</v>
      </c>
      <c r="P802" t="n">
        <v>0</v>
      </c>
      <c r="Q802" t="n">
        <v>0</v>
      </c>
      <c r="R802" s="2" t="inlineStr"/>
    </row>
    <row r="803" ht="15" customHeight="1">
      <c r="A803" t="inlineStr">
        <is>
          <t>A 26444-2022</t>
        </is>
      </c>
      <c r="B803" s="1" t="n">
        <v>44739</v>
      </c>
      <c r="C803" s="1" t="n">
        <v>45507</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26458-2022</t>
        </is>
      </c>
      <c r="B804" s="1" t="n">
        <v>44739</v>
      </c>
      <c r="C804" s="1" t="n">
        <v>45507</v>
      </c>
      <c r="D804" t="inlineStr">
        <is>
          <t>JÄMTLANDS LÄN</t>
        </is>
      </c>
      <c r="E804" t="inlineStr">
        <is>
          <t>BRÄCKE</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26750-2022</t>
        </is>
      </c>
      <c r="B805" s="1" t="n">
        <v>44740</v>
      </c>
      <c r="C805" s="1" t="n">
        <v>45507</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26751-2022</t>
        </is>
      </c>
      <c r="B806" s="1" t="n">
        <v>44739</v>
      </c>
      <c r="C806" s="1" t="n">
        <v>45507</v>
      </c>
      <c r="D806" t="inlineStr">
        <is>
          <t>JÄMTLANDS LÄN</t>
        </is>
      </c>
      <c r="E806" t="inlineStr">
        <is>
          <t>BRÄCKE</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27351-2022</t>
        </is>
      </c>
      <c r="B807" s="1" t="n">
        <v>44742</v>
      </c>
      <c r="C807" s="1" t="n">
        <v>45507</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28285-2022</t>
        </is>
      </c>
      <c r="B808" s="1" t="n">
        <v>44746</v>
      </c>
      <c r="C808" s="1" t="n">
        <v>45507</v>
      </c>
      <c r="D808" t="inlineStr">
        <is>
          <t>JÄMTLANDS LÄN</t>
        </is>
      </c>
      <c r="E808" t="inlineStr">
        <is>
          <t>BRÄCKE</t>
        </is>
      </c>
      <c r="F808" t="inlineStr">
        <is>
          <t>SCA</t>
        </is>
      </c>
      <c r="G808" t="n">
        <v>6.2</v>
      </c>
      <c r="H808" t="n">
        <v>0</v>
      </c>
      <c r="I808" t="n">
        <v>0</v>
      </c>
      <c r="J808" t="n">
        <v>0</v>
      </c>
      <c r="K808" t="n">
        <v>0</v>
      </c>
      <c r="L808" t="n">
        <v>0</v>
      </c>
      <c r="M808" t="n">
        <v>0</v>
      </c>
      <c r="N808" t="n">
        <v>0</v>
      </c>
      <c r="O808" t="n">
        <v>0</v>
      </c>
      <c r="P808" t="n">
        <v>0</v>
      </c>
      <c r="Q808" t="n">
        <v>0</v>
      </c>
      <c r="R808" s="2" t="inlineStr"/>
    </row>
    <row r="809" ht="15" customHeight="1">
      <c r="A809" t="inlineStr">
        <is>
          <t>A 28296-2022</t>
        </is>
      </c>
      <c r="B809" s="1" t="n">
        <v>44747</v>
      </c>
      <c r="C809" s="1" t="n">
        <v>45507</v>
      </c>
      <c r="D809" t="inlineStr">
        <is>
          <t>JÄMTLANDS LÄN</t>
        </is>
      </c>
      <c r="E809" t="inlineStr">
        <is>
          <t>BRÄCKE</t>
        </is>
      </c>
      <c r="F809" t="inlineStr">
        <is>
          <t>SCA</t>
        </is>
      </c>
      <c r="G809" t="n">
        <v>9.9</v>
      </c>
      <c r="H809" t="n">
        <v>0</v>
      </c>
      <c r="I809" t="n">
        <v>0</v>
      </c>
      <c r="J809" t="n">
        <v>0</v>
      </c>
      <c r="K809" t="n">
        <v>0</v>
      </c>
      <c r="L809" t="n">
        <v>0</v>
      </c>
      <c r="M809" t="n">
        <v>0</v>
      </c>
      <c r="N809" t="n">
        <v>0</v>
      </c>
      <c r="O809" t="n">
        <v>0</v>
      </c>
      <c r="P809" t="n">
        <v>0</v>
      </c>
      <c r="Q809" t="n">
        <v>0</v>
      </c>
      <c r="R809" s="2" t="inlineStr"/>
    </row>
    <row r="810" ht="15" customHeight="1">
      <c r="A810" t="inlineStr">
        <is>
          <t>A 28738-2022</t>
        </is>
      </c>
      <c r="B810" s="1" t="n">
        <v>44749</v>
      </c>
      <c r="C810" s="1" t="n">
        <v>45507</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29325-2022</t>
        </is>
      </c>
      <c r="B811" s="1" t="n">
        <v>44752</v>
      </c>
      <c r="C811" s="1" t="n">
        <v>45507</v>
      </c>
      <c r="D811" t="inlineStr">
        <is>
          <t>JÄMTLANDS LÄN</t>
        </is>
      </c>
      <c r="E811" t="inlineStr">
        <is>
          <t>BRÄCKE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29821-2022</t>
        </is>
      </c>
      <c r="B812" s="1" t="n">
        <v>44756</v>
      </c>
      <c r="C812" s="1" t="n">
        <v>45507</v>
      </c>
      <c r="D812" t="inlineStr">
        <is>
          <t>JÄMTLANDS LÄN</t>
        </is>
      </c>
      <c r="E812" t="inlineStr">
        <is>
          <t>BRÄCKE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29835-2022</t>
        </is>
      </c>
      <c r="B813" s="1" t="n">
        <v>44756</v>
      </c>
      <c r="C813" s="1" t="n">
        <v>45507</v>
      </c>
      <c r="D813" t="inlineStr">
        <is>
          <t>JÄMTLANDS LÄN</t>
        </is>
      </c>
      <c r="E813" t="inlineStr">
        <is>
          <t>BRÄCKE</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29820-2022</t>
        </is>
      </c>
      <c r="B814" s="1" t="n">
        <v>44756</v>
      </c>
      <c r="C814" s="1" t="n">
        <v>45507</v>
      </c>
      <c r="D814" t="inlineStr">
        <is>
          <t>JÄMTLANDS LÄN</t>
        </is>
      </c>
      <c r="E814" t="inlineStr">
        <is>
          <t>BRÄCKE</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29819-2022</t>
        </is>
      </c>
      <c r="B815" s="1" t="n">
        <v>44755</v>
      </c>
      <c r="C815" s="1" t="n">
        <v>45507</v>
      </c>
      <c r="D815" t="inlineStr">
        <is>
          <t>JÄMTLANDS LÄN</t>
        </is>
      </c>
      <c r="E815" t="inlineStr">
        <is>
          <t>BRÄCKE</t>
        </is>
      </c>
      <c r="F815" t="inlineStr">
        <is>
          <t>SCA</t>
        </is>
      </c>
      <c r="G815" t="n">
        <v>28.8</v>
      </c>
      <c r="H815" t="n">
        <v>0</v>
      </c>
      <c r="I815" t="n">
        <v>0</v>
      </c>
      <c r="J815" t="n">
        <v>0</v>
      </c>
      <c r="K815" t="n">
        <v>0</v>
      </c>
      <c r="L815" t="n">
        <v>0</v>
      </c>
      <c r="M815" t="n">
        <v>0</v>
      </c>
      <c r="N815" t="n">
        <v>0</v>
      </c>
      <c r="O815" t="n">
        <v>0</v>
      </c>
      <c r="P815" t="n">
        <v>0</v>
      </c>
      <c r="Q815" t="n">
        <v>0</v>
      </c>
      <c r="R815" s="2" t="inlineStr"/>
    </row>
    <row r="816" ht="15" customHeight="1">
      <c r="A816" t="inlineStr">
        <is>
          <t>A 30258-2022</t>
        </is>
      </c>
      <c r="B816" s="1" t="n">
        <v>44759</v>
      </c>
      <c r="C816" s="1" t="n">
        <v>45507</v>
      </c>
      <c r="D816" t="inlineStr">
        <is>
          <t>JÄMTLANDS LÄN</t>
        </is>
      </c>
      <c r="E816" t="inlineStr">
        <is>
          <t>BRÄCKE</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30479-2022</t>
        </is>
      </c>
      <c r="B817" s="1" t="n">
        <v>44762</v>
      </c>
      <c r="C817" s="1" t="n">
        <v>45507</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30490-2022</t>
        </is>
      </c>
      <c r="B818" s="1" t="n">
        <v>44761</v>
      </c>
      <c r="C818" s="1" t="n">
        <v>45507</v>
      </c>
      <c r="D818" t="inlineStr">
        <is>
          <t>JÄMTLANDS LÄN</t>
        </is>
      </c>
      <c r="E818" t="inlineStr">
        <is>
          <t>BRÄCKE</t>
        </is>
      </c>
      <c r="F818" t="inlineStr">
        <is>
          <t>SCA</t>
        </is>
      </c>
      <c r="G818" t="n">
        <v>5.8</v>
      </c>
      <c r="H818" t="n">
        <v>0</v>
      </c>
      <c r="I818" t="n">
        <v>0</v>
      </c>
      <c r="J818" t="n">
        <v>0</v>
      </c>
      <c r="K818" t="n">
        <v>0</v>
      </c>
      <c r="L818" t="n">
        <v>0</v>
      </c>
      <c r="M818" t="n">
        <v>0</v>
      </c>
      <c r="N818" t="n">
        <v>0</v>
      </c>
      <c r="O818" t="n">
        <v>0</v>
      </c>
      <c r="P818" t="n">
        <v>0</v>
      </c>
      <c r="Q818" t="n">
        <v>0</v>
      </c>
      <c r="R818" s="2" t="inlineStr"/>
    </row>
    <row r="819" ht="15" customHeight="1">
      <c r="A819" t="inlineStr">
        <is>
          <t>A 30478-2022</t>
        </is>
      </c>
      <c r="B819" s="1" t="n">
        <v>44761</v>
      </c>
      <c r="C819" s="1" t="n">
        <v>45507</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30483-2022</t>
        </is>
      </c>
      <c r="B820" s="1" t="n">
        <v>44762</v>
      </c>
      <c r="C820" s="1" t="n">
        <v>45507</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30480-2022</t>
        </is>
      </c>
      <c r="B821" s="1" t="n">
        <v>44762</v>
      </c>
      <c r="C821" s="1" t="n">
        <v>45507</v>
      </c>
      <c r="D821" t="inlineStr">
        <is>
          <t>JÄMTLANDS LÄN</t>
        </is>
      </c>
      <c r="E821" t="inlineStr">
        <is>
          <t>BRÄCKE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30603-2022</t>
        </is>
      </c>
      <c r="B822" s="1" t="n">
        <v>44763</v>
      </c>
      <c r="C822" s="1" t="n">
        <v>45507</v>
      </c>
      <c r="D822" t="inlineStr">
        <is>
          <t>JÄMTLANDS LÄN</t>
        </is>
      </c>
      <c r="E822" t="inlineStr">
        <is>
          <t>BRÄCKE</t>
        </is>
      </c>
      <c r="F822" t="inlineStr">
        <is>
          <t>SCA</t>
        </is>
      </c>
      <c r="G822" t="n">
        <v>18.6</v>
      </c>
      <c r="H822" t="n">
        <v>0</v>
      </c>
      <c r="I822" t="n">
        <v>0</v>
      </c>
      <c r="J822" t="n">
        <v>0</v>
      </c>
      <c r="K822" t="n">
        <v>0</v>
      </c>
      <c r="L822" t="n">
        <v>0</v>
      </c>
      <c r="M822" t="n">
        <v>0</v>
      </c>
      <c r="N822" t="n">
        <v>0</v>
      </c>
      <c r="O822" t="n">
        <v>0</v>
      </c>
      <c r="P822" t="n">
        <v>0</v>
      </c>
      <c r="Q822" t="n">
        <v>0</v>
      </c>
      <c r="R822" s="2" t="inlineStr"/>
    </row>
    <row r="823" ht="15" customHeight="1">
      <c r="A823" t="inlineStr">
        <is>
          <t>A 30604-2022</t>
        </is>
      </c>
      <c r="B823" s="1" t="n">
        <v>44763</v>
      </c>
      <c r="C823" s="1" t="n">
        <v>45507</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30719-2022</t>
        </is>
      </c>
      <c r="B824" s="1" t="n">
        <v>44764</v>
      </c>
      <c r="C824" s="1" t="n">
        <v>45507</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30810-2022</t>
        </is>
      </c>
      <c r="B825" s="1" t="n">
        <v>44765</v>
      </c>
      <c r="C825" s="1" t="n">
        <v>45507</v>
      </c>
      <c r="D825" t="inlineStr">
        <is>
          <t>JÄMTLANDS LÄN</t>
        </is>
      </c>
      <c r="E825" t="inlineStr">
        <is>
          <t>BRÄCKE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30811-2022</t>
        </is>
      </c>
      <c r="B826" s="1" t="n">
        <v>44764</v>
      </c>
      <c r="C826" s="1" t="n">
        <v>45507</v>
      </c>
      <c r="D826" t="inlineStr">
        <is>
          <t>JÄMTLANDS LÄN</t>
        </is>
      </c>
      <c r="E826" t="inlineStr">
        <is>
          <t>BRÄCKE</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31467-2022</t>
        </is>
      </c>
      <c r="B827" s="1" t="n">
        <v>44774</v>
      </c>
      <c r="C827" s="1" t="n">
        <v>45507</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31466-2022</t>
        </is>
      </c>
      <c r="B828" s="1" t="n">
        <v>44774</v>
      </c>
      <c r="C828" s="1" t="n">
        <v>45507</v>
      </c>
      <c r="D828" t="inlineStr">
        <is>
          <t>JÄMTLANDS LÄN</t>
        </is>
      </c>
      <c r="E828" t="inlineStr">
        <is>
          <t>BRÄCKE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31521-2022</t>
        </is>
      </c>
      <c r="B829" s="1" t="n">
        <v>44775</v>
      </c>
      <c r="C829" s="1" t="n">
        <v>45507</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31520-2022</t>
        </is>
      </c>
      <c r="B830" s="1" t="n">
        <v>44775</v>
      </c>
      <c r="C830" s="1" t="n">
        <v>45507</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31516-2022</t>
        </is>
      </c>
      <c r="B831" s="1" t="n">
        <v>44775</v>
      </c>
      <c r="C831" s="1" t="n">
        <v>45507</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31844-2022</t>
        </is>
      </c>
      <c r="B832" s="1" t="n">
        <v>44777</v>
      </c>
      <c r="C832" s="1" t="n">
        <v>45507</v>
      </c>
      <c r="D832" t="inlineStr">
        <is>
          <t>JÄMTLANDS LÄN</t>
        </is>
      </c>
      <c r="E832" t="inlineStr">
        <is>
          <t>BRÄCKE</t>
        </is>
      </c>
      <c r="G832" t="n">
        <v>13.7</v>
      </c>
      <c r="H832" t="n">
        <v>0</v>
      </c>
      <c r="I832" t="n">
        <v>0</v>
      </c>
      <c r="J832" t="n">
        <v>0</v>
      </c>
      <c r="K832" t="n">
        <v>0</v>
      </c>
      <c r="L832" t="n">
        <v>0</v>
      </c>
      <c r="M832" t="n">
        <v>0</v>
      </c>
      <c r="N832" t="n">
        <v>0</v>
      </c>
      <c r="O832" t="n">
        <v>0</v>
      </c>
      <c r="P832" t="n">
        <v>0</v>
      </c>
      <c r="Q832" t="n">
        <v>0</v>
      </c>
      <c r="R832" s="2" t="inlineStr"/>
    </row>
    <row r="833" ht="15" customHeight="1">
      <c r="A833" t="inlineStr">
        <is>
          <t>A 31853-2022</t>
        </is>
      </c>
      <c r="B833" s="1" t="n">
        <v>44776</v>
      </c>
      <c r="C833" s="1" t="n">
        <v>45507</v>
      </c>
      <c r="D833" t="inlineStr">
        <is>
          <t>JÄMTLANDS LÄN</t>
        </is>
      </c>
      <c r="E833" t="inlineStr">
        <is>
          <t>BRÄCKE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31843-2022</t>
        </is>
      </c>
      <c r="B834" s="1" t="n">
        <v>44777</v>
      </c>
      <c r="C834" s="1" t="n">
        <v>45507</v>
      </c>
      <c r="D834" t="inlineStr">
        <is>
          <t>JÄMTLANDS LÄN</t>
        </is>
      </c>
      <c r="E834" t="inlineStr">
        <is>
          <t>BRÄCKE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31978-2022</t>
        </is>
      </c>
      <c r="B835" s="1" t="n">
        <v>44778</v>
      </c>
      <c r="C835" s="1" t="n">
        <v>45507</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31982-2022</t>
        </is>
      </c>
      <c r="B836" s="1" t="n">
        <v>44778</v>
      </c>
      <c r="C836" s="1" t="n">
        <v>45507</v>
      </c>
      <c r="D836" t="inlineStr">
        <is>
          <t>JÄMTLANDS LÄN</t>
        </is>
      </c>
      <c r="E836" t="inlineStr">
        <is>
          <t>BRÄCKE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31980-2022</t>
        </is>
      </c>
      <c r="B837" s="1" t="n">
        <v>44777</v>
      </c>
      <c r="C837" s="1" t="n">
        <v>45507</v>
      </c>
      <c r="D837" t="inlineStr">
        <is>
          <t>JÄMTLANDS LÄN</t>
        </is>
      </c>
      <c r="E837" t="inlineStr">
        <is>
          <t>BRÄCKE</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32141-2022</t>
        </is>
      </c>
      <c r="B838" s="1" t="n">
        <v>44779</v>
      </c>
      <c r="C838" s="1" t="n">
        <v>45507</v>
      </c>
      <c r="D838" t="inlineStr">
        <is>
          <t>JÄMTLANDS LÄN</t>
        </is>
      </c>
      <c r="E838" t="inlineStr">
        <is>
          <t>BRÄCKE</t>
        </is>
      </c>
      <c r="G838" t="n">
        <v>0.9</v>
      </c>
      <c r="H838" t="n">
        <v>0</v>
      </c>
      <c r="I838" t="n">
        <v>0</v>
      </c>
      <c r="J838" t="n">
        <v>0</v>
      </c>
      <c r="K838" t="n">
        <v>0</v>
      </c>
      <c r="L838" t="n">
        <v>0</v>
      </c>
      <c r="M838" t="n">
        <v>0</v>
      </c>
      <c r="N838" t="n">
        <v>0</v>
      </c>
      <c r="O838" t="n">
        <v>0</v>
      </c>
      <c r="P838" t="n">
        <v>0</v>
      </c>
      <c r="Q838" t="n">
        <v>0</v>
      </c>
      <c r="R838" s="2" t="inlineStr"/>
    </row>
    <row r="839" ht="15" customHeight="1">
      <c r="A839" t="inlineStr">
        <is>
          <t>A 32533-2022</t>
        </is>
      </c>
      <c r="B839" s="1" t="n">
        <v>44783</v>
      </c>
      <c r="C839" s="1" t="n">
        <v>45507</v>
      </c>
      <c r="D839" t="inlineStr">
        <is>
          <t>JÄMTLANDS LÄN</t>
        </is>
      </c>
      <c r="E839" t="inlineStr">
        <is>
          <t>BRÄCKE</t>
        </is>
      </c>
      <c r="F839" t="inlineStr">
        <is>
          <t>SCA</t>
        </is>
      </c>
      <c r="G839" t="n">
        <v>6.7</v>
      </c>
      <c r="H839" t="n">
        <v>0</v>
      </c>
      <c r="I839" t="n">
        <v>0</v>
      </c>
      <c r="J839" t="n">
        <v>0</v>
      </c>
      <c r="K839" t="n">
        <v>0</v>
      </c>
      <c r="L839" t="n">
        <v>0</v>
      </c>
      <c r="M839" t="n">
        <v>0</v>
      </c>
      <c r="N839" t="n">
        <v>0</v>
      </c>
      <c r="O839" t="n">
        <v>0</v>
      </c>
      <c r="P839" t="n">
        <v>0</v>
      </c>
      <c r="Q839" t="n">
        <v>0</v>
      </c>
      <c r="R839" s="2" t="inlineStr"/>
    </row>
    <row r="840" ht="15" customHeight="1">
      <c r="A840" t="inlineStr">
        <is>
          <t>A 32964-2022</t>
        </is>
      </c>
      <c r="B840" s="1" t="n">
        <v>44785</v>
      </c>
      <c r="C840" s="1" t="n">
        <v>45507</v>
      </c>
      <c r="D840" t="inlineStr">
        <is>
          <t>JÄMTLANDS LÄN</t>
        </is>
      </c>
      <c r="E840" t="inlineStr">
        <is>
          <t>BRÄCKE</t>
        </is>
      </c>
      <c r="G840" t="n">
        <v>2.6</v>
      </c>
      <c r="H840" t="n">
        <v>0</v>
      </c>
      <c r="I840" t="n">
        <v>0</v>
      </c>
      <c r="J840" t="n">
        <v>0</v>
      </c>
      <c r="K840" t="n">
        <v>0</v>
      </c>
      <c r="L840" t="n">
        <v>0</v>
      </c>
      <c r="M840" t="n">
        <v>0</v>
      </c>
      <c r="N840" t="n">
        <v>0</v>
      </c>
      <c r="O840" t="n">
        <v>0</v>
      </c>
      <c r="P840" t="n">
        <v>0</v>
      </c>
      <c r="Q840" t="n">
        <v>0</v>
      </c>
      <c r="R840" s="2" t="inlineStr"/>
    </row>
    <row r="841" ht="15" customHeight="1">
      <c r="A841" t="inlineStr">
        <is>
          <t>A 32963-2022</t>
        </is>
      </c>
      <c r="B841" s="1" t="n">
        <v>44785</v>
      </c>
      <c r="C841" s="1" t="n">
        <v>45507</v>
      </c>
      <c r="D841" t="inlineStr">
        <is>
          <t>JÄMTLANDS LÄN</t>
        </is>
      </c>
      <c r="E841" t="inlineStr">
        <is>
          <t>BRÄCKE</t>
        </is>
      </c>
      <c r="G841" t="n">
        <v>5.2</v>
      </c>
      <c r="H841" t="n">
        <v>0</v>
      </c>
      <c r="I841" t="n">
        <v>0</v>
      </c>
      <c r="J841" t="n">
        <v>0</v>
      </c>
      <c r="K841" t="n">
        <v>0</v>
      </c>
      <c r="L841" t="n">
        <v>0</v>
      </c>
      <c r="M841" t="n">
        <v>0</v>
      </c>
      <c r="N841" t="n">
        <v>0</v>
      </c>
      <c r="O841" t="n">
        <v>0</v>
      </c>
      <c r="P841" t="n">
        <v>0</v>
      </c>
      <c r="Q841" t="n">
        <v>0</v>
      </c>
      <c r="R841" s="2" t="inlineStr"/>
    </row>
    <row r="842" ht="15" customHeight="1">
      <c r="A842" t="inlineStr">
        <is>
          <t>A 33234-2022</t>
        </is>
      </c>
      <c r="B842" s="1" t="n">
        <v>44786</v>
      </c>
      <c r="C842" s="1" t="n">
        <v>45507</v>
      </c>
      <c r="D842" t="inlineStr">
        <is>
          <t>JÄMTLANDS LÄN</t>
        </is>
      </c>
      <c r="E842" t="inlineStr">
        <is>
          <t>BRÄCKE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33243-2022</t>
        </is>
      </c>
      <c r="B843" s="1" t="n">
        <v>44787</v>
      </c>
      <c r="C843" s="1" t="n">
        <v>45507</v>
      </c>
      <c r="D843" t="inlineStr">
        <is>
          <t>JÄMTLANDS LÄN</t>
        </is>
      </c>
      <c r="E843" t="inlineStr">
        <is>
          <t>BRÄCKE</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33481-2022</t>
        </is>
      </c>
      <c r="B844" s="1" t="n">
        <v>44788</v>
      </c>
      <c r="C844" s="1" t="n">
        <v>45507</v>
      </c>
      <c r="D844" t="inlineStr">
        <is>
          <t>JÄMTLANDS LÄN</t>
        </is>
      </c>
      <c r="E844" t="inlineStr">
        <is>
          <t>BRÄCKE</t>
        </is>
      </c>
      <c r="F844" t="inlineStr">
        <is>
          <t>Sveaskog</t>
        </is>
      </c>
      <c r="G844" t="n">
        <v>3.4</v>
      </c>
      <c r="H844" t="n">
        <v>0</v>
      </c>
      <c r="I844" t="n">
        <v>0</v>
      </c>
      <c r="J844" t="n">
        <v>0</v>
      </c>
      <c r="K844" t="n">
        <v>0</v>
      </c>
      <c r="L844" t="n">
        <v>0</v>
      </c>
      <c r="M844" t="n">
        <v>0</v>
      </c>
      <c r="N844" t="n">
        <v>0</v>
      </c>
      <c r="O844" t="n">
        <v>0</v>
      </c>
      <c r="P844" t="n">
        <v>0</v>
      </c>
      <c r="Q844" t="n">
        <v>0</v>
      </c>
      <c r="R844" s="2" t="inlineStr"/>
    </row>
    <row r="845" ht="15" customHeight="1">
      <c r="A845" t="inlineStr">
        <is>
          <t>A 33482-2022</t>
        </is>
      </c>
      <c r="B845" s="1" t="n">
        <v>44788</v>
      </c>
      <c r="C845" s="1" t="n">
        <v>45507</v>
      </c>
      <c r="D845" t="inlineStr">
        <is>
          <t>JÄMTLANDS LÄN</t>
        </is>
      </c>
      <c r="E845" t="inlineStr">
        <is>
          <t>BRÄCKE</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33483-2022</t>
        </is>
      </c>
      <c r="B846" s="1" t="n">
        <v>44788</v>
      </c>
      <c r="C846" s="1" t="n">
        <v>45507</v>
      </c>
      <c r="D846" t="inlineStr">
        <is>
          <t>JÄMTLANDS LÄN</t>
        </is>
      </c>
      <c r="E846" t="inlineStr">
        <is>
          <t>BRÄCKE</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36714-2022</t>
        </is>
      </c>
      <c r="B847" s="1" t="n">
        <v>44789</v>
      </c>
      <c r="C847" s="1" t="n">
        <v>45507</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33992-2022</t>
        </is>
      </c>
      <c r="B848" s="1" t="n">
        <v>44791</v>
      </c>
      <c r="C848" s="1" t="n">
        <v>45507</v>
      </c>
      <c r="D848" t="inlineStr">
        <is>
          <t>JÄMTLANDS LÄN</t>
        </is>
      </c>
      <c r="E848" t="inlineStr">
        <is>
          <t>BRÄCKE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33998-2022</t>
        </is>
      </c>
      <c r="B849" s="1" t="n">
        <v>44791</v>
      </c>
      <c r="C849" s="1" t="n">
        <v>45507</v>
      </c>
      <c r="D849" t="inlineStr">
        <is>
          <t>JÄMTLANDS LÄN</t>
        </is>
      </c>
      <c r="E849" t="inlineStr">
        <is>
          <t>BRÄCKE</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33993-2022</t>
        </is>
      </c>
      <c r="B850" s="1" t="n">
        <v>44790</v>
      </c>
      <c r="C850" s="1" t="n">
        <v>45507</v>
      </c>
      <c r="D850" t="inlineStr">
        <is>
          <t>JÄMTLANDS LÄN</t>
        </is>
      </c>
      <c r="E850" t="inlineStr">
        <is>
          <t>BRÄCKE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34315-2022</t>
        </is>
      </c>
      <c r="B851" s="1" t="n">
        <v>44792</v>
      </c>
      <c r="C851" s="1" t="n">
        <v>45507</v>
      </c>
      <c r="D851" t="inlineStr">
        <is>
          <t>JÄMTLANDS LÄN</t>
        </is>
      </c>
      <c r="E851" t="inlineStr">
        <is>
          <t>BRÄCKE</t>
        </is>
      </c>
      <c r="G851" t="n">
        <v>4.9</v>
      </c>
      <c r="H851" t="n">
        <v>0</v>
      </c>
      <c r="I851" t="n">
        <v>0</v>
      </c>
      <c r="J851" t="n">
        <v>0</v>
      </c>
      <c r="K851" t="n">
        <v>0</v>
      </c>
      <c r="L851" t="n">
        <v>0</v>
      </c>
      <c r="M851" t="n">
        <v>0</v>
      </c>
      <c r="N851" t="n">
        <v>0</v>
      </c>
      <c r="O851" t="n">
        <v>0</v>
      </c>
      <c r="P851" t="n">
        <v>0</v>
      </c>
      <c r="Q851" t="n">
        <v>0</v>
      </c>
      <c r="R851" s="2" t="inlineStr"/>
    </row>
    <row r="852" ht="15" customHeight="1">
      <c r="A852" t="inlineStr">
        <is>
          <t>A 34531-2022</t>
        </is>
      </c>
      <c r="B852" s="1" t="n">
        <v>44793</v>
      </c>
      <c r="C852" s="1" t="n">
        <v>45507</v>
      </c>
      <c r="D852" t="inlineStr">
        <is>
          <t>JÄMTLANDS LÄN</t>
        </is>
      </c>
      <c r="E852" t="inlineStr">
        <is>
          <t>BRÄCKE</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34530-2022</t>
        </is>
      </c>
      <c r="B853" s="1" t="n">
        <v>44793</v>
      </c>
      <c r="C853" s="1" t="n">
        <v>45507</v>
      </c>
      <c r="D853" t="inlineStr">
        <is>
          <t>JÄMTLANDS LÄN</t>
        </is>
      </c>
      <c r="E853" t="inlineStr">
        <is>
          <t>BRÄCKE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35010-2022</t>
        </is>
      </c>
      <c r="B854" s="1" t="n">
        <v>44797</v>
      </c>
      <c r="C854" s="1" t="n">
        <v>45507</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35182-2022</t>
        </is>
      </c>
      <c r="B855" s="1" t="n">
        <v>44797</v>
      </c>
      <c r="C855" s="1" t="n">
        <v>45507</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35232-2022</t>
        </is>
      </c>
      <c r="B856" s="1" t="n">
        <v>44797</v>
      </c>
      <c r="C856" s="1" t="n">
        <v>45507</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35501-2022</t>
        </is>
      </c>
      <c r="B857" s="1" t="n">
        <v>44799</v>
      </c>
      <c r="C857" s="1" t="n">
        <v>45507</v>
      </c>
      <c r="D857" t="inlineStr">
        <is>
          <t>JÄMTLANDS LÄN</t>
        </is>
      </c>
      <c r="E857" t="inlineStr">
        <is>
          <t>BRÄCKE</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35511-2022</t>
        </is>
      </c>
      <c r="B858" s="1" t="n">
        <v>44798</v>
      </c>
      <c r="C858" s="1" t="n">
        <v>45507</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35512-2022</t>
        </is>
      </c>
      <c r="B859" s="1" t="n">
        <v>44799</v>
      </c>
      <c r="C859" s="1" t="n">
        <v>45507</v>
      </c>
      <c r="D859" t="inlineStr">
        <is>
          <t>JÄMTLANDS LÄN</t>
        </is>
      </c>
      <c r="E859" t="inlineStr">
        <is>
          <t>BRÄCKE</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35746-2022</t>
        </is>
      </c>
      <c r="B860" s="1" t="n">
        <v>44800</v>
      </c>
      <c r="C860" s="1" t="n">
        <v>45507</v>
      </c>
      <c r="D860" t="inlineStr">
        <is>
          <t>JÄMTLANDS LÄN</t>
        </is>
      </c>
      <c r="E860" t="inlineStr">
        <is>
          <t>BRÄCKE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36129-2022</t>
        </is>
      </c>
      <c r="B861" s="1" t="n">
        <v>44803</v>
      </c>
      <c r="C861" s="1" t="n">
        <v>45507</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36364-2022</t>
        </is>
      </c>
      <c r="B862" s="1" t="n">
        <v>44804</v>
      </c>
      <c r="C862" s="1" t="n">
        <v>45507</v>
      </c>
      <c r="D862" t="inlineStr">
        <is>
          <t>JÄMTLANDS LÄN</t>
        </is>
      </c>
      <c r="E862" t="inlineStr">
        <is>
          <t>BRÄCKE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36392-2022</t>
        </is>
      </c>
      <c r="B863" s="1" t="n">
        <v>44804</v>
      </c>
      <c r="C863" s="1" t="n">
        <v>45507</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36389-2022</t>
        </is>
      </c>
      <c r="B864" s="1" t="n">
        <v>44803</v>
      </c>
      <c r="C864" s="1" t="n">
        <v>45507</v>
      </c>
      <c r="D864" t="inlineStr">
        <is>
          <t>JÄMTLANDS LÄN</t>
        </is>
      </c>
      <c r="E864" t="inlineStr">
        <is>
          <t>BRÄCKE</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36685-2022</t>
        </is>
      </c>
      <c r="B865" s="1" t="n">
        <v>44804</v>
      </c>
      <c r="C865" s="1" t="n">
        <v>45507</v>
      </c>
      <c r="D865" t="inlineStr">
        <is>
          <t>JÄMTLANDS LÄN</t>
        </is>
      </c>
      <c r="E865" t="inlineStr">
        <is>
          <t>BRÄCKE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36840-2022</t>
        </is>
      </c>
      <c r="B866" s="1" t="n">
        <v>44805</v>
      </c>
      <c r="C866" s="1" t="n">
        <v>45507</v>
      </c>
      <c r="D866" t="inlineStr">
        <is>
          <t>JÄMTLANDS LÄN</t>
        </is>
      </c>
      <c r="E866" t="inlineStr">
        <is>
          <t>BRÄCKE</t>
        </is>
      </c>
      <c r="G866" t="n">
        <v>1.2</v>
      </c>
      <c r="H866" t="n">
        <v>0</v>
      </c>
      <c r="I866" t="n">
        <v>0</v>
      </c>
      <c r="J866" t="n">
        <v>0</v>
      </c>
      <c r="K866" t="n">
        <v>0</v>
      </c>
      <c r="L866" t="n">
        <v>0</v>
      </c>
      <c r="M866" t="n">
        <v>0</v>
      </c>
      <c r="N866" t="n">
        <v>0</v>
      </c>
      <c r="O866" t="n">
        <v>0</v>
      </c>
      <c r="P866" t="n">
        <v>0</v>
      </c>
      <c r="Q866" t="n">
        <v>0</v>
      </c>
      <c r="R866" s="2" t="inlineStr"/>
    </row>
    <row r="867" ht="15" customHeight="1">
      <c r="A867" t="inlineStr">
        <is>
          <t>A 37032-2022</t>
        </is>
      </c>
      <c r="B867" s="1" t="n">
        <v>44806</v>
      </c>
      <c r="C867" s="1" t="n">
        <v>45507</v>
      </c>
      <c r="D867" t="inlineStr">
        <is>
          <t>JÄMTLANDS LÄN</t>
        </is>
      </c>
      <c r="E867" t="inlineStr">
        <is>
          <t>BRÄCKE</t>
        </is>
      </c>
      <c r="G867" t="n">
        <v>0.7</v>
      </c>
      <c r="H867" t="n">
        <v>0</v>
      </c>
      <c r="I867" t="n">
        <v>0</v>
      </c>
      <c r="J867" t="n">
        <v>0</v>
      </c>
      <c r="K867" t="n">
        <v>0</v>
      </c>
      <c r="L867" t="n">
        <v>0</v>
      </c>
      <c r="M867" t="n">
        <v>0</v>
      </c>
      <c r="N867" t="n">
        <v>0</v>
      </c>
      <c r="O867" t="n">
        <v>0</v>
      </c>
      <c r="P867" t="n">
        <v>0</v>
      </c>
      <c r="Q867" t="n">
        <v>0</v>
      </c>
      <c r="R867" s="2" t="inlineStr"/>
    </row>
    <row r="868" ht="15" customHeight="1">
      <c r="A868" t="inlineStr">
        <is>
          <t>A 37232-2022</t>
        </is>
      </c>
      <c r="B868" s="1" t="n">
        <v>44806</v>
      </c>
      <c r="C868" s="1" t="n">
        <v>45507</v>
      </c>
      <c r="D868" t="inlineStr">
        <is>
          <t>JÄMTLANDS LÄN</t>
        </is>
      </c>
      <c r="E868" t="inlineStr">
        <is>
          <t>BRÄCKE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37229-2022</t>
        </is>
      </c>
      <c r="B869" s="1" t="n">
        <v>44807</v>
      </c>
      <c r="C869" s="1" t="n">
        <v>45507</v>
      </c>
      <c r="D869" t="inlineStr">
        <is>
          <t>JÄMTLANDS LÄN</t>
        </is>
      </c>
      <c r="E869" t="inlineStr">
        <is>
          <t>BRÄCKE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37234-2022</t>
        </is>
      </c>
      <c r="B870" s="1" t="n">
        <v>44807</v>
      </c>
      <c r="C870" s="1" t="n">
        <v>45507</v>
      </c>
      <c r="D870" t="inlineStr">
        <is>
          <t>JÄMTLANDS LÄN</t>
        </is>
      </c>
      <c r="E870" t="inlineStr">
        <is>
          <t>BRÄCKE</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37650-2022</t>
        </is>
      </c>
      <c r="B871" s="1" t="n">
        <v>44810</v>
      </c>
      <c r="C871" s="1" t="n">
        <v>45507</v>
      </c>
      <c r="D871" t="inlineStr">
        <is>
          <t>JÄMTLANDS LÄN</t>
        </is>
      </c>
      <c r="E871" t="inlineStr">
        <is>
          <t>BRÄCKE</t>
        </is>
      </c>
      <c r="G871" t="n">
        <v>2.3</v>
      </c>
      <c r="H871" t="n">
        <v>0</v>
      </c>
      <c r="I871" t="n">
        <v>0</v>
      </c>
      <c r="J871" t="n">
        <v>0</v>
      </c>
      <c r="K871" t="n">
        <v>0</v>
      </c>
      <c r="L871" t="n">
        <v>0</v>
      </c>
      <c r="M871" t="n">
        <v>0</v>
      </c>
      <c r="N871" t="n">
        <v>0</v>
      </c>
      <c r="O871" t="n">
        <v>0</v>
      </c>
      <c r="P871" t="n">
        <v>0</v>
      </c>
      <c r="Q871" t="n">
        <v>0</v>
      </c>
      <c r="R871" s="2" t="inlineStr"/>
    </row>
    <row r="872" ht="15" customHeight="1">
      <c r="A872" t="inlineStr">
        <is>
          <t>A 37829-2022</t>
        </is>
      </c>
      <c r="B872" s="1" t="n">
        <v>44811</v>
      </c>
      <c r="C872" s="1" t="n">
        <v>45507</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37828-2022</t>
        </is>
      </c>
      <c r="B873" s="1" t="n">
        <v>44811</v>
      </c>
      <c r="C873" s="1" t="n">
        <v>45507</v>
      </c>
      <c r="D873" t="inlineStr">
        <is>
          <t>JÄMTLANDS LÄN</t>
        </is>
      </c>
      <c r="E873" t="inlineStr">
        <is>
          <t>BRÄCKE</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39701-2022</t>
        </is>
      </c>
      <c r="B874" s="1" t="n">
        <v>44818</v>
      </c>
      <c r="C874" s="1" t="n">
        <v>45507</v>
      </c>
      <c r="D874" t="inlineStr">
        <is>
          <t>JÄMTLANDS LÄN</t>
        </is>
      </c>
      <c r="E874" t="inlineStr">
        <is>
          <t>BRÄCKE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39702-2022</t>
        </is>
      </c>
      <c r="B875" s="1" t="n">
        <v>44818</v>
      </c>
      <c r="C875" s="1" t="n">
        <v>45507</v>
      </c>
      <c r="D875" t="inlineStr">
        <is>
          <t>JÄMTLANDS LÄN</t>
        </is>
      </c>
      <c r="E875" t="inlineStr">
        <is>
          <t>BRÄCKE</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39704-2022</t>
        </is>
      </c>
      <c r="B876" s="1" t="n">
        <v>44818</v>
      </c>
      <c r="C876" s="1" t="n">
        <v>45507</v>
      </c>
      <c r="D876" t="inlineStr">
        <is>
          <t>JÄMTLANDS LÄN</t>
        </is>
      </c>
      <c r="E876" t="inlineStr">
        <is>
          <t>BRÄCKE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39703-2022</t>
        </is>
      </c>
      <c r="B877" s="1" t="n">
        <v>44818</v>
      </c>
      <c r="C877" s="1" t="n">
        <v>45507</v>
      </c>
      <c r="D877" t="inlineStr">
        <is>
          <t>JÄMTLANDS LÄN</t>
        </is>
      </c>
      <c r="E877" t="inlineStr">
        <is>
          <t>BRÄCKE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39937-2022</t>
        </is>
      </c>
      <c r="B878" s="1" t="n">
        <v>44820</v>
      </c>
      <c r="C878" s="1" t="n">
        <v>45507</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39930-2022</t>
        </is>
      </c>
      <c r="B879" s="1" t="n">
        <v>44819</v>
      </c>
      <c r="C879" s="1" t="n">
        <v>45507</v>
      </c>
      <c r="D879" t="inlineStr">
        <is>
          <t>JÄMTLANDS LÄN</t>
        </is>
      </c>
      <c r="E879" t="inlineStr">
        <is>
          <t>BRÄCKE</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40278-2022</t>
        </is>
      </c>
      <c r="B880" s="1" t="n">
        <v>44820</v>
      </c>
      <c r="C880" s="1" t="n">
        <v>45507</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40268-2022</t>
        </is>
      </c>
      <c r="B881" s="1" t="n">
        <v>44821</v>
      </c>
      <c r="C881" s="1" t="n">
        <v>45507</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40285-2022</t>
        </is>
      </c>
      <c r="B882" s="1" t="n">
        <v>44821</v>
      </c>
      <c r="C882" s="1" t="n">
        <v>45507</v>
      </c>
      <c r="D882" t="inlineStr">
        <is>
          <t>JÄMTLANDS LÄN</t>
        </is>
      </c>
      <c r="E882" t="inlineStr">
        <is>
          <t>BRÄCKE</t>
        </is>
      </c>
      <c r="F882" t="inlineStr">
        <is>
          <t>SCA</t>
        </is>
      </c>
      <c r="G882" t="n">
        <v>9.5</v>
      </c>
      <c r="H882" t="n">
        <v>0</v>
      </c>
      <c r="I882" t="n">
        <v>0</v>
      </c>
      <c r="J882" t="n">
        <v>0</v>
      </c>
      <c r="K882" t="n">
        <v>0</v>
      </c>
      <c r="L882" t="n">
        <v>0</v>
      </c>
      <c r="M882" t="n">
        <v>0</v>
      </c>
      <c r="N882" t="n">
        <v>0</v>
      </c>
      <c r="O882" t="n">
        <v>0</v>
      </c>
      <c r="P882" t="n">
        <v>0</v>
      </c>
      <c r="Q882" t="n">
        <v>0</v>
      </c>
      <c r="R882" s="2" t="inlineStr"/>
    </row>
    <row r="883" ht="15" customHeight="1">
      <c r="A883" t="inlineStr">
        <is>
          <t>A 40711-2022</t>
        </is>
      </c>
      <c r="B883" s="1" t="n">
        <v>44820</v>
      </c>
      <c r="C883" s="1" t="n">
        <v>45507</v>
      </c>
      <c r="D883" t="inlineStr">
        <is>
          <t>JÄMTLANDS LÄN</t>
        </is>
      </c>
      <c r="E883" t="inlineStr">
        <is>
          <t>BRÄCKE</t>
        </is>
      </c>
      <c r="G883" t="n">
        <v>5.4</v>
      </c>
      <c r="H883" t="n">
        <v>0</v>
      </c>
      <c r="I883" t="n">
        <v>0</v>
      </c>
      <c r="J883" t="n">
        <v>0</v>
      </c>
      <c r="K883" t="n">
        <v>0</v>
      </c>
      <c r="L883" t="n">
        <v>0</v>
      </c>
      <c r="M883" t="n">
        <v>0</v>
      </c>
      <c r="N883" t="n">
        <v>0</v>
      </c>
      <c r="O883" t="n">
        <v>0</v>
      </c>
      <c r="P883" t="n">
        <v>0</v>
      </c>
      <c r="Q883" t="n">
        <v>0</v>
      </c>
      <c r="R883" s="2" t="inlineStr"/>
    </row>
    <row r="884" ht="15" customHeight="1">
      <c r="A884" t="inlineStr">
        <is>
          <t>A 40440-2022</t>
        </is>
      </c>
      <c r="B884" s="1" t="n">
        <v>44823</v>
      </c>
      <c r="C884" s="1" t="n">
        <v>45507</v>
      </c>
      <c r="D884" t="inlineStr">
        <is>
          <t>JÄMTLANDS LÄN</t>
        </is>
      </c>
      <c r="E884" t="inlineStr">
        <is>
          <t>BRÄCKE</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40675-2022</t>
        </is>
      </c>
      <c r="B885" s="1" t="n">
        <v>44824</v>
      </c>
      <c r="C885" s="1" t="n">
        <v>45507</v>
      </c>
      <c r="D885" t="inlineStr">
        <is>
          <t>JÄMTLANDS LÄN</t>
        </is>
      </c>
      <c r="E885" t="inlineStr">
        <is>
          <t>BRÄCKE</t>
        </is>
      </c>
      <c r="G885" t="n">
        <v>1.6</v>
      </c>
      <c r="H885" t="n">
        <v>0</v>
      </c>
      <c r="I885" t="n">
        <v>0</v>
      </c>
      <c r="J885" t="n">
        <v>0</v>
      </c>
      <c r="K885" t="n">
        <v>0</v>
      </c>
      <c r="L885" t="n">
        <v>0</v>
      </c>
      <c r="M885" t="n">
        <v>0</v>
      </c>
      <c r="N885" t="n">
        <v>0</v>
      </c>
      <c r="O885" t="n">
        <v>0</v>
      </c>
      <c r="P885" t="n">
        <v>0</v>
      </c>
      <c r="Q885" t="n">
        <v>0</v>
      </c>
      <c r="R885" s="2" t="inlineStr"/>
    </row>
    <row r="886" ht="15" customHeight="1">
      <c r="A886" t="inlineStr">
        <is>
          <t>A 40903-2022</t>
        </is>
      </c>
      <c r="B886" s="1" t="n">
        <v>44825</v>
      </c>
      <c r="C886" s="1" t="n">
        <v>45507</v>
      </c>
      <c r="D886" t="inlineStr">
        <is>
          <t>JÄMTLANDS LÄN</t>
        </is>
      </c>
      <c r="E886" t="inlineStr">
        <is>
          <t>BRÄCKE</t>
        </is>
      </c>
      <c r="G886" t="n">
        <v>65.59999999999999</v>
      </c>
      <c r="H886" t="n">
        <v>0</v>
      </c>
      <c r="I886" t="n">
        <v>0</v>
      </c>
      <c r="J886" t="n">
        <v>0</v>
      </c>
      <c r="K886" t="n">
        <v>0</v>
      </c>
      <c r="L886" t="n">
        <v>0</v>
      </c>
      <c r="M886" t="n">
        <v>0</v>
      </c>
      <c r="N886" t="n">
        <v>0</v>
      </c>
      <c r="O886" t="n">
        <v>0</v>
      </c>
      <c r="P886" t="n">
        <v>0</v>
      </c>
      <c r="Q886" t="n">
        <v>0</v>
      </c>
      <c r="R886" s="2" t="inlineStr"/>
    </row>
    <row r="887" ht="15" customHeight="1">
      <c r="A887" t="inlineStr">
        <is>
          <t>A 41175-2022</t>
        </is>
      </c>
      <c r="B887" s="1" t="n">
        <v>44826</v>
      </c>
      <c r="C887" s="1" t="n">
        <v>45507</v>
      </c>
      <c r="D887" t="inlineStr">
        <is>
          <t>JÄMTLANDS LÄN</t>
        </is>
      </c>
      <c r="E887" t="inlineStr">
        <is>
          <t>BRÄCKE</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41182-2022</t>
        </is>
      </c>
      <c r="B888" s="1" t="n">
        <v>44826</v>
      </c>
      <c r="C888" s="1" t="n">
        <v>45507</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41817-2022</t>
        </is>
      </c>
      <c r="B889" s="1" t="n">
        <v>44827</v>
      </c>
      <c r="C889" s="1" t="n">
        <v>45507</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42113-2022</t>
        </is>
      </c>
      <c r="B890" s="1" t="n">
        <v>44830</v>
      </c>
      <c r="C890" s="1" t="n">
        <v>45507</v>
      </c>
      <c r="D890" t="inlineStr">
        <is>
          <t>JÄMTLANDS LÄN</t>
        </is>
      </c>
      <c r="E890" t="inlineStr">
        <is>
          <t>BRÄCKE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42288-2022</t>
        </is>
      </c>
      <c r="B891" s="1" t="n">
        <v>44830</v>
      </c>
      <c r="C891" s="1" t="n">
        <v>45507</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42290-2022</t>
        </is>
      </c>
      <c r="B892" s="1" t="n">
        <v>44830</v>
      </c>
      <c r="C892" s="1" t="n">
        <v>45507</v>
      </c>
      <c r="D892" t="inlineStr">
        <is>
          <t>JÄMTLANDS LÄN</t>
        </is>
      </c>
      <c r="E892" t="inlineStr">
        <is>
          <t>BRÄCKE</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42656-2022</t>
        </is>
      </c>
      <c r="B893" s="1" t="n">
        <v>44831</v>
      </c>
      <c r="C893" s="1" t="n">
        <v>45507</v>
      </c>
      <c r="D893" t="inlineStr">
        <is>
          <t>JÄMTLANDS LÄN</t>
        </is>
      </c>
      <c r="E893" t="inlineStr">
        <is>
          <t>BRÄCKE</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42894-2022</t>
        </is>
      </c>
      <c r="B894" s="1" t="n">
        <v>44833</v>
      </c>
      <c r="C894" s="1" t="n">
        <v>45507</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43142-2022</t>
        </is>
      </c>
      <c r="B895" s="1" t="n">
        <v>44834</v>
      </c>
      <c r="C895" s="1" t="n">
        <v>45507</v>
      </c>
      <c r="D895" t="inlineStr">
        <is>
          <t>JÄMTLANDS LÄN</t>
        </is>
      </c>
      <c r="E895" t="inlineStr">
        <is>
          <t>BRÄCKE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43126-2022</t>
        </is>
      </c>
      <c r="B896" s="1" t="n">
        <v>44833</v>
      </c>
      <c r="C896" s="1" t="n">
        <v>45507</v>
      </c>
      <c r="D896" t="inlineStr">
        <is>
          <t>JÄMTLANDS LÄN</t>
        </is>
      </c>
      <c r="E896" t="inlineStr">
        <is>
          <t>BRÄCKE</t>
        </is>
      </c>
      <c r="G896" t="n">
        <v>2.5</v>
      </c>
      <c r="H896" t="n">
        <v>0</v>
      </c>
      <c r="I896" t="n">
        <v>0</v>
      </c>
      <c r="J896" t="n">
        <v>0</v>
      </c>
      <c r="K896" t="n">
        <v>0</v>
      </c>
      <c r="L896" t="n">
        <v>0</v>
      </c>
      <c r="M896" t="n">
        <v>0</v>
      </c>
      <c r="N896" t="n">
        <v>0</v>
      </c>
      <c r="O896" t="n">
        <v>0</v>
      </c>
      <c r="P896" t="n">
        <v>0</v>
      </c>
      <c r="Q896" t="n">
        <v>0</v>
      </c>
      <c r="R896" s="2" t="inlineStr"/>
    </row>
    <row r="897" ht="15" customHeight="1">
      <c r="A897" t="inlineStr">
        <is>
          <t>A 43421-2022</t>
        </is>
      </c>
      <c r="B897" s="1" t="n">
        <v>44834</v>
      </c>
      <c r="C897" s="1" t="n">
        <v>45507</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43789-2022</t>
        </is>
      </c>
      <c r="B898" s="1" t="n">
        <v>44837</v>
      </c>
      <c r="C898" s="1" t="n">
        <v>45507</v>
      </c>
      <c r="D898" t="inlineStr">
        <is>
          <t>JÄMTLANDS LÄN</t>
        </is>
      </c>
      <c r="E898" t="inlineStr">
        <is>
          <t>BRÄCKE</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43785-2022</t>
        </is>
      </c>
      <c r="B899" s="1" t="n">
        <v>44837</v>
      </c>
      <c r="C899" s="1" t="n">
        <v>45507</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44445-2022</t>
        </is>
      </c>
      <c r="B900" s="1" t="n">
        <v>44840</v>
      </c>
      <c r="C900" s="1" t="n">
        <v>45507</v>
      </c>
      <c r="D900" t="inlineStr">
        <is>
          <t>JÄMTLANDS LÄN</t>
        </is>
      </c>
      <c r="E900" t="inlineStr">
        <is>
          <t>BRÄCKE</t>
        </is>
      </c>
      <c r="F900" t="inlineStr">
        <is>
          <t>SCA</t>
        </is>
      </c>
      <c r="G900" t="n">
        <v>5</v>
      </c>
      <c r="H900" t="n">
        <v>0</v>
      </c>
      <c r="I900" t="n">
        <v>0</v>
      </c>
      <c r="J900" t="n">
        <v>0</v>
      </c>
      <c r="K900" t="n">
        <v>0</v>
      </c>
      <c r="L900" t="n">
        <v>0</v>
      </c>
      <c r="M900" t="n">
        <v>0</v>
      </c>
      <c r="N900" t="n">
        <v>0</v>
      </c>
      <c r="O900" t="n">
        <v>0</v>
      </c>
      <c r="P900" t="n">
        <v>0</v>
      </c>
      <c r="Q900" t="n">
        <v>0</v>
      </c>
      <c r="R900" s="2" t="inlineStr"/>
    </row>
    <row r="901" ht="15" customHeight="1">
      <c r="A901" t="inlineStr">
        <is>
          <t>A 44444-2022</t>
        </is>
      </c>
      <c r="B901" s="1" t="n">
        <v>44840</v>
      </c>
      <c r="C901" s="1" t="n">
        <v>45507</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44743-2022</t>
        </is>
      </c>
      <c r="B902" s="1" t="n">
        <v>44840</v>
      </c>
      <c r="C902" s="1" t="n">
        <v>45507</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44752-2022</t>
        </is>
      </c>
      <c r="B903" s="1" t="n">
        <v>44840</v>
      </c>
      <c r="C903" s="1" t="n">
        <v>45507</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44753-2022</t>
        </is>
      </c>
      <c r="B904" s="1" t="n">
        <v>44840</v>
      </c>
      <c r="C904" s="1" t="n">
        <v>45507</v>
      </c>
      <c r="D904" t="inlineStr">
        <is>
          <t>JÄMTLANDS LÄN</t>
        </is>
      </c>
      <c r="E904" t="inlineStr">
        <is>
          <t>BRÄCKE</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45304-2022</t>
        </is>
      </c>
      <c r="B905" s="1" t="n">
        <v>44841</v>
      </c>
      <c r="C905" s="1" t="n">
        <v>45507</v>
      </c>
      <c r="D905" t="inlineStr">
        <is>
          <t>JÄMTLANDS LÄN</t>
        </is>
      </c>
      <c r="E905" t="inlineStr">
        <is>
          <t>BRÄCKE</t>
        </is>
      </c>
      <c r="G905" t="n">
        <v>3.8</v>
      </c>
      <c r="H905" t="n">
        <v>0</v>
      </c>
      <c r="I905" t="n">
        <v>0</v>
      </c>
      <c r="J905" t="n">
        <v>0</v>
      </c>
      <c r="K905" t="n">
        <v>0</v>
      </c>
      <c r="L905" t="n">
        <v>0</v>
      </c>
      <c r="M905" t="n">
        <v>0</v>
      </c>
      <c r="N905" t="n">
        <v>0</v>
      </c>
      <c r="O905" t="n">
        <v>0</v>
      </c>
      <c r="P905" t="n">
        <v>0</v>
      </c>
      <c r="Q905" t="n">
        <v>0</v>
      </c>
      <c r="R905" s="2" t="inlineStr"/>
    </row>
    <row r="906" ht="15" customHeight="1">
      <c r="A906" t="inlineStr">
        <is>
          <t>A 45426-2022</t>
        </is>
      </c>
      <c r="B906" s="1" t="n">
        <v>44844</v>
      </c>
      <c r="C906" s="1" t="n">
        <v>45507</v>
      </c>
      <c r="D906" t="inlineStr">
        <is>
          <t>JÄMTLANDS LÄN</t>
        </is>
      </c>
      <c r="E906" t="inlineStr">
        <is>
          <t>BRÄCKE</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45436-2022</t>
        </is>
      </c>
      <c r="B907" s="1" t="n">
        <v>44845</v>
      </c>
      <c r="C907" s="1" t="n">
        <v>45507</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45533-2022</t>
        </is>
      </c>
      <c r="B908" s="1" t="n">
        <v>44845</v>
      </c>
      <c r="C908" s="1" t="n">
        <v>45507</v>
      </c>
      <c r="D908" t="inlineStr">
        <is>
          <t>JÄMTLANDS LÄN</t>
        </is>
      </c>
      <c r="E908" t="inlineStr">
        <is>
          <t>BRÄCKE</t>
        </is>
      </c>
      <c r="F908" t="inlineStr">
        <is>
          <t>Övriga Aktiebolag</t>
        </is>
      </c>
      <c r="G908" t="n">
        <v>13.7</v>
      </c>
      <c r="H908" t="n">
        <v>0</v>
      </c>
      <c r="I908" t="n">
        <v>0</v>
      </c>
      <c r="J908" t="n">
        <v>0</v>
      </c>
      <c r="K908" t="n">
        <v>0</v>
      </c>
      <c r="L908" t="n">
        <v>0</v>
      </c>
      <c r="M908" t="n">
        <v>0</v>
      </c>
      <c r="N908" t="n">
        <v>0</v>
      </c>
      <c r="O908" t="n">
        <v>0</v>
      </c>
      <c r="P908" t="n">
        <v>0</v>
      </c>
      <c r="Q908" t="n">
        <v>0</v>
      </c>
      <c r="R908" s="2" t="inlineStr"/>
    </row>
    <row r="909" ht="15" customHeight="1">
      <c r="A909" t="inlineStr">
        <is>
          <t>A 45701-2022</t>
        </is>
      </c>
      <c r="B909" s="1" t="n">
        <v>44845</v>
      </c>
      <c r="C909" s="1" t="n">
        <v>45507</v>
      </c>
      <c r="D909" t="inlineStr">
        <is>
          <t>JÄMTLANDS LÄN</t>
        </is>
      </c>
      <c r="E909" t="inlineStr">
        <is>
          <t>BRÄCKE</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45691-2022</t>
        </is>
      </c>
      <c r="B910" s="1" t="n">
        <v>44846</v>
      </c>
      <c r="C910" s="1" t="n">
        <v>45507</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45913-2022</t>
        </is>
      </c>
      <c r="B911" s="1" t="n">
        <v>44845</v>
      </c>
      <c r="C911" s="1" t="n">
        <v>45507</v>
      </c>
      <c r="D911" t="inlineStr">
        <is>
          <t>JÄMTLANDS LÄN</t>
        </is>
      </c>
      <c r="E911" t="inlineStr">
        <is>
          <t>BRÄCKE</t>
        </is>
      </c>
      <c r="G911" t="n">
        <v>1.1</v>
      </c>
      <c r="H911" t="n">
        <v>0</v>
      </c>
      <c r="I911" t="n">
        <v>0</v>
      </c>
      <c r="J911" t="n">
        <v>0</v>
      </c>
      <c r="K911" t="n">
        <v>0</v>
      </c>
      <c r="L911" t="n">
        <v>0</v>
      </c>
      <c r="M911" t="n">
        <v>0</v>
      </c>
      <c r="N911" t="n">
        <v>0</v>
      </c>
      <c r="O911" t="n">
        <v>0</v>
      </c>
      <c r="P911" t="n">
        <v>0</v>
      </c>
      <c r="Q911" t="n">
        <v>0</v>
      </c>
      <c r="R911" s="2" t="inlineStr"/>
    </row>
    <row r="912" ht="15" customHeight="1">
      <c r="A912" t="inlineStr">
        <is>
          <t>A 46024-2022</t>
        </is>
      </c>
      <c r="B912" s="1" t="n">
        <v>44847</v>
      </c>
      <c r="C912" s="1" t="n">
        <v>45507</v>
      </c>
      <c r="D912" t="inlineStr">
        <is>
          <t>JÄMTLANDS LÄN</t>
        </is>
      </c>
      <c r="E912" t="inlineStr">
        <is>
          <t>BRÄCKE</t>
        </is>
      </c>
      <c r="G912" t="n">
        <v>3</v>
      </c>
      <c r="H912" t="n">
        <v>0</v>
      </c>
      <c r="I912" t="n">
        <v>0</v>
      </c>
      <c r="J912" t="n">
        <v>0</v>
      </c>
      <c r="K912" t="n">
        <v>0</v>
      </c>
      <c r="L912" t="n">
        <v>0</v>
      </c>
      <c r="M912" t="n">
        <v>0</v>
      </c>
      <c r="N912" t="n">
        <v>0</v>
      </c>
      <c r="O912" t="n">
        <v>0</v>
      </c>
      <c r="P912" t="n">
        <v>0</v>
      </c>
      <c r="Q912" t="n">
        <v>0</v>
      </c>
      <c r="R912" s="2" t="inlineStr"/>
    </row>
    <row r="913" ht="15" customHeight="1">
      <c r="A913" t="inlineStr">
        <is>
          <t>A 46598-2022</t>
        </is>
      </c>
      <c r="B913" s="1" t="n">
        <v>44848</v>
      </c>
      <c r="C913" s="1" t="n">
        <v>45507</v>
      </c>
      <c r="D913" t="inlineStr">
        <is>
          <t>JÄMTLANDS LÄN</t>
        </is>
      </c>
      <c r="E913" t="inlineStr">
        <is>
          <t>BRÄCKE</t>
        </is>
      </c>
      <c r="G913" t="n">
        <v>2.2</v>
      </c>
      <c r="H913" t="n">
        <v>0</v>
      </c>
      <c r="I913" t="n">
        <v>0</v>
      </c>
      <c r="J913" t="n">
        <v>0</v>
      </c>
      <c r="K913" t="n">
        <v>0</v>
      </c>
      <c r="L913" t="n">
        <v>0</v>
      </c>
      <c r="M913" t="n">
        <v>0</v>
      </c>
      <c r="N913" t="n">
        <v>0</v>
      </c>
      <c r="O913" t="n">
        <v>0</v>
      </c>
      <c r="P913" t="n">
        <v>0</v>
      </c>
      <c r="Q913" t="n">
        <v>0</v>
      </c>
      <c r="R913" s="2" t="inlineStr"/>
    </row>
    <row r="914" ht="15" customHeight="1">
      <c r="A914" t="inlineStr">
        <is>
          <t>A 46623-2022</t>
        </is>
      </c>
      <c r="B914" s="1" t="n">
        <v>44849</v>
      </c>
      <c r="C914" s="1" t="n">
        <v>45507</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46602-2022</t>
        </is>
      </c>
      <c r="B915" s="1" t="n">
        <v>44848</v>
      </c>
      <c r="C915" s="1" t="n">
        <v>45507</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46597-2022</t>
        </is>
      </c>
      <c r="B916" s="1" t="n">
        <v>44848</v>
      </c>
      <c r="C916" s="1" t="n">
        <v>45507</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46601-2022</t>
        </is>
      </c>
      <c r="B917" s="1" t="n">
        <v>44848</v>
      </c>
      <c r="C917" s="1" t="n">
        <v>45507</v>
      </c>
      <c r="D917" t="inlineStr">
        <is>
          <t>JÄMTLANDS LÄN</t>
        </is>
      </c>
      <c r="E917" t="inlineStr">
        <is>
          <t>BRÄCKE</t>
        </is>
      </c>
      <c r="G917" t="n">
        <v>2.7</v>
      </c>
      <c r="H917" t="n">
        <v>0</v>
      </c>
      <c r="I917" t="n">
        <v>0</v>
      </c>
      <c r="J917" t="n">
        <v>0</v>
      </c>
      <c r="K917" t="n">
        <v>0</v>
      </c>
      <c r="L917" t="n">
        <v>0</v>
      </c>
      <c r="M917" t="n">
        <v>0</v>
      </c>
      <c r="N917" t="n">
        <v>0</v>
      </c>
      <c r="O917" t="n">
        <v>0</v>
      </c>
      <c r="P917" t="n">
        <v>0</v>
      </c>
      <c r="Q917" t="n">
        <v>0</v>
      </c>
      <c r="R917" s="2" t="inlineStr"/>
    </row>
    <row r="918" ht="15" customHeight="1">
      <c r="A918" t="inlineStr">
        <is>
          <t>A 46649-2022</t>
        </is>
      </c>
      <c r="B918" s="1" t="n">
        <v>44849</v>
      </c>
      <c r="C918" s="1" t="n">
        <v>45507</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46966-2022</t>
        </is>
      </c>
      <c r="B919" s="1" t="n">
        <v>44852</v>
      </c>
      <c r="C919" s="1" t="n">
        <v>45507</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47183-2022</t>
        </is>
      </c>
      <c r="B920" s="1" t="n">
        <v>44851</v>
      </c>
      <c r="C920" s="1" t="n">
        <v>45507</v>
      </c>
      <c r="D920" t="inlineStr">
        <is>
          <t>JÄMTLANDS LÄN</t>
        </is>
      </c>
      <c r="E920" t="inlineStr">
        <is>
          <t>BRÄCKE</t>
        </is>
      </c>
      <c r="G920" t="n">
        <v>2</v>
      </c>
      <c r="H920" t="n">
        <v>0</v>
      </c>
      <c r="I920" t="n">
        <v>0</v>
      </c>
      <c r="J920" t="n">
        <v>0</v>
      </c>
      <c r="K920" t="n">
        <v>0</v>
      </c>
      <c r="L920" t="n">
        <v>0</v>
      </c>
      <c r="M920" t="n">
        <v>0</v>
      </c>
      <c r="N920" t="n">
        <v>0</v>
      </c>
      <c r="O920" t="n">
        <v>0</v>
      </c>
      <c r="P920" t="n">
        <v>0</v>
      </c>
      <c r="Q920" t="n">
        <v>0</v>
      </c>
      <c r="R920" s="2" t="inlineStr"/>
    </row>
    <row r="921" ht="15" customHeight="1">
      <c r="A921" t="inlineStr">
        <is>
          <t>A 47257-2022</t>
        </is>
      </c>
      <c r="B921" s="1" t="n">
        <v>44852</v>
      </c>
      <c r="C921" s="1" t="n">
        <v>45507</v>
      </c>
      <c r="D921" t="inlineStr">
        <is>
          <t>JÄMTLANDS LÄN</t>
        </is>
      </c>
      <c r="E921" t="inlineStr">
        <is>
          <t>BRÄCKE</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47256-2022</t>
        </is>
      </c>
      <c r="B922" s="1" t="n">
        <v>44853</v>
      </c>
      <c r="C922" s="1" t="n">
        <v>45507</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47264-2022</t>
        </is>
      </c>
      <c r="B923" s="1" t="n">
        <v>44853</v>
      </c>
      <c r="C923" s="1" t="n">
        <v>45507</v>
      </c>
      <c r="D923" t="inlineStr">
        <is>
          <t>JÄMTLANDS LÄN</t>
        </is>
      </c>
      <c r="E923" t="inlineStr">
        <is>
          <t>BRÄCKE</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47298-2022</t>
        </is>
      </c>
      <c r="B924" s="1" t="n">
        <v>44852</v>
      </c>
      <c r="C924" s="1" t="n">
        <v>45507</v>
      </c>
      <c r="D924" t="inlineStr">
        <is>
          <t>JÄMTLANDS LÄN</t>
        </is>
      </c>
      <c r="E924" t="inlineStr">
        <is>
          <t>BRÄCKE</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47561-2022</t>
        </is>
      </c>
      <c r="B925" s="1" t="n">
        <v>44854</v>
      </c>
      <c r="C925" s="1" t="n">
        <v>45507</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47574-2022</t>
        </is>
      </c>
      <c r="B926" s="1" t="n">
        <v>44853</v>
      </c>
      <c r="C926" s="1" t="n">
        <v>45507</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48517-2022</t>
        </is>
      </c>
      <c r="B927" s="1" t="n">
        <v>44859</v>
      </c>
      <c r="C927" s="1" t="n">
        <v>45507</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48499-2022</t>
        </is>
      </c>
      <c r="B928" s="1" t="n">
        <v>44859</v>
      </c>
      <c r="C928" s="1" t="n">
        <v>45507</v>
      </c>
      <c r="D928" t="inlineStr">
        <is>
          <t>JÄMTLANDS LÄN</t>
        </is>
      </c>
      <c r="E928" t="inlineStr">
        <is>
          <t>BRÄCKE</t>
        </is>
      </c>
      <c r="G928" t="n">
        <v>2.7</v>
      </c>
      <c r="H928" t="n">
        <v>0</v>
      </c>
      <c r="I928" t="n">
        <v>0</v>
      </c>
      <c r="J928" t="n">
        <v>0</v>
      </c>
      <c r="K928" t="n">
        <v>0</v>
      </c>
      <c r="L928" t="n">
        <v>0</v>
      </c>
      <c r="M928" t="n">
        <v>0</v>
      </c>
      <c r="N928" t="n">
        <v>0</v>
      </c>
      <c r="O928" t="n">
        <v>0</v>
      </c>
      <c r="P928" t="n">
        <v>0</v>
      </c>
      <c r="Q928" t="n">
        <v>0</v>
      </c>
      <c r="R928" s="2" t="inlineStr"/>
    </row>
    <row r="929" ht="15" customHeight="1">
      <c r="A929" t="inlineStr">
        <is>
          <t>A 48555-2022</t>
        </is>
      </c>
      <c r="B929" s="1" t="n">
        <v>44859</v>
      </c>
      <c r="C929" s="1" t="n">
        <v>45507</v>
      </c>
      <c r="D929" t="inlineStr">
        <is>
          <t>JÄMTLANDS LÄN</t>
        </is>
      </c>
      <c r="E929" t="inlineStr">
        <is>
          <t>BRÄCKE</t>
        </is>
      </c>
      <c r="G929" t="n">
        <v>1.6</v>
      </c>
      <c r="H929" t="n">
        <v>0</v>
      </c>
      <c r="I929" t="n">
        <v>0</v>
      </c>
      <c r="J929" t="n">
        <v>0</v>
      </c>
      <c r="K929" t="n">
        <v>0</v>
      </c>
      <c r="L929" t="n">
        <v>0</v>
      </c>
      <c r="M929" t="n">
        <v>0</v>
      </c>
      <c r="N929" t="n">
        <v>0</v>
      </c>
      <c r="O929" t="n">
        <v>0</v>
      </c>
      <c r="P929" t="n">
        <v>0</v>
      </c>
      <c r="Q929" t="n">
        <v>0</v>
      </c>
      <c r="R929" s="2" t="inlineStr"/>
    </row>
    <row r="930" ht="15" customHeight="1">
      <c r="A930" t="inlineStr">
        <is>
          <t>A 48928-2022</t>
        </is>
      </c>
      <c r="B930" s="1" t="n">
        <v>44860</v>
      </c>
      <c r="C930" s="1" t="n">
        <v>45507</v>
      </c>
      <c r="D930" t="inlineStr">
        <is>
          <t>JÄMTLANDS LÄN</t>
        </is>
      </c>
      <c r="E930" t="inlineStr">
        <is>
          <t>BRÄCKE</t>
        </is>
      </c>
      <c r="F930" t="inlineStr">
        <is>
          <t>SCA</t>
        </is>
      </c>
      <c r="G930" t="n">
        <v>8.6</v>
      </c>
      <c r="H930" t="n">
        <v>0</v>
      </c>
      <c r="I930" t="n">
        <v>0</v>
      </c>
      <c r="J930" t="n">
        <v>0</v>
      </c>
      <c r="K930" t="n">
        <v>0</v>
      </c>
      <c r="L930" t="n">
        <v>0</v>
      </c>
      <c r="M930" t="n">
        <v>0</v>
      </c>
      <c r="N930" t="n">
        <v>0</v>
      </c>
      <c r="O930" t="n">
        <v>0</v>
      </c>
      <c r="P930" t="n">
        <v>0</v>
      </c>
      <c r="Q930" t="n">
        <v>0</v>
      </c>
      <c r="R930" s="2" t="inlineStr"/>
    </row>
    <row r="931" ht="15" customHeight="1">
      <c r="A931" t="inlineStr">
        <is>
          <t>A 48816-2022</t>
        </is>
      </c>
      <c r="B931" s="1" t="n">
        <v>44859</v>
      </c>
      <c r="C931" s="1" t="n">
        <v>45507</v>
      </c>
      <c r="D931" t="inlineStr">
        <is>
          <t>JÄMTLANDS LÄN</t>
        </is>
      </c>
      <c r="E931" t="inlineStr">
        <is>
          <t>BRÄCKE</t>
        </is>
      </c>
      <c r="G931" t="n">
        <v>13.3</v>
      </c>
      <c r="H931" t="n">
        <v>0</v>
      </c>
      <c r="I931" t="n">
        <v>0</v>
      </c>
      <c r="J931" t="n">
        <v>0</v>
      </c>
      <c r="K931" t="n">
        <v>0</v>
      </c>
      <c r="L931" t="n">
        <v>0</v>
      </c>
      <c r="M931" t="n">
        <v>0</v>
      </c>
      <c r="N931" t="n">
        <v>0</v>
      </c>
      <c r="O931" t="n">
        <v>0</v>
      </c>
      <c r="P931" t="n">
        <v>0</v>
      </c>
      <c r="Q931" t="n">
        <v>0</v>
      </c>
      <c r="R931" s="2" t="inlineStr"/>
    </row>
    <row r="932" ht="15" customHeight="1">
      <c r="A932" t="inlineStr">
        <is>
          <t>A 48927-2022</t>
        </is>
      </c>
      <c r="B932" s="1" t="n">
        <v>44860</v>
      </c>
      <c r="C932" s="1" t="n">
        <v>45507</v>
      </c>
      <c r="D932" t="inlineStr">
        <is>
          <t>JÄMTLANDS LÄN</t>
        </is>
      </c>
      <c r="E932" t="inlineStr">
        <is>
          <t>BRÄCKE</t>
        </is>
      </c>
      <c r="F932" t="inlineStr">
        <is>
          <t>SCA</t>
        </is>
      </c>
      <c r="G932" t="n">
        <v>4.3</v>
      </c>
      <c r="H932" t="n">
        <v>0</v>
      </c>
      <c r="I932" t="n">
        <v>0</v>
      </c>
      <c r="J932" t="n">
        <v>0</v>
      </c>
      <c r="K932" t="n">
        <v>0</v>
      </c>
      <c r="L932" t="n">
        <v>0</v>
      </c>
      <c r="M932" t="n">
        <v>0</v>
      </c>
      <c r="N932" t="n">
        <v>0</v>
      </c>
      <c r="O932" t="n">
        <v>0</v>
      </c>
      <c r="P932" t="n">
        <v>0</v>
      </c>
      <c r="Q932" t="n">
        <v>0</v>
      </c>
      <c r="R932" s="2" t="inlineStr"/>
    </row>
    <row r="933" ht="15" customHeight="1">
      <c r="A933" t="inlineStr">
        <is>
          <t>A 49191-2022</t>
        </is>
      </c>
      <c r="B933" s="1" t="n">
        <v>44861</v>
      </c>
      <c r="C933" s="1" t="n">
        <v>45507</v>
      </c>
      <c r="D933" t="inlineStr">
        <is>
          <t>JÄMTLANDS LÄN</t>
        </is>
      </c>
      <c r="E933" t="inlineStr">
        <is>
          <t>BRÄCKE</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49523-2022</t>
        </is>
      </c>
      <c r="B934" s="1" t="n">
        <v>44862</v>
      </c>
      <c r="C934" s="1" t="n">
        <v>45507</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49516-2022</t>
        </is>
      </c>
      <c r="B935" s="1" t="n">
        <v>44862</v>
      </c>
      <c r="C935" s="1" t="n">
        <v>45507</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49839-2022</t>
        </is>
      </c>
      <c r="B936" s="1" t="n">
        <v>44863</v>
      </c>
      <c r="C936" s="1" t="n">
        <v>45507</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49858-2022</t>
        </is>
      </c>
      <c r="B937" s="1" t="n">
        <v>44862</v>
      </c>
      <c r="C937" s="1" t="n">
        <v>45507</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49838-2022</t>
        </is>
      </c>
      <c r="B938" s="1" t="n">
        <v>44863</v>
      </c>
      <c r="C938" s="1" t="n">
        <v>45507</v>
      </c>
      <c r="D938" t="inlineStr">
        <is>
          <t>JÄMTLANDS LÄN</t>
        </is>
      </c>
      <c r="E938" t="inlineStr">
        <is>
          <t>BRÄCKE</t>
        </is>
      </c>
      <c r="G938" t="n">
        <v>1.1</v>
      </c>
      <c r="H938" t="n">
        <v>0</v>
      </c>
      <c r="I938" t="n">
        <v>0</v>
      </c>
      <c r="J938" t="n">
        <v>0</v>
      </c>
      <c r="K938" t="n">
        <v>0</v>
      </c>
      <c r="L938" t="n">
        <v>0</v>
      </c>
      <c r="M938" t="n">
        <v>0</v>
      </c>
      <c r="N938" t="n">
        <v>0</v>
      </c>
      <c r="O938" t="n">
        <v>0</v>
      </c>
      <c r="P938" t="n">
        <v>0</v>
      </c>
      <c r="Q938" t="n">
        <v>0</v>
      </c>
      <c r="R938" s="2" t="inlineStr"/>
    </row>
    <row r="939" ht="15" customHeight="1">
      <c r="A939" t="inlineStr">
        <is>
          <t>A 49864-2022</t>
        </is>
      </c>
      <c r="B939" s="1" t="n">
        <v>44862</v>
      </c>
      <c r="C939" s="1" t="n">
        <v>45507</v>
      </c>
      <c r="D939" t="inlineStr">
        <is>
          <t>JÄMTLANDS LÄN</t>
        </is>
      </c>
      <c r="E939" t="inlineStr">
        <is>
          <t>BRÄCKE</t>
        </is>
      </c>
      <c r="F939" t="inlineStr">
        <is>
          <t>SCA</t>
        </is>
      </c>
      <c r="G939" t="n">
        <v>9</v>
      </c>
      <c r="H939" t="n">
        <v>0</v>
      </c>
      <c r="I939" t="n">
        <v>0</v>
      </c>
      <c r="J939" t="n">
        <v>0</v>
      </c>
      <c r="K939" t="n">
        <v>0</v>
      </c>
      <c r="L939" t="n">
        <v>0</v>
      </c>
      <c r="M939" t="n">
        <v>0</v>
      </c>
      <c r="N939" t="n">
        <v>0</v>
      </c>
      <c r="O939" t="n">
        <v>0</v>
      </c>
      <c r="P939" t="n">
        <v>0</v>
      </c>
      <c r="Q939" t="n">
        <v>0</v>
      </c>
      <c r="R939" s="2" t="inlineStr"/>
    </row>
    <row r="940" ht="15" customHeight="1">
      <c r="A940" t="inlineStr">
        <is>
          <t>A 49853-2022</t>
        </is>
      </c>
      <c r="B940" s="1" t="n">
        <v>44863</v>
      </c>
      <c r="C940" s="1" t="n">
        <v>45507</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49861-2022</t>
        </is>
      </c>
      <c r="B941" s="1" t="n">
        <v>44862</v>
      </c>
      <c r="C941" s="1" t="n">
        <v>45507</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50323-2022</t>
        </is>
      </c>
      <c r="B942" s="1" t="n">
        <v>44865</v>
      </c>
      <c r="C942" s="1" t="n">
        <v>45507</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50333-2022</t>
        </is>
      </c>
      <c r="B943" s="1" t="n">
        <v>44865</v>
      </c>
      <c r="C943" s="1" t="n">
        <v>45507</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50334-2022</t>
        </is>
      </c>
      <c r="B944" s="1" t="n">
        <v>44865</v>
      </c>
      <c r="C944" s="1" t="n">
        <v>45507</v>
      </c>
      <c r="D944" t="inlineStr">
        <is>
          <t>JÄMTLANDS LÄN</t>
        </is>
      </c>
      <c r="E944" t="inlineStr">
        <is>
          <t>BRÄCKE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51152-2022</t>
        </is>
      </c>
      <c r="B945" s="1" t="n">
        <v>44865</v>
      </c>
      <c r="C945" s="1" t="n">
        <v>45507</v>
      </c>
      <c r="D945" t="inlineStr">
        <is>
          <t>JÄMTLANDS LÄN</t>
        </is>
      </c>
      <c r="E945" t="inlineStr">
        <is>
          <t>BRÄCKE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51270-2022</t>
        </is>
      </c>
      <c r="B946" s="1" t="n">
        <v>44866</v>
      </c>
      <c r="C946" s="1" t="n">
        <v>45507</v>
      </c>
      <c r="D946" t="inlineStr">
        <is>
          <t>JÄMTLANDS LÄN</t>
        </is>
      </c>
      <c r="E946" t="inlineStr">
        <is>
          <t>BRÄCKE</t>
        </is>
      </c>
      <c r="F946" t="inlineStr">
        <is>
          <t>Kommuner</t>
        </is>
      </c>
      <c r="G946" t="n">
        <v>2.2</v>
      </c>
      <c r="H946" t="n">
        <v>0</v>
      </c>
      <c r="I946" t="n">
        <v>0</v>
      </c>
      <c r="J946" t="n">
        <v>0</v>
      </c>
      <c r="K946" t="n">
        <v>0</v>
      </c>
      <c r="L946" t="n">
        <v>0</v>
      </c>
      <c r="M946" t="n">
        <v>0</v>
      </c>
      <c r="N946" t="n">
        <v>0</v>
      </c>
      <c r="O946" t="n">
        <v>0</v>
      </c>
      <c r="P946" t="n">
        <v>0</v>
      </c>
      <c r="Q946" t="n">
        <v>0</v>
      </c>
      <c r="R946" s="2" t="inlineStr"/>
    </row>
    <row r="947" ht="15" customHeight="1">
      <c r="A947" t="inlineStr">
        <is>
          <t>A 51022-2022</t>
        </is>
      </c>
      <c r="B947" s="1" t="n">
        <v>44867</v>
      </c>
      <c r="C947" s="1" t="n">
        <v>45507</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51020-2022</t>
        </is>
      </c>
      <c r="B948" s="1" t="n">
        <v>44867</v>
      </c>
      <c r="C948" s="1" t="n">
        <v>45507</v>
      </c>
      <c r="D948" t="inlineStr">
        <is>
          <t>JÄMTLANDS LÄN</t>
        </is>
      </c>
      <c r="E948" t="inlineStr">
        <is>
          <t>BRÄCKE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51558-2022</t>
        </is>
      </c>
      <c r="B949" s="1" t="n">
        <v>44869</v>
      </c>
      <c r="C949" s="1" t="n">
        <v>45507</v>
      </c>
      <c r="D949" t="inlineStr">
        <is>
          <t>JÄMTLANDS LÄN</t>
        </is>
      </c>
      <c r="E949" t="inlineStr">
        <is>
          <t>BRÄCKE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51559-2022</t>
        </is>
      </c>
      <c r="B950" s="1" t="n">
        <v>44869</v>
      </c>
      <c r="C950" s="1" t="n">
        <v>45507</v>
      </c>
      <c r="D950" t="inlineStr">
        <is>
          <t>JÄMTLANDS LÄN</t>
        </is>
      </c>
      <c r="E950" t="inlineStr">
        <is>
          <t>BRÄCKE</t>
        </is>
      </c>
      <c r="F950" t="inlineStr">
        <is>
          <t>SCA</t>
        </is>
      </c>
      <c r="G950" t="n">
        <v>21.1</v>
      </c>
      <c r="H950" t="n">
        <v>0</v>
      </c>
      <c r="I950" t="n">
        <v>0</v>
      </c>
      <c r="J950" t="n">
        <v>0</v>
      </c>
      <c r="K950" t="n">
        <v>0</v>
      </c>
      <c r="L950" t="n">
        <v>0</v>
      </c>
      <c r="M950" t="n">
        <v>0</v>
      </c>
      <c r="N950" t="n">
        <v>0</v>
      </c>
      <c r="O950" t="n">
        <v>0</v>
      </c>
      <c r="P950" t="n">
        <v>0</v>
      </c>
      <c r="Q950" t="n">
        <v>0</v>
      </c>
      <c r="R950" s="2" t="inlineStr"/>
    </row>
    <row r="951" ht="15" customHeight="1">
      <c r="A951" t="inlineStr">
        <is>
          <t>A 51787-2022</t>
        </is>
      </c>
      <c r="B951" s="1" t="n">
        <v>44872</v>
      </c>
      <c r="C951" s="1" t="n">
        <v>45507</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52021-2022</t>
        </is>
      </c>
      <c r="B952" s="1" t="n">
        <v>44872</v>
      </c>
      <c r="C952" s="1" t="n">
        <v>45507</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52023-2022</t>
        </is>
      </c>
      <c r="B953" s="1" t="n">
        <v>44872</v>
      </c>
      <c r="C953" s="1" t="n">
        <v>45507</v>
      </c>
      <c r="D953" t="inlineStr">
        <is>
          <t>JÄMTLANDS LÄN</t>
        </is>
      </c>
      <c r="E953" t="inlineStr">
        <is>
          <t>BRÄCKE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52022-2022</t>
        </is>
      </c>
      <c r="B954" s="1" t="n">
        <v>44872</v>
      </c>
      <c r="C954" s="1" t="n">
        <v>45507</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52844-2022</t>
        </is>
      </c>
      <c r="B955" s="1" t="n">
        <v>44872</v>
      </c>
      <c r="C955" s="1" t="n">
        <v>45507</v>
      </c>
      <c r="D955" t="inlineStr">
        <is>
          <t>JÄMTLANDS LÄN</t>
        </is>
      </c>
      <c r="E955" t="inlineStr">
        <is>
          <t>BRÄCKE</t>
        </is>
      </c>
      <c r="G955" t="n">
        <v>9.5</v>
      </c>
      <c r="H955" t="n">
        <v>0</v>
      </c>
      <c r="I955" t="n">
        <v>0</v>
      </c>
      <c r="J955" t="n">
        <v>0</v>
      </c>
      <c r="K955" t="n">
        <v>0</v>
      </c>
      <c r="L955" t="n">
        <v>0</v>
      </c>
      <c r="M955" t="n">
        <v>0</v>
      </c>
      <c r="N955" t="n">
        <v>0</v>
      </c>
      <c r="O955" t="n">
        <v>0</v>
      </c>
      <c r="P955" t="n">
        <v>0</v>
      </c>
      <c r="Q955" t="n">
        <v>0</v>
      </c>
      <c r="R955" s="2" t="inlineStr"/>
    </row>
    <row r="956" ht="15" customHeight="1">
      <c r="A956" t="inlineStr">
        <is>
          <t>A 52031-2022</t>
        </is>
      </c>
      <c r="B956" s="1" t="n">
        <v>44872</v>
      </c>
      <c r="C956" s="1" t="n">
        <v>45507</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52300-2022</t>
        </is>
      </c>
      <c r="B957" s="1" t="n">
        <v>44873</v>
      </c>
      <c r="C957" s="1" t="n">
        <v>45507</v>
      </c>
      <c r="D957" t="inlineStr">
        <is>
          <t>JÄMTLANDS LÄN</t>
        </is>
      </c>
      <c r="E957" t="inlineStr">
        <is>
          <t>BRÄCKE</t>
        </is>
      </c>
      <c r="G957" t="n">
        <v>7.6</v>
      </c>
      <c r="H957" t="n">
        <v>0</v>
      </c>
      <c r="I957" t="n">
        <v>0</v>
      </c>
      <c r="J957" t="n">
        <v>0</v>
      </c>
      <c r="K957" t="n">
        <v>0</v>
      </c>
      <c r="L957" t="n">
        <v>0</v>
      </c>
      <c r="M957" t="n">
        <v>0</v>
      </c>
      <c r="N957" t="n">
        <v>0</v>
      </c>
      <c r="O957" t="n">
        <v>0</v>
      </c>
      <c r="P957" t="n">
        <v>0</v>
      </c>
      <c r="Q957" t="n">
        <v>0</v>
      </c>
      <c r="R957" s="2" t="inlineStr"/>
    </row>
    <row r="958" ht="15" customHeight="1">
      <c r="A958" t="inlineStr">
        <is>
          <t>A 53113-2022</t>
        </is>
      </c>
      <c r="B958" s="1" t="n">
        <v>44873</v>
      </c>
      <c r="C958" s="1" t="n">
        <v>45507</v>
      </c>
      <c r="D958" t="inlineStr">
        <is>
          <t>JÄMTLANDS LÄN</t>
        </is>
      </c>
      <c r="E958" t="inlineStr">
        <is>
          <t>BRÄCKE</t>
        </is>
      </c>
      <c r="G958" t="n">
        <v>1.3</v>
      </c>
      <c r="H958" t="n">
        <v>0</v>
      </c>
      <c r="I958" t="n">
        <v>0</v>
      </c>
      <c r="J958" t="n">
        <v>0</v>
      </c>
      <c r="K958" t="n">
        <v>0</v>
      </c>
      <c r="L958" t="n">
        <v>0</v>
      </c>
      <c r="M958" t="n">
        <v>0</v>
      </c>
      <c r="N958" t="n">
        <v>0</v>
      </c>
      <c r="O958" t="n">
        <v>0</v>
      </c>
      <c r="P958" t="n">
        <v>0</v>
      </c>
      <c r="Q958" t="n">
        <v>0</v>
      </c>
      <c r="R958" s="2" t="inlineStr"/>
    </row>
    <row r="959" ht="15" customHeight="1">
      <c r="A959" t="inlineStr">
        <is>
          <t>A 52433-2022</t>
        </is>
      </c>
      <c r="B959" s="1" t="n">
        <v>44874</v>
      </c>
      <c r="C959" s="1" t="n">
        <v>45507</v>
      </c>
      <c r="D959" t="inlineStr">
        <is>
          <t>JÄMTLANDS LÄN</t>
        </is>
      </c>
      <c r="E959" t="inlineStr">
        <is>
          <t>BRÄCKE</t>
        </is>
      </c>
      <c r="G959" t="n">
        <v>8</v>
      </c>
      <c r="H959" t="n">
        <v>0</v>
      </c>
      <c r="I959" t="n">
        <v>0</v>
      </c>
      <c r="J959" t="n">
        <v>0</v>
      </c>
      <c r="K959" t="n">
        <v>0</v>
      </c>
      <c r="L959" t="n">
        <v>0</v>
      </c>
      <c r="M959" t="n">
        <v>0</v>
      </c>
      <c r="N959" t="n">
        <v>0</v>
      </c>
      <c r="O959" t="n">
        <v>0</v>
      </c>
      <c r="P959" t="n">
        <v>0</v>
      </c>
      <c r="Q959" t="n">
        <v>0</v>
      </c>
      <c r="R959" s="2" t="inlineStr"/>
    </row>
    <row r="960" ht="15" customHeight="1">
      <c r="A960" t="inlineStr">
        <is>
          <t>A 52712-2022</t>
        </is>
      </c>
      <c r="B960" s="1" t="n">
        <v>44874</v>
      </c>
      <c r="C960" s="1" t="n">
        <v>45507</v>
      </c>
      <c r="D960" t="inlineStr">
        <is>
          <t>JÄMTLANDS LÄN</t>
        </is>
      </c>
      <c r="E960" t="inlineStr">
        <is>
          <t>BRÄCKE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52721-2022</t>
        </is>
      </c>
      <c r="B961" s="1" t="n">
        <v>44874</v>
      </c>
      <c r="C961" s="1" t="n">
        <v>45507</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52713-2022</t>
        </is>
      </c>
      <c r="B962" s="1" t="n">
        <v>44874</v>
      </c>
      <c r="C962" s="1" t="n">
        <v>45507</v>
      </c>
      <c r="D962" t="inlineStr">
        <is>
          <t>JÄMTLANDS LÄN</t>
        </is>
      </c>
      <c r="E962" t="inlineStr">
        <is>
          <t>BRÄCKE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52722-2022</t>
        </is>
      </c>
      <c r="B963" s="1" t="n">
        <v>44874</v>
      </c>
      <c r="C963" s="1" t="n">
        <v>45507</v>
      </c>
      <c r="D963" t="inlineStr">
        <is>
          <t>JÄMTLANDS LÄN</t>
        </is>
      </c>
      <c r="E963" t="inlineStr">
        <is>
          <t>BRÄCKE</t>
        </is>
      </c>
      <c r="G963" t="n">
        <v>1.4</v>
      </c>
      <c r="H963" t="n">
        <v>0</v>
      </c>
      <c r="I963" t="n">
        <v>0</v>
      </c>
      <c r="J963" t="n">
        <v>0</v>
      </c>
      <c r="K963" t="n">
        <v>0</v>
      </c>
      <c r="L963" t="n">
        <v>0</v>
      </c>
      <c r="M963" t="n">
        <v>0</v>
      </c>
      <c r="N963" t="n">
        <v>0</v>
      </c>
      <c r="O963" t="n">
        <v>0</v>
      </c>
      <c r="P963" t="n">
        <v>0</v>
      </c>
      <c r="Q963" t="n">
        <v>0</v>
      </c>
      <c r="R963" s="2" t="inlineStr"/>
    </row>
    <row r="964" ht="15" customHeight="1">
      <c r="A964" t="inlineStr">
        <is>
          <t>A 52714-2022</t>
        </is>
      </c>
      <c r="B964" s="1" t="n">
        <v>44874</v>
      </c>
      <c r="C964" s="1" t="n">
        <v>45507</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52724-2022</t>
        </is>
      </c>
      <c r="B965" s="1" t="n">
        <v>44874</v>
      </c>
      <c r="C965" s="1" t="n">
        <v>45507</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53407-2022</t>
        </is>
      </c>
      <c r="B966" s="1" t="n">
        <v>44874</v>
      </c>
      <c r="C966" s="1" t="n">
        <v>45507</v>
      </c>
      <c r="D966" t="inlineStr">
        <is>
          <t>JÄMTLANDS LÄN</t>
        </is>
      </c>
      <c r="E966" t="inlineStr">
        <is>
          <t>BRÄCKE</t>
        </is>
      </c>
      <c r="G966" t="n">
        <v>1.8</v>
      </c>
      <c r="H966" t="n">
        <v>0</v>
      </c>
      <c r="I966" t="n">
        <v>0</v>
      </c>
      <c r="J966" t="n">
        <v>0</v>
      </c>
      <c r="K966" t="n">
        <v>0</v>
      </c>
      <c r="L966" t="n">
        <v>0</v>
      </c>
      <c r="M966" t="n">
        <v>0</v>
      </c>
      <c r="N966" t="n">
        <v>0</v>
      </c>
      <c r="O966" t="n">
        <v>0</v>
      </c>
      <c r="P966" t="n">
        <v>0</v>
      </c>
      <c r="Q966" t="n">
        <v>0</v>
      </c>
      <c r="R966" s="2" t="inlineStr"/>
    </row>
    <row r="967" ht="15" customHeight="1">
      <c r="A967" t="inlineStr">
        <is>
          <t>A 52846-2022</t>
        </is>
      </c>
      <c r="B967" s="1" t="n">
        <v>44875</v>
      </c>
      <c r="C967" s="1" t="n">
        <v>45507</v>
      </c>
      <c r="D967" t="inlineStr">
        <is>
          <t>JÄMTLANDS LÄN</t>
        </is>
      </c>
      <c r="E967" t="inlineStr">
        <is>
          <t>BRÄCKE</t>
        </is>
      </c>
      <c r="F967" t="inlineStr">
        <is>
          <t>Övriga Aktiebolag</t>
        </is>
      </c>
      <c r="G967" t="n">
        <v>13.1</v>
      </c>
      <c r="H967" t="n">
        <v>0</v>
      </c>
      <c r="I967" t="n">
        <v>0</v>
      </c>
      <c r="J967" t="n">
        <v>0</v>
      </c>
      <c r="K967" t="n">
        <v>0</v>
      </c>
      <c r="L967" t="n">
        <v>0</v>
      </c>
      <c r="M967" t="n">
        <v>0</v>
      </c>
      <c r="N967" t="n">
        <v>0</v>
      </c>
      <c r="O967" t="n">
        <v>0</v>
      </c>
      <c r="P967" t="n">
        <v>0</v>
      </c>
      <c r="Q967" t="n">
        <v>0</v>
      </c>
      <c r="R967" s="2" t="inlineStr"/>
    </row>
    <row r="968" ht="15" customHeight="1">
      <c r="A968" t="inlineStr">
        <is>
          <t>A 52983-2022</t>
        </is>
      </c>
      <c r="B968" s="1" t="n">
        <v>44875</v>
      </c>
      <c r="C968" s="1" t="n">
        <v>45507</v>
      </c>
      <c r="D968" t="inlineStr">
        <is>
          <t>JÄMTLANDS LÄN</t>
        </is>
      </c>
      <c r="E968" t="inlineStr">
        <is>
          <t>BRÄCKE</t>
        </is>
      </c>
      <c r="G968" t="n">
        <v>7.6</v>
      </c>
      <c r="H968" t="n">
        <v>0</v>
      </c>
      <c r="I968" t="n">
        <v>0</v>
      </c>
      <c r="J968" t="n">
        <v>0</v>
      </c>
      <c r="K968" t="n">
        <v>0</v>
      </c>
      <c r="L968" t="n">
        <v>0</v>
      </c>
      <c r="M968" t="n">
        <v>0</v>
      </c>
      <c r="N968" t="n">
        <v>0</v>
      </c>
      <c r="O968" t="n">
        <v>0</v>
      </c>
      <c r="P968" t="n">
        <v>0</v>
      </c>
      <c r="Q968" t="n">
        <v>0</v>
      </c>
      <c r="R968" s="2" t="inlineStr"/>
    </row>
    <row r="969" ht="15" customHeight="1">
      <c r="A969" t="inlineStr">
        <is>
          <t>A 53026-2022</t>
        </is>
      </c>
      <c r="B969" s="1" t="n">
        <v>44875</v>
      </c>
      <c r="C969" s="1" t="n">
        <v>45507</v>
      </c>
      <c r="D969" t="inlineStr">
        <is>
          <t>JÄMTLANDS LÄN</t>
        </is>
      </c>
      <c r="E969" t="inlineStr">
        <is>
          <t>BRÄCKE</t>
        </is>
      </c>
      <c r="F969" t="inlineStr">
        <is>
          <t>Naturvårdsverket</t>
        </is>
      </c>
      <c r="G969" t="n">
        <v>69.90000000000001</v>
      </c>
      <c r="H969" t="n">
        <v>0</v>
      </c>
      <c r="I969" t="n">
        <v>0</v>
      </c>
      <c r="J969" t="n">
        <v>0</v>
      </c>
      <c r="K969" t="n">
        <v>0</v>
      </c>
      <c r="L969" t="n">
        <v>0</v>
      </c>
      <c r="M969" t="n">
        <v>0</v>
      </c>
      <c r="N969" t="n">
        <v>0</v>
      </c>
      <c r="O969" t="n">
        <v>0</v>
      </c>
      <c r="P969" t="n">
        <v>0</v>
      </c>
      <c r="Q969" t="n">
        <v>0</v>
      </c>
      <c r="R969" s="2" t="inlineStr"/>
    </row>
    <row r="970" ht="15" customHeight="1">
      <c r="A970" t="inlineStr">
        <is>
          <t>A 53276-2022</t>
        </is>
      </c>
      <c r="B970" s="1" t="n">
        <v>44876</v>
      </c>
      <c r="C970" s="1" t="n">
        <v>45507</v>
      </c>
      <c r="D970" t="inlineStr">
        <is>
          <t>JÄMTLANDS LÄN</t>
        </is>
      </c>
      <c r="E970" t="inlineStr">
        <is>
          <t>BRÄCKE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53281-2022</t>
        </is>
      </c>
      <c r="B971" s="1" t="n">
        <v>44876</v>
      </c>
      <c r="C971" s="1" t="n">
        <v>45507</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53274-2022</t>
        </is>
      </c>
      <c r="B972" s="1" t="n">
        <v>44876</v>
      </c>
      <c r="C972" s="1" t="n">
        <v>45507</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53283-2022</t>
        </is>
      </c>
      <c r="B973" s="1" t="n">
        <v>44876</v>
      </c>
      <c r="C973" s="1" t="n">
        <v>45507</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53278-2022</t>
        </is>
      </c>
      <c r="B974" s="1" t="n">
        <v>44876</v>
      </c>
      <c r="C974" s="1" t="n">
        <v>45507</v>
      </c>
      <c r="D974" t="inlineStr">
        <is>
          <t>JÄMTLANDS LÄN</t>
        </is>
      </c>
      <c r="E974" t="inlineStr">
        <is>
          <t>BRÄCKE</t>
        </is>
      </c>
      <c r="G974" t="n">
        <v>2</v>
      </c>
      <c r="H974" t="n">
        <v>0</v>
      </c>
      <c r="I974" t="n">
        <v>0</v>
      </c>
      <c r="J974" t="n">
        <v>0</v>
      </c>
      <c r="K974" t="n">
        <v>0</v>
      </c>
      <c r="L974" t="n">
        <v>0</v>
      </c>
      <c r="M974" t="n">
        <v>0</v>
      </c>
      <c r="N974" t="n">
        <v>0</v>
      </c>
      <c r="O974" t="n">
        <v>0</v>
      </c>
      <c r="P974" t="n">
        <v>0</v>
      </c>
      <c r="Q974" t="n">
        <v>0</v>
      </c>
      <c r="R974" s="2" t="inlineStr"/>
    </row>
    <row r="975" ht="15" customHeight="1">
      <c r="A975" t="inlineStr">
        <is>
          <t>A 54274-2022</t>
        </is>
      </c>
      <c r="B975" s="1" t="n">
        <v>44879</v>
      </c>
      <c r="C975" s="1" t="n">
        <v>45507</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53662-2022</t>
        </is>
      </c>
      <c r="B976" s="1" t="n">
        <v>44879</v>
      </c>
      <c r="C976" s="1" t="n">
        <v>45507</v>
      </c>
      <c r="D976" t="inlineStr">
        <is>
          <t>JÄMTLANDS LÄN</t>
        </is>
      </c>
      <c r="E976" t="inlineStr">
        <is>
          <t>BRÄCKE</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53941-2022</t>
        </is>
      </c>
      <c r="B977" s="1" t="n">
        <v>44880</v>
      </c>
      <c r="C977" s="1" t="n">
        <v>45507</v>
      </c>
      <c r="D977" t="inlineStr">
        <is>
          <t>JÄMTLANDS LÄN</t>
        </is>
      </c>
      <c r="E977" t="inlineStr">
        <is>
          <t>BRÄCKE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54243-2022</t>
        </is>
      </c>
      <c r="B978" s="1" t="n">
        <v>44881</v>
      </c>
      <c r="C978" s="1" t="n">
        <v>45507</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54520-2022</t>
        </is>
      </c>
      <c r="B979" s="1" t="n">
        <v>44882</v>
      </c>
      <c r="C979" s="1" t="n">
        <v>45507</v>
      </c>
      <c r="D979" t="inlineStr">
        <is>
          <t>JÄMTLANDS LÄN</t>
        </is>
      </c>
      <c r="E979" t="inlineStr">
        <is>
          <t>BRÄCKE</t>
        </is>
      </c>
      <c r="G979" t="n">
        <v>2.9</v>
      </c>
      <c r="H979" t="n">
        <v>0</v>
      </c>
      <c r="I979" t="n">
        <v>0</v>
      </c>
      <c r="J979" t="n">
        <v>0</v>
      </c>
      <c r="K979" t="n">
        <v>0</v>
      </c>
      <c r="L979" t="n">
        <v>0</v>
      </c>
      <c r="M979" t="n">
        <v>0</v>
      </c>
      <c r="N979" t="n">
        <v>0</v>
      </c>
      <c r="O979" t="n">
        <v>0</v>
      </c>
      <c r="P979" t="n">
        <v>0</v>
      </c>
      <c r="Q979" t="n">
        <v>0</v>
      </c>
      <c r="R979" s="2" t="inlineStr"/>
    </row>
    <row r="980" ht="15" customHeight="1">
      <c r="A980" t="inlineStr">
        <is>
          <t>A 54566-2022</t>
        </is>
      </c>
      <c r="B980" s="1" t="n">
        <v>44882</v>
      </c>
      <c r="C980" s="1" t="n">
        <v>45507</v>
      </c>
      <c r="D980" t="inlineStr">
        <is>
          <t>JÄMTLANDS LÄN</t>
        </is>
      </c>
      <c r="E980" t="inlineStr">
        <is>
          <t>BRÄCKE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54524-2022</t>
        </is>
      </c>
      <c r="B981" s="1" t="n">
        <v>44882</v>
      </c>
      <c r="C981" s="1" t="n">
        <v>45507</v>
      </c>
      <c r="D981" t="inlineStr">
        <is>
          <t>JÄMTLANDS LÄN</t>
        </is>
      </c>
      <c r="E981" t="inlineStr">
        <is>
          <t>BRÄCKE</t>
        </is>
      </c>
      <c r="G981" t="n">
        <v>2.4</v>
      </c>
      <c r="H981" t="n">
        <v>0</v>
      </c>
      <c r="I981" t="n">
        <v>0</v>
      </c>
      <c r="J981" t="n">
        <v>0</v>
      </c>
      <c r="K981" t="n">
        <v>0</v>
      </c>
      <c r="L981" t="n">
        <v>0</v>
      </c>
      <c r="M981" t="n">
        <v>0</v>
      </c>
      <c r="N981" t="n">
        <v>0</v>
      </c>
      <c r="O981" t="n">
        <v>0</v>
      </c>
      <c r="P981" t="n">
        <v>0</v>
      </c>
      <c r="Q981" t="n">
        <v>0</v>
      </c>
      <c r="R981" s="2" t="inlineStr"/>
    </row>
    <row r="982" ht="15" customHeight="1">
      <c r="A982" t="inlineStr">
        <is>
          <t>A 54568-2022</t>
        </is>
      </c>
      <c r="B982" s="1" t="n">
        <v>44882</v>
      </c>
      <c r="C982" s="1" t="n">
        <v>45507</v>
      </c>
      <c r="D982" t="inlineStr">
        <is>
          <t>JÄMTLANDS LÄN</t>
        </is>
      </c>
      <c r="E982" t="inlineStr">
        <is>
          <t>BRÄCKE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54565-2022</t>
        </is>
      </c>
      <c r="B983" s="1" t="n">
        <v>44882</v>
      </c>
      <c r="C983" s="1" t="n">
        <v>45507</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54567-2022</t>
        </is>
      </c>
      <c r="B984" s="1" t="n">
        <v>44882</v>
      </c>
      <c r="C984" s="1" t="n">
        <v>45507</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54668-2022</t>
        </is>
      </c>
      <c r="B985" s="1" t="n">
        <v>44883</v>
      </c>
      <c r="C985" s="1" t="n">
        <v>45507</v>
      </c>
      <c r="D985" t="inlineStr">
        <is>
          <t>JÄMTLANDS LÄN</t>
        </is>
      </c>
      <c r="E985" t="inlineStr">
        <is>
          <t>BRÄCKE</t>
        </is>
      </c>
      <c r="G985" t="n">
        <v>2.8</v>
      </c>
      <c r="H985" t="n">
        <v>0</v>
      </c>
      <c r="I985" t="n">
        <v>0</v>
      </c>
      <c r="J985" t="n">
        <v>0</v>
      </c>
      <c r="K985" t="n">
        <v>0</v>
      </c>
      <c r="L985" t="n">
        <v>0</v>
      </c>
      <c r="M985" t="n">
        <v>0</v>
      </c>
      <c r="N985" t="n">
        <v>0</v>
      </c>
      <c r="O985" t="n">
        <v>0</v>
      </c>
      <c r="P985" t="n">
        <v>0</v>
      </c>
      <c r="Q985" t="n">
        <v>0</v>
      </c>
      <c r="R985" s="2" t="inlineStr"/>
    </row>
    <row r="986" ht="15" customHeight="1">
      <c r="A986" t="inlineStr">
        <is>
          <t>A 54829-2022</t>
        </is>
      </c>
      <c r="B986" s="1" t="n">
        <v>44883</v>
      </c>
      <c r="C986" s="1" t="n">
        <v>45507</v>
      </c>
      <c r="D986" t="inlineStr">
        <is>
          <t>JÄMTLANDS LÄN</t>
        </is>
      </c>
      <c r="E986" t="inlineStr">
        <is>
          <t>BRÄCKE</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54840-2022</t>
        </is>
      </c>
      <c r="B987" s="1" t="n">
        <v>44883</v>
      </c>
      <c r="C987" s="1" t="n">
        <v>45507</v>
      </c>
      <c r="D987" t="inlineStr">
        <is>
          <t>JÄMTLANDS LÄN</t>
        </is>
      </c>
      <c r="E987" t="inlineStr">
        <is>
          <t>BRÄCKE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54833-2022</t>
        </is>
      </c>
      <c r="B988" s="1" t="n">
        <v>44883</v>
      </c>
      <c r="C988" s="1" t="n">
        <v>45507</v>
      </c>
      <c r="D988" t="inlineStr">
        <is>
          <t>JÄMTLANDS LÄN</t>
        </is>
      </c>
      <c r="E988" t="inlineStr">
        <is>
          <t>BRÄCKE</t>
        </is>
      </c>
      <c r="F988" t="inlineStr">
        <is>
          <t>SCA</t>
        </is>
      </c>
      <c r="G988" t="n">
        <v>15.2</v>
      </c>
      <c r="H988" t="n">
        <v>0</v>
      </c>
      <c r="I988" t="n">
        <v>0</v>
      </c>
      <c r="J988" t="n">
        <v>0</v>
      </c>
      <c r="K988" t="n">
        <v>0</v>
      </c>
      <c r="L988" t="n">
        <v>0</v>
      </c>
      <c r="M988" t="n">
        <v>0</v>
      </c>
      <c r="N988" t="n">
        <v>0</v>
      </c>
      <c r="O988" t="n">
        <v>0</v>
      </c>
      <c r="P988" t="n">
        <v>0</v>
      </c>
      <c r="Q988" t="n">
        <v>0</v>
      </c>
      <c r="R988" s="2" t="inlineStr"/>
    </row>
    <row r="989" ht="15" customHeight="1">
      <c r="A989" t="inlineStr">
        <is>
          <t>A 55774-2022</t>
        </is>
      </c>
      <c r="B989" s="1" t="n">
        <v>44886</v>
      </c>
      <c r="C989" s="1" t="n">
        <v>45507</v>
      </c>
      <c r="D989" t="inlineStr">
        <is>
          <t>JÄMTLANDS LÄN</t>
        </is>
      </c>
      <c r="E989" t="inlineStr">
        <is>
          <t>BRÄCKE</t>
        </is>
      </c>
      <c r="G989" t="n">
        <v>1.8</v>
      </c>
      <c r="H989" t="n">
        <v>0</v>
      </c>
      <c r="I989" t="n">
        <v>0</v>
      </c>
      <c r="J989" t="n">
        <v>0</v>
      </c>
      <c r="K989" t="n">
        <v>0</v>
      </c>
      <c r="L989" t="n">
        <v>0</v>
      </c>
      <c r="M989" t="n">
        <v>0</v>
      </c>
      <c r="N989" t="n">
        <v>0</v>
      </c>
      <c r="O989" t="n">
        <v>0</v>
      </c>
      <c r="P989" t="n">
        <v>0</v>
      </c>
      <c r="Q989" t="n">
        <v>0</v>
      </c>
      <c r="R989" s="2" t="inlineStr"/>
    </row>
    <row r="990" ht="15" customHeight="1">
      <c r="A990" t="inlineStr">
        <is>
          <t>A 55512-2022</t>
        </is>
      </c>
      <c r="B990" s="1" t="n">
        <v>44887</v>
      </c>
      <c r="C990" s="1" t="n">
        <v>45507</v>
      </c>
      <c r="D990" t="inlineStr">
        <is>
          <t>JÄMTLANDS LÄN</t>
        </is>
      </c>
      <c r="E990" t="inlineStr">
        <is>
          <t>BRÄCKE</t>
        </is>
      </c>
      <c r="G990" t="n">
        <v>3.9</v>
      </c>
      <c r="H990" t="n">
        <v>0</v>
      </c>
      <c r="I990" t="n">
        <v>0</v>
      </c>
      <c r="J990" t="n">
        <v>0</v>
      </c>
      <c r="K990" t="n">
        <v>0</v>
      </c>
      <c r="L990" t="n">
        <v>0</v>
      </c>
      <c r="M990" t="n">
        <v>0</v>
      </c>
      <c r="N990" t="n">
        <v>0</v>
      </c>
      <c r="O990" t="n">
        <v>0</v>
      </c>
      <c r="P990" t="n">
        <v>0</v>
      </c>
      <c r="Q990" t="n">
        <v>0</v>
      </c>
      <c r="R990" s="2" t="inlineStr"/>
    </row>
    <row r="991" ht="15" customHeight="1">
      <c r="A991" t="inlineStr">
        <is>
          <t>A 55520-2022</t>
        </is>
      </c>
      <c r="B991" s="1" t="n">
        <v>44887</v>
      </c>
      <c r="C991" s="1" t="n">
        <v>45507</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55529-2022</t>
        </is>
      </c>
      <c r="B992" s="1" t="n">
        <v>44887</v>
      </c>
      <c r="C992" s="1" t="n">
        <v>45507</v>
      </c>
      <c r="D992" t="inlineStr">
        <is>
          <t>JÄMTLANDS LÄN</t>
        </is>
      </c>
      <c r="E992" t="inlineStr">
        <is>
          <t>BRÄCKE</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55523-2022</t>
        </is>
      </c>
      <c r="B993" s="1" t="n">
        <v>44887</v>
      </c>
      <c r="C993" s="1" t="n">
        <v>45507</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55895-2022</t>
        </is>
      </c>
      <c r="B994" s="1" t="n">
        <v>44888</v>
      </c>
      <c r="C994" s="1" t="n">
        <v>45507</v>
      </c>
      <c r="D994" t="inlineStr">
        <is>
          <t>JÄMTLANDS LÄN</t>
        </is>
      </c>
      <c r="E994" t="inlineStr">
        <is>
          <t>BRÄCKE</t>
        </is>
      </c>
      <c r="F994" t="inlineStr">
        <is>
          <t>SCA</t>
        </is>
      </c>
      <c r="G994" t="n">
        <v>14.9</v>
      </c>
      <c r="H994" t="n">
        <v>0</v>
      </c>
      <c r="I994" t="n">
        <v>0</v>
      </c>
      <c r="J994" t="n">
        <v>0</v>
      </c>
      <c r="K994" t="n">
        <v>0</v>
      </c>
      <c r="L994" t="n">
        <v>0</v>
      </c>
      <c r="M994" t="n">
        <v>0</v>
      </c>
      <c r="N994" t="n">
        <v>0</v>
      </c>
      <c r="O994" t="n">
        <v>0</v>
      </c>
      <c r="P994" t="n">
        <v>0</v>
      </c>
      <c r="Q994" t="n">
        <v>0</v>
      </c>
      <c r="R994" s="2" t="inlineStr"/>
    </row>
    <row r="995" ht="15" customHeight="1">
      <c r="A995" t="inlineStr">
        <is>
          <t>A 55900-2022</t>
        </is>
      </c>
      <c r="B995" s="1" t="n">
        <v>44888</v>
      </c>
      <c r="C995" s="1" t="n">
        <v>45507</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55905-2022</t>
        </is>
      </c>
      <c r="B996" s="1" t="n">
        <v>44888</v>
      </c>
      <c r="C996" s="1" t="n">
        <v>45507</v>
      </c>
      <c r="D996" t="inlineStr">
        <is>
          <t>JÄMTLANDS LÄN</t>
        </is>
      </c>
      <c r="E996" t="inlineStr">
        <is>
          <t>BRÄCKE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56185-2022</t>
        </is>
      </c>
      <c r="B997" s="1" t="n">
        <v>44889</v>
      </c>
      <c r="C997" s="1" t="n">
        <v>45507</v>
      </c>
      <c r="D997" t="inlineStr">
        <is>
          <t>JÄMTLANDS LÄN</t>
        </is>
      </c>
      <c r="E997" t="inlineStr">
        <is>
          <t>BRÄCKE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56424-2022</t>
        </is>
      </c>
      <c r="B998" s="1" t="n">
        <v>44890</v>
      </c>
      <c r="C998" s="1" t="n">
        <v>45507</v>
      </c>
      <c r="D998" t="inlineStr">
        <is>
          <t>JÄMTLANDS LÄN</t>
        </is>
      </c>
      <c r="E998" t="inlineStr">
        <is>
          <t>BRÄCKE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56641-2022</t>
        </is>
      </c>
      <c r="B999" s="1" t="n">
        <v>44893</v>
      </c>
      <c r="C999" s="1" t="n">
        <v>45507</v>
      </c>
      <c r="D999" t="inlineStr">
        <is>
          <t>JÄMTLANDS LÄN</t>
        </is>
      </c>
      <c r="E999" t="inlineStr">
        <is>
          <t>BRÄCKE</t>
        </is>
      </c>
      <c r="G999" t="n">
        <v>6.9</v>
      </c>
      <c r="H999" t="n">
        <v>0</v>
      </c>
      <c r="I999" t="n">
        <v>0</v>
      </c>
      <c r="J999" t="n">
        <v>0</v>
      </c>
      <c r="K999" t="n">
        <v>0</v>
      </c>
      <c r="L999" t="n">
        <v>0</v>
      </c>
      <c r="M999" t="n">
        <v>0</v>
      </c>
      <c r="N999" t="n">
        <v>0</v>
      </c>
      <c r="O999" t="n">
        <v>0</v>
      </c>
      <c r="P999" t="n">
        <v>0</v>
      </c>
      <c r="Q999" t="n">
        <v>0</v>
      </c>
      <c r="R999" s="2" t="inlineStr"/>
    </row>
    <row r="1000" ht="15" customHeight="1">
      <c r="A1000" t="inlineStr">
        <is>
          <t>A 56656-2022</t>
        </is>
      </c>
      <c r="B1000" s="1" t="n">
        <v>44893</v>
      </c>
      <c r="C1000" s="1" t="n">
        <v>45507</v>
      </c>
      <c r="D1000" t="inlineStr">
        <is>
          <t>JÄMTLANDS LÄN</t>
        </is>
      </c>
      <c r="E1000" t="inlineStr">
        <is>
          <t>BRÄCKE</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56732-2022</t>
        </is>
      </c>
      <c r="B1001" s="1" t="n">
        <v>44893</v>
      </c>
      <c r="C1001" s="1" t="n">
        <v>45507</v>
      </c>
      <c r="D1001" t="inlineStr">
        <is>
          <t>JÄMTLANDS LÄN</t>
        </is>
      </c>
      <c r="E1001" t="inlineStr">
        <is>
          <t>BRÄCKE</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56739-2022</t>
        </is>
      </c>
      <c r="B1002" s="1" t="n">
        <v>44893</v>
      </c>
      <c r="C1002" s="1" t="n">
        <v>45507</v>
      </c>
      <c r="D1002" t="inlineStr">
        <is>
          <t>JÄMTLANDS LÄN</t>
        </is>
      </c>
      <c r="E1002" t="inlineStr">
        <is>
          <t>BRÄCKE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57011-2022</t>
        </is>
      </c>
      <c r="B1003" s="1" t="n">
        <v>44894</v>
      </c>
      <c r="C1003" s="1" t="n">
        <v>45507</v>
      </c>
      <c r="D1003" t="inlineStr">
        <is>
          <t>JÄMTLANDS LÄN</t>
        </is>
      </c>
      <c r="E1003" t="inlineStr">
        <is>
          <t>BRÄCKE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56822-2022</t>
        </is>
      </c>
      <c r="B1004" s="1" t="n">
        <v>44894</v>
      </c>
      <c r="C1004" s="1" t="n">
        <v>45507</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57010-2022</t>
        </is>
      </c>
      <c r="B1005" s="1" t="n">
        <v>44894</v>
      </c>
      <c r="C1005" s="1" t="n">
        <v>45507</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58547-2022</t>
        </is>
      </c>
      <c r="B1006" s="1" t="n">
        <v>44894</v>
      </c>
      <c r="C1006" s="1" t="n">
        <v>45507</v>
      </c>
      <c r="D1006" t="inlineStr">
        <is>
          <t>JÄMTLANDS LÄN</t>
        </is>
      </c>
      <c r="E1006" t="inlineStr">
        <is>
          <t>BRÄCKE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57845-2022</t>
        </is>
      </c>
      <c r="B1007" s="1" t="n">
        <v>44897</v>
      </c>
      <c r="C1007" s="1" t="n">
        <v>45507</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58187-2022</t>
        </is>
      </c>
      <c r="B1008" s="1" t="n">
        <v>44900</v>
      </c>
      <c r="C1008" s="1" t="n">
        <v>45507</v>
      </c>
      <c r="D1008" t="inlineStr">
        <is>
          <t>JÄMTLANDS LÄN</t>
        </is>
      </c>
      <c r="E1008" t="inlineStr">
        <is>
          <t>BRÄCKE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58500-2022</t>
        </is>
      </c>
      <c r="B1009" s="1" t="n">
        <v>44902</v>
      </c>
      <c r="C1009" s="1" t="n">
        <v>45507</v>
      </c>
      <c r="D1009" t="inlineStr">
        <is>
          <t>JÄMTLANDS LÄN</t>
        </is>
      </c>
      <c r="E1009" t="inlineStr">
        <is>
          <t>BRÄCKE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58498-2022</t>
        </is>
      </c>
      <c r="B1010" s="1" t="n">
        <v>44902</v>
      </c>
      <c r="C1010" s="1" t="n">
        <v>45507</v>
      </c>
      <c r="D1010" t="inlineStr">
        <is>
          <t>JÄMTLANDS LÄN</t>
        </is>
      </c>
      <c r="E1010" t="inlineStr">
        <is>
          <t>BRÄCKE</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58503-2022</t>
        </is>
      </c>
      <c r="B1011" s="1" t="n">
        <v>44902</v>
      </c>
      <c r="C1011" s="1" t="n">
        <v>45507</v>
      </c>
      <c r="D1011" t="inlineStr">
        <is>
          <t>JÄMTLANDS LÄN</t>
        </is>
      </c>
      <c r="E1011" t="inlineStr">
        <is>
          <t>BRÄCKE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58497-2022</t>
        </is>
      </c>
      <c r="B1012" s="1" t="n">
        <v>44902</v>
      </c>
      <c r="C1012" s="1" t="n">
        <v>45507</v>
      </c>
      <c r="D1012" t="inlineStr">
        <is>
          <t>JÄMTLANDS LÄN</t>
        </is>
      </c>
      <c r="E1012" t="inlineStr">
        <is>
          <t>BRÄCKE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58728-2022</t>
        </is>
      </c>
      <c r="B1013" s="1" t="n">
        <v>44902</v>
      </c>
      <c r="C1013" s="1" t="n">
        <v>45507</v>
      </c>
      <c r="D1013" t="inlineStr">
        <is>
          <t>JÄMTLANDS LÄN</t>
        </is>
      </c>
      <c r="E1013" t="inlineStr">
        <is>
          <t>BRÄCKE</t>
        </is>
      </c>
      <c r="G1013" t="n">
        <v>21.5</v>
      </c>
      <c r="H1013" t="n">
        <v>0</v>
      </c>
      <c r="I1013" t="n">
        <v>0</v>
      </c>
      <c r="J1013" t="n">
        <v>0</v>
      </c>
      <c r="K1013" t="n">
        <v>0</v>
      </c>
      <c r="L1013" t="n">
        <v>0</v>
      </c>
      <c r="M1013" t="n">
        <v>0</v>
      </c>
      <c r="N1013" t="n">
        <v>0</v>
      </c>
      <c r="O1013" t="n">
        <v>0</v>
      </c>
      <c r="P1013" t="n">
        <v>0</v>
      </c>
      <c r="Q1013" t="n">
        <v>0</v>
      </c>
      <c r="R1013" s="2" t="inlineStr"/>
    </row>
    <row r="1014" ht="15" customHeight="1">
      <c r="A1014" t="inlineStr">
        <is>
          <t>A 58745-2022</t>
        </is>
      </c>
      <c r="B1014" s="1" t="n">
        <v>44902</v>
      </c>
      <c r="C1014" s="1" t="n">
        <v>45507</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58731-2022</t>
        </is>
      </c>
      <c r="B1015" s="1" t="n">
        <v>44902</v>
      </c>
      <c r="C1015" s="1" t="n">
        <v>45507</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59047-2022</t>
        </is>
      </c>
      <c r="B1016" s="1" t="n">
        <v>44903</v>
      </c>
      <c r="C1016" s="1" t="n">
        <v>45507</v>
      </c>
      <c r="D1016" t="inlineStr">
        <is>
          <t>JÄMTLANDS LÄN</t>
        </is>
      </c>
      <c r="E1016" t="inlineStr">
        <is>
          <t>BRÄCKE</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59369-2022</t>
        </is>
      </c>
      <c r="B1017" s="1" t="n">
        <v>44904</v>
      </c>
      <c r="C1017" s="1" t="n">
        <v>45507</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59405-2022</t>
        </is>
      </c>
      <c r="B1018" s="1" t="n">
        <v>44906</v>
      </c>
      <c r="C1018" s="1" t="n">
        <v>45507</v>
      </c>
      <c r="D1018" t="inlineStr">
        <is>
          <t>JÄMTLANDS LÄN</t>
        </is>
      </c>
      <c r="E1018" t="inlineStr">
        <is>
          <t>BRÄCKE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59427-2022</t>
        </is>
      </c>
      <c r="B1019" s="1" t="n">
        <v>44907</v>
      </c>
      <c r="C1019" s="1" t="n">
        <v>45507</v>
      </c>
      <c r="D1019" t="inlineStr">
        <is>
          <t>JÄMTLANDS LÄN</t>
        </is>
      </c>
      <c r="E1019" t="inlineStr">
        <is>
          <t>BRÄCKE</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59640-2022</t>
        </is>
      </c>
      <c r="B1020" s="1" t="n">
        <v>44908</v>
      </c>
      <c r="C1020" s="1" t="n">
        <v>45507</v>
      </c>
      <c r="D1020" t="inlineStr">
        <is>
          <t>JÄMTLANDS LÄN</t>
        </is>
      </c>
      <c r="E1020" t="inlineStr">
        <is>
          <t>BRÄCKE</t>
        </is>
      </c>
      <c r="F1020" t="inlineStr">
        <is>
          <t>SCA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59644-2022</t>
        </is>
      </c>
      <c r="B1021" s="1" t="n">
        <v>44908</v>
      </c>
      <c r="C1021" s="1" t="n">
        <v>45507</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59641-2022</t>
        </is>
      </c>
      <c r="B1022" s="1" t="n">
        <v>44908</v>
      </c>
      <c r="C1022" s="1" t="n">
        <v>45507</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59642-2022</t>
        </is>
      </c>
      <c r="B1023" s="1" t="n">
        <v>44908</v>
      </c>
      <c r="C1023" s="1" t="n">
        <v>45507</v>
      </c>
      <c r="D1023" t="inlineStr">
        <is>
          <t>JÄMTLANDS LÄN</t>
        </is>
      </c>
      <c r="E1023" t="inlineStr">
        <is>
          <t>BRÄCKE</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59643-2022</t>
        </is>
      </c>
      <c r="B1024" s="1" t="n">
        <v>44907</v>
      </c>
      <c r="C1024" s="1" t="n">
        <v>45507</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59910-2022</t>
        </is>
      </c>
      <c r="B1025" s="1" t="n">
        <v>44908</v>
      </c>
      <c r="C1025" s="1" t="n">
        <v>45507</v>
      </c>
      <c r="D1025" t="inlineStr">
        <is>
          <t>JÄMTLANDS LÄN</t>
        </is>
      </c>
      <c r="E1025" t="inlineStr">
        <is>
          <t>BRÄCKE</t>
        </is>
      </c>
      <c r="F1025" t="inlineStr">
        <is>
          <t>SCA</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59915-2022</t>
        </is>
      </c>
      <c r="B1026" s="1" t="n">
        <v>44909</v>
      </c>
      <c r="C1026" s="1" t="n">
        <v>45507</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59914-2022</t>
        </is>
      </c>
      <c r="B1027" s="1" t="n">
        <v>44909</v>
      </c>
      <c r="C1027" s="1" t="n">
        <v>45507</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59916-2022</t>
        </is>
      </c>
      <c r="B1028" s="1" t="n">
        <v>44909</v>
      </c>
      <c r="C1028" s="1" t="n">
        <v>45507</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59932-2022</t>
        </is>
      </c>
      <c r="B1029" s="1" t="n">
        <v>44909</v>
      </c>
      <c r="C1029" s="1" t="n">
        <v>45507</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60178-2022</t>
        </is>
      </c>
      <c r="B1030" s="1" t="n">
        <v>44909</v>
      </c>
      <c r="C1030" s="1" t="n">
        <v>45507</v>
      </c>
      <c r="D1030" t="inlineStr">
        <is>
          <t>JÄMTLANDS LÄN</t>
        </is>
      </c>
      <c r="E1030" t="inlineStr">
        <is>
          <t>BRÄCKE</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60417-2022</t>
        </is>
      </c>
      <c r="B1031" s="1" t="n">
        <v>44911</v>
      </c>
      <c r="C1031" s="1" t="n">
        <v>45507</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60661-2022</t>
        </is>
      </c>
      <c r="B1032" s="1" t="n">
        <v>44911</v>
      </c>
      <c r="C1032" s="1" t="n">
        <v>45507</v>
      </c>
      <c r="D1032" t="inlineStr">
        <is>
          <t>JÄMTLANDS LÄN</t>
        </is>
      </c>
      <c r="E1032" t="inlineStr">
        <is>
          <t>BRÄCKE</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61662-2022</t>
        </is>
      </c>
      <c r="B1033" s="1" t="n">
        <v>44917</v>
      </c>
      <c r="C1033" s="1" t="n">
        <v>45507</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61663-2022</t>
        </is>
      </c>
      <c r="B1034" s="1" t="n">
        <v>44916</v>
      </c>
      <c r="C1034" s="1" t="n">
        <v>45507</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123-2023</t>
        </is>
      </c>
      <c r="B1035" s="1" t="n">
        <v>44928</v>
      </c>
      <c r="C1035" s="1" t="n">
        <v>45507</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1070-2023</t>
        </is>
      </c>
      <c r="B1036" s="1" t="n">
        <v>44929</v>
      </c>
      <c r="C1036" s="1" t="n">
        <v>45507</v>
      </c>
      <c r="D1036" t="inlineStr">
        <is>
          <t>JÄMTLANDS LÄN</t>
        </is>
      </c>
      <c r="E1036" t="inlineStr">
        <is>
          <t>BRÄCKE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643-2023</t>
        </is>
      </c>
      <c r="B1037" s="1" t="n">
        <v>44930</v>
      </c>
      <c r="C1037" s="1" t="n">
        <v>45507</v>
      </c>
      <c r="D1037" t="inlineStr">
        <is>
          <t>JÄMTLANDS LÄN</t>
        </is>
      </c>
      <c r="E1037" t="inlineStr">
        <is>
          <t>BRÄCKE</t>
        </is>
      </c>
      <c r="F1037" t="inlineStr">
        <is>
          <t>Övriga Aktiebolag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1178-2023</t>
        </is>
      </c>
      <c r="B1038" s="1" t="n">
        <v>44930</v>
      </c>
      <c r="C1038" s="1" t="n">
        <v>45507</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676-2023</t>
        </is>
      </c>
      <c r="B1039" s="1" t="n">
        <v>44930</v>
      </c>
      <c r="C1039" s="1" t="n">
        <v>45507</v>
      </c>
      <c r="D1039" t="inlineStr">
        <is>
          <t>JÄMTLANDS LÄN</t>
        </is>
      </c>
      <c r="E1039" t="inlineStr">
        <is>
          <t>BRÄCKE</t>
        </is>
      </c>
      <c r="F1039" t="inlineStr">
        <is>
          <t>Kyrkan</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724-2023</t>
        </is>
      </c>
      <c r="B1040" s="1" t="n">
        <v>44930</v>
      </c>
      <c r="C1040" s="1" t="n">
        <v>45507</v>
      </c>
      <c r="D1040" t="inlineStr">
        <is>
          <t>JÄMTLANDS LÄN</t>
        </is>
      </c>
      <c r="E1040" t="inlineStr">
        <is>
          <t>BRÄCKE</t>
        </is>
      </c>
      <c r="F1040" t="inlineStr">
        <is>
          <t>SCA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1204-2023</t>
        </is>
      </c>
      <c r="B1041" s="1" t="n">
        <v>44930</v>
      </c>
      <c r="C1041" s="1" t="n">
        <v>45507</v>
      </c>
      <c r="D1041" t="inlineStr">
        <is>
          <t>JÄMTLANDS LÄN</t>
        </is>
      </c>
      <c r="E1041" t="inlineStr">
        <is>
          <t>BRÄCKE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1230-2023</t>
        </is>
      </c>
      <c r="B1042" s="1" t="n">
        <v>44936</v>
      </c>
      <c r="C1042" s="1" t="n">
        <v>45507</v>
      </c>
      <c r="D1042" t="inlineStr">
        <is>
          <t>JÄMTLANDS LÄN</t>
        </is>
      </c>
      <c r="E1042" t="inlineStr">
        <is>
          <t>BRÄCKE</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2254-2023</t>
        </is>
      </c>
      <c r="B1043" s="1" t="n">
        <v>44939</v>
      </c>
      <c r="C1043" s="1" t="n">
        <v>45507</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2954-2023</t>
        </is>
      </c>
      <c r="B1044" s="1" t="n">
        <v>44945</v>
      </c>
      <c r="C1044" s="1" t="n">
        <v>45507</v>
      </c>
      <c r="D1044" t="inlineStr">
        <is>
          <t>JÄMTLANDS LÄN</t>
        </is>
      </c>
      <c r="E1044" t="inlineStr">
        <is>
          <t>BRÄCKE</t>
        </is>
      </c>
      <c r="F1044" t="inlineStr">
        <is>
          <t>Övriga Aktiebolag</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3032-2023</t>
        </is>
      </c>
      <c r="B1045" s="1" t="n">
        <v>44945</v>
      </c>
      <c r="C1045" s="1" t="n">
        <v>45507</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3036-2023</t>
        </is>
      </c>
      <c r="B1046" s="1" t="n">
        <v>44945</v>
      </c>
      <c r="C1046" s="1" t="n">
        <v>45507</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3020-2023</t>
        </is>
      </c>
      <c r="B1047" s="1" t="n">
        <v>44945</v>
      </c>
      <c r="C1047" s="1" t="n">
        <v>45507</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3031-2023</t>
        </is>
      </c>
      <c r="B1048" s="1" t="n">
        <v>44945</v>
      </c>
      <c r="C1048" s="1" t="n">
        <v>45507</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3035-2023</t>
        </is>
      </c>
      <c r="B1049" s="1" t="n">
        <v>44945</v>
      </c>
      <c r="C1049" s="1" t="n">
        <v>45507</v>
      </c>
      <c r="D1049" t="inlineStr">
        <is>
          <t>JÄMTLANDS LÄN</t>
        </is>
      </c>
      <c r="E1049" t="inlineStr">
        <is>
          <t>BRÄCKE</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3033-2023</t>
        </is>
      </c>
      <c r="B1050" s="1" t="n">
        <v>44945</v>
      </c>
      <c r="C1050" s="1" t="n">
        <v>45507</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2985-2023</t>
        </is>
      </c>
      <c r="B1051" s="1" t="n">
        <v>44945</v>
      </c>
      <c r="C1051" s="1" t="n">
        <v>45507</v>
      </c>
      <c r="D1051" t="inlineStr">
        <is>
          <t>JÄMTLANDS LÄN</t>
        </is>
      </c>
      <c r="E1051" t="inlineStr">
        <is>
          <t>BRÄCKE</t>
        </is>
      </c>
      <c r="F1051" t="inlineStr">
        <is>
          <t>Övriga Aktiebolag</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3698-2023</t>
        </is>
      </c>
      <c r="B1052" s="1" t="n">
        <v>44950</v>
      </c>
      <c r="C1052" s="1" t="n">
        <v>45507</v>
      </c>
      <c r="D1052" t="inlineStr">
        <is>
          <t>JÄMTLANDS LÄN</t>
        </is>
      </c>
      <c r="E1052" t="inlineStr">
        <is>
          <t>BRÄCKE</t>
        </is>
      </c>
      <c r="F1052" t="inlineStr">
        <is>
          <t>SCA</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3702-2023</t>
        </is>
      </c>
      <c r="B1053" s="1" t="n">
        <v>44950</v>
      </c>
      <c r="C1053" s="1" t="n">
        <v>45507</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3845-2023</t>
        </is>
      </c>
      <c r="B1054" s="1" t="n">
        <v>44950</v>
      </c>
      <c r="C1054" s="1" t="n">
        <v>45507</v>
      </c>
      <c r="D1054" t="inlineStr">
        <is>
          <t>JÄMTLANDS LÄN</t>
        </is>
      </c>
      <c r="E1054" t="inlineStr">
        <is>
          <t>BRÄCKE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3892-2023</t>
        </is>
      </c>
      <c r="B1055" s="1" t="n">
        <v>44951</v>
      </c>
      <c r="C1055" s="1" t="n">
        <v>45507</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3895-2023</t>
        </is>
      </c>
      <c r="B1056" s="1" t="n">
        <v>44951</v>
      </c>
      <c r="C1056" s="1" t="n">
        <v>45507</v>
      </c>
      <c r="D1056" t="inlineStr">
        <is>
          <t>JÄMTLANDS LÄN</t>
        </is>
      </c>
      <c r="E1056" t="inlineStr">
        <is>
          <t>BRÄCKE</t>
        </is>
      </c>
      <c r="F1056" t="inlineStr">
        <is>
          <t>SCA</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4273-2023</t>
        </is>
      </c>
      <c r="B1057" s="1" t="n">
        <v>44953</v>
      </c>
      <c r="C1057" s="1" t="n">
        <v>45507</v>
      </c>
      <c r="D1057" t="inlineStr">
        <is>
          <t>JÄMTLANDS LÄN</t>
        </is>
      </c>
      <c r="E1057" t="inlineStr">
        <is>
          <t>BRÄCKE</t>
        </is>
      </c>
      <c r="F1057" t="inlineStr">
        <is>
          <t>Övriga Aktiebolag</t>
        </is>
      </c>
      <c r="G1057" t="n">
        <v>24.4</v>
      </c>
      <c r="H1057" t="n">
        <v>0</v>
      </c>
      <c r="I1057" t="n">
        <v>0</v>
      </c>
      <c r="J1057" t="n">
        <v>0</v>
      </c>
      <c r="K1057" t="n">
        <v>0</v>
      </c>
      <c r="L1057" t="n">
        <v>0</v>
      </c>
      <c r="M1057" t="n">
        <v>0</v>
      </c>
      <c r="N1057" t="n">
        <v>0</v>
      </c>
      <c r="O1057" t="n">
        <v>0</v>
      </c>
      <c r="P1057" t="n">
        <v>0</v>
      </c>
      <c r="Q1057" t="n">
        <v>0</v>
      </c>
      <c r="R1057" s="2" t="inlineStr"/>
    </row>
    <row r="1058" ht="15" customHeight="1">
      <c r="A1058" t="inlineStr">
        <is>
          <t>A 4365-2023</t>
        </is>
      </c>
      <c r="B1058" s="1" t="n">
        <v>44954</v>
      </c>
      <c r="C1058" s="1" t="n">
        <v>45507</v>
      </c>
      <c r="D1058" t="inlineStr">
        <is>
          <t>JÄMTLANDS LÄN</t>
        </is>
      </c>
      <c r="E1058" t="inlineStr">
        <is>
          <t>BRÄCKE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4366-2023</t>
        </is>
      </c>
      <c r="B1059" s="1" t="n">
        <v>44954</v>
      </c>
      <c r="C1059" s="1" t="n">
        <v>45507</v>
      </c>
      <c r="D1059" t="inlineStr">
        <is>
          <t>JÄMTLANDS LÄN</t>
        </is>
      </c>
      <c r="E1059" t="inlineStr">
        <is>
          <t>BRÄCKE</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4381-2023</t>
        </is>
      </c>
      <c r="B1060" s="1" t="n">
        <v>44955</v>
      </c>
      <c r="C1060" s="1" t="n">
        <v>45507</v>
      </c>
      <c r="D1060" t="inlineStr">
        <is>
          <t>JÄMTLANDS LÄN</t>
        </is>
      </c>
      <c r="E1060" t="inlineStr">
        <is>
          <t>BRÄCKE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5004-2023</t>
        </is>
      </c>
      <c r="B1061" s="1" t="n">
        <v>44956</v>
      </c>
      <c r="C1061" s="1" t="n">
        <v>45507</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5160-2023</t>
        </is>
      </c>
      <c r="B1062" s="1" t="n">
        <v>44958</v>
      </c>
      <c r="C1062" s="1" t="n">
        <v>45507</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5180-2023</t>
        </is>
      </c>
      <c r="B1063" s="1" t="n">
        <v>44958</v>
      </c>
      <c r="C1063" s="1" t="n">
        <v>45507</v>
      </c>
      <c r="D1063" t="inlineStr">
        <is>
          <t>JÄMTLANDS LÄN</t>
        </is>
      </c>
      <c r="E1063" t="inlineStr">
        <is>
          <t>BRÄCKE</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6345-2023</t>
        </is>
      </c>
      <c r="B1064" s="1" t="n">
        <v>44960</v>
      </c>
      <c r="C1064" s="1" t="n">
        <v>45507</v>
      </c>
      <c r="D1064" t="inlineStr">
        <is>
          <t>JÄMTLANDS LÄN</t>
        </is>
      </c>
      <c r="E1064" t="inlineStr">
        <is>
          <t>BRÄCKE</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6852-2023</t>
        </is>
      </c>
      <c r="B1065" s="1" t="n">
        <v>44964</v>
      </c>
      <c r="C1065" s="1" t="n">
        <v>45507</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6701-2023</t>
        </is>
      </c>
      <c r="B1066" s="1" t="n">
        <v>44964</v>
      </c>
      <c r="C1066" s="1" t="n">
        <v>45507</v>
      </c>
      <c r="D1066" t="inlineStr">
        <is>
          <t>JÄMTLANDS LÄN</t>
        </is>
      </c>
      <c r="E1066" t="inlineStr">
        <is>
          <t>BRÄCKE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6390-2023</t>
        </is>
      </c>
      <c r="B1067" s="1" t="n">
        <v>44965</v>
      </c>
      <c r="C1067" s="1" t="n">
        <v>45507</v>
      </c>
      <c r="D1067" t="inlineStr">
        <is>
          <t>JÄMTLANDS LÄN</t>
        </is>
      </c>
      <c r="E1067" t="inlineStr">
        <is>
          <t>BRÄCKE</t>
        </is>
      </c>
      <c r="F1067" t="inlineStr">
        <is>
          <t>Övriga Aktiebolag</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6764-2023</t>
        </is>
      </c>
      <c r="B1068" s="1" t="n">
        <v>44966</v>
      </c>
      <c r="C1068" s="1" t="n">
        <v>45507</v>
      </c>
      <c r="D1068" t="inlineStr">
        <is>
          <t>JÄMTLANDS LÄN</t>
        </is>
      </c>
      <c r="E1068" t="inlineStr">
        <is>
          <t>BRÄCKE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6768-2023</t>
        </is>
      </c>
      <c r="B1069" s="1" t="n">
        <v>44966</v>
      </c>
      <c r="C1069" s="1" t="n">
        <v>45507</v>
      </c>
      <c r="D1069" t="inlineStr">
        <is>
          <t>JÄMTLANDS LÄN</t>
        </is>
      </c>
      <c r="E1069" t="inlineStr">
        <is>
          <t>BRÄCKE</t>
        </is>
      </c>
      <c r="G1069" t="n">
        <v>3.4</v>
      </c>
      <c r="H1069" t="n">
        <v>0</v>
      </c>
      <c r="I1069" t="n">
        <v>0</v>
      </c>
      <c r="J1069" t="n">
        <v>0</v>
      </c>
      <c r="K1069" t="n">
        <v>0</v>
      </c>
      <c r="L1069" t="n">
        <v>0</v>
      </c>
      <c r="M1069" t="n">
        <v>0</v>
      </c>
      <c r="N1069" t="n">
        <v>0</v>
      </c>
      <c r="O1069" t="n">
        <v>0</v>
      </c>
      <c r="P1069" t="n">
        <v>0</v>
      </c>
      <c r="Q1069" t="n">
        <v>0</v>
      </c>
      <c r="R1069" s="2" t="inlineStr"/>
      <c r="U1069">
        <f>HYPERLINK("https://klasma.github.io/Logging_2305/knärot/A 6768-2023 karta knärot.png", "A 6768-2023")</f>
        <v/>
      </c>
      <c r="V1069">
        <f>HYPERLINK("https://klasma.github.io/Logging_2305/klagomål/A 6768-2023 FSC-klagomål.docx", "A 6768-2023")</f>
        <v/>
      </c>
      <c r="W1069">
        <f>HYPERLINK("https://klasma.github.io/Logging_2305/klagomålsmail/A 6768-2023 FSC-klagomål mail.docx", "A 6768-2023")</f>
        <v/>
      </c>
      <c r="X1069">
        <f>HYPERLINK("https://klasma.github.io/Logging_2305/tillsyn/A 6768-2023 tillsynsbegäran.docx", "A 6768-2023")</f>
        <v/>
      </c>
      <c r="Y1069">
        <f>HYPERLINK("https://klasma.github.io/Logging_2305/tillsynsmail/A 6768-2023 tillsynsbegäran mail.docx", "A 6768-2023")</f>
        <v/>
      </c>
    </row>
    <row r="1070" ht="15" customHeight="1">
      <c r="A1070" t="inlineStr">
        <is>
          <t>A 6766-2023</t>
        </is>
      </c>
      <c r="B1070" s="1" t="n">
        <v>44966</v>
      </c>
      <c r="C1070" s="1" t="n">
        <v>45507</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6763-2023</t>
        </is>
      </c>
      <c r="B1071" s="1" t="n">
        <v>44966</v>
      </c>
      <c r="C1071" s="1" t="n">
        <v>45507</v>
      </c>
      <c r="D1071" t="inlineStr">
        <is>
          <t>JÄMTLANDS LÄN</t>
        </is>
      </c>
      <c r="E1071" t="inlineStr">
        <is>
          <t>BRÄCKE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6870-2023</t>
        </is>
      </c>
      <c r="B1072" s="1" t="n">
        <v>44967</v>
      </c>
      <c r="C1072" s="1" t="n">
        <v>45507</v>
      </c>
      <c r="D1072" t="inlineStr">
        <is>
          <t>JÄMTLANDS LÄN</t>
        </is>
      </c>
      <c r="E1072" t="inlineStr">
        <is>
          <t>BRÄCKE</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7549-2023</t>
        </is>
      </c>
      <c r="B1073" s="1" t="n">
        <v>44972</v>
      </c>
      <c r="C1073" s="1" t="n">
        <v>45507</v>
      </c>
      <c r="D1073" t="inlineStr">
        <is>
          <t>JÄMTLANDS LÄN</t>
        </is>
      </c>
      <c r="E1073" t="inlineStr">
        <is>
          <t>BRÄCKE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8975-2023</t>
        </is>
      </c>
      <c r="B1074" s="1" t="n">
        <v>44974</v>
      </c>
      <c r="C1074" s="1" t="n">
        <v>45507</v>
      </c>
      <c r="D1074" t="inlineStr">
        <is>
          <t>JÄMTLANDS LÄN</t>
        </is>
      </c>
      <c r="E1074" t="inlineStr">
        <is>
          <t>BRÄCKE</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8657-2023</t>
        </is>
      </c>
      <c r="B1075" s="1" t="n">
        <v>44978</v>
      </c>
      <c r="C1075" s="1" t="n">
        <v>45507</v>
      </c>
      <c r="D1075" t="inlineStr">
        <is>
          <t>JÄMTLANDS LÄN</t>
        </is>
      </c>
      <c r="E1075" t="inlineStr">
        <is>
          <t>BRÄCKE</t>
        </is>
      </c>
      <c r="F1075" t="inlineStr">
        <is>
          <t>SCA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8674-2023</t>
        </is>
      </c>
      <c r="B1076" s="1" t="n">
        <v>44977</v>
      </c>
      <c r="C1076" s="1" t="n">
        <v>45507</v>
      </c>
      <c r="D1076" t="inlineStr">
        <is>
          <t>JÄMTLANDS LÄN</t>
        </is>
      </c>
      <c r="E1076" t="inlineStr">
        <is>
          <t>BRÄCKE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8864-2023</t>
        </is>
      </c>
      <c r="B1077" s="1" t="n">
        <v>44978</v>
      </c>
      <c r="C1077" s="1" t="n">
        <v>45507</v>
      </c>
      <c r="D1077" t="inlineStr">
        <is>
          <t>JÄMTLANDS LÄN</t>
        </is>
      </c>
      <c r="E1077" t="inlineStr">
        <is>
          <t>BRÄCKE</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8865-2023</t>
        </is>
      </c>
      <c r="B1078" s="1" t="n">
        <v>44978</v>
      </c>
      <c r="C1078" s="1" t="n">
        <v>45507</v>
      </c>
      <c r="D1078" t="inlineStr">
        <is>
          <t>JÄMTLANDS LÄN</t>
        </is>
      </c>
      <c r="E1078" t="inlineStr">
        <is>
          <t>BRÄCKE</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8958-2023</t>
        </is>
      </c>
      <c r="B1079" s="1" t="n">
        <v>44979</v>
      </c>
      <c r="C1079" s="1" t="n">
        <v>45507</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9194-2023</t>
        </is>
      </c>
      <c r="B1080" s="1" t="n">
        <v>44980</v>
      </c>
      <c r="C1080" s="1" t="n">
        <v>45507</v>
      </c>
      <c r="D1080" t="inlineStr">
        <is>
          <t>JÄMTLANDS LÄN</t>
        </is>
      </c>
      <c r="E1080" t="inlineStr">
        <is>
          <t>BRÄCKE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9348-2023</t>
        </is>
      </c>
      <c r="B1081" s="1" t="n">
        <v>44980</v>
      </c>
      <c r="C1081" s="1" t="n">
        <v>45507</v>
      </c>
      <c r="D1081" t="inlineStr">
        <is>
          <t>JÄMTLANDS LÄN</t>
        </is>
      </c>
      <c r="E1081" t="inlineStr">
        <is>
          <t>BRÄCKE</t>
        </is>
      </c>
      <c r="F1081" t="inlineStr">
        <is>
          <t>SCA</t>
        </is>
      </c>
      <c r="G1081" t="n">
        <v>64.5</v>
      </c>
      <c r="H1081" t="n">
        <v>0</v>
      </c>
      <c r="I1081" t="n">
        <v>0</v>
      </c>
      <c r="J1081" t="n">
        <v>0</v>
      </c>
      <c r="K1081" t="n">
        <v>0</v>
      </c>
      <c r="L1081" t="n">
        <v>0</v>
      </c>
      <c r="M1081" t="n">
        <v>0</v>
      </c>
      <c r="N1081" t="n">
        <v>0</v>
      </c>
      <c r="O1081" t="n">
        <v>0</v>
      </c>
      <c r="P1081" t="n">
        <v>0</v>
      </c>
      <c r="Q1081" t="n">
        <v>0</v>
      </c>
      <c r="R1081" s="2" t="inlineStr"/>
    </row>
    <row r="1082" ht="15" customHeight="1">
      <c r="A1082" t="inlineStr">
        <is>
          <t>A 9356-2023</t>
        </is>
      </c>
      <c r="B1082" s="1" t="n">
        <v>44980</v>
      </c>
      <c r="C1082" s="1" t="n">
        <v>45507</v>
      </c>
      <c r="D1082" t="inlineStr">
        <is>
          <t>JÄMTLANDS LÄN</t>
        </is>
      </c>
      <c r="E1082" t="inlineStr">
        <is>
          <t>BRÄCKE</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9357-2023</t>
        </is>
      </c>
      <c r="B1083" s="1" t="n">
        <v>44980</v>
      </c>
      <c r="C1083" s="1" t="n">
        <v>45507</v>
      </c>
      <c r="D1083" t="inlineStr">
        <is>
          <t>JÄMTLANDS LÄN</t>
        </is>
      </c>
      <c r="E1083" t="inlineStr">
        <is>
          <t>BRÄCKE</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10309-2023</t>
        </is>
      </c>
      <c r="B1084" s="1" t="n">
        <v>44986</v>
      </c>
      <c r="C1084" s="1" t="n">
        <v>45507</v>
      </c>
      <c r="D1084" t="inlineStr">
        <is>
          <t>JÄMTLANDS LÄN</t>
        </is>
      </c>
      <c r="E1084" t="inlineStr">
        <is>
          <t>BRÄCKE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10763-2023</t>
        </is>
      </c>
      <c r="B1085" s="1" t="n">
        <v>44988</v>
      </c>
      <c r="C1085" s="1" t="n">
        <v>45507</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11548-2023</t>
        </is>
      </c>
      <c r="B1086" s="1" t="n">
        <v>44993</v>
      </c>
      <c r="C1086" s="1" t="n">
        <v>45507</v>
      </c>
      <c r="D1086" t="inlineStr">
        <is>
          <t>JÄMTLANDS LÄN</t>
        </is>
      </c>
      <c r="E1086" t="inlineStr">
        <is>
          <t>BRÄCKE</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11550-2023</t>
        </is>
      </c>
      <c r="B1087" s="1" t="n">
        <v>44993</v>
      </c>
      <c r="C1087" s="1" t="n">
        <v>45507</v>
      </c>
      <c r="D1087" t="inlineStr">
        <is>
          <t>JÄMTLANDS LÄN</t>
        </is>
      </c>
      <c r="E1087" t="inlineStr">
        <is>
          <t>BRÄCKE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11563-2023</t>
        </is>
      </c>
      <c r="B1088" s="1" t="n">
        <v>44993</v>
      </c>
      <c r="C1088" s="1" t="n">
        <v>45507</v>
      </c>
      <c r="D1088" t="inlineStr">
        <is>
          <t>JÄMTLANDS LÄN</t>
        </is>
      </c>
      <c r="E1088" t="inlineStr">
        <is>
          <t>BRÄCKE</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11821-2023</t>
        </is>
      </c>
      <c r="B1089" s="1" t="n">
        <v>44994</v>
      </c>
      <c r="C1089" s="1" t="n">
        <v>45507</v>
      </c>
      <c r="D1089" t="inlineStr">
        <is>
          <t>JÄMTLANDS LÄN</t>
        </is>
      </c>
      <c r="E1089" t="inlineStr">
        <is>
          <t>BRÄCKE</t>
        </is>
      </c>
      <c r="F1089" t="inlineStr">
        <is>
          <t>SCA</t>
        </is>
      </c>
      <c r="G1089" t="n">
        <v>36.6</v>
      </c>
      <c r="H1089" t="n">
        <v>0</v>
      </c>
      <c r="I1089" t="n">
        <v>0</v>
      </c>
      <c r="J1089" t="n">
        <v>0</v>
      </c>
      <c r="K1089" t="n">
        <v>0</v>
      </c>
      <c r="L1089" t="n">
        <v>0</v>
      </c>
      <c r="M1089" t="n">
        <v>0</v>
      </c>
      <c r="N1089" t="n">
        <v>0</v>
      </c>
      <c r="O1089" t="n">
        <v>0</v>
      </c>
      <c r="P1089" t="n">
        <v>0</v>
      </c>
      <c r="Q1089" t="n">
        <v>0</v>
      </c>
      <c r="R1089" s="2" t="inlineStr"/>
    </row>
    <row r="1090" ht="15" customHeight="1">
      <c r="A1090" t="inlineStr">
        <is>
          <t>A 12023-2023</t>
        </is>
      </c>
      <c r="B1090" s="1" t="n">
        <v>44995</v>
      </c>
      <c r="C1090" s="1" t="n">
        <v>45507</v>
      </c>
      <c r="D1090" t="inlineStr">
        <is>
          <t>JÄMTLANDS LÄN</t>
        </is>
      </c>
      <c r="E1090" t="inlineStr">
        <is>
          <t>BRÄCKE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12034-2023</t>
        </is>
      </c>
      <c r="B1091" s="1" t="n">
        <v>44995</v>
      </c>
      <c r="C1091" s="1" t="n">
        <v>45507</v>
      </c>
      <c r="D1091" t="inlineStr">
        <is>
          <t>JÄMTLANDS LÄN</t>
        </is>
      </c>
      <c r="E1091" t="inlineStr">
        <is>
          <t>BRÄCKE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12036-2023</t>
        </is>
      </c>
      <c r="B1092" s="1" t="n">
        <v>44995</v>
      </c>
      <c r="C1092" s="1" t="n">
        <v>45507</v>
      </c>
      <c r="D1092" t="inlineStr">
        <is>
          <t>JÄMTLANDS LÄN</t>
        </is>
      </c>
      <c r="E1092" t="inlineStr">
        <is>
          <t>BRÄCKE</t>
        </is>
      </c>
      <c r="G1092" t="n">
        <v>16.3</v>
      </c>
      <c r="H1092" t="n">
        <v>0</v>
      </c>
      <c r="I1092" t="n">
        <v>0</v>
      </c>
      <c r="J1092" t="n">
        <v>0</v>
      </c>
      <c r="K1092" t="n">
        <v>0</v>
      </c>
      <c r="L1092" t="n">
        <v>0</v>
      </c>
      <c r="M1092" t="n">
        <v>0</v>
      </c>
      <c r="N1092" t="n">
        <v>0</v>
      </c>
      <c r="O1092" t="n">
        <v>0</v>
      </c>
      <c r="P1092" t="n">
        <v>0</v>
      </c>
      <c r="Q1092" t="n">
        <v>0</v>
      </c>
      <c r="R1092" s="2" t="inlineStr"/>
    </row>
    <row r="1093" ht="15" customHeight="1">
      <c r="A1093" t="inlineStr">
        <is>
          <t>A 12063-2023</t>
        </is>
      </c>
      <c r="B1093" s="1" t="n">
        <v>44996</v>
      </c>
      <c r="C1093" s="1" t="n">
        <v>45507</v>
      </c>
      <c r="D1093" t="inlineStr">
        <is>
          <t>JÄMTLANDS LÄN</t>
        </is>
      </c>
      <c r="E1093" t="inlineStr">
        <is>
          <t>BRÄCKE</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12061-2023</t>
        </is>
      </c>
      <c r="B1094" s="1" t="n">
        <v>44996</v>
      </c>
      <c r="C1094" s="1" t="n">
        <v>45507</v>
      </c>
      <c r="D1094" t="inlineStr">
        <is>
          <t>JÄMTLANDS LÄN</t>
        </is>
      </c>
      <c r="E1094" t="inlineStr">
        <is>
          <t>BRÄCKE</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12518-2023</t>
        </is>
      </c>
      <c r="B1095" s="1" t="n">
        <v>45000</v>
      </c>
      <c r="C1095" s="1" t="n">
        <v>45507</v>
      </c>
      <c r="D1095" t="inlineStr">
        <is>
          <t>JÄMTLANDS LÄN</t>
        </is>
      </c>
      <c r="E1095" t="inlineStr">
        <is>
          <t>BRÄCKE</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12900-2023</t>
        </is>
      </c>
      <c r="B1096" s="1" t="n">
        <v>45001</v>
      </c>
      <c r="C1096" s="1" t="n">
        <v>45507</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13033-2023</t>
        </is>
      </c>
      <c r="B1097" s="1" t="n">
        <v>45001</v>
      </c>
      <c r="C1097" s="1" t="n">
        <v>45507</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13019-2023</t>
        </is>
      </c>
      <c r="B1098" s="1" t="n">
        <v>45001</v>
      </c>
      <c r="C1098" s="1" t="n">
        <v>45507</v>
      </c>
      <c r="D1098" t="inlineStr">
        <is>
          <t>JÄMTLANDS LÄN</t>
        </is>
      </c>
      <c r="E1098" t="inlineStr">
        <is>
          <t>BRÄCKE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12977-2023</t>
        </is>
      </c>
      <c r="B1099" s="1" t="n">
        <v>45001</v>
      </c>
      <c r="C1099" s="1" t="n">
        <v>45507</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13258-2023</t>
        </is>
      </c>
      <c r="B1100" s="1" t="n">
        <v>45002</v>
      </c>
      <c r="C1100" s="1" t="n">
        <v>45507</v>
      </c>
      <c r="D1100" t="inlineStr">
        <is>
          <t>JÄMTLANDS LÄN</t>
        </is>
      </c>
      <c r="E1100" t="inlineStr">
        <is>
          <t>BRÄCKE</t>
        </is>
      </c>
      <c r="F1100" t="inlineStr">
        <is>
          <t>SCA</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13244-2023</t>
        </is>
      </c>
      <c r="B1101" s="1" t="n">
        <v>45002</v>
      </c>
      <c r="C1101" s="1" t="n">
        <v>45507</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13709-2023</t>
        </is>
      </c>
      <c r="B1102" s="1" t="n">
        <v>45006</v>
      </c>
      <c r="C1102" s="1" t="n">
        <v>45507</v>
      </c>
      <c r="D1102" t="inlineStr">
        <is>
          <t>JÄMTLANDS LÄN</t>
        </is>
      </c>
      <c r="E1102" t="inlineStr">
        <is>
          <t>BRÄCKE</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13708-2023</t>
        </is>
      </c>
      <c r="B1103" s="1" t="n">
        <v>45006</v>
      </c>
      <c r="C1103" s="1" t="n">
        <v>45507</v>
      </c>
      <c r="D1103" t="inlineStr">
        <is>
          <t>JÄMTLANDS LÄN</t>
        </is>
      </c>
      <c r="E1103" t="inlineStr">
        <is>
          <t>BRÄCKE</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13707-2023</t>
        </is>
      </c>
      <c r="B1104" s="1" t="n">
        <v>45006</v>
      </c>
      <c r="C1104" s="1" t="n">
        <v>45507</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13925-2023</t>
        </is>
      </c>
      <c r="B1105" s="1" t="n">
        <v>45008</v>
      </c>
      <c r="C1105" s="1" t="n">
        <v>45507</v>
      </c>
      <c r="D1105" t="inlineStr">
        <is>
          <t>JÄMTLANDS LÄN</t>
        </is>
      </c>
      <c r="E1105" t="inlineStr">
        <is>
          <t>BRÄCKE</t>
        </is>
      </c>
      <c r="F1105" t="inlineStr">
        <is>
          <t>Kyrkan</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13999-2023</t>
        </is>
      </c>
      <c r="B1106" s="1" t="n">
        <v>45008</v>
      </c>
      <c r="C1106" s="1" t="n">
        <v>45507</v>
      </c>
      <c r="D1106" t="inlineStr">
        <is>
          <t>JÄMTLANDS LÄN</t>
        </is>
      </c>
      <c r="E1106" t="inlineStr">
        <is>
          <t>BRÄCKE</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14262-2023</t>
        </is>
      </c>
      <c r="B1107" s="1" t="n">
        <v>45009</v>
      </c>
      <c r="C1107" s="1" t="n">
        <v>45507</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14266-2023</t>
        </is>
      </c>
      <c r="B1108" s="1" t="n">
        <v>45010</v>
      </c>
      <c r="C1108" s="1" t="n">
        <v>45507</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14274-2023</t>
        </is>
      </c>
      <c r="B1109" s="1" t="n">
        <v>45009</v>
      </c>
      <c r="C1109" s="1" t="n">
        <v>45507</v>
      </c>
      <c r="D1109" t="inlineStr">
        <is>
          <t>JÄMTLANDS LÄN</t>
        </is>
      </c>
      <c r="E1109" t="inlineStr">
        <is>
          <t>BRÄCKE</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14275-2023</t>
        </is>
      </c>
      <c r="B1110" s="1" t="n">
        <v>45009</v>
      </c>
      <c r="C1110" s="1" t="n">
        <v>45507</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14276-2023</t>
        </is>
      </c>
      <c r="B1111" s="1" t="n">
        <v>45010</v>
      </c>
      <c r="C1111" s="1" t="n">
        <v>45507</v>
      </c>
      <c r="D1111" t="inlineStr">
        <is>
          <t>JÄMTLANDS LÄN</t>
        </is>
      </c>
      <c r="E1111" t="inlineStr">
        <is>
          <t>BRÄCKE</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14278-2023</t>
        </is>
      </c>
      <c r="B1112" s="1" t="n">
        <v>45009</v>
      </c>
      <c r="C1112" s="1" t="n">
        <v>45507</v>
      </c>
      <c r="D1112" t="inlineStr">
        <is>
          <t>JÄMTLANDS LÄN</t>
        </is>
      </c>
      <c r="E1112" t="inlineStr">
        <is>
          <t>BRÄCKE</t>
        </is>
      </c>
      <c r="F1112" t="inlineStr">
        <is>
          <t>SCA</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14530-2023</t>
        </is>
      </c>
      <c r="B1113" s="1" t="n">
        <v>45013</v>
      </c>
      <c r="C1113" s="1" t="n">
        <v>45507</v>
      </c>
      <c r="D1113" t="inlineStr">
        <is>
          <t>JÄMTLANDS LÄN</t>
        </is>
      </c>
      <c r="E1113" t="inlineStr">
        <is>
          <t>BRÄCKE</t>
        </is>
      </c>
      <c r="F1113" t="inlineStr">
        <is>
          <t>SCA</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14642-2023</t>
        </is>
      </c>
      <c r="B1114" s="1" t="n">
        <v>45012</v>
      </c>
      <c r="C1114" s="1" t="n">
        <v>45507</v>
      </c>
      <c r="D1114" t="inlineStr">
        <is>
          <t>JÄMTLANDS LÄN</t>
        </is>
      </c>
      <c r="E1114" t="inlineStr">
        <is>
          <t>BRÄCKE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14693-2023</t>
        </is>
      </c>
      <c r="B1115" s="1" t="n">
        <v>45012</v>
      </c>
      <c r="C1115" s="1" t="n">
        <v>45507</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14798-2023</t>
        </is>
      </c>
      <c r="B1116" s="1" t="n">
        <v>45014</v>
      </c>
      <c r="C1116" s="1" t="n">
        <v>45507</v>
      </c>
      <c r="D1116" t="inlineStr">
        <is>
          <t>JÄMTLANDS LÄN</t>
        </is>
      </c>
      <c r="E1116" t="inlineStr">
        <is>
          <t>BRÄCKE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15366-2023</t>
        </is>
      </c>
      <c r="B1117" s="1" t="n">
        <v>45019</v>
      </c>
      <c r="C1117" s="1" t="n">
        <v>45507</v>
      </c>
      <c r="D1117" t="inlineStr">
        <is>
          <t>JÄMTLANDS LÄN</t>
        </is>
      </c>
      <c r="E1117" t="inlineStr">
        <is>
          <t>BRÄCKE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15824-2023</t>
        </is>
      </c>
      <c r="B1118" s="1" t="n">
        <v>45022</v>
      </c>
      <c r="C1118" s="1" t="n">
        <v>45507</v>
      </c>
      <c r="D1118" t="inlineStr">
        <is>
          <t>JÄMTLANDS LÄN</t>
        </is>
      </c>
      <c r="E1118" t="inlineStr">
        <is>
          <t>BRÄCKE</t>
        </is>
      </c>
      <c r="F1118" t="inlineStr">
        <is>
          <t>SCA</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15813-2023</t>
        </is>
      </c>
      <c r="B1119" s="1" t="n">
        <v>45021</v>
      </c>
      <c r="C1119" s="1" t="n">
        <v>45507</v>
      </c>
      <c r="D1119" t="inlineStr">
        <is>
          <t>JÄMTLANDS LÄN</t>
        </is>
      </c>
      <c r="E1119" t="inlineStr">
        <is>
          <t>BRÄCKE</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16180-2023</t>
        </is>
      </c>
      <c r="B1120" s="1" t="n">
        <v>45027</v>
      </c>
      <c r="C1120" s="1" t="n">
        <v>45507</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16232-2023</t>
        </is>
      </c>
      <c r="B1121" s="1" t="n">
        <v>45028</v>
      </c>
      <c r="C1121" s="1" t="n">
        <v>45507</v>
      </c>
      <c r="D1121" t="inlineStr">
        <is>
          <t>JÄMTLANDS LÄN</t>
        </is>
      </c>
      <c r="E1121" t="inlineStr">
        <is>
          <t>BRÄCKE</t>
        </is>
      </c>
      <c r="G1121" t="n">
        <v>16.2</v>
      </c>
      <c r="H1121" t="n">
        <v>0</v>
      </c>
      <c r="I1121" t="n">
        <v>0</v>
      </c>
      <c r="J1121" t="n">
        <v>0</v>
      </c>
      <c r="K1121" t="n">
        <v>0</v>
      </c>
      <c r="L1121" t="n">
        <v>0</v>
      </c>
      <c r="M1121" t="n">
        <v>0</v>
      </c>
      <c r="N1121" t="n">
        <v>0</v>
      </c>
      <c r="O1121" t="n">
        <v>0</v>
      </c>
      <c r="P1121" t="n">
        <v>0</v>
      </c>
      <c r="Q1121" t="n">
        <v>0</v>
      </c>
      <c r="R1121" s="2" t="inlineStr"/>
    </row>
    <row r="1122" ht="15" customHeight="1">
      <c r="A1122" t="inlineStr">
        <is>
          <t>A 16372-2023</t>
        </is>
      </c>
      <c r="B1122" s="1" t="n">
        <v>45029</v>
      </c>
      <c r="C1122" s="1" t="n">
        <v>45507</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16649-2023</t>
        </is>
      </c>
      <c r="B1123" s="1" t="n">
        <v>45028</v>
      </c>
      <c r="C1123" s="1" t="n">
        <v>45507</v>
      </c>
      <c r="D1123" t="inlineStr">
        <is>
          <t>JÄMTLANDS LÄN</t>
        </is>
      </c>
      <c r="E1123" t="inlineStr">
        <is>
          <t>BRÄCKE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16371-2023</t>
        </is>
      </c>
      <c r="B1124" s="1" t="n">
        <v>45029</v>
      </c>
      <c r="C1124" s="1" t="n">
        <v>45507</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16573-2023</t>
        </is>
      </c>
      <c r="B1125" s="1" t="n">
        <v>45030</v>
      </c>
      <c r="C1125" s="1" t="n">
        <v>45507</v>
      </c>
      <c r="D1125" t="inlineStr">
        <is>
          <t>JÄMTLANDS LÄN</t>
        </is>
      </c>
      <c r="E1125" t="inlineStr">
        <is>
          <t>BRÄCKE</t>
        </is>
      </c>
      <c r="F1125" t="inlineStr">
        <is>
          <t>SCA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16574-2023</t>
        </is>
      </c>
      <c r="B1126" s="1" t="n">
        <v>45029</v>
      </c>
      <c r="C1126" s="1" t="n">
        <v>45507</v>
      </c>
      <c r="D1126" t="inlineStr">
        <is>
          <t>JÄMTLANDS LÄN</t>
        </is>
      </c>
      <c r="E1126" t="inlineStr">
        <is>
          <t>BRÄCKE</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16751-2023</t>
        </is>
      </c>
      <c r="B1127" s="1" t="n">
        <v>45030</v>
      </c>
      <c r="C1127" s="1" t="n">
        <v>45507</v>
      </c>
      <c r="D1127" t="inlineStr">
        <is>
          <t>JÄMTLANDS LÄN</t>
        </is>
      </c>
      <c r="E1127" t="inlineStr">
        <is>
          <t>BRÄCKE</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16752-2023</t>
        </is>
      </c>
      <c r="B1128" s="1" t="n">
        <v>45030</v>
      </c>
      <c r="C1128" s="1" t="n">
        <v>45507</v>
      </c>
      <c r="D1128" t="inlineStr">
        <is>
          <t>JÄMTLANDS LÄN</t>
        </is>
      </c>
      <c r="E1128" t="inlineStr">
        <is>
          <t>BRÄCKE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16982-2023</t>
        </is>
      </c>
      <c r="B1129" s="1" t="n">
        <v>45033</v>
      </c>
      <c r="C1129" s="1" t="n">
        <v>45507</v>
      </c>
      <c r="D1129" t="inlineStr">
        <is>
          <t>JÄMTLANDS LÄN</t>
        </is>
      </c>
      <c r="E1129" t="inlineStr">
        <is>
          <t>BRÄCKE</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17209-2023</t>
        </is>
      </c>
      <c r="B1130" s="1" t="n">
        <v>45034</v>
      </c>
      <c r="C1130" s="1" t="n">
        <v>45507</v>
      </c>
      <c r="D1130" t="inlineStr">
        <is>
          <t>JÄMTLANDS LÄN</t>
        </is>
      </c>
      <c r="E1130" t="inlineStr">
        <is>
          <t>BRÄCKE</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17223-2023</t>
        </is>
      </c>
      <c r="B1131" s="1" t="n">
        <v>45034</v>
      </c>
      <c r="C1131" s="1" t="n">
        <v>45507</v>
      </c>
      <c r="D1131" t="inlineStr">
        <is>
          <t>JÄMTLANDS LÄN</t>
        </is>
      </c>
      <c r="E1131" t="inlineStr">
        <is>
          <t>BRÄCKE</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17568-2023</t>
        </is>
      </c>
      <c r="B1132" s="1" t="n">
        <v>45036</v>
      </c>
      <c r="C1132" s="1" t="n">
        <v>45507</v>
      </c>
      <c r="D1132" t="inlineStr">
        <is>
          <t>JÄMTLANDS LÄN</t>
        </is>
      </c>
      <c r="E1132" t="inlineStr">
        <is>
          <t>BRÄCKE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17665-2023</t>
        </is>
      </c>
      <c r="B1133" s="1" t="n">
        <v>45036</v>
      </c>
      <c r="C1133" s="1" t="n">
        <v>45507</v>
      </c>
      <c r="D1133" t="inlineStr">
        <is>
          <t>JÄMTLANDS LÄN</t>
        </is>
      </c>
      <c r="E1133" t="inlineStr">
        <is>
          <t>BRÄCKE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17857-2023</t>
        </is>
      </c>
      <c r="B1134" s="1" t="n">
        <v>45037</v>
      </c>
      <c r="C1134" s="1" t="n">
        <v>45507</v>
      </c>
      <c r="D1134" t="inlineStr">
        <is>
          <t>JÄMTLANDS LÄN</t>
        </is>
      </c>
      <c r="E1134" t="inlineStr">
        <is>
          <t>BRÄCKE</t>
        </is>
      </c>
      <c r="F1134" t="inlineStr">
        <is>
          <t>SCA</t>
        </is>
      </c>
      <c r="G1134" t="n">
        <v>20</v>
      </c>
      <c r="H1134" t="n">
        <v>0</v>
      </c>
      <c r="I1134" t="n">
        <v>0</v>
      </c>
      <c r="J1134" t="n">
        <v>0</v>
      </c>
      <c r="K1134" t="n">
        <v>0</v>
      </c>
      <c r="L1134" t="n">
        <v>0</v>
      </c>
      <c r="M1134" t="n">
        <v>0</v>
      </c>
      <c r="N1134" t="n">
        <v>0</v>
      </c>
      <c r="O1134" t="n">
        <v>0</v>
      </c>
      <c r="P1134" t="n">
        <v>0</v>
      </c>
      <c r="Q1134" t="n">
        <v>0</v>
      </c>
      <c r="R1134" s="2" t="inlineStr"/>
    </row>
    <row r="1135" ht="15" customHeight="1">
      <c r="A1135" t="inlineStr">
        <is>
          <t>A 17888-2023</t>
        </is>
      </c>
      <c r="B1135" s="1" t="n">
        <v>45037</v>
      </c>
      <c r="C1135" s="1" t="n">
        <v>45507</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18152-2023</t>
        </is>
      </c>
      <c r="B1136" s="1" t="n">
        <v>45040</v>
      </c>
      <c r="C1136" s="1" t="n">
        <v>45507</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18150-2023</t>
        </is>
      </c>
      <c r="B1137" s="1" t="n">
        <v>45041</v>
      </c>
      <c r="C1137" s="1" t="n">
        <v>45507</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18164-2023</t>
        </is>
      </c>
      <c r="B1138" s="1" t="n">
        <v>45041</v>
      </c>
      <c r="C1138" s="1" t="n">
        <v>45507</v>
      </c>
      <c r="D1138" t="inlineStr">
        <is>
          <t>JÄMTLANDS LÄN</t>
        </is>
      </c>
      <c r="E1138" t="inlineStr">
        <is>
          <t>BRÄCKE</t>
        </is>
      </c>
      <c r="F1138" t="inlineStr">
        <is>
          <t>SCA</t>
        </is>
      </c>
      <c r="G1138" t="n">
        <v>31.4</v>
      </c>
      <c r="H1138" t="n">
        <v>0</v>
      </c>
      <c r="I1138" t="n">
        <v>0</v>
      </c>
      <c r="J1138" t="n">
        <v>0</v>
      </c>
      <c r="K1138" t="n">
        <v>0</v>
      </c>
      <c r="L1138" t="n">
        <v>0</v>
      </c>
      <c r="M1138" t="n">
        <v>0</v>
      </c>
      <c r="N1138" t="n">
        <v>0</v>
      </c>
      <c r="O1138" t="n">
        <v>0</v>
      </c>
      <c r="P1138" t="n">
        <v>0</v>
      </c>
      <c r="Q1138" t="n">
        <v>0</v>
      </c>
      <c r="R1138" s="2" t="inlineStr"/>
    </row>
    <row r="1139" ht="15" customHeight="1">
      <c r="A1139" t="inlineStr">
        <is>
          <t>A 18229-2023</t>
        </is>
      </c>
      <c r="B1139" s="1" t="n">
        <v>45040</v>
      </c>
      <c r="C1139" s="1" t="n">
        <v>45507</v>
      </c>
      <c r="D1139" t="inlineStr">
        <is>
          <t>JÄMTLANDS LÄN</t>
        </is>
      </c>
      <c r="E1139" t="inlineStr">
        <is>
          <t>BRÄCKE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18151-2023</t>
        </is>
      </c>
      <c r="B1140" s="1" t="n">
        <v>45040</v>
      </c>
      <c r="C1140" s="1" t="n">
        <v>45507</v>
      </c>
      <c r="D1140" t="inlineStr">
        <is>
          <t>JÄMTLANDS LÄN</t>
        </is>
      </c>
      <c r="E1140" t="inlineStr">
        <is>
          <t>BRÄCKE</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18236-2023</t>
        </is>
      </c>
      <c r="B1141" s="1" t="n">
        <v>45040</v>
      </c>
      <c r="C1141" s="1" t="n">
        <v>45507</v>
      </c>
      <c r="D1141" t="inlineStr">
        <is>
          <t>JÄMTLANDS LÄN</t>
        </is>
      </c>
      <c r="E1141" t="inlineStr">
        <is>
          <t>BRÄCKE</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18206-2023</t>
        </is>
      </c>
      <c r="B1142" s="1" t="n">
        <v>45041</v>
      </c>
      <c r="C1142" s="1" t="n">
        <v>45507</v>
      </c>
      <c r="D1142" t="inlineStr">
        <is>
          <t>JÄMTLANDS LÄN</t>
        </is>
      </c>
      <c r="E1142" t="inlineStr">
        <is>
          <t>BRÄCKE</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18559-2023</t>
        </is>
      </c>
      <c r="B1143" s="1" t="n">
        <v>45043</v>
      </c>
      <c r="C1143" s="1" t="n">
        <v>45507</v>
      </c>
      <c r="D1143" t="inlineStr">
        <is>
          <t>JÄMTLANDS LÄN</t>
        </is>
      </c>
      <c r="E1143" t="inlineStr">
        <is>
          <t>BRÄCKE</t>
        </is>
      </c>
      <c r="F1143" t="inlineStr">
        <is>
          <t>SCA</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18552-2023</t>
        </is>
      </c>
      <c r="B1144" s="1" t="n">
        <v>45043</v>
      </c>
      <c r="C1144" s="1" t="n">
        <v>45507</v>
      </c>
      <c r="D1144" t="inlineStr">
        <is>
          <t>JÄMTLANDS LÄN</t>
        </is>
      </c>
      <c r="E1144" t="inlineStr">
        <is>
          <t>BRÄCKE</t>
        </is>
      </c>
      <c r="F1144" t="inlineStr">
        <is>
          <t>SCA</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18698-2023</t>
        </is>
      </c>
      <c r="B1145" s="1" t="n">
        <v>45042</v>
      </c>
      <c r="C1145" s="1" t="n">
        <v>45507</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18555-2023</t>
        </is>
      </c>
      <c r="B1146" s="1" t="n">
        <v>45042</v>
      </c>
      <c r="C1146" s="1" t="n">
        <v>45507</v>
      </c>
      <c r="D1146" t="inlineStr">
        <is>
          <t>JÄMTLANDS LÄN</t>
        </is>
      </c>
      <c r="E1146" t="inlineStr">
        <is>
          <t>BRÄCKE</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18674-2023</t>
        </is>
      </c>
      <c r="B1147" s="1" t="n">
        <v>45043</v>
      </c>
      <c r="C1147" s="1" t="n">
        <v>45507</v>
      </c>
      <c r="D1147" t="inlineStr">
        <is>
          <t>JÄMTLANDS LÄN</t>
        </is>
      </c>
      <c r="E1147" t="inlineStr">
        <is>
          <t>BRÄCKE</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19237-2023</t>
        </is>
      </c>
      <c r="B1148" s="1" t="n">
        <v>45049</v>
      </c>
      <c r="C1148" s="1" t="n">
        <v>45507</v>
      </c>
      <c r="D1148" t="inlineStr">
        <is>
          <t>JÄMTLANDS LÄN</t>
        </is>
      </c>
      <c r="E1148" t="inlineStr">
        <is>
          <t>BRÄCKE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19436-2023</t>
        </is>
      </c>
      <c r="B1149" s="1" t="n">
        <v>45050</v>
      </c>
      <c r="C1149" s="1" t="n">
        <v>45507</v>
      </c>
      <c r="D1149" t="inlineStr">
        <is>
          <t>JÄMTLANDS LÄN</t>
        </is>
      </c>
      <c r="E1149" t="inlineStr">
        <is>
          <t>BRÄCKE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19465-2023</t>
        </is>
      </c>
      <c r="B1150" s="1" t="n">
        <v>45049</v>
      </c>
      <c r="C1150" s="1" t="n">
        <v>45507</v>
      </c>
      <c r="D1150" t="inlineStr">
        <is>
          <t>JÄMTLANDS LÄN</t>
        </is>
      </c>
      <c r="E1150" t="inlineStr">
        <is>
          <t>BRÄCKE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19486-2023</t>
        </is>
      </c>
      <c r="B1151" s="1" t="n">
        <v>45049</v>
      </c>
      <c r="C1151" s="1" t="n">
        <v>45507</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19485-2023</t>
        </is>
      </c>
      <c r="B1152" s="1" t="n">
        <v>45049</v>
      </c>
      <c r="C1152" s="1" t="n">
        <v>45507</v>
      </c>
      <c r="D1152" t="inlineStr">
        <is>
          <t>JÄMTLANDS LÄN</t>
        </is>
      </c>
      <c r="E1152" t="inlineStr">
        <is>
          <t>BRÄCKE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19496-2023</t>
        </is>
      </c>
      <c r="B1153" s="1" t="n">
        <v>45049</v>
      </c>
      <c r="C1153" s="1" t="n">
        <v>45507</v>
      </c>
      <c r="D1153" t="inlineStr">
        <is>
          <t>JÄMTLANDS LÄN</t>
        </is>
      </c>
      <c r="E1153" t="inlineStr">
        <is>
          <t>BRÄCKE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19533-2023</t>
        </is>
      </c>
      <c r="B1154" s="1" t="n">
        <v>45050</v>
      </c>
      <c r="C1154" s="1" t="n">
        <v>45507</v>
      </c>
      <c r="D1154" t="inlineStr">
        <is>
          <t>JÄMTLANDS LÄN</t>
        </is>
      </c>
      <c r="E1154" t="inlineStr">
        <is>
          <t>BRÄCKE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19461-2023</t>
        </is>
      </c>
      <c r="B1155" s="1" t="n">
        <v>45050</v>
      </c>
      <c r="C1155" s="1" t="n">
        <v>45507</v>
      </c>
      <c r="D1155" t="inlineStr">
        <is>
          <t>JÄMTLANDS LÄN</t>
        </is>
      </c>
      <c r="E1155" t="inlineStr">
        <is>
          <t>BRÄCKE</t>
        </is>
      </c>
      <c r="G1155" t="n">
        <v>14.8</v>
      </c>
      <c r="H1155" t="n">
        <v>0</v>
      </c>
      <c r="I1155" t="n">
        <v>0</v>
      </c>
      <c r="J1155" t="n">
        <v>0</v>
      </c>
      <c r="K1155" t="n">
        <v>0</v>
      </c>
      <c r="L1155" t="n">
        <v>0</v>
      </c>
      <c r="M1155" t="n">
        <v>0</v>
      </c>
      <c r="N1155" t="n">
        <v>0</v>
      </c>
      <c r="O1155" t="n">
        <v>0</v>
      </c>
      <c r="P1155" t="n">
        <v>0</v>
      </c>
      <c r="Q1155" t="n">
        <v>0</v>
      </c>
      <c r="R1155" s="2" t="inlineStr"/>
    </row>
    <row r="1156" ht="15" customHeight="1">
      <c r="A1156" t="inlineStr">
        <is>
          <t>A 19819-2023</t>
        </is>
      </c>
      <c r="B1156" s="1" t="n">
        <v>45052</v>
      </c>
      <c r="C1156" s="1" t="n">
        <v>45507</v>
      </c>
      <c r="D1156" t="inlineStr">
        <is>
          <t>JÄMTLANDS LÄN</t>
        </is>
      </c>
      <c r="E1156" t="inlineStr">
        <is>
          <t>BRÄCKE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19823-2023</t>
        </is>
      </c>
      <c r="B1157" s="1" t="n">
        <v>45052</v>
      </c>
      <c r="C1157" s="1" t="n">
        <v>45507</v>
      </c>
      <c r="D1157" t="inlineStr">
        <is>
          <t>JÄMTLANDS LÄN</t>
        </is>
      </c>
      <c r="E1157" t="inlineStr">
        <is>
          <t>BRÄCKE</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19820-2023</t>
        </is>
      </c>
      <c r="B1158" s="1" t="n">
        <v>45051</v>
      </c>
      <c r="C1158" s="1" t="n">
        <v>45507</v>
      </c>
      <c r="D1158" t="inlineStr">
        <is>
          <t>JÄMTLANDS LÄN</t>
        </is>
      </c>
      <c r="E1158" t="inlineStr">
        <is>
          <t>BRÄCKE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19824-2023</t>
        </is>
      </c>
      <c r="B1159" s="1" t="n">
        <v>45051</v>
      </c>
      <c r="C1159" s="1" t="n">
        <v>45507</v>
      </c>
      <c r="D1159" t="inlineStr">
        <is>
          <t>JÄMTLANDS LÄN</t>
        </is>
      </c>
      <c r="E1159" t="inlineStr">
        <is>
          <t>BRÄCKE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19822-2023</t>
        </is>
      </c>
      <c r="B1160" s="1" t="n">
        <v>45052</v>
      </c>
      <c r="C1160" s="1" t="n">
        <v>45507</v>
      </c>
      <c r="D1160" t="inlineStr">
        <is>
          <t>JÄMTLANDS LÄN</t>
        </is>
      </c>
      <c r="E1160" t="inlineStr">
        <is>
          <t>BRÄCKE</t>
        </is>
      </c>
      <c r="F1160" t="inlineStr">
        <is>
          <t>SCA</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19821-2023</t>
        </is>
      </c>
      <c r="B1161" s="1" t="n">
        <v>45051</v>
      </c>
      <c r="C1161" s="1" t="n">
        <v>45507</v>
      </c>
      <c r="D1161" t="inlineStr">
        <is>
          <t>JÄMTLANDS LÄN</t>
        </is>
      </c>
      <c r="E1161" t="inlineStr">
        <is>
          <t>BRÄCKE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19941-2023</t>
        </is>
      </c>
      <c r="B1162" s="1" t="n">
        <v>45051</v>
      </c>
      <c r="C1162" s="1" t="n">
        <v>45507</v>
      </c>
      <c r="D1162" t="inlineStr">
        <is>
          <t>JÄMTLANDS LÄN</t>
        </is>
      </c>
      <c r="E1162" t="inlineStr">
        <is>
          <t>BRÄCKE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20095-2023</t>
        </is>
      </c>
      <c r="B1163" s="1" t="n">
        <v>45055</v>
      </c>
      <c r="C1163" s="1" t="n">
        <v>45507</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20100-2023</t>
        </is>
      </c>
      <c r="B1164" s="1" t="n">
        <v>45055</v>
      </c>
      <c r="C1164" s="1" t="n">
        <v>45507</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20101-2023</t>
        </is>
      </c>
      <c r="B1165" s="1" t="n">
        <v>45055</v>
      </c>
      <c r="C1165" s="1" t="n">
        <v>45507</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20093-2023</t>
        </is>
      </c>
      <c r="B1166" s="1" t="n">
        <v>45055</v>
      </c>
      <c r="C1166" s="1" t="n">
        <v>45507</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20265-2023</t>
        </is>
      </c>
      <c r="B1167" s="1" t="n">
        <v>45056</v>
      </c>
      <c r="C1167" s="1" t="n">
        <v>45507</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20270-2023</t>
        </is>
      </c>
      <c r="B1168" s="1" t="n">
        <v>45056</v>
      </c>
      <c r="C1168" s="1" t="n">
        <v>45507</v>
      </c>
      <c r="D1168" t="inlineStr">
        <is>
          <t>JÄMTLANDS LÄN</t>
        </is>
      </c>
      <c r="E1168" t="inlineStr">
        <is>
          <t>BRÄCKE</t>
        </is>
      </c>
      <c r="F1168" t="inlineStr">
        <is>
          <t>SCA</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20276-2023</t>
        </is>
      </c>
      <c r="B1169" s="1" t="n">
        <v>45056</v>
      </c>
      <c r="C1169" s="1" t="n">
        <v>45507</v>
      </c>
      <c r="D1169" t="inlineStr">
        <is>
          <t>JÄMTLANDS LÄN</t>
        </is>
      </c>
      <c r="E1169" t="inlineStr">
        <is>
          <t>BRÄCKE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20603-2023</t>
        </is>
      </c>
      <c r="B1170" s="1" t="n">
        <v>45057</v>
      </c>
      <c r="C1170" s="1" t="n">
        <v>45507</v>
      </c>
      <c r="D1170" t="inlineStr">
        <is>
          <t>JÄMTLANDS LÄN</t>
        </is>
      </c>
      <c r="E1170" t="inlineStr">
        <is>
          <t>BRÄCKE</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20612-2023</t>
        </is>
      </c>
      <c r="B1171" s="1" t="n">
        <v>45057</v>
      </c>
      <c r="C1171" s="1" t="n">
        <v>45507</v>
      </c>
      <c r="D1171" t="inlineStr">
        <is>
          <t>JÄMTLANDS LÄN</t>
        </is>
      </c>
      <c r="E1171" t="inlineStr">
        <is>
          <t>BRÄCKE</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20616-2023</t>
        </is>
      </c>
      <c r="B1172" s="1" t="n">
        <v>45057</v>
      </c>
      <c r="C1172" s="1" t="n">
        <v>45507</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20602-2023</t>
        </is>
      </c>
      <c r="B1173" s="1" t="n">
        <v>45058</v>
      </c>
      <c r="C1173" s="1" t="n">
        <v>45507</v>
      </c>
      <c r="D1173" t="inlineStr">
        <is>
          <t>JÄMTLANDS LÄN</t>
        </is>
      </c>
      <c r="E1173" t="inlineStr">
        <is>
          <t>BRÄCKE</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20615-2023</t>
        </is>
      </c>
      <c r="B1174" s="1" t="n">
        <v>45058</v>
      </c>
      <c r="C1174" s="1" t="n">
        <v>45507</v>
      </c>
      <c r="D1174" t="inlineStr">
        <is>
          <t>JÄMTLANDS LÄN</t>
        </is>
      </c>
      <c r="E1174" t="inlineStr">
        <is>
          <t>BRÄCKE</t>
        </is>
      </c>
      <c r="F1174" t="inlineStr">
        <is>
          <t>SCA</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20625-2023</t>
        </is>
      </c>
      <c r="B1175" s="1" t="n">
        <v>45058</v>
      </c>
      <c r="C1175" s="1" t="n">
        <v>45507</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20630-2023</t>
        </is>
      </c>
      <c r="B1176" s="1" t="n">
        <v>45057</v>
      </c>
      <c r="C1176" s="1" t="n">
        <v>45507</v>
      </c>
      <c r="D1176" t="inlineStr">
        <is>
          <t>JÄMTLANDS LÄN</t>
        </is>
      </c>
      <c r="E1176" t="inlineStr">
        <is>
          <t>BRÄCKE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20605-2023</t>
        </is>
      </c>
      <c r="B1177" s="1" t="n">
        <v>45057</v>
      </c>
      <c r="C1177" s="1" t="n">
        <v>45507</v>
      </c>
      <c r="D1177" t="inlineStr">
        <is>
          <t>JÄMTLANDS LÄN</t>
        </is>
      </c>
      <c r="E1177" t="inlineStr">
        <is>
          <t>BRÄCKE</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20614-2023</t>
        </is>
      </c>
      <c r="B1178" s="1" t="n">
        <v>45057</v>
      </c>
      <c r="C1178" s="1" t="n">
        <v>45507</v>
      </c>
      <c r="D1178" t="inlineStr">
        <is>
          <t>JÄMTLANDS LÄN</t>
        </is>
      </c>
      <c r="E1178" t="inlineStr">
        <is>
          <t>BRÄCKE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20624-2023</t>
        </is>
      </c>
      <c r="B1179" s="1" t="n">
        <v>45058</v>
      </c>
      <c r="C1179" s="1" t="n">
        <v>45507</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20613-2023</t>
        </is>
      </c>
      <c r="B1180" s="1" t="n">
        <v>45057</v>
      </c>
      <c r="C1180" s="1" t="n">
        <v>45507</v>
      </c>
      <c r="D1180" t="inlineStr">
        <is>
          <t>JÄMTLANDS LÄN</t>
        </is>
      </c>
      <c r="E1180" t="inlineStr">
        <is>
          <t>BRÄCKE</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20864-2023</t>
        </is>
      </c>
      <c r="B1181" s="1" t="n">
        <v>45058</v>
      </c>
      <c r="C1181" s="1" t="n">
        <v>45507</v>
      </c>
      <c r="D1181" t="inlineStr">
        <is>
          <t>JÄMTLANDS LÄN</t>
        </is>
      </c>
      <c r="E1181" t="inlineStr">
        <is>
          <t>BRÄCKE</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20866-2023</t>
        </is>
      </c>
      <c r="B1182" s="1" t="n">
        <v>45058</v>
      </c>
      <c r="C1182" s="1" t="n">
        <v>45507</v>
      </c>
      <c r="D1182" t="inlineStr">
        <is>
          <t>JÄMTLANDS LÄN</t>
        </is>
      </c>
      <c r="E1182" t="inlineStr">
        <is>
          <t>BRÄCKE</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20863-2023</t>
        </is>
      </c>
      <c r="B1183" s="1" t="n">
        <v>45058</v>
      </c>
      <c r="C1183" s="1" t="n">
        <v>45507</v>
      </c>
      <c r="D1183" t="inlineStr">
        <is>
          <t>JÄMTLANDS LÄN</t>
        </is>
      </c>
      <c r="E1183" t="inlineStr">
        <is>
          <t>BRÄCKE</t>
        </is>
      </c>
      <c r="F1183" t="inlineStr">
        <is>
          <t>SCA</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20867-2023</t>
        </is>
      </c>
      <c r="B1184" s="1" t="n">
        <v>45058</v>
      </c>
      <c r="C1184" s="1" t="n">
        <v>45507</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20865-2023</t>
        </is>
      </c>
      <c r="B1185" s="1" t="n">
        <v>45059</v>
      </c>
      <c r="C1185" s="1" t="n">
        <v>45507</v>
      </c>
      <c r="D1185" t="inlineStr">
        <is>
          <t>JÄMTLANDS LÄN</t>
        </is>
      </c>
      <c r="E1185" t="inlineStr">
        <is>
          <t>BRÄCKE</t>
        </is>
      </c>
      <c r="F1185" t="inlineStr">
        <is>
          <t>SCA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20869-2023</t>
        </is>
      </c>
      <c r="B1186" s="1" t="n">
        <v>45058</v>
      </c>
      <c r="C1186" s="1" t="n">
        <v>45507</v>
      </c>
      <c r="D1186" t="inlineStr">
        <is>
          <t>JÄMTLANDS LÄN</t>
        </is>
      </c>
      <c r="E1186" t="inlineStr">
        <is>
          <t>BRÄCKE</t>
        </is>
      </c>
      <c r="F1186" t="inlineStr">
        <is>
          <t>SCA</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20870-2023</t>
        </is>
      </c>
      <c r="B1187" s="1" t="n">
        <v>45059</v>
      </c>
      <c r="C1187" s="1" t="n">
        <v>45507</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20868-2023</t>
        </is>
      </c>
      <c r="B1188" s="1" t="n">
        <v>45059</v>
      </c>
      <c r="C1188" s="1" t="n">
        <v>45507</v>
      </c>
      <c r="D1188" t="inlineStr">
        <is>
          <t>JÄMTLANDS LÄN</t>
        </is>
      </c>
      <c r="E1188" t="inlineStr">
        <is>
          <t>BRÄCKE</t>
        </is>
      </c>
      <c r="F1188" t="inlineStr">
        <is>
          <t>SCA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20879-2023</t>
        </is>
      </c>
      <c r="B1189" s="1" t="n">
        <v>45059</v>
      </c>
      <c r="C1189" s="1" t="n">
        <v>45507</v>
      </c>
      <c r="D1189" t="inlineStr">
        <is>
          <t>JÄMTLANDS LÄN</t>
        </is>
      </c>
      <c r="E1189" t="inlineStr">
        <is>
          <t>BRÄCKE</t>
        </is>
      </c>
      <c r="F1189" t="inlineStr">
        <is>
          <t>Naturvårdsverket</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21183-2023</t>
        </is>
      </c>
      <c r="B1190" s="1" t="n">
        <v>45058</v>
      </c>
      <c r="C1190" s="1" t="n">
        <v>45507</v>
      </c>
      <c r="D1190" t="inlineStr">
        <is>
          <t>JÄMTLANDS LÄN</t>
        </is>
      </c>
      <c r="E1190" t="inlineStr">
        <is>
          <t>BRÄCKE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21243-2023</t>
        </is>
      </c>
      <c r="B1191" s="1" t="n">
        <v>45058</v>
      </c>
      <c r="C1191" s="1" t="n">
        <v>45507</v>
      </c>
      <c r="D1191" t="inlineStr">
        <is>
          <t>JÄMTLANDS LÄN</t>
        </is>
      </c>
      <c r="E1191" t="inlineStr">
        <is>
          <t>BRÄCKE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21114-2023</t>
        </is>
      </c>
      <c r="B1192" s="1" t="n">
        <v>45062</v>
      </c>
      <c r="C1192" s="1" t="n">
        <v>45507</v>
      </c>
      <c r="D1192" t="inlineStr">
        <is>
          <t>JÄMTLANDS LÄN</t>
        </is>
      </c>
      <c r="E1192" t="inlineStr">
        <is>
          <t>BRÄCKE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21118-2023</t>
        </is>
      </c>
      <c r="B1193" s="1" t="n">
        <v>45062</v>
      </c>
      <c r="C1193" s="1" t="n">
        <v>45507</v>
      </c>
      <c r="D1193" t="inlineStr">
        <is>
          <t>JÄMTLANDS LÄN</t>
        </is>
      </c>
      <c r="E1193" t="inlineStr">
        <is>
          <t>BRÄCKE</t>
        </is>
      </c>
      <c r="F1193" t="inlineStr">
        <is>
          <t>SCA</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21116-2023</t>
        </is>
      </c>
      <c r="B1194" s="1" t="n">
        <v>45062</v>
      </c>
      <c r="C1194" s="1" t="n">
        <v>45507</v>
      </c>
      <c r="D1194" t="inlineStr">
        <is>
          <t>JÄMTLANDS LÄN</t>
        </is>
      </c>
      <c r="E1194" t="inlineStr">
        <is>
          <t>BRÄCKE</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21113-2023</t>
        </is>
      </c>
      <c r="B1195" s="1" t="n">
        <v>45062</v>
      </c>
      <c r="C1195" s="1" t="n">
        <v>45507</v>
      </c>
      <c r="D1195" t="inlineStr">
        <is>
          <t>JÄMTLANDS LÄN</t>
        </is>
      </c>
      <c r="E1195" t="inlineStr">
        <is>
          <t>BRÄCKE</t>
        </is>
      </c>
      <c r="F1195" t="inlineStr">
        <is>
          <t>SCA</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21117-2023</t>
        </is>
      </c>
      <c r="B1196" s="1" t="n">
        <v>45061</v>
      </c>
      <c r="C1196" s="1" t="n">
        <v>45507</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21308-2023</t>
        </is>
      </c>
      <c r="B1197" s="1" t="n">
        <v>45062</v>
      </c>
      <c r="C1197" s="1" t="n">
        <v>45507</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21350-2023</t>
        </is>
      </c>
      <c r="B1198" s="1" t="n">
        <v>45063</v>
      </c>
      <c r="C1198" s="1" t="n">
        <v>45507</v>
      </c>
      <c r="D1198" t="inlineStr">
        <is>
          <t>JÄMTLANDS LÄN</t>
        </is>
      </c>
      <c r="E1198" t="inlineStr">
        <is>
          <t>BRÄCKE</t>
        </is>
      </c>
      <c r="F1198" t="inlineStr">
        <is>
          <t>Naturvårdsverket</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21359-2023</t>
        </is>
      </c>
      <c r="B1199" s="1" t="n">
        <v>45062</v>
      </c>
      <c r="C1199" s="1" t="n">
        <v>45507</v>
      </c>
      <c r="D1199" t="inlineStr">
        <is>
          <t>JÄMTLANDS LÄN</t>
        </is>
      </c>
      <c r="E1199" t="inlineStr">
        <is>
          <t>BRÄCKE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21360-2023</t>
        </is>
      </c>
      <c r="B1200" s="1" t="n">
        <v>45062</v>
      </c>
      <c r="C1200" s="1" t="n">
        <v>45507</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21673-2023</t>
        </is>
      </c>
      <c r="B1201" s="1" t="n">
        <v>45064</v>
      </c>
      <c r="C1201" s="1" t="n">
        <v>45507</v>
      </c>
      <c r="D1201" t="inlineStr">
        <is>
          <t>JÄMTLANDS LÄN</t>
        </is>
      </c>
      <c r="E1201" t="inlineStr">
        <is>
          <t>BRÄCKE</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21780-2023</t>
        </is>
      </c>
      <c r="B1202" s="1" t="n">
        <v>45066</v>
      </c>
      <c r="C1202" s="1" t="n">
        <v>45507</v>
      </c>
      <c r="D1202" t="inlineStr">
        <is>
          <t>JÄMTLANDS LÄN</t>
        </is>
      </c>
      <c r="E1202" t="inlineStr">
        <is>
          <t>BRÄCKE</t>
        </is>
      </c>
      <c r="F1202" t="inlineStr">
        <is>
          <t>SCA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21781-2023</t>
        </is>
      </c>
      <c r="B1203" s="1" t="n">
        <v>45065</v>
      </c>
      <c r="C1203" s="1" t="n">
        <v>45507</v>
      </c>
      <c r="D1203" t="inlineStr">
        <is>
          <t>JÄMTLANDS LÄN</t>
        </is>
      </c>
      <c r="E1203" t="inlineStr">
        <is>
          <t>BRÄCKE</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21779-2023</t>
        </is>
      </c>
      <c r="B1204" s="1" t="n">
        <v>45065</v>
      </c>
      <c r="C1204" s="1" t="n">
        <v>45507</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21782-2023</t>
        </is>
      </c>
      <c r="B1205" s="1" t="n">
        <v>45066</v>
      </c>
      <c r="C1205" s="1" t="n">
        <v>45507</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22012-2023</t>
        </is>
      </c>
      <c r="B1206" s="1" t="n">
        <v>45069</v>
      </c>
      <c r="C1206" s="1" t="n">
        <v>45507</v>
      </c>
      <c r="D1206" t="inlineStr">
        <is>
          <t>JÄMTLANDS LÄN</t>
        </is>
      </c>
      <c r="E1206" t="inlineStr">
        <is>
          <t>BRÄCKE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22010-2023</t>
        </is>
      </c>
      <c r="B1207" s="1" t="n">
        <v>45068</v>
      </c>
      <c r="C1207" s="1" t="n">
        <v>45507</v>
      </c>
      <c r="D1207" t="inlineStr">
        <is>
          <t>JÄMTLANDS LÄN</t>
        </is>
      </c>
      <c r="E1207" t="inlineStr">
        <is>
          <t>BRÄCKE</t>
        </is>
      </c>
      <c r="F1207" t="inlineStr">
        <is>
          <t>SCA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22231-2023</t>
        </is>
      </c>
      <c r="B1208" s="1" t="n">
        <v>45069</v>
      </c>
      <c r="C1208" s="1" t="n">
        <v>45507</v>
      </c>
      <c r="D1208" t="inlineStr">
        <is>
          <t>JÄMTLANDS LÄN</t>
        </is>
      </c>
      <c r="E1208" t="inlineStr">
        <is>
          <t>BRÄCKE</t>
        </is>
      </c>
      <c r="F1208" t="inlineStr">
        <is>
          <t>SCA</t>
        </is>
      </c>
      <c r="G1208" t="n">
        <v>30.6</v>
      </c>
      <c r="H1208" t="n">
        <v>0</v>
      </c>
      <c r="I1208" t="n">
        <v>0</v>
      </c>
      <c r="J1208" t="n">
        <v>0</v>
      </c>
      <c r="K1208" t="n">
        <v>0</v>
      </c>
      <c r="L1208" t="n">
        <v>0</v>
      </c>
      <c r="M1208" t="n">
        <v>0</v>
      </c>
      <c r="N1208" t="n">
        <v>0</v>
      </c>
      <c r="O1208" t="n">
        <v>0</v>
      </c>
      <c r="P1208" t="n">
        <v>0</v>
      </c>
      <c r="Q1208" t="n">
        <v>0</v>
      </c>
      <c r="R1208" s="2" t="inlineStr"/>
    </row>
    <row r="1209" ht="15" customHeight="1">
      <c r="A1209" t="inlineStr">
        <is>
          <t>A 22232-2023</t>
        </is>
      </c>
      <c r="B1209" s="1" t="n">
        <v>45069</v>
      </c>
      <c r="C1209" s="1" t="n">
        <v>45507</v>
      </c>
      <c r="D1209" t="inlineStr">
        <is>
          <t>JÄMTLANDS LÄN</t>
        </is>
      </c>
      <c r="E1209" t="inlineStr">
        <is>
          <t>BRÄCKE</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22471-2023</t>
        </is>
      </c>
      <c r="B1210" s="1" t="n">
        <v>45070</v>
      </c>
      <c r="C1210" s="1" t="n">
        <v>45507</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22748-2023</t>
        </is>
      </c>
      <c r="B1211" s="1" t="n">
        <v>45071</v>
      </c>
      <c r="C1211" s="1" t="n">
        <v>45507</v>
      </c>
      <c r="D1211" t="inlineStr">
        <is>
          <t>JÄMTLANDS LÄN</t>
        </is>
      </c>
      <c r="E1211" t="inlineStr">
        <is>
          <t>BRÄCKE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22986-2023</t>
        </is>
      </c>
      <c r="B1212" s="1" t="n">
        <v>45073</v>
      </c>
      <c r="C1212" s="1" t="n">
        <v>45507</v>
      </c>
      <c r="D1212" t="inlineStr">
        <is>
          <t>JÄMTLANDS LÄN</t>
        </is>
      </c>
      <c r="E1212" t="inlineStr">
        <is>
          <t>BRÄCKE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22983-2023</t>
        </is>
      </c>
      <c r="B1213" s="1" t="n">
        <v>45073</v>
      </c>
      <c r="C1213" s="1" t="n">
        <v>45507</v>
      </c>
      <c r="D1213" t="inlineStr">
        <is>
          <t>JÄMTLANDS LÄN</t>
        </is>
      </c>
      <c r="E1213" t="inlineStr">
        <is>
          <t>BRÄCKE</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22988-2023</t>
        </is>
      </c>
      <c r="B1214" s="1" t="n">
        <v>45072</v>
      </c>
      <c r="C1214" s="1" t="n">
        <v>45507</v>
      </c>
      <c r="D1214" t="inlineStr">
        <is>
          <t>JÄMTLANDS LÄN</t>
        </is>
      </c>
      <c r="E1214" t="inlineStr">
        <is>
          <t>BRÄCKE</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23000-2023</t>
        </is>
      </c>
      <c r="B1215" s="1" t="n">
        <v>45073</v>
      </c>
      <c r="C1215" s="1" t="n">
        <v>45507</v>
      </c>
      <c r="D1215" t="inlineStr">
        <is>
          <t>JÄMTLANDS LÄN</t>
        </is>
      </c>
      <c r="E1215" t="inlineStr">
        <is>
          <t>BRÄCKE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22985-2023</t>
        </is>
      </c>
      <c r="B1216" s="1" t="n">
        <v>45072</v>
      </c>
      <c r="C1216" s="1" t="n">
        <v>45507</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23312-2023</t>
        </is>
      </c>
      <c r="B1217" s="1" t="n">
        <v>45076</v>
      </c>
      <c r="C1217" s="1" t="n">
        <v>45507</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23301-2023</t>
        </is>
      </c>
      <c r="B1218" s="1" t="n">
        <v>45075</v>
      </c>
      <c r="C1218" s="1" t="n">
        <v>45507</v>
      </c>
      <c r="D1218" t="inlineStr">
        <is>
          <t>JÄMTLANDS LÄN</t>
        </is>
      </c>
      <c r="E1218" t="inlineStr">
        <is>
          <t>BRÄCKE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23313-2023</t>
        </is>
      </c>
      <c r="B1219" s="1" t="n">
        <v>45076</v>
      </c>
      <c r="C1219" s="1" t="n">
        <v>45507</v>
      </c>
      <c r="D1219" t="inlineStr">
        <is>
          <t>JÄMTLANDS LÄN</t>
        </is>
      </c>
      <c r="E1219" t="inlineStr">
        <is>
          <t>BRÄCKE</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23306-2023</t>
        </is>
      </c>
      <c r="B1220" s="1" t="n">
        <v>45075</v>
      </c>
      <c r="C1220" s="1" t="n">
        <v>45507</v>
      </c>
      <c r="D1220" t="inlineStr">
        <is>
          <t>JÄMTLANDS LÄN</t>
        </is>
      </c>
      <c r="E1220" t="inlineStr">
        <is>
          <t>BRÄCKE</t>
        </is>
      </c>
      <c r="F1220" t="inlineStr">
        <is>
          <t>SCA</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23517-2023</t>
        </is>
      </c>
      <c r="B1221" s="1" t="n">
        <v>45077</v>
      </c>
      <c r="C1221" s="1" t="n">
        <v>45507</v>
      </c>
      <c r="D1221" t="inlineStr">
        <is>
          <t>JÄMTLANDS LÄN</t>
        </is>
      </c>
      <c r="E1221" t="inlineStr">
        <is>
          <t>BRÄCKE</t>
        </is>
      </c>
      <c r="F1221" t="inlineStr">
        <is>
          <t>SCA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23526-2023</t>
        </is>
      </c>
      <c r="B1222" s="1" t="n">
        <v>45077</v>
      </c>
      <c r="C1222" s="1" t="n">
        <v>45507</v>
      </c>
      <c r="D1222" t="inlineStr">
        <is>
          <t>JÄMTLANDS LÄN</t>
        </is>
      </c>
      <c r="E1222" t="inlineStr">
        <is>
          <t>BRÄCKE</t>
        </is>
      </c>
      <c r="F1222" t="inlineStr">
        <is>
          <t>SCA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23752-2023</t>
        </is>
      </c>
      <c r="B1223" s="1" t="n">
        <v>45078</v>
      </c>
      <c r="C1223" s="1" t="n">
        <v>45507</v>
      </c>
      <c r="D1223" t="inlineStr">
        <is>
          <t>JÄMTLANDS LÄN</t>
        </is>
      </c>
      <c r="E1223" t="inlineStr">
        <is>
          <t>BRÄCKE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23756-2023</t>
        </is>
      </c>
      <c r="B1224" s="1" t="n">
        <v>45078</v>
      </c>
      <c r="C1224" s="1" t="n">
        <v>45507</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23764-2023</t>
        </is>
      </c>
      <c r="B1225" s="1" t="n">
        <v>45078</v>
      </c>
      <c r="C1225" s="1" t="n">
        <v>45507</v>
      </c>
      <c r="D1225" t="inlineStr">
        <is>
          <t>JÄMTLANDS LÄN</t>
        </is>
      </c>
      <c r="E1225" t="inlineStr">
        <is>
          <t>BRÄCKE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23773-2023</t>
        </is>
      </c>
      <c r="B1226" s="1" t="n">
        <v>45078</v>
      </c>
      <c r="C1226" s="1" t="n">
        <v>45507</v>
      </c>
      <c r="D1226" t="inlineStr">
        <is>
          <t>JÄMTLANDS LÄN</t>
        </is>
      </c>
      <c r="E1226" t="inlineStr">
        <is>
          <t>BRÄCKE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23766-2023</t>
        </is>
      </c>
      <c r="B1227" s="1" t="n">
        <v>45078</v>
      </c>
      <c r="C1227" s="1" t="n">
        <v>45507</v>
      </c>
      <c r="D1227" t="inlineStr">
        <is>
          <t>JÄMTLANDS LÄN</t>
        </is>
      </c>
      <c r="E1227" t="inlineStr">
        <is>
          <t>BRÄCKE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23778-2023</t>
        </is>
      </c>
      <c r="B1228" s="1" t="n">
        <v>45077</v>
      </c>
      <c r="C1228" s="1" t="n">
        <v>45507</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23754-2023</t>
        </is>
      </c>
      <c r="B1229" s="1" t="n">
        <v>45078</v>
      </c>
      <c r="C1229" s="1" t="n">
        <v>45507</v>
      </c>
      <c r="D1229" t="inlineStr">
        <is>
          <t>JÄMTLANDS LÄN</t>
        </is>
      </c>
      <c r="E1229" t="inlineStr">
        <is>
          <t>BRÄCKE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23767-2023</t>
        </is>
      </c>
      <c r="B1230" s="1" t="n">
        <v>45077</v>
      </c>
      <c r="C1230" s="1" t="n">
        <v>45507</v>
      </c>
      <c r="D1230" t="inlineStr">
        <is>
          <t>JÄMTLANDS LÄN</t>
        </is>
      </c>
      <c r="E1230" t="inlineStr">
        <is>
          <t>BRÄCKE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23771-2023</t>
        </is>
      </c>
      <c r="B1231" s="1" t="n">
        <v>45077</v>
      </c>
      <c r="C1231" s="1" t="n">
        <v>45507</v>
      </c>
      <c r="D1231" t="inlineStr">
        <is>
          <t>JÄMTLANDS LÄN</t>
        </is>
      </c>
      <c r="E1231" t="inlineStr">
        <is>
          <t>BRÄCKE</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23755-2023</t>
        </is>
      </c>
      <c r="B1232" s="1" t="n">
        <v>45078</v>
      </c>
      <c r="C1232" s="1" t="n">
        <v>45507</v>
      </c>
      <c r="D1232" t="inlineStr">
        <is>
          <t>JÄMTLANDS LÄN</t>
        </is>
      </c>
      <c r="E1232" t="inlineStr">
        <is>
          <t>BRÄCKE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23763-2023</t>
        </is>
      </c>
      <c r="B1233" s="1" t="n">
        <v>45078</v>
      </c>
      <c r="C1233" s="1" t="n">
        <v>45507</v>
      </c>
      <c r="D1233" t="inlineStr">
        <is>
          <t>JÄMTLANDS LÄN</t>
        </is>
      </c>
      <c r="E1233" t="inlineStr">
        <is>
          <t>BRÄCKE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23772-2023</t>
        </is>
      </c>
      <c r="B1234" s="1" t="n">
        <v>45077</v>
      </c>
      <c r="C1234" s="1" t="n">
        <v>45507</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24043-2023</t>
        </is>
      </c>
      <c r="B1235" s="1" t="n">
        <v>45078</v>
      </c>
      <c r="C1235" s="1" t="n">
        <v>45507</v>
      </c>
      <c r="D1235" t="inlineStr">
        <is>
          <t>JÄMTLANDS LÄN</t>
        </is>
      </c>
      <c r="E1235" t="inlineStr">
        <is>
          <t>BRÄCKE</t>
        </is>
      </c>
      <c r="F1235" t="inlineStr">
        <is>
          <t>SCA</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24045-2023</t>
        </is>
      </c>
      <c r="B1236" s="1" t="n">
        <v>45078</v>
      </c>
      <c r="C1236" s="1" t="n">
        <v>45507</v>
      </c>
      <c r="D1236" t="inlineStr">
        <is>
          <t>JÄMTLANDS LÄN</t>
        </is>
      </c>
      <c r="E1236" t="inlineStr">
        <is>
          <t>BRÄCKE</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24049-2023</t>
        </is>
      </c>
      <c r="B1237" s="1" t="n">
        <v>45079</v>
      </c>
      <c r="C1237" s="1" t="n">
        <v>45507</v>
      </c>
      <c r="D1237" t="inlineStr">
        <is>
          <t>JÄMTLANDS LÄN</t>
        </is>
      </c>
      <c r="E1237" t="inlineStr">
        <is>
          <t>BRÄCKE</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24046-2023</t>
        </is>
      </c>
      <c r="B1238" s="1" t="n">
        <v>45078</v>
      </c>
      <c r="C1238" s="1" t="n">
        <v>45507</v>
      </c>
      <c r="D1238" t="inlineStr">
        <is>
          <t>JÄMTLANDS LÄN</t>
        </is>
      </c>
      <c r="E1238" t="inlineStr">
        <is>
          <t>BRÄCKE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24048-2023</t>
        </is>
      </c>
      <c r="B1239" s="1" t="n">
        <v>45079</v>
      </c>
      <c r="C1239" s="1" t="n">
        <v>45507</v>
      </c>
      <c r="D1239" t="inlineStr">
        <is>
          <t>JÄMTLANDS LÄN</t>
        </is>
      </c>
      <c r="E1239" t="inlineStr">
        <is>
          <t>BRÄCKE</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24047-2023</t>
        </is>
      </c>
      <c r="B1240" s="1" t="n">
        <v>45079</v>
      </c>
      <c r="C1240" s="1" t="n">
        <v>45507</v>
      </c>
      <c r="D1240" t="inlineStr">
        <is>
          <t>JÄMTLANDS LÄN</t>
        </is>
      </c>
      <c r="E1240" t="inlineStr">
        <is>
          <t>BRÄCKE</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24195-2023</t>
        </is>
      </c>
      <c r="B1241" s="1" t="n">
        <v>45079</v>
      </c>
      <c r="C1241" s="1" t="n">
        <v>45507</v>
      </c>
      <c r="D1241" t="inlineStr">
        <is>
          <t>JÄMTLANDS LÄN</t>
        </is>
      </c>
      <c r="E1241" t="inlineStr">
        <is>
          <t>BRÄCKE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24214-2023</t>
        </is>
      </c>
      <c r="B1242" s="1" t="n">
        <v>45079</v>
      </c>
      <c r="C1242" s="1" t="n">
        <v>45507</v>
      </c>
      <c r="D1242" t="inlineStr">
        <is>
          <t>JÄMTLANDS LÄN</t>
        </is>
      </c>
      <c r="E1242" t="inlineStr">
        <is>
          <t>BRÄCKE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24206-2023</t>
        </is>
      </c>
      <c r="B1243" s="1" t="n">
        <v>45079</v>
      </c>
      <c r="C1243" s="1" t="n">
        <v>45507</v>
      </c>
      <c r="D1243" t="inlineStr">
        <is>
          <t>JÄMTLANDS LÄN</t>
        </is>
      </c>
      <c r="E1243" t="inlineStr">
        <is>
          <t>BRÄCKE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24182-2023</t>
        </is>
      </c>
      <c r="B1244" s="1" t="n">
        <v>45079</v>
      </c>
      <c r="C1244" s="1" t="n">
        <v>45507</v>
      </c>
      <c r="D1244" t="inlineStr">
        <is>
          <t>JÄMTLANDS LÄN</t>
        </is>
      </c>
      <c r="E1244" t="inlineStr">
        <is>
          <t>BRÄCKE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24550-2023</t>
        </is>
      </c>
      <c r="B1245" s="1" t="n">
        <v>45082</v>
      </c>
      <c r="C1245" s="1" t="n">
        <v>45507</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25043-2023</t>
        </is>
      </c>
      <c r="B1246" s="1" t="n">
        <v>45085</v>
      </c>
      <c r="C1246" s="1" t="n">
        <v>45507</v>
      </c>
      <c r="D1246" t="inlineStr">
        <is>
          <t>JÄMTLANDS LÄN</t>
        </is>
      </c>
      <c r="E1246" t="inlineStr">
        <is>
          <t>BRÄCKE</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25056-2023</t>
        </is>
      </c>
      <c r="B1247" s="1" t="n">
        <v>45086</v>
      </c>
      <c r="C1247" s="1" t="n">
        <v>45507</v>
      </c>
      <c r="D1247" t="inlineStr">
        <is>
          <t>JÄMTLANDS LÄN</t>
        </is>
      </c>
      <c r="E1247" t="inlineStr">
        <is>
          <t>BRÄCKE</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25060-2023</t>
        </is>
      </c>
      <c r="B1248" s="1" t="n">
        <v>45086</v>
      </c>
      <c r="C1248" s="1" t="n">
        <v>45507</v>
      </c>
      <c r="D1248" t="inlineStr">
        <is>
          <t>JÄMTLANDS LÄN</t>
        </is>
      </c>
      <c r="E1248" t="inlineStr">
        <is>
          <t>BRÄCKE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25041-2023</t>
        </is>
      </c>
      <c r="B1249" s="1" t="n">
        <v>45085</v>
      </c>
      <c r="C1249" s="1" t="n">
        <v>45507</v>
      </c>
      <c r="D1249" t="inlineStr">
        <is>
          <t>JÄMTLANDS LÄN</t>
        </is>
      </c>
      <c r="E1249" t="inlineStr">
        <is>
          <t>BRÄCKE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25058-2023</t>
        </is>
      </c>
      <c r="B1250" s="1" t="n">
        <v>45086</v>
      </c>
      <c r="C1250" s="1" t="n">
        <v>45507</v>
      </c>
      <c r="D1250" t="inlineStr">
        <is>
          <t>JÄMTLANDS LÄN</t>
        </is>
      </c>
      <c r="E1250" t="inlineStr">
        <is>
          <t>BRÄCKE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25057-2023</t>
        </is>
      </c>
      <c r="B1251" s="1" t="n">
        <v>45086</v>
      </c>
      <c r="C1251" s="1" t="n">
        <v>45507</v>
      </c>
      <c r="D1251" t="inlineStr">
        <is>
          <t>JÄMTLANDS LÄN</t>
        </is>
      </c>
      <c r="E1251" t="inlineStr">
        <is>
          <t>BRÄCKE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25061-2023</t>
        </is>
      </c>
      <c r="B1252" s="1" t="n">
        <v>45085</v>
      </c>
      <c r="C1252" s="1" t="n">
        <v>45507</v>
      </c>
      <c r="D1252" t="inlineStr">
        <is>
          <t>JÄMTLANDS LÄN</t>
        </is>
      </c>
      <c r="E1252" t="inlineStr">
        <is>
          <t>BRÄCKE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25895-2023</t>
        </is>
      </c>
      <c r="B1253" s="1" t="n">
        <v>45085</v>
      </c>
      <c r="C1253" s="1" t="n">
        <v>45507</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25042-2023</t>
        </is>
      </c>
      <c r="B1254" s="1" t="n">
        <v>45086</v>
      </c>
      <c r="C1254" s="1" t="n">
        <v>45507</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25055-2023</t>
        </is>
      </c>
      <c r="B1255" s="1" t="n">
        <v>45086</v>
      </c>
      <c r="C1255" s="1" t="n">
        <v>45507</v>
      </c>
      <c r="D1255" t="inlineStr">
        <is>
          <t>JÄMTLANDS LÄN</t>
        </is>
      </c>
      <c r="E1255" t="inlineStr">
        <is>
          <t>BRÄCKE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25059-2023</t>
        </is>
      </c>
      <c r="B1256" s="1" t="n">
        <v>45086</v>
      </c>
      <c r="C1256" s="1" t="n">
        <v>45507</v>
      </c>
      <c r="D1256" t="inlineStr">
        <is>
          <t>JÄMTLANDS LÄN</t>
        </is>
      </c>
      <c r="E1256" t="inlineStr">
        <is>
          <t>BRÄCKE</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25909-2023</t>
        </is>
      </c>
      <c r="B1257" s="1" t="n">
        <v>45085</v>
      </c>
      <c r="C1257" s="1" t="n">
        <v>45507</v>
      </c>
      <c r="D1257" t="inlineStr">
        <is>
          <t>JÄMTLANDS LÄN</t>
        </is>
      </c>
      <c r="E1257" t="inlineStr">
        <is>
          <t>BRÄCKE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25319-2023</t>
        </is>
      </c>
      <c r="B1258" s="1" t="n">
        <v>45087</v>
      </c>
      <c r="C1258" s="1" t="n">
        <v>45507</v>
      </c>
      <c r="D1258" t="inlineStr">
        <is>
          <t>JÄMTLANDS LÄN</t>
        </is>
      </c>
      <c r="E1258" t="inlineStr">
        <is>
          <t>BRÄCKE</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25317-2023</t>
        </is>
      </c>
      <c r="B1259" s="1" t="n">
        <v>45087</v>
      </c>
      <c r="C1259" s="1" t="n">
        <v>45507</v>
      </c>
      <c r="D1259" t="inlineStr">
        <is>
          <t>JÄMTLANDS LÄN</t>
        </is>
      </c>
      <c r="E1259" t="inlineStr">
        <is>
          <t>BRÄCKE</t>
        </is>
      </c>
      <c r="F1259" t="inlineStr">
        <is>
          <t>SCA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25329-2023</t>
        </is>
      </c>
      <c r="B1260" s="1" t="n">
        <v>45087</v>
      </c>
      <c r="C1260" s="1" t="n">
        <v>45507</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25318-2023</t>
        </is>
      </c>
      <c r="B1261" s="1" t="n">
        <v>45086</v>
      </c>
      <c r="C1261" s="1" t="n">
        <v>45507</v>
      </c>
      <c r="D1261" t="inlineStr">
        <is>
          <t>JÄMTLANDS LÄN</t>
        </is>
      </c>
      <c r="E1261" t="inlineStr">
        <is>
          <t>BRÄCKE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25330-2023</t>
        </is>
      </c>
      <c r="B1262" s="1" t="n">
        <v>45087</v>
      </c>
      <c r="C1262" s="1" t="n">
        <v>45507</v>
      </c>
      <c r="D1262" t="inlineStr">
        <is>
          <t>JÄMTLANDS LÄN</t>
        </is>
      </c>
      <c r="E1262" t="inlineStr">
        <is>
          <t>BRÄCKE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25352-2023</t>
        </is>
      </c>
      <c r="B1263" s="1" t="n">
        <v>45088</v>
      </c>
      <c r="C1263" s="1" t="n">
        <v>45507</v>
      </c>
      <c r="D1263" t="inlineStr">
        <is>
          <t>JÄMTLANDS LÄN</t>
        </is>
      </c>
      <c r="E1263" t="inlineStr">
        <is>
          <t>BRÄCKE</t>
        </is>
      </c>
      <c r="F1263" t="inlineStr">
        <is>
          <t>SCA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25374-2023</t>
        </is>
      </c>
      <c r="B1264" s="1" t="n">
        <v>45088</v>
      </c>
      <c r="C1264" s="1" t="n">
        <v>45507</v>
      </c>
      <c r="D1264" t="inlineStr">
        <is>
          <t>JÄMTLANDS LÄN</t>
        </is>
      </c>
      <c r="E1264" t="inlineStr">
        <is>
          <t>BRÄCKE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25373-2023</t>
        </is>
      </c>
      <c r="B1265" s="1" t="n">
        <v>45089</v>
      </c>
      <c r="C1265" s="1" t="n">
        <v>45507</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25689-2023</t>
        </is>
      </c>
      <c r="B1266" s="1" t="n">
        <v>45090</v>
      </c>
      <c r="C1266" s="1" t="n">
        <v>45507</v>
      </c>
      <c r="D1266" t="inlineStr">
        <is>
          <t>JÄMTLANDS LÄN</t>
        </is>
      </c>
      <c r="E1266" t="inlineStr">
        <is>
          <t>BRÄCKE</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25677-2023</t>
        </is>
      </c>
      <c r="B1267" s="1" t="n">
        <v>45090</v>
      </c>
      <c r="C1267" s="1" t="n">
        <v>45507</v>
      </c>
      <c r="D1267" t="inlineStr">
        <is>
          <t>JÄMTLANDS LÄN</t>
        </is>
      </c>
      <c r="E1267" t="inlineStr">
        <is>
          <t>BRÄCKE</t>
        </is>
      </c>
      <c r="F1267" t="inlineStr">
        <is>
          <t>SCA</t>
        </is>
      </c>
      <c r="G1267" t="n">
        <v>26.2</v>
      </c>
      <c r="H1267" t="n">
        <v>0</v>
      </c>
      <c r="I1267" t="n">
        <v>0</v>
      </c>
      <c r="J1267" t="n">
        <v>0</v>
      </c>
      <c r="K1267" t="n">
        <v>0</v>
      </c>
      <c r="L1267" t="n">
        <v>0</v>
      </c>
      <c r="M1267" t="n">
        <v>0</v>
      </c>
      <c r="N1267" t="n">
        <v>0</v>
      </c>
      <c r="O1267" t="n">
        <v>0</v>
      </c>
      <c r="P1267" t="n">
        <v>0</v>
      </c>
      <c r="Q1267" t="n">
        <v>0</v>
      </c>
      <c r="R1267" s="2" t="inlineStr"/>
    </row>
    <row r="1268" ht="15" customHeight="1">
      <c r="A1268" t="inlineStr">
        <is>
          <t>A 25675-2023</t>
        </is>
      </c>
      <c r="B1268" s="1" t="n">
        <v>45089</v>
      </c>
      <c r="C1268" s="1" t="n">
        <v>45507</v>
      </c>
      <c r="D1268" t="inlineStr">
        <is>
          <t>JÄMTLANDS LÄN</t>
        </is>
      </c>
      <c r="E1268" t="inlineStr">
        <is>
          <t>BRÄCKE</t>
        </is>
      </c>
      <c r="F1268" t="inlineStr">
        <is>
          <t>SCA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25687-2023</t>
        </is>
      </c>
      <c r="B1269" s="1" t="n">
        <v>45090</v>
      </c>
      <c r="C1269" s="1" t="n">
        <v>45507</v>
      </c>
      <c r="D1269" t="inlineStr">
        <is>
          <t>JÄMTLANDS LÄN</t>
        </is>
      </c>
      <c r="E1269" t="inlineStr">
        <is>
          <t>BRÄCKE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25676-2023</t>
        </is>
      </c>
      <c r="B1270" s="1" t="n">
        <v>45090</v>
      </c>
      <c r="C1270" s="1" t="n">
        <v>45507</v>
      </c>
      <c r="D1270" t="inlineStr">
        <is>
          <t>JÄMTLANDS LÄN</t>
        </is>
      </c>
      <c r="E1270" t="inlineStr">
        <is>
          <t>BRÄCKE</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25674-2023</t>
        </is>
      </c>
      <c r="B1271" s="1" t="n">
        <v>45089</v>
      </c>
      <c r="C1271" s="1" t="n">
        <v>45507</v>
      </c>
      <c r="D1271" t="inlineStr">
        <is>
          <t>JÄMTLANDS LÄN</t>
        </is>
      </c>
      <c r="E1271" t="inlineStr">
        <is>
          <t>BRÄCKE</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25686-2023</t>
        </is>
      </c>
      <c r="B1272" s="1" t="n">
        <v>45090</v>
      </c>
      <c r="C1272" s="1" t="n">
        <v>45507</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25678-2023</t>
        </is>
      </c>
      <c r="B1273" s="1" t="n">
        <v>45089</v>
      </c>
      <c r="C1273" s="1" t="n">
        <v>45507</v>
      </c>
      <c r="D1273" t="inlineStr">
        <is>
          <t>JÄMTLANDS LÄN</t>
        </is>
      </c>
      <c r="E1273" t="inlineStr">
        <is>
          <t>BRÄCKE</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25684-2023</t>
        </is>
      </c>
      <c r="B1274" s="1" t="n">
        <v>45090</v>
      </c>
      <c r="C1274" s="1" t="n">
        <v>45507</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25685-2023</t>
        </is>
      </c>
      <c r="B1275" s="1" t="n">
        <v>45090</v>
      </c>
      <c r="C1275" s="1" t="n">
        <v>45507</v>
      </c>
      <c r="D1275" t="inlineStr">
        <is>
          <t>JÄMTLANDS LÄN</t>
        </is>
      </c>
      <c r="E1275" t="inlineStr">
        <is>
          <t>BRÄCKE</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26004-2023</t>
        </is>
      </c>
      <c r="B1276" s="1" t="n">
        <v>45090</v>
      </c>
      <c r="C1276" s="1" t="n">
        <v>45507</v>
      </c>
      <c r="D1276" t="inlineStr">
        <is>
          <t>JÄMTLANDS LÄN</t>
        </is>
      </c>
      <c r="E1276" t="inlineStr">
        <is>
          <t>BRÄCKE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26370-2023</t>
        </is>
      </c>
      <c r="B1277" s="1" t="n">
        <v>45092</v>
      </c>
      <c r="C1277" s="1" t="n">
        <v>45507</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26350-2023</t>
        </is>
      </c>
      <c r="B1278" s="1" t="n">
        <v>45092</v>
      </c>
      <c r="C1278" s="1" t="n">
        <v>45507</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26351-2023</t>
        </is>
      </c>
      <c r="B1279" s="1" t="n">
        <v>45091</v>
      </c>
      <c r="C1279" s="1" t="n">
        <v>45507</v>
      </c>
      <c r="D1279" t="inlineStr">
        <is>
          <t>JÄMTLANDS LÄN</t>
        </is>
      </c>
      <c r="E1279" t="inlineStr">
        <is>
          <t>BRÄCKE</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26353-2023</t>
        </is>
      </c>
      <c r="B1280" s="1" t="n">
        <v>45092</v>
      </c>
      <c r="C1280" s="1" t="n">
        <v>45507</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26345-2023</t>
        </is>
      </c>
      <c r="B1281" s="1" t="n">
        <v>45091</v>
      </c>
      <c r="C1281" s="1" t="n">
        <v>45507</v>
      </c>
      <c r="D1281" t="inlineStr">
        <is>
          <t>JÄMTLANDS LÄN</t>
        </is>
      </c>
      <c r="E1281" t="inlineStr">
        <is>
          <t>BRÄCKE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26352-2023</t>
        </is>
      </c>
      <c r="B1282" s="1" t="n">
        <v>45092</v>
      </c>
      <c r="C1282" s="1" t="n">
        <v>45507</v>
      </c>
      <c r="D1282" t="inlineStr">
        <is>
          <t>JÄMTLANDS LÄN</t>
        </is>
      </c>
      <c r="E1282" t="inlineStr">
        <is>
          <t>BRÄCKE</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26664-2023</t>
        </is>
      </c>
      <c r="B1283" s="1" t="n">
        <v>45093</v>
      </c>
      <c r="C1283" s="1" t="n">
        <v>45507</v>
      </c>
      <c r="D1283" t="inlineStr">
        <is>
          <t>JÄMTLANDS LÄN</t>
        </is>
      </c>
      <c r="E1283" t="inlineStr">
        <is>
          <t>BRÄCKE</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27354-2023</t>
        </is>
      </c>
      <c r="B1284" s="1" t="n">
        <v>45096</v>
      </c>
      <c r="C1284" s="1" t="n">
        <v>45507</v>
      </c>
      <c r="D1284" t="inlineStr">
        <is>
          <t>JÄMTLANDS LÄN</t>
        </is>
      </c>
      <c r="E1284" t="inlineStr">
        <is>
          <t>BRÄCKE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28801-2023</t>
        </is>
      </c>
      <c r="B1285" s="1" t="n">
        <v>45096</v>
      </c>
      <c r="C1285" s="1" t="n">
        <v>45507</v>
      </c>
      <c r="D1285" t="inlineStr">
        <is>
          <t>JÄMTLANDS LÄN</t>
        </is>
      </c>
      <c r="E1285" t="inlineStr">
        <is>
          <t>BRÄCKE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27363-2023</t>
        </is>
      </c>
      <c r="B1286" s="1" t="n">
        <v>45097</v>
      </c>
      <c r="C1286" s="1" t="n">
        <v>45507</v>
      </c>
      <c r="D1286" t="inlineStr">
        <is>
          <t>JÄMTLANDS LÄN</t>
        </is>
      </c>
      <c r="E1286" t="inlineStr">
        <is>
          <t>BRÄCKE</t>
        </is>
      </c>
      <c r="F1286" t="inlineStr">
        <is>
          <t>SCA</t>
        </is>
      </c>
      <c r="G1286" t="n">
        <v>12.6</v>
      </c>
      <c r="H1286" t="n">
        <v>0</v>
      </c>
      <c r="I1286" t="n">
        <v>0</v>
      </c>
      <c r="J1286" t="n">
        <v>0</v>
      </c>
      <c r="K1286" t="n">
        <v>0</v>
      </c>
      <c r="L1286" t="n">
        <v>0</v>
      </c>
      <c r="M1286" t="n">
        <v>0</v>
      </c>
      <c r="N1286" t="n">
        <v>0</v>
      </c>
      <c r="O1286" t="n">
        <v>0</v>
      </c>
      <c r="P1286" t="n">
        <v>0</v>
      </c>
      <c r="Q1286" t="n">
        <v>0</v>
      </c>
      <c r="R1286" s="2" t="inlineStr"/>
    </row>
    <row r="1287" ht="15" customHeight="1">
      <c r="A1287" t="inlineStr">
        <is>
          <t>A 28796-2023</t>
        </is>
      </c>
      <c r="B1287" s="1" t="n">
        <v>45096</v>
      </c>
      <c r="C1287" s="1" t="n">
        <v>45507</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27691-2023</t>
        </is>
      </c>
      <c r="B1288" s="1" t="n">
        <v>45098</v>
      </c>
      <c r="C1288" s="1" t="n">
        <v>45507</v>
      </c>
      <c r="D1288" t="inlineStr">
        <is>
          <t>JÄMTLANDS LÄN</t>
        </is>
      </c>
      <c r="E1288" t="inlineStr">
        <is>
          <t>BRÄCKE</t>
        </is>
      </c>
      <c r="F1288" t="inlineStr">
        <is>
          <t>SCA</t>
        </is>
      </c>
      <c r="G1288" t="n">
        <v>26.5</v>
      </c>
      <c r="H1288" t="n">
        <v>0</v>
      </c>
      <c r="I1288" t="n">
        <v>0</v>
      </c>
      <c r="J1288" t="n">
        <v>0</v>
      </c>
      <c r="K1288" t="n">
        <v>0</v>
      </c>
      <c r="L1288" t="n">
        <v>0</v>
      </c>
      <c r="M1288" t="n">
        <v>0</v>
      </c>
      <c r="N1288" t="n">
        <v>0</v>
      </c>
      <c r="O1288" t="n">
        <v>0</v>
      </c>
      <c r="P1288" t="n">
        <v>0</v>
      </c>
      <c r="Q1288" t="n">
        <v>0</v>
      </c>
      <c r="R1288" s="2" t="inlineStr"/>
    </row>
    <row r="1289" ht="15" customHeight="1">
      <c r="A1289" t="inlineStr">
        <is>
          <t>A 27690-2023</t>
        </is>
      </c>
      <c r="B1289" s="1" t="n">
        <v>45098</v>
      </c>
      <c r="C1289" s="1" t="n">
        <v>45507</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28392-2023</t>
        </is>
      </c>
      <c r="B1290" s="1" t="n">
        <v>45099</v>
      </c>
      <c r="C1290" s="1" t="n">
        <v>45507</v>
      </c>
      <c r="D1290" t="inlineStr">
        <is>
          <t>JÄMTLANDS LÄN</t>
        </is>
      </c>
      <c r="E1290" t="inlineStr">
        <is>
          <t>BRÄCKE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28762-2023</t>
        </is>
      </c>
      <c r="B1291" s="1" t="n">
        <v>45104</v>
      </c>
      <c r="C1291" s="1" t="n">
        <v>45507</v>
      </c>
      <c r="D1291" t="inlineStr">
        <is>
          <t>JÄMTLANDS LÄN</t>
        </is>
      </c>
      <c r="E1291" t="inlineStr">
        <is>
          <t>BRÄCKE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28759-2023</t>
        </is>
      </c>
      <c r="B1292" s="1" t="n">
        <v>45104</v>
      </c>
      <c r="C1292" s="1" t="n">
        <v>45507</v>
      </c>
      <c r="D1292" t="inlineStr">
        <is>
          <t>JÄMTLANDS LÄN</t>
        </is>
      </c>
      <c r="E1292" t="inlineStr">
        <is>
          <t>BRÄCKE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28764-2023</t>
        </is>
      </c>
      <c r="B1293" s="1" t="n">
        <v>45104</v>
      </c>
      <c r="C1293" s="1" t="n">
        <v>45507</v>
      </c>
      <c r="D1293" t="inlineStr">
        <is>
          <t>JÄMTLANDS LÄN</t>
        </is>
      </c>
      <c r="E1293" t="inlineStr">
        <is>
          <t>BRÄCKE</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28760-2023</t>
        </is>
      </c>
      <c r="B1294" s="1" t="n">
        <v>45104</v>
      </c>
      <c r="C1294" s="1" t="n">
        <v>45507</v>
      </c>
      <c r="D1294" t="inlineStr">
        <is>
          <t>JÄMTLANDS LÄN</t>
        </is>
      </c>
      <c r="E1294" t="inlineStr">
        <is>
          <t>BRÄCKE</t>
        </is>
      </c>
      <c r="F1294" t="inlineStr">
        <is>
          <t>SCA</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31467-2023</t>
        </is>
      </c>
      <c r="B1295" s="1" t="n">
        <v>45104</v>
      </c>
      <c r="C1295" s="1" t="n">
        <v>45507</v>
      </c>
      <c r="D1295" t="inlineStr">
        <is>
          <t>JÄMTLANDS LÄN</t>
        </is>
      </c>
      <c r="E1295" t="inlineStr">
        <is>
          <t>BRÄCKE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31471-2023</t>
        </is>
      </c>
      <c r="B1296" s="1" t="n">
        <v>45104</v>
      </c>
      <c r="C1296" s="1" t="n">
        <v>45507</v>
      </c>
      <c r="D1296" t="inlineStr">
        <is>
          <t>JÄMTLANDS LÄN</t>
        </is>
      </c>
      <c r="E1296" t="inlineStr">
        <is>
          <t>BRÄCKE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31470-2023</t>
        </is>
      </c>
      <c r="B1297" s="1" t="n">
        <v>45104</v>
      </c>
      <c r="C1297" s="1" t="n">
        <v>45507</v>
      </c>
      <c r="D1297" t="inlineStr">
        <is>
          <t>JÄMTLANDS LÄN</t>
        </is>
      </c>
      <c r="E1297" t="inlineStr">
        <is>
          <t>BRÄCKE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29322-2023</t>
        </is>
      </c>
      <c r="B1298" s="1" t="n">
        <v>45105</v>
      </c>
      <c r="C1298" s="1" t="n">
        <v>45507</v>
      </c>
      <c r="D1298" t="inlineStr">
        <is>
          <t>JÄMTLANDS LÄN</t>
        </is>
      </c>
      <c r="E1298" t="inlineStr">
        <is>
          <t>BRÄCKE</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29334-2023</t>
        </is>
      </c>
      <c r="B1299" s="1" t="n">
        <v>45105</v>
      </c>
      <c r="C1299" s="1" t="n">
        <v>45507</v>
      </c>
      <c r="D1299" t="inlineStr">
        <is>
          <t>JÄMTLANDS LÄN</t>
        </is>
      </c>
      <c r="E1299" t="inlineStr">
        <is>
          <t>BRÄCKE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29323-2023</t>
        </is>
      </c>
      <c r="B1300" s="1" t="n">
        <v>45105</v>
      </c>
      <c r="C1300" s="1" t="n">
        <v>45507</v>
      </c>
      <c r="D1300" t="inlineStr">
        <is>
          <t>JÄMTLANDS LÄN</t>
        </is>
      </c>
      <c r="E1300" t="inlineStr">
        <is>
          <t>BRÄCKE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29621-2023</t>
        </is>
      </c>
      <c r="B1301" s="1" t="n">
        <v>45107</v>
      </c>
      <c r="C1301" s="1" t="n">
        <v>45507</v>
      </c>
      <c r="D1301" t="inlineStr">
        <is>
          <t>JÄMTLANDS LÄN</t>
        </is>
      </c>
      <c r="E1301" t="inlineStr">
        <is>
          <t>BRÄCKE</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29805-2023</t>
        </is>
      </c>
      <c r="B1302" s="1" t="n">
        <v>45107</v>
      </c>
      <c r="C1302" s="1" t="n">
        <v>45507</v>
      </c>
      <c r="D1302" t="inlineStr">
        <is>
          <t>JÄMTLANDS LÄN</t>
        </is>
      </c>
      <c r="E1302" t="inlineStr">
        <is>
          <t>BRÄCKE</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29751-2023</t>
        </is>
      </c>
      <c r="B1303" s="1" t="n">
        <v>45107</v>
      </c>
      <c r="C1303" s="1" t="n">
        <v>45507</v>
      </c>
      <c r="D1303" t="inlineStr">
        <is>
          <t>JÄMTLANDS LÄN</t>
        </is>
      </c>
      <c r="E1303" t="inlineStr">
        <is>
          <t>BRÄCKE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29941-2023</t>
        </is>
      </c>
      <c r="B1304" s="1" t="n">
        <v>45107</v>
      </c>
      <c r="C1304" s="1" t="n">
        <v>45507</v>
      </c>
      <c r="D1304" t="inlineStr">
        <is>
          <t>JÄMTLANDS LÄN</t>
        </is>
      </c>
      <c r="E1304" t="inlineStr">
        <is>
          <t>BRÄCKE</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29942-2023</t>
        </is>
      </c>
      <c r="B1305" s="1" t="n">
        <v>45107</v>
      </c>
      <c r="C1305" s="1" t="n">
        <v>45507</v>
      </c>
      <c r="D1305" t="inlineStr">
        <is>
          <t>JÄMTLANDS LÄN</t>
        </is>
      </c>
      <c r="E1305" t="inlineStr">
        <is>
          <t>BRÄCKE</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32000-2023</t>
        </is>
      </c>
      <c r="B1306" s="1" t="n">
        <v>45107</v>
      </c>
      <c r="C1306" s="1" t="n">
        <v>45507</v>
      </c>
      <c r="D1306" t="inlineStr">
        <is>
          <t>JÄMTLANDS LÄN</t>
        </is>
      </c>
      <c r="E1306" t="inlineStr">
        <is>
          <t>BRÄCKE</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30312-2023</t>
        </is>
      </c>
      <c r="B1307" s="1" t="n">
        <v>45111</v>
      </c>
      <c r="C1307" s="1" t="n">
        <v>45507</v>
      </c>
      <c r="D1307" t="inlineStr">
        <is>
          <t>JÄMTLANDS LÄN</t>
        </is>
      </c>
      <c r="E1307" t="inlineStr">
        <is>
          <t>BRÄCKE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30311-2023</t>
        </is>
      </c>
      <c r="B1308" s="1" t="n">
        <v>45111</v>
      </c>
      <c r="C1308" s="1" t="n">
        <v>45507</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30309-2023</t>
        </is>
      </c>
      <c r="B1309" s="1" t="n">
        <v>45111</v>
      </c>
      <c r="C1309" s="1" t="n">
        <v>45507</v>
      </c>
      <c r="D1309" t="inlineStr">
        <is>
          <t>JÄMTLANDS LÄN</t>
        </is>
      </c>
      <c r="E1309" t="inlineStr">
        <is>
          <t>BRÄCKE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30313-2023</t>
        </is>
      </c>
      <c r="B1310" s="1" t="n">
        <v>45111</v>
      </c>
      <c r="C1310" s="1" t="n">
        <v>45507</v>
      </c>
      <c r="D1310" t="inlineStr">
        <is>
          <t>JÄMTLANDS LÄN</t>
        </is>
      </c>
      <c r="E1310" t="inlineStr">
        <is>
          <t>BRÄCKE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30310-2023</t>
        </is>
      </c>
      <c r="B1311" s="1" t="n">
        <v>45110</v>
      </c>
      <c r="C1311" s="1" t="n">
        <v>45507</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30854-2023</t>
        </is>
      </c>
      <c r="B1312" s="1" t="n">
        <v>45113</v>
      </c>
      <c r="C1312" s="1" t="n">
        <v>45507</v>
      </c>
      <c r="D1312" t="inlineStr">
        <is>
          <t>JÄMTLANDS LÄN</t>
        </is>
      </c>
      <c r="E1312" t="inlineStr">
        <is>
          <t>BRÄCKE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30833-2023</t>
        </is>
      </c>
      <c r="B1313" s="1" t="n">
        <v>45112</v>
      </c>
      <c r="C1313" s="1" t="n">
        <v>45507</v>
      </c>
      <c r="D1313" t="inlineStr">
        <is>
          <t>JÄMTLANDS LÄN</t>
        </is>
      </c>
      <c r="E1313" t="inlineStr">
        <is>
          <t>BRÄCKE</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30685-2023</t>
        </is>
      </c>
      <c r="B1314" s="1" t="n">
        <v>45112</v>
      </c>
      <c r="C1314" s="1" t="n">
        <v>45507</v>
      </c>
      <c r="D1314" t="inlineStr">
        <is>
          <t>JÄMTLANDS LÄN</t>
        </is>
      </c>
      <c r="E1314" t="inlineStr">
        <is>
          <t>BRÄCKE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31195-2023</t>
        </is>
      </c>
      <c r="B1315" s="1" t="n">
        <v>45114</v>
      </c>
      <c r="C1315" s="1" t="n">
        <v>45507</v>
      </c>
      <c r="D1315" t="inlineStr">
        <is>
          <t>JÄMTLANDS LÄN</t>
        </is>
      </c>
      <c r="E1315" t="inlineStr">
        <is>
          <t>BRÄCKE</t>
        </is>
      </c>
      <c r="F1315" t="inlineStr">
        <is>
          <t>SCA</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31933-2023</t>
        </is>
      </c>
      <c r="B1316" s="1" t="n">
        <v>45119</v>
      </c>
      <c r="C1316" s="1" t="n">
        <v>45507</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32228-2023</t>
        </is>
      </c>
      <c r="B1317" s="1" t="n">
        <v>45120</v>
      </c>
      <c r="C1317" s="1" t="n">
        <v>45507</v>
      </c>
      <c r="D1317" t="inlineStr">
        <is>
          <t>JÄMTLANDS LÄN</t>
        </is>
      </c>
      <c r="E1317" t="inlineStr">
        <is>
          <t>BRÄCKE</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32229-2023</t>
        </is>
      </c>
      <c r="B1318" s="1" t="n">
        <v>45120</v>
      </c>
      <c r="C1318" s="1" t="n">
        <v>45507</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32479-2023</t>
        </is>
      </c>
      <c r="B1319" s="1" t="n">
        <v>45121</v>
      </c>
      <c r="C1319" s="1" t="n">
        <v>45507</v>
      </c>
      <c r="D1319" t="inlineStr">
        <is>
          <t>JÄMTLANDS LÄN</t>
        </is>
      </c>
      <c r="E1319" t="inlineStr">
        <is>
          <t>BRÄCKE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32477-2023</t>
        </is>
      </c>
      <c r="B1320" s="1" t="n">
        <v>45120</v>
      </c>
      <c r="C1320" s="1" t="n">
        <v>45507</v>
      </c>
      <c r="D1320" t="inlineStr">
        <is>
          <t>JÄMTLANDS LÄN</t>
        </is>
      </c>
      <c r="E1320" t="inlineStr">
        <is>
          <t>BRÄCKE</t>
        </is>
      </c>
      <c r="F1320" t="inlineStr">
        <is>
          <t>SCA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32476-2023</t>
        </is>
      </c>
      <c r="B1321" s="1" t="n">
        <v>45120</v>
      </c>
      <c r="C1321" s="1" t="n">
        <v>45507</v>
      </c>
      <c r="D1321" t="inlineStr">
        <is>
          <t>JÄMTLANDS LÄN</t>
        </is>
      </c>
      <c r="E1321" t="inlineStr">
        <is>
          <t>BRÄCKE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32481-2023</t>
        </is>
      </c>
      <c r="B1322" s="1" t="n">
        <v>45120</v>
      </c>
      <c r="C1322" s="1" t="n">
        <v>45507</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32732-2023</t>
        </is>
      </c>
      <c r="B1323" s="1" t="n">
        <v>45122</v>
      </c>
      <c r="C1323" s="1" t="n">
        <v>45507</v>
      </c>
      <c r="D1323" t="inlineStr">
        <is>
          <t>JÄMTLANDS LÄN</t>
        </is>
      </c>
      <c r="E1323" t="inlineStr">
        <is>
          <t>BRÄCKE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33031-2023</t>
        </is>
      </c>
      <c r="B1324" s="1" t="n">
        <v>45125</v>
      </c>
      <c r="C1324" s="1" t="n">
        <v>45507</v>
      </c>
      <c r="D1324" t="inlineStr">
        <is>
          <t>JÄMTLANDS LÄN</t>
        </is>
      </c>
      <c r="E1324" t="inlineStr">
        <is>
          <t>BRÄCKE</t>
        </is>
      </c>
      <c r="F1324" t="inlineStr">
        <is>
          <t>SCA</t>
        </is>
      </c>
      <c r="G1324" t="n">
        <v>10.7</v>
      </c>
      <c r="H1324" t="n">
        <v>0</v>
      </c>
      <c r="I1324" t="n">
        <v>0</v>
      </c>
      <c r="J1324" t="n">
        <v>0</v>
      </c>
      <c r="K1324" t="n">
        <v>0</v>
      </c>
      <c r="L1324" t="n">
        <v>0</v>
      </c>
      <c r="M1324" t="n">
        <v>0</v>
      </c>
      <c r="N1324" t="n">
        <v>0</v>
      </c>
      <c r="O1324" t="n">
        <v>0</v>
      </c>
      <c r="P1324" t="n">
        <v>0</v>
      </c>
      <c r="Q1324" t="n">
        <v>0</v>
      </c>
      <c r="R1324" s="2" t="inlineStr"/>
    </row>
    <row r="1325" ht="15" customHeight="1">
      <c r="A1325" t="inlineStr">
        <is>
          <t>A 33032-2023</t>
        </is>
      </c>
      <c r="B1325" s="1" t="n">
        <v>45126</v>
      </c>
      <c r="C1325" s="1" t="n">
        <v>45507</v>
      </c>
      <c r="D1325" t="inlineStr">
        <is>
          <t>JÄMTLANDS LÄN</t>
        </is>
      </c>
      <c r="E1325" t="inlineStr">
        <is>
          <t>BRÄCKE</t>
        </is>
      </c>
      <c r="F1325" t="inlineStr">
        <is>
          <t>SCA</t>
        </is>
      </c>
      <c r="G1325" t="n">
        <v>16.7</v>
      </c>
      <c r="H1325" t="n">
        <v>0</v>
      </c>
      <c r="I1325" t="n">
        <v>0</v>
      </c>
      <c r="J1325" t="n">
        <v>0</v>
      </c>
      <c r="K1325" t="n">
        <v>0</v>
      </c>
      <c r="L1325" t="n">
        <v>0</v>
      </c>
      <c r="M1325" t="n">
        <v>0</v>
      </c>
      <c r="N1325" t="n">
        <v>0</v>
      </c>
      <c r="O1325" t="n">
        <v>0</v>
      </c>
      <c r="P1325" t="n">
        <v>0</v>
      </c>
      <c r="Q1325" t="n">
        <v>0</v>
      </c>
      <c r="R1325" s="2" t="inlineStr"/>
    </row>
    <row r="1326" ht="15" customHeight="1">
      <c r="A1326" t="inlineStr">
        <is>
          <t>A 33033-2023</t>
        </is>
      </c>
      <c r="B1326" s="1" t="n">
        <v>45126</v>
      </c>
      <c r="C1326" s="1" t="n">
        <v>45507</v>
      </c>
      <c r="D1326" t="inlineStr">
        <is>
          <t>JÄMTLANDS LÄN</t>
        </is>
      </c>
      <c r="E1326" t="inlineStr">
        <is>
          <t>BRÄCKE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33172-2023</t>
        </is>
      </c>
      <c r="B1327" s="1" t="n">
        <v>45127</v>
      </c>
      <c r="C1327" s="1" t="n">
        <v>45507</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33174-2023</t>
        </is>
      </c>
      <c r="B1328" s="1" t="n">
        <v>45127</v>
      </c>
      <c r="C1328" s="1" t="n">
        <v>45507</v>
      </c>
      <c r="D1328" t="inlineStr">
        <is>
          <t>JÄMTLANDS LÄN</t>
        </is>
      </c>
      <c r="E1328" t="inlineStr">
        <is>
          <t>BRÄCKE</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33585-2023</t>
        </is>
      </c>
      <c r="B1329" s="1" t="n">
        <v>45132</v>
      </c>
      <c r="C1329" s="1" t="n">
        <v>45507</v>
      </c>
      <c r="D1329" t="inlineStr">
        <is>
          <t>JÄMTLANDS LÄN</t>
        </is>
      </c>
      <c r="E1329" t="inlineStr">
        <is>
          <t>BRÄCKE</t>
        </is>
      </c>
      <c r="F1329" t="inlineStr">
        <is>
          <t>SCA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33584-2023</t>
        </is>
      </c>
      <c r="B1330" s="1" t="n">
        <v>45132</v>
      </c>
      <c r="C1330" s="1" t="n">
        <v>45507</v>
      </c>
      <c r="D1330" t="inlineStr">
        <is>
          <t>JÄMTLANDS LÄN</t>
        </is>
      </c>
      <c r="E1330" t="inlineStr">
        <is>
          <t>BRÄCKE</t>
        </is>
      </c>
      <c r="F1330" t="inlineStr">
        <is>
          <t>SCA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33872-2023</t>
        </is>
      </c>
      <c r="B1331" s="1" t="n">
        <v>45134</v>
      </c>
      <c r="C1331" s="1" t="n">
        <v>45507</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33869-2023</t>
        </is>
      </c>
      <c r="B1332" s="1" t="n">
        <v>45134</v>
      </c>
      <c r="C1332" s="1" t="n">
        <v>45507</v>
      </c>
      <c r="D1332" t="inlineStr">
        <is>
          <t>JÄMTLANDS LÄN</t>
        </is>
      </c>
      <c r="E1332" t="inlineStr">
        <is>
          <t>BRÄCKE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33873-2023</t>
        </is>
      </c>
      <c r="B1333" s="1" t="n">
        <v>45134</v>
      </c>
      <c r="C1333" s="1" t="n">
        <v>45507</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33870-2023</t>
        </is>
      </c>
      <c r="B1334" s="1" t="n">
        <v>45134</v>
      </c>
      <c r="C1334" s="1" t="n">
        <v>45507</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33878-2023</t>
        </is>
      </c>
      <c r="B1335" s="1" t="n">
        <v>45133</v>
      </c>
      <c r="C1335" s="1" t="n">
        <v>45507</v>
      </c>
      <c r="D1335" t="inlineStr">
        <is>
          <t>JÄMTLANDS LÄN</t>
        </is>
      </c>
      <c r="E1335" t="inlineStr">
        <is>
          <t>BRÄCKE</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33998-2023</t>
        </is>
      </c>
      <c r="B1336" s="1" t="n">
        <v>45134</v>
      </c>
      <c r="C1336" s="1" t="n">
        <v>45507</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34137-2023</t>
        </is>
      </c>
      <c r="B1337" s="1" t="n">
        <v>45135</v>
      </c>
      <c r="C1337" s="1" t="n">
        <v>45507</v>
      </c>
      <c r="D1337" t="inlineStr">
        <is>
          <t>JÄMTLANDS LÄN</t>
        </is>
      </c>
      <c r="E1337" t="inlineStr">
        <is>
          <t>BRÄCKE</t>
        </is>
      </c>
      <c r="F1337" t="inlineStr">
        <is>
          <t>SCA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34136-2023</t>
        </is>
      </c>
      <c r="B1338" s="1" t="n">
        <v>45135</v>
      </c>
      <c r="C1338" s="1" t="n">
        <v>45507</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34138-2023</t>
        </is>
      </c>
      <c r="B1339" s="1" t="n">
        <v>45135</v>
      </c>
      <c r="C1339" s="1" t="n">
        <v>45507</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34587-2023</t>
        </is>
      </c>
      <c r="B1340" s="1" t="n">
        <v>45135</v>
      </c>
      <c r="C1340" s="1" t="n">
        <v>45507</v>
      </c>
      <c r="D1340" t="inlineStr">
        <is>
          <t>JÄMTLANDS LÄN</t>
        </is>
      </c>
      <c r="E1340" t="inlineStr">
        <is>
          <t>BRÄCKE</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34320-2023</t>
        </is>
      </c>
      <c r="B1341" s="1" t="n">
        <v>45139</v>
      </c>
      <c r="C1341" s="1" t="n">
        <v>45507</v>
      </c>
      <c r="D1341" t="inlineStr">
        <is>
          <t>JÄMTLANDS LÄN</t>
        </is>
      </c>
      <c r="E1341" t="inlineStr">
        <is>
          <t>BRÄCKE</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34693-2023</t>
        </is>
      </c>
      <c r="B1342" s="1" t="n">
        <v>45140</v>
      </c>
      <c r="C1342" s="1" t="n">
        <v>45507</v>
      </c>
      <c r="D1342" t="inlineStr">
        <is>
          <t>JÄMTLANDS LÄN</t>
        </is>
      </c>
      <c r="E1342" t="inlineStr">
        <is>
          <t>BRÄCKE</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34704-2023</t>
        </is>
      </c>
      <c r="B1343" s="1" t="n">
        <v>45140</v>
      </c>
      <c r="C1343" s="1" t="n">
        <v>45507</v>
      </c>
      <c r="D1343" t="inlineStr">
        <is>
          <t>JÄMTLANDS LÄN</t>
        </is>
      </c>
      <c r="E1343" t="inlineStr">
        <is>
          <t>BRÄCKE</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34947-2023</t>
        </is>
      </c>
      <c r="B1344" s="1" t="n">
        <v>45142</v>
      </c>
      <c r="C1344" s="1" t="n">
        <v>45507</v>
      </c>
      <c r="D1344" t="inlineStr">
        <is>
          <t>JÄMTLANDS LÄN</t>
        </is>
      </c>
      <c r="E1344" t="inlineStr">
        <is>
          <t>BRÄCKE</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35013-2023</t>
        </is>
      </c>
      <c r="B1345" s="1" t="n">
        <v>45143</v>
      </c>
      <c r="C1345" s="1" t="n">
        <v>45507</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35017-2023</t>
        </is>
      </c>
      <c r="B1346" s="1" t="n">
        <v>45142</v>
      </c>
      <c r="C1346" s="1" t="n">
        <v>45507</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35014-2023</t>
        </is>
      </c>
      <c r="B1347" s="1" t="n">
        <v>45143</v>
      </c>
      <c r="C1347" s="1" t="n">
        <v>45507</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35015-2023</t>
        </is>
      </c>
      <c r="B1348" s="1" t="n">
        <v>45143</v>
      </c>
      <c r="C1348" s="1" t="n">
        <v>45507</v>
      </c>
      <c r="D1348" t="inlineStr">
        <is>
          <t>JÄMTLANDS LÄN</t>
        </is>
      </c>
      <c r="E1348" t="inlineStr">
        <is>
          <t>BRÄCKE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35255-2023</t>
        </is>
      </c>
      <c r="B1349" s="1" t="n">
        <v>45145</v>
      </c>
      <c r="C1349" s="1" t="n">
        <v>45507</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35256-2023</t>
        </is>
      </c>
      <c r="B1350" s="1" t="n">
        <v>45145</v>
      </c>
      <c r="C1350" s="1" t="n">
        <v>45507</v>
      </c>
      <c r="D1350" t="inlineStr">
        <is>
          <t>JÄMTLANDS LÄN</t>
        </is>
      </c>
      <c r="E1350" t="inlineStr">
        <is>
          <t>BRÄCKE</t>
        </is>
      </c>
      <c r="F1350" t="inlineStr">
        <is>
          <t>SCA</t>
        </is>
      </c>
      <c r="G1350" t="n">
        <v>34.5</v>
      </c>
      <c r="H1350" t="n">
        <v>0</v>
      </c>
      <c r="I1350" t="n">
        <v>0</v>
      </c>
      <c r="J1350" t="n">
        <v>0</v>
      </c>
      <c r="K1350" t="n">
        <v>0</v>
      </c>
      <c r="L1350" t="n">
        <v>0</v>
      </c>
      <c r="M1350" t="n">
        <v>0</v>
      </c>
      <c r="N1350" t="n">
        <v>0</v>
      </c>
      <c r="O1350" t="n">
        <v>0</v>
      </c>
      <c r="P1350" t="n">
        <v>0</v>
      </c>
      <c r="Q1350" t="n">
        <v>0</v>
      </c>
      <c r="R1350" s="2" t="inlineStr"/>
    </row>
    <row r="1351" ht="15" customHeight="1">
      <c r="A1351" t="inlineStr">
        <is>
          <t>A 35503-2023</t>
        </is>
      </c>
      <c r="B1351" s="1" t="n">
        <v>45147</v>
      </c>
      <c r="C1351" s="1" t="n">
        <v>45507</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35506-2023</t>
        </is>
      </c>
      <c r="B1352" s="1" t="n">
        <v>45146</v>
      </c>
      <c r="C1352" s="1" t="n">
        <v>45507</v>
      </c>
      <c r="D1352" t="inlineStr">
        <is>
          <t>JÄMTLANDS LÄN</t>
        </is>
      </c>
      <c r="E1352" t="inlineStr">
        <is>
          <t>BRÄCKE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35424-2023</t>
        </is>
      </c>
      <c r="B1353" s="1" t="n">
        <v>45146</v>
      </c>
      <c r="C1353" s="1" t="n">
        <v>45507</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35742-2023</t>
        </is>
      </c>
      <c r="B1354" s="1" t="n">
        <v>45147</v>
      </c>
      <c r="C1354" s="1" t="n">
        <v>45507</v>
      </c>
      <c r="D1354" t="inlineStr">
        <is>
          <t>JÄMTLANDS LÄN</t>
        </is>
      </c>
      <c r="E1354" t="inlineStr">
        <is>
          <t>BRÄCKE</t>
        </is>
      </c>
      <c r="F1354" t="inlineStr">
        <is>
          <t>SCA</t>
        </is>
      </c>
      <c r="G1354" t="n">
        <v>26.8</v>
      </c>
      <c r="H1354" t="n">
        <v>0</v>
      </c>
      <c r="I1354" t="n">
        <v>0</v>
      </c>
      <c r="J1354" t="n">
        <v>0</v>
      </c>
      <c r="K1354" t="n">
        <v>0</v>
      </c>
      <c r="L1354" t="n">
        <v>0</v>
      </c>
      <c r="M1354" t="n">
        <v>0</v>
      </c>
      <c r="N1354" t="n">
        <v>0</v>
      </c>
      <c r="O1354" t="n">
        <v>0</v>
      </c>
      <c r="P1354" t="n">
        <v>0</v>
      </c>
      <c r="Q1354" t="n">
        <v>0</v>
      </c>
      <c r="R1354" s="2" t="inlineStr"/>
    </row>
    <row r="1355" ht="15" customHeight="1">
      <c r="A1355" t="inlineStr">
        <is>
          <t>A 35766-2023</t>
        </is>
      </c>
      <c r="B1355" s="1" t="n">
        <v>45147</v>
      </c>
      <c r="C1355" s="1" t="n">
        <v>45507</v>
      </c>
      <c r="D1355" t="inlineStr">
        <is>
          <t>JÄMTLANDS LÄN</t>
        </is>
      </c>
      <c r="E1355" t="inlineStr">
        <is>
          <t>BRÄCKE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35862-2023</t>
        </is>
      </c>
      <c r="B1356" s="1" t="n">
        <v>45147</v>
      </c>
      <c r="C1356" s="1" t="n">
        <v>45507</v>
      </c>
      <c r="D1356" t="inlineStr">
        <is>
          <t>JÄMTLANDS LÄN</t>
        </is>
      </c>
      <c r="E1356" t="inlineStr">
        <is>
          <t>BRÄCKE</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35741-2023</t>
        </is>
      </c>
      <c r="B1357" s="1" t="n">
        <v>45147</v>
      </c>
      <c r="C1357" s="1" t="n">
        <v>45507</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35896-2023</t>
        </is>
      </c>
      <c r="B1358" s="1" t="n">
        <v>45148</v>
      </c>
      <c r="C1358" s="1" t="n">
        <v>45507</v>
      </c>
      <c r="D1358" t="inlineStr">
        <is>
          <t>JÄMTLANDS LÄN</t>
        </is>
      </c>
      <c r="E1358" t="inlineStr">
        <is>
          <t>BRÄCKE</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35880-2023</t>
        </is>
      </c>
      <c r="B1359" s="1" t="n">
        <v>45148</v>
      </c>
      <c r="C1359" s="1" t="n">
        <v>45507</v>
      </c>
      <c r="D1359" t="inlineStr">
        <is>
          <t>JÄMTLANDS LÄN</t>
        </is>
      </c>
      <c r="E1359" t="inlineStr">
        <is>
          <t>BRÄCKE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35972-2023</t>
        </is>
      </c>
      <c r="B1360" s="1" t="n">
        <v>45148</v>
      </c>
      <c r="C1360" s="1" t="n">
        <v>45507</v>
      </c>
      <c r="D1360" t="inlineStr">
        <is>
          <t>JÄMTLANDS LÄN</t>
        </is>
      </c>
      <c r="E1360" t="inlineStr">
        <is>
          <t>BRÄCKE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36205-2023</t>
        </is>
      </c>
      <c r="B1361" s="1" t="n">
        <v>45149</v>
      </c>
      <c r="C1361" s="1" t="n">
        <v>45507</v>
      </c>
      <c r="D1361" t="inlineStr">
        <is>
          <t>JÄMTLANDS LÄN</t>
        </is>
      </c>
      <c r="E1361" t="inlineStr">
        <is>
          <t>BRÄCKE</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36209-2023</t>
        </is>
      </c>
      <c r="B1362" s="1" t="n">
        <v>45149</v>
      </c>
      <c r="C1362" s="1" t="n">
        <v>45507</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36497-2023</t>
        </is>
      </c>
      <c r="B1363" s="1" t="n">
        <v>45152</v>
      </c>
      <c r="C1363" s="1" t="n">
        <v>45507</v>
      </c>
      <c r="D1363" t="inlineStr">
        <is>
          <t>JÄMTLANDS LÄN</t>
        </is>
      </c>
      <c r="E1363" t="inlineStr">
        <is>
          <t>BRÄCKE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36753-2023</t>
        </is>
      </c>
      <c r="B1364" s="1" t="n">
        <v>45153</v>
      </c>
      <c r="C1364" s="1" t="n">
        <v>45507</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36988-2023</t>
        </is>
      </c>
      <c r="B1365" s="1" t="n">
        <v>45154</v>
      </c>
      <c r="C1365" s="1" t="n">
        <v>45507</v>
      </c>
      <c r="D1365" t="inlineStr">
        <is>
          <t>JÄMTLANDS LÄN</t>
        </is>
      </c>
      <c r="E1365" t="inlineStr">
        <is>
          <t>BRÄCKE</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37265-2023</t>
        </is>
      </c>
      <c r="B1366" s="1" t="n">
        <v>45156</v>
      </c>
      <c r="C1366" s="1" t="n">
        <v>45507</v>
      </c>
      <c r="D1366" t="inlineStr">
        <is>
          <t>JÄMTLANDS LÄN</t>
        </is>
      </c>
      <c r="E1366" t="inlineStr">
        <is>
          <t>BRÄCKE</t>
        </is>
      </c>
      <c r="F1366" t="inlineStr">
        <is>
          <t>SCA</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37264-2023</t>
        </is>
      </c>
      <c r="B1367" s="1" t="n">
        <v>45155</v>
      </c>
      <c r="C1367" s="1" t="n">
        <v>45507</v>
      </c>
      <c r="D1367" t="inlineStr">
        <is>
          <t>JÄMTLANDS LÄN</t>
        </is>
      </c>
      <c r="E1367" t="inlineStr">
        <is>
          <t>BRÄCKE</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37268-2023</t>
        </is>
      </c>
      <c r="B1368" s="1" t="n">
        <v>45156</v>
      </c>
      <c r="C1368" s="1" t="n">
        <v>45507</v>
      </c>
      <c r="D1368" t="inlineStr">
        <is>
          <t>JÄMTLANDS LÄN</t>
        </is>
      </c>
      <c r="E1368" t="inlineStr">
        <is>
          <t>BRÄCKE</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37238-2023</t>
        </is>
      </c>
      <c r="B1369" s="1" t="n">
        <v>45156</v>
      </c>
      <c r="C1369" s="1" t="n">
        <v>45507</v>
      </c>
      <c r="D1369" t="inlineStr">
        <is>
          <t>JÄMTLANDS LÄN</t>
        </is>
      </c>
      <c r="E1369" t="inlineStr">
        <is>
          <t>BRÄCKE</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37239-2023</t>
        </is>
      </c>
      <c r="B1370" s="1" t="n">
        <v>45156</v>
      </c>
      <c r="C1370" s="1" t="n">
        <v>45507</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37263-2023</t>
        </is>
      </c>
      <c r="B1371" s="1" t="n">
        <v>45156</v>
      </c>
      <c r="C1371" s="1" t="n">
        <v>45507</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37267-2023</t>
        </is>
      </c>
      <c r="B1372" s="1" t="n">
        <v>45156</v>
      </c>
      <c r="C1372" s="1" t="n">
        <v>45507</v>
      </c>
      <c r="D1372" t="inlineStr">
        <is>
          <t>JÄMTLANDS LÄN</t>
        </is>
      </c>
      <c r="E1372" t="inlineStr">
        <is>
          <t>BRÄCKE</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37492-2023</t>
        </is>
      </c>
      <c r="B1373" s="1" t="n">
        <v>45156</v>
      </c>
      <c r="C1373" s="1" t="n">
        <v>45507</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37472-2023</t>
        </is>
      </c>
      <c r="B1374" s="1" t="n">
        <v>45157</v>
      </c>
      <c r="C1374" s="1" t="n">
        <v>45507</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37504-2023</t>
        </is>
      </c>
      <c r="B1375" s="1" t="n">
        <v>45157</v>
      </c>
      <c r="C1375" s="1" t="n">
        <v>45507</v>
      </c>
      <c r="D1375" t="inlineStr">
        <is>
          <t>JÄMTLANDS LÄN</t>
        </is>
      </c>
      <c r="E1375" t="inlineStr">
        <is>
          <t>BRÄCKE</t>
        </is>
      </c>
      <c r="F1375" t="inlineStr">
        <is>
          <t>Sveaskog</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37806-2023</t>
        </is>
      </c>
      <c r="B1376" s="1" t="n">
        <v>45159</v>
      </c>
      <c r="C1376" s="1" t="n">
        <v>45507</v>
      </c>
      <c r="D1376" t="inlineStr">
        <is>
          <t>JÄMTLANDS LÄN</t>
        </is>
      </c>
      <c r="E1376" t="inlineStr">
        <is>
          <t>BRÄCKE</t>
        </is>
      </c>
      <c r="F1376" t="inlineStr">
        <is>
          <t>SCA</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38087-2023</t>
        </is>
      </c>
      <c r="B1377" s="1" t="n">
        <v>45160</v>
      </c>
      <c r="C1377" s="1" t="n">
        <v>45507</v>
      </c>
      <c r="D1377" t="inlineStr">
        <is>
          <t>JÄMTLANDS LÄN</t>
        </is>
      </c>
      <c r="E1377" t="inlineStr">
        <is>
          <t>BRÄCKE</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38091-2023</t>
        </is>
      </c>
      <c r="B1378" s="1" t="n">
        <v>45160</v>
      </c>
      <c r="C1378" s="1" t="n">
        <v>45507</v>
      </c>
      <c r="D1378" t="inlineStr">
        <is>
          <t>JÄMTLANDS LÄN</t>
        </is>
      </c>
      <c r="E1378" t="inlineStr">
        <is>
          <t>BRÄCKE</t>
        </is>
      </c>
      <c r="F1378" t="inlineStr">
        <is>
          <t>SCA</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38359-2023</t>
        </is>
      </c>
      <c r="B1379" s="1" t="n">
        <v>45162</v>
      </c>
      <c r="C1379" s="1" t="n">
        <v>45507</v>
      </c>
      <c r="D1379" t="inlineStr">
        <is>
          <t>JÄMTLANDS LÄN</t>
        </is>
      </c>
      <c r="E1379" t="inlineStr">
        <is>
          <t>BRÄCKE</t>
        </is>
      </c>
      <c r="F1379" t="inlineStr">
        <is>
          <t>Naturvårdsverket</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38533-2023</t>
        </is>
      </c>
      <c r="B1380" s="1" t="n">
        <v>45162</v>
      </c>
      <c r="C1380" s="1" t="n">
        <v>45507</v>
      </c>
      <c r="D1380" t="inlineStr">
        <is>
          <t>JÄMTLANDS LÄN</t>
        </is>
      </c>
      <c r="E1380" t="inlineStr">
        <is>
          <t>BRÄCKE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38856-2023</t>
        </is>
      </c>
      <c r="B1381" s="1" t="n">
        <v>45162</v>
      </c>
      <c r="C1381" s="1" t="n">
        <v>45507</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39004-2023</t>
        </is>
      </c>
      <c r="B1382" s="1" t="n">
        <v>45162</v>
      </c>
      <c r="C1382" s="1" t="n">
        <v>45507</v>
      </c>
      <c r="D1382" t="inlineStr">
        <is>
          <t>JÄMTLANDS LÄN</t>
        </is>
      </c>
      <c r="E1382" t="inlineStr">
        <is>
          <t>BRÄCKE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38841-2023</t>
        </is>
      </c>
      <c r="B1383" s="1" t="n">
        <v>45162</v>
      </c>
      <c r="C1383" s="1" t="n">
        <v>45507</v>
      </c>
      <c r="D1383" t="inlineStr">
        <is>
          <t>JÄMTLANDS LÄN</t>
        </is>
      </c>
      <c r="E1383" t="inlineStr">
        <is>
          <t>BRÄCKE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39007-2023</t>
        </is>
      </c>
      <c r="B1384" s="1" t="n">
        <v>45162</v>
      </c>
      <c r="C1384" s="1" t="n">
        <v>45507</v>
      </c>
      <c r="D1384" t="inlineStr">
        <is>
          <t>JÄMTLANDS LÄN</t>
        </is>
      </c>
      <c r="E1384" t="inlineStr">
        <is>
          <t>BRÄCKE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38996-2023</t>
        </is>
      </c>
      <c r="B1385" s="1" t="n">
        <v>45162</v>
      </c>
      <c r="C1385" s="1" t="n">
        <v>45507</v>
      </c>
      <c r="D1385" t="inlineStr">
        <is>
          <t>JÄMTLANDS LÄN</t>
        </is>
      </c>
      <c r="E1385" t="inlineStr">
        <is>
          <t>BRÄCKE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38688-2023</t>
        </is>
      </c>
      <c r="B1386" s="1" t="n">
        <v>45163</v>
      </c>
      <c r="C1386" s="1" t="n">
        <v>45507</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38692-2023</t>
        </is>
      </c>
      <c r="B1387" s="1" t="n">
        <v>45163</v>
      </c>
      <c r="C1387" s="1" t="n">
        <v>45507</v>
      </c>
      <c r="D1387" t="inlineStr">
        <is>
          <t>JÄMTLANDS LÄN</t>
        </is>
      </c>
      <c r="E1387" t="inlineStr">
        <is>
          <t>BRÄCKE</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38675-2023</t>
        </is>
      </c>
      <c r="B1388" s="1" t="n">
        <v>45162</v>
      </c>
      <c r="C1388" s="1" t="n">
        <v>45507</v>
      </c>
      <c r="D1388" t="inlineStr">
        <is>
          <t>JÄMTLANDS LÄN</t>
        </is>
      </c>
      <c r="E1388" t="inlineStr">
        <is>
          <t>BRÄCKE</t>
        </is>
      </c>
      <c r="F1388" t="inlineStr">
        <is>
          <t>SCA</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38691-2023</t>
        </is>
      </c>
      <c r="B1389" s="1" t="n">
        <v>45163</v>
      </c>
      <c r="C1389" s="1" t="n">
        <v>45507</v>
      </c>
      <c r="D1389" t="inlineStr">
        <is>
          <t>JÄMTLANDS LÄN</t>
        </is>
      </c>
      <c r="E1389" t="inlineStr">
        <is>
          <t>BRÄCKE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38693-2023</t>
        </is>
      </c>
      <c r="B1390" s="1" t="n">
        <v>45162</v>
      </c>
      <c r="C1390" s="1" t="n">
        <v>45507</v>
      </c>
      <c r="D1390" t="inlineStr">
        <is>
          <t>JÄMTLANDS LÄN</t>
        </is>
      </c>
      <c r="E1390" t="inlineStr">
        <is>
          <t>BRÄCKE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38689-2023</t>
        </is>
      </c>
      <c r="B1391" s="1" t="n">
        <v>45162</v>
      </c>
      <c r="C1391" s="1" t="n">
        <v>45507</v>
      </c>
      <c r="D1391" t="inlineStr">
        <is>
          <t>JÄMTLANDS LÄN</t>
        </is>
      </c>
      <c r="E1391" t="inlineStr">
        <is>
          <t>BRÄCKE</t>
        </is>
      </c>
      <c r="F1391" t="inlineStr">
        <is>
          <t>SCA</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38690-2023</t>
        </is>
      </c>
      <c r="B1392" s="1" t="n">
        <v>45163</v>
      </c>
      <c r="C1392" s="1" t="n">
        <v>45507</v>
      </c>
      <c r="D1392" t="inlineStr">
        <is>
          <t>JÄMTLANDS LÄN</t>
        </is>
      </c>
      <c r="E1392" t="inlineStr">
        <is>
          <t>BRÄCKE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39439-2023</t>
        </is>
      </c>
      <c r="B1393" s="1" t="n">
        <v>45163</v>
      </c>
      <c r="C1393" s="1" t="n">
        <v>45507</v>
      </c>
      <c r="D1393" t="inlineStr">
        <is>
          <t>JÄMTLANDS LÄN</t>
        </is>
      </c>
      <c r="E1393" t="inlineStr">
        <is>
          <t>BRÄCKE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39509-2023</t>
        </is>
      </c>
      <c r="B1394" s="1" t="n">
        <v>45167</v>
      </c>
      <c r="C1394" s="1" t="n">
        <v>45507</v>
      </c>
      <c r="D1394" t="inlineStr">
        <is>
          <t>JÄMTLANDS LÄN</t>
        </is>
      </c>
      <c r="E1394" t="inlineStr">
        <is>
          <t>BRÄCKE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40096-2023</t>
        </is>
      </c>
      <c r="B1395" s="1" t="n">
        <v>45168</v>
      </c>
      <c r="C1395" s="1" t="n">
        <v>45507</v>
      </c>
      <c r="D1395" t="inlineStr">
        <is>
          <t>JÄMTLANDS LÄN</t>
        </is>
      </c>
      <c r="E1395" t="inlineStr">
        <is>
          <t>BRÄCKE</t>
        </is>
      </c>
      <c r="F1395" t="inlineStr">
        <is>
          <t>SCA</t>
        </is>
      </c>
      <c r="G1395" t="n">
        <v>28.9</v>
      </c>
      <c r="H1395" t="n">
        <v>0</v>
      </c>
      <c r="I1395" t="n">
        <v>0</v>
      </c>
      <c r="J1395" t="n">
        <v>0</v>
      </c>
      <c r="K1395" t="n">
        <v>0</v>
      </c>
      <c r="L1395" t="n">
        <v>0</v>
      </c>
      <c r="M1395" t="n">
        <v>0</v>
      </c>
      <c r="N1395" t="n">
        <v>0</v>
      </c>
      <c r="O1395" t="n">
        <v>0</v>
      </c>
      <c r="P1395" t="n">
        <v>0</v>
      </c>
      <c r="Q1395" t="n">
        <v>0</v>
      </c>
      <c r="R1395" s="2" t="inlineStr"/>
    </row>
    <row r="1396" ht="15" customHeight="1">
      <c r="A1396" t="inlineStr">
        <is>
          <t>A 40114-2023</t>
        </is>
      </c>
      <c r="B1396" s="1" t="n">
        <v>45169</v>
      </c>
      <c r="C1396" s="1" t="n">
        <v>45507</v>
      </c>
      <c r="D1396" t="inlineStr">
        <is>
          <t>JÄMTLANDS LÄN</t>
        </is>
      </c>
      <c r="E1396" t="inlineStr">
        <is>
          <t>BRÄCKE</t>
        </is>
      </c>
      <c r="F1396" t="inlineStr">
        <is>
          <t>Naturvårdsverket</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40108-2023</t>
        </is>
      </c>
      <c r="B1397" s="1" t="n">
        <v>45169</v>
      </c>
      <c r="C1397" s="1" t="n">
        <v>45507</v>
      </c>
      <c r="D1397" t="inlineStr">
        <is>
          <t>JÄMTLANDS LÄN</t>
        </is>
      </c>
      <c r="E1397" t="inlineStr">
        <is>
          <t>BRÄCKE</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40094-2023</t>
        </is>
      </c>
      <c r="B1398" s="1" t="n">
        <v>45168</v>
      </c>
      <c r="C1398" s="1" t="n">
        <v>45507</v>
      </c>
      <c r="D1398" t="inlineStr">
        <is>
          <t>JÄMTLANDS LÄN</t>
        </is>
      </c>
      <c r="E1398" t="inlineStr">
        <is>
          <t>BRÄCKE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39907-2023</t>
        </is>
      </c>
      <c r="B1399" s="1" t="n">
        <v>45168</v>
      </c>
      <c r="C1399" s="1" t="n">
        <v>45507</v>
      </c>
      <c r="D1399" t="inlineStr">
        <is>
          <t>JÄMTLANDS LÄN</t>
        </is>
      </c>
      <c r="E1399" t="inlineStr">
        <is>
          <t>BRÄCKE</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40389-2023</t>
        </is>
      </c>
      <c r="B1400" s="1" t="n">
        <v>45170</v>
      </c>
      <c r="C1400" s="1" t="n">
        <v>45507</v>
      </c>
      <c r="D1400" t="inlineStr">
        <is>
          <t>JÄMTLANDS LÄN</t>
        </is>
      </c>
      <c r="E1400" t="inlineStr">
        <is>
          <t>BRÄCKE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40394-2023</t>
        </is>
      </c>
      <c r="B1401" s="1" t="n">
        <v>45170</v>
      </c>
      <c r="C1401" s="1" t="n">
        <v>45507</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40410-2023</t>
        </is>
      </c>
      <c r="B1402" s="1" t="n">
        <v>45169</v>
      </c>
      <c r="C1402" s="1" t="n">
        <v>45507</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40430-2023</t>
        </is>
      </c>
      <c r="B1403" s="1" t="n">
        <v>45169</v>
      </c>
      <c r="C1403" s="1" t="n">
        <v>45507</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40387-2023</t>
        </is>
      </c>
      <c r="B1404" s="1" t="n">
        <v>45170</v>
      </c>
      <c r="C1404" s="1" t="n">
        <v>45507</v>
      </c>
      <c r="D1404" t="inlineStr">
        <is>
          <t>JÄMTLANDS LÄN</t>
        </is>
      </c>
      <c r="E1404" t="inlineStr">
        <is>
          <t>BRÄCKE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40405-2023</t>
        </is>
      </c>
      <c r="B1405" s="1" t="n">
        <v>45170</v>
      </c>
      <c r="C1405" s="1" t="n">
        <v>45507</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40761-2023</t>
        </is>
      </c>
      <c r="B1406" s="1" t="n">
        <v>45171</v>
      </c>
      <c r="C1406" s="1" t="n">
        <v>45507</v>
      </c>
      <c r="D1406" t="inlineStr">
        <is>
          <t>JÄMTLANDS LÄN</t>
        </is>
      </c>
      <c r="E1406" t="inlineStr">
        <is>
          <t>BRÄCKE</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40765-2023</t>
        </is>
      </c>
      <c r="B1407" s="1" t="n">
        <v>45170</v>
      </c>
      <c r="C1407" s="1" t="n">
        <v>45507</v>
      </c>
      <c r="D1407" t="inlineStr">
        <is>
          <t>JÄMTLANDS LÄN</t>
        </is>
      </c>
      <c r="E1407" t="inlineStr">
        <is>
          <t>BRÄCKE</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41175-2023</t>
        </is>
      </c>
      <c r="B1408" s="1" t="n">
        <v>45170</v>
      </c>
      <c r="C1408" s="1" t="n">
        <v>45507</v>
      </c>
      <c r="D1408" t="inlineStr">
        <is>
          <t>JÄMTLANDS LÄN</t>
        </is>
      </c>
      <c r="E1408" t="inlineStr">
        <is>
          <t>BRÄCKE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40775-2023</t>
        </is>
      </c>
      <c r="B1409" s="1" t="n">
        <v>45171</v>
      </c>
      <c r="C1409" s="1" t="n">
        <v>45507</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41183-2023</t>
        </is>
      </c>
      <c r="B1410" s="1" t="n">
        <v>45170</v>
      </c>
      <c r="C1410" s="1" t="n">
        <v>45507</v>
      </c>
      <c r="D1410" t="inlineStr">
        <is>
          <t>JÄMTLANDS LÄN</t>
        </is>
      </c>
      <c r="E1410" t="inlineStr">
        <is>
          <t>BRÄCKE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41188-2023</t>
        </is>
      </c>
      <c r="B1411" s="1" t="n">
        <v>45170</v>
      </c>
      <c r="C1411" s="1" t="n">
        <v>45507</v>
      </c>
      <c r="D1411" t="inlineStr">
        <is>
          <t>JÄMTLANDS LÄN</t>
        </is>
      </c>
      <c r="E1411" t="inlineStr">
        <is>
          <t>BRÄCKE</t>
        </is>
      </c>
      <c r="F1411" t="inlineStr">
        <is>
          <t>Kommuner</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40844-2023</t>
        </is>
      </c>
      <c r="B1412" s="1" t="n">
        <v>45173</v>
      </c>
      <c r="C1412" s="1" t="n">
        <v>45507</v>
      </c>
      <c r="D1412" t="inlineStr">
        <is>
          <t>JÄMTLANDS LÄN</t>
        </is>
      </c>
      <c r="E1412" t="inlineStr">
        <is>
          <t>BRÄCKE</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41148-2023</t>
        </is>
      </c>
      <c r="B1413" s="1" t="n">
        <v>45173</v>
      </c>
      <c r="C1413" s="1" t="n">
        <v>45507</v>
      </c>
      <c r="D1413" t="inlineStr">
        <is>
          <t>JÄMTLANDS LÄN</t>
        </is>
      </c>
      <c r="E1413" t="inlineStr">
        <is>
          <t>BRÄCKE</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41401-2023</t>
        </is>
      </c>
      <c r="B1414" s="1" t="n">
        <v>45174</v>
      </c>
      <c r="C1414" s="1" t="n">
        <v>45507</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41412-2023</t>
        </is>
      </c>
      <c r="B1415" s="1" t="n">
        <v>45175</v>
      </c>
      <c r="C1415" s="1" t="n">
        <v>45507</v>
      </c>
      <c r="D1415" t="inlineStr">
        <is>
          <t>JÄMTLANDS LÄN</t>
        </is>
      </c>
      <c r="E1415" t="inlineStr">
        <is>
          <t>BRÄCKE</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41647-2023</t>
        </is>
      </c>
      <c r="B1416" s="1" t="n">
        <v>45176</v>
      </c>
      <c r="C1416" s="1" t="n">
        <v>45507</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41663-2023</t>
        </is>
      </c>
      <c r="B1417" s="1" t="n">
        <v>45176</v>
      </c>
      <c r="C1417" s="1" t="n">
        <v>45507</v>
      </c>
      <c r="D1417" t="inlineStr">
        <is>
          <t>JÄMTLANDS LÄN</t>
        </is>
      </c>
      <c r="E1417" t="inlineStr">
        <is>
          <t>BRÄCKE</t>
        </is>
      </c>
      <c r="F1417" t="inlineStr">
        <is>
          <t>SCA</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42103-2023</t>
        </is>
      </c>
      <c r="B1418" s="1" t="n">
        <v>45175</v>
      </c>
      <c r="C1418" s="1" t="n">
        <v>45507</v>
      </c>
      <c r="D1418" t="inlineStr">
        <is>
          <t>JÄMTLANDS LÄN</t>
        </is>
      </c>
      <c r="E1418" t="inlineStr">
        <is>
          <t>BRÄCKE</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41923-2023</t>
        </is>
      </c>
      <c r="B1419" s="1" t="n">
        <v>45176</v>
      </c>
      <c r="C1419" s="1" t="n">
        <v>45507</v>
      </c>
      <c r="D1419" t="inlineStr">
        <is>
          <t>JÄMTLANDS LÄN</t>
        </is>
      </c>
      <c r="E1419" t="inlineStr">
        <is>
          <t>BRÄCKE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41722-2023</t>
        </is>
      </c>
      <c r="B1420" s="1" t="n">
        <v>45176</v>
      </c>
      <c r="C1420" s="1" t="n">
        <v>45507</v>
      </c>
      <c r="D1420" t="inlineStr">
        <is>
          <t>JÄMTLANDS LÄN</t>
        </is>
      </c>
      <c r="E1420" t="inlineStr">
        <is>
          <t>BRÄCKE</t>
        </is>
      </c>
      <c r="G1420" t="n">
        <v>21.3</v>
      </c>
      <c r="H1420" t="n">
        <v>0</v>
      </c>
      <c r="I1420" t="n">
        <v>0</v>
      </c>
      <c r="J1420" t="n">
        <v>0</v>
      </c>
      <c r="K1420" t="n">
        <v>0</v>
      </c>
      <c r="L1420" t="n">
        <v>0</v>
      </c>
      <c r="M1420" t="n">
        <v>0</v>
      </c>
      <c r="N1420" t="n">
        <v>0</v>
      </c>
      <c r="O1420" t="n">
        <v>0</v>
      </c>
      <c r="P1420" t="n">
        <v>0</v>
      </c>
      <c r="Q1420" t="n">
        <v>0</v>
      </c>
      <c r="R1420" s="2" t="inlineStr"/>
    </row>
    <row r="1421" ht="15" customHeight="1">
      <c r="A1421" t="inlineStr">
        <is>
          <t>A 41922-2023</t>
        </is>
      </c>
      <c r="B1421" s="1" t="n">
        <v>45176</v>
      </c>
      <c r="C1421" s="1" t="n">
        <v>45507</v>
      </c>
      <c r="D1421" t="inlineStr">
        <is>
          <t>JÄMTLANDS LÄN</t>
        </is>
      </c>
      <c r="E1421" t="inlineStr">
        <is>
          <t>BRÄCKE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41738-2023</t>
        </is>
      </c>
      <c r="B1422" s="1" t="n">
        <v>45176</v>
      </c>
      <c r="C1422" s="1" t="n">
        <v>45507</v>
      </c>
      <c r="D1422" t="inlineStr">
        <is>
          <t>JÄMTLANDS LÄN</t>
        </is>
      </c>
      <c r="E1422" t="inlineStr">
        <is>
          <t>BRÄCKE</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41936-2023</t>
        </is>
      </c>
      <c r="B1423" s="1" t="n">
        <v>45177</v>
      </c>
      <c r="C1423" s="1" t="n">
        <v>45507</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42159-2023</t>
        </is>
      </c>
      <c r="B1424" s="1" t="n">
        <v>45177</v>
      </c>
      <c r="C1424" s="1" t="n">
        <v>45507</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42500-2023</t>
        </is>
      </c>
      <c r="B1425" s="1" t="n">
        <v>45181</v>
      </c>
      <c r="C1425" s="1" t="n">
        <v>45507</v>
      </c>
      <c r="D1425" t="inlineStr">
        <is>
          <t>JÄMTLANDS LÄN</t>
        </is>
      </c>
      <c r="E1425" t="inlineStr">
        <is>
          <t>BRÄCKE</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43180-2023</t>
        </is>
      </c>
      <c r="B1426" s="1" t="n">
        <v>45180</v>
      </c>
      <c r="C1426" s="1" t="n">
        <v>45507</v>
      </c>
      <c r="D1426" t="inlineStr">
        <is>
          <t>JÄMTLANDS LÄN</t>
        </is>
      </c>
      <c r="E1426" t="inlineStr">
        <is>
          <t>BRÄCKE</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43551-2023</t>
        </is>
      </c>
      <c r="B1427" s="1" t="n">
        <v>45181</v>
      </c>
      <c r="C1427" s="1" t="n">
        <v>45507</v>
      </c>
      <c r="D1427" t="inlineStr">
        <is>
          <t>JÄMTLANDS LÄN</t>
        </is>
      </c>
      <c r="E1427" t="inlineStr">
        <is>
          <t>BRÄCKE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43591-2023</t>
        </is>
      </c>
      <c r="B1428" s="1" t="n">
        <v>45181</v>
      </c>
      <c r="C1428" s="1" t="n">
        <v>45507</v>
      </c>
      <c r="D1428" t="inlineStr">
        <is>
          <t>JÄMTLANDS LÄN</t>
        </is>
      </c>
      <c r="E1428" t="inlineStr">
        <is>
          <t>BRÄCKE</t>
        </is>
      </c>
      <c r="F1428" t="inlineStr">
        <is>
          <t>SCA</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43596-2023</t>
        </is>
      </c>
      <c r="B1429" s="1" t="n">
        <v>45181</v>
      </c>
      <c r="C1429" s="1" t="n">
        <v>45507</v>
      </c>
      <c r="D1429" t="inlineStr">
        <is>
          <t>JÄMTLANDS LÄN</t>
        </is>
      </c>
      <c r="E1429" t="inlineStr">
        <is>
          <t>BRÄCKE</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43123-2023</t>
        </is>
      </c>
      <c r="B1430" s="1" t="n">
        <v>45182</v>
      </c>
      <c r="C1430" s="1" t="n">
        <v>45507</v>
      </c>
      <c r="D1430" t="inlineStr">
        <is>
          <t>JÄMTLANDS LÄN</t>
        </is>
      </c>
      <c r="E1430" t="inlineStr">
        <is>
          <t>BRÄCKE</t>
        </is>
      </c>
      <c r="F1430" t="inlineStr">
        <is>
          <t>Naturvårdsverket</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43108-2023</t>
        </is>
      </c>
      <c r="B1431" s="1" t="n">
        <v>45183</v>
      </c>
      <c r="C1431" s="1" t="n">
        <v>45507</v>
      </c>
      <c r="D1431" t="inlineStr">
        <is>
          <t>JÄMTLANDS LÄN</t>
        </is>
      </c>
      <c r="E1431" t="inlineStr">
        <is>
          <t>BRÄCKE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43906-2023</t>
        </is>
      </c>
      <c r="B1432" s="1" t="n">
        <v>45182</v>
      </c>
      <c r="C1432" s="1" t="n">
        <v>45507</v>
      </c>
      <c r="D1432" t="inlineStr">
        <is>
          <t>JÄMTLANDS LÄN</t>
        </is>
      </c>
      <c r="E1432" t="inlineStr">
        <is>
          <t>BRÄCKE</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43910-2023</t>
        </is>
      </c>
      <c r="B1433" s="1" t="n">
        <v>45182</v>
      </c>
      <c r="C1433" s="1" t="n">
        <v>45507</v>
      </c>
      <c r="D1433" t="inlineStr">
        <is>
          <t>JÄMTLANDS LÄN</t>
        </is>
      </c>
      <c r="E1433" t="inlineStr">
        <is>
          <t>BRÄCKE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43093-2023</t>
        </is>
      </c>
      <c r="B1434" s="1" t="n">
        <v>45182</v>
      </c>
      <c r="C1434" s="1" t="n">
        <v>45507</v>
      </c>
      <c r="D1434" t="inlineStr">
        <is>
          <t>JÄMTLANDS LÄN</t>
        </is>
      </c>
      <c r="E1434" t="inlineStr">
        <is>
          <t>BRÄCKE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43869-2023</t>
        </is>
      </c>
      <c r="B1435" s="1" t="n">
        <v>45182</v>
      </c>
      <c r="C1435" s="1" t="n">
        <v>45507</v>
      </c>
      <c r="D1435" t="inlineStr">
        <is>
          <t>JÄMTLANDS LÄN</t>
        </is>
      </c>
      <c r="E1435" t="inlineStr">
        <is>
          <t>BRÄCKE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43292-2023</t>
        </is>
      </c>
      <c r="B1436" s="1" t="n">
        <v>45183</v>
      </c>
      <c r="C1436" s="1" t="n">
        <v>45507</v>
      </c>
      <c r="D1436" t="inlineStr">
        <is>
          <t>JÄMTLANDS LÄN</t>
        </is>
      </c>
      <c r="E1436" t="inlineStr">
        <is>
          <t>BRÄCKE</t>
        </is>
      </c>
      <c r="F1436" t="inlineStr">
        <is>
          <t>Kyrkan</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43957-2023</t>
        </is>
      </c>
      <c r="B1437" s="1" t="n">
        <v>45187</v>
      </c>
      <c r="C1437" s="1" t="n">
        <v>45507</v>
      </c>
      <c r="D1437" t="inlineStr">
        <is>
          <t>JÄMTLANDS LÄN</t>
        </is>
      </c>
      <c r="E1437" t="inlineStr">
        <is>
          <t>BRÄCKE</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43969-2023</t>
        </is>
      </c>
      <c r="B1438" s="1" t="n">
        <v>45187</v>
      </c>
      <c r="C1438" s="1" t="n">
        <v>45507</v>
      </c>
      <c r="D1438" t="inlineStr">
        <is>
          <t>JÄMTLANDS LÄN</t>
        </is>
      </c>
      <c r="E1438" t="inlineStr">
        <is>
          <t>BRÄCKE</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43977-2023</t>
        </is>
      </c>
      <c r="B1439" s="1" t="n">
        <v>45187</v>
      </c>
      <c r="C1439" s="1" t="n">
        <v>45507</v>
      </c>
      <c r="D1439" t="inlineStr">
        <is>
          <t>JÄMTLANDS LÄN</t>
        </is>
      </c>
      <c r="E1439" t="inlineStr">
        <is>
          <t>BRÄCKE</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43971-2023</t>
        </is>
      </c>
      <c r="B1440" s="1" t="n">
        <v>45188</v>
      </c>
      <c r="C1440" s="1" t="n">
        <v>45507</v>
      </c>
      <c r="D1440" t="inlineStr">
        <is>
          <t>JÄMTLANDS LÄN</t>
        </is>
      </c>
      <c r="E1440" t="inlineStr">
        <is>
          <t>BRÄCKE</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43958-2023</t>
        </is>
      </c>
      <c r="B1441" s="1" t="n">
        <v>45187</v>
      </c>
      <c r="C1441" s="1" t="n">
        <v>45507</v>
      </c>
      <c r="D1441" t="inlineStr">
        <is>
          <t>JÄMTLANDS LÄN</t>
        </is>
      </c>
      <c r="E1441" t="inlineStr">
        <is>
          <t>BRÄCKE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43982-2023</t>
        </is>
      </c>
      <c r="B1442" s="1" t="n">
        <v>45187</v>
      </c>
      <c r="C1442" s="1" t="n">
        <v>45507</v>
      </c>
      <c r="D1442" t="inlineStr">
        <is>
          <t>JÄMTLANDS LÄN</t>
        </is>
      </c>
      <c r="E1442" t="inlineStr">
        <is>
          <t>BRÄCKE</t>
        </is>
      </c>
      <c r="F1442" t="inlineStr">
        <is>
          <t>SCA</t>
        </is>
      </c>
      <c r="G1442" t="n">
        <v>25.6</v>
      </c>
      <c r="H1442" t="n">
        <v>0</v>
      </c>
      <c r="I1442" t="n">
        <v>0</v>
      </c>
      <c r="J1442" t="n">
        <v>0</v>
      </c>
      <c r="K1442" t="n">
        <v>0</v>
      </c>
      <c r="L1442" t="n">
        <v>0</v>
      </c>
      <c r="M1442" t="n">
        <v>0</v>
      </c>
      <c r="N1442" t="n">
        <v>0</v>
      </c>
      <c r="O1442" t="n">
        <v>0</v>
      </c>
      <c r="P1442" t="n">
        <v>0</v>
      </c>
      <c r="Q1442" t="n">
        <v>0</v>
      </c>
      <c r="R1442" s="2" t="inlineStr"/>
    </row>
    <row r="1443" ht="15" customHeight="1">
      <c r="A1443" t="inlineStr">
        <is>
          <t>A 43970-2023</t>
        </is>
      </c>
      <c r="B1443" s="1" t="n">
        <v>45187</v>
      </c>
      <c r="C1443" s="1" t="n">
        <v>45507</v>
      </c>
      <c r="D1443" t="inlineStr">
        <is>
          <t>JÄMTLANDS LÄN</t>
        </is>
      </c>
      <c r="E1443" t="inlineStr">
        <is>
          <t>BRÄCKE</t>
        </is>
      </c>
      <c r="F1443" t="inlineStr">
        <is>
          <t>SCA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44324-2023</t>
        </is>
      </c>
      <c r="B1444" s="1" t="n">
        <v>45188</v>
      </c>
      <c r="C1444" s="1" t="n">
        <v>45507</v>
      </c>
      <c r="D1444" t="inlineStr">
        <is>
          <t>JÄMTLANDS LÄN</t>
        </is>
      </c>
      <c r="E1444" t="inlineStr">
        <is>
          <t>BRÄCKE</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44318-2023</t>
        </is>
      </c>
      <c r="B1445" s="1" t="n">
        <v>45188</v>
      </c>
      <c r="C1445" s="1" t="n">
        <v>45507</v>
      </c>
      <c r="D1445" t="inlineStr">
        <is>
          <t>JÄMTLANDS LÄN</t>
        </is>
      </c>
      <c r="E1445" t="inlineStr">
        <is>
          <t>BRÄCKE</t>
        </is>
      </c>
      <c r="F1445" t="inlineStr">
        <is>
          <t>Sveaskog</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44321-2023</t>
        </is>
      </c>
      <c r="B1446" s="1" t="n">
        <v>45188</v>
      </c>
      <c r="C1446" s="1" t="n">
        <v>45507</v>
      </c>
      <c r="D1446" t="inlineStr">
        <is>
          <t>JÄMTLANDS LÄN</t>
        </is>
      </c>
      <c r="E1446" t="inlineStr">
        <is>
          <t>BRÄCKE</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44328-2023</t>
        </is>
      </c>
      <c r="B1447" s="1" t="n">
        <v>45188</v>
      </c>
      <c r="C1447" s="1" t="n">
        <v>45507</v>
      </c>
      <c r="D1447" t="inlineStr">
        <is>
          <t>JÄMTLANDS LÄN</t>
        </is>
      </c>
      <c r="E1447" t="inlineStr">
        <is>
          <t>BRÄCKE</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44357-2023</t>
        </is>
      </c>
      <c r="B1448" s="1" t="n">
        <v>45188</v>
      </c>
      <c r="C1448" s="1" t="n">
        <v>45507</v>
      </c>
      <c r="D1448" t="inlineStr">
        <is>
          <t>JÄMTLANDS LÄN</t>
        </is>
      </c>
      <c r="E1448" t="inlineStr">
        <is>
          <t>BRÄCKE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44381-2023</t>
        </is>
      </c>
      <c r="B1449" s="1" t="n">
        <v>45188</v>
      </c>
      <c r="C1449" s="1" t="n">
        <v>45507</v>
      </c>
      <c r="D1449" t="inlineStr">
        <is>
          <t>JÄMTLANDS LÄN</t>
        </is>
      </c>
      <c r="E1449" t="inlineStr">
        <is>
          <t>BRÄCKE</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44400-2023</t>
        </is>
      </c>
      <c r="B1450" s="1" t="n">
        <v>45189</v>
      </c>
      <c r="C1450" s="1" t="n">
        <v>45507</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44399-2023</t>
        </is>
      </c>
      <c r="B1451" s="1" t="n">
        <v>45189</v>
      </c>
      <c r="C1451" s="1" t="n">
        <v>45507</v>
      </c>
      <c r="D1451" t="inlineStr">
        <is>
          <t>JÄMTLANDS LÄN</t>
        </is>
      </c>
      <c r="E1451" t="inlineStr">
        <is>
          <t>BRÄCKE</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44403-2023</t>
        </is>
      </c>
      <c r="B1452" s="1" t="n">
        <v>45189</v>
      </c>
      <c r="C1452" s="1" t="n">
        <v>45507</v>
      </c>
      <c r="D1452" t="inlineStr">
        <is>
          <t>JÄMTLANDS LÄN</t>
        </is>
      </c>
      <c r="E1452" t="inlineStr">
        <is>
          <t>BRÄCKE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44358-2023</t>
        </is>
      </c>
      <c r="B1453" s="1" t="n">
        <v>45188</v>
      </c>
      <c r="C1453" s="1" t="n">
        <v>45507</v>
      </c>
      <c r="D1453" t="inlineStr">
        <is>
          <t>JÄMTLANDS LÄN</t>
        </is>
      </c>
      <c r="E1453" t="inlineStr">
        <is>
          <t>BRÄCKE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44693-2023</t>
        </is>
      </c>
      <c r="B1454" s="1" t="n">
        <v>45190</v>
      </c>
      <c r="C1454" s="1" t="n">
        <v>45507</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44694-2023</t>
        </is>
      </c>
      <c r="B1455" s="1" t="n">
        <v>45190</v>
      </c>
      <c r="C1455" s="1" t="n">
        <v>45507</v>
      </c>
      <c r="D1455" t="inlineStr">
        <is>
          <t>JÄMTLANDS LÄN</t>
        </is>
      </c>
      <c r="E1455" t="inlineStr">
        <is>
          <t>BRÄCKE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45019-2023</t>
        </is>
      </c>
      <c r="B1456" s="1" t="n">
        <v>45191</v>
      </c>
      <c r="C1456" s="1" t="n">
        <v>45507</v>
      </c>
      <c r="D1456" t="inlineStr">
        <is>
          <t>JÄMTLANDS LÄN</t>
        </is>
      </c>
      <c r="E1456" t="inlineStr">
        <is>
          <t>BRÄCKE</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45002-2023</t>
        </is>
      </c>
      <c r="B1457" s="1" t="n">
        <v>45191</v>
      </c>
      <c r="C1457" s="1" t="n">
        <v>45507</v>
      </c>
      <c r="D1457" t="inlineStr">
        <is>
          <t>JÄMTLANDS LÄN</t>
        </is>
      </c>
      <c r="E1457" t="inlineStr">
        <is>
          <t>BRÄCKE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45010-2023</t>
        </is>
      </c>
      <c r="B1458" s="1" t="n">
        <v>45191</v>
      </c>
      <c r="C1458" s="1" t="n">
        <v>45507</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44989-2023</t>
        </is>
      </c>
      <c r="B1459" s="1" t="n">
        <v>45190</v>
      </c>
      <c r="C1459" s="1" t="n">
        <v>45507</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45005-2023</t>
        </is>
      </c>
      <c r="B1460" s="1" t="n">
        <v>45190</v>
      </c>
      <c r="C1460" s="1" t="n">
        <v>45507</v>
      </c>
      <c r="D1460" t="inlineStr">
        <is>
          <t>JÄMTLANDS LÄN</t>
        </is>
      </c>
      <c r="E1460" t="inlineStr">
        <is>
          <t>BRÄCKE</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45009-2023</t>
        </is>
      </c>
      <c r="B1461" s="1" t="n">
        <v>45191</v>
      </c>
      <c r="C1461" s="1" t="n">
        <v>45507</v>
      </c>
      <c r="D1461" t="inlineStr">
        <is>
          <t>JÄMTLANDS LÄN</t>
        </is>
      </c>
      <c r="E1461" t="inlineStr">
        <is>
          <t>BRÄCKE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45013-2023</t>
        </is>
      </c>
      <c r="B1462" s="1" t="n">
        <v>45191</v>
      </c>
      <c r="C1462" s="1" t="n">
        <v>45507</v>
      </c>
      <c r="D1462" t="inlineStr">
        <is>
          <t>JÄMTLANDS LÄN</t>
        </is>
      </c>
      <c r="E1462" t="inlineStr">
        <is>
          <t>BRÄCKE</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45028-2023</t>
        </is>
      </c>
      <c r="B1463" s="1" t="n">
        <v>45190</v>
      </c>
      <c r="C1463" s="1" t="n">
        <v>45507</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45029-2023</t>
        </is>
      </c>
      <c r="B1464" s="1" t="n">
        <v>45191</v>
      </c>
      <c r="C1464" s="1" t="n">
        <v>45507</v>
      </c>
      <c r="D1464" t="inlineStr">
        <is>
          <t>JÄMTLANDS LÄN</t>
        </is>
      </c>
      <c r="E1464" t="inlineStr">
        <is>
          <t>BRÄCKE</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45337-2023</t>
        </is>
      </c>
      <c r="B1465" s="1" t="n">
        <v>45191</v>
      </c>
      <c r="C1465" s="1" t="n">
        <v>45507</v>
      </c>
      <c r="D1465" t="inlineStr">
        <is>
          <t>JÄMTLANDS LÄN</t>
        </is>
      </c>
      <c r="E1465" t="inlineStr">
        <is>
          <t>BRÄCKE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45345-2023</t>
        </is>
      </c>
      <c r="B1466" s="1" t="n">
        <v>45192</v>
      </c>
      <c r="C1466" s="1" t="n">
        <v>45507</v>
      </c>
      <c r="D1466" t="inlineStr">
        <is>
          <t>JÄMTLANDS LÄN</t>
        </is>
      </c>
      <c r="E1466" t="inlineStr">
        <is>
          <t>BRÄCKE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45344-2023</t>
        </is>
      </c>
      <c r="B1467" s="1" t="n">
        <v>45191</v>
      </c>
      <c r="C1467" s="1" t="n">
        <v>45507</v>
      </c>
      <c r="D1467" t="inlineStr">
        <is>
          <t>JÄMTLANDS LÄN</t>
        </is>
      </c>
      <c r="E1467" t="inlineStr">
        <is>
          <t>BRÄCKE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45334-2023</t>
        </is>
      </c>
      <c r="B1468" s="1" t="n">
        <v>45192</v>
      </c>
      <c r="C1468" s="1" t="n">
        <v>45507</v>
      </c>
      <c r="D1468" t="inlineStr">
        <is>
          <t>JÄMTLANDS LÄN</t>
        </is>
      </c>
      <c r="E1468" t="inlineStr">
        <is>
          <t>BRÄCKE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45342-2023</t>
        </is>
      </c>
      <c r="B1469" s="1" t="n">
        <v>45192</v>
      </c>
      <c r="C1469" s="1" t="n">
        <v>45507</v>
      </c>
      <c r="D1469" t="inlineStr">
        <is>
          <t>JÄMTLANDS LÄN</t>
        </is>
      </c>
      <c r="E1469" t="inlineStr">
        <is>
          <t>BRÄCKE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45370-2023</t>
        </is>
      </c>
      <c r="B1470" s="1" t="n">
        <v>45193</v>
      </c>
      <c r="C1470" s="1" t="n">
        <v>45507</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45369-2023</t>
        </is>
      </c>
      <c r="B1471" s="1" t="n">
        <v>45193</v>
      </c>
      <c r="C1471" s="1" t="n">
        <v>45507</v>
      </c>
      <c r="D1471" t="inlineStr">
        <is>
          <t>JÄMTLANDS LÄN</t>
        </is>
      </c>
      <c r="E1471" t="inlineStr">
        <is>
          <t>BRÄCKE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45577-2023</t>
        </is>
      </c>
      <c r="B1472" s="1" t="n">
        <v>45194</v>
      </c>
      <c r="C1472" s="1" t="n">
        <v>45507</v>
      </c>
      <c r="D1472" t="inlineStr">
        <is>
          <t>JÄMTLANDS LÄN</t>
        </is>
      </c>
      <c r="E1472" t="inlineStr">
        <is>
          <t>BRÄCKE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45937-2023</t>
        </is>
      </c>
      <c r="B1473" s="1" t="n">
        <v>45196</v>
      </c>
      <c r="C1473" s="1" t="n">
        <v>45507</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45950-2023</t>
        </is>
      </c>
      <c r="B1474" s="1" t="n">
        <v>45195</v>
      </c>
      <c r="C1474" s="1" t="n">
        <v>45507</v>
      </c>
      <c r="D1474" t="inlineStr">
        <is>
          <t>JÄMTLANDS LÄN</t>
        </is>
      </c>
      <c r="E1474" t="inlineStr">
        <is>
          <t>BRÄCKE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45963-2023</t>
        </is>
      </c>
      <c r="B1475" s="1" t="n">
        <v>45196</v>
      </c>
      <c r="C1475" s="1" t="n">
        <v>45507</v>
      </c>
      <c r="D1475" t="inlineStr">
        <is>
          <t>JÄMTLANDS LÄN</t>
        </is>
      </c>
      <c r="E1475" t="inlineStr">
        <is>
          <t>BRÄCKE</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46939-2023</t>
        </is>
      </c>
      <c r="B1476" s="1" t="n">
        <v>45195</v>
      </c>
      <c r="C1476" s="1" t="n">
        <v>45507</v>
      </c>
      <c r="D1476" t="inlineStr">
        <is>
          <t>JÄMTLANDS LÄN</t>
        </is>
      </c>
      <c r="E1476" t="inlineStr">
        <is>
          <t>BRÄCKE</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45936-2023</t>
        </is>
      </c>
      <c r="B1477" s="1" t="n">
        <v>45196</v>
      </c>
      <c r="C1477" s="1" t="n">
        <v>45507</v>
      </c>
      <c r="D1477" t="inlineStr">
        <is>
          <t>JÄMTLANDS LÄN</t>
        </is>
      </c>
      <c r="E1477" t="inlineStr">
        <is>
          <t>BRÄCKE</t>
        </is>
      </c>
      <c r="F1477" t="inlineStr">
        <is>
          <t>SCA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46952-2023</t>
        </is>
      </c>
      <c r="B1478" s="1" t="n">
        <v>45195</v>
      </c>
      <c r="C1478" s="1" t="n">
        <v>45507</v>
      </c>
      <c r="D1478" t="inlineStr">
        <is>
          <t>JÄMTLANDS LÄN</t>
        </is>
      </c>
      <c r="E1478" t="inlineStr">
        <is>
          <t>BRÄCKE</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45951-2023</t>
        </is>
      </c>
      <c r="B1479" s="1" t="n">
        <v>45196</v>
      </c>
      <c r="C1479" s="1" t="n">
        <v>45507</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46274-2023</t>
        </is>
      </c>
      <c r="B1480" s="1" t="n">
        <v>45197</v>
      </c>
      <c r="C1480" s="1" t="n">
        <v>45507</v>
      </c>
      <c r="D1480" t="inlineStr">
        <is>
          <t>JÄMTLANDS LÄN</t>
        </is>
      </c>
      <c r="E1480" t="inlineStr">
        <is>
          <t>BRÄCKE</t>
        </is>
      </c>
      <c r="F1480" t="inlineStr">
        <is>
          <t>Naturvårdsverket</t>
        </is>
      </c>
      <c r="G1480" t="n">
        <v>70.3</v>
      </c>
      <c r="H1480" t="n">
        <v>0</v>
      </c>
      <c r="I1480" t="n">
        <v>0</v>
      </c>
      <c r="J1480" t="n">
        <v>0</v>
      </c>
      <c r="K1480" t="n">
        <v>0</v>
      </c>
      <c r="L1480" t="n">
        <v>0</v>
      </c>
      <c r="M1480" t="n">
        <v>0</v>
      </c>
      <c r="N1480" t="n">
        <v>0</v>
      </c>
      <c r="O1480" t="n">
        <v>0</v>
      </c>
      <c r="P1480" t="n">
        <v>0</v>
      </c>
      <c r="Q1480" t="n">
        <v>0</v>
      </c>
      <c r="R1480" s="2" t="inlineStr"/>
    </row>
    <row r="1481" ht="15" customHeight="1">
      <c r="A1481" t="inlineStr">
        <is>
          <t>A 46257-2023</t>
        </is>
      </c>
      <c r="B1481" s="1" t="n">
        <v>45197</v>
      </c>
      <c r="C1481" s="1" t="n">
        <v>45507</v>
      </c>
      <c r="D1481" t="inlineStr">
        <is>
          <t>JÄMTLANDS LÄN</t>
        </is>
      </c>
      <c r="E1481" t="inlineStr">
        <is>
          <t>BRÄCKE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46273-2023</t>
        </is>
      </c>
      <c r="B1482" s="1" t="n">
        <v>45197</v>
      </c>
      <c r="C1482" s="1" t="n">
        <v>45507</v>
      </c>
      <c r="D1482" t="inlineStr">
        <is>
          <t>JÄMTLANDS LÄN</t>
        </is>
      </c>
      <c r="E1482" t="inlineStr">
        <is>
          <t>BRÄCKE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46263-2023</t>
        </is>
      </c>
      <c r="B1483" s="1" t="n">
        <v>45196</v>
      </c>
      <c r="C1483" s="1" t="n">
        <v>45507</v>
      </c>
      <c r="D1483" t="inlineStr">
        <is>
          <t>JÄMTLANDS LÄN</t>
        </is>
      </c>
      <c r="E1483" t="inlineStr">
        <is>
          <t>BRÄCKE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46551-2023</t>
        </is>
      </c>
      <c r="B1484" s="1" t="n">
        <v>45198</v>
      </c>
      <c r="C1484" s="1" t="n">
        <v>45507</v>
      </c>
      <c r="D1484" t="inlineStr">
        <is>
          <t>JÄMTLANDS LÄN</t>
        </is>
      </c>
      <c r="E1484" t="inlineStr">
        <is>
          <t>BRÄCKE</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46812-2023</t>
        </is>
      </c>
      <c r="B1485" s="1" t="n">
        <v>45198</v>
      </c>
      <c r="C1485" s="1" t="n">
        <v>45507</v>
      </c>
      <c r="D1485" t="inlineStr">
        <is>
          <t>JÄMTLANDS LÄN</t>
        </is>
      </c>
      <c r="E1485" t="inlineStr">
        <is>
          <t>BRÄCKE</t>
        </is>
      </c>
      <c r="F1485" t="inlineStr">
        <is>
          <t>SCA</t>
        </is>
      </c>
      <c r="G1485" t="n">
        <v>17.5</v>
      </c>
      <c r="H1485" t="n">
        <v>0</v>
      </c>
      <c r="I1485" t="n">
        <v>0</v>
      </c>
      <c r="J1485" t="n">
        <v>0</v>
      </c>
      <c r="K1485" t="n">
        <v>0</v>
      </c>
      <c r="L1485" t="n">
        <v>0</v>
      </c>
      <c r="M1485" t="n">
        <v>0</v>
      </c>
      <c r="N1485" t="n">
        <v>0</v>
      </c>
      <c r="O1485" t="n">
        <v>0</v>
      </c>
      <c r="P1485" t="n">
        <v>0</v>
      </c>
      <c r="Q1485" t="n">
        <v>0</v>
      </c>
      <c r="R1485" s="2" t="inlineStr"/>
    </row>
    <row r="1486" ht="15" customHeight="1">
      <c r="A1486" t="inlineStr">
        <is>
          <t>A 46798-2023</t>
        </is>
      </c>
      <c r="B1486" s="1" t="n">
        <v>45198</v>
      </c>
      <c r="C1486" s="1" t="n">
        <v>45507</v>
      </c>
      <c r="D1486" t="inlineStr">
        <is>
          <t>JÄMTLANDS LÄN</t>
        </is>
      </c>
      <c r="E1486" t="inlineStr">
        <is>
          <t>BRÄCKE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46805-2023</t>
        </is>
      </c>
      <c r="B1487" s="1" t="n">
        <v>45198</v>
      </c>
      <c r="C1487" s="1" t="n">
        <v>45507</v>
      </c>
      <c r="D1487" t="inlineStr">
        <is>
          <t>JÄMTLANDS LÄN</t>
        </is>
      </c>
      <c r="E1487" t="inlineStr">
        <is>
          <t>BRÄCKE</t>
        </is>
      </c>
      <c r="F1487" t="inlineStr">
        <is>
          <t>SCA</t>
        </is>
      </c>
      <c r="G1487" t="n">
        <v>9.4</v>
      </c>
      <c r="H1487" t="n">
        <v>0</v>
      </c>
      <c r="I1487" t="n">
        <v>0</v>
      </c>
      <c r="J1487" t="n">
        <v>0</v>
      </c>
      <c r="K1487" t="n">
        <v>0</v>
      </c>
      <c r="L1487" t="n">
        <v>0</v>
      </c>
      <c r="M1487" t="n">
        <v>0</v>
      </c>
      <c r="N1487" t="n">
        <v>0</v>
      </c>
      <c r="O1487" t="n">
        <v>0</v>
      </c>
      <c r="P1487" t="n">
        <v>0</v>
      </c>
      <c r="Q1487" t="n">
        <v>0</v>
      </c>
      <c r="R1487" s="2" t="inlineStr"/>
    </row>
    <row r="1488" ht="15" customHeight="1">
      <c r="A1488" t="inlineStr">
        <is>
          <t>A 46809-2023</t>
        </is>
      </c>
      <c r="B1488" s="1" t="n">
        <v>45199</v>
      </c>
      <c r="C1488" s="1" t="n">
        <v>45507</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46799-2023</t>
        </is>
      </c>
      <c r="B1489" s="1" t="n">
        <v>45198</v>
      </c>
      <c r="C1489" s="1" t="n">
        <v>45507</v>
      </c>
      <c r="D1489" t="inlineStr">
        <is>
          <t>JÄMTLANDS LÄN</t>
        </is>
      </c>
      <c r="E1489" t="inlineStr">
        <is>
          <t>BRÄCKE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46810-2023</t>
        </is>
      </c>
      <c r="B1490" s="1" t="n">
        <v>45199</v>
      </c>
      <c r="C1490" s="1" t="n">
        <v>45507</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46860-2023</t>
        </is>
      </c>
      <c r="B1491" s="1" t="n">
        <v>45200</v>
      </c>
      <c r="C1491" s="1" t="n">
        <v>45507</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47163-2023</t>
        </is>
      </c>
      <c r="B1492" s="1" t="n">
        <v>45202</v>
      </c>
      <c r="C1492" s="1" t="n">
        <v>45507</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47183-2023</t>
        </is>
      </c>
      <c r="B1493" s="1" t="n">
        <v>45201</v>
      </c>
      <c r="C1493" s="1" t="n">
        <v>45507</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c r="U1493">
        <f>HYPERLINK("https://klasma.github.io/Logging_2305/knärot/A 47183-2023 karta knärot.png", "A 47183-2023")</f>
        <v/>
      </c>
      <c r="V1493">
        <f>HYPERLINK("https://klasma.github.io/Logging_2305/klagomål/A 47183-2023 FSC-klagomål.docx", "A 47183-2023")</f>
        <v/>
      </c>
      <c r="W1493">
        <f>HYPERLINK("https://klasma.github.io/Logging_2305/klagomålsmail/A 47183-2023 FSC-klagomål mail.docx", "A 47183-2023")</f>
        <v/>
      </c>
      <c r="X1493">
        <f>HYPERLINK("https://klasma.github.io/Logging_2305/tillsyn/A 47183-2023 tillsynsbegäran.docx", "A 47183-2023")</f>
        <v/>
      </c>
      <c r="Y1493">
        <f>HYPERLINK("https://klasma.github.io/Logging_2305/tillsynsmail/A 47183-2023 tillsynsbegäran mail.docx", "A 47183-2023")</f>
        <v/>
      </c>
    </row>
    <row r="1494" ht="15" customHeight="1">
      <c r="A1494" t="inlineStr">
        <is>
          <t>A 47186-2023</t>
        </is>
      </c>
      <c r="B1494" s="1" t="n">
        <v>45201</v>
      </c>
      <c r="C1494" s="1" t="n">
        <v>45507</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47169-2023</t>
        </is>
      </c>
      <c r="B1495" s="1" t="n">
        <v>45202</v>
      </c>
      <c r="C1495" s="1" t="n">
        <v>45507</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48349-2023</t>
        </is>
      </c>
      <c r="B1496" s="1" t="n">
        <v>45201</v>
      </c>
      <c r="C1496" s="1" t="n">
        <v>45507</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48390-2023</t>
        </is>
      </c>
      <c r="B1497" s="1" t="n">
        <v>45201</v>
      </c>
      <c r="C1497" s="1" t="n">
        <v>45507</v>
      </c>
      <c r="D1497" t="inlineStr">
        <is>
          <t>JÄMTLANDS LÄN</t>
        </is>
      </c>
      <c r="E1497" t="inlineStr">
        <is>
          <t>BRÄCKE</t>
        </is>
      </c>
      <c r="F1497" t="inlineStr">
        <is>
          <t>SCA</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47365-2023</t>
        </is>
      </c>
      <c r="B1498" s="1" t="n">
        <v>45202</v>
      </c>
      <c r="C1498" s="1" t="n">
        <v>45507</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47486-2023</t>
        </is>
      </c>
      <c r="B1499" s="1" t="n">
        <v>45203</v>
      </c>
      <c r="C1499" s="1" t="n">
        <v>45507</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47500-2023</t>
        </is>
      </c>
      <c r="B1500" s="1" t="n">
        <v>45203</v>
      </c>
      <c r="C1500" s="1" t="n">
        <v>45507</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47487-2023</t>
        </is>
      </c>
      <c r="B1501" s="1" t="n">
        <v>45203</v>
      </c>
      <c r="C1501" s="1" t="n">
        <v>45507</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47788-2023</t>
        </is>
      </c>
      <c r="B1502" s="1" t="n">
        <v>45204</v>
      </c>
      <c r="C1502" s="1" t="n">
        <v>45507</v>
      </c>
      <c r="D1502" t="inlineStr">
        <is>
          <t>JÄMTLANDS LÄN</t>
        </is>
      </c>
      <c r="E1502" t="inlineStr">
        <is>
          <t>BRÄCKE</t>
        </is>
      </c>
      <c r="F1502" t="inlineStr">
        <is>
          <t>SCA</t>
        </is>
      </c>
      <c r="G1502" t="n">
        <v>22.4</v>
      </c>
      <c r="H1502" t="n">
        <v>0</v>
      </c>
      <c r="I1502" t="n">
        <v>0</v>
      </c>
      <c r="J1502" t="n">
        <v>0</v>
      </c>
      <c r="K1502" t="n">
        <v>0</v>
      </c>
      <c r="L1502" t="n">
        <v>0</v>
      </c>
      <c r="M1502" t="n">
        <v>0</v>
      </c>
      <c r="N1502" t="n">
        <v>0</v>
      </c>
      <c r="O1502" t="n">
        <v>0</v>
      </c>
      <c r="P1502" t="n">
        <v>0</v>
      </c>
      <c r="Q1502" t="n">
        <v>0</v>
      </c>
      <c r="R1502" s="2" t="inlineStr"/>
    </row>
    <row r="1503" ht="15" customHeight="1">
      <c r="A1503" t="inlineStr">
        <is>
          <t>A 48079-2023</t>
        </is>
      </c>
      <c r="B1503" s="1" t="n">
        <v>45204</v>
      </c>
      <c r="C1503" s="1" t="n">
        <v>45507</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48058-2023</t>
        </is>
      </c>
      <c r="B1504" s="1" t="n">
        <v>45205</v>
      </c>
      <c r="C1504" s="1" t="n">
        <v>45507</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48064-2023</t>
        </is>
      </c>
      <c r="B1505" s="1" t="n">
        <v>45204</v>
      </c>
      <c r="C1505" s="1" t="n">
        <v>45507</v>
      </c>
      <c r="D1505" t="inlineStr">
        <is>
          <t>JÄMTLANDS LÄN</t>
        </is>
      </c>
      <c r="E1505" t="inlineStr">
        <is>
          <t>BRÄCKE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48068-2023</t>
        </is>
      </c>
      <c r="B1506" s="1" t="n">
        <v>45205</v>
      </c>
      <c r="C1506" s="1" t="n">
        <v>45507</v>
      </c>
      <c r="D1506" t="inlineStr">
        <is>
          <t>JÄMTLANDS LÄN</t>
        </is>
      </c>
      <c r="E1506" t="inlineStr">
        <is>
          <t>BRÄCKE</t>
        </is>
      </c>
      <c r="F1506" t="inlineStr">
        <is>
          <t>SCA</t>
        </is>
      </c>
      <c r="G1506" t="n">
        <v>12.7</v>
      </c>
      <c r="H1506" t="n">
        <v>0</v>
      </c>
      <c r="I1506" t="n">
        <v>0</v>
      </c>
      <c r="J1506" t="n">
        <v>0</v>
      </c>
      <c r="K1506" t="n">
        <v>0</v>
      </c>
      <c r="L1506" t="n">
        <v>0</v>
      </c>
      <c r="M1506" t="n">
        <v>0</v>
      </c>
      <c r="N1506" t="n">
        <v>0</v>
      </c>
      <c r="O1506" t="n">
        <v>0</v>
      </c>
      <c r="P1506" t="n">
        <v>0</v>
      </c>
      <c r="Q1506" t="n">
        <v>0</v>
      </c>
      <c r="R1506" s="2" t="inlineStr"/>
    </row>
    <row r="1507" ht="15" customHeight="1">
      <c r="A1507" t="inlineStr">
        <is>
          <t>A 48080-2023</t>
        </is>
      </c>
      <c r="B1507" s="1" t="n">
        <v>45205</v>
      </c>
      <c r="C1507" s="1" t="n">
        <v>45507</v>
      </c>
      <c r="D1507" t="inlineStr">
        <is>
          <t>JÄMTLANDS LÄN</t>
        </is>
      </c>
      <c r="E1507" t="inlineStr">
        <is>
          <t>BRÄCKE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49085-2023</t>
        </is>
      </c>
      <c r="B1508" s="1" t="n">
        <v>45204</v>
      </c>
      <c r="C1508" s="1" t="n">
        <v>45507</v>
      </c>
      <c r="D1508" t="inlineStr">
        <is>
          <t>JÄMTLANDS LÄN</t>
        </is>
      </c>
      <c r="E1508" t="inlineStr">
        <is>
          <t>BRÄCKE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48159-2023</t>
        </is>
      </c>
      <c r="B1509" s="1" t="n">
        <v>45205</v>
      </c>
      <c r="C1509" s="1" t="n">
        <v>45507</v>
      </c>
      <c r="D1509" t="inlineStr">
        <is>
          <t>JÄMTLANDS LÄN</t>
        </is>
      </c>
      <c r="E1509" t="inlineStr">
        <is>
          <t>BRÄCKE</t>
        </is>
      </c>
      <c r="G1509" t="n">
        <v>12.1</v>
      </c>
      <c r="H1509" t="n">
        <v>0</v>
      </c>
      <c r="I1509" t="n">
        <v>0</v>
      </c>
      <c r="J1509" t="n">
        <v>0</v>
      </c>
      <c r="K1509" t="n">
        <v>0</v>
      </c>
      <c r="L1509" t="n">
        <v>0</v>
      </c>
      <c r="M1509" t="n">
        <v>0</v>
      </c>
      <c r="N1509" t="n">
        <v>0</v>
      </c>
      <c r="O1509" t="n">
        <v>0</v>
      </c>
      <c r="P1509" t="n">
        <v>0</v>
      </c>
      <c r="Q1509" t="n">
        <v>0</v>
      </c>
      <c r="R1509" s="2" t="inlineStr"/>
    </row>
    <row r="1510" ht="15" customHeight="1">
      <c r="A1510" t="inlineStr">
        <is>
          <t>A 48434-2023</t>
        </is>
      </c>
      <c r="B1510" s="1" t="n">
        <v>45205</v>
      </c>
      <c r="C1510" s="1" t="n">
        <v>45507</v>
      </c>
      <c r="D1510" t="inlineStr">
        <is>
          <t>JÄMTLANDS LÄN</t>
        </is>
      </c>
      <c r="E1510" t="inlineStr">
        <is>
          <t>BRÄCKE</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48419-2023</t>
        </is>
      </c>
      <c r="B1511" s="1" t="n">
        <v>45205</v>
      </c>
      <c r="C1511" s="1" t="n">
        <v>45507</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48433-2023</t>
        </is>
      </c>
      <c r="B1512" s="1" t="n">
        <v>45205</v>
      </c>
      <c r="C1512" s="1" t="n">
        <v>45507</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48432-2023</t>
        </is>
      </c>
      <c r="B1513" s="1" t="n">
        <v>45205</v>
      </c>
      <c r="C1513" s="1" t="n">
        <v>45507</v>
      </c>
      <c r="D1513" t="inlineStr">
        <is>
          <t>JÄMTLANDS LÄN</t>
        </is>
      </c>
      <c r="E1513" t="inlineStr">
        <is>
          <t>BRÄCKE</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48425-2023</t>
        </is>
      </c>
      <c r="B1514" s="1" t="n">
        <v>45205</v>
      </c>
      <c r="C1514" s="1" t="n">
        <v>45507</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48435-2023</t>
        </is>
      </c>
      <c r="B1515" s="1" t="n">
        <v>45205</v>
      </c>
      <c r="C1515" s="1" t="n">
        <v>45507</v>
      </c>
      <c r="D1515" t="inlineStr">
        <is>
          <t>JÄMTLANDS LÄN</t>
        </is>
      </c>
      <c r="E1515" t="inlineStr">
        <is>
          <t>BRÄCKE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48482-2023</t>
        </is>
      </c>
      <c r="B1516" s="1" t="n">
        <v>45207</v>
      </c>
      <c r="C1516" s="1" t="n">
        <v>45507</v>
      </c>
      <c r="D1516" t="inlineStr">
        <is>
          <t>JÄMTLANDS LÄN</t>
        </is>
      </c>
      <c r="E1516" t="inlineStr">
        <is>
          <t>BRÄCKE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48473-2023</t>
        </is>
      </c>
      <c r="B1517" s="1" t="n">
        <v>45207</v>
      </c>
      <c r="C1517" s="1" t="n">
        <v>45507</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48481-2023</t>
        </is>
      </c>
      <c r="B1518" s="1" t="n">
        <v>45206</v>
      </c>
      <c r="C1518" s="1" t="n">
        <v>45507</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48480-2023</t>
        </is>
      </c>
      <c r="B1519" s="1" t="n">
        <v>45207</v>
      </c>
      <c r="C1519" s="1" t="n">
        <v>45507</v>
      </c>
      <c r="D1519" t="inlineStr">
        <is>
          <t>JÄMTLANDS LÄN</t>
        </is>
      </c>
      <c r="E1519" t="inlineStr">
        <is>
          <t>BRÄCKE</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48507-2023</t>
        </is>
      </c>
      <c r="B1520" s="1" t="n">
        <v>45208</v>
      </c>
      <c r="C1520" s="1" t="n">
        <v>45507</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48509-2023</t>
        </is>
      </c>
      <c r="B1521" s="1" t="n">
        <v>45207</v>
      </c>
      <c r="C1521" s="1" t="n">
        <v>45507</v>
      </c>
      <c r="D1521" t="inlineStr">
        <is>
          <t>JÄMTLANDS LÄN</t>
        </is>
      </c>
      <c r="E1521" t="inlineStr">
        <is>
          <t>BRÄCKE</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48672-2023</t>
        </is>
      </c>
      <c r="B1522" s="1" t="n">
        <v>45208</v>
      </c>
      <c r="C1522" s="1" t="n">
        <v>45507</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48770-2023</t>
        </is>
      </c>
      <c r="B1523" s="1" t="n">
        <v>45209</v>
      </c>
      <c r="C1523" s="1" t="n">
        <v>45507</v>
      </c>
      <c r="D1523" t="inlineStr">
        <is>
          <t>JÄMTLANDS LÄN</t>
        </is>
      </c>
      <c r="E1523" t="inlineStr">
        <is>
          <t>BRÄCKE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48779-2023</t>
        </is>
      </c>
      <c r="B1524" s="1" t="n">
        <v>45209</v>
      </c>
      <c r="C1524" s="1" t="n">
        <v>45507</v>
      </c>
      <c r="D1524" t="inlineStr">
        <is>
          <t>JÄMTLANDS LÄN</t>
        </is>
      </c>
      <c r="E1524" t="inlineStr">
        <is>
          <t>BRÄCKE</t>
        </is>
      </c>
      <c r="F1524" t="inlineStr">
        <is>
          <t>Naturvårdsverket</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48781-2023</t>
        </is>
      </c>
      <c r="B1525" s="1" t="n">
        <v>45209</v>
      </c>
      <c r="C1525" s="1" t="n">
        <v>45507</v>
      </c>
      <c r="D1525" t="inlineStr">
        <is>
          <t>JÄMTLANDS LÄN</t>
        </is>
      </c>
      <c r="E1525" t="inlineStr">
        <is>
          <t>BRÄCKE</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50151-2023</t>
        </is>
      </c>
      <c r="B1526" s="1" t="n">
        <v>45208</v>
      </c>
      <c r="C1526" s="1" t="n">
        <v>45507</v>
      </c>
      <c r="D1526" t="inlineStr">
        <is>
          <t>JÄMTLANDS LÄN</t>
        </is>
      </c>
      <c r="E1526" t="inlineStr">
        <is>
          <t>BRÄCKE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48900-2023</t>
        </is>
      </c>
      <c r="B1527" s="1" t="n">
        <v>45209</v>
      </c>
      <c r="C1527" s="1" t="n">
        <v>45507</v>
      </c>
      <c r="D1527" t="inlineStr">
        <is>
          <t>JÄMTLANDS LÄN</t>
        </is>
      </c>
      <c r="E1527" t="inlineStr">
        <is>
          <t>BRÄCKE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49035-2023</t>
        </is>
      </c>
      <c r="B1528" s="1" t="n">
        <v>45210</v>
      </c>
      <c r="C1528" s="1" t="n">
        <v>45507</v>
      </c>
      <c r="D1528" t="inlineStr">
        <is>
          <t>JÄMTLANDS LÄN</t>
        </is>
      </c>
      <c r="E1528" t="inlineStr">
        <is>
          <t>BRÄCKE</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49043-2023</t>
        </is>
      </c>
      <c r="B1529" s="1" t="n">
        <v>45210</v>
      </c>
      <c r="C1529" s="1" t="n">
        <v>45507</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49044-2023</t>
        </is>
      </c>
      <c r="B1530" s="1" t="n">
        <v>45209</v>
      </c>
      <c r="C1530" s="1" t="n">
        <v>45507</v>
      </c>
      <c r="D1530" t="inlineStr">
        <is>
          <t>JÄMTLANDS LÄN</t>
        </is>
      </c>
      <c r="E1530" t="inlineStr">
        <is>
          <t>BRÄCKE</t>
        </is>
      </c>
      <c r="F1530" t="inlineStr">
        <is>
          <t>SCA</t>
        </is>
      </c>
      <c r="G1530" t="n">
        <v>12.4</v>
      </c>
      <c r="H1530" t="n">
        <v>0</v>
      </c>
      <c r="I1530" t="n">
        <v>0</v>
      </c>
      <c r="J1530" t="n">
        <v>0</v>
      </c>
      <c r="K1530" t="n">
        <v>0</v>
      </c>
      <c r="L1530" t="n">
        <v>0</v>
      </c>
      <c r="M1530" t="n">
        <v>0</v>
      </c>
      <c r="N1530" t="n">
        <v>0</v>
      </c>
      <c r="O1530" t="n">
        <v>0</v>
      </c>
      <c r="P1530" t="n">
        <v>0</v>
      </c>
      <c r="Q1530" t="n">
        <v>0</v>
      </c>
      <c r="R1530" s="2" t="inlineStr"/>
    </row>
    <row r="1531" ht="15" customHeight="1">
      <c r="A1531" t="inlineStr">
        <is>
          <t>A 49034-2023</t>
        </is>
      </c>
      <c r="B1531" s="1" t="n">
        <v>45210</v>
      </c>
      <c r="C1531" s="1" t="n">
        <v>45507</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49042-2023</t>
        </is>
      </c>
      <c r="B1532" s="1" t="n">
        <v>45210</v>
      </c>
      <c r="C1532" s="1" t="n">
        <v>45507</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49037-2023</t>
        </is>
      </c>
      <c r="B1533" s="1" t="n">
        <v>45210</v>
      </c>
      <c r="C1533" s="1" t="n">
        <v>45507</v>
      </c>
      <c r="D1533" t="inlineStr">
        <is>
          <t>JÄMTLANDS LÄN</t>
        </is>
      </c>
      <c r="E1533" t="inlineStr">
        <is>
          <t>BRÄCKE</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49326-2023</t>
        </is>
      </c>
      <c r="B1534" s="1" t="n">
        <v>45211</v>
      </c>
      <c r="C1534" s="1" t="n">
        <v>45507</v>
      </c>
      <c r="D1534" t="inlineStr">
        <is>
          <t>JÄMTLANDS LÄN</t>
        </is>
      </c>
      <c r="E1534" t="inlineStr">
        <is>
          <t>BRÄCKE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49330-2023</t>
        </is>
      </c>
      <c r="B1535" s="1" t="n">
        <v>45211</v>
      </c>
      <c r="C1535" s="1" t="n">
        <v>45507</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49315-2023</t>
        </is>
      </c>
      <c r="B1536" s="1" t="n">
        <v>45210</v>
      </c>
      <c r="C1536" s="1" t="n">
        <v>45507</v>
      </c>
      <c r="D1536" t="inlineStr">
        <is>
          <t>JÄMTLANDS LÄN</t>
        </is>
      </c>
      <c r="E1536" t="inlineStr">
        <is>
          <t>BRÄCKE</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49316-2023</t>
        </is>
      </c>
      <c r="B1537" s="1" t="n">
        <v>45211</v>
      </c>
      <c r="C1537" s="1" t="n">
        <v>45507</v>
      </c>
      <c r="D1537" t="inlineStr">
        <is>
          <t>JÄMTLANDS LÄN</t>
        </is>
      </c>
      <c r="E1537" t="inlineStr">
        <is>
          <t>BRÄCKE</t>
        </is>
      </c>
      <c r="F1537" t="inlineStr">
        <is>
          <t>SCA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49328-2023</t>
        </is>
      </c>
      <c r="B1538" s="1" t="n">
        <v>45210</v>
      </c>
      <c r="C1538" s="1" t="n">
        <v>45507</v>
      </c>
      <c r="D1538" t="inlineStr">
        <is>
          <t>JÄMTLANDS LÄN</t>
        </is>
      </c>
      <c r="E1538" t="inlineStr">
        <is>
          <t>BRÄCKE</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49646-2023</t>
        </is>
      </c>
      <c r="B1539" s="1" t="n">
        <v>45211</v>
      </c>
      <c r="C1539" s="1" t="n">
        <v>45507</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49653-2023</t>
        </is>
      </c>
      <c r="B1540" s="1" t="n">
        <v>45211</v>
      </c>
      <c r="C1540" s="1" t="n">
        <v>45507</v>
      </c>
      <c r="D1540" t="inlineStr">
        <is>
          <t>JÄMTLANDS LÄN</t>
        </is>
      </c>
      <c r="E1540" t="inlineStr">
        <is>
          <t>BRÄCKE</t>
        </is>
      </c>
      <c r="F1540" t="inlineStr">
        <is>
          <t>SCA</t>
        </is>
      </c>
      <c r="G1540" t="n">
        <v>66.7</v>
      </c>
      <c r="H1540" t="n">
        <v>0</v>
      </c>
      <c r="I1540" t="n">
        <v>0</v>
      </c>
      <c r="J1540" t="n">
        <v>0</v>
      </c>
      <c r="K1540" t="n">
        <v>0</v>
      </c>
      <c r="L1540" t="n">
        <v>0</v>
      </c>
      <c r="M1540" t="n">
        <v>0</v>
      </c>
      <c r="N1540" t="n">
        <v>0</v>
      </c>
      <c r="O1540" t="n">
        <v>0</v>
      </c>
      <c r="P1540" t="n">
        <v>0</v>
      </c>
      <c r="Q1540" t="n">
        <v>0</v>
      </c>
      <c r="R1540" s="2" t="inlineStr"/>
    </row>
    <row r="1541" ht="15" customHeight="1">
      <c r="A1541" t="inlineStr">
        <is>
          <t>A 49864-2023</t>
        </is>
      </c>
      <c r="B1541" s="1" t="n">
        <v>45212</v>
      </c>
      <c r="C1541" s="1" t="n">
        <v>45507</v>
      </c>
      <c r="D1541" t="inlineStr">
        <is>
          <t>JÄMTLANDS LÄN</t>
        </is>
      </c>
      <c r="E1541" t="inlineStr">
        <is>
          <t>BRÄCKE</t>
        </is>
      </c>
      <c r="F1541" t="inlineStr">
        <is>
          <t>SCA</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51140-2023</t>
        </is>
      </c>
      <c r="B1542" s="1" t="n">
        <v>45212</v>
      </c>
      <c r="C1542" s="1" t="n">
        <v>45507</v>
      </c>
      <c r="D1542" t="inlineStr">
        <is>
          <t>JÄMTLANDS LÄN</t>
        </is>
      </c>
      <c r="E1542" t="inlineStr">
        <is>
          <t>BRÄCKE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50222-2023</t>
        </is>
      </c>
      <c r="B1543" s="1" t="n">
        <v>45216</v>
      </c>
      <c r="C1543" s="1" t="n">
        <v>45507</v>
      </c>
      <c r="D1543" t="inlineStr">
        <is>
          <t>JÄMTLANDS LÄN</t>
        </is>
      </c>
      <c r="E1543" t="inlineStr">
        <is>
          <t>BRÄCKE</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50060-2023</t>
        </is>
      </c>
      <c r="B1544" s="1" t="n">
        <v>45215</v>
      </c>
      <c r="C1544" s="1" t="n">
        <v>45507</v>
      </c>
      <c r="D1544" t="inlineStr">
        <is>
          <t>JÄMTLANDS LÄN</t>
        </is>
      </c>
      <c r="E1544" t="inlineStr">
        <is>
          <t>BRÄCKE</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50223-2023</t>
        </is>
      </c>
      <c r="B1545" s="1" t="n">
        <v>45216</v>
      </c>
      <c r="C1545" s="1" t="n">
        <v>45507</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50221-2023</t>
        </is>
      </c>
      <c r="B1546" s="1" t="n">
        <v>45216</v>
      </c>
      <c r="C1546" s="1" t="n">
        <v>45507</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50220-2023</t>
        </is>
      </c>
      <c r="B1547" s="1" t="n">
        <v>45215</v>
      </c>
      <c r="C1547" s="1" t="n">
        <v>45507</v>
      </c>
      <c r="D1547" t="inlineStr">
        <is>
          <t>JÄMTLANDS LÄN</t>
        </is>
      </c>
      <c r="E1547" t="inlineStr">
        <is>
          <t>BRÄCKE</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50515-2023</t>
        </is>
      </c>
      <c r="B1548" s="1" t="n">
        <v>45216</v>
      </c>
      <c r="C1548" s="1" t="n">
        <v>45507</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50514-2023</t>
        </is>
      </c>
      <c r="B1549" s="1" t="n">
        <v>45217</v>
      </c>
      <c r="C1549" s="1" t="n">
        <v>45507</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50513-2023</t>
        </is>
      </c>
      <c r="B1550" s="1" t="n">
        <v>45216</v>
      </c>
      <c r="C1550" s="1" t="n">
        <v>45507</v>
      </c>
      <c r="D1550" t="inlineStr">
        <is>
          <t>JÄMTLANDS LÄN</t>
        </is>
      </c>
      <c r="E1550" t="inlineStr">
        <is>
          <t>BRÄCKE</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50609-2023</t>
        </is>
      </c>
      <c r="B1551" s="1" t="n">
        <v>45217</v>
      </c>
      <c r="C1551" s="1" t="n">
        <v>45507</v>
      </c>
      <c r="D1551" t="inlineStr">
        <is>
          <t>JÄMTLANDS LÄN</t>
        </is>
      </c>
      <c r="E1551" t="inlineStr">
        <is>
          <t>BRÄCKE</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50637-2023</t>
        </is>
      </c>
      <c r="B1552" s="1" t="n">
        <v>45217</v>
      </c>
      <c r="C1552" s="1" t="n">
        <v>45507</v>
      </c>
      <c r="D1552" t="inlineStr">
        <is>
          <t>JÄMTLANDS LÄN</t>
        </is>
      </c>
      <c r="E1552" t="inlineStr">
        <is>
          <t>BRÄCKE</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50837-2023</t>
        </is>
      </c>
      <c r="B1553" s="1" t="n">
        <v>45217</v>
      </c>
      <c r="C1553" s="1" t="n">
        <v>45507</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50827-2023</t>
        </is>
      </c>
      <c r="B1554" s="1" t="n">
        <v>45218</v>
      </c>
      <c r="C1554" s="1" t="n">
        <v>45507</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50828-2023</t>
        </is>
      </c>
      <c r="B1555" s="1" t="n">
        <v>45218</v>
      </c>
      <c r="C1555" s="1" t="n">
        <v>45507</v>
      </c>
      <c r="D1555" t="inlineStr">
        <is>
          <t>JÄMTLANDS LÄN</t>
        </is>
      </c>
      <c r="E1555" t="inlineStr">
        <is>
          <t>BRÄCKE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50836-2023</t>
        </is>
      </c>
      <c r="B1556" s="1" t="n">
        <v>45217</v>
      </c>
      <c r="C1556" s="1" t="n">
        <v>45507</v>
      </c>
      <c r="D1556" t="inlineStr">
        <is>
          <t>JÄMTLANDS LÄN</t>
        </is>
      </c>
      <c r="E1556" t="inlineStr">
        <is>
          <t>BRÄCKE</t>
        </is>
      </c>
      <c r="F1556" t="inlineStr">
        <is>
          <t>SCA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50840-2023</t>
        </is>
      </c>
      <c r="B1557" s="1" t="n">
        <v>45217</v>
      </c>
      <c r="C1557" s="1" t="n">
        <v>45507</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52269-2023</t>
        </is>
      </c>
      <c r="B1558" s="1" t="n">
        <v>45217</v>
      </c>
      <c r="C1558" s="1" t="n">
        <v>45507</v>
      </c>
      <c r="D1558" t="inlineStr">
        <is>
          <t>JÄMTLANDS LÄN</t>
        </is>
      </c>
      <c r="E1558" t="inlineStr">
        <is>
          <t>BRÄCKE</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51029-2023</t>
        </is>
      </c>
      <c r="B1559" s="1" t="n">
        <v>45218</v>
      </c>
      <c r="C1559" s="1" t="n">
        <v>45507</v>
      </c>
      <c r="D1559" t="inlineStr">
        <is>
          <t>JÄMTLANDS LÄN</t>
        </is>
      </c>
      <c r="E1559" t="inlineStr">
        <is>
          <t>BRÄCKE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51042-2023</t>
        </is>
      </c>
      <c r="B1560" s="1" t="n">
        <v>45218</v>
      </c>
      <c r="C1560" s="1" t="n">
        <v>45507</v>
      </c>
      <c r="D1560" t="inlineStr">
        <is>
          <t>JÄMTLANDS LÄN</t>
        </is>
      </c>
      <c r="E1560" t="inlineStr">
        <is>
          <t>BRÄCKE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51039-2023</t>
        </is>
      </c>
      <c r="B1561" s="1" t="n">
        <v>45218</v>
      </c>
      <c r="C1561" s="1" t="n">
        <v>45507</v>
      </c>
      <c r="D1561" t="inlineStr">
        <is>
          <t>JÄMTLANDS LÄN</t>
        </is>
      </c>
      <c r="E1561" t="inlineStr">
        <is>
          <t>BRÄCKE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51161-2023</t>
        </is>
      </c>
      <c r="B1562" s="1" t="n">
        <v>45219</v>
      </c>
      <c r="C1562" s="1" t="n">
        <v>45507</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51421-2023</t>
        </is>
      </c>
      <c r="B1563" s="1" t="n">
        <v>45219</v>
      </c>
      <c r="C1563" s="1" t="n">
        <v>45507</v>
      </c>
      <c r="D1563" t="inlineStr">
        <is>
          <t>JÄMTLANDS LÄN</t>
        </is>
      </c>
      <c r="E1563" t="inlineStr">
        <is>
          <t>BRÄCKE</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51433-2023</t>
        </is>
      </c>
      <c r="B1564" s="1" t="n">
        <v>45220</v>
      </c>
      <c r="C1564" s="1" t="n">
        <v>45507</v>
      </c>
      <c r="D1564" t="inlineStr">
        <is>
          <t>JÄMTLANDS LÄN</t>
        </is>
      </c>
      <c r="E1564" t="inlineStr">
        <is>
          <t>BRÄCKE</t>
        </is>
      </c>
      <c r="F1564" t="inlineStr">
        <is>
          <t>SCA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51441-2023</t>
        </is>
      </c>
      <c r="B1565" s="1" t="n">
        <v>45220</v>
      </c>
      <c r="C1565" s="1" t="n">
        <v>45507</v>
      </c>
      <c r="D1565" t="inlineStr">
        <is>
          <t>JÄMTLANDS LÄN</t>
        </is>
      </c>
      <c r="E1565" t="inlineStr">
        <is>
          <t>BRÄCKE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51424-2023</t>
        </is>
      </c>
      <c r="B1566" s="1" t="n">
        <v>45220</v>
      </c>
      <c r="C1566" s="1" t="n">
        <v>45507</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51432-2023</t>
        </is>
      </c>
      <c r="B1567" s="1" t="n">
        <v>45220</v>
      </c>
      <c r="C1567" s="1" t="n">
        <v>45507</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51440-2023</t>
        </is>
      </c>
      <c r="B1568" s="1" t="n">
        <v>45220</v>
      </c>
      <c r="C1568" s="1" t="n">
        <v>45507</v>
      </c>
      <c r="D1568" t="inlineStr">
        <is>
          <t>JÄMTLANDS LÄN</t>
        </is>
      </c>
      <c r="E1568" t="inlineStr">
        <is>
          <t>BRÄCKE</t>
        </is>
      </c>
      <c r="F1568" t="inlineStr">
        <is>
          <t>SCA</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51431-2023</t>
        </is>
      </c>
      <c r="B1569" s="1" t="n">
        <v>45220</v>
      </c>
      <c r="C1569" s="1" t="n">
        <v>45507</v>
      </c>
      <c r="D1569" t="inlineStr">
        <is>
          <t>JÄMTLANDS LÄN</t>
        </is>
      </c>
      <c r="E1569" t="inlineStr">
        <is>
          <t>BRÄCKE</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51423-2023</t>
        </is>
      </c>
      <c r="B1570" s="1" t="n">
        <v>45220</v>
      </c>
      <c r="C1570" s="1" t="n">
        <v>45507</v>
      </c>
      <c r="D1570" t="inlineStr">
        <is>
          <t>JÄMTLANDS LÄN</t>
        </is>
      </c>
      <c r="E1570" t="inlineStr">
        <is>
          <t>BRÄCKE</t>
        </is>
      </c>
      <c r="F1570" t="inlineStr">
        <is>
          <t>SCA</t>
        </is>
      </c>
      <c r="G1570" t="n">
        <v>15.1</v>
      </c>
      <c r="H1570" t="n">
        <v>0</v>
      </c>
      <c r="I1570" t="n">
        <v>0</v>
      </c>
      <c r="J1570" t="n">
        <v>0</v>
      </c>
      <c r="K1570" t="n">
        <v>0</v>
      </c>
      <c r="L1570" t="n">
        <v>0</v>
      </c>
      <c r="M1570" t="n">
        <v>0</v>
      </c>
      <c r="N1570" t="n">
        <v>0</v>
      </c>
      <c r="O1570" t="n">
        <v>0</v>
      </c>
      <c r="P1570" t="n">
        <v>0</v>
      </c>
      <c r="Q1570" t="n">
        <v>0</v>
      </c>
      <c r="R1570" s="2" t="inlineStr"/>
    </row>
    <row r="1571" ht="15" customHeight="1">
      <c r="A1571" t="inlineStr">
        <is>
          <t>A 51167-2023</t>
        </is>
      </c>
      <c r="B1571" s="1" t="n">
        <v>45219</v>
      </c>
      <c r="C1571" s="1" t="n">
        <v>45507</v>
      </c>
      <c r="D1571" t="inlineStr">
        <is>
          <t>JÄMTLANDS LÄN</t>
        </is>
      </c>
      <c r="E1571" t="inlineStr">
        <is>
          <t>BRÄCKE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51422-2023</t>
        </is>
      </c>
      <c r="B1572" s="1" t="n">
        <v>45219</v>
      </c>
      <c r="C1572" s="1" t="n">
        <v>45507</v>
      </c>
      <c r="D1572" t="inlineStr">
        <is>
          <t>JÄMTLANDS LÄN</t>
        </is>
      </c>
      <c r="E1572" t="inlineStr">
        <is>
          <t>BRÄCKE</t>
        </is>
      </c>
      <c r="F1572" t="inlineStr">
        <is>
          <t>SCA</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51434-2023</t>
        </is>
      </c>
      <c r="B1573" s="1" t="n">
        <v>45220</v>
      </c>
      <c r="C1573" s="1" t="n">
        <v>45507</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51808-2023</t>
        </is>
      </c>
      <c r="B1574" s="1" t="n">
        <v>45222</v>
      </c>
      <c r="C1574" s="1" t="n">
        <v>45507</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51809-2023</t>
        </is>
      </c>
      <c r="B1575" s="1" t="n">
        <v>45223</v>
      </c>
      <c r="C1575" s="1" t="n">
        <v>45507</v>
      </c>
      <c r="D1575" t="inlineStr">
        <is>
          <t>JÄMTLANDS LÄN</t>
        </is>
      </c>
      <c r="E1575" t="inlineStr">
        <is>
          <t>BRÄCKE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51821-2023</t>
        </is>
      </c>
      <c r="B1576" s="1" t="n">
        <v>45222</v>
      </c>
      <c r="C1576" s="1" t="n">
        <v>45507</v>
      </c>
      <c r="D1576" t="inlineStr">
        <is>
          <t>JÄMTLANDS LÄN</t>
        </is>
      </c>
      <c r="E1576" t="inlineStr">
        <is>
          <t>BRÄCKE</t>
        </is>
      </c>
      <c r="F1576" t="inlineStr">
        <is>
          <t>SCA</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51832-2023</t>
        </is>
      </c>
      <c r="B1577" s="1" t="n">
        <v>45223</v>
      </c>
      <c r="C1577" s="1" t="n">
        <v>45507</v>
      </c>
      <c r="D1577" t="inlineStr">
        <is>
          <t>JÄMTLANDS LÄN</t>
        </is>
      </c>
      <c r="E1577" t="inlineStr">
        <is>
          <t>BRÄCKE</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51827-2023</t>
        </is>
      </c>
      <c r="B1578" s="1" t="n">
        <v>45223</v>
      </c>
      <c r="C1578" s="1" t="n">
        <v>45507</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53027-2023</t>
        </is>
      </c>
      <c r="B1579" s="1" t="n">
        <v>45222</v>
      </c>
      <c r="C1579" s="1" t="n">
        <v>45507</v>
      </c>
      <c r="D1579" t="inlineStr">
        <is>
          <t>JÄMTLANDS LÄN</t>
        </is>
      </c>
      <c r="E1579" t="inlineStr">
        <is>
          <t>BRÄCKE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52124-2023</t>
        </is>
      </c>
      <c r="B1580" s="1" t="n">
        <v>45224</v>
      </c>
      <c r="C1580" s="1" t="n">
        <v>45507</v>
      </c>
      <c r="D1580" t="inlineStr">
        <is>
          <t>JÄMTLANDS LÄN</t>
        </is>
      </c>
      <c r="E1580" t="inlineStr">
        <is>
          <t>BRÄCKE</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52127-2023</t>
        </is>
      </c>
      <c r="B1581" s="1" t="n">
        <v>45224</v>
      </c>
      <c r="C1581" s="1" t="n">
        <v>45507</v>
      </c>
      <c r="D1581" t="inlineStr">
        <is>
          <t>JÄMTLANDS LÄN</t>
        </is>
      </c>
      <c r="E1581" t="inlineStr">
        <is>
          <t>BRÄCKE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52133-2023</t>
        </is>
      </c>
      <c r="B1582" s="1" t="n">
        <v>45224</v>
      </c>
      <c r="C1582" s="1" t="n">
        <v>45507</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52137-2023</t>
        </is>
      </c>
      <c r="B1583" s="1" t="n">
        <v>45224</v>
      </c>
      <c r="C1583" s="1" t="n">
        <v>45507</v>
      </c>
      <c r="D1583" t="inlineStr">
        <is>
          <t>JÄMTLANDS LÄN</t>
        </is>
      </c>
      <c r="E1583" t="inlineStr">
        <is>
          <t>BRÄCKE</t>
        </is>
      </c>
      <c r="F1583" t="inlineStr">
        <is>
          <t>SCA</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53522-2023</t>
        </is>
      </c>
      <c r="B1584" s="1" t="n">
        <v>45223</v>
      </c>
      <c r="C1584" s="1" t="n">
        <v>45507</v>
      </c>
      <c r="D1584" t="inlineStr">
        <is>
          <t>JÄMTLANDS LÄN</t>
        </is>
      </c>
      <c r="E1584" t="inlineStr">
        <is>
          <t>BRÄCKE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53480-2023</t>
        </is>
      </c>
      <c r="B1585" s="1" t="n">
        <v>45223</v>
      </c>
      <c r="C1585" s="1" t="n">
        <v>45507</v>
      </c>
      <c r="D1585" t="inlineStr">
        <is>
          <t>JÄMTLANDS LÄN</t>
        </is>
      </c>
      <c r="E1585" t="inlineStr">
        <is>
          <t>BRÄCKE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52723-2023</t>
        </is>
      </c>
      <c r="B1586" s="1" t="n">
        <v>45225</v>
      </c>
      <c r="C1586" s="1" t="n">
        <v>45507</v>
      </c>
      <c r="D1586" t="inlineStr">
        <is>
          <t>JÄMTLANDS LÄN</t>
        </is>
      </c>
      <c r="E1586" t="inlineStr">
        <is>
          <t>BRÄCKE</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52760-2023</t>
        </is>
      </c>
      <c r="B1587" s="1" t="n">
        <v>45225</v>
      </c>
      <c r="C1587" s="1" t="n">
        <v>45507</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52761-2023</t>
        </is>
      </c>
      <c r="B1588" s="1" t="n">
        <v>45225</v>
      </c>
      <c r="C1588" s="1" t="n">
        <v>45507</v>
      </c>
      <c r="D1588" t="inlineStr">
        <is>
          <t>JÄMTLANDS LÄN</t>
        </is>
      </c>
      <c r="E1588" t="inlineStr">
        <is>
          <t>BRÄCKE</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52754-2023</t>
        </is>
      </c>
      <c r="B1589" s="1" t="n">
        <v>45226</v>
      </c>
      <c r="C1589" s="1" t="n">
        <v>45507</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52739-2023</t>
        </is>
      </c>
      <c r="B1590" s="1" t="n">
        <v>45225</v>
      </c>
      <c r="C1590" s="1" t="n">
        <v>45507</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52743-2023</t>
        </is>
      </c>
      <c r="B1591" s="1" t="n">
        <v>45226</v>
      </c>
      <c r="C1591" s="1" t="n">
        <v>45507</v>
      </c>
      <c r="D1591" t="inlineStr">
        <is>
          <t>JÄMTLANDS LÄN</t>
        </is>
      </c>
      <c r="E1591" t="inlineStr">
        <is>
          <t>BRÄCKE</t>
        </is>
      </c>
      <c r="F1591" t="inlineStr">
        <is>
          <t>SCA</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53054-2023</t>
        </is>
      </c>
      <c r="B1592" s="1" t="n">
        <v>45227</v>
      </c>
      <c r="C1592" s="1" t="n">
        <v>45507</v>
      </c>
      <c r="D1592" t="inlineStr">
        <is>
          <t>JÄMTLANDS LÄN</t>
        </is>
      </c>
      <c r="E1592" t="inlineStr">
        <is>
          <t>BRÄCKE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53046-2023</t>
        </is>
      </c>
      <c r="B1593" s="1" t="n">
        <v>45227</v>
      </c>
      <c r="C1593" s="1" t="n">
        <v>45507</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53047-2023</t>
        </is>
      </c>
      <c r="B1594" s="1" t="n">
        <v>45227</v>
      </c>
      <c r="C1594" s="1" t="n">
        <v>45507</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53760-2023</t>
        </is>
      </c>
      <c r="B1595" s="1" t="n">
        <v>45230</v>
      </c>
      <c r="C1595" s="1" t="n">
        <v>45507</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53555-2023</t>
        </is>
      </c>
      <c r="B1596" s="1" t="n">
        <v>45230</v>
      </c>
      <c r="C1596" s="1" t="n">
        <v>45507</v>
      </c>
      <c r="D1596" t="inlineStr">
        <is>
          <t>JÄMTLANDS LÄN</t>
        </is>
      </c>
      <c r="E1596" t="inlineStr">
        <is>
          <t>BRÄCKE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53761-2023</t>
        </is>
      </c>
      <c r="B1597" s="1" t="n">
        <v>45231</v>
      </c>
      <c r="C1597" s="1" t="n">
        <v>45507</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54070-2023</t>
        </is>
      </c>
      <c r="B1598" s="1" t="n">
        <v>45232</v>
      </c>
      <c r="C1598" s="1" t="n">
        <v>45507</v>
      </c>
      <c r="D1598" t="inlineStr">
        <is>
          <t>JÄMTLANDS LÄN</t>
        </is>
      </c>
      <c r="E1598" t="inlineStr">
        <is>
          <t>BRÄCKE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54074-2023</t>
        </is>
      </c>
      <c r="B1599" s="1" t="n">
        <v>45232</v>
      </c>
      <c r="C1599" s="1" t="n">
        <v>45507</v>
      </c>
      <c r="D1599" t="inlineStr">
        <is>
          <t>JÄMTLANDS LÄN</t>
        </is>
      </c>
      <c r="E1599" t="inlineStr">
        <is>
          <t>BRÄCKE</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54072-2023</t>
        </is>
      </c>
      <c r="B1600" s="1" t="n">
        <v>45231</v>
      </c>
      <c r="C1600" s="1" t="n">
        <v>45507</v>
      </c>
      <c r="D1600" t="inlineStr">
        <is>
          <t>JÄMTLANDS LÄN</t>
        </is>
      </c>
      <c r="E1600" t="inlineStr">
        <is>
          <t>BRÄCKE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55242-2023</t>
        </is>
      </c>
      <c r="B1601" s="1" t="n">
        <v>45231</v>
      </c>
      <c r="C1601" s="1" t="n">
        <v>45507</v>
      </c>
      <c r="D1601" t="inlineStr">
        <is>
          <t>JÄMTLANDS LÄN</t>
        </is>
      </c>
      <c r="E1601" t="inlineStr">
        <is>
          <t>BRÄCKE</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54073-2023</t>
        </is>
      </c>
      <c r="B1602" s="1" t="n">
        <v>45231</v>
      </c>
      <c r="C1602" s="1" t="n">
        <v>45507</v>
      </c>
      <c r="D1602" t="inlineStr">
        <is>
          <t>JÄMTLANDS LÄN</t>
        </is>
      </c>
      <c r="E1602" t="inlineStr">
        <is>
          <t>BRÄCKE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54334-2023</t>
        </is>
      </c>
      <c r="B1603" s="1" t="n">
        <v>45232</v>
      </c>
      <c r="C1603" s="1" t="n">
        <v>45507</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54355-2023</t>
        </is>
      </c>
      <c r="B1604" s="1" t="n">
        <v>45233</v>
      </c>
      <c r="C1604" s="1" t="n">
        <v>45507</v>
      </c>
      <c r="D1604" t="inlineStr">
        <is>
          <t>JÄMTLANDS LÄN</t>
        </is>
      </c>
      <c r="E1604" t="inlineStr">
        <is>
          <t>BRÄCKE</t>
        </is>
      </c>
      <c r="F1604" t="inlineStr">
        <is>
          <t>Kyrkan</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54350-2023</t>
        </is>
      </c>
      <c r="B1605" s="1" t="n">
        <v>45232</v>
      </c>
      <c r="C1605" s="1" t="n">
        <v>45507</v>
      </c>
      <c r="D1605" t="inlineStr">
        <is>
          <t>JÄMTLANDS LÄN</t>
        </is>
      </c>
      <c r="E1605" t="inlineStr">
        <is>
          <t>BRÄCKE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54328-2023</t>
        </is>
      </c>
      <c r="B1606" s="1" t="n">
        <v>45232</v>
      </c>
      <c r="C1606" s="1" t="n">
        <v>45507</v>
      </c>
      <c r="D1606" t="inlineStr">
        <is>
          <t>JÄMTLANDS LÄN</t>
        </is>
      </c>
      <c r="E1606" t="inlineStr">
        <is>
          <t>BRÄCKE</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54332-2023</t>
        </is>
      </c>
      <c r="B1607" s="1" t="n">
        <v>45232</v>
      </c>
      <c r="C1607" s="1" t="n">
        <v>45507</v>
      </c>
      <c r="D1607" t="inlineStr">
        <is>
          <t>JÄMTLANDS LÄN</t>
        </is>
      </c>
      <c r="E1607" t="inlineStr">
        <is>
          <t>BRÄCKE</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54331-2023</t>
        </is>
      </c>
      <c r="B1608" s="1" t="n">
        <v>45232</v>
      </c>
      <c r="C1608" s="1" t="n">
        <v>45507</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54335-2023</t>
        </is>
      </c>
      <c r="B1609" s="1" t="n">
        <v>45232</v>
      </c>
      <c r="C1609" s="1" t="n">
        <v>45507</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54352-2023</t>
        </is>
      </c>
      <c r="B1610" s="1" t="n">
        <v>45233</v>
      </c>
      <c r="C1610" s="1" t="n">
        <v>45507</v>
      </c>
      <c r="D1610" t="inlineStr">
        <is>
          <t>JÄMTLANDS LÄN</t>
        </is>
      </c>
      <c r="E1610" t="inlineStr">
        <is>
          <t>BRÄCKE</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55548-2023</t>
        </is>
      </c>
      <c r="B1611" s="1" t="n">
        <v>45232</v>
      </c>
      <c r="C1611" s="1" t="n">
        <v>45507</v>
      </c>
      <c r="D1611" t="inlineStr">
        <is>
          <t>JÄMTLANDS LÄN</t>
        </is>
      </c>
      <c r="E1611" t="inlineStr">
        <is>
          <t>BRÄCKE</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54612-2023</t>
        </is>
      </c>
      <c r="B1612" s="1" t="n">
        <v>45233</v>
      </c>
      <c r="C1612" s="1" t="n">
        <v>45507</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54460-2023</t>
        </is>
      </c>
      <c r="B1613" s="1" t="n">
        <v>45233</v>
      </c>
      <c r="C1613" s="1" t="n">
        <v>45507</v>
      </c>
      <c r="D1613" t="inlineStr">
        <is>
          <t>JÄMTLANDS LÄN</t>
        </is>
      </c>
      <c r="E1613" t="inlineStr">
        <is>
          <t>BRÄCKE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54600-2023</t>
        </is>
      </c>
      <c r="B1614" s="1" t="n">
        <v>45233</v>
      </c>
      <c r="C1614" s="1" t="n">
        <v>45507</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54447-2023</t>
        </is>
      </c>
      <c r="B1615" s="1" t="n">
        <v>45233</v>
      </c>
      <c r="C1615" s="1" t="n">
        <v>45507</v>
      </c>
      <c r="D1615" t="inlineStr">
        <is>
          <t>JÄMTLANDS LÄN</t>
        </is>
      </c>
      <c r="E1615" t="inlineStr">
        <is>
          <t>BRÄCKE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54451-2023</t>
        </is>
      </c>
      <c r="B1616" s="1" t="n">
        <v>45233</v>
      </c>
      <c r="C1616" s="1" t="n">
        <v>45507</v>
      </c>
      <c r="D1616" t="inlineStr">
        <is>
          <t>JÄMTLANDS LÄN</t>
        </is>
      </c>
      <c r="E1616" t="inlineStr">
        <is>
          <t>BRÄCKE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54986-2023</t>
        </is>
      </c>
      <c r="B1617" s="1" t="n">
        <v>45237</v>
      </c>
      <c r="C1617" s="1" t="n">
        <v>45507</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54789-2023</t>
        </is>
      </c>
      <c r="B1618" s="1" t="n">
        <v>45236</v>
      </c>
      <c r="C1618" s="1" t="n">
        <v>45507</v>
      </c>
      <c r="D1618" t="inlineStr">
        <is>
          <t>JÄMTLANDS LÄN</t>
        </is>
      </c>
      <c r="E1618" t="inlineStr">
        <is>
          <t>BRÄCKE</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54949-2023</t>
        </is>
      </c>
      <c r="B1619" s="1" t="n">
        <v>45236</v>
      </c>
      <c r="C1619" s="1" t="n">
        <v>45507</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56499-2023</t>
        </is>
      </c>
      <c r="B1620" s="1" t="n">
        <v>45237</v>
      </c>
      <c r="C1620" s="1" t="n">
        <v>45507</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55665-2023</t>
        </is>
      </c>
      <c r="B1621" s="1" t="n">
        <v>45239</v>
      </c>
      <c r="C1621" s="1" t="n">
        <v>45507</v>
      </c>
      <c r="D1621" t="inlineStr">
        <is>
          <t>JÄMTLANDS LÄN</t>
        </is>
      </c>
      <c r="E1621" t="inlineStr">
        <is>
          <t>BRÄCKE</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55662-2023</t>
        </is>
      </c>
      <c r="B1622" s="1" t="n">
        <v>45239</v>
      </c>
      <c r="C1622" s="1" t="n">
        <v>45507</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55668-2023</t>
        </is>
      </c>
      <c r="B1623" s="1" t="n">
        <v>45238</v>
      </c>
      <c r="C1623" s="1" t="n">
        <v>45507</v>
      </c>
      <c r="D1623" t="inlineStr">
        <is>
          <t>JÄMTLANDS LÄN</t>
        </is>
      </c>
      <c r="E1623" t="inlineStr">
        <is>
          <t>BRÄCKE</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55659-2023</t>
        </is>
      </c>
      <c r="B1624" s="1" t="n">
        <v>45239</v>
      </c>
      <c r="C1624" s="1" t="n">
        <v>45507</v>
      </c>
      <c r="D1624" t="inlineStr">
        <is>
          <t>JÄMTLANDS LÄN</t>
        </is>
      </c>
      <c r="E1624" t="inlineStr">
        <is>
          <t>BRÄCKE</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55663-2023</t>
        </is>
      </c>
      <c r="B1625" s="1" t="n">
        <v>45239</v>
      </c>
      <c r="C1625" s="1" t="n">
        <v>45507</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55667-2023</t>
        </is>
      </c>
      <c r="B1626" s="1" t="n">
        <v>45239</v>
      </c>
      <c r="C1626" s="1" t="n">
        <v>45507</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56253-2023</t>
        </is>
      </c>
      <c r="B1627" s="1" t="n">
        <v>45240</v>
      </c>
      <c r="C1627" s="1" t="n">
        <v>45507</v>
      </c>
      <c r="D1627" t="inlineStr">
        <is>
          <t>JÄMTLANDS LÄN</t>
        </is>
      </c>
      <c r="E1627" t="inlineStr">
        <is>
          <t>BRÄCKE</t>
        </is>
      </c>
      <c r="F1627" t="inlineStr">
        <is>
          <t>SCA</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56688-2023</t>
        </is>
      </c>
      <c r="B1628" s="1" t="n">
        <v>45244</v>
      </c>
      <c r="C1628" s="1" t="n">
        <v>45507</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56686-2023</t>
        </is>
      </c>
      <c r="B1629" s="1" t="n">
        <v>45244</v>
      </c>
      <c r="C1629" s="1" t="n">
        <v>45507</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56690-2023</t>
        </is>
      </c>
      <c r="B1630" s="1" t="n">
        <v>45244</v>
      </c>
      <c r="C1630" s="1" t="n">
        <v>45507</v>
      </c>
      <c r="D1630" t="inlineStr">
        <is>
          <t>JÄMTLANDS LÄN</t>
        </is>
      </c>
      <c r="E1630" t="inlineStr">
        <is>
          <t>BRÄCKE</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56525-2023</t>
        </is>
      </c>
      <c r="B1631" s="1" t="n">
        <v>45243</v>
      </c>
      <c r="C1631" s="1" t="n">
        <v>45507</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56687-2023</t>
        </is>
      </c>
      <c r="B1632" s="1" t="n">
        <v>45244</v>
      </c>
      <c r="C1632" s="1" t="n">
        <v>45507</v>
      </c>
      <c r="D1632" t="inlineStr">
        <is>
          <t>JÄMTLANDS LÄN</t>
        </is>
      </c>
      <c r="E1632" t="inlineStr">
        <is>
          <t>BRÄCKE</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57612-2023</t>
        </is>
      </c>
      <c r="B1633" s="1" t="n">
        <v>45243</v>
      </c>
      <c r="C1633" s="1" t="n">
        <v>45507</v>
      </c>
      <c r="D1633" t="inlineStr">
        <is>
          <t>JÄMTLANDS LÄN</t>
        </is>
      </c>
      <c r="E1633" t="inlineStr">
        <is>
          <t>BRÄCKE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57942-2023</t>
        </is>
      </c>
      <c r="B1634" s="1" t="n">
        <v>45244</v>
      </c>
      <c r="C1634" s="1" t="n">
        <v>45507</v>
      </c>
      <c r="D1634" t="inlineStr">
        <is>
          <t>JÄMTLANDS LÄN</t>
        </is>
      </c>
      <c r="E1634" t="inlineStr">
        <is>
          <t>BRÄCKE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57412-2023</t>
        </is>
      </c>
      <c r="B1635" s="1" t="n">
        <v>45246</v>
      </c>
      <c r="C1635" s="1" t="n">
        <v>45507</v>
      </c>
      <c r="D1635" t="inlineStr">
        <is>
          <t>JÄMTLANDS LÄN</t>
        </is>
      </c>
      <c r="E1635" t="inlineStr">
        <is>
          <t>BRÄCKE</t>
        </is>
      </c>
      <c r="F1635" t="inlineStr">
        <is>
          <t>SCA</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57420-2023</t>
        </is>
      </c>
      <c r="B1636" s="1" t="n">
        <v>45246</v>
      </c>
      <c r="C1636" s="1" t="n">
        <v>45507</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57393-2023</t>
        </is>
      </c>
      <c r="B1637" s="1" t="n">
        <v>45246</v>
      </c>
      <c r="C1637" s="1" t="n">
        <v>45507</v>
      </c>
      <c r="D1637" t="inlineStr">
        <is>
          <t>JÄMTLANDS LÄN</t>
        </is>
      </c>
      <c r="E1637" t="inlineStr">
        <is>
          <t>BRÄCKE</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57397-2023</t>
        </is>
      </c>
      <c r="B1638" s="1" t="n">
        <v>45245</v>
      </c>
      <c r="C1638" s="1" t="n">
        <v>45507</v>
      </c>
      <c r="D1638" t="inlineStr">
        <is>
          <t>JÄMTLANDS LÄN</t>
        </is>
      </c>
      <c r="E1638" t="inlineStr">
        <is>
          <t>BRÄCKE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57414-2023</t>
        </is>
      </c>
      <c r="B1639" s="1" t="n">
        <v>45246</v>
      </c>
      <c r="C1639" s="1" t="n">
        <v>45507</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57405-2023</t>
        </is>
      </c>
      <c r="B1640" s="1" t="n">
        <v>45245</v>
      </c>
      <c r="C1640" s="1" t="n">
        <v>45507</v>
      </c>
      <c r="D1640" t="inlineStr">
        <is>
          <t>JÄMTLANDS LÄN</t>
        </is>
      </c>
      <c r="E1640" t="inlineStr">
        <is>
          <t>BRÄCKE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57417-2023</t>
        </is>
      </c>
      <c r="B1641" s="1" t="n">
        <v>45246</v>
      </c>
      <c r="C1641" s="1" t="n">
        <v>45507</v>
      </c>
      <c r="D1641" t="inlineStr">
        <is>
          <t>JÄMTLANDS LÄN</t>
        </is>
      </c>
      <c r="E1641" t="inlineStr">
        <is>
          <t>BRÄCKE</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57407-2023</t>
        </is>
      </c>
      <c r="B1642" s="1" t="n">
        <v>45245</v>
      </c>
      <c r="C1642" s="1" t="n">
        <v>45507</v>
      </c>
      <c r="D1642" t="inlineStr">
        <is>
          <t>JÄMTLANDS LÄN</t>
        </is>
      </c>
      <c r="E1642" t="inlineStr">
        <is>
          <t>BRÄCKE</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57419-2023</t>
        </is>
      </c>
      <c r="B1643" s="1" t="n">
        <v>45246</v>
      </c>
      <c r="C1643" s="1" t="n">
        <v>45507</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57779-2023</t>
        </is>
      </c>
      <c r="B1644" s="1" t="n">
        <v>45247</v>
      </c>
      <c r="C1644" s="1" t="n">
        <v>45507</v>
      </c>
      <c r="D1644" t="inlineStr">
        <is>
          <t>JÄMTLANDS LÄN</t>
        </is>
      </c>
      <c r="E1644" t="inlineStr">
        <is>
          <t>BRÄCKE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57783-2023</t>
        </is>
      </c>
      <c r="B1645" s="1" t="n">
        <v>45247</v>
      </c>
      <c r="C1645" s="1" t="n">
        <v>45507</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57798-2023</t>
        </is>
      </c>
      <c r="B1646" s="1" t="n">
        <v>45247</v>
      </c>
      <c r="C1646" s="1" t="n">
        <v>45507</v>
      </c>
      <c r="D1646" t="inlineStr">
        <is>
          <t>JÄMTLANDS LÄN</t>
        </is>
      </c>
      <c r="E1646" t="inlineStr">
        <is>
          <t>BRÄCKE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58078-2023</t>
        </is>
      </c>
      <c r="B1647" s="1" t="n">
        <v>45248</v>
      </c>
      <c r="C1647" s="1" t="n">
        <v>45507</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58082-2023</t>
        </is>
      </c>
      <c r="B1648" s="1" t="n">
        <v>45248</v>
      </c>
      <c r="C1648" s="1" t="n">
        <v>45507</v>
      </c>
      <c r="D1648" t="inlineStr">
        <is>
          <t>JÄMTLANDS LÄN</t>
        </is>
      </c>
      <c r="E1648" t="inlineStr">
        <is>
          <t>BRÄCKE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58083-2023</t>
        </is>
      </c>
      <c r="B1649" s="1" t="n">
        <v>45248</v>
      </c>
      <c r="C1649" s="1" t="n">
        <v>45507</v>
      </c>
      <c r="D1649" t="inlineStr">
        <is>
          <t>JÄMTLANDS LÄN</t>
        </is>
      </c>
      <c r="E1649" t="inlineStr">
        <is>
          <t>BRÄCKE</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58079-2023</t>
        </is>
      </c>
      <c r="B1650" s="1" t="n">
        <v>45248</v>
      </c>
      <c r="C1650" s="1" t="n">
        <v>45507</v>
      </c>
      <c r="D1650" t="inlineStr">
        <is>
          <t>JÄMTLANDS LÄN</t>
        </is>
      </c>
      <c r="E1650" t="inlineStr">
        <is>
          <t>BRÄCKE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58468-2023</t>
        </is>
      </c>
      <c r="B1651" s="1" t="n">
        <v>45251</v>
      </c>
      <c r="C1651" s="1" t="n">
        <v>45507</v>
      </c>
      <c r="D1651" t="inlineStr">
        <is>
          <t>JÄMTLANDS LÄN</t>
        </is>
      </c>
      <c r="E1651" t="inlineStr">
        <is>
          <t>BRÄCKE</t>
        </is>
      </c>
      <c r="F1651" t="inlineStr">
        <is>
          <t>SCA</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58467-2023</t>
        </is>
      </c>
      <c r="B1652" s="1" t="n">
        <v>45251</v>
      </c>
      <c r="C1652" s="1" t="n">
        <v>45507</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58471-2023</t>
        </is>
      </c>
      <c r="B1653" s="1" t="n">
        <v>45251</v>
      </c>
      <c r="C1653" s="1" t="n">
        <v>45507</v>
      </c>
      <c r="D1653" t="inlineStr">
        <is>
          <t>JÄMTLANDS LÄN</t>
        </is>
      </c>
      <c r="E1653" t="inlineStr">
        <is>
          <t>BRÄCKE</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58368-2023</t>
        </is>
      </c>
      <c r="B1654" s="1" t="n">
        <v>45250</v>
      </c>
      <c r="C1654" s="1" t="n">
        <v>45507</v>
      </c>
      <c r="D1654" t="inlineStr">
        <is>
          <t>JÄMTLANDS LÄN</t>
        </is>
      </c>
      <c r="E1654" t="inlineStr">
        <is>
          <t>BRÄCKE</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58461-2023</t>
        </is>
      </c>
      <c r="B1655" s="1" t="n">
        <v>45250</v>
      </c>
      <c r="C1655" s="1" t="n">
        <v>45507</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58742-2023</t>
        </is>
      </c>
      <c r="B1656" s="1" t="n">
        <v>45251</v>
      </c>
      <c r="C1656" s="1" t="n">
        <v>45507</v>
      </c>
      <c r="D1656" t="inlineStr">
        <is>
          <t>JÄMTLANDS LÄN</t>
        </is>
      </c>
      <c r="E1656" t="inlineStr">
        <is>
          <t>BRÄCKE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58758-2023</t>
        </is>
      </c>
      <c r="B1657" s="1" t="n">
        <v>45251</v>
      </c>
      <c r="C1657" s="1" t="n">
        <v>45507</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58762-2023</t>
        </is>
      </c>
      <c r="B1658" s="1" t="n">
        <v>45252</v>
      </c>
      <c r="C1658" s="1" t="n">
        <v>45507</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58740-2023</t>
        </is>
      </c>
      <c r="B1659" s="1" t="n">
        <v>45251</v>
      </c>
      <c r="C1659" s="1" t="n">
        <v>45507</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58776-2023</t>
        </is>
      </c>
      <c r="B1660" s="1" t="n">
        <v>45252</v>
      </c>
      <c r="C1660" s="1" t="n">
        <v>45507</v>
      </c>
      <c r="D1660" t="inlineStr">
        <is>
          <t>JÄMTLANDS LÄN</t>
        </is>
      </c>
      <c r="E1660" t="inlineStr">
        <is>
          <t>BRÄCKE</t>
        </is>
      </c>
      <c r="F1660" t="inlineStr">
        <is>
          <t>SCA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58741-2023</t>
        </is>
      </c>
      <c r="B1661" s="1" t="n">
        <v>45251</v>
      </c>
      <c r="C1661" s="1" t="n">
        <v>45507</v>
      </c>
      <c r="D1661" t="inlineStr">
        <is>
          <t>JÄMTLANDS LÄN</t>
        </is>
      </c>
      <c r="E1661" t="inlineStr">
        <is>
          <t>BRÄCKE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58777-2023</t>
        </is>
      </c>
      <c r="B1662" s="1" t="n">
        <v>45252</v>
      </c>
      <c r="C1662" s="1" t="n">
        <v>45507</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58767-2023</t>
        </is>
      </c>
      <c r="B1663" s="1" t="n">
        <v>45252</v>
      </c>
      <c r="C1663" s="1" t="n">
        <v>45507</v>
      </c>
      <c r="D1663" t="inlineStr">
        <is>
          <t>JÄMTLANDS LÄN</t>
        </is>
      </c>
      <c r="E1663" t="inlineStr">
        <is>
          <t>BRÄCKE</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59102-2023</t>
        </is>
      </c>
      <c r="B1664" s="1" t="n">
        <v>45253</v>
      </c>
      <c r="C1664" s="1" t="n">
        <v>45507</v>
      </c>
      <c r="D1664" t="inlineStr">
        <is>
          <t>JÄMTLANDS LÄN</t>
        </is>
      </c>
      <c r="E1664" t="inlineStr">
        <is>
          <t>BRÄCKE</t>
        </is>
      </c>
      <c r="F1664" t="inlineStr">
        <is>
          <t>SCA</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59416-2023</t>
        </is>
      </c>
      <c r="B1665" s="1" t="n">
        <v>45254</v>
      </c>
      <c r="C1665" s="1" t="n">
        <v>45507</v>
      </c>
      <c r="D1665" t="inlineStr">
        <is>
          <t>JÄMTLANDS LÄN</t>
        </is>
      </c>
      <c r="E1665" t="inlineStr">
        <is>
          <t>BRÄCKE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59419-2023</t>
        </is>
      </c>
      <c r="B1666" s="1" t="n">
        <v>45254</v>
      </c>
      <c r="C1666" s="1" t="n">
        <v>45507</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59561-2023</t>
        </is>
      </c>
      <c r="B1667" s="1" t="n">
        <v>45253</v>
      </c>
      <c r="C1667" s="1" t="n">
        <v>45507</v>
      </c>
      <c r="D1667" t="inlineStr">
        <is>
          <t>JÄMTLANDS LÄN</t>
        </is>
      </c>
      <c r="E1667" t="inlineStr">
        <is>
          <t>BRÄCKE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59417-2023</t>
        </is>
      </c>
      <c r="B1668" s="1" t="n">
        <v>45254</v>
      </c>
      <c r="C1668" s="1" t="n">
        <v>45507</v>
      </c>
      <c r="D1668" t="inlineStr">
        <is>
          <t>JÄMTLANDS LÄN</t>
        </is>
      </c>
      <c r="E1668" t="inlineStr">
        <is>
          <t>BRÄCKE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59595-2023</t>
        </is>
      </c>
      <c r="B1669" s="1" t="n">
        <v>45254</v>
      </c>
      <c r="C1669" s="1" t="n">
        <v>45507</v>
      </c>
      <c r="D1669" t="inlineStr">
        <is>
          <t>JÄMTLANDS LÄN</t>
        </is>
      </c>
      <c r="E1669" t="inlineStr">
        <is>
          <t>BRÄCKE</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59586-2023</t>
        </is>
      </c>
      <c r="B1670" s="1" t="n">
        <v>45254</v>
      </c>
      <c r="C1670" s="1" t="n">
        <v>45507</v>
      </c>
      <c r="D1670" t="inlineStr">
        <is>
          <t>JÄMTLANDS LÄN</t>
        </is>
      </c>
      <c r="E1670" t="inlineStr">
        <is>
          <t>BRÄCKE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59667-2023</t>
        </is>
      </c>
      <c r="B1671" s="1" t="n">
        <v>45255</v>
      </c>
      <c r="C1671" s="1" t="n">
        <v>45507</v>
      </c>
      <c r="D1671" t="inlineStr">
        <is>
          <t>JÄMTLANDS LÄN</t>
        </is>
      </c>
      <c r="E1671" t="inlineStr">
        <is>
          <t>BRÄCKE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60085-2023</t>
        </is>
      </c>
      <c r="B1672" s="1" t="n">
        <v>45258</v>
      </c>
      <c r="C1672" s="1" t="n">
        <v>45507</v>
      </c>
      <c r="D1672" t="inlineStr">
        <is>
          <t>JÄMTLANDS LÄN</t>
        </is>
      </c>
      <c r="E1672" t="inlineStr">
        <is>
          <t>BRÄCKE</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60326-2023</t>
        </is>
      </c>
      <c r="B1673" s="1" t="n">
        <v>45258</v>
      </c>
      <c r="C1673" s="1" t="n">
        <v>45507</v>
      </c>
      <c r="D1673" t="inlineStr">
        <is>
          <t>JÄMTLANDS LÄN</t>
        </is>
      </c>
      <c r="E1673" t="inlineStr">
        <is>
          <t>BRÄCKE</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60415-2023</t>
        </is>
      </c>
      <c r="B1674" s="1" t="n">
        <v>45258</v>
      </c>
      <c r="C1674" s="1" t="n">
        <v>45507</v>
      </c>
      <c r="D1674" t="inlineStr">
        <is>
          <t>JÄMTLANDS LÄN</t>
        </is>
      </c>
      <c r="E1674" t="inlineStr">
        <is>
          <t>BRÄCKE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60435-2023</t>
        </is>
      </c>
      <c r="B1675" s="1" t="n">
        <v>45258</v>
      </c>
      <c r="C1675" s="1" t="n">
        <v>45507</v>
      </c>
      <c r="D1675" t="inlineStr">
        <is>
          <t>JÄMTLANDS LÄN</t>
        </is>
      </c>
      <c r="E1675" t="inlineStr">
        <is>
          <t>BRÄCKE</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60453-2023</t>
        </is>
      </c>
      <c r="B1676" s="1" t="n">
        <v>45259</v>
      </c>
      <c r="C1676" s="1" t="n">
        <v>45507</v>
      </c>
      <c r="D1676" t="inlineStr">
        <is>
          <t>JÄMTLANDS LÄN</t>
        </is>
      </c>
      <c r="E1676" t="inlineStr">
        <is>
          <t>BRÄCKE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60581-2023</t>
        </is>
      </c>
      <c r="B1677" s="1" t="n">
        <v>45260</v>
      </c>
      <c r="C1677" s="1" t="n">
        <v>45507</v>
      </c>
      <c r="D1677" t="inlineStr">
        <is>
          <t>JÄMTLANDS LÄN</t>
        </is>
      </c>
      <c r="E1677" t="inlineStr">
        <is>
          <t>BRÄCKE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60582-2023</t>
        </is>
      </c>
      <c r="B1678" s="1" t="n">
        <v>45260</v>
      </c>
      <c r="C1678" s="1" t="n">
        <v>45507</v>
      </c>
      <c r="D1678" t="inlineStr">
        <is>
          <t>JÄMTLANDS LÄN</t>
        </is>
      </c>
      <c r="E1678" t="inlineStr">
        <is>
          <t>BRÄCKE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60996-2023</t>
        </is>
      </c>
      <c r="B1679" s="1" t="n">
        <v>45259</v>
      </c>
      <c r="C1679" s="1" t="n">
        <v>45507</v>
      </c>
      <c r="D1679" t="inlineStr">
        <is>
          <t>JÄMTLANDS LÄN</t>
        </is>
      </c>
      <c r="E1679" t="inlineStr">
        <is>
          <t>BRÄCKE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60866-2023</t>
        </is>
      </c>
      <c r="B1680" s="1" t="n">
        <v>45261</v>
      </c>
      <c r="C1680" s="1" t="n">
        <v>45507</v>
      </c>
      <c r="D1680" t="inlineStr">
        <is>
          <t>JÄMTLANDS LÄN</t>
        </is>
      </c>
      <c r="E1680" t="inlineStr">
        <is>
          <t>BRÄCKE</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60870-2023</t>
        </is>
      </c>
      <c r="B1681" s="1" t="n">
        <v>45261</v>
      </c>
      <c r="C1681" s="1" t="n">
        <v>45507</v>
      </c>
      <c r="D1681" t="inlineStr">
        <is>
          <t>JÄMTLANDS LÄN</t>
        </is>
      </c>
      <c r="E1681" t="inlineStr">
        <is>
          <t>BRÄCKE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60833-2023</t>
        </is>
      </c>
      <c r="B1682" s="1" t="n">
        <v>45260</v>
      </c>
      <c r="C1682" s="1" t="n">
        <v>45507</v>
      </c>
      <c r="D1682" t="inlineStr">
        <is>
          <t>JÄMTLANDS LÄN</t>
        </is>
      </c>
      <c r="E1682" t="inlineStr">
        <is>
          <t>BRÄCKE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60865-2023</t>
        </is>
      </c>
      <c r="B1683" s="1" t="n">
        <v>45260</v>
      </c>
      <c r="C1683" s="1" t="n">
        <v>45507</v>
      </c>
      <c r="D1683" t="inlineStr">
        <is>
          <t>JÄMTLANDS LÄN</t>
        </is>
      </c>
      <c r="E1683" t="inlineStr">
        <is>
          <t>BRÄCKE</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60954-2023</t>
        </is>
      </c>
      <c r="B1684" s="1" t="n">
        <v>45261</v>
      </c>
      <c r="C1684" s="1" t="n">
        <v>45507</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61149-2023</t>
        </is>
      </c>
      <c r="B1685" s="1" t="n">
        <v>45262</v>
      </c>
      <c r="C1685" s="1" t="n">
        <v>45507</v>
      </c>
      <c r="D1685" t="inlineStr">
        <is>
          <t>JÄMTLANDS LÄN</t>
        </is>
      </c>
      <c r="E1685" t="inlineStr">
        <is>
          <t>BRÄCKE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61440-2023</t>
        </is>
      </c>
      <c r="B1686" s="1" t="n">
        <v>45261</v>
      </c>
      <c r="C1686" s="1" t="n">
        <v>45507</v>
      </c>
      <c r="D1686" t="inlineStr">
        <is>
          <t>JÄMTLANDS LÄN</t>
        </is>
      </c>
      <c r="E1686" t="inlineStr">
        <is>
          <t>BRÄCKE</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61504-2023</t>
        </is>
      </c>
      <c r="B1687" s="1" t="n">
        <v>45264</v>
      </c>
      <c r="C1687" s="1" t="n">
        <v>45507</v>
      </c>
      <c r="D1687" t="inlineStr">
        <is>
          <t>JÄMTLANDS LÄN</t>
        </is>
      </c>
      <c r="E1687" t="inlineStr">
        <is>
          <t>BRÄCKE</t>
        </is>
      </c>
      <c r="F1687" t="inlineStr">
        <is>
          <t>SCA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61503-2023</t>
        </is>
      </c>
      <c r="B1688" s="1" t="n">
        <v>45264</v>
      </c>
      <c r="C1688" s="1" t="n">
        <v>45507</v>
      </c>
      <c r="D1688" t="inlineStr">
        <is>
          <t>JÄMTLANDS LÄN</t>
        </is>
      </c>
      <c r="E1688" t="inlineStr">
        <is>
          <t>BRÄCKE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61787-2023</t>
        </is>
      </c>
      <c r="B1689" s="1" t="n">
        <v>45265</v>
      </c>
      <c r="C1689" s="1" t="n">
        <v>45507</v>
      </c>
      <c r="D1689" t="inlineStr">
        <is>
          <t>JÄMTLANDS LÄN</t>
        </is>
      </c>
      <c r="E1689" t="inlineStr">
        <is>
          <t>BRÄCKE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61796-2023</t>
        </is>
      </c>
      <c r="B1690" s="1" t="n">
        <v>45266</v>
      </c>
      <c r="C1690" s="1" t="n">
        <v>45507</v>
      </c>
      <c r="D1690" t="inlineStr">
        <is>
          <t>JÄMTLANDS LÄN</t>
        </is>
      </c>
      <c r="E1690" t="inlineStr">
        <is>
          <t>BRÄCKE</t>
        </is>
      </c>
      <c r="F1690" t="inlineStr">
        <is>
          <t>SCA</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62074-2023</t>
        </is>
      </c>
      <c r="B1691" s="1" t="n">
        <v>45266</v>
      </c>
      <c r="C1691" s="1" t="n">
        <v>45507</v>
      </c>
      <c r="D1691" t="inlineStr">
        <is>
          <t>JÄMTLANDS LÄN</t>
        </is>
      </c>
      <c r="E1691" t="inlineStr">
        <is>
          <t>BRÄCKE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62114-2023</t>
        </is>
      </c>
      <c r="B1692" s="1" t="n">
        <v>45266</v>
      </c>
      <c r="C1692" s="1" t="n">
        <v>45507</v>
      </c>
      <c r="D1692" t="inlineStr">
        <is>
          <t>JÄMTLANDS LÄN</t>
        </is>
      </c>
      <c r="E1692" t="inlineStr">
        <is>
          <t>BRÄCKE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62410-2023</t>
        </is>
      </c>
      <c r="B1693" s="1" t="n">
        <v>45266</v>
      </c>
      <c r="C1693" s="1" t="n">
        <v>45507</v>
      </c>
      <c r="D1693" t="inlineStr">
        <is>
          <t>JÄMTLANDS LÄN</t>
        </is>
      </c>
      <c r="E1693" t="inlineStr">
        <is>
          <t>BRÄCKE</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62354-2023</t>
        </is>
      </c>
      <c r="B1694" s="1" t="n">
        <v>45267</v>
      </c>
      <c r="C1694" s="1" t="n">
        <v>45507</v>
      </c>
      <c r="D1694" t="inlineStr">
        <is>
          <t>JÄMTLANDS LÄN</t>
        </is>
      </c>
      <c r="E1694" t="inlineStr">
        <is>
          <t>BRÄCKE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62899-2023</t>
        </is>
      </c>
      <c r="B1695" s="1" t="n">
        <v>45271</v>
      </c>
      <c r="C1695" s="1" t="n">
        <v>45507</v>
      </c>
      <c r="D1695" t="inlineStr">
        <is>
          <t>JÄMTLANDS LÄN</t>
        </is>
      </c>
      <c r="E1695" t="inlineStr">
        <is>
          <t>BRÄCKE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63089-2023</t>
        </is>
      </c>
      <c r="B1696" s="1" t="n">
        <v>45272</v>
      </c>
      <c r="C1696" s="1" t="n">
        <v>45507</v>
      </c>
      <c r="D1696" t="inlineStr">
        <is>
          <t>JÄMTLANDS LÄN</t>
        </is>
      </c>
      <c r="E1696" t="inlineStr">
        <is>
          <t>BRÄCKE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63292-2023</t>
        </is>
      </c>
      <c r="B1697" s="1" t="n">
        <v>45273</v>
      </c>
      <c r="C1697" s="1" t="n">
        <v>45507</v>
      </c>
      <c r="D1697" t="inlineStr">
        <is>
          <t>JÄMTLANDS LÄN</t>
        </is>
      </c>
      <c r="E1697" t="inlineStr">
        <is>
          <t>BRÄCKE</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63295-2023</t>
        </is>
      </c>
      <c r="B1698" s="1" t="n">
        <v>45273</v>
      </c>
      <c r="C1698" s="1" t="n">
        <v>45507</v>
      </c>
      <c r="D1698" t="inlineStr">
        <is>
          <t>JÄMTLANDS LÄN</t>
        </is>
      </c>
      <c r="E1698" t="inlineStr">
        <is>
          <t>BRÄCKE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63534-2023</t>
        </is>
      </c>
      <c r="B1699" s="1" t="n">
        <v>45274</v>
      </c>
      <c r="C1699" s="1" t="n">
        <v>45507</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63713-2023</t>
        </is>
      </c>
      <c r="B1700" s="1" t="n">
        <v>45275</v>
      </c>
      <c r="C1700" s="1" t="n">
        <v>45507</v>
      </c>
      <c r="D1700" t="inlineStr">
        <is>
          <t>JÄMTLANDS LÄN</t>
        </is>
      </c>
      <c r="E1700" t="inlineStr">
        <is>
          <t>BRÄCKE</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63716-2023</t>
        </is>
      </c>
      <c r="B1701" s="1" t="n">
        <v>45275</v>
      </c>
      <c r="C1701" s="1" t="n">
        <v>45507</v>
      </c>
      <c r="D1701" t="inlineStr">
        <is>
          <t>JÄMTLANDS LÄN</t>
        </is>
      </c>
      <c r="E1701" t="inlineStr">
        <is>
          <t>BRÄCKE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63706-2023</t>
        </is>
      </c>
      <c r="B1702" s="1" t="n">
        <v>45275</v>
      </c>
      <c r="C1702" s="1" t="n">
        <v>45507</v>
      </c>
      <c r="D1702" t="inlineStr">
        <is>
          <t>JÄMTLANDS LÄN</t>
        </is>
      </c>
      <c r="E1702" t="inlineStr">
        <is>
          <t>BRÄCKE</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63714-2023</t>
        </is>
      </c>
      <c r="B1703" s="1" t="n">
        <v>45275</v>
      </c>
      <c r="C1703" s="1" t="n">
        <v>45507</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64025-2023</t>
        </is>
      </c>
      <c r="B1704" s="1" t="n">
        <v>45278</v>
      </c>
      <c r="C1704" s="1" t="n">
        <v>45507</v>
      </c>
      <c r="D1704" t="inlineStr">
        <is>
          <t>JÄMTLANDS LÄN</t>
        </is>
      </c>
      <c r="E1704" t="inlineStr">
        <is>
          <t>BRÄCKE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64037-2023</t>
        </is>
      </c>
      <c r="B1705" s="1" t="n">
        <v>45278</v>
      </c>
      <c r="C1705" s="1" t="n">
        <v>45507</v>
      </c>
      <c r="D1705" t="inlineStr">
        <is>
          <t>JÄMTLANDS LÄN</t>
        </is>
      </c>
      <c r="E1705" t="inlineStr">
        <is>
          <t>BRÄCKE</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64034-2023</t>
        </is>
      </c>
      <c r="B1706" s="1" t="n">
        <v>45278</v>
      </c>
      <c r="C1706" s="1" t="n">
        <v>45507</v>
      </c>
      <c r="D1706" t="inlineStr">
        <is>
          <t>JÄMTLANDS LÄN</t>
        </is>
      </c>
      <c r="E1706" t="inlineStr">
        <is>
          <t>BRÄCKE</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64038-2023</t>
        </is>
      </c>
      <c r="B1707" s="1" t="n">
        <v>45278</v>
      </c>
      <c r="C1707" s="1" t="n">
        <v>45507</v>
      </c>
      <c r="D1707" t="inlineStr">
        <is>
          <t>JÄMTLANDS LÄN</t>
        </is>
      </c>
      <c r="E1707" t="inlineStr">
        <is>
          <t>BRÄCKE</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64024-2023</t>
        </is>
      </c>
      <c r="B1708" s="1" t="n">
        <v>45278</v>
      </c>
      <c r="C1708" s="1" t="n">
        <v>45507</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64117-2023</t>
        </is>
      </c>
      <c r="B1709" s="1" t="n">
        <v>45279</v>
      </c>
      <c r="C1709" s="1" t="n">
        <v>45507</v>
      </c>
      <c r="D1709" t="inlineStr">
        <is>
          <t>JÄMTLANDS LÄN</t>
        </is>
      </c>
      <c r="E1709" t="inlineStr">
        <is>
          <t>BRÄCKE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64143-2023</t>
        </is>
      </c>
      <c r="B1710" s="1" t="n">
        <v>45279</v>
      </c>
      <c r="C1710" s="1" t="n">
        <v>45507</v>
      </c>
      <c r="D1710" t="inlineStr">
        <is>
          <t>JÄMTLANDS LÄN</t>
        </is>
      </c>
      <c r="E1710" t="inlineStr">
        <is>
          <t>BRÄCKE</t>
        </is>
      </c>
      <c r="G1710" t="n">
        <v>5.5</v>
      </c>
      <c r="H1710" t="n">
        <v>0</v>
      </c>
      <c r="I1710" t="n">
        <v>0</v>
      </c>
      <c r="J1710" t="n">
        <v>0</v>
      </c>
      <c r="K1710" t="n">
        <v>0</v>
      </c>
      <c r="L1710" t="n">
        <v>0</v>
      </c>
      <c r="M1710" t="n">
        <v>0</v>
      </c>
      <c r="N1710" t="n">
        <v>0</v>
      </c>
      <c r="O1710" t="n">
        <v>0</v>
      </c>
      <c r="P1710" t="n">
        <v>0</v>
      </c>
      <c r="Q1710" t="n">
        <v>0</v>
      </c>
      <c r="R1710" s="2" t="inlineStr"/>
      <c r="U1710">
        <f>HYPERLINK("https://klasma.github.io/Logging_2305/knärot/A 64143-2023 karta knärot.png", "A 64143-2023")</f>
        <v/>
      </c>
      <c r="V1710">
        <f>HYPERLINK("https://klasma.github.io/Logging_2305/klagomål/A 64143-2023 FSC-klagomål.docx", "A 64143-2023")</f>
        <v/>
      </c>
      <c r="W1710">
        <f>HYPERLINK("https://klasma.github.io/Logging_2305/klagomålsmail/A 64143-2023 FSC-klagomål mail.docx", "A 64143-2023")</f>
        <v/>
      </c>
      <c r="X1710">
        <f>HYPERLINK("https://klasma.github.io/Logging_2305/tillsyn/A 64143-2023 tillsynsbegäran.docx", "A 64143-2023")</f>
        <v/>
      </c>
      <c r="Y1710">
        <f>HYPERLINK("https://klasma.github.io/Logging_2305/tillsynsmail/A 64143-2023 tillsynsbegäran mail.docx", "A 64143-2023")</f>
        <v/>
      </c>
    </row>
    <row r="1711" ht="15" customHeight="1">
      <c r="A1711" t="inlineStr">
        <is>
          <t>A 64266-2023</t>
        </is>
      </c>
      <c r="B1711" s="1" t="n">
        <v>45279</v>
      </c>
      <c r="C1711" s="1" t="n">
        <v>45507</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64268-2023</t>
        </is>
      </c>
      <c r="B1712" s="1" t="n">
        <v>45279</v>
      </c>
      <c r="C1712" s="1" t="n">
        <v>45507</v>
      </c>
      <c r="D1712" t="inlineStr">
        <is>
          <t>JÄMTLANDS LÄN</t>
        </is>
      </c>
      <c r="E1712" t="inlineStr">
        <is>
          <t>BRÄCKE</t>
        </is>
      </c>
      <c r="F1712" t="inlineStr">
        <is>
          <t>SCA</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64272-2023</t>
        </is>
      </c>
      <c r="B1713" s="1" t="n">
        <v>45279</v>
      </c>
      <c r="C1713" s="1" t="n">
        <v>45507</v>
      </c>
      <c r="D1713" t="inlineStr">
        <is>
          <t>JÄMTLANDS LÄN</t>
        </is>
      </c>
      <c r="E1713" t="inlineStr">
        <is>
          <t>BRÄCKE</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64269-2023</t>
        </is>
      </c>
      <c r="B1714" s="1" t="n">
        <v>45279</v>
      </c>
      <c r="C1714" s="1" t="n">
        <v>45507</v>
      </c>
      <c r="D1714" t="inlineStr">
        <is>
          <t>JÄMTLANDS LÄN</t>
        </is>
      </c>
      <c r="E1714" t="inlineStr">
        <is>
          <t>BRÄCKE</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64302-2023</t>
        </is>
      </c>
      <c r="B1715" s="1" t="n">
        <v>45280</v>
      </c>
      <c r="C1715" s="1" t="n">
        <v>45507</v>
      </c>
      <c r="D1715" t="inlineStr">
        <is>
          <t>JÄMTLANDS LÄN</t>
        </is>
      </c>
      <c r="E1715" t="inlineStr">
        <is>
          <t>BRÄCKE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64413-2023</t>
        </is>
      </c>
      <c r="B1716" s="1" t="n">
        <v>45280</v>
      </c>
      <c r="C1716" s="1" t="n">
        <v>45507</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64643-2023</t>
        </is>
      </c>
      <c r="B1717" s="1" t="n">
        <v>45281</v>
      </c>
      <c r="C1717" s="1" t="n">
        <v>45507</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64757-2023</t>
        </is>
      </c>
      <c r="B1718" s="1" t="n">
        <v>45281</v>
      </c>
      <c r="C1718" s="1" t="n">
        <v>45507</v>
      </c>
      <c r="D1718" t="inlineStr">
        <is>
          <t>JÄMTLANDS LÄN</t>
        </is>
      </c>
      <c r="E1718" t="inlineStr">
        <is>
          <t>BRÄCKE</t>
        </is>
      </c>
      <c r="F1718" t="inlineStr">
        <is>
          <t>SCA</t>
        </is>
      </c>
      <c r="G1718" t="n">
        <v>11.7</v>
      </c>
      <c r="H1718" t="n">
        <v>0</v>
      </c>
      <c r="I1718" t="n">
        <v>0</v>
      </c>
      <c r="J1718" t="n">
        <v>0</v>
      </c>
      <c r="K1718" t="n">
        <v>0</v>
      </c>
      <c r="L1718" t="n">
        <v>0</v>
      </c>
      <c r="M1718" t="n">
        <v>0</v>
      </c>
      <c r="N1718" t="n">
        <v>0</v>
      </c>
      <c r="O1718" t="n">
        <v>0</v>
      </c>
      <c r="P1718" t="n">
        <v>0</v>
      </c>
      <c r="Q1718" t="n">
        <v>0</v>
      </c>
      <c r="R1718" s="2" t="inlineStr"/>
    </row>
    <row r="1719" ht="15" customHeight="1">
      <c r="A1719" t="inlineStr">
        <is>
          <t>A 65041-2023</t>
        </is>
      </c>
      <c r="B1719" s="1" t="n">
        <v>45287</v>
      </c>
      <c r="C1719" s="1" t="n">
        <v>45507</v>
      </c>
      <c r="D1719" t="inlineStr">
        <is>
          <t>JÄMTLANDS LÄN</t>
        </is>
      </c>
      <c r="E1719" t="inlineStr">
        <is>
          <t>BRÄCKE</t>
        </is>
      </c>
      <c r="G1719" t="n">
        <v>45.2</v>
      </c>
      <c r="H1719" t="n">
        <v>0</v>
      </c>
      <c r="I1719" t="n">
        <v>0</v>
      </c>
      <c r="J1719" t="n">
        <v>0</v>
      </c>
      <c r="K1719" t="n">
        <v>0</v>
      </c>
      <c r="L1719" t="n">
        <v>0</v>
      </c>
      <c r="M1719" t="n">
        <v>0</v>
      </c>
      <c r="N1719" t="n">
        <v>0</v>
      </c>
      <c r="O1719" t="n">
        <v>0</v>
      </c>
      <c r="P1719" t="n">
        <v>0</v>
      </c>
      <c r="Q1719" t="n">
        <v>0</v>
      </c>
      <c r="R1719" s="2" t="inlineStr"/>
    </row>
    <row r="1720" ht="15" customHeight="1">
      <c r="A1720" t="inlineStr">
        <is>
          <t>A 65096-2023</t>
        </is>
      </c>
      <c r="B1720" s="1" t="n">
        <v>45288</v>
      </c>
      <c r="C1720" s="1" t="n">
        <v>45507</v>
      </c>
      <c r="D1720" t="inlineStr">
        <is>
          <t>JÄMTLANDS LÄN</t>
        </is>
      </c>
      <c r="E1720" t="inlineStr">
        <is>
          <t>BRÄCKE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65226-2023</t>
        </is>
      </c>
      <c r="B1721" s="1" t="n">
        <v>45289</v>
      </c>
      <c r="C1721" s="1" t="n">
        <v>45507</v>
      </c>
      <c r="D1721" t="inlineStr">
        <is>
          <t>JÄMTLANDS LÄN</t>
        </is>
      </c>
      <c r="E1721" t="inlineStr">
        <is>
          <t>BRÄCKE</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107-2024</t>
        </is>
      </c>
      <c r="B1722" s="1" t="n">
        <v>45293</v>
      </c>
      <c r="C1722" s="1" t="n">
        <v>45507</v>
      </c>
      <c r="D1722" t="inlineStr">
        <is>
          <t>JÄMTLANDS LÄN</t>
        </is>
      </c>
      <c r="E1722" t="inlineStr">
        <is>
          <t>BRÄCKE</t>
        </is>
      </c>
      <c r="F1722" t="inlineStr">
        <is>
          <t>SCA</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477-2024</t>
        </is>
      </c>
      <c r="B1723" s="1" t="n">
        <v>45298</v>
      </c>
      <c r="C1723" s="1" t="n">
        <v>45507</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662-2024</t>
        </is>
      </c>
      <c r="B1724" s="1" t="n">
        <v>45299</v>
      </c>
      <c r="C1724" s="1" t="n">
        <v>45507</v>
      </c>
      <c r="D1724" t="inlineStr">
        <is>
          <t>JÄMTLANDS LÄN</t>
        </is>
      </c>
      <c r="E1724" t="inlineStr">
        <is>
          <t>BRÄCKE</t>
        </is>
      </c>
      <c r="F1724" t="inlineStr">
        <is>
          <t>SCA</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861-2024</t>
        </is>
      </c>
      <c r="B1725" s="1" t="n">
        <v>45301</v>
      </c>
      <c r="C1725" s="1" t="n">
        <v>45507</v>
      </c>
      <c r="D1725" t="inlineStr">
        <is>
          <t>JÄMTLANDS LÄN</t>
        </is>
      </c>
      <c r="E1725" t="inlineStr">
        <is>
          <t>BRÄCKE</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1277-2024</t>
        </is>
      </c>
      <c r="B1726" s="1" t="n">
        <v>45303</v>
      </c>
      <c r="C1726" s="1" t="n">
        <v>45507</v>
      </c>
      <c r="D1726" t="inlineStr">
        <is>
          <t>JÄMTLANDS LÄN</t>
        </is>
      </c>
      <c r="E1726" t="inlineStr">
        <is>
          <t>BRÄCKE</t>
        </is>
      </c>
      <c r="F1726" t="inlineStr">
        <is>
          <t>SCA</t>
        </is>
      </c>
      <c r="G1726" t="n">
        <v>25.7</v>
      </c>
      <c r="H1726" t="n">
        <v>0</v>
      </c>
      <c r="I1726" t="n">
        <v>0</v>
      </c>
      <c r="J1726" t="n">
        <v>0</v>
      </c>
      <c r="K1726" t="n">
        <v>0</v>
      </c>
      <c r="L1726" t="n">
        <v>0</v>
      </c>
      <c r="M1726" t="n">
        <v>0</v>
      </c>
      <c r="N1726" t="n">
        <v>0</v>
      </c>
      <c r="O1726" t="n">
        <v>0</v>
      </c>
      <c r="P1726" t="n">
        <v>0</v>
      </c>
      <c r="Q1726" t="n">
        <v>0</v>
      </c>
      <c r="R1726" s="2" t="inlineStr"/>
    </row>
    <row r="1727" ht="15" customHeight="1">
      <c r="A1727" t="inlineStr">
        <is>
          <t>A 1681-2024</t>
        </is>
      </c>
      <c r="B1727" s="1" t="n">
        <v>45307</v>
      </c>
      <c r="C1727" s="1" t="n">
        <v>45507</v>
      </c>
      <c r="D1727" t="inlineStr">
        <is>
          <t>JÄMTLANDS LÄN</t>
        </is>
      </c>
      <c r="E1727" t="inlineStr">
        <is>
          <t>BRÄCKE</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1746-2024</t>
        </is>
      </c>
      <c r="B1728" s="1" t="n">
        <v>45307</v>
      </c>
      <c r="C1728" s="1" t="n">
        <v>45507</v>
      </c>
      <c r="D1728" t="inlineStr">
        <is>
          <t>JÄMTLANDS LÄN</t>
        </is>
      </c>
      <c r="E1728" t="inlineStr">
        <is>
          <t>BRÄCKE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1881-2024</t>
        </is>
      </c>
      <c r="B1729" s="1" t="n">
        <v>45308</v>
      </c>
      <c r="C1729" s="1" t="n">
        <v>45507</v>
      </c>
      <c r="D1729" t="inlineStr">
        <is>
          <t>JÄMTLANDS LÄN</t>
        </is>
      </c>
      <c r="E1729" t="inlineStr">
        <is>
          <t>BRÄCKE</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1799-2024</t>
        </is>
      </c>
      <c r="B1730" s="1" t="n">
        <v>45307</v>
      </c>
      <c r="C1730" s="1" t="n">
        <v>45507</v>
      </c>
      <c r="D1730" t="inlineStr">
        <is>
          <t>JÄMTLANDS LÄN</t>
        </is>
      </c>
      <c r="E1730" t="inlineStr">
        <is>
          <t>BRÄCKE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2064-2024</t>
        </is>
      </c>
      <c r="B1731" s="1" t="n">
        <v>45308</v>
      </c>
      <c r="C1731" s="1" t="n">
        <v>45507</v>
      </c>
      <c r="D1731" t="inlineStr">
        <is>
          <t>JÄMTLANDS LÄN</t>
        </is>
      </c>
      <c r="E1731" t="inlineStr">
        <is>
          <t>BRÄCKE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2065-2024</t>
        </is>
      </c>
      <c r="B1732" s="1" t="n">
        <v>45309</v>
      </c>
      <c r="C1732" s="1" t="n">
        <v>45507</v>
      </c>
      <c r="D1732" t="inlineStr">
        <is>
          <t>JÄMTLANDS LÄN</t>
        </is>
      </c>
      <c r="E1732" t="inlineStr">
        <is>
          <t>BRÄCKE</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2420-2024</t>
        </is>
      </c>
      <c r="B1733" s="1" t="n">
        <v>45310</v>
      </c>
      <c r="C1733" s="1" t="n">
        <v>45507</v>
      </c>
      <c r="D1733" t="inlineStr">
        <is>
          <t>JÄMTLANDS LÄN</t>
        </is>
      </c>
      <c r="E1733" t="inlineStr">
        <is>
          <t>BRÄCKE</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2421-2024</t>
        </is>
      </c>
      <c r="B1734" s="1" t="n">
        <v>45310</v>
      </c>
      <c r="C1734" s="1" t="n">
        <v>45507</v>
      </c>
      <c r="D1734" t="inlineStr">
        <is>
          <t>JÄMTLANDS LÄN</t>
        </is>
      </c>
      <c r="E1734" t="inlineStr">
        <is>
          <t>BRÄCKE</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2422-2024</t>
        </is>
      </c>
      <c r="B1735" s="1" t="n">
        <v>45310</v>
      </c>
      <c r="C1735" s="1" t="n">
        <v>45507</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2621-2024</t>
        </is>
      </c>
      <c r="B1736" s="1" t="n">
        <v>45313</v>
      </c>
      <c r="C1736" s="1" t="n">
        <v>45507</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3182-2024</t>
        </is>
      </c>
      <c r="B1737" s="1" t="n">
        <v>45316</v>
      </c>
      <c r="C1737" s="1" t="n">
        <v>45507</v>
      </c>
      <c r="D1737" t="inlineStr">
        <is>
          <t>JÄMTLANDS LÄN</t>
        </is>
      </c>
      <c r="E1737" t="inlineStr">
        <is>
          <t>BRÄCKE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3179-2024</t>
        </is>
      </c>
      <c r="B1738" s="1" t="n">
        <v>45316</v>
      </c>
      <c r="C1738" s="1" t="n">
        <v>45507</v>
      </c>
      <c r="D1738" t="inlineStr">
        <is>
          <t>JÄMTLANDS LÄN</t>
        </is>
      </c>
      <c r="E1738" t="inlineStr">
        <is>
          <t>BRÄCKE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3180-2024</t>
        </is>
      </c>
      <c r="B1739" s="1" t="n">
        <v>45316</v>
      </c>
      <c r="C1739" s="1" t="n">
        <v>45507</v>
      </c>
      <c r="D1739" t="inlineStr">
        <is>
          <t>JÄMTLANDS LÄN</t>
        </is>
      </c>
      <c r="E1739" t="inlineStr">
        <is>
          <t>BRÄCKE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3233-2024</t>
        </is>
      </c>
      <c r="B1740" s="1" t="n">
        <v>45316</v>
      </c>
      <c r="C1740" s="1" t="n">
        <v>45507</v>
      </c>
      <c r="D1740" t="inlineStr">
        <is>
          <t>JÄMTLANDS LÄN</t>
        </is>
      </c>
      <c r="E1740" t="inlineStr">
        <is>
          <t>BRÄCKE</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3390-2024</t>
        </is>
      </c>
      <c r="B1741" s="1" t="n">
        <v>45317</v>
      </c>
      <c r="C1741" s="1" t="n">
        <v>45507</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3389-2024</t>
        </is>
      </c>
      <c r="B1742" s="1" t="n">
        <v>45317</v>
      </c>
      <c r="C1742" s="1" t="n">
        <v>45507</v>
      </c>
      <c r="D1742" t="inlineStr">
        <is>
          <t>JÄMTLANDS LÄN</t>
        </is>
      </c>
      <c r="E1742" t="inlineStr">
        <is>
          <t>BRÄCKE</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3487-2024</t>
        </is>
      </c>
      <c r="B1743" s="1" t="n">
        <v>45317</v>
      </c>
      <c r="C1743" s="1" t="n">
        <v>45507</v>
      </c>
      <c r="D1743" t="inlineStr">
        <is>
          <t>JÄMTLANDS LÄN</t>
        </is>
      </c>
      <c r="E1743" t="inlineStr">
        <is>
          <t>BRÄCKE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3528-2024</t>
        </is>
      </c>
      <c r="B1744" s="1" t="n">
        <v>45320</v>
      </c>
      <c r="C1744" s="1" t="n">
        <v>45507</v>
      </c>
      <c r="D1744" t="inlineStr">
        <is>
          <t>JÄMTLANDS LÄN</t>
        </is>
      </c>
      <c r="E1744" t="inlineStr">
        <is>
          <t>BRÄCKE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3626-2024</t>
        </is>
      </c>
      <c r="B1745" s="1" t="n">
        <v>45320</v>
      </c>
      <c r="C1745" s="1" t="n">
        <v>45507</v>
      </c>
      <c r="D1745" t="inlineStr">
        <is>
          <t>JÄMTLANDS LÄN</t>
        </is>
      </c>
      <c r="E1745" t="inlineStr">
        <is>
          <t>BRÄCKE</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3616-2024</t>
        </is>
      </c>
      <c r="B1746" s="1" t="n">
        <v>45320</v>
      </c>
      <c r="C1746" s="1" t="n">
        <v>45507</v>
      </c>
      <c r="D1746" t="inlineStr">
        <is>
          <t>JÄMTLANDS LÄN</t>
        </is>
      </c>
      <c r="E1746" t="inlineStr">
        <is>
          <t>BRÄCKE</t>
        </is>
      </c>
      <c r="F1746" t="inlineStr">
        <is>
          <t>SCA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3840-2024</t>
        </is>
      </c>
      <c r="B1747" s="1" t="n">
        <v>45321</v>
      </c>
      <c r="C1747" s="1" t="n">
        <v>45507</v>
      </c>
      <c r="D1747" t="inlineStr">
        <is>
          <t>JÄMTLANDS LÄN</t>
        </is>
      </c>
      <c r="E1747" t="inlineStr">
        <is>
          <t>BRÄCKE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3972-2024</t>
        </is>
      </c>
      <c r="B1748" s="1" t="n">
        <v>45322</v>
      </c>
      <c r="C1748" s="1" t="n">
        <v>45507</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3995-2024</t>
        </is>
      </c>
      <c r="B1749" s="1" t="n">
        <v>45322</v>
      </c>
      <c r="C1749" s="1" t="n">
        <v>45507</v>
      </c>
      <c r="D1749" t="inlineStr">
        <is>
          <t>JÄMTLANDS LÄN</t>
        </is>
      </c>
      <c r="E1749" t="inlineStr">
        <is>
          <t>BRÄCKE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4171-2024</t>
        </is>
      </c>
      <c r="B1750" s="1" t="n">
        <v>45323</v>
      </c>
      <c r="C1750" s="1" t="n">
        <v>45507</v>
      </c>
      <c r="D1750" t="inlineStr">
        <is>
          <t>JÄMTLANDS LÄN</t>
        </is>
      </c>
      <c r="E1750" t="inlineStr">
        <is>
          <t>BRÄCKE</t>
        </is>
      </c>
      <c r="F1750" t="inlineStr">
        <is>
          <t>SCA</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4170-2024</t>
        </is>
      </c>
      <c r="B1751" s="1" t="n">
        <v>45323</v>
      </c>
      <c r="C1751" s="1" t="n">
        <v>45507</v>
      </c>
      <c r="D1751" t="inlineStr">
        <is>
          <t>JÄMTLANDS LÄN</t>
        </is>
      </c>
      <c r="E1751" t="inlineStr">
        <is>
          <t>BRÄCKE</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4491-2024</t>
        </is>
      </c>
      <c r="B1752" s="1" t="n">
        <v>45327</v>
      </c>
      <c r="C1752" s="1" t="n">
        <v>45507</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4556-2024</t>
        </is>
      </c>
      <c r="B1753" s="1" t="n">
        <v>45327</v>
      </c>
      <c r="C1753" s="1" t="n">
        <v>45507</v>
      </c>
      <c r="D1753" t="inlineStr">
        <is>
          <t>JÄMTLANDS LÄN</t>
        </is>
      </c>
      <c r="E1753" t="inlineStr">
        <is>
          <t>BRÄCKE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4585-2024</t>
        </is>
      </c>
      <c r="B1754" s="1" t="n">
        <v>45327</v>
      </c>
      <c r="C1754" s="1" t="n">
        <v>45507</v>
      </c>
      <c r="D1754" t="inlineStr">
        <is>
          <t>JÄMTLANDS LÄN</t>
        </is>
      </c>
      <c r="E1754" t="inlineStr">
        <is>
          <t>BRÄCKE</t>
        </is>
      </c>
      <c r="F1754" t="inlineStr">
        <is>
          <t>SCA</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4590-2024</t>
        </is>
      </c>
      <c r="B1755" s="1" t="n">
        <v>45327</v>
      </c>
      <c r="C1755" s="1" t="n">
        <v>45507</v>
      </c>
      <c r="D1755" t="inlineStr">
        <is>
          <t>JÄMTLANDS LÄN</t>
        </is>
      </c>
      <c r="E1755" t="inlineStr">
        <is>
          <t>BRÄCKE</t>
        </is>
      </c>
      <c r="F1755" t="inlineStr">
        <is>
          <t>SCA</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4930-2024</t>
        </is>
      </c>
      <c r="B1756" s="1" t="n">
        <v>45329</v>
      </c>
      <c r="C1756" s="1" t="n">
        <v>45507</v>
      </c>
      <c r="D1756" t="inlineStr">
        <is>
          <t>JÄMTLANDS LÄN</t>
        </is>
      </c>
      <c r="E1756" t="inlineStr">
        <is>
          <t>BRÄCKE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5053-2024</t>
        </is>
      </c>
      <c r="B1757" s="1" t="n">
        <v>45329</v>
      </c>
      <c r="C1757" s="1" t="n">
        <v>45507</v>
      </c>
      <c r="D1757" t="inlineStr">
        <is>
          <t>JÄMTLANDS LÄN</t>
        </is>
      </c>
      <c r="E1757" t="inlineStr">
        <is>
          <t>BRÄCKE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5052-2024</t>
        </is>
      </c>
      <c r="B1758" s="1" t="n">
        <v>45329</v>
      </c>
      <c r="C1758" s="1" t="n">
        <v>45507</v>
      </c>
      <c r="D1758" t="inlineStr">
        <is>
          <t>JÄMTLANDS LÄN</t>
        </is>
      </c>
      <c r="E1758" t="inlineStr">
        <is>
          <t>BRÄCKE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7843-2024</t>
        </is>
      </c>
      <c r="B1759" s="1" t="n">
        <v>45329</v>
      </c>
      <c r="C1759" s="1" t="n">
        <v>45507</v>
      </c>
      <c r="D1759" t="inlineStr">
        <is>
          <t>JÄMTLANDS LÄN</t>
        </is>
      </c>
      <c r="E1759" t="inlineStr">
        <is>
          <t>BRÄCKE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5266-2024</t>
        </is>
      </c>
      <c r="B1760" s="1" t="n">
        <v>45330</v>
      </c>
      <c r="C1760" s="1" t="n">
        <v>45507</v>
      </c>
      <c r="D1760" t="inlineStr">
        <is>
          <t>JÄMTLANDS LÄN</t>
        </is>
      </c>
      <c r="E1760" t="inlineStr">
        <is>
          <t>BRÄCKE</t>
        </is>
      </c>
      <c r="F1760" t="inlineStr">
        <is>
          <t>SCA</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5270-2024</t>
        </is>
      </c>
      <c r="B1761" s="1" t="n">
        <v>45331</v>
      </c>
      <c r="C1761" s="1" t="n">
        <v>45507</v>
      </c>
      <c r="D1761" t="inlineStr">
        <is>
          <t>JÄMTLANDS LÄN</t>
        </is>
      </c>
      <c r="E1761" t="inlineStr">
        <is>
          <t>BRÄCKE</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5269-2024</t>
        </is>
      </c>
      <c r="B1762" s="1" t="n">
        <v>45331</v>
      </c>
      <c r="C1762" s="1" t="n">
        <v>45507</v>
      </c>
      <c r="D1762" t="inlineStr">
        <is>
          <t>JÄMTLANDS LÄN</t>
        </is>
      </c>
      <c r="E1762" t="inlineStr">
        <is>
          <t>BRÄCKE</t>
        </is>
      </c>
      <c r="F1762" t="inlineStr">
        <is>
          <t>SCA</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5367-2024</t>
        </is>
      </c>
      <c r="B1763" s="1" t="n">
        <v>45331</v>
      </c>
      <c r="C1763" s="1" t="n">
        <v>45507</v>
      </c>
      <c r="D1763" t="inlineStr">
        <is>
          <t>JÄMTLANDS LÄN</t>
        </is>
      </c>
      <c r="E1763" t="inlineStr">
        <is>
          <t>BRÄCKE</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5441-2024</t>
        </is>
      </c>
      <c r="B1764" s="1" t="n">
        <v>45331</v>
      </c>
      <c r="C1764" s="1" t="n">
        <v>45507</v>
      </c>
      <c r="D1764" t="inlineStr">
        <is>
          <t>JÄMTLANDS LÄN</t>
        </is>
      </c>
      <c r="E1764" t="inlineStr">
        <is>
          <t>BRÄCKE</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5737-2024</t>
        </is>
      </c>
      <c r="B1765" s="1" t="n">
        <v>45334</v>
      </c>
      <c r="C1765" s="1" t="n">
        <v>45507</v>
      </c>
      <c r="D1765" t="inlineStr">
        <is>
          <t>JÄMTLANDS LÄN</t>
        </is>
      </c>
      <c r="E1765" t="inlineStr">
        <is>
          <t>BRÄCKE</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5914-2024</t>
        </is>
      </c>
      <c r="B1766" s="1" t="n">
        <v>45335</v>
      </c>
      <c r="C1766" s="1" t="n">
        <v>45507</v>
      </c>
      <c r="D1766" t="inlineStr">
        <is>
          <t>JÄMTLANDS LÄN</t>
        </is>
      </c>
      <c r="E1766" t="inlineStr">
        <is>
          <t>BRÄCKE</t>
        </is>
      </c>
      <c r="F1766" t="inlineStr">
        <is>
          <t>SCA</t>
        </is>
      </c>
      <c r="G1766" t="n">
        <v>21.2</v>
      </c>
      <c r="H1766" t="n">
        <v>0</v>
      </c>
      <c r="I1766" t="n">
        <v>0</v>
      </c>
      <c r="J1766" t="n">
        <v>0</v>
      </c>
      <c r="K1766" t="n">
        <v>0</v>
      </c>
      <c r="L1766" t="n">
        <v>0</v>
      </c>
      <c r="M1766" t="n">
        <v>0</v>
      </c>
      <c r="N1766" t="n">
        <v>0</v>
      </c>
      <c r="O1766" t="n">
        <v>0</v>
      </c>
      <c r="P1766" t="n">
        <v>0</v>
      </c>
      <c r="Q1766" t="n">
        <v>0</v>
      </c>
      <c r="R1766" s="2" t="inlineStr"/>
    </row>
    <row r="1767" ht="15" customHeight="1">
      <c r="A1767" t="inlineStr">
        <is>
          <t>A 5915-2024</t>
        </is>
      </c>
      <c r="B1767" s="1" t="n">
        <v>45335</v>
      </c>
      <c r="C1767" s="1" t="n">
        <v>45507</v>
      </c>
      <c r="D1767" t="inlineStr">
        <is>
          <t>JÄMTLANDS LÄN</t>
        </is>
      </c>
      <c r="E1767" t="inlineStr">
        <is>
          <t>BRÄCKE</t>
        </is>
      </c>
      <c r="F1767" t="inlineStr">
        <is>
          <t>SCA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6087-2024</t>
        </is>
      </c>
      <c r="B1768" s="1" t="n">
        <v>45337</v>
      </c>
      <c r="C1768" s="1" t="n">
        <v>45507</v>
      </c>
      <c r="D1768" t="inlineStr">
        <is>
          <t>JÄMTLANDS LÄN</t>
        </is>
      </c>
      <c r="E1768" t="inlineStr">
        <is>
          <t>BRÄCKE</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6086-2024</t>
        </is>
      </c>
      <c r="B1769" s="1" t="n">
        <v>45337</v>
      </c>
      <c r="C1769" s="1" t="n">
        <v>45507</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6190-2024</t>
        </is>
      </c>
      <c r="B1770" s="1" t="n">
        <v>45337</v>
      </c>
      <c r="C1770" s="1" t="n">
        <v>45507</v>
      </c>
      <c r="D1770" t="inlineStr">
        <is>
          <t>JÄMTLANDS LÄN</t>
        </is>
      </c>
      <c r="E1770" t="inlineStr">
        <is>
          <t>BRÄCKE</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6185-2024</t>
        </is>
      </c>
      <c r="B1771" s="1" t="n">
        <v>45337</v>
      </c>
      <c r="C1771" s="1" t="n">
        <v>45507</v>
      </c>
      <c r="D1771" t="inlineStr">
        <is>
          <t>JÄMTLANDS LÄN</t>
        </is>
      </c>
      <c r="E1771" t="inlineStr">
        <is>
          <t>BRÄCKE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6362-2024</t>
        </is>
      </c>
      <c r="B1772" s="1" t="n">
        <v>45338</v>
      </c>
      <c r="C1772" s="1" t="n">
        <v>45507</v>
      </c>
      <c r="D1772" t="inlineStr">
        <is>
          <t>JÄMTLANDS LÄN</t>
        </is>
      </c>
      <c r="E1772" t="inlineStr">
        <is>
          <t>BRÄCKE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6516-2024</t>
        </is>
      </c>
      <c r="B1773" s="1" t="n">
        <v>45341</v>
      </c>
      <c r="C1773" s="1" t="n">
        <v>45507</v>
      </c>
      <c r="D1773" t="inlineStr">
        <is>
          <t>JÄMTLANDS LÄN</t>
        </is>
      </c>
      <c r="E1773" t="inlineStr">
        <is>
          <t>BRÄCKE</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6748-2024</t>
        </is>
      </c>
      <c r="B1774" s="1" t="n">
        <v>45342</v>
      </c>
      <c r="C1774" s="1" t="n">
        <v>45507</v>
      </c>
      <c r="D1774" t="inlineStr">
        <is>
          <t>JÄMTLANDS LÄN</t>
        </is>
      </c>
      <c r="E1774" t="inlineStr">
        <is>
          <t>BRÄCKE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6903-2024</t>
        </is>
      </c>
      <c r="B1775" s="1" t="n">
        <v>45342</v>
      </c>
      <c r="C1775" s="1" t="n">
        <v>45507</v>
      </c>
      <c r="D1775" t="inlineStr">
        <is>
          <t>JÄMTLANDS LÄN</t>
        </is>
      </c>
      <c r="E1775" t="inlineStr">
        <is>
          <t>BRÄCKE</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6907-2024</t>
        </is>
      </c>
      <c r="B1776" s="1" t="n">
        <v>45342</v>
      </c>
      <c r="C1776" s="1" t="n">
        <v>45507</v>
      </c>
      <c r="D1776" t="inlineStr">
        <is>
          <t>JÄMTLANDS LÄN</t>
        </is>
      </c>
      <c r="E1776" t="inlineStr">
        <is>
          <t>BRÄCKE</t>
        </is>
      </c>
      <c r="F1776" t="inlineStr">
        <is>
          <t>SCA</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6906-2024</t>
        </is>
      </c>
      <c r="B1777" s="1" t="n">
        <v>45342</v>
      </c>
      <c r="C1777" s="1" t="n">
        <v>45507</v>
      </c>
      <c r="D1777" t="inlineStr">
        <is>
          <t>JÄMTLANDS LÄN</t>
        </is>
      </c>
      <c r="E1777" t="inlineStr">
        <is>
          <t>BRÄCKE</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7283-2024</t>
        </is>
      </c>
      <c r="B1778" s="1" t="n">
        <v>45344</v>
      </c>
      <c r="C1778" s="1" t="n">
        <v>45507</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7287-2024</t>
        </is>
      </c>
      <c r="B1779" s="1" t="n">
        <v>45344</v>
      </c>
      <c r="C1779" s="1" t="n">
        <v>45507</v>
      </c>
      <c r="D1779" t="inlineStr">
        <is>
          <t>JÄMTLANDS LÄN</t>
        </is>
      </c>
      <c r="E1779" t="inlineStr">
        <is>
          <t>BRÄCKE</t>
        </is>
      </c>
      <c r="F1779" t="inlineStr">
        <is>
          <t>SCA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7286-2024</t>
        </is>
      </c>
      <c r="B1780" s="1" t="n">
        <v>45344</v>
      </c>
      <c r="C1780" s="1" t="n">
        <v>45507</v>
      </c>
      <c r="D1780" t="inlineStr">
        <is>
          <t>JÄMTLANDS LÄN</t>
        </is>
      </c>
      <c r="E1780" t="inlineStr">
        <is>
          <t>BRÄCKE</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7434-2024</t>
        </is>
      </c>
      <c r="B1781" s="1" t="n">
        <v>45345</v>
      </c>
      <c r="C1781" s="1" t="n">
        <v>45507</v>
      </c>
      <c r="D1781" t="inlineStr">
        <is>
          <t>JÄMTLANDS LÄN</t>
        </is>
      </c>
      <c r="E1781" t="inlineStr">
        <is>
          <t>BRÄCKE</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7508-2024</t>
        </is>
      </c>
      <c r="B1782" s="1" t="n">
        <v>45347</v>
      </c>
      <c r="C1782" s="1" t="n">
        <v>45507</v>
      </c>
      <c r="D1782" t="inlineStr">
        <is>
          <t>JÄMTLANDS LÄN</t>
        </is>
      </c>
      <c r="E1782" t="inlineStr">
        <is>
          <t>BRÄCKE</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7844-2024</t>
        </is>
      </c>
      <c r="B1783" s="1" t="n">
        <v>45350</v>
      </c>
      <c r="C1783" s="1" t="n">
        <v>45507</v>
      </c>
      <c r="D1783" t="inlineStr">
        <is>
          <t>JÄMTLANDS LÄN</t>
        </is>
      </c>
      <c r="E1783" t="inlineStr">
        <is>
          <t>BRÄCKE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8037-2024</t>
        </is>
      </c>
      <c r="B1784" s="1" t="n">
        <v>45350</v>
      </c>
      <c r="C1784" s="1" t="n">
        <v>45507</v>
      </c>
      <c r="D1784" t="inlineStr">
        <is>
          <t>JÄMTLANDS LÄN</t>
        </is>
      </c>
      <c r="E1784" t="inlineStr">
        <is>
          <t>BRÄCKE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8253-2024</t>
        </is>
      </c>
      <c r="B1785" s="1" t="n">
        <v>45350</v>
      </c>
      <c r="C1785" s="1" t="n">
        <v>45507</v>
      </c>
      <c r="D1785" t="inlineStr">
        <is>
          <t>JÄMTLANDS LÄN</t>
        </is>
      </c>
      <c r="E1785" t="inlineStr">
        <is>
          <t>BRÄCKE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8242-2024</t>
        </is>
      </c>
      <c r="B1786" s="1" t="n">
        <v>45352</v>
      </c>
      <c r="C1786" s="1" t="n">
        <v>45507</v>
      </c>
      <c r="D1786" t="inlineStr">
        <is>
          <t>JÄMTLANDS LÄN</t>
        </is>
      </c>
      <c r="E1786" t="inlineStr">
        <is>
          <t>BRÄCKE</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8416-2024</t>
        </is>
      </c>
      <c r="B1787" s="1" t="n">
        <v>45353</v>
      </c>
      <c r="C1787" s="1" t="n">
        <v>45507</v>
      </c>
      <c r="D1787" t="inlineStr">
        <is>
          <t>JÄMTLANDS LÄN</t>
        </is>
      </c>
      <c r="E1787" t="inlineStr">
        <is>
          <t>BRÄCKE</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8415-2024</t>
        </is>
      </c>
      <c r="B1788" s="1" t="n">
        <v>45353</v>
      </c>
      <c r="C1788" s="1" t="n">
        <v>45507</v>
      </c>
      <c r="D1788" t="inlineStr">
        <is>
          <t>JÄMTLANDS LÄN</t>
        </is>
      </c>
      <c r="E1788" t="inlineStr">
        <is>
          <t>BRÄCKE</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8657-2024</t>
        </is>
      </c>
      <c r="B1789" s="1" t="n">
        <v>45356</v>
      </c>
      <c r="C1789" s="1" t="n">
        <v>45507</v>
      </c>
      <c r="D1789" t="inlineStr">
        <is>
          <t>JÄMTLANDS LÄN</t>
        </is>
      </c>
      <c r="E1789" t="inlineStr">
        <is>
          <t>BRÄCKE</t>
        </is>
      </c>
      <c r="F1789" t="inlineStr">
        <is>
          <t>SCA</t>
        </is>
      </c>
      <c r="G1789" t="n">
        <v>35.6</v>
      </c>
      <c r="H1789" t="n">
        <v>0</v>
      </c>
      <c r="I1789" t="n">
        <v>0</v>
      </c>
      <c r="J1789" t="n">
        <v>0</v>
      </c>
      <c r="K1789" t="n">
        <v>0</v>
      </c>
      <c r="L1789" t="n">
        <v>0</v>
      </c>
      <c r="M1789" t="n">
        <v>0</v>
      </c>
      <c r="N1789" t="n">
        <v>0</v>
      </c>
      <c r="O1789" t="n">
        <v>0</v>
      </c>
      <c r="P1789" t="n">
        <v>0</v>
      </c>
      <c r="Q1789" t="n">
        <v>0</v>
      </c>
      <c r="R1789" s="2" t="inlineStr"/>
    </row>
    <row r="1790" ht="15" customHeight="1">
      <c r="A1790" t="inlineStr">
        <is>
          <t>A 8882-2024</t>
        </is>
      </c>
      <c r="B1790" s="1" t="n">
        <v>45357</v>
      </c>
      <c r="C1790" s="1" t="n">
        <v>45507</v>
      </c>
      <c r="D1790" t="inlineStr">
        <is>
          <t>JÄMTLANDS LÄN</t>
        </is>
      </c>
      <c r="E1790" t="inlineStr">
        <is>
          <t>BRÄCKE</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9118-2024</t>
        </is>
      </c>
      <c r="B1791" s="1" t="n">
        <v>45358</v>
      </c>
      <c r="C1791" s="1" t="n">
        <v>45507</v>
      </c>
      <c r="D1791" t="inlineStr">
        <is>
          <t>JÄMTLANDS LÄN</t>
        </is>
      </c>
      <c r="E1791" t="inlineStr">
        <is>
          <t>BRÄCKE</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9332-2024</t>
        </is>
      </c>
      <c r="B1792" s="1" t="n">
        <v>45359</v>
      </c>
      <c r="C1792" s="1" t="n">
        <v>45507</v>
      </c>
      <c r="D1792" t="inlineStr">
        <is>
          <t>JÄMTLANDS LÄN</t>
        </is>
      </c>
      <c r="E1792" t="inlineStr">
        <is>
          <t>BRÄCKE</t>
        </is>
      </c>
      <c r="F1792" t="inlineStr">
        <is>
          <t>SCA</t>
        </is>
      </c>
      <c r="G1792" t="n">
        <v>30.2</v>
      </c>
      <c r="H1792" t="n">
        <v>0</v>
      </c>
      <c r="I1792" t="n">
        <v>0</v>
      </c>
      <c r="J1792" t="n">
        <v>0</v>
      </c>
      <c r="K1792" t="n">
        <v>0</v>
      </c>
      <c r="L1792" t="n">
        <v>0</v>
      </c>
      <c r="M1792" t="n">
        <v>0</v>
      </c>
      <c r="N1792" t="n">
        <v>0</v>
      </c>
      <c r="O1792" t="n">
        <v>0</v>
      </c>
      <c r="P1792" t="n">
        <v>0</v>
      </c>
      <c r="Q1792" t="n">
        <v>0</v>
      </c>
      <c r="R1792" s="2" t="inlineStr"/>
    </row>
    <row r="1793" ht="15" customHeight="1">
      <c r="A1793" t="inlineStr">
        <is>
          <t>A 9553-2024</t>
        </is>
      </c>
      <c r="B1793" s="1" t="n">
        <v>45360</v>
      </c>
      <c r="C1793" s="1" t="n">
        <v>45507</v>
      </c>
      <c r="D1793" t="inlineStr">
        <is>
          <t>JÄMTLANDS LÄN</t>
        </is>
      </c>
      <c r="E1793" t="inlineStr">
        <is>
          <t>BRÄCKE</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9816-2024</t>
        </is>
      </c>
      <c r="B1794" s="1" t="n">
        <v>45363</v>
      </c>
      <c r="C1794" s="1" t="n">
        <v>45507</v>
      </c>
      <c r="D1794" t="inlineStr">
        <is>
          <t>JÄMTLANDS LÄN</t>
        </is>
      </c>
      <c r="E1794" t="inlineStr">
        <is>
          <t>BRÄCKE</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9821-2024</t>
        </is>
      </c>
      <c r="B1795" s="1" t="n">
        <v>45363</v>
      </c>
      <c r="C1795" s="1" t="n">
        <v>45507</v>
      </c>
      <c r="D1795" t="inlineStr">
        <is>
          <t>JÄMTLANDS LÄN</t>
        </is>
      </c>
      <c r="E1795" t="inlineStr">
        <is>
          <t>BRÄCKE</t>
        </is>
      </c>
      <c r="F1795" t="inlineStr">
        <is>
          <t>SCA</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10037-2024</t>
        </is>
      </c>
      <c r="B1796" s="1" t="n">
        <v>45364</v>
      </c>
      <c r="C1796" s="1" t="n">
        <v>45507</v>
      </c>
      <c r="D1796" t="inlineStr">
        <is>
          <t>JÄMTLANDS LÄN</t>
        </is>
      </c>
      <c r="E1796" t="inlineStr">
        <is>
          <t>BRÄCKE</t>
        </is>
      </c>
      <c r="F1796" t="inlineStr">
        <is>
          <t>SCA</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10036-2024</t>
        </is>
      </c>
      <c r="B1797" s="1" t="n">
        <v>45364</v>
      </c>
      <c r="C1797" s="1" t="n">
        <v>45507</v>
      </c>
      <c r="D1797" t="inlineStr">
        <is>
          <t>JÄMTLANDS LÄN</t>
        </is>
      </c>
      <c r="E1797" t="inlineStr">
        <is>
          <t>BRÄCKE</t>
        </is>
      </c>
      <c r="F1797" t="inlineStr">
        <is>
          <t>SCA</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10213-2024</t>
        </is>
      </c>
      <c r="B1798" s="1" t="n">
        <v>45364</v>
      </c>
      <c r="C1798" s="1" t="n">
        <v>45507</v>
      </c>
      <c r="D1798" t="inlineStr">
        <is>
          <t>JÄMTLANDS LÄN</t>
        </is>
      </c>
      <c r="E1798" t="inlineStr">
        <is>
          <t>BRÄCKE</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10215-2024</t>
        </is>
      </c>
      <c r="B1799" s="1" t="n">
        <v>45364</v>
      </c>
      <c r="C1799" s="1" t="n">
        <v>45507</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10558-2024</t>
        </is>
      </c>
      <c r="B1800" s="1" t="n">
        <v>45366</v>
      </c>
      <c r="C1800" s="1" t="n">
        <v>45507</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10543-2024</t>
        </is>
      </c>
      <c r="B1801" s="1" t="n">
        <v>45366</v>
      </c>
      <c r="C1801" s="1" t="n">
        <v>45507</v>
      </c>
      <c r="D1801" t="inlineStr">
        <is>
          <t>JÄMTLANDS LÄN</t>
        </is>
      </c>
      <c r="E1801" t="inlineStr">
        <is>
          <t>BRÄCKE</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10621-2024</t>
        </is>
      </c>
      <c r="B1802" s="1" t="n">
        <v>45367</v>
      </c>
      <c r="C1802" s="1" t="n">
        <v>45507</v>
      </c>
      <c r="D1802" t="inlineStr">
        <is>
          <t>JÄMTLANDS LÄN</t>
        </is>
      </c>
      <c r="E1802" t="inlineStr">
        <is>
          <t>BRÄCKE</t>
        </is>
      </c>
      <c r="F1802" t="inlineStr">
        <is>
          <t>SCA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10855-2024</t>
        </is>
      </c>
      <c r="B1803" s="1" t="n">
        <v>45370</v>
      </c>
      <c r="C1803" s="1" t="n">
        <v>45507</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10859-2024</t>
        </is>
      </c>
      <c r="B1804" s="1" t="n">
        <v>45370</v>
      </c>
      <c r="C1804" s="1" t="n">
        <v>45507</v>
      </c>
      <c r="D1804" t="inlineStr">
        <is>
          <t>JÄMTLANDS LÄN</t>
        </is>
      </c>
      <c r="E1804" t="inlineStr">
        <is>
          <t>BRÄCKE</t>
        </is>
      </c>
      <c r="F1804" t="inlineStr">
        <is>
          <t>SCA</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10858-2024</t>
        </is>
      </c>
      <c r="B1805" s="1" t="n">
        <v>45370</v>
      </c>
      <c r="C1805" s="1" t="n">
        <v>45507</v>
      </c>
      <c r="D1805" t="inlineStr">
        <is>
          <t>JÄMTLANDS LÄN</t>
        </is>
      </c>
      <c r="E1805" t="inlineStr">
        <is>
          <t>BRÄCKE</t>
        </is>
      </c>
      <c r="F1805" t="inlineStr">
        <is>
          <t>SCA</t>
        </is>
      </c>
      <c r="G1805" t="n">
        <v>15.2</v>
      </c>
      <c r="H1805" t="n">
        <v>0</v>
      </c>
      <c r="I1805" t="n">
        <v>0</v>
      </c>
      <c r="J1805" t="n">
        <v>0</v>
      </c>
      <c r="K1805" t="n">
        <v>0</v>
      </c>
      <c r="L1805" t="n">
        <v>0</v>
      </c>
      <c r="M1805" t="n">
        <v>0</v>
      </c>
      <c r="N1805" t="n">
        <v>0</v>
      </c>
      <c r="O1805" t="n">
        <v>0</v>
      </c>
      <c r="P1805" t="n">
        <v>0</v>
      </c>
      <c r="Q1805" t="n">
        <v>0</v>
      </c>
      <c r="R1805" s="2" t="inlineStr"/>
    </row>
    <row r="1806" ht="15" customHeight="1">
      <c r="A1806" t="inlineStr">
        <is>
          <t>A 10857-2024</t>
        </is>
      </c>
      <c r="B1806" s="1" t="n">
        <v>45370</v>
      </c>
      <c r="C1806" s="1" t="n">
        <v>45507</v>
      </c>
      <c r="D1806" t="inlineStr">
        <is>
          <t>JÄMTLANDS LÄN</t>
        </is>
      </c>
      <c r="E1806" t="inlineStr">
        <is>
          <t>BRÄCKE</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10877-2024</t>
        </is>
      </c>
      <c r="B1807" s="1" t="n">
        <v>45370</v>
      </c>
      <c r="C1807" s="1" t="n">
        <v>45507</v>
      </c>
      <c r="D1807" t="inlineStr">
        <is>
          <t>JÄMTLANDS LÄN</t>
        </is>
      </c>
      <c r="E1807" t="inlineStr">
        <is>
          <t>BRÄCKE</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10856-2024</t>
        </is>
      </c>
      <c r="B1808" s="1" t="n">
        <v>45370</v>
      </c>
      <c r="C1808" s="1" t="n">
        <v>45507</v>
      </c>
      <c r="D1808" t="inlineStr">
        <is>
          <t>JÄMTLANDS LÄN</t>
        </is>
      </c>
      <c r="E1808" t="inlineStr">
        <is>
          <t>BRÄCKE</t>
        </is>
      </c>
      <c r="F1808" t="inlineStr">
        <is>
          <t>SCA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11084-2024</t>
        </is>
      </c>
      <c r="B1809" s="1" t="n">
        <v>45370</v>
      </c>
      <c r="C1809" s="1" t="n">
        <v>45507</v>
      </c>
      <c r="D1809" t="inlineStr">
        <is>
          <t>JÄMTLANDS LÄN</t>
        </is>
      </c>
      <c r="E1809" t="inlineStr">
        <is>
          <t>BRÄCKE</t>
        </is>
      </c>
      <c r="F1809" t="inlineStr">
        <is>
          <t>SCA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11085-2024</t>
        </is>
      </c>
      <c r="B1810" s="1" t="n">
        <v>45370</v>
      </c>
      <c r="C1810" s="1" t="n">
        <v>45507</v>
      </c>
      <c r="D1810" t="inlineStr">
        <is>
          <t>JÄMTLANDS LÄN</t>
        </is>
      </c>
      <c r="E1810" t="inlineStr">
        <is>
          <t>BRÄCKE</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11093-2024</t>
        </is>
      </c>
      <c r="B1811" s="1" t="n">
        <v>45370</v>
      </c>
      <c r="C1811" s="1" t="n">
        <v>45507</v>
      </c>
      <c r="D1811" t="inlineStr">
        <is>
          <t>JÄMTLANDS LÄN</t>
        </is>
      </c>
      <c r="E1811" t="inlineStr">
        <is>
          <t>BRÄCKE</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11331-2024</t>
        </is>
      </c>
      <c r="B1812" s="1" t="n">
        <v>45372</v>
      </c>
      <c r="C1812" s="1" t="n">
        <v>45507</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11336-2024</t>
        </is>
      </c>
      <c r="B1813" s="1" t="n">
        <v>45372</v>
      </c>
      <c r="C1813" s="1" t="n">
        <v>45507</v>
      </c>
      <c r="D1813" t="inlineStr">
        <is>
          <t>JÄMTLANDS LÄN</t>
        </is>
      </c>
      <c r="E1813" t="inlineStr">
        <is>
          <t>BRÄCKE</t>
        </is>
      </c>
      <c r="F1813" t="inlineStr">
        <is>
          <t>SCA</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11337-2024</t>
        </is>
      </c>
      <c r="B1814" s="1" t="n">
        <v>45372</v>
      </c>
      <c r="C1814" s="1" t="n">
        <v>45507</v>
      </c>
      <c r="D1814" t="inlineStr">
        <is>
          <t>JÄMTLANDS LÄN</t>
        </is>
      </c>
      <c r="E1814" t="inlineStr">
        <is>
          <t>BRÄCKE</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11543-2024</t>
        </is>
      </c>
      <c r="B1815" s="1" t="n">
        <v>45372</v>
      </c>
      <c r="C1815" s="1" t="n">
        <v>45507</v>
      </c>
      <c r="D1815" t="inlineStr">
        <is>
          <t>JÄMTLANDS LÄN</t>
        </is>
      </c>
      <c r="E1815" t="inlineStr">
        <is>
          <t>BRÄCKE</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11536-2024</t>
        </is>
      </c>
      <c r="B1816" s="1" t="n">
        <v>45372</v>
      </c>
      <c r="C1816" s="1" t="n">
        <v>45507</v>
      </c>
      <c r="D1816" t="inlineStr">
        <is>
          <t>JÄMTLANDS LÄN</t>
        </is>
      </c>
      <c r="E1816" t="inlineStr">
        <is>
          <t>BRÄCKE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11545-2024</t>
        </is>
      </c>
      <c r="B1817" s="1" t="n">
        <v>45372</v>
      </c>
      <c r="C1817" s="1" t="n">
        <v>45507</v>
      </c>
      <c r="D1817" t="inlineStr">
        <is>
          <t>JÄMTLANDS LÄN</t>
        </is>
      </c>
      <c r="E1817" t="inlineStr">
        <is>
          <t>BRÄCKE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11553-2024</t>
        </is>
      </c>
      <c r="B1818" s="1" t="n">
        <v>45372</v>
      </c>
      <c r="C1818" s="1" t="n">
        <v>45507</v>
      </c>
      <c r="D1818" t="inlineStr">
        <is>
          <t>JÄMTLANDS LÄN</t>
        </is>
      </c>
      <c r="E1818" t="inlineStr">
        <is>
          <t>BRÄCKE</t>
        </is>
      </c>
      <c r="F1818" t="inlineStr">
        <is>
          <t>Naturvårdsverket</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11658-2024</t>
        </is>
      </c>
      <c r="B1819" s="1" t="n">
        <v>45373</v>
      </c>
      <c r="C1819" s="1" t="n">
        <v>45507</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11830-2024</t>
        </is>
      </c>
      <c r="B1820" s="1" t="n">
        <v>45376</v>
      </c>
      <c r="C1820" s="1" t="n">
        <v>45507</v>
      </c>
      <c r="D1820" t="inlineStr">
        <is>
          <t>JÄMTLANDS LÄN</t>
        </is>
      </c>
      <c r="E1820" t="inlineStr">
        <is>
          <t>BRÄCKE</t>
        </is>
      </c>
      <c r="G1820" t="n">
        <v>18.3</v>
      </c>
      <c r="H1820" t="n">
        <v>0</v>
      </c>
      <c r="I1820" t="n">
        <v>0</v>
      </c>
      <c r="J1820" t="n">
        <v>0</v>
      </c>
      <c r="K1820" t="n">
        <v>0</v>
      </c>
      <c r="L1820" t="n">
        <v>0</v>
      </c>
      <c r="M1820" t="n">
        <v>0</v>
      </c>
      <c r="N1820" t="n">
        <v>0</v>
      </c>
      <c r="O1820" t="n">
        <v>0</v>
      </c>
      <c r="P1820" t="n">
        <v>0</v>
      </c>
      <c r="Q1820" t="n">
        <v>0</v>
      </c>
      <c r="R1820" s="2" t="inlineStr"/>
    </row>
    <row r="1821" ht="15" customHeight="1">
      <c r="A1821" t="inlineStr">
        <is>
          <t>A 11993-2024</t>
        </is>
      </c>
      <c r="B1821" s="1" t="n">
        <v>45376</v>
      </c>
      <c r="C1821" s="1" t="n">
        <v>45507</v>
      </c>
      <c r="D1821" t="inlineStr">
        <is>
          <t>JÄMTLANDS LÄN</t>
        </is>
      </c>
      <c r="E1821" t="inlineStr">
        <is>
          <t>BRÄCKE</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11975-2024</t>
        </is>
      </c>
      <c r="B1822" s="1" t="n">
        <v>45376</v>
      </c>
      <c r="C1822" s="1" t="n">
        <v>45507</v>
      </c>
      <c r="D1822" t="inlineStr">
        <is>
          <t>JÄMTLANDS LÄN</t>
        </is>
      </c>
      <c r="E1822" t="inlineStr">
        <is>
          <t>BRÄCKE</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11991-2024</t>
        </is>
      </c>
      <c r="B1823" s="1" t="n">
        <v>45376</v>
      </c>
      <c r="C1823" s="1" t="n">
        <v>45507</v>
      </c>
      <c r="D1823" t="inlineStr">
        <is>
          <t>JÄMTLANDS LÄN</t>
        </is>
      </c>
      <c r="E1823" t="inlineStr">
        <is>
          <t>BRÄCKE</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11992-2024</t>
        </is>
      </c>
      <c r="B1824" s="1" t="n">
        <v>45376</v>
      </c>
      <c r="C1824" s="1" t="n">
        <v>45507</v>
      </c>
      <c r="D1824" t="inlineStr">
        <is>
          <t>JÄMTLANDS LÄN</t>
        </is>
      </c>
      <c r="E1824" t="inlineStr">
        <is>
          <t>BRÄCKE</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11974-2024</t>
        </is>
      </c>
      <c r="B1825" s="1" t="n">
        <v>45376</v>
      </c>
      <c r="C1825" s="1" t="n">
        <v>45507</v>
      </c>
      <c r="D1825" t="inlineStr">
        <is>
          <t>JÄMTLANDS LÄN</t>
        </is>
      </c>
      <c r="E1825" t="inlineStr">
        <is>
          <t>BRÄCKE</t>
        </is>
      </c>
      <c r="F1825" t="inlineStr">
        <is>
          <t>SCA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12195-2024</t>
        </is>
      </c>
      <c r="B1826" s="1" t="n">
        <v>45377</v>
      </c>
      <c r="C1826" s="1" t="n">
        <v>45507</v>
      </c>
      <c r="D1826" t="inlineStr">
        <is>
          <t>JÄMTLANDS LÄN</t>
        </is>
      </c>
      <c r="E1826" t="inlineStr">
        <is>
          <t>BRÄCKE</t>
        </is>
      </c>
      <c r="F1826" t="inlineStr">
        <is>
          <t>SCA</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12183-2024</t>
        </is>
      </c>
      <c r="B1827" s="1" t="n">
        <v>45377</v>
      </c>
      <c r="C1827" s="1" t="n">
        <v>45507</v>
      </c>
      <c r="D1827" t="inlineStr">
        <is>
          <t>JÄMTLANDS LÄN</t>
        </is>
      </c>
      <c r="E1827" t="inlineStr">
        <is>
          <t>BRÄCKE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12370-2024</t>
        </is>
      </c>
      <c r="B1828" s="1" t="n">
        <v>45378</v>
      </c>
      <c r="C1828" s="1" t="n">
        <v>45507</v>
      </c>
      <c r="D1828" t="inlineStr">
        <is>
          <t>JÄMTLANDS LÄN</t>
        </is>
      </c>
      <c r="E1828" t="inlineStr">
        <is>
          <t>BRÄCKE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12859-2024</t>
        </is>
      </c>
      <c r="B1829" s="1" t="n">
        <v>45385</v>
      </c>
      <c r="C1829" s="1" t="n">
        <v>45507</v>
      </c>
      <c r="D1829" t="inlineStr">
        <is>
          <t>JÄMTLANDS LÄN</t>
        </is>
      </c>
      <c r="E1829" t="inlineStr">
        <is>
          <t>BRÄCKE</t>
        </is>
      </c>
      <c r="F1829" t="inlineStr">
        <is>
          <t>SCA</t>
        </is>
      </c>
      <c r="G1829" t="n">
        <v>16.7</v>
      </c>
      <c r="H1829" t="n">
        <v>0</v>
      </c>
      <c r="I1829" t="n">
        <v>0</v>
      </c>
      <c r="J1829" t="n">
        <v>0</v>
      </c>
      <c r="K1829" t="n">
        <v>0</v>
      </c>
      <c r="L1829" t="n">
        <v>0</v>
      </c>
      <c r="M1829" t="n">
        <v>0</v>
      </c>
      <c r="N1829" t="n">
        <v>0</v>
      </c>
      <c r="O1829" t="n">
        <v>0</v>
      </c>
      <c r="P1829" t="n">
        <v>0</v>
      </c>
      <c r="Q1829" t="n">
        <v>0</v>
      </c>
      <c r="R1829" s="2" t="inlineStr"/>
    </row>
    <row r="1830" ht="15" customHeight="1">
      <c r="A1830" t="inlineStr">
        <is>
          <t>A 12864-2024</t>
        </is>
      </c>
      <c r="B1830" s="1" t="n">
        <v>45385</v>
      </c>
      <c r="C1830" s="1" t="n">
        <v>45507</v>
      </c>
      <c r="D1830" t="inlineStr">
        <is>
          <t>JÄMTLANDS LÄN</t>
        </is>
      </c>
      <c r="E1830" t="inlineStr">
        <is>
          <t>BRÄCKE</t>
        </is>
      </c>
      <c r="F1830" t="inlineStr">
        <is>
          <t>SCA</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12862-2024</t>
        </is>
      </c>
      <c r="B1831" s="1" t="n">
        <v>45385</v>
      </c>
      <c r="C1831" s="1" t="n">
        <v>45507</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12891-2024</t>
        </is>
      </c>
      <c r="B1832" s="1" t="n">
        <v>45385</v>
      </c>
      <c r="C1832" s="1" t="n">
        <v>45507</v>
      </c>
      <c r="D1832" t="inlineStr">
        <is>
          <t>JÄMTLANDS LÄN</t>
        </is>
      </c>
      <c r="E1832" t="inlineStr">
        <is>
          <t>BRÄCKE</t>
        </is>
      </c>
      <c r="F1832" t="inlineStr">
        <is>
          <t>Kyrkan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12889-2024</t>
        </is>
      </c>
      <c r="B1833" s="1" t="n">
        <v>45385</v>
      </c>
      <c r="C1833" s="1" t="n">
        <v>45507</v>
      </c>
      <c r="D1833" t="inlineStr">
        <is>
          <t>JÄMTLANDS LÄN</t>
        </is>
      </c>
      <c r="E1833" t="inlineStr">
        <is>
          <t>BRÄCKE</t>
        </is>
      </c>
      <c r="F1833" t="inlineStr">
        <is>
          <t>Kyrkan</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13183-2024</t>
        </is>
      </c>
      <c r="B1834" s="1" t="n">
        <v>45386</v>
      </c>
      <c r="C1834" s="1" t="n">
        <v>45507</v>
      </c>
      <c r="D1834" t="inlineStr">
        <is>
          <t>JÄMTLANDS LÄN</t>
        </is>
      </c>
      <c r="E1834" t="inlineStr">
        <is>
          <t>BRÄCKE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13166-2024</t>
        </is>
      </c>
      <c r="B1835" s="1" t="n">
        <v>45386</v>
      </c>
      <c r="C1835" s="1" t="n">
        <v>45507</v>
      </c>
      <c r="D1835" t="inlineStr">
        <is>
          <t>JÄMTLANDS LÄN</t>
        </is>
      </c>
      <c r="E1835" t="inlineStr">
        <is>
          <t>BRÄCKE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13178-2024</t>
        </is>
      </c>
      <c r="B1836" s="1" t="n">
        <v>45386</v>
      </c>
      <c r="C1836" s="1" t="n">
        <v>45507</v>
      </c>
      <c r="D1836" t="inlineStr">
        <is>
          <t>JÄMTLANDS LÄN</t>
        </is>
      </c>
      <c r="E1836" t="inlineStr">
        <is>
          <t>BRÄCKE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13180-2024</t>
        </is>
      </c>
      <c r="B1837" s="1" t="n">
        <v>45386</v>
      </c>
      <c r="C1837" s="1" t="n">
        <v>45507</v>
      </c>
      <c r="D1837" t="inlineStr">
        <is>
          <t>JÄMTLANDS LÄN</t>
        </is>
      </c>
      <c r="E1837" t="inlineStr">
        <is>
          <t>BRÄCKE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13554-2024</t>
        </is>
      </c>
      <c r="B1838" s="1" t="n">
        <v>45387</v>
      </c>
      <c r="C1838" s="1" t="n">
        <v>45507</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13668-2024</t>
        </is>
      </c>
      <c r="B1839" s="1" t="n">
        <v>45387</v>
      </c>
      <c r="C1839" s="1" t="n">
        <v>45507</v>
      </c>
      <c r="D1839" t="inlineStr">
        <is>
          <t>JÄMTLANDS LÄN</t>
        </is>
      </c>
      <c r="E1839" t="inlineStr">
        <is>
          <t>BRÄCKE</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13549-2024</t>
        </is>
      </c>
      <c r="B1840" s="1" t="n">
        <v>45387</v>
      </c>
      <c r="C1840" s="1" t="n">
        <v>45507</v>
      </c>
      <c r="D1840" t="inlineStr">
        <is>
          <t>JÄMTLANDS LÄN</t>
        </is>
      </c>
      <c r="E1840" t="inlineStr">
        <is>
          <t>BRÄCKE</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13757-2024</t>
        </is>
      </c>
      <c r="B1841" s="1" t="n">
        <v>45391</v>
      </c>
      <c r="C1841" s="1" t="n">
        <v>45507</v>
      </c>
      <c r="D1841" t="inlineStr">
        <is>
          <t>JÄMTLANDS LÄN</t>
        </is>
      </c>
      <c r="E1841" t="inlineStr">
        <is>
          <t>BRÄCKE</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13762-2024</t>
        </is>
      </c>
      <c r="B1842" s="1" t="n">
        <v>45390</v>
      </c>
      <c r="C1842" s="1" t="n">
        <v>45507</v>
      </c>
      <c r="D1842" t="inlineStr">
        <is>
          <t>JÄMTLANDS LÄN</t>
        </is>
      </c>
      <c r="E1842" t="inlineStr">
        <is>
          <t>BRÄCKE</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13933-2024</t>
        </is>
      </c>
      <c r="B1843" s="1" t="n">
        <v>45392</v>
      </c>
      <c r="C1843" s="1" t="n">
        <v>45507</v>
      </c>
      <c r="D1843" t="inlineStr">
        <is>
          <t>JÄMTLANDS LÄN</t>
        </is>
      </c>
      <c r="E1843" t="inlineStr">
        <is>
          <t>BRÄCKE</t>
        </is>
      </c>
      <c r="F1843" t="inlineStr">
        <is>
          <t>SCA</t>
        </is>
      </c>
      <c r="G1843" t="n">
        <v>9.4</v>
      </c>
      <c r="H1843" t="n">
        <v>0</v>
      </c>
      <c r="I1843" t="n">
        <v>0</v>
      </c>
      <c r="J1843" t="n">
        <v>0</v>
      </c>
      <c r="K1843" t="n">
        <v>0</v>
      </c>
      <c r="L1843" t="n">
        <v>0</v>
      </c>
      <c r="M1843" t="n">
        <v>0</v>
      </c>
      <c r="N1843" t="n">
        <v>0</v>
      </c>
      <c r="O1843" t="n">
        <v>0</v>
      </c>
      <c r="P1843" t="n">
        <v>0</v>
      </c>
      <c r="Q1843" t="n">
        <v>0</v>
      </c>
      <c r="R1843" s="2" t="inlineStr"/>
    </row>
    <row r="1844" ht="15" customHeight="1">
      <c r="A1844" t="inlineStr">
        <is>
          <t>A 13938-2024</t>
        </is>
      </c>
      <c r="B1844" s="1" t="n">
        <v>45392</v>
      </c>
      <c r="C1844" s="1" t="n">
        <v>45507</v>
      </c>
      <c r="D1844" t="inlineStr">
        <is>
          <t>JÄMTLANDS LÄN</t>
        </is>
      </c>
      <c r="E1844" t="inlineStr">
        <is>
          <t>BRÄCKE</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13944-2024</t>
        </is>
      </c>
      <c r="B1845" s="1" t="n">
        <v>45392</v>
      </c>
      <c r="C1845" s="1" t="n">
        <v>45507</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13932-2024</t>
        </is>
      </c>
      <c r="B1846" s="1" t="n">
        <v>45391</v>
      </c>
      <c r="C1846" s="1" t="n">
        <v>45507</v>
      </c>
      <c r="D1846" t="inlineStr">
        <is>
          <t>JÄMTLANDS LÄN</t>
        </is>
      </c>
      <c r="E1846" t="inlineStr">
        <is>
          <t>BRÄCKE</t>
        </is>
      </c>
      <c r="F1846" t="inlineStr">
        <is>
          <t>SCA</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13995-2024</t>
        </is>
      </c>
      <c r="B1847" s="1" t="n">
        <v>45392</v>
      </c>
      <c r="C1847" s="1" t="n">
        <v>45507</v>
      </c>
      <c r="D1847" t="inlineStr">
        <is>
          <t>JÄMTLANDS LÄN</t>
        </is>
      </c>
      <c r="E1847" t="inlineStr">
        <is>
          <t>BRÄCKE</t>
        </is>
      </c>
      <c r="F1847" t="inlineStr">
        <is>
          <t>Kyrkan</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14003-2024</t>
        </is>
      </c>
      <c r="B1848" s="1" t="n">
        <v>45392</v>
      </c>
      <c r="C1848" s="1" t="n">
        <v>45507</v>
      </c>
      <c r="D1848" t="inlineStr">
        <is>
          <t>JÄMTLANDS LÄN</t>
        </is>
      </c>
      <c r="E1848" t="inlineStr">
        <is>
          <t>BRÄCKE</t>
        </is>
      </c>
      <c r="F1848" t="inlineStr">
        <is>
          <t>Kyrkan</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14373-2024</t>
        </is>
      </c>
      <c r="B1849" s="1" t="n">
        <v>45393</v>
      </c>
      <c r="C1849" s="1" t="n">
        <v>45507</v>
      </c>
      <c r="D1849" t="inlineStr">
        <is>
          <t>JÄMTLANDS LÄN</t>
        </is>
      </c>
      <c r="E1849" t="inlineStr">
        <is>
          <t>BRÄCKE</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14370-2024</t>
        </is>
      </c>
      <c r="B1850" s="1" t="n">
        <v>45394</v>
      </c>
      <c r="C1850" s="1" t="n">
        <v>45507</v>
      </c>
      <c r="D1850" t="inlineStr">
        <is>
          <t>JÄMTLANDS LÄN</t>
        </is>
      </c>
      <c r="E1850" t="inlineStr">
        <is>
          <t>BRÄCKE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14450-2024</t>
        </is>
      </c>
      <c r="B1851" s="1" t="n">
        <v>45394</v>
      </c>
      <c r="C1851" s="1" t="n">
        <v>45507</v>
      </c>
      <c r="D1851" t="inlineStr">
        <is>
          <t>JÄMTLANDS LÄN</t>
        </is>
      </c>
      <c r="E1851" t="inlineStr">
        <is>
          <t>BRÄCKE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14492-2024</t>
        </is>
      </c>
      <c r="B1852" s="1" t="n">
        <v>45394</v>
      </c>
      <c r="C1852" s="1" t="n">
        <v>45507</v>
      </c>
      <c r="D1852" t="inlineStr">
        <is>
          <t>JÄMTLANDS LÄN</t>
        </is>
      </c>
      <c r="E1852" t="inlineStr">
        <is>
          <t>BRÄCKE</t>
        </is>
      </c>
      <c r="G1852" t="n">
        <v>16.6</v>
      </c>
      <c r="H1852" t="n">
        <v>0</v>
      </c>
      <c r="I1852" t="n">
        <v>0</v>
      </c>
      <c r="J1852" t="n">
        <v>0</v>
      </c>
      <c r="K1852" t="n">
        <v>0</v>
      </c>
      <c r="L1852" t="n">
        <v>0</v>
      </c>
      <c r="M1852" t="n">
        <v>0</v>
      </c>
      <c r="N1852" t="n">
        <v>0</v>
      </c>
      <c r="O1852" t="n">
        <v>0</v>
      </c>
      <c r="P1852" t="n">
        <v>0</v>
      </c>
      <c r="Q1852" t="n">
        <v>0</v>
      </c>
      <c r="R1852" s="2" t="inlineStr"/>
    </row>
    <row r="1853" ht="15" customHeight="1">
      <c r="A1853" t="inlineStr">
        <is>
          <t>A 14503-2024</t>
        </is>
      </c>
      <c r="B1853" s="1" t="n">
        <v>45394</v>
      </c>
      <c r="C1853" s="1" t="n">
        <v>45507</v>
      </c>
      <c r="D1853" t="inlineStr">
        <is>
          <t>JÄMTLANDS LÄN</t>
        </is>
      </c>
      <c r="E1853" t="inlineStr">
        <is>
          <t>BRÄCKE</t>
        </is>
      </c>
      <c r="G1853" t="n">
        <v>15.2</v>
      </c>
      <c r="H1853" t="n">
        <v>0</v>
      </c>
      <c r="I1853" t="n">
        <v>0</v>
      </c>
      <c r="J1853" t="n">
        <v>0</v>
      </c>
      <c r="K1853" t="n">
        <v>0</v>
      </c>
      <c r="L1853" t="n">
        <v>0</v>
      </c>
      <c r="M1853" t="n">
        <v>0</v>
      </c>
      <c r="N1853" t="n">
        <v>0</v>
      </c>
      <c r="O1853" t="n">
        <v>0</v>
      </c>
      <c r="P1853" t="n">
        <v>0</v>
      </c>
      <c r="Q1853" t="n">
        <v>0</v>
      </c>
      <c r="R1853" s="2" t="inlineStr"/>
    </row>
    <row r="1854" ht="15" customHeight="1">
      <c r="A1854" t="inlineStr">
        <is>
          <t>A 14645-2024</t>
        </is>
      </c>
      <c r="B1854" s="1" t="n">
        <v>45397</v>
      </c>
      <c r="C1854" s="1" t="n">
        <v>45507</v>
      </c>
      <c r="D1854" t="inlineStr">
        <is>
          <t>JÄMTLANDS LÄN</t>
        </is>
      </c>
      <c r="E1854" t="inlineStr">
        <is>
          <t>BRÄCKE</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14662-2024</t>
        </is>
      </c>
      <c r="B1855" s="1" t="n">
        <v>45397</v>
      </c>
      <c r="C1855" s="1" t="n">
        <v>45507</v>
      </c>
      <c r="D1855" t="inlineStr">
        <is>
          <t>JÄMTLANDS LÄN</t>
        </is>
      </c>
      <c r="E1855" t="inlineStr">
        <is>
          <t>BRÄCKE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14654-2024</t>
        </is>
      </c>
      <c r="B1856" s="1" t="n">
        <v>45397</v>
      </c>
      <c r="C1856" s="1" t="n">
        <v>45507</v>
      </c>
      <c r="D1856" t="inlineStr">
        <is>
          <t>JÄMTLANDS LÄN</t>
        </is>
      </c>
      <c r="E1856" t="inlineStr">
        <is>
          <t>BRÄCKE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14664-2024</t>
        </is>
      </c>
      <c r="B1857" s="1" t="n">
        <v>45397</v>
      </c>
      <c r="C1857" s="1" t="n">
        <v>45507</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14969-2024</t>
        </is>
      </c>
      <c r="B1858" s="1" t="n">
        <v>45399</v>
      </c>
      <c r="C1858" s="1" t="n">
        <v>45507</v>
      </c>
      <c r="D1858" t="inlineStr">
        <is>
          <t>JÄMTLANDS LÄN</t>
        </is>
      </c>
      <c r="E1858" t="inlineStr">
        <is>
          <t>BRÄCKE</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14979-2024</t>
        </is>
      </c>
      <c r="B1859" s="1" t="n">
        <v>45399</v>
      </c>
      <c r="C1859" s="1" t="n">
        <v>45507</v>
      </c>
      <c r="D1859" t="inlineStr">
        <is>
          <t>JÄMTLANDS LÄN</t>
        </is>
      </c>
      <c r="E1859" t="inlineStr">
        <is>
          <t>BRÄCKE</t>
        </is>
      </c>
      <c r="F1859" t="inlineStr">
        <is>
          <t>SCA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14968-2024</t>
        </is>
      </c>
      <c r="B1860" s="1" t="n">
        <v>45399</v>
      </c>
      <c r="C1860" s="1" t="n">
        <v>45507</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15145-2024</t>
        </is>
      </c>
      <c r="B1861" s="1" t="n">
        <v>45400</v>
      </c>
      <c r="C1861" s="1" t="n">
        <v>45507</v>
      </c>
      <c r="D1861" t="inlineStr">
        <is>
          <t>JÄMTLANDS LÄN</t>
        </is>
      </c>
      <c r="E1861" t="inlineStr">
        <is>
          <t>BRÄCKE</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15149-2024</t>
        </is>
      </c>
      <c r="B1862" s="1" t="n">
        <v>45400</v>
      </c>
      <c r="C1862" s="1" t="n">
        <v>45507</v>
      </c>
      <c r="D1862" t="inlineStr">
        <is>
          <t>JÄMTLANDS LÄN</t>
        </is>
      </c>
      <c r="E1862" t="inlineStr">
        <is>
          <t>BRÄCKE</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15144-2024</t>
        </is>
      </c>
      <c r="B1863" s="1" t="n">
        <v>45400</v>
      </c>
      <c r="C1863" s="1" t="n">
        <v>45507</v>
      </c>
      <c r="D1863" t="inlineStr">
        <is>
          <t>JÄMTLANDS LÄN</t>
        </is>
      </c>
      <c r="E1863" t="inlineStr">
        <is>
          <t>BRÄCKE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15148-2024</t>
        </is>
      </c>
      <c r="B1864" s="1" t="n">
        <v>45400</v>
      </c>
      <c r="C1864" s="1" t="n">
        <v>45507</v>
      </c>
      <c r="D1864" t="inlineStr">
        <is>
          <t>JÄMTLANDS LÄN</t>
        </is>
      </c>
      <c r="E1864" t="inlineStr">
        <is>
          <t>BRÄCKE</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15155-2024</t>
        </is>
      </c>
      <c r="B1865" s="1" t="n">
        <v>45400</v>
      </c>
      <c r="C1865" s="1" t="n">
        <v>45507</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15201-2024</t>
        </is>
      </c>
      <c r="B1866" s="1" t="n">
        <v>45400</v>
      </c>
      <c r="C1866" s="1" t="n">
        <v>45507</v>
      </c>
      <c r="D1866" t="inlineStr">
        <is>
          <t>JÄMTLANDS LÄN</t>
        </is>
      </c>
      <c r="E1866" t="inlineStr">
        <is>
          <t>BRÄCKE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16060-2024</t>
        </is>
      </c>
      <c r="B1867" s="1" t="n">
        <v>45406</v>
      </c>
      <c r="C1867" s="1" t="n">
        <v>45507</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16059-2024</t>
        </is>
      </c>
      <c r="B1868" s="1" t="n">
        <v>45406</v>
      </c>
      <c r="C1868" s="1" t="n">
        <v>45507</v>
      </c>
      <c r="D1868" t="inlineStr">
        <is>
          <t>JÄMTLANDS LÄN</t>
        </is>
      </c>
      <c r="E1868" t="inlineStr">
        <is>
          <t>BRÄCKE</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16158-2024</t>
        </is>
      </c>
      <c r="B1869" s="1" t="n">
        <v>45406</v>
      </c>
      <c r="C1869" s="1" t="n">
        <v>45507</v>
      </c>
      <c r="D1869" t="inlineStr">
        <is>
          <t>JÄMTLANDS LÄN</t>
        </is>
      </c>
      <c r="E1869" t="inlineStr">
        <is>
          <t>BRÄCKE</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16196-2024</t>
        </is>
      </c>
      <c r="B1870" s="1" t="n">
        <v>45406</v>
      </c>
      <c r="C1870" s="1" t="n">
        <v>45507</v>
      </c>
      <c r="D1870" t="inlineStr">
        <is>
          <t>JÄMTLANDS LÄN</t>
        </is>
      </c>
      <c r="E1870" t="inlineStr">
        <is>
          <t>BRÄCKE</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16252-2024</t>
        </is>
      </c>
      <c r="B1871" s="1" t="n">
        <v>45407</v>
      </c>
      <c r="C1871" s="1" t="n">
        <v>45507</v>
      </c>
      <c r="D1871" t="inlineStr">
        <is>
          <t>JÄMTLANDS LÄN</t>
        </is>
      </c>
      <c r="E1871" t="inlineStr">
        <is>
          <t>BRÄCKE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16472-2024</t>
        </is>
      </c>
      <c r="B1872" s="1" t="n">
        <v>45408</v>
      </c>
      <c r="C1872" s="1" t="n">
        <v>45507</v>
      </c>
      <c r="D1872" t="inlineStr">
        <is>
          <t>JÄMTLANDS LÄN</t>
        </is>
      </c>
      <c r="E1872" t="inlineStr">
        <is>
          <t>BRÄCKE</t>
        </is>
      </c>
      <c r="F1872" t="inlineStr">
        <is>
          <t>SCA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16512-2024</t>
        </is>
      </c>
      <c r="B1873" s="1" t="n">
        <v>45408</v>
      </c>
      <c r="C1873" s="1" t="n">
        <v>45507</v>
      </c>
      <c r="D1873" t="inlineStr">
        <is>
          <t>JÄMTLANDS LÄN</t>
        </is>
      </c>
      <c r="E1873" t="inlineStr">
        <is>
          <t>BRÄCKE</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16462-2024</t>
        </is>
      </c>
      <c r="B1874" s="1" t="n">
        <v>45408</v>
      </c>
      <c r="C1874" s="1" t="n">
        <v>45507</v>
      </c>
      <c r="D1874" t="inlineStr">
        <is>
          <t>JÄMTLANDS LÄN</t>
        </is>
      </c>
      <c r="E1874" t="inlineStr">
        <is>
          <t>BRÄCKE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16466-2024</t>
        </is>
      </c>
      <c r="B1875" s="1" t="n">
        <v>45408</v>
      </c>
      <c r="C1875" s="1" t="n">
        <v>45507</v>
      </c>
      <c r="D1875" t="inlineStr">
        <is>
          <t>JÄMTLANDS LÄN</t>
        </is>
      </c>
      <c r="E1875" t="inlineStr">
        <is>
          <t>BRÄCKE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16708-2024</t>
        </is>
      </c>
      <c r="B1876" s="1" t="n">
        <v>45409</v>
      </c>
      <c r="C1876" s="1" t="n">
        <v>45507</v>
      </c>
      <c r="D1876" t="inlineStr">
        <is>
          <t>JÄMTLANDS LÄN</t>
        </is>
      </c>
      <c r="E1876" t="inlineStr">
        <is>
          <t>BRÄCKE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16707-2024</t>
        </is>
      </c>
      <c r="B1877" s="1" t="n">
        <v>45409</v>
      </c>
      <c r="C1877" s="1" t="n">
        <v>45507</v>
      </c>
      <c r="D1877" t="inlineStr">
        <is>
          <t>JÄMTLANDS LÄN</t>
        </is>
      </c>
      <c r="E1877" t="inlineStr">
        <is>
          <t>BRÄCKE</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17016-2024</t>
        </is>
      </c>
      <c r="B1878" s="1" t="n">
        <v>45411</v>
      </c>
      <c r="C1878" s="1" t="n">
        <v>45507</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17184-2024</t>
        </is>
      </c>
      <c r="B1879" s="1" t="n">
        <v>45413</v>
      </c>
      <c r="C1879" s="1" t="n">
        <v>45507</v>
      </c>
      <c r="D1879" t="inlineStr">
        <is>
          <t>JÄMTLANDS LÄN</t>
        </is>
      </c>
      <c r="E1879" t="inlineStr">
        <is>
          <t>BRÄCKE</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17183-2024</t>
        </is>
      </c>
      <c r="B1880" s="1" t="n">
        <v>45413</v>
      </c>
      <c r="C1880" s="1" t="n">
        <v>45507</v>
      </c>
      <c r="D1880" t="inlineStr">
        <is>
          <t>JÄMTLANDS LÄN</t>
        </is>
      </c>
      <c r="E1880" t="inlineStr">
        <is>
          <t>BRÄCKE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17182-2024</t>
        </is>
      </c>
      <c r="B1881" s="1" t="n">
        <v>45413</v>
      </c>
      <c r="C1881" s="1" t="n">
        <v>45507</v>
      </c>
      <c r="D1881" t="inlineStr">
        <is>
          <t>JÄMTLANDS LÄN</t>
        </is>
      </c>
      <c r="E1881" t="inlineStr">
        <is>
          <t>BRÄCKE</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17174-2024</t>
        </is>
      </c>
      <c r="B1882" s="1" t="n">
        <v>45413</v>
      </c>
      <c r="C1882" s="1" t="n">
        <v>45507</v>
      </c>
      <c r="D1882" t="inlineStr">
        <is>
          <t>JÄMTLANDS LÄN</t>
        </is>
      </c>
      <c r="E1882" t="inlineStr">
        <is>
          <t>BRÄCKE</t>
        </is>
      </c>
      <c r="F1882" t="inlineStr">
        <is>
          <t>SCA</t>
        </is>
      </c>
      <c r="G1882" t="n">
        <v>20.3</v>
      </c>
      <c r="H1882" t="n">
        <v>0</v>
      </c>
      <c r="I1882" t="n">
        <v>0</v>
      </c>
      <c r="J1882" t="n">
        <v>0</v>
      </c>
      <c r="K1882" t="n">
        <v>0</v>
      </c>
      <c r="L1882" t="n">
        <v>0</v>
      </c>
      <c r="M1882" t="n">
        <v>0</v>
      </c>
      <c r="N1882" t="n">
        <v>0</v>
      </c>
      <c r="O1882" t="n">
        <v>0</v>
      </c>
      <c r="P1882" t="n">
        <v>0</v>
      </c>
      <c r="Q1882" t="n">
        <v>0</v>
      </c>
      <c r="R1882" s="2" t="inlineStr"/>
    </row>
    <row r="1883" ht="15" customHeight="1">
      <c r="A1883" t="inlineStr">
        <is>
          <t>A 17420-2024</t>
        </is>
      </c>
      <c r="B1883" s="1" t="n">
        <v>45415</v>
      </c>
      <c r="C1883" s="1" t="n">
        <v>45507</v>
      </c>
      <c r="D1883" t="inlineStr">
        <is>
          <t>JÄMTLANDS LÄN</t>
        </is>
      </c>
      <c r="E1883" t="inlineStr">
        <is>
          <t>BRÄCKE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17597-2024</t>
        </is>
      </c>
      <c r="B1884" s="1" t="n">
        <v>45416</v>
      </c>
      <c r="C1884" s="1" t="n">
        <v>45507</v>
      </c>
      <c r="D1884" t="inlineStr">
        <is>
          <t>JÄMTLANDS LÄN</t>
        </is>
      </c>
      <c r="E1884" t="inlineStr">
        <is>
          <t>BRÄCKE</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17592-2024</t>
        </is>
      </c>
      <c r="B1885" s="1" t="n">
        <v>45416</v>
      </c>
      <c r="C1885" s="1" t="n">
        <v>45507</v>
      </c>
      <c r="D1885" t="inlineStr">
        <is>
          <t>JÄMTLANDS LÄN</t>
        </is>
      </c>
      <c r="E1885" t="inlineStr">
        <is>
          <t>BRÄCKE</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17809-2024</t>
        </is>
      </c>
      <c r="B1886" s="1" t="n">
        <v>45419</v>
      </c>
      <c r="C1886" s="1" t="n">
        <v>45507</v>
      </c>
      <c r="D1886" t="inlineStr">
        <is>
          <t>JÄMTLANDS LÄN</t>
        </is>
      </c>
      <c r="E1886" t="inlineStr">
        <is>
          <t>BRÄCKE</t>
        </is>
      </c>
      <c r="G1886" t="n">
        <v>21.7</v>
      </c>
      <c r="H1886" t="n">
        <v>0</v>
      </c>
      <c r="I1886" t="n">
        <v>0</v>
      </c>
      <c r="J1886" t="n">
        <v>0</v>
      </c>
      <c r="K1886" t="n">
        <v>0</v>
      </c>
      <c r="L1886" t="n">
        <v>0</v>
      </c>
      <c r="M1886" t="n">
        <v>0</v>
      </c>
      <c r="N1886" t="n">
        <v>0</v>
      </c>
      <c r="O1886" t="n">
        <v>0</v>
      </c>
      <c r="P1886" t="n">
        <v>0</v>
      </c>
      <c r="Q1886" t="n">
        <v>0</v>
      </c>
      <c r="R1886" s="2" t="inlineStr"/>
    </row>
    <row r="1887" ht="15" customHeight="1">
      <c r="A1887" t="inlineStr">
        <is>
          <t>A 17810-2024</t>
        </is>
      </c>
      <c r="B1887" s="1" t="n">
        <v>45419</v>
      </c>
      <c r="C1887" s="1" t="n">
        <v>45507</v>
      </c>
      <c r="D1887" t="inlineStr">
        <is>
          <t>JÄMTLANDS LÄN</t>
        </is>
      </c>
      <c r="E1887" t="inlineStr">
        <is>
          <t>BRÄCKE</t>
        </is>
      </c>
      <c r="G1887" t="n">
        <v>14.4</v>
      </c>
      <c r="H1887" t="n">
        <v>0</v>
      </c>
      <c r="I1887" t="n">
        <v>0</v>
      </c>
      <c r="J1887" t="n">
        <v>0</v>
      </c>
      <c r="K1887" t="n">
        <v>0</v>
      </c>
      <c r="L1887" t="n">
        <v>0</v>
      </c>
      <c r="M1887" t="n">
        <v>0</v>
      </c>
      <c r="N1887" t="n">
        <v>0</v>
      </c>
      <c r="O1887" t="n">
        <v>0</v>
      </c>
      <c r="P1887" t="n">
        <v>0</v>
      </c>
      <c r="Q1887" t="n">
        <v>0</v>
      </c>
      <c r="R1887" s="2" t="inlineStr"/>
    </row>
    <row r="1888" ht="15" customHeight="1">
      <c r="A1888" t="inlineStr">
        <is>
          <t>A 18047-2024</t>
        </is>
      </c>
      <c r="B1888" s="1" t="n">
        <v>45420</v>
      </c>
      <c r="C1888" s="1" t="n">
        <v>45507</v>
      </c>
      <c r="D1888" t="inlineStr">
        <is>
          <t>JÄMTLANDS LÄN</t>
        </is>
      </c>
      <c r="E1888" t="inlineStr">
        <is>
          <t>BRÄCKE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18600-2024</t>
        </is>
      </c>
      <c r="B1889" s="1" t="n">
        <v>45426</v>
      </c>
      <c r="C1889" s="1" t="n">
        <v>45507</v>
      </c>
      <c r="D1889" t="inlineStr">
        <is>
          <t>JÄMTLANDS LÄN</t>
        </is>
      </c>
      <c r="E1889" t="inlineStr">
        <is>
          <t>BRÄCKE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18640-2024</t>
        </is>
      </c>
      <c r="B1890" s="1" t="n">
        <v>45426</v>
      </c>
      <c r="C1890" s="1" t="n">
        <v>45507</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18637-2024</t>
        </is>
      </c>
      <c r="B1891" s="1" t="n">
        <v>45426</v>
      </c>
      <c r="C1891" s="1" t="n">
        <v>45507</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18641-2024</t>
        </is>
      </c>
      <c r="B1892" s="1" t="n">
        <v>45426</v>
      </c>
      <c r="C1892" s="1" t="n">
        <v>45507</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18645-2024</t>
        </is>
      </c>
      <c r="B1893" s="1" t="n">
        <v>45426</v>
      </c>
      <c r="C1893" s="1" t="n">
        <v>45507</v>
      </c>
      <c r="D1893" t="inlineStr">
        <is>
          <t>JÄMTLANDS LÄN</t>
        </is>
      </c>
      <c r="E1893" t="inlineStr">
        <is>
          <t>BRÄCKE</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18606-2024</t>
        </is>
      </c>
      <c r="B1894" s="1" t="n">
        <v>45426</v>
      </c>
      <c r="C1894" s="1" t="n">
        <v>45507</v>
      </c>
      <c r="D1894" t="inlineStr">
        <is>
          <t>JÄMTLANDS LÄN</t>
        </is>
      </c>
      <c r="E1894" t="inlineStr">
        <is>
          <t>BRÄCKE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18626-2024</t>
        </is>
      </c>
      <c r="B1895" s="1" t="n">
        <v>45426</v>
      </c>
      <c r="C1895" s="1" t="n">
        <v>45507</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18630-2024</t>
        </is>
      </c>
      <c r="B1896" s="1" t="n">
        <v>45426</v>
      </c>
      <c r="C1896" s="1" t="n">
        <v>45507</v>
      </c>
      <c r="D1896" t="inlineStr">
        <is>
          <t>JÄMTLANDS LÄN</t>
        </is>
      </c>
      <c r="E1896" t="inlineStr">
        <is>
          <t>BRÄCKE</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18760-2024</t>
        </is>
      </c>
      <c r="B1897" s="1" t="n">
        <v>45426</v>
      </c>
      <c r="C1897" s="1" t="n">
        <v>45507</v>
      </c>
      <c r="D1897" t="inlineStr">
        <is>
          <t>JÄMTLANDS LÄN</t>
        </is>
      </c>
      <c r="E1897" t="inlineStr">
        <is>
          <t>BRÄCKE</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18729-2024</t>
        </is>
      </c>
      <c r="B1898" s="1" t="n">
        <v>45426</v>
      </c>
      <c r="C1898" s="1" t="n">
        <v>45507</v>
      </c>
      <c r="D1898" t="inlineStr">
        <is>
          <t>JÄMTLANDS LÄN</t>
        </is>
      </c>
      <c r="E1898" t="inlineStr">
        <is>
          <t>BRÄCKE</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18801-2024</t>
        </is>
      </c>
      <c r="B1899" s="1" t="n">
        <v>45426</v>
      </c>
      <c r="C1899" s="1" t="n">
        <v>45507</v>
      </c>
      <c r="D1899" t="inlineStr">
        <is>
          <t>JÄMTLANDS LÄN</t>
        </is>
      </c>
      <c r="E1899" t="inlineStr">
        <is>
          <t>BRÄCKE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18755-2024</t>
        </is>
      </c>
      <c r="B1900" s="1" t="n">
        <v>45426</v>
      </c>
      <c r="C1900" s="1" t="n">
        <v>45507</v>
      </c>
      <c r="D1900" t="inlineStr">
        <is>
          <t>JÄMTLANDS LÄN</t>
        </is>
      </c>
      <c r="E1900" t="inlineStr">
        <is>
          <t>BRÄCKE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18877-2024</t>
        </is>
      </c>
      <c r="B1901" s="1" t="n">
        <v>45427</v>
      </c>
      <c r="C1901" s="1" t="n">
        <v>45507</v>
      </c>
      <c r="D1901" t="inlineStr">
        <is>
          <t>JÄMTLANDS LÄN</t>
        </is>
      </c>
      <c r="E1901" t="inlineStr">
        <is>
          <t>BRÄCKE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18965-2024</t>
        </is>
      </c>
      <c r="B1902" s="1" t="n">
        <v>45427</v>
      </c>
      <c r="C1902" s="1" t="n">
        <v>45507</v>
      </c>
      <c r="D1902" t="inlineStr">
        <is>
          <t>JÄMTLANDS LÄN</t>
        </is>
      </c>
      <c r="E1902" t="inlineStr">
        <is>
          <t>BRÄCKE</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19291-2024</t>
        </is>
      </c>
      <c r="B1903" s="1" t="n">
        <v>45428</v>
      </c>
      <c r="C1903" s="1" t="n">
        <v>45507</v>
      </c>
      <c r="D1903" t="inlineStr">
        <is>
          <t>JÄMTLANDS LÄN</t>
        </is>
      </c>
      <c r="E1903" t="inlineStr">
        <is>
          <t>BRÄCKE</t>
        </is>
      </c>
      <c r="F1903" t="inlineStr">
        <is>
          <t>Övriga Aktiebolag</t>
        </is>
      </c>
      <c r="G1903" t="n">
        <v>20.8</v>
      </c>
      <c r="H1903" t="n">
        <v>0</v>
      </c>
      <c r="I1903" t="n">
        <v>0</v>
      </c>
      <c r="J1903" t="n">
        <v>0</v>
      </c>
      <c r="K1903" t="n">
        <v>0</v>
      </c>
      <c r="L1903" t="n">
        <v>0</v>
      </c>
      <c r="M1903" t="n">
        <v>0</v>
      </c>
      <c r="N1903" t="n">
        <v>0</v>
      </c>
      <c r="O1903" t="n">
        <v>0</v>
      </c>
      <c r="P1903" t="n">
        <v>0</v>
      </c>
      <c r="Q1903" t="n">
        <v>0</v>
      </c>
      <c r="R1903" s="2" t="inlineStr"/>
    </row>
    <row r="1904" ht="15" customHeight="1">
      <c r="A1904" t="inlineStr">
        <is>
          <t>A 19332-2024</t>
        </is>
      </c>
      <c r="B1904" s="1" t="n">
        <v>45429</v>
      </c>
      <c r="C1904" s="1" t="n">
        <v>45507</v>
      </c>
      <c r="D1904" t="inlineStr">
        <is>
          <t>JÄMTLANDS LÄN</t>
        </is>
      </c>
      <c r="E1904" t="inlineStr">
        <is>
          <t>BRÄCKE</t>
        </is>
      </c>
      <c r="F1904" t="inlineStr">
        <is>
          <t>SCA</t>
        </is>
      </c>
      <c r="G1904" t="n">
        <v>15.9</v>
      </c>
      <c r="H1904" t="n">
        <v>0</v>
      </c>
      <c r="I1904" t="n">
        <v>0</v>
      </c>
      <c r="J1904" t="n">
        <v>0</v>
      </c>
      <c r="K1904" t="n">
        <v>0</v>
      </c>
      <c r="L1904" t="n">
        <v>0</v>
      </c>
      <c r="M1904" t="n">
        <v>0</v>
      </c>
      <c r="N1904" t="n">
        <v>0</v>
      </c>
      <c r="O1904" t="n">
        <v>0</v>
      </c>
      <c r="P1904" t="n">
        <v>0</v>
      </c>
      <c r="Q1904" t="n">
        <v>0</v>
      </c>
      <c r="R1904" s="2" t="inlineStr"/>
    </row>
    <row r="1905" ht="15" customHeight="1">
      <c r="A1905" t="inlineStr">
        <is>
          <t>A 19344-2024</t>
        </is>
      </c>
      <c r="B1905" s="1" t="n">
        <v>45429</v>
      </c>
      <c r="C1905" s="1" t="n">
        <v>45507</v>
      </c>
      <c r="D1905" t="inlineStr">
        <is>
          <t>JÄMTLANDS LÄN</t>
        </is>
      </c>
      <c r="E1905" t="inlineStr">
        <is>
          <t>BRÄCKE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19584-2024</t>
        </is>
      </c>
      <c r="B1906" s="1" t="n">
        <v>45429</v>
      </c>
      <c r="C1906" s="1" t="n">
        <v>45507</v>
      </c>
      <c r="D1906" t="inlineStr">
        <is>
          <t>JÄMTLANDS LÄN</t>
        </is>
      </c>
      <c r="E1906" t="inlineStr">
        <is>
          <t>BRÄCKE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20001-2024</t>
        </is>
      </c>
      <c r="B1907" s="1" t="n">
        <v>45434</v>
      </c>
      <c r="C1907" s="1" t="n">
        <v>45507</v>
      </c>
      <c r="D1907" t="inlineStr">
        <is>
          <t>JÄMTLANDS LÄN</t>
        </is>
      </c>
      <c r="E1907" t="inlineStr">
        <is>
          <t>BRÄCKE</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19999-2024</t>
        </is>
      </c>
      <c r="B1908" s="1" t="n">
        <v>45434</v>
      </c>
      <c r="C1908" s="1" t="n">
        <v>45507</v>
      </c>
      <c r="D1908" t="inlineStr">
        <is>
          <t>JÄMTLANDS LÄN</t>
        </is>
      </c>
      <c r="E1908" t="inlineStr">
        <is>
          <t>BRÄCKE</t>
        </is>
      </c>
      <c r="F1908" t="inlineStr">
        <is>
          <t>SCA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20003-2024</t>
        </is>
      </c>
      <c r="B1909" s="1" t="n">
        <v>45434</v>
      </c>
      <c r="C1909" s="1" t="n">
        <v>45507</v>
      </c>
      <c r="D1909" t="inlineStr">
        <is>
          <t>JÄMTLANDS LÄN</t>
        </is>
      </c>
      <c r="E1909" t="inlineStr">
        <is>
          <t>BRÄCKE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19996-2024</t>
        </is>
      </c>
      <c r="B1910" s="1" t="n">
        <v>45434</v>
      </c>
      <c r="C1910" s="1" t="n">
        <v>45507</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20000-2024</t>
        </is>
      </c>
      <c r="B1911" s="1" t="n">
        <v>45434</v>
      </c>
      <c r="C1911" s="1" t="n">
        <v>45507</v>
      </c>
      <c r="D1911" t="inlineStr">
        <is>
          <t>JÄMTLANDS LÄN</t>
        </is>
      </c>
      <c r="E1911" t="inlineStr">
        <is>
          <t>BRÄCKE</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20009-2024</t>
        </is>
      </c>
      <c r="B1912" s="1" t="n">
        <v>45434</v>
      </c>
      <c r="C1912" s="1" t="n">
        <v>45507</v>
      </c>
      <c r="D1912" t="inlineStr">
        <is>
          <t>JÄMTLANDS LÄN</t>
        </is>
      </c>
      <c r="E1912" t="inlineStr">
        <is>
          <t>BRÄCKE</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20074-2024</t>
        </is>
      </c>
      <c r="B1913" s="1" t="n">
        <v>45434</v>
      </c>
      <c r="C1913" s="1" t="n">
        <v>45507</v>
      </c>
      <c r="D1913" t="inlineStr">
        <is>
          <t>JÄMTLANDS LÄN</t>
        </is>
      </c>
      <c r="E1913" t="inlineStr">
        <is>
          <t>BRÄCKE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20261-2024</t>
        </is>
      </c>
      <c r="B1914" s="1" t="n">
        <v>45435</v>
      </c>
      <c r="C1914" s="1" t="n">
        <v>45507</v>
      </c>
      <c r="D1914" t="inlineStr">
        <is>
          <t>JÄMTLANDS LÄN</t>
        </is>
      </c>
      <c r="E1914" t="inlineStr">
        <is>
          <t>BRÄCKE</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20262-2024</t>
        </is>
      </c>
      <c r="B1915" s="1" t="n">
        <v>45435</v>
      </c>
      <c r="C1915" s="1" t="n">
        <v>45507</v>
      </c>
      <c r="D1915" t="inlineStr">
        <is>
          <t>JÄMTLANDS LÄN</t>
        </is>
      </c>
      <c r="E1915" t="inlineStr">
        <is>
          <t>BRÄCKE</t>
        </is>
      </c>
      <c r="F1915" t="inlineStr">
        <is>
          <t>SCA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20263-2024</t>
        </is>
      </c>
      <c r="B1916" s="1" t="n">
        <v>45435</v>
      </c>
      <c r="C1916" s="1" t="n">
        <v>45507</v>
      </c>
      <c r="D1916" t="inlineStr">
        <is>
          <t>JÄMTLANDS LÄN</t>
        </is>
      </c>
      <c r="E1916" t="inlineStr">
        <is>
          <t>BRÄCKE</t>
        </is>
      </c>
      <c r="F1916" t="inlineStr">
        <is>
          <t>SCA</t>
        </is>
      </c>
      <c r="G1916" t="n">
        <v>22.5</v>
      </c>
      <c r="H1916" t="n">
        <v>0</v>
      </c>
      <c r="I1916" t="n">
        <v>0</v>
      </c>
      <c r="J1916" t="n">
        <v>0</v>
      </c>
      <c r="K1916" t="n">
        <v>0</v>
      </c>
      <c r="L1916" t="n">
        <v>0</v>
      </c>
      <c r="M1916" t="n">
        <v>0</v>
      </c>
      <c r="N1916" t="n">
        <v>0</v>
      </c>
      <c r="O1916" t="n">
        <v>0</v>
      </c>
      <c r="P1916" t="n">
        <v>0</v>
      </c>
      <c r="Q1916" t="n">
        <v>0</v>
      </c>
      <c r="R1916" s="2" t="inlineStr"/>
    </row>
    <row r="1917" ht="15" customHeight="1">
      <c r="A1917" t="inlineStr">
        <is>
          <t>A 20267-2024</t>
        </is>
      </c>
      <c r="B1917" s="1" t="n">
        <v>45435</v>
      </c>
      <c r="C1917" s="1" t="n">
        <v>45507</v>
      </c>
      <c r="D1917" t="inlineStr">
        <is>
          <t>JÄMTLANDS LÄN</t>
        </is>
      </c>
      <c r="E1917" t="inlineStr">
        <is>
          <t>BRÄCKE</t>
        </is>
      </c>
      <c r="F1917" t="inlineStr">
        <is>
          <t>SCA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20260-2024</t>
        </is>
      </c>
      <c r="B1918" s="1" t="n">
        <v>45435</v>
      </c>
      <c r="C1918" s="1" t="n">
        <v>45507</v>
      </c>
      <c r="D1918" t="inlineStr">
        <is>
          <t>JÄMTLANDS LÄN</t>
        </is>
      </c>
      <c r="E1918" t="inlineStr">
        <is>
          <t>BRÄCKE</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20513-2024</t>
        </is>
      </c>
      <c r="B1919" s="1" t="n">
        <v>45436</v>
      </c>
      <c r="C1919" s="1" t="n">
        <v>45507</v>
      </c>
      <c r="D1919" t="inlineStr">
        <is>
          <t>JÄMTLANDS LÄN</t>
        </is>
      </c>
      <c r="E1919" t="inlineStr">
        <is>
          <t>BRÄCKE</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20512-2024</t>
        </is>
      </c>
      <c r="B1920" s="1" t="n">
        <v>45436</v>
      </c>
      <c r="C1920" s="1" t="n">
        <v>45507</v>
      </c>
      <c r="D1920" t="inlineStr">
        <is>
          <t>JÄMTLANDS LÄN</t>
        </is>
      </c>
      <c r="E1920" t="inlineStr">
        <is>
          <t>BRÄCKE</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20525-2024</t>
        </is>
      </c>
      <c r="B1921" s="1" t="n">
        <v>45436</v>
      </c>
      <c r="C1921" s="1" t="n">
        <v>45507</v>
      </c>
      <c r="D1921" t="inlineStr">
        <is>
          <t>JÄMTLANDS LÄN</t>
        </is>
      </c>
      <c r="E1921" t="inlineStr">
        <is>
          <t>BRÄCKE</t>
        </is>
      </c>
      <c r="F1921" t="inlineStr">
        <is>
          <t>SCA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20514-2024</t>
        </is>
      </c>
      <c r="B1922" s="1" t="n">
        <v>45436</v>
      </c>
      <c r="C1922" s="1" t="n">
        <v>45507</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20760-2024</t>
        </is>
      </c>
      <c r="B1923" s="1" t="n">
        <v>45437</v>
      </c>
      <c r="C1923" s="1" t="n">
        <v>45507</v>
      </c>
      <c r="D1923" t="inlineStr">
        <is>
          <t>JÄMTLANDS LÄN</t>
        </is>
      </c>
      <c r="E1923" t="inlineStr">
        <is>
          <t>BRÄCKE</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20798-2024</t>
        </is>
      </c>
      <c r="B1924" s="1" t="n">
        <v>45439</v>
      </c>
      <c r="C1924" s="1" t="n">
        <v>45507</v>
      </c>
      <c r="D1924" t="inlineStr">
        <is>
          <t>JÄMTLANDS LÄN</t>
        </is>
      </c>
      <c r="E1924" t="inlineStr">
        <is>
          <t>BRÄCKE</t>
        </is>
      </c>
      <c r="F1924" t="inlineStr">
        <is>
          <t>SCA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21086-2024</t>
        </is>
      </c>
      <c r="B1925" s="1" t="n">
        <v>45440</v>
      </c>
      <c r="C1925" s="1" t="n">
        <v>45507</v>
      </c>
      <c r="D1925" t="inlineStr">
        <is>
          <t>JÄMTLANDS LÄN</t>
        </is>
      </c>
      <c r="E1925" t="inlineStr">
        <is>
          <t>BRÄCKE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21374-2024</t>
        </is>
      </c>
      <c r="B1926" s="1" t="n">
        <v>45441</v>
      </c>
      <c r="C1926" s="1" t="n">
        <v>45507</v>
      </c>
      <c r="D1926" t="inlineStr">
        <is>
          <t>JÄMTLANDS LÄN</t>
        </is>
      </c>
      <c r="E1926" t="inlineStr">
        <is>
          <t>BRÄCKE</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21378-2024</t>
        </is>
      </c>
      <c r="B1927" s="1" t="n">
        <v>45441</v>
      </c>
      <c r="C1927" s="1" t="n">
        <v>45507</v>
      </c>
      <c r="D1927" t="inlineStr">
        <is>
          <t>JÄMTLANDS LÄN</t>
        </is>
      </c>
      <c r="E1927" t="inlineStr">
        <is>
          <t>BRÄCKE</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21381-2024</t>
        </is>
      </c>
      <c r="B1928" s="1" t="n">
        <v>45441</v>
      </c>
      <c r="C1928" s="1" t="n">
        <v>45507</v>
      </c>
      <c r="D1928" t="inlineStr">
        <is>
          <t>JÄMTLANDS LÄN</t>
        </is>
      </c>
      <c r="E1928" t="inlineStr">
        <is>
          <t>BRÄCKE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21382-2024</t>
        </is>
      </c>
      <c r="B1929" s="1" t="n">
        <v>45441</v>
      </c>
      <c r="C1929" s="1" t="n">
        <v>45507</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21375-2024</t>
        </is>
      </c>
      <c r="B1930" s="1" t="n">
        <v>45441</v>
      </c>
      <c r="C1930" s="1" t="n">
        <v>45507</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21379-2024</t>
        </is>
      </c>
      <c r="B1931" s="1" t="n">
        <v>45441</v>
      </c>
      <c r="C1931" s="1" t="n">
        <v>45507</v>
      </c>
      <c r="D1931" t="inlineStr">
        <is>
          <t>JÄMTLANDS LÄN</t>
        </is>
      </c>
      <c r="E1931" t="inlineStr">
        <is>
          <t>BRÄCKE</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21449-2024</t>
        </is>
      </c>
      <c r="B1932" s="1" t="n">
        <v>45441</v>
      </c>
      <c r="C1932" s="1" t="n">
        <v>45507</v>
      </c>
      <c r="D1932" t="inlineStr">
        <is>
          <t>JÄMTLANDS LÄN</t>
        </is>
      </c>
      <c r="E1932" t="inlineStr">
        <is>
          <t>BRÄCKE</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22116-2024</t>
        </is>
      </c>
      <c r="B1933" s="1" t="n">
        <v>45444</v>
      </c>
      <c r="C1933" s="1" t="n">
        <v>45507</v>
      </c>
      <c r="D1933" t="inlineStr">
        <is>
          <t>JÄMTLANDS LÄN</t>
        </is>
      </c>
      <c r="E1933" t="inlineStr">
        <is>
          <t>BRÄCKE</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22120-2024</t>
        </is>
      </c>
      <c r="B1934" s="1" t="n">
        <v>45444</v>
      </c>
      <c r="C1934" s="1" t="n">
        <v>45507</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22121-2024</t>
        </is>
      </c>
      <c r="B1935" s="1" t="n">
        <v>45444</v>
      </c>
      <c r="C1935" s="1" t="n">
        <v>45507</v>
      </c>
      <c r="D1935" t="inlineStr">
        <is>
          <t>JÄMTLANDS LÄN</t>
        </is>
      </c>
      <c r="E1935" t="inlineStr">
        <is>
          <t>BRÄCKE</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22101-2024</t>
        </is>
      </c>
      <c r="B1936" s="1" t="n">
        <v>45444</v>
      </c>
      <c r="C1936" s="1" t="n">
        <v>45507</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22001-2024</t>
        </is>
      </c>
      <c r="B1937" s="1" t="n">
        <v>45443</v>
      </c>
      <c r="C1937" s="1" t="n">
        <v>45507</v>
      </c>
      <c r="D1937" t="inlineStr">
        <is>
          <t>JÄMTLANDS LÄN</t>
        </is>
      </c>
      <c r="E1937" t="inlineStr">
        <is>
          <t>BRÄCKE</t>
        </is>
      </c>
      <c r="F1937" t="inlineStr">
        <is>
          <t>Övriga Aktiebolag</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22160-2024</t>
        </is>
      </c>
      <c r="B1938" s="1" t="n">
        <v>45446</v>
      </c>
      <c r="C1938" s="1" t="n">
        <v>45507</v>
      </c>
      <c r="D1938" t="inlineStr">
        <is>
          <t>JÄMTLANDS LÄN</t>
        </is>
      </c>
      <c r="E1938" t="inlineStr">
        <is>
          <t>BRÄCKE</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22455-2024</t>
        </is>
      </c>
      <c r="B1939" s="1" t="n">
        <v>45447</v>
      </c>
      <c r="C1939" s="1" t="n">
        <v>45507</v>
      </c>
      <c r="D1939" t="inlineStr">
        <is>
          <t>JÄMTLANDS LÄN</t>
        </is>
      </c>
      <c r="E1939" t="inlineStr">
        <is>
          <t>BRÄCKE</t>
        </is>
      </c>
      <c r="F1939" t="inlineStr">
        <is>
          <t>SCA</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22459-2024</t>
        </is>
      </c>
      <c r="B1940" s="1" t="n">
        <v>45447</v>
      </c>
      <c r="C1940" s="1" t="n">
        <v>45507</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22267-2024</t>
        </is>
      </c>
      <c r="B1941" s="1" t="n">
        <v>45446</v>
      </c>
      <c r="C1941" s="1" t="n">
        <v>45507</v>
      </c>
      <c r="D1941" t="inlineStr">
        <is>
          <t>JÄMTLANDS LÄN</t>
        </is>
      </c>
      <c r="E1941" t="inlineStr">
        <is>
          <t>BRÄCKE</t>
        </is>
      </c>
      <c r="F1941" t="inlineStr">
        <is>
          <t>Övriga Aktiebolag</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22662-2024</t>
        </is>
      </c>
      <c r="B1942" s="1" t="n">
        <v>45448</v>
      </c>
      <c r="C1942" s="1" t="n">
        <v>45507</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22940-2024</t>
        </is>
      </c>
      <c r="B1943" s="1" t="n">
        <v>45449</v>
      </c>
      <c r="C1943" s="1" t="n">
        <v>45507</v>
      </c>
      <c r="D1943" t="inlineStr">
        <is>
          <t>JÄMTLANDS LÄN</t>
        </is>
      </c>
      <c r="E1943" t="inlineStr">
        <is>
          <t>BRÄCKE</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22936-2024</t>
        </is>
      </c>
      <c r="B1944" s="1" t="n">
        <v>45449</v>
      </c>
      <c r="C1944" s="1" t="n">
        <v>45507</v>
      </c>
      <c r="D1944" t="inlineStr">
        <is>
          <t>JÄMTLANDS LÄN</t>
        </is>
      </c>
      <c r="E1944" t="inlineStr">
        <is>
          <t>BRÄCKE</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22937-2024</t>
        </is>
      </c>
      <c r="B1945" s="1" t="n">
        <v>45449</v>
      </c>
      <c r="C1945" s="1" t="n">
        <v>45507</v>
      </c>
      <c r="D1945" t="inlineStr">
        <is>
          <t>JÄMTLANDS LÄN</t>
        </is>
      </c>
      <c r="E1945" t="inlineStr">
        <is>
          <t>BRÄCKE</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22934-2024</t>
        </is>
      </c>
      <c r="B1946" s="1" t="n">
        <v>45449</v>
      </c>
      <c r="C1946" s="1" t="n">
        <v>45507</v>
      </c>
      <c r="D1946" t="inlineStr">
        <is>
          <t>JÄMTLANDS LÄN</t>
        </is>
      </c>
      <c r="E1946" t="inlineStr">
        <is>
          <t>BRÄCKE</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22981-2024</t>
        </is>
      </c>
      <c r="B1947" s="1" t="n">
        <v>45449</v>
      </c>
      <c r="C1947" s="1" t="n">
        <v>45507</v>
      </c>
      <c r="D1947" t="inlineStr">
        <is>
          <t>JÄMTLANDS LÄN</t>
        </is>
      </c>
      <c r="E1947" t="inlineStr">
        <is>
          <t>BRÄCKE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22980-2024</t>
        </is>
      </c>
      <c r="B1948" s="1" t="n">
        <v>45449</v>
      </c>
      <c r="C1948" s="1" t="n">
        <v>45507</v>
      </c>
      <c r="D1948" t="inlineStr">
        <is>
          <t>JÄMTLANDS LÄN</t>
        </is>
      </c>
      <c r="E1948" t="inlineStr">
        <is>
          <t>BRÄCKE</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22985-2024</t>
        </is>
      </c>
      <c r="B1949" s="1" t="n">
        <v>45450</v>
      </c>
      <c r="C1949" s="1" t="n">
        <v>45507</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22979-2024</t>
        </is>
      </c>
      <c r="B1950" s="1" t="n">
        <v>45449</v>
      </c>
      <c r="C1950" s="1" t="n">
        <v>45507</v>
      </c>
      <c r="D1950" t="inlineStr">
        <is>
          <t>JÄMTLANDS LÄN</t>
        </is>
      </c>
      <c r="E1950" t="inlineStr">
        <is>
          <t>BRÄCKE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23081-2024</t>
        </is>
      </c>
      <c r="B1951" s="1" t="n">
        <v>45450</v>
      </c>
      <c r="C1951" s="1" t="n">
        <v>45507</v>
      </c>
      <c r="D1951" t="inlineStr">
        <is>
          <t>JÄMTLANDS LÄN</t>
        </is>
      </c>
      <c r="E1951" t="inlineStr">
        <is>
          <t>BRÄCKE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23064-2024</t>
        </is>
      </c>
      <c r="B1952" s="1" t="n">
        <v>45450</v>
      </c>
      <c r="C1952" s="1" t="n">
        <v>45507</v>
      </c>
      <c r="D1952" t="inlineStr">
        <is>
          <t>JÄMTLANDS LÄN</t>
        </is>
      </c>
      <c r="E1952" t="inlineStr">
        <is>
          <t>BRÄCKE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23178-2024</t>
        </is>
      </c>
      <c r="B1953" s="1" t="n">
        <v>45451</v>
      </c>
      <c r="C1953" s="1" t="n">
        <v>45507</v>
      </c>
      <c r="D1953" t="inlineStr">
        <is>
          <t>JÄMTLANDS LÄN</t>
        </is>
      </c>
      <c r="E1953" t="inlineStr">
        <is>
          <t>BRÄCKE</t>
        </is>
      </c>
      <c r="F1953" t="inlineStr">
        <is>
          <t>SCA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23534-2024</t>
        </is>
      </c>
      <c r="B1954" s="1" t="n">
        <v>45454</v>
      </c>
      <c r="C1954" s="1" t="n">
        <v>45507</v>
      </c>
      <c r="D1954" t="inlineStr">
        <is>
          <t>JÄMTLANDS LÄN</t>
        </is>
      </c>
      <c r="E1954" t="inlineStr">
        <is>
          <t>BRÄCKE</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23640-2024</t>
        </is>
      </c>
      <c r="B1955" s="1" t="n">
        <v>45454</v>
      </c>
      <c r="C1955" s="1" t="n">
        <v>45507</v>
      </c>
      <c r="D1955" t="inlineStr">
        <is>
          <t>JÄMTLANDS LÄN</t>
        </is>
      </c>
      <c r="E1955" t="inlineStr">
        <is>
          <t>BRÄCKE</t>
        </is>
      </c>
      <c r="G1955" t="n">
        <v>19.4</v>
      </c>
      <c r="H1955" t="n">
        <v>0</v>
      </c>
      <c r="I1955" t="n">
        <v>0</v>
      </c>
      <c r="J1955" t="n">
        <v>0</v>
      </c>
      <c r="K1955" t="n">
        <v>0</v>
      </c>
      <c r="L1955" t="n">
        <v>0</v>
      </c>
      <c r="M1955" t="n">
        <v>0</v>
      </c>
      <c r="N1955" t="n">
        <v>0</v>
      </c>
      <c r="O1955" t="n">
        <v>0</v>
      </c>
      <c r="P1955" t="n">
        <v>0</v>
      </c>
      <c r="Q1955" t="n">
        <v>0</v>
      </c>
      <c r="R1955" s="2" t="inlineStr"/>
    </row>
    <row r="1956" ht="15" customHeight="1">
      <c r="A1956" t="inlineStr">
        <is>
          <t>A 23932-2024</t>
        </is>
      </c>
      <c r="B1956" s="1" t="n">
        <v>45456</v>
      </c>
      <c r="C1956" s="1" t="n">
        <v>45507</v>
      </c>
      <c r="D1956" t="inlineStr">
        <is>
          <t>JÄMTLANDS LÄN</t>
        </is>
      </c>
      <c r="E1956" t="inlineStr">
        <is>
          <t>BRÄCKE</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24006-2024</t>
        </is>
      </c>
      <c r="B1957" s="1" t="n">
        <v>45456</v>
      </c>
      <c r="C1957" s="1" t="n">
        <v>45507</v>
      </c>
      <c r="D1957" t="inlineStr">
        <is>
          <t>JÄMTLANDS LÄN</t>
        </is>
      </c>
      <c r="E1957" t="inlineStr">
        <is>
          <t>BRÄCKE</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24010-2024</t>
        </is>
      </c>
      <c r="B1958" s="1" t="n">
        <v>45456</v>
      </c>
      <c r="C1958" s="1" t="n">
        <v>45507</v>
      </c>
      <c r="D1958" t="inlineStr">
        <is>
          <t>JÄMTLANDS LÄN</t>
        </is>
      </c>
      <c r="E1958" t="inlineStr">
        <is>
          <t>BRÄCKE</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24062-2024</t>
        </is>
      </c>
      <c r="B1959" s="1" t="n">
        <v>45456</v>
      </c>
      <c r="C1959" s="1" t="n">
        <v>45507</v>
      </c>
      <c r="D1959" t="inlineStr">
        <is>
          <t>JÄMTLANDS LÄN</t>
        </is>
      </c>
      <c r="E1959" t="inlineStr">
        <is>
          <t>BRÄCKE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24026-2024</t>
        </is>
      </c>
      <c r="B1960" s="1" t="n">
        <v>45456</v>
      </c>
      <c r="C1960" s="1" t="n">
        <v>45507</v>
      </c>
      <c r="D1960" t="inlineStr">
        <is>
          <t>JÄMTLANDS LÄN</t>
        </is>
      </c>
      <c r="E1960" t="inlineStr">
        <is>
          <t>BRÄCKE</t>
        </is>
      </c>
      <c r="F1960" t="inlineStr">
        <is>
          <t>Övriga Aktiebolag</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24190-2024</t>
        </is>
      </c>
      <c r="B1961" s="1" t="n">
        <v>45457</v>
      </c>
      <c r="C1961" s="1" t="n">
        <v>45507</v>
      </c>
      <c r="D1961" t="inlineStr">
        <is>
          <t>JÄMTLANDS LÄN</t>
        </is>
      </c>
      <c r="E1961" t="inlineStr">
        <is>
          <t>BRÄCKE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24200-2024</t>
        </is>
      </c>
      <c r="B1962" s="1" t="n">
        <v>45457</v>
      </c>
      <c r="C1962" s="1" t="n">
        <v>45507</v>
      </c>
      <c r="D1962" t="inlineStr">
        <is>
          <t>JÄMTLANDS LÄN</t>
        </is>
      </c>
      <c r="E1962" t="inlineStr">
        <is>
          <t>BRÄCKE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24432-2024</t>
        </is>
      </c>
      <c r="B1963" s="1" t="n">
        <v>45458</v>
      </c>
      <c r="C1963" s="1" t="n">
        <v>45507</v>
      </c>
      <c r="D1963" t="inlineStr">
        <is>
          <t>JÄMTLANDS LÄN</t>
        </is>
      </c>
      <c r="E1963" t="inlineStr">
        <is>
          <t>BRÄCKE</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24442-2024</t>
        </is>
      </c>
      <c r="B1964" s="1" t="n">
        <v>45458</v>
      </c>
      <c r="C1964" s="1" t="n">
        <v>45507</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24307-2024</t>
        </is>
      </c>
      <c r="B1965" s="1" t="n">
        <v>45457</v>
      </c>
      <c r="C1965" s="1" t="n">
        <v>45507</v>
      </c>
      <c r="D1965" t="inlineStr">
        <is>
          <t>JÄMTLANDS LÄN</t>
        </is>
      </c>
      <c r="E1965" t="inlineStr">
        <is>
          <t>BRÄCKE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24499-2024</t>
        </is>
      </c>
      <c r="B1966" s="1" t="n">
        <v>45460</v>
      </c>
      <c r="C1966" s="1" t="n">
        <v>45507</v>
      </c>
      <c r="D1966" t="inlineStr">
        <is>
          <t>JÄMTLANDS LÄN</t>
        </is>
      </c>
      <c r="E1966" t="inlineStr">
        <is>
          <t>BRÄCKE</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24673-2024</t>
        </is>
      </c>
      <c r="B1967" s="1" t="n">
        <v>45460</v>
      </c>
      <c r="C1967" s="1" t="n">
        <v>45507</v>
      </c>
      <c r="D1967" t="inlineStr">
        <is>
          <t>JÄMTLANDS LÄN</t>
        </is>
      </c>
      <c r="E1967" t="inlineStr">
        <is>
          <t>BRÄCKE</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24594-2024</t>
        </is>
      </c>
      <c r="B1968" s="1" t="n">
        <v>45460</v>
      </c>
      <c r="C1968" s="1" t="n">
        <v>45507</v>
      </c>
      <c r="D1968" t="inlineStr">
        <is>
          <t>JÄMTLANDS LÄN</t>
        </is>
      </c>
      <c r="E1968" t="inlineStr">
        <is>
          <t>BRÄCKE</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24878-2024</t>
        </is>
      </c>
      <c r="B1969" s="1" t="n">
        <v>45461</v>
      </c>
      <c r="C1969" s="1" t="n">
        <v>45507</v>
      </c>
      <c r="D1969" t="inlineStr">
        <is>
          <t>JÄMTLANDS LÄN</t>
        </is>
      </c>
      <c r="E1969" t="inlineStr">
        <is>
          <t>BRÄCKE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24874-2024</t>
        </is>
      </c>
      <c r="B1970" s="1" t="n">
        <v>45461</v>
      </c>
      <c r="C1970" s="1" t="n">
        <v>45507</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25021-2024</t>
        </is>
      </c>
      <c r="B1971" s="1" t="n">
        <v>45462</v>
      </c>
      <c r="C1971" s="1" t="n">
        <v>45507</v>
      </c>
      <c r="D1971" t="inlineStr">
        <is>
          <t>JÄMTLANDS LÄN</t>
        </is>
      </c>
      <c r="E1971" t="inlineStr">
        <is>
          <t>BRÄCKE</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24974-2024</t>
        </is>
      </c>
      <c r="B1972" s="1" t="n">
        <v>45461</v>
      </c>
      <c r="C1972" s="1" t="n">
        <v>45507</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25372-2024</t>
        </is>
      </c>
      <c r="B1973" s="1" t="n">
        <v>45463</v>
      </c>
      <c r="C1973" s="1" t="n">
        <v>45507</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25413-2024</t>
        </is>
      </c>
      <c r="B1974" s="1" t="n">
        <v>45462</v>
      </c>
      <c r="C1974" s="1" t="n">
        <v>45507</v>
      </c>
      <c r="D1974" t="inlineStr">
        <is>
          <t>JÄMTLANDS LÄN</t>
        </is>
      </c>
      <c r="E1974" t="inlineStr">
        <is>
          <t>BRÄCKE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25718-2024</t>
        </is>
      </c>
      <c r="B1975" s="1" t="n">
        <v>45464</v>
      </c>
      <c r="C1975" s="1" t="n">
        <v>45507</v>
      </c>
      <c r="D1975" t="inlineStr">
        <is>
          <t>JÄMTLANDS LÄN</t>
        </is>
      </c>
      <c r="E1975" t="inlineStr">
        <is>
          <t>BRÄCKE</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25726-2024</t>
        </is>
      </c>
      <c r="B1976" s="1" t="n">
        <v>45464</v>
      </c>
      <c r="C1976" s="1" t="n">
        <v>45507</v>
      </c>
      <c r="D1976" t="inlineStr">
        <is>
          <t>JÄMTLANDS LÄN</t>
        </is>
      </c>
      <c r="E1976" t="inlineStr">
        <is>
          <t>BRÄCKE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25866-2024</t>
        </is>
      </c>
      <c r="B1977" s="1" t="n">
        <v>45467</v>
      </c>
      <c r="C1977" s="1" t="n">
        <v>45507</v>
      </c>
      <c r="D1977" t="inlineStr">
        <is>
          <t>JÄMTLANDS LÄN</t>
        </is>
      </c>
      <c r="E1977" t="inlineStr">
        <is>
          <t>BRÄCKE</t>
        </is>
      </c>
      <c r="G1977" t="n">
        <v>18.7</v>
      </c>
      <c r="H1977" t="n">
        <v>0</v>
      </c>
      <c r="I1977" t="n">
        <v>0</v>
      </c>
      <c r="J1977" t="n">
        <v>0</v>
      </c>
      <c r="K1977" t="n">
        <v>0</v>
      </c>
      <c r="L1977" t="n">
        <v>0</v>
      </c>
      <c r="M1977" t="n">
        <v>0</v>
      </c>
      <c r="N1977" t="n">
        <v>0</v>
      </c>
      <c r="O1977" t="n">
        <v>0</v>
      </c>
      <c r="P1977" t="n">
        <v>0</v>
      </c>
      <c r="Q1977" t="n">
        <v>0</v>
      </c>
      <c r="R1977" s="2" t="inlineStr"/>
    </row>
    <row r="1978" ht="15" customHeight="1">
      <c r="A1978" t="inlineStr">
        <is>
          <t>A 25934-2024</t>
        </is>
      </c>
      <c r="B1978" s="1" t="n">
        <v>45467</v>
      </c>
      <c r="C1978" s="1" t="n">
        <v>45507</v>
      </c>
      <c r="D1978" t="inlineStr">
        <is>
          <t>JÄMTLANDS LÄN</t>
        </is>
      </c>
      <c r="E1978" t="inlineStr">
        <is>
          <t>BRÄCKE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25890-2024</t>
        </is>
      </c>
      <c r="B1979" s="1" t="n">
        <v>45467</v>
      </c>
      <c r="C1979" s="1" t="n">
        <v>45507</v>
      </c>
      <c r="D1979" t="inlineStr">
        <is>
          <t>JÄMTLANDS LÄN</t>
        </is>
      </c>
      <c r="E1979" t="inlineStr">
        <is>
          <t>BRÄCKE</t>
        </is>
      </c>
      <c r="F1979" t="inlineStr">
        <is>
          <t>Kyrkan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25883-2024</t>
        </is>
      </c>
      <c r="B1980" s="1" t="n">
        <v>45467</v>
      </c>
      <c r="C1980" s="1" t="n">
        <v>45507</v>
      </c>
      <c r="D1980" t="inlineStr">
        <is>
          <t>JÄMTLANDS LÄN</t>
        </is>
      </c>
      <c r="E1980" t="inlineStr">
        <is>
          <t>BRÄCKE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26024-2024</t>
        </is>
      </c>
      <c r="B1981" s="1" t="n">
        <v>45468</v>
      </c>
      <c r="C1981" s="1" t="n">
        <v>45507</v>
      </c>
      <c r="D1981" t="inlineStr">
        <is>
          <t>JÄMTLANDS LÄN</t>
        </is>
      </c>
      <c r="E1981" t="inlineStr">
        <is>
          <t>BRÄCKE</t>
        </is>
      </c>
      <c r="F1981" t="inlineStr">
        <is>
          <t>SCA</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26032-2024</t>
        </is>
      </c>
      <c r="B1982" s="1" t="n">
        <v>45468</v>
      </c>
      <c r="C1982" s="1" t="n">
        <v>45507</v>
      </c>
      <c r="D1982" t="inlineStr">
        <is>
          <t>JÄMTLANDS LÄN</t>
        </is>
      </c>
      <c r="E1982" t="inlineStr">
        <is>
          <t>BRÄCKE</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26025-2024</t>
        </is>
      </c>
      <c r="B1983" s="1" t="n">
        <v>45468</v>
      </c>
      <c r="C1983" s="1" t="n">
        <v>45507</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26029-2024</t>
        </is>
      </c>
      <c r="B1984" s="1" t="n">
        <v>45468</v>
      </c>
      <c r="C1984" s="1" t="n">
        <v>45507</v>
      </c>
      <c r="D1984" t="inlineStr">
        <is>
          <t>JÄMTLANDS LÄN</t>
        </is>
      </c>
      <c r="E1984" t="inlineStr">
        <is>
          <t>BRÄCKE</t>
        </is>
      </c>
      <c r="F1984" t="inlineStr">
        <is>
          <t>SCA</t>
        </is>
      </c>
      <c r="G1984" t="n">
        <v>40.9</v>
      </c>
      <c r="H1984" t="n">
        <v>0</v>
      </c>
      <c r="I1984" t="n">
        <v>0</v>
      </c>
      <c r="J1984" t="n">
        <v>0</v>
      </c>
      <c r="K1984" t="n">
        <v>0</v>
      </c>
      <c r="L1984" t="n">
        <v>0</v>
      </c>
      <c r="M1984" t="n">
        <v>0</v>
      </c>
      <c r="N1984" t="n">
        <v>0</v>
      </c>
      <c r="O1984" t="n">
        <v>0</v>
      </c>
      <c r="P1984" t="n">
        <v>0</v>
      </c>
      <c r="Q1984" t="n">
        <v>0</v>
      </c>
      <c r="R1984" s="2" t="inlineStr"/>
      <c r="U1984">
        <f>HYPERLINK("https://klasma.github.io/Logging_2305/knärot/A 26029-2024 karta knärot.png", "A 26029-2024")</f>
        <v/>
      </c>
      <c r="V1984">
        <f>HYPERLINK("https://klasma.github.io/Logging_2305/klagomål/A 26029-2024 FSC-klagomål.docx", "A 26029-2024")</f>
        <v/>
      </c>
      <c r="W1984">
        <f>HYPERLINK("https://klasma.github.io/Logging_2305/klagomålsmail/A 26029-2024 FSC-klagomål mail.docx", "A 26029-2024")</f>
        <v/>
      </c>
      <c r="X1984">
        <f>HYPERLINK("https://klasma.github.io/Logging_2305/tillsyn/A 26029-2024 tillsynsbegäran.docx", "A 26029-2024")</f>
        <v/>
      </c>
      <c r="Y1984">
        <f>HYPERLINK("https://klasma.github.io/Logging_2305/tillsynsmail/A 26029-2024 tillsynsbegäran mail.docx", "A 26029-2024")</f>
        <v/>
      </c>
    </row>
    <row r="1985" ht="15" customHeight="1">
      <c r="A1985" t="inlineStr">
        <is>
          <t>A 26320-2024</t>
        </is>
      </c>
      <c r="B1985" s="1" t="n">
        <v>45469</v>
      </c>
      <c r="C1985" s="1" t="n">
        <v>45507</v>
      </c>
      <c r="D1985" t="inlineStr">
        <is>
          <t>JÄMTLANDS LÄN</t>
        </is>
      </c>
      <c r="E1985" t="inlineStr">
        <is>
          <t>BRÄCKE</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26302-2024</t>
        </is>
      </c>
      <c r="B1986" s="1" t="n">
        <v>45469</v>
      </c>
      <c r="C1986" s="1" t="n">
        <v>45507</v>
      </c>
      <c r="D1986" t="inlineStr">
        <is>
          <t>JÄMTLANDS LÄN</t>
        </is>
      </c>
      <c r="E1986" t="inlineStr">
        <is>
          <t>BRÄCKE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26278-2024</t>
        </is>
      </c>
      <c r="B1987" s="1" t="n">
        <v>45468</v>
      </c>
      <c r="C1987" s="1" t="n">
        <v>45507</v>
      </c>
      <c r="D1987" t="inlineStr">
        <is>
          <t>JÄMTLANDS LÄN</t>
        </is>
      </c>
      <c r="E1987" t="inlineStr">
        <is>
          <t>BRÄCKE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26342-2024</t>
        </is>
      </c>
      <c r="B1988" s="1" t="n">
        <v>45468</v>
      </c>
      <c r="C1988" s="1" t="n">
        <v>45507</v>
      </c>
      <c r="D1988" t="inlineStr">
        <is>
          <t>JÄMTLANDS LÄN</t>
        </is>
      </c>
      <c r="E1988" t="inlineStr">
        <is>
          <t>BRÄCKE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26522-2024</t>
        </is>
      </c>
      <c r="B1989" s="1" t="n">
        <v>45469</v>
      </c>
      <c r="C1989" s="1" t="n">
        <v>45507</v>
      </c>
      <c r="D1989" t="inlineStr">
        <is>
          <t>JÄMTLANDS LÄN</t>
        </is>
      </c>
      <c r="E1989" t="inlineStr">
        <is>
          <t>BRÄCKE</t>
        </is>
      </c>
      <c r="G1989" t="n">
        <v>14.1</v>
      </c>
      <c r="H1989" t="n">
        <v>0</v>
      </c>
      <c r="I1989" t="n">
        <v>0</v>
      </c>
      <c r="J1989" t="n">
        <v>0</v>
      </c>
      <c r="K1989" t="n">
        <v>0</v>
      </c>
      <c r="L1989" t="n">
        <v>0</v>
      </c>
      <c r="M1989" t="n">
        <v>0</v>
      </c>
      <c r="N1989" t="n">
        <v>0</v>
      </c>
      <c r="O1989" t="n">
        <v>0</v>
      </c>
      <c r="P1989" t="n">
        <v>0</v>
      </c>
      <c r="Q1989" t="n">
        <v>0</v>
      </c>
      <c r="R1989" s="2" t="inlineStr"/>
    </row>
    <row r="1990" ht="15" customHeight="1">
      <c r="A1990" t="inlineStr">
        <is>
          <t>A 26658-2024</t>
        </is>
      </c>
      <c r="B1990" s="1" t="n">
        <v>45470</v>
      </c>
      <c r="C1990" s="1" t="n">
        <v>45507</v>
      </c>
      <c r="D1990" t="inlineStr">
        <is>
          <t>JÄMTLANDS LÄN</t>
        </is>
      </c>
      <c r="E1990" t="inlineStr">
        <is>
          <t>BRÄCKE</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26910-2024</t>
        </is>
      </c>
      <c r="B1991" s="1" t="n">
        <v>45470</v>
      </c>
      <c r="C1991" s="1" t="n">
        <v>45507</v>
      </c>
      <c r="D1991" t="inlineStr">
        <is>
          <t>JÄMTLANDS LÄN</t>
        </is>
      </c>
      <c r="E1991" t="inlineStr">
        <is>
          <t>BRÄCKE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26923-2024</t>
        </is>
      </c>
      <c r="B1992" s="1" t="n">
        <v>45471</v>
      </c>
      <c r="C1992" s="1" t="n">
        <v>45507</v>
      </c>
      <c r="D1992" t="inlineStr">
        <is>
          <t>JÄMTLANDS LÄN</t>
        </is>
      </c>
      <c r="E1992" t="inlineStr">
        <is>
          <t>BRÄCKE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26919-2024</t>
        </is>
      </c>
      <c r="B1993" s="1" t="n">
        <v>45471</v>
      </c>
      <c r="C1993" s="1" t="n">
        <v>45507</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26911-2024</t>
        </is>
      </c>
      <c r="B1994" s="1" t="n">
        <v>45470</v>
      </c>
      <c r="C1994" s="1" t="n">
        <v>45507</v>
      </c>
      <c r="D1994" t="inlineStr">
        <is>
          <t>JÄMTLANDS LÄN</t>
        </is>
      </c>
      <c r="E1994" t="inlineStr">
        <is>
          <t>BRÄCKE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27280-2024</t>
        </is>
      </c>
      <c r="B1995" s="1" t="n">
        <v>45472</v>
      </c>
      <c r="C1995" s="1" t="n">
        <v>45507</v>
      </c>
      <c r="D1995" t="inlineStr">
        <is>
          <t>JÄMTLANDS LÄN</t>
        </is>
      </c>
      <c r="E1995" t="inlineStr">
        <is>
          <t>BRÄCKE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27455-2024</t>
        </is>
      </c>
      <c r="B1996" s="1" t="n">
        <v>45474</v>
      </c>
      <c r="C1996" s="1" t="n">
        <v>45507</v>
      </c>
      <c r="D1996" t="inlineStr">
        <is>
          <t>JÄMTLANDS LÄN</t>
        </is>
      </c>
      <c r="E1996" t="inlineStr">
        <is>
          <t>BRÄCKE</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27460-2024</t>
        </is>
      </c>
      <c r="B1997" s="1" t="n">
        <v>45474</v>
      </c>
      <c r="C1997" s="1" t="n">
        <v>45507</v>
      </c>
      <c r="D1997" t="inlineStr">
        <is>
          <t>JÄMTLANDS LÄN</t>
        </is>
      </c>
      <c r="E1997" t="inlineStr">
        <is>
          <t>BRÄCKE</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27449-2024</t>
        </is>
      </c>
      <c r="B1998" s="1" t="n">
        <v>45474</v>
      </c>
      <c r="C1998" s="1" t="n">
        <v>45507</v>
      </c>
      <c r="D1998" t="inlineStr">
        <is>
          <t>JÄMTLANDS LÄN</t>
        </is>
      </c>
      <c r="E1998" t="inlineStr">
        <is>
          <t>BRÄCKE</t>
        </is>
      </c>
      <c r="G1998" t="n">
        <v>12.4</v>
      </c>
      <c r="H1998" t="n">
        <v>0</v>
      </c>
      <c r="I1998" t="n">
        <v>0</v>
      </c>
      <c r="J1998" t="n">
        <v>0</v>
      </c>
      <c r="K1998" t="n">
        <v>0</v>
      </c>
      <c r="L1998" t="n">
        <v>0</v>
      </c>
      <c r="M1998" t="n">
        <v>0</v>
      </c>
      <c r="N1998" t="n">
        <v>0</v>
      </c>
      <c r="O1998" t="n">
        <v>0</v>
      </c>
      <c r="P1998" t="n">
        <v>0</v>
      </c>
      <c r="Q1998" t="n">
        <v>0</v>
      </c>
      <c r="R1998" s="2" t="inlineStr"/>
    </row>
    <row r="1999" ht="15" customHeight="1">
      <c r="A1999" t="inlineStr">
        <is>
          <t>A 27466-2024</t>
        </is>
      </c>
      <c r="B1999" s="1" t="n">
        <v>45474</v>
      </c>
      <c r="C1999" s="1" t="n">
        <v>45507</v>
      </c>
      <c r="D1999" t="inlineStr">
        <is>
          <t>JÄMTLANDS LÄN</t>
        </is>
      </c>
      <c r="E1999" t="inlineStr">
        <is>
          <t>BRÄCKE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27549-2024</t>
        </is>
      </c>
      <c r="B2000" s="1" t="n">
        <v>45474</v>
      </c>
      <c r="C2000" s="1" t="n">
        <v>45507</v>
      </c>
      <c r="D2000" t="inlineStr">
        <is>
          <t>JÄMTLANDS LÄN</t>
        </is>
      </c>
      <c r="E2000" t="inlineStr">
        <is>
          <t>BRÄCKE</t>
        </is>
      </c>
      <c r="G2000" t="n">
        <v>12.8</v>
      </c>
      <c r="H2000" t="n">
        <v>0</v>
      </c>
      <c r="I2000" t="n">
        <v>0</v>
      </c>
      <c r="J2000" t="n">
        <v>0</v>
      </c>
      <c r="K2000" t="n">
        <v>0</v>
      </c>
      <c r="L2000" t="n">
        <v>0</v>
      </c>
      <c r="M2000" t="n">
        <v>0</v>
      </c>
      <c r="N2000" t="n">
        <v>0</v>
      </c>
      <c r="O2000" t="n">
        <v>0</v>
      </c>
      <c r="P2000" t="n">
        <v>0</v>
      </c>
      <c r="Q2000" t="n">
        <v>0</v>
      </c>
      <c r="R2000" s="2" t="inlineStr"/>
    </row>
    <row r="2001" ht="15" customHeight="1">
      <c r="A2001" t="inlineStr">
        <is>
          <t>A 27926-2024</t>
        </is>
      </c>
      <c r="B2001" s="1" t="n">
        <v>45476</v>
      </c>
      <c r="C2001" s="1" t="n">
        <v>45507</v>
      </c>
      <c r="D2001" t="inlineStr">
        <is>
          <t>JÄMTLANDS LÄN</t>
        </is>
      </c>
      <c r="E2001" t="inlineStr">
        <is>
          <t>BRÄCKE</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27838-2024</t>
        </is>
      </c>
      <c r="B2002" s="1" t="n">
        <v>45475</v>
      </c>
      <c r="C2002" s="1" t="n">
        <v>45507</v>
      </c>
      <c r="D2002" t="inlineStr">
        <is>
          <t>JÄMTLANDS LÄN</t>
        </is>
      </c>
      <c r="E2002" t="inlineStr">
        <is>
          <t>BRÄCKE</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27799-2024</t>
        </is>
      </c>
      <c r="B2003" s="1" t="n">
        <v>45475</v>
      </c>
      <c r="C2003" s="1" t="n">
        <v>45507</v>
      </c>
      <c r="D2003" t="inlineStr">
        <is>
          <t>JÄMTLANDS LÄN</t>
        </is>
      </c>
      <c r="E2003" t="inlineStr">
        <is>
          <t>BRÄCKE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28157-2024</t>
        </is>
      </c>
      <c r="B2004" s="1" t="n">
        <v>45477</v>
      </c>
      <c r="C2004" s="1" t="n">
        <v>45507</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28077-2024</t>
        </is>
      </c>
      <c r="B2005" s="1" t="n">
        <v>45476</v>
      </c>
      <c r="C2005" s="1" t="n">
        <v>45507</v>
      </c>
      <c r="D2005" t="inlineStr">
        <is>
          <t>JÄMTLANDS LÄN</t>
        </is>
      </c>
      <c r="E2005" t="inlineStr">
        <is>
          <t>BRÄCKE</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28616-2024</t>
        </is>
      </c>
      <c r="B2006" s="1" t="n">
        <v>45478</v>
      </c>
      <c r="C2006" s="1" t="n">
        <v>45507</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28553-2024</t>
        </is>
      </c>
      <c r="B2007" s="1" t="n">
        <v>45478</v>
      </c>
      <c r="C2007" s="1" t="n">
        <v>45507</v>
      </c>
      <c r="D2007" t="inlineStr">
        <is>
          <t>JÄMTLANDS LÄN</t>
        </is>
      </c>
      <c r="E2007" t="inlineStr">
        <is>
          <t>BRÄCKE</t>
        </is>
      </c>
      <c r="G2007" t="n">
        <v>14.5</v>
      </c>
      <c r="H2007" t="n">
        <v>0</v>
      </c>
      <c r="I2007" t="n">
        <v>0</v>
      </c>
      <c r="J2007" t="n">
        <v>0</v>
      </c>
      <c r="K2007" t="n">
        <v>0</v>
      </c>
      <c r="L2007" t="n">
        <v>0</v>
      </c>
      <c r="M2007" t="n">
        <v>0</v>
      </c>
      <c r="N2007" t="n">
        <v>0</v>
      </c>
      <c r="O2007" t="n">
        <v>0</v>
      </c>
      <c r="P2007" t="n">
        <v>0</v>
      </c>
      <c r="Q2007" t="n">
        <v>0</v>
      </c>
      <c r="R2007" s="2" t="inlineStr"/>
    </row>
    <row r="2008" ht="15" customHeight="1">
      <c r="A2008" t="inlineStr">
        <is>
          <t>A 28635-2024</t>
        </is>
      </c>
      <c r="B2008" s="1" t="n">
        <v>45478</v>
      </c>
      <c r="C2008" s="1" t="n">
        <v>45507</v>
      </c>
      <c r="D2008" t="inlineStr">
        <is>
          <t>JÄMTLANDS LÄN</t>
        </is>
      </c>
      <c r="E2008" t="inlineStr">
        <is>
          <t>BRÄCKE</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28765-2024</t>
        </is>
      </c>
      <c r="B2009" s="1" t="n">
        <v>45478</v>
      </c>
      <c r="C2009" s="1" t="n">
        <v>45507</v>
      </c>
      <c r="D2009" t="inlineStr">
        <is>
          <t>JÄMTLANDS LÄN</t>
        </is>
      </c>
      <c r="E2009" t="inlineStr">
        <is>
          <t>BRÄCKE</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28766-2024</t>
        </is>
      </c>
      <c r="B2010" s="1" t="n">
        <v>45478</v>
      </c>
      <c r="C2010" s="1" t="n">
        <v>45507</v>
      </c>
      <c r="D2010" t="inlineStr">
        <is>
          <t>JÄMTLANDS LÄN</t>
        </is>
      </c>
      <c r="E2010" t="inlineStr">
        <is>
          <t>BRÄCKE</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29003-2024</t>
        </is>
      </c>
      <c r="B2011" s="1" t="n">
        <v>45481</v>
      </c>
      <c r="C2011" s="1" t="n">
        <v>45507</v>
      </c>
      <c r="D2011" t="inlineStr">
        <is>
          <t>JÄMTLANDS LÄN</t>
        </is>
      </c>
      <c r="E2011" t="inlineStr">
        <is>
          <t>BRÄCKE</t>
        </is>
      </c>
      <c r="F2011" t="inlineStr">
        <is>
          <t>Övriga Aktiebolag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29028-2024</t>
        </is>
      </c>
      <c r="B2012" s="1" t="n">
        <v>45481</v>
      </c>
      <c r="C2012" s="1" t="n">
        <v>45507</v>
      </c>
      <c r="D2012" t="inlineStr">
        <is>
          <t>JÄMTLANDS LÄN</t>
        </is>
      </c>
      <c r="E2012" t="inlineStr">
        <is>
          <t>BRÄCKE</t>
        </is>
      </c>
      <c r="F2012" t="inlineStr">
        <is>
          <t>Övriga Aktiebolag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29103-2024</t>
        </is>
      </c>
      <c r="B2013" s="1" t="n">
        <v>45482</v>
      </c>
      <c r="C2013" s="1" t="n">
        <v>45507</v>
      </c>
      <c r="D2013" t="inlineStr">
        <is>
          <t>JÄMTLANDS LÄN</t>
        </is>
      </c>
      <c r="E2013" t="inlineStr">
        <is>
          <t>BRÄCKE</t>
        </is>
      </c>
      <c r="F2013" t="inlineStr">
        <is>
          <t>SCA</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29203-2024</t>
        </is>
      </c>
      <c r="B2014" s="1" t="n">
        <v>45482</v>
      </c>
      <c r="C2014" s="1" t="n">
        <v>45507</v>
      </c>
      <c r="D2014" t="inlineStr">
        <is>
          <t>JÄMTLANDS LÄN</t>
        </is>
      </c>
      <c r="E2014" t="inlineStr">
        <is>
          <t>BRÄCKE</t>
        </is>
      </c>
      <c r="F2014" t="inlineStr">
        <is>
          <t>Övriga Aktiebolag</t>
        </is>
      </c>
      <c r="G2014" t="n">
        <v>12.6</v>
      </c>
      <c r="H2014" t="n">
        <v>0</v>
      </c>
      <c r="I2014" t="n">
        <v>0</v>
      </c>
      <c r="J2014" t="n">
        <v>0</v>
      </c>
      <c r="K2014" t="n">
        <v>0</v>
      </c>
      <c r="L2014" t="n">
        <v>0</v>
      </c>
      <c r="M2014" t="n">
        <v>0</v>
      </c>
      <c r="N2014" t="n">
        <v>0</v>
      </c>
      <c r="O2014" t="n">
        <v>0</v>
      </c>
      <c r="P2014" t="n">
        <v>0</v>
      </c>
      <c r="Q2014" t="n">
        <v>0</v>
      </c>
      <c r="R2014" s="2" t="inlineStr"/>
    </row>
    <row r="2015" ht="15" customHeight="1">
      <c r="A2015" t="inlineStr">
        <is>
          <t>A 29215-2024</t>
        </is>
      </c>
      <c r="B2015" s="1" t="n">
        <v>45482</v>
      </c>
      <c r="C2015" s="1" t="n">
        <v>45507</v>
      </c>
      <c r="D2015" t="inlineStr">
        <is>
          <t>JÄMTLANDS LÄN</t>
        </is>
      </c>
      <c r="E2015" t="inlineStr">
        <is>
          <t>BRÄCKE</t>
        </is>
      </c>
      <c r="F2015" t="inlineStr">
        <is>
          <t>Övriga Aktiebolag</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29162-2024</t>
        </is>
      </c>
      <c r="B2016" s="1" t="n">
        <v>45482</v>
      </c>
      <c r="C2016" s="1" t="n">
        <v>45507</v>
      </c>
      <c r="D2016" t="inlineStr">
        <is>
          <t>JÄMTLANDS LÄN</t>
        </is>
      </c>
      <c r="E2016" t="inlineStr">
        <is>
          <t>BRÄCKE</t>
        </is>
      </c>
      <c r="F2016" t="inlineStr">
        <is>
          <t>Övriga Aktiebolag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29272-2024</t>
        </is>
      </c>
      <c r="B2017" s="1" t="n">
        <v>45483</v>
      </c>
      <c r="C2017" s="1" t="n">
        <v>45507</v>
      </c>
      <c r="D2017" t="inlineStr">
        <is>
          <t>JÄMTLANDS LÄN</t>
        </is>
      </c>
      <c r="E2017" t="inlineStr">
        <is>
          <t>BRÄCKE</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29130-2024</t>
        </is>
      </c>
      <c r="B2018" s="1" t="n">
        <v>45482</v>
      </c>
      <c r="C2018" s="1" t="n">
        <v>45507</v>
      </c>
      <c r="D2018" t="inlineStr">
        <is>
          <t>JÄMTLANDS LÄN</t>
        </is>
      </c>
      <c r="E2018" t="inlineStr">
        <is>
          <t>BRÄCKE</t>
        </is>
      </c>
      <c r="F2018" t="inlineStr">
        <is>
          <t>Övriga Aktiebolag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29189-2024</t>
        </is>
      </c>
      <c r="B2019" s="1" t="n">
        <v>45482</v>
      </c>
      <c r="C2019" s="1" t="n">
        <v>45507</v>
      </c>
      <c r="D2019" t="inlineStr">
        <is>
          <t>JÄMTLANDS LÄN</t>
        </is>
      </c>
      <c r="E2019" t="inlineStr">
        <is>
          <t>BRÄCKE</t>
        </is>
      </c>
      <c r="F2019" t="inlineStr">
        <is>
          <t>Övriga Aktiebolag</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29262-2024</t>
        </is>
      </c>
      <c r="B2020" s="1" t="n">
        <v>45483</v>
      </c>
      <c r="C2020" s="1" t="n">
        <v>45507</v>
      </c>
      <c r="D2020" t="inlineStr">
        <is>
          <t>JÄMTLANDS LÄN</t>
        </is>
      </c>
      <c r="E2020" t="inlineStr">
        <is>
          <t>BRÄCKE</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29456-2024</t>
        </is>
      </c>
      <c r="B2021" s="1" t="n">
        <v>45484</v>
      </c>
      <c r="C2021" s="1" t="n">
        <v>45507</v>
      </c>
      <c r="D2021" t="inlineStr">
        <is>
          <t>JÄMTLANDS LÄN</t>
        </is>
      </c>
      <c r="E2021" t="inlineStr">
        <is>
          <t>BRÄCKE</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29460-2024</t>
        </is>
      </c>
      <c r="B2022" s="1" t="n">
        <v>45484</v>
      </c>
      <c r="C2022" s="1" t="n">
        <v>45507</v>
      </c>
      <c r="D2022" t="inlineStr">
        <is>
          <t>JÄMTLANDS LÄN</t>
        </is>
      </c>
      <c r="E2022" t="inlineStr">
        <is>
          <t>BRÄCKE</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29409-2024</t>
        </is>
      </c>
      <c r="B2023" s="1" t="n">
        <v>45483</v>
      </c>
      <c r="C2023" s="1" t="n">
        <v>45507</v>
      </c>
      <c r="D2023" t="inlineStr">
        <is>
          <t>JÄMTLANDS LÄN</t>
        </is>
      </c>
      <c r="E2023" t="inlineStr">
        <is>
          <t>BRÄCKE</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29348-2024</t>
        </is>
      </c>
      <c r="B2024" s="1" t="n">
        <v>45483</v>
      </c>
      <c r="C2024" s="1" t="n">
        <v>45507</v>
      </c>
      <c r="D2024" t="inlineStr">
        <is>
          <t>JÄMTLANDS LÄN</t>
        </is>
      </c>
      <c r="E2024" t="inlineStr">
        <is>
          <t>BRÄCKE</t>
        </is>
      </c>
      <c r="F2024" t="inlineStr">
        <is>
          <t>Kommuner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29637-2024</t>
        </is>
      </c>
      <c r="B2025" s="1" t="n">
        <v>45484</v>
      </c>
      <c r="C2025" s="1" t="n">
        <v>45507</v>
      </c>
      <c r="D2025" t="inlineStr">
        <is>
          <t>JÄMTLANDS LÄN</t>
        </is>
      </c>
      <c r="E2025" t="inlineStr">
        <is>
          <t>BRÄCKE</t>
        </is>
      </c>
      <c r="F2025" t="inlineStr">
        <is>
          <t>Kommuner</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29572-2024</t>
        </is>
      </c>
      <c r="B2026" s="1" t="n">
        <v>45484</v>
      </c>
      <c r="C2026" s="1" t="n">
        <v>45507</v>
      </c>
      <c r="D2026" t="inlineStr">
        <is>
          <t>JÄMTLANDS LÄN</t>
        </is>
      </c>
      <c r="E2026" t="inlineStr">
        <is>
          <t>BRÄCKE</t>
        </is>
      </c>
      <c r="F2026" t="inlineStr">
        <is>
          <t>Övriga Aktiebolag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29493-2024</t>
        </is>
      </c>
      <c r="B2027" s="1" t="n">
        <v>45484</v>
      </c>
      <c r="C2027" s="1" t="n">
        <v>45507</v>
      </c>
      <c r="D2027" t="inlineStr">
        <is>
          <t>JÄMTLANDS LÄN</t>
        </is>
      </c>
      <c r="E2027" t="inlineStr">
        <is>
          <t>BRÄCKE</t>
        </is>
      </c>
      <c r="F2027" t="inlineStr">
        <is>
          <t>Övriga Aktiebolag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29521-2024</t>
        </is>
      </c>
      <c r="B2028" s="1" t="n">
        <v>45484</v>
      </c>
      <c r="C2028" s="1" t="n">
        <v>45507</v>
      </c>
      <c r="D2028" t="inlineStr">
        <is>
          <t>JÄMTLANDS LÄN</t>
        </is>
      </c>
      <c r="E2028" t="inlineStr">
        <is>
          <t>BRÄCKE</t>
        </is>
      </c>
      <c r="F2028" t="inlineStr">
        <is>
          <t>Övriga Aktiebolag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29546-2024</t>
        </is>
      </c>
      <c r="B2029" s="1" t="n">
        <v>45484</v>
      </c>
      <c r="C2029" s="1" t="n">
        <v>45507</v>
      </c>
      <c r="D2029" t="inlineStr">
        <is>
          <t>JÄMTLANDS LÄN</t>
        </is>
      </c>
      <c r="E2029" t="inlineStr">
        <is>
          <t>BRÄCKE</t>
        </is>
      </c>
      <c r="F2029" t="inlineStr">
        <is>
          <t>Övriga Aktiebolag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29638-2024</t>
        </is>
      </c>
      <c r="B2030" s="1" t="n">
        <v>45484</v>
      </c>
      <c r="C2030" s="1" t="n">
        <v>45507</v>
      </c>
      <c r="D2030" t="inlineStr">
        <is>
          <t>JÄMTLANDS LÄN</t>
        </is>
      </c>
      <c r="E2030" t="inlineStr">
        <is>
          <t>BRÄCKE</t>
        </is>
      </c>
      <c r="F2030" t="inlineStr">
        <is>
          <t>Kommuner</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29872-2024</t>
        </is>
      </c>
      <c r="B2031" s="1" t="n">
        <v>45486</v>
      </c>
      <c r="C2031" s="1" t="n">
        <v>45507</v>
      </c>
      <c r="D2031" t="inlineStr">
        <is>
          <t>JÄMTLANDS LÄN</t>
        </is>
      </c>
      <c r="E2031" t="inlineStr">
        <is>
          <t>BRÄCKE</t>
        </is>
      </c>
      <c r="F2031" t="inlineStr">
        <is>
          <t>SCA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29868-2024</t>
        </is>
      </c>
      <c r="B2032" s="1" t="n">
        <v>45486</v>
      </c>
      <c r="C2032" s="1" t="n">
        <v>45507</v>
      </c>
      <c r="D2032" t="inlineStr">
        <is>
          <t>JÄMTLANDS LÄN</t>
        </is>
      </c>
      <c r="E2032" t="inlineStr">
        <is>
          <t>BRÄCKE</t>
        </is>
      </c>
      <c r="F2032" t="inlineStr">
        <is>
          <t>SCA</t>
        </is>
      </c>
      <c r="G2032" t="n">
        <v>20.1</v>
      </c>
      <c r="H2032" t="n">
        <v>0</v>
      </c>
      <c r="I2032" t="n">
        <v>0</v>
      </c>
      <c r="J2032" t="n">
        <v>0</v>
      </c>
      <c r="K2032" t="n">
        <v>0</v>
      </c>
      <c r="L2032" t="n">
        <v>0</v>
      </c>
      <c r="M2032" t="n">
        <v>0</v>
      </c>
      <c r="N2032" t="n">
        <v>0</v>
      </c>
      <c r="O2032" t="n">
        <v>0</v>
      </c>
      <c r="P2032" t="n">
        <v>0</v>
      </c>
      <c r="Q2032" t="n">
        <v>0</v>
      </c>
      <c r="R2032" s="2" t="inlineStr"/>
    </row>
    <row r="2033" ht="15" customHeight="1">
      <c r="A2033" t="inlineStr">
        <is>
          <t>A 29873-2024</t>
        </is>
      </c>
      <c r="B2033" s="1" t="n">
        <v>45486</v>
      </c>
      <c r="C2033" s="1" t="n">
        <v>45507</v>
      </c>
      <c r="D2033" t="inlineStr">
        <is>
          <t>JÄMTLANDS LÄN</t>
        </is>
      </c>
      <c r="E2033" t="inlineStr">
        <is>
          <t>BRÄCKE</t>
        </is>
      </c>
      <c r="F2033" t="inlineStr">
        <is>
          <t>SCA</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30038-2024</t>
        </is>
      </c>
      <c r="B2034" s="1" t="n">
        <v>45488</v>
      </c>
      <c r="C2034" s="1" t="n">
        <v>45507</v>
      </c>
      <c r="D2034" t="inlineStr">
        <is>
          <t>JÄMTLANDS LÄN</t>
        </is>
      </c>
      <c r="E2034" t="inlineStr">
        <is>
          <t>BRÄCKE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30287-2024</t>
        </is>
      </c>
      <c r="B2035" s="1" t="n">
        <v>45490</v>
      </c>
      <c r="C2035" s="1" t="n">
        <v>45507</v>
      </c>
      <c r="D2035" t="inlineStr">
        <is>
          <t>JÄMTLANDS LÄN</t>
        </is>
      </c>
      <c r="E2035" t="inlineStr">
        <is>
          <t>BRÄCKE</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30463-2024</t>
        </is>
      </c>
      <c r="B2036" s="1" t="n">
        <v>45492</v>
      </c>
      <c r="C2036" s="1" t="n">
        <v>45507</v>
      </c>
      <c r="D2036" t="inlineStr">
        <is>
          <t>JÄMTLANDS LÄN</t>
        </is>
      </c>
      <c r="E2036" t="inlineStr">
        <is>
          <t>BRÄCKE</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30487-2024</t>
        </is>
      </c>
      <c r="B2037" s="1" t="n">
        <v>45492</v>
      </c>
      <c r="C2037" s="1" t="n">
        <v>45507</v>
      </c>
      <c r="D2037" t="inlineStr">
        <is>
          <t>JÄMTLANDS LÄN</t>
        </is>
      </c>
      <c r="E2037" t="inlineStr">
        <is>
          <t>BRÄCKE</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30480-2024</t>
        </is>
      </c>
      <c r="B2038" s="1" t="n">
        <v>45492</v>
      </c>
      <c r="C2038" s="1" t="n">
        <v>45507</v>
      </c>
      <c r="D2038" t="inlineStr">
        <is>
          <t>JÄMTLANDS LÄN</t>
        </is>
      </c>
      <c r="E2038" t="inlineStr">
        <is>
          <t>BRÄCKE</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30488-2024</t>
        </is>
      </c>
      <c r="B2039" s="1" t="n">
        <v>45492</v>
      </c>
      <c r="C2039" s="1" t="n">
        <v>45507</v>
      </c>
      <c r="D2039" t="inlineStr">
        <is>
          <t>JÄMTLANDS LÄN</t>
        </is>
      </c>
      <c r="E2039" t="inlineStr">
        <is>
          <t>BRÄCKE</t>
        </is>
      </c>
      <c r="F2039" t="inlineStr">
        <is>
          <t>Naturvårdsverket</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30501-2024</t>
        </is>
      </c>
      <c r="B2040" s="1" t="n">
        <v>45492</v>
      </c>
      <c r="C2040" s="1" t="n">
        <v>45507</v>
      </c>
      <c r="D2040" t="inlineStr">
        <is>
          <t>JÄMTLANDS LÄN</t>
        </is>
      </c>
      <c r="E2040" t="inlineStr">
        <is>
          <t>BRÄCKE</t>
        </is>
      </c>
      <c r="G2040" t="n">
        <v>13.6</v>
      </c>
      <c r="H2040" t="n">
        <v>0</v>
      </c>
      <c r="I2040" t="n">
        <v>0</v>
      </c>
      <c r="J2040" t="n">
        <v>0</v>
      </c>
      <c r="K2040" t="n">
        <v>0</v>
      </c>
      <c r="L2040" t="n">
        <v>0</v>
      </c>
      <c r="M2040" t="n">
        <v>0</v>
      </c>
      <c r="N2040" t="n">
        <v>0</v>
      </c>
      <c r="O2040" t="n">
        <v>0</v>
      </c>
      <c r="P2040" t="n">
        <v>0</v>
      </c>
      <c r="Q2040" t="n">
        <v>0</v>
      </c>
      <c r="R2040" s="2" t="inlineStr"/>
    </row>
    <row r="2041" ht="15" customHeight="1">
      <c r="A2041" t="inlineStr">
        <is>
          <t>A 30569-2024</t>
        </is>
      </c>
      <c r="B2041" s="1" t="n">
        <v>45493</v>
      </c>
      <c r="C2041" s="1" t="n">
        <v>45507</v>
      </c>
      <c r="D2041" t="inlineStr">
        <is>
          <t>JÄMTLANDS LÄN</t>
        </is>
      </c>
      <c r="E2041" t="inlineStr">
        <is>
          <t>BRÄCKE</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30661-2024</t>
        </is>
      </c>
      <c r="B2042" s="1" t="n">
        <v>45495</v>
      </c>
      <c r="C2042" s="1" t="n">
        <v>45507</v>
      </c>
      <c r="D2042" t="inlineStr">
        <is>
          <t>JÄMTLANDS LÄN</t>
        </is>
      </c>
      <c r="E2042" t="inlineStr">
        <is>
          <t>BRÄCKE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30685-2024</t>
        </is>
      </c>
      <c r="B2043" s="1" t="n">
        <v>45496</v>
      </c>
      <c r="C2043" s="1" t="n">
        <v>45507</v>
      </c>
      <c r="D2043" t="inlineStr">
        <is>
          <t>JÄMTLANDS LÄN</t>
        </is>
      </c>
      <c r="E2043" t="inlineStr">
        <is>
          <t>BRÄCKE</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30874-2024</t>
        </is>
      </c>
      <c r="B2044" s="1" t="n">
        <v>45498</v>
      </c>
      <c r="C2044" s="1" t="n">
        <v>45507</v>
      </c>
      <c r="D2044" t="inlineStr">
        <is>
          <t>JÄMTLANDS LÄN</t>
        </is>
      </c>
      <c r="E2044" t="inlineStr">
        <is>
          <t>BRÄCKE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30933-2024</t>
        </is>
      </c>
      <c r="B2045" s="1" t="n">
        <v>45498</v>
      </c>
      <c r="C2045" s="1" t="n">
        <v>45507</v>
      </c>
      <c r="D2045" t="inlineStr">
        <is>
          <t>JÄMTLANDS LÄN</t>
        </is>
      </c>
      <c r="E2045" t="inlineStr">
        <is>
          <t>BRÄCKE</t>
        </is>
      </c>
      <c r="G2045" t="n">
        <v>13.8</v>
      </c>
      <c r="H2045" t="n">
        <v>0</v>
      </c>
      <c r="I2045" t="n">
        <v>0</v>
      </c>
      <c r="J2045" t="n">
        <v>0</v>
      </c>
      <c r="K2045" t="n">
        <v>0</v>
      </c>
      <c r="L2045" t="n">
        <v>0</v>
      </c>
      <c r="M2045" t="n">
        <v>0</v>
      </c>
      <c r="N2045" t="n">
        <v>0</v>
      </c>
      <c r="O2045" t="n">
        <v>0</v>
      </c>
      <c r="P2045" t="n">
        <v>0</v>
      </c>
      <c r="Q2045" t="n">
        <v>0</v>
      </c>
      <c r="R2045" s="2" t="inlineStr"/>
    </row>
    <row r="2046" ht="15" customHeight="1">
      <c r="A2046" t="inlineStr">
        <is>
          <t>A 30991-2024</t>
        </is>
      </c>
      <c r="B2046" s="1" t="n">
        <v>45499</v>
      </c>
      <c r="C2046" s="1" t="n">
        <v>45507</v>
      </c>
      <c r="D2046" t="inlineStr">
        <is>
          <t>JÄMTLANDS LÄN</t>
        </is>
      </c>
      <c r="E2046" t="inlineStr">
        <is>
          <t>BRÄCKE</t>
        </is>
      </c>
      <c r="F2046" t="inlineStr">
        <is>
          <t>Sveaskog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30990-2024</t>
        </is>
      </c>
      <c r="B2047" s="1" t="n">
        <v>45499</v>
      </c>
      <c r="C2047" s="1" t="n">
        <v>45507</v>
      </c>
      <c r="D2047" t="inlineStr">
        <is>
          <t>JÄMTLANDS LÄN</t>
        </is>
      </c>
      <c r="E2047" t="inlineStr">
        <is>
          <t>BRÄCKE</t>
        </is>
      </c>
      <c r="F2047" t="inlineStr">
        <is>
          <t>Sveaskog</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31035-2024</t>
        </is>
      </c>
      <c r="B2048" s="1" t="n">
        <v>45501</v>
      </c>
      <c r="C2048" s="1" t="n">
        <v>45507</v>
      </c>
      <c r="D2048" t="inlineStr">
        <is>
          <t>JÄMTLANDS LÄN</t>
        </is>
      </c>
      <c r="E2048" t="inlineStr">
        <is>
          <t>BRÄCKE</t>
        </is>
      </c>
      <c r="G2048" t="n">
        <v>12.5</v>
      </c>
      <c r="H2048" t="n">
        <v>0</v>
      </c>
      <c r="I2048" t="n">
        <v>0</v>
      </c>
      <c r="J2048" t="n">
        <v>0</v>
      </c>
      <c r="K2048" t="n">
        <v>0</v>
      </c>
      <c r="L2048" t="n">
        <v>0</v>
      </c>
      <c r="M2048" t="n">
        <v>0</v>
      </c>
      <c r="N2048" t="n">
        <v>0</v>
      </c>
      <c r="O2048" t="n">
        <v>0</v>
      </c>
      <c r="P2048" t="n">
        <v>0</v>
      </c>
      <c r="Q2048" t="n">
        <v>0</v>
      </c>
      <c r="R2048" s="2" t="inlineStr"/>
    </row>
    <row r="2049" ht="15" customHeight="1">
      <c r="A2049" t="inlineStr">
        <is>
          <t>A 31403-2024</t>
        </is>
      </c>
      <c r="B2049" s="1" t="n">
        <v>45505</v>
      </c>
      <c r="C2049" s="1" t="n">
        <v>45507</v>
      </c>
      <c r="D2049" t="inlineStr">
        <is>
          <t>JÄMTLANDS LÄN</t>
        </is>
      </c>
      <c r="E2049" t="inlineStr">
        <is>
          <t>BRÄCKE</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31467-2024</t>
        </is>
      </c>
      <c r="B2050" s="1" t="n">
        <v>45506</v>
      </c>
      <c r="C2050" s="1" t="n">
        <v>45507</v>
      </c>
      <c r="D2050" t="inlineStr">
        <is>
          <t>JÄMTLANDS LÄN</t>
        </is>
      </c>
      <c r="E2050" t="inlineStr">
        <is>
          <t>BRÄCKE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31567-2024</t>
        </is>
      </c>
      <c r="B2051" s="1" t="n">
        <v>45506</v>
      </c>
      <c r="C2051" s="1" t="n">
        <v>45507</v>
      </c>
      <c r="D2051" t="inlineStr">
        <is>
          <t>JÄMTLANDS LÄN</t>
        </is>
      </c>
      <c r="E2051" t="inlineStr">
        <is>
          <t>BRÄCKE</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31468-2024</t>
        </is>
      </c>
      <c r="B2052" s="1" t="n">
        <v>45506</v>
      </c>
      <c r="C2052" s="1" t="n">
        <v>45507</v>
      </c>
      <c r="D2052" t="inlineStr">
        <is>
          <t>JÄMTLANDS LÄN</t>
        </is>
      </c>
      <c r="E2052" t="inlineStr">
        <is>
          <t>BRÄCKE</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31508-2024</t>
        </is>
      </c>
      <c r="B2053" s="1" t="n">
        <v>45506</v>
      </c>
      <c r="C2053" s="1" t="n">
        <v>45507</v>
      </c>
      <c r="D2053" t="inlineStr">
        <is>
          <t>JÄMTLANDS LÄN</t>
        </is>
      </c>
      <c r="E2053" t="inlineStr">
        <is>
          <t>BRÄCKE</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31519-2024</t>
        </is>
      </c>
      <c r="B2054" s="1" t="n">
        <v>45506</v>
      </c>
      <c r="C2054" s="1" t="n">
        <v>45507</v>
      </c>
      <c r="D2054" t="inlineStr">
        <is>
          <t>JÄMTLANDS LÄN</t>
        </is>
      </c>
      <c r="E2054" t="inlineStr">
        <is>
          <t>BRÄCKE</t>
        </is>
      </c>
      <c r="F2054" t="inlineStr">
        <is>
          <t>SCA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31466-2024</t>
        </is>
      </c>
      <c r="B2055" s="1" t="n">
        <v>45506</v>
      </c>
      <c r="C2055" s="1" t="n">
        <v>45507</v>
      </c>
      <c r="D2055" t="inlineStr">
        <is>
          <t>JÄMTLANDS LÄN</t>
        </is>
      </c>
      <c r="E2055" t="inlineStr">
        <is>
          <t>BRÄCKE</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31517-2024</t>
        </is>
      </c>
      <c r="B2056" s="1" t="n">
        <v>45506</v>
      </c>
      <c r="C2056" s="1" t="n">
        <v>45507</v>
      </c>
      <c r="D2056" t="inlineStr">
        <is>
          <t>JÄMTLANDS LÄN</t>
        </is>
      </c>
      <c r="E2056" t="inlineStr">
        <is>
          <t>BRÄCKE</t>
        </is>
      </c>
      <c r="F2056" t="inlineStr">
        <is>
          <t>SCA</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31526-2024</t>
        </is>
      </c>
      <c r="B2057" s="1" t="n">
        <v>45506</v>
      </c>
      <c r="C2057" s="1" t="n">
        <v>45507</v>
      </c>
      <c r="D2057" t="inlineStr">
        <is>
          <t>JÄMTLANDS LÄN</t>
        </is>
      </c>
      <c r="E2057" t="inlineStr">
        <is>
          <t>BRÄCKE</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31469-2024</t>
        </is>
      </c>
      <c r="B2058" s="1" t="n">
        <v>45506</v>
      </c>
      <c r="C2058" s="1" t="n">
        <v>45507</v>
      </c>
      <c r="D2058" t="inlineStr">
        <is>
          <t>JÄMTLANDS LÄN</t>
        </is>
      </c>
      <c r="E2058" t="inlineStr">
        <is>
          <t>BRÄCKE</t>
        </is>
      </c>
      <c r="F2058" t="inlineStr">
        <is>
          <t>SCA</t>
        </is>
      </c>
      <c r="G2058" t="n">
        <v>11.5</v>
      </c>
      <c r="H2058" t="n">
        <v>0</v>
      </c>
      <c r="I2058" t="n">
        <v>0</v>
      </c>
      <c r="J2058" t="n">
        <v>0</v>
      </c>
      <c r="K2058" t="n">
        <v>0</v>
      </c>
      <c r="L2058" t="n">
        <v>0</v>
      </c>
      <c r="M2058" t="n">
        <v>0</v>
      </c>
      <c r="N2058" t="n">
        <v>0</v>
      </c>
      <c r="O2058" t="n">
        <v>0</v>
      </c>
      <c r="P2058" t="n">
        <v>0</v>
      </c>
      <c r="Q2058" t="n">
        <v>0</v>
      </c>
      <c r="R2058" s="2" t="inlineStr"/>
    </row>
    <row r="2059" ht="15" customHeight="1">
      <c r="A2059" t="inlineStr">
        <is>
          <t>A 31558-2024</t>
        </is>
      </c>
      <c r="B2059" s="1" t="n">
        <v>45506</v>
      </c>
      <c r="C2059" s="1" t="n">
        <v>45507</v>
      </c>
      <c r="D2059" t="inlineStr">
        <is>
          <t>JÄMTLANDS LÄN</t>
        </is>
      </c>
      <c r="E2059" t="inlineStr">
        <is>
          <t>BRÄCKE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31566-2024</t>
        </is>
      </c>
      <c r="B2060" s="1" t="n">
        <v>45506</v>
      </c>
      <c r="C2060" s="1" t="n">
        <v>45507</v>
      </c>
      <c r="D2060" t="inlineStr">
        <is>
          <t>JÄMTLANDS LÄN</t>
        </is>
      </c>
      <c r="E2060" t="inlineStr">
        <is>
          <t>BRÄCKE</t>
        </is>
      </c>
      <c r="F2060" t="inlineStr">
        <is>
          <t>SCA</t>
        </is>
      </c>
      <c r="G2060" t="n">
        <v>0.9</v>
      </c>
      <c r="H2060" t="n">
        <v>0</v>
      </c>
      <c r="I2060" t="n">
        <v>0</v>
      </c>
      <c r="J2060" t="n">
        <v>0</v>
      </c>
      <c r="K2060" t="n">
        <v>0</v>
      </c>
      <c r="L2060" t="n">
        <v>0</v>
      </c>
      <c r="M2060" t="n">
        <v>0</v>
      </c>
      <c r="N2060" t="n">
        <v>0</v>
      </c>
      <c r="O2060" t="n">
        <v>0</v>
      </c>
      <c r="P2060" t="n">
        <v>0</v>
      </c>
      <c r="Q2060" t="n">
        <v>0</v>
      </c>
      <c r="R2060" s="2" t="inlineStr"/>
    </row>
    <row r="2061">
      <c r="A2061" t="inlineStr">
        <is>
          <t>A 31525-2024</t>
        </is>
      </c>
      <c r="B2061" s="1" t="n">
        <v>45506</v>
      </c>
      <c r="C2061" s="1" t="n">
        <v>45507</v>
      </c>
      <c r="D2061" t="inlineStr">
        <is>
          <t>JÄMTLANDS LÄN</t>
        </is>
      </c>
      <c r="E2061" t="inlineStr">
        <is>
          <t>BRÄCKE</t>
        </is>
      </c>
      <c r="F2061" t="inlineStr">
        <is>
          <t>SCA</t>
        </is>
      </c>
      <c r="G2061" t="n">
        <v>7.3</v>
      </c>
      <c r="H2061" t="n">
        <v>0</v>
      </c>
      <c r="I2061" t="n">
        <v>0</v>
      </c>
      <c r="J2061" t="n">
        <v>0</v>
      </c>
      <c r="K2061" t="n">
        <v>0</v>
      </c>
      <c r="L2061" t="n">
        <v>0</v>
      </c>
      <c r="M2061" t="n">
        <v>0</v>
      </c>
      <c r="N2061" t="n">
        <v>0</v>
      </c>
      <c r="O2061" t="n">
        <v>0</v>
      </c>
      <c r="P2061" t="n">
        <v>0</v>
      </c>
      <c r="Q2061" t="n">
        <v>0</v>
      </c>
      <c r="R2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2024-08-03T10:31:37Z</dcterms:created>
  <dcterms:modified xmlns:dcterms="http://purl.org/dc/terms/" xmlns:xsi="http://www.w3.org/2001/XMLSchema-instance" xsi:type="dcterms:W3CDTF">2024-08-03T10:31:39Z</dcterms:modified>
</cp:coreProperties>
</file>